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DFD8DFE7-06B8-4846-8A54-DE0A29F7CA79}" xr6:coauthVersionLast="47" xr6:coauthVersionMax="47" xr10:uidLastSave="{00000000-0000-0000-0000-000000000000}"/>
  <bookViews>
    <workbookView xWindow="-120" yWindow="-120" windowWidth="29040" windowHeight="15840" tabRatio="892" activeTab="4"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ISERROR"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calcMode="manual"/>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4" i="13" l="1" a="1"/>
  <c r="A14" i="13" s="1"/>
  <c r="C14" i="13" a="1"/>
  <c r="C14" i="13" s="1"/>
  <c r="B14" i="13" a="1"/>
  <c r="B14" i="13" s="1"/>
  <c r="P40" i="5"/>
  <c r="L40" i="5"/>
  <c r="O38" i="5"/>
  <c r="J38" i="5"/>
  <c r="R31" i="5"/>
  <c r="L38" i="5" l="1"/>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14" i="20"/>
  <c r="AA24" i="20"/>
  <c r="AD15" i="20"/>
  <c r="AD19" i="20"/>
  <c r="AB12" i="20"/>
  <c r="AE3" i="20"/>
  <c r="AE15" i="20"/>
  <c r="AA8" i="20"/>
  <c r="AC8" i="20"/>
  <c r="AC2" i="20"/>
  <c r="AE23" i="20"/>
  <c r="AC15" i="20"/>
  <c r="AB17" i="20"/>
  <c r="AD40" i="20"/>
  <c r="AA28" i="20"/>
  <c r="AC14" i="20"/>
  <c r="AC4" i="20"/>
  <c r="AC35" i="20"/>
  <c r="AB15" i="20"/>
  <c r="AC16" i="20"/>
  <c r="AE26" i="20"/>
  <c r="AB40" i="20"/>
  <c r="AA9" i="20"/>
  <c r="AD6" i="20"/>
  <c r="AA33" i="20"/>
  <c r="AD11" i="20"/>
  <c r="AB8" i="20"/>
  <c r="AD38" i="20"/>
  <c r="AA11" i="20"/>
  <c r="AD7" i="20"/>
  <c r="AE8" i="20"/>
  <c r="AE16" i="20"/>
  <c r="AA18" i="20"/>
  <c r="AB31" i="20"/>
  <c r="AE25" i="20"/>
  <c r="AA31" i="20"/>
  <c r="AA17" i="20"/>
  <c r="AC33" i="20"/>
  <c r="AC36" i="20"/>
  <c r="AB14" i="20"/>
  <c r="AC3" i="20"/>
  <c r="AD39" i="20"/>
  <c r="AE40" i="20"/>
  <c r="AD10" i="20"/>
  <c r="AA41" i="20"/>
  <c r="AD3" i="20"/>
  <c r="AA37" i="20"/>
  <c r="AB27" i="20"/>
  <c r="AC40" i="20"/>
  <c r="AC9" i="20"/>
  <c r="AB39" i="20"/>
  <c r="AA5" i="20"/>
  <c r="AD23" i="20"/>
  <c r="AB28" i="20"/>
  <c r="AD12" i="20"/>
  <c r="AE11" i="20"/>
  <c r="AB23" i="20"/>
  <c r="AE34" i="20"/>
  <c r="AE6" i="20"/>
  <c r="AE21" i="20"/>
  <c r="AC19" i="20"/>
  <c r="AA3" i="20"/>
  <c r="AC5" i="20"/>
  <c r="AE27" i="20"/>
  <c r="AA7" i="20"/>
  <c r="AD33" i="20"/>
  <c r="AE17" i="20"/>
  <c r="AE28" i="20"/>
  <c r="AE13" i="20"/>
  <c r="AB19" i="20"/>
  <c r="AC13" i="20"/>
  <c r="AA10" i="20"/>
  <c r="AC32" i="20"/>
  <c r="AE37" i="20"/>
  <c r="AD24" i="20"/>
  <c r="AB7" i="20"/>
  <c r="AB20" i="20"/>
  <c r="AB36" i="20"/>
  <c r="AD30" i="20"/>
  <c r="AC12" i="20"/>
  <c r="AC20" i="20"/>
  <c r="AA27" i="20"/>
  <c r="AB22" i="20"/>
  <c r="AD35" i="20"/>
  <c r="AE36" i="20"/>
  <c r="AA32" i="20"/>
  <c r="AA6" i="20"/>
  <c r="AC27" i="20"/>
  <c r="AA39" i="20"/>
  <c r="AA30" i="20"/>
  <c r="AC29" i="20"/>
  <c r="AB3" i="20"/>
  <c r="AA25" i="20"/>
  <c r="AB41" i="20"/>
  <c r="AA36" i="20"/>
  <c r="AA13" i="20"/>
  <c r="AE24" i="20"/>
  <c r="AA19" i="20"/>
  <c r="AC21" i="20"/>
  <c r="AB4" i="20"/>
  <c r="AE12" i="20"/>
  <c r="AC10" i="20"/>
  <c r="AB32" i="20"/>
  <c r="AD21" i="20"/>
  <c r="AE20" i="20"/>
  <c r="AA21" i="20"/>
  <c r="AD14" i="20"/>
  <c r="AE29" i="20"/>
  <c r="AD25" i="20"/>
  <c r="AC31" i="20"/>
  <c r="AD36" i="20"/>
  <c r="AA29" i="20"/>
  <c r="AC39" i="20"/>
  <c r="AB35" i="20"/>
  <c r="AD29" i="20"/>
  <c r="AC41" i="20"/>
  <c r="AB10" i="20"/>
  <c r="AB30" i="20"/>
  <c r="AB24" i="20"/>
  <c r="AB11" i="20"/>
  <c r="AD13" i="20"/>
  <c r="AA22" i="20"/>
  <c r="AD9" i="20"/>
  <c r="AE7" i="20"/>
  <c r="AB26" i="20"/>
  <c r="AC24" i="20"/>
  <c r="AA14" i="20"/>
  <c r="AE31" i="20"/>
  <c r="AD22" i="20"/>
  <c r="AB13" i="20"/>
  <c r="AE9" i="20"/>
  <c r="AB38" i="20"/>
  <c r="AD4" i="20"/>
  <c r="AB2" i="20"/>
  <c r="AB29" i="20"/>
  <c r="AD31" i="20"/>
  <c r="AB25" i="20"/>
  <c r="AE18" i="20"/>
  <c r="AE22" i="20"/>
  <c r="AE38" i="20"/>
  <c r="AD8" i="20"/>
  <c r="AA16" i="20"/>
  <c r="AC28" i="20"/>
  <c r="AB6" i="20"/>
  <c r="AE32" i="20"/>
  <c r="AC22" i="20"/>
  <c r="AA12" i="20"/>
  <c r="AD27" i="20"/>
  <c r="AB37" i="20"/>
  <c r="AA26" i="20"/>
  <c r="AB5" i="20"/>
  <c r="AA2" i="20"/>
  <c r="AA40" i="20"/>
  <c r="AE41" i="20"/>
  <c r="AB18" i="20"/>
  <c r="AC11" i="20"/>
  <c r="AE30" i="20"/>
  <c r="AE10" i="20"/>
  <c r="AB9" i="20"/>
  <c r="AC6" i="20"/>
  <c r="AC17" i="20"/>
  <c r="AB16" i="20"/>
  <c r="AC38" i="20"/>
  <c r="AD34" i="20"/>
  <c r="AC26" i="20"/>
  <c r="AA4" i="20"/>
  <c r="AD17" i="20"/>
  <c r="AE2" i="20"/>
  <c r="AE19" i="20"/>
  <c r="AD32" i="20"/>
  <c r="AE33" i="20"/>
  <c r="AE35" i="20"/>
  <c r="AD20" i="20"/>
  <c r="AC25" i="20"/>
  <c r="AB34" i="20"/>
  <c r="AC34" i="20"/>
  <c r="AC7" i="20"/>
  <c r="AA34" i="20"/>
  <c r="AB33" i="20"/>
  <c r="AA20" i="20"/>
  <c r="AA38" i="20"/>
  <c r="AA35" i="20"/>
  <c r="AD2" i="20"/>
  <c r="AC18" i="20"/>
  <c r="AC37" i="20"/>
  <c r="AC23" i="20"/>
  <c r="AE39" i="20"/>
  <c r="AE4" i="20"/>
  <c r="AD18" i="20"/>
  <c r="AA15" i="20"/>
  <c r="AD5" i="20"/>
  <c r="AC30" i="20"/>
  <c r="AD26" i="20"/>
  <c r="AE5" i="20"/>
  <c r="AD28" i="20"/>
  <c r="AD41" i="20"/>
  <c r="AD16" i="20"/>
  <c r="AA23" i="20"/>
  <c r="AD37"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B50" i="1" l="1"/>
  <c r="E1" i="13"/>
  <c r="C2" i="13"/>
  <c r="E2" i="13"/>
  <c r="C1" i="13"/>
  <c r="C25" i="1"/>
  <c r="B24" i="1"/>
  <c r="A23" i="1"/>
  <c r="O21" i="1"/>
  <c r="N20" i="1"/>
  <c r="M19" i="1"/>
  <c r="L18" i="1"/>
  <c r="K17" i="1"/>
  <c r="J16" i="1"/>
  <c r="I15" i="1"/>
  <c r="H14" i="1"/>
  <c r="G13" i="1"/>
  <c r="F12" i="1"/>
  <c r="E11" i="1"/>
  <c r="D10" i="1"/>
  <c r="A16" i="1"/>
  <c r="C14" i="1"/>
  <c r="E12" i="1"/>
  <c r="G10" i="1"/>
  <c r="L24" i="1"/>
  <c r="J22" i="1"/>
  <c r="D20" i="1"/>
  <c r="M17" i="1"/>
  <c r="O15" i="1"/>
  <c r="M13" i="1"/>
  <c r="G11" i="1"/>
  <c r="D25" i="1"/>
  <c r="C24" i="1"/>
  <c r="E22" i="1"/>
  <c r="C20" i="1"/>
  <c r="L17" i="1"/>
  <c r="N25" i="1"/>
  <c r="M24" i="1"/>
  <c r="L23" i="1"/>
  <c r="K22" i="1"/>
  <c r="J21" i="1"/>
  <c r="I20" i="1"/>
  <c r="H19" i="1"/>
  <c r="G18" i="1"/>
  <c r="M16" i="1"/>
  <c r="G14" i="1"/>
  <c r="A12" i="1"/>
  <c r="I25" i="1"/>
  <c r="N22" i="1"/>
  <c r="A21" i="1"/>
  <c r="N18" i="1"/>
  <c r="L16" i="1"/>
  <c r="L12" i="1"/>
  <c r="F23" i="1"/>
  <c r="K16" i="1"/>
  <c r="N11" i="1"/>
  <c r="L22" i="1"/>
  <c r="K21" i="1"/>
  <c r="J20" i="1"/>
  <c r="G17" i="1"/>
  <c r="D14" i="1"/>
  <c r="A11" i="1"/>
  <c r="J13" i="1"/>
  <c r="D24" i="1"/>
  <c r="E17" i="1"/>
  <c r="N10" i="1"/>
  <c r="F19" i="1"/>
  <c r="I24" i="1"/>
  <c r="F21" i="1"/>
  <c r="C18" i="1"/>
  <c r="D11" i="1"/>
  <c r="H20" i="1"/>
  <c r="B14" i="1"/>
  <c r="I22" i="1"/>
  <c r="C16" i="1"/>
  <c r="B11" i="1"/>
  <c r="O25" i="1"/>
  <c r="K25" i="1"/>
  <c r="J24" i="1"/>
  <c r="I23" i="1"/>
  <c r="H22" i="1"/>
  <c r="G21" i="1"/>
  <c r="F20" i="1"/>
  <c r="E19" i="1"/>
  <c r="D18" i="1"/>
  <c r="C17" i="1"/>
  <c r="B16" i="1"/>
  <c r="A15" i="1"/>
  <c r="O13" i="1"/>
  <c r="N12" i="1"/>
  <c r="M11" i="1"/>
  <c r="L10" i="1"/>
  <c r="B17" i="1"/>
  <c r="O14" i="1"/>
  <c r="B13" i="1"/>
  <c r="H11" i="1"/>
  <c r="E25" i="1"/>
  <c r="K23" i="1"/>
  <c r="I21" i="1"/>
  <c r="C19" i="1"/>
  <c r="A17" i="1"/>
  <c r="N14" i="1"/>
  <c r="H12" i="1"/>
  <c r="F10" i="1"/>
  <c r="K24" i="1"/>
  <c r="B23" i="1"/>
  <c r="D21" i="1"/>
  <c r="M18" i="1"/>
  <c r="O16" i="1"/>
  <c r="F25" i="1"/>
  <c r="E24" i="1"/>
  <c r="D23" i="1"/>
  <c r="C22" i="1"/>
  <c r="B21" i="1"/>
  <c r="A20" i="1"/>
  <c r="O18" i="1"/>
  <c r="N17" i="1"/>
  <c r="L15" i="1"/>
  <c r="F13" i="1"/>
  <c r="K10" i="1"/>
  <c r="O23" i="1"/>
  <c r="M21" i="1"/>
  <c r="O19" i="1"/>
  <c r="B18" i="1"/>
  <c r="K15" i="1"/>
  <c r="I13" i="1"/>
  <c r="K11" i="1"/>
  <c r="H25" i="1"/>
  <c r="A22" i="1"/>
  <c r="N19" i="1"/>
  <c r="A18" i="1"/>
  <c r="J15" i="1"/>
  <c r="G12" i="1"/>
  <c r="E14" i="1"/>
  <c r="A14" i="1"/>
  <c r="L13" i="1"/>
  <c r="B15" i="1"/>
  <c r="N15" i="1"/>
  <c r="D13" i="1"/>
  <c r="K12" i="1"/>
  <c r="J14" i="1"/>
  <c r="O20" i="1"/>
  <c r="I14" i="1"/>
  <c r="C12" i="1"/>
  <c r="A10" i="1"/>
  <c r="M23" i="1"/>
  <c r="I19" i="1"/>
  <c r="F16" i="1"/>
  <c r="C13" i="1"/>
  <c r="J17" i="1"/>
  <c r="M25" i="1"/>
  <c r="K19" i="1"/>
  <c r="E13" i="1"/>
  <c r="J23" i="1"/>
  <c r="D17" i="1"/>
  <c r="H23" i="1"/>
  <c r="E20" i="1"/>
  <c r="E16" i="1"/>
  <c r="H24" i="1"/>
  <c r="F18" i="1"/>
  <c r="D12" i="1"/>
  <c r="I18" i="1"/>
  <c r="F15" i="1"/>
  <c r="I10" i="1"/>
  <c r="G25" i="1"/>
  <c r="F24" i="1"/>
  <c r="E23" i="1"/>
  <c r="D22" i="1"/>
  <c r="C21" i="1"/>
  <c r="B20" i="1"/>
  <c r="A19" i="1"/>
  <c r="O17" i="1"/>
  <c r="N16" i="1"/>
  <c r="M15" i="1"/>
  <c r="L14" i="1"/>
  <c r="K13" i="1"/>
  <c r="J12" i="1"/>
  <c r="I11" i="1"/>
  <c r="H10" i="1"/>
  <c r="I16" i="1"/>
  <c r="K14" i="1"/>
  <c r="M12" i="1"/>
  <c r="O10" i="1"/>
  <c r="A25" i="1"/>
  <c r="C23" i="1"/>
  <c r="L20" i="1"/>
  <c r="J18" i="1"/>
  <c r="H16" i="1"/>
  <c r="F14" i="1"/>
  <c r="O11" i="1"/>
  <c r="L25" i="1"/>
  <c r="G24" i="1"/>
  <c r="M22" i="1"/>
  <c r="K20" i="1"/>
  <c r="E18" i="1"/>
  <c r="G16" i="1"/>
  <c r="B25" i="1"/>
  <c r="A24" i="1"/>
  <c r="O22" i="1"/>
  <c r="N21" i="1"/>
  <c r="M20" i="1"/>
  <c r="L19" i="1"/>
  <c r="K18" i="1"/>
  <c r="F17" i="1"/>
  <c r="D15" i="1"/>
  <c r="I12" i="1"/>
  <c r="C10" i="1"/>
  <c r="G23" i="1"/>
  <c r="E21" i="1"/>
  <c r="G19" i="1"/>
  <c r="I17" i="1"/>
  <c r="C15" i="1"/>
  <c r="A13" i="1"/>
  <c r="C11" i="1"/>
  <c r="N23" i="1"/>
  <c r="H21" i="1"/>
  <c r="J19" i="1"/>
  <c r="H17" i="1"/>
  <c r="F11" i="1"/>
  <c r="O12" i="1"/>
  <c r="M14" i="1"/>
  <c r="J10" i="1"/>
  <c r="B19" i="1"/>
  <c r="E10" i="1"/>
  <c r="J11" i="1"/>
  <c r="N24" i="1"/>
  <c r="H18" i="1"/>
  <c r="E15" i="1"/>
  <c r="B12" i="1"/>
  <c r="H15" i="1"/>
  <c r="L11" i="1"/>
  <c r="B22" i="1"/>
  <c r="G15" i="1"/>
  <c r="O24" i="1"/>
  <c r="L21" i="1"/>
  <c r="J25" i="1"/>
  <c r="G22" i="1"/>
  <c r="D19" i="1"/>
  <c r="N13" i="1"/>
  <c r="F22" i="1"/>
  <c r="D16" i="1"/>
  <c r="B10" i="1"/>
  <c r="G20" i="1"/>
  <c r="H13" i="1"/>
  <c r="M10" i="1"/>
  <c r="N59" i="8" l="1"/>
  <c r="I9" i="13" s="1"/>
  <c r="N61" i="8"/>
  <c r="I10" i="13" s="1"/>
  <c r="N60" i="8"/>
  <c r="I9" i="15" l="1"/>
  <c r="I9" i="14"/>
  <c r="I10" i="14"/>
  <c r="I10" i="15"/>
  <c r="M13" i="5"/>
  <c r="N13" i="5"/>
  <c r="O13" i="5"/>
  <c r="P13" i="5"/>
  <c r="D2" i="15" l="1"/>
  <c r="D2" i="14"/>
  <c r="B15" i="15" l="1"/>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C6" i="21" l="1"/>
  <c r="C8" i="21"/>
  <c r="C7" i="21"/>
  <c r="J6" i="21"/>
  <c r="D29" i="8" l="1"/>
  <c r="G30" i="8" s="1"/>
  <c r="F31" i="8" s="1"/>
  <c r="E29" i="8" l="1"/>
  <c r="J7" i="21"/>
  <c r="AB2" i="23" l="1"/>
  <c r="H25" i="26"/>
  <c r="A1" i="21"/>
  <c r="B20" i="8" l="1"/>
  <c r="N903" i="15" l="1"/>
  <c r="M903" i="15"/>
  <c r="L903" i="15"/>
  <c r="K903" i="15"/>
  <c r="J903" i="15"/>
  <c r="I903" i="15"/>
  <c r="H903" i="15"/>
  <c r="G903" i="15"/>
  <c r="F903" i="15"/>
  <c r="E903" i="15"/>
  <c r="D903" i="15"/>
  <c r="C903" i="15"/>
  <c r="B903" i="15"/>
  <c r="A903" i="15" s="1"/>
  <c r="N902" i="15"/>
  <c r="M902" i="15"/>
  <c r="L902" i="15"/>
  <c r="K902" i="15"/>
  <c r="J902" i="15"/>
  <c r="I902" i="15"/>
  <c r="H902" i="15"/>
  <c r="G902" i="15"/>
  <c r="F902" i="15"/>
  <c r="E902" i="15"/>
  <c r="D902" i="15"/>
  <c r="C902" i="15"/>
  <c r="B902" i="15"/>
  <c r="A902" i="15" s="1"/>
  <c r="N901" i="15"/>
  <c r="M901" i="15"/>
  <c r="L901" i="15"/>
  <c r="K901" i="15"/>
  <c r="J901" i="15"/>
  <c r="I901" i="15"/>
  <c r="H901" i="15"/>
  <c r="G901" i="15"/>
  <c r="F901" i="15"/>
  <c r="E901" i="15"/>
  <c r="D901" i="15"/>
  <c r="C901" i="15"/>
  <c r="B901" i="15"/>
  <c r="A901" i="15" s="1"/>
  <c r="N900" i="15"/>
  <c r="M900" i="15"/>
  <c r="L900" i="15"/>
  <c r="K900" i="15"/>
  <c r="J900" i="15"/>
  <c r="I900" i="15"/>
  <c r="H900" i="15"/>
  <c r="G900" i="15"/>
  <c r="F900" i="15"/>
  <c r="E900" i="15"/>
  <c r="D900" i="15"/>
  <c r="C900" i="15"/>
  <c r="B900" i="15"/>
  <c r="A900" i="15" s="1"/>
  <c r="N899" i="15"/>
  <c r="M899" i="15"/>
  <c r="L899" i="15"/>
  <c r="K899" i="15"/>
  <c r="J899" i="15"/>
  <c r="I899" i="15"/>
  <c r="H899" i="15"/>
  <c r="G899" i="15"/>
  <c r="F899" i="15"/>
  <c r="E899" i="15"/>
  <c r="D899" i="15"/>
  <c r="C899" i="15"/>
  <c r="B899" i="15"/>
  <c r="A899" i="15" s="1"/>
  <c r="N898" i="15"/>
  <c r="M898" i="15"/>
  <c r="L898" i="15"/>
  <c r="K898" i="15"/>
  <c r="J898" i="15"/>
  <c r="I898" i="15"/>
  <c r="H898" i="15"/>
  <c r="G898" i="15"/>
  <c r="F898" i="15"/>
  <c r="E898" i="15"/>
  <c r="D898" i="15"/>
  <c r="C898" i="15"/>
  <c r="B898" i="15"/>
  <c r="A898" i="15" s="1"/>
  <c r="N897" i="15"/>
  <c r="M897" i="15"/>
  <c r="L897" i="15"/>
  <c r="K897" i="15"/>
  <c r="J897" i="15"/>
  <c r="I897" i="15"/>
  <c r="H897" i="15"/>
  <c r="G897" i="15"/>
  <c r="F897" i="15"/>
  <c r="E897" i="15"/>
  <c r="D897" i="15"/>
  <c r="C897" i="15"/>
  <c r="B897" i="15"/>
  <c r="A897" i="15" s="1"/>
  <c r="N896" i="15"/>
  <c r="M896" i="15"/>
  <c r="L896" i="15"/>
  <c r="K896" i="15"/>
  <c r="J896" i="15"/>
  <c r="I896" i="15"/>
  <c r="H896" i="15"/>
  <c r="G896" i="15"/>
  <c r="F896" i="15"/>
  <c r="E896" i="15"/>
  <c r="D896" i="15"/>
  <c r="C896" i="15"/>
  <c r="B896" i="15"/>
  <c r="A896" i="15" s="1"/>
  <c r="N895" i="15"/>
  <c r="M895" i="15"/>
  <c r="L895" i="15"/>
  <c r="K895" i="15"/>
  <c r="J895" i="15"/>
  <c r="I895" i="15"/>
  <c r="H895" i="15"/>
  <c r="G895" i="15"/>
  <c r="F895" i="15"/>
  <c r="E895" i="15"/>
  <c r="D895" i="15"/>
  <c r="C895" i="15"/>
  <c r="B895" i="15"/>
  <c r="A895" i="15" s="1"/>
  <c r="N894" i="15"/>
  <c r="M894" i="15"/>
  <c r="L894" i="15"/>
  <c r="K894" i="15"/>
  <c r="J894" i="15"/>
  <c r="I894" i="15"/>
  <c r="H894" i="15"/>
  <c r="G894" i="15"/>
  <c r="F894" i="15"/>
  <c r="E894" i="15"/>
  <c r="D894" i="15"/>
  <c r="C894" i="15"/>
  <c r="B894" i="15"/>
  <c r="A894" i="15" s="1"/>
  <c r="N893" i="15"/>
  <c r="M893" i="15"/>
  <c r="L893" i="15"/>
  <c r="K893" i="15"/>
  <c r="J893" i="15"/>
  <c r="I893" i="15"/>
  <c r="H893" i="15"/>
  <c r="G893" i="15"/>
  <c r="F893" i="15"/>
  <c r="E893" i="15"/>
  <c r="D893" i="15"/>
  <c r="C893" i="15"/>
  <c r="B893" i="15"/>
  <c r="A893" i="15" s="1"/>
  <c r="N892" i="15"/>
  <c r="M892" i="15"/>
  <c r="L892" i="15"/>
  <c r="K892" i="15"/>
  <c r="J892" i="15"/>
  <c r="I892" i="15"/>
  <c r="H892" i="15"/>
  <c r="G892" i="15"/>
  <c r="F892" i="15"/>
  <c r="E892" i="15"/>
  <c r="D892" i="15"/>
  <c r="C892" i="15"/>
  <c r="B892" i="15"/>
  <c r="A892" i="15" s="1"/>
  <c r="N891" i="15"/>
  <c r="M891" i="15"/>
  <c r="L891" i="15"/>
  <c r="K891" i="15"/>
  <c r="J891" i="15"/>
  <c r="I891" i="15"/>
  <c r="H891" i="15"/>
  <c r="G891" i="15"/>
  <c r="F891" i="15"/>
  <c r="E891" i="15"/>
  <c r="D891" i="15"/>
  <c r="C891" i="15"/>
  <c r="B891" i="15"/>
  <c r="A891" i="15" s="1"/>
  <c r="N890" i="15"/>
  <c r="M890" i="15"/>
  <c r="L890" i="15"/>
  <c r="K890" i="15"/>
  <c r="J890" i="15"/>
  <c r="I890" i="15"/>
  <c r="H890" i="15"/>
  <c r="G890" i="15"/>
  <c r="F890" i="15"/>
  <c r="E890" i="15"/>
  <c r="D890" i="15"/>
  <c r="C890" i="15"/>
  <c r="B890" i="15"/>
  <c r="A890" i="15" s="1"/>
  <c r="N889" i="15"/>
  <c r="M889" i="15"/>
  <c r="L889" i="15"/>
  <c r="K889" i="15"/>
  <c r="J889" i="15"/>
  <c r="I889" i="15"/>
  <c r="H889" i="15"/>
  <c r="G889" i="15"/>
  <c r="F889" i="15"/>
  <c r="E889" i="15"/>
  <c r="D889" i="15"/>
  <c r="C889" i="15"/>
  <c r="B889" i="15"/>
  <c r="A889" i="15" s="1"/>
  <c r="N888" i="15"/>
  <c r="M888" i="15"/>
  <c r="L888" i="15"/>
  <c r="K888" i="15"/>
  <c r="J888" i="15"/>
  <c r="I888" i="15"/>
  <c r="H888" i="15"/>
  <c r="G888" i="15"/>
  <c r="F888" i="15"/>
  <c r="E888" i="15"/>
  <c r="D888" i="15"/>
  <c r="C888" i="15"/>
  <c r="B888" i="15"/>
  <c r="A888" i="15" s="1"/>
  <c r="N887" i="15"/>
  <c r="M887" i="15"/>
  <c r="L887" i="15"/>
  <c r="K887" i="15"/>
  <c r="J887" i="15"/>
  <c r="I887" i="15"/>
  <c r="H887" i="15"/>
  <c r="G887" i="15"/>
  <c r="F887" i="15"/>
  <c r="E887" i="15"/>
  <c r="D887" i="15"/>
  <c r="C887" i="15"/>
  <c r="B887" i="15"/>
  <c r="A887" i="15" s="1"/>
  <c r="N886" i="15"/>
  <c r="M886" i="15"/>
  <c r="L886" i="15"/>
  <c r="K886" i="15"/>
  <c r="J886" i="15"/>
  <c r="I886" i="15"/>
  <c r="H886" i="15"/>
  <c r="G886" i="15"/>
  <c r="F886" i="15"/>
  <c r="E886" i="15"/>
  <c r="D886" i="15"/>
  <c r="C886" i="15"/>
  <c r="B886" i="15"/>
  <c r="A886" i="15" s="1"/>
  <c r="N885" i="15"/>
  <c r="M885" i="15"/>
  <c r="L885" i="15"/>
  <c r="K885" i="15"/>
  <c r="J885" i="15"/>
  <c r="I885" i="15"/>
  <c r="H885" i="15"/>
  <c r="G885" i="15"/>
  <c r="F885" i="15"/>
  <c r="E885" i="15"/>
  <c r="D885" i="15"/>
  <c r="C885" i="15"/>
  <c r="B885" i="15"/>
  <c r="A885" i="15" s="1"/>
  <c r="N884" i="15"/>
  <c r="M884" i="15"/>
  <c r="L884" i="15"/>
  <c r="K884" i="15"/>
  <c r="J884" i="15"/>
  <c r="I884" i="15"/>
  <c r="H884" i="15"/>
  <c r="G884" i="15"/>
  <c r="F884" i="15"/>
  <c r="E884" i="15"/>
  <c r="D884" i="15"/>
  <c r="C884" i="15"/>
  <c r="B884" i="15"/>
  <c r="A884" i="15" s="1"/>
  <c r="N883" i="15"/>
  <c r="M883" i="15"/>
  <c r="L883" i="15"/>
  <c r="K883" i="15"/>
  <c r="J883" i="15"/>
  <c r="I883" i="15"/>
  <c r="H883" i="15"/>
  <c r="G883" i="15"/>
  <c r="F883" i="15"/>
  <c r="E883" i="15"/>
  <c r="D883" i="15"/>
  <c r="C883" i="15"/>
  <c r="B883" i="15"/>
  <c r="A883" i="15" s="1"/>
  <c r="N882" i="15"/>
  <c r="M882" i="15"/>
  <c r="L882" i="15"/>
  <c r="K882" i="15"/>
  <c r="J882" i="15"/>
  <c r="I882" i="15"/>
  <c r="H882" i="15"/>
  <c r="G882" i="15"/>
  <c r="F882" i="15"/>
  <c r="E882" i="15"/>
  <c r="D882" i="15"/>
  <c r="C882" i="15"/>
  <c r="B882" i="15"/>
  <c r="A882" i="15" s="1"/>
  <c r="N881" i="15"/>
  <c r="M881" i="15"/>
  <c r="L881" i="15"/>
  <c r="K881" i="15"/>
  <c r="J881" i="15"/>
  <c r="I881" i="15"/>
  <c r="H881" i="15"/>
  <c r="G881" i="15"/>
  <c r="F881" i="15"/>
  <c r="E881" i="15"/>
  <c r="D881" i="15"/>
  <c r="C881" i="15"/>
  <c r="B881" i="15"/>
  <c r="A881" i="15" s="1"/>
  <c r="N880" i="15"/>
  <c r="M880" i="15"/>
  <c r="L880" i="15"/>
  <c r="K880" i="15"/>
  <c r="J880" i="15"/>
  <c r="I880" i="15"/>
  <c r="H880" i="15"/>
  <c r="G880" i="15"/>
  <c r="F880" i="15"/>
  <c r="E880" i="15"/>
  <c r="D880" i="15"/>
  <c r="C880" i="15"/>
  <c r="B880" i="15"/>
  <c r="A880" i="15" s="1"/>
  <c r="N879" i="15"/>
  <c r="M879" i="15"/>
  <c r="L879" i="15"/>
  <c r="K879" i="15"/>
  <c r="J879" i="15"/>
  <c r="I879" i="15"/>
  <c r="H879" i="15"/>
  <c r="G879" i="15"/>
  <c r="F879" i="15"/>
  <c r="E879" i="15"/>
  <c r="D879" i="15"/>
  <c r="C879" i="15"/>
  <c r="B879" i="15"/>
  <c r="A879" i="15" s="1"/>
  <c r="N878" i="15"/>
  <c r="M878" i="15"/>
  <c r="L878" i="15"/>
  <c r="K878" i="15"/>
  <c r="J878" i="15"/>
  <c r="I878" i="15"/>
  <c r="H878" i="15"/>
  <c r="G878" i="15"/>
  <c r="F878" i="15"/>
  <c r="E878" i="15"/>
  <c r="D878" i="15"/>
  <c r="C878" i="15"/>
  <c r="B878" i="15"/>
  <c r="A878" i="15" s="1"/>
  <c r="N877" i="15"/>
  <c r="M877" i="15"/>
  <c r="L877" i="15"/>
  <c r="K877" i="15"/>
  <c r="J877" i="15"/>
  <c r="I877" i="15"/>
  <c r="H877" i="15"/>
  <c r="G877" i="15"/>
  <c r="F877" i="15"/>
  <c r="E877" i="15"/>
  <c r="D877" i="15"/>
  <c r="C877" i="15"/>
  <c r="B877" i="15"/>
  <c r="A877" i="15" s="1"/>
  <c r="N876" i="15"/>
  <c r="M876" i="15"/>
  <c r="L876" i="15"/>
  <c r="K876" i="15"/>
  <c r="J876" i="15"/>
  <c r="I876" i="15"/>
  <c r="H876" i="15"/>
  <c r="G876" i="15"/>
  <c r="F876" i="15"/>
  <c r="E876" i="15"/>
  <c r="D876" i="15"/>
  <c r="C876" i="15"/>
  <c r="B876" i="15"/>
  <c r="A876" i="15" s="1"/>
  <c r="N875" i="15"/>
  <c r="M875" i="15"/>
  <c r="L875" i="15"/>
  <c r="K875" i="15"/>
  <c r="J875" i="15"/>
  <c r="I875" i="15"/>
  <c r="H875" i="15"/>
  <c r="G875" i="15"/>
  <c r="F875" i="15"/>
  <c r="E875" i="15"/>
  <c r="D875" i="15"/>
  <c r="C875" i="15"/>
  <c r="B875" i="15"/>
  <c r="A875" i="15" s="1"/>
  <c r="N874" i="15"/>
  <c r="M874" i="15"/>
  <c r="L874" i="15"/>
  <c r="K874" i="15"/>
  <c r="J874" i="15"/>
  <c r="I874" i="15"/>
  <c r="H874" i="15"/>
  <c r="G874" i="15"/>
  <c r="F874" i="15"/>
  <c r="E874" i="15"/>
  <c r="D874" i="15"/>
  <c r="C874" i="15"/>
  <c r="B874" i="15"/>
  <c r="A874" i="15" s="1"/>
  <c r="N873" i="15"/>
  <c r="M873" i="15"/>
  <c r="L873" i="15"/>
  <c r="K873" i="15"/>
  <c r="J873" i="15"/>
  <c r="I873" i="15"/>
  <c r="H873" i="15"/>
  <c r="G873" i="15"/>
  <c r="F873" i="15"/>
  <c r="E873" i="15"/>
  <c r="D873" i="15"/>
  <c r="C873" i="15"/>
  <c r="B873" i="15"/>
  <c r="A873" i="15" s="1"/>
  <c r="N872" i="15"/>
  <c r="M872" i="15"/>
  <c r="L872" i="15"/>
  <c r="K872" i="15"/>
  <c r="J872" i="15"/>
  <c r="I872" i="15"/>
  <c r="H872" i="15"/>
  <c r="G872" i="15"/>
  <c r="F872" i="15"/>
  <c r="E872" i="15"/>
  <c r="D872" i="15"/>
  <c r="C872" i="15"/>
  <c r="B872" i="15"/>
  <c r="A872" i="15" s="1"/>
  <c r="N871" i="15"/>
  <c r="M871" i="15"/>
  <c r="L871" i="15"/>
  <c r="K871" i="15"/>
  <c r="J871" i="15"/>
  <c r="I871" i="15"/>
  <c r="H871" i="15"/>
  <c r="G871" i="15"/>
  <c r="F871" i="15"/>
  <c r="E871" i="15"/>
  <c r="D871" i="15"/>
  <c r="C871" i="15"/>
  <c r="B871" i="15"/>
  <c r="A871" i="15" s="1"/>
  <c r="N870" i="15"/>
  <c r="M870" i="15"/>
  <c r="L870" i="15"/>
  <c r="K870" i="15"/>
  <c r="J870" i="15"/>
  <c r="I870" i="15"/>
  <c r="H870" i="15"/>
  <c r="G870" i="15"/>
  <c r="F870" i="15"/>
  <c r="E870" i="15"/>
  <c r="D870" i="15"/>
  <c r="C870" i="15"/>
  <c r="B870" i="15"/>
  <c r="A870" i="15" s="1"/>
  <c r="N869" i="15"/>
  <c r="M869" i="15"/>
  <c r="L869" i="15"/>
  <c r="K869" i="15"/>
  <c r="J869" i="15"/>
  <c r="I869" i="15"/>
  <c r="H869" i="15"/>
  <c r="G869" i="15"/>
  <c r="F869" i="15"/>
  <c r="E869" i="15"/>
  <c r="D869" i="15"/>
  <c r="C869" i="15"/>
  <c r="B869" i="15"/>
  <c r="A869" i="15" s="1"/>
  <c r="N868" i="15"/>
  <c r="M868" i="15"/>
  <c r="L868" i="15"/>
  <c r="K868" i="15"/>
  <c r="J868" i="15"/>
  <c r="I868" i="15"/>
  <c r="H868" i="15"/>
  <c r="G868" i="15"/>
  <c r="F868" i="15"/>
  <c r="E868" i="15"/>
  <c r="D868" i="15"/>
  <c r="C868" i="15"/>
  <c r="B868" i="15"/>
  <c r="A868" i="15" s="1"/>
  <c r="N867" i="15"/>
  <c r="M867" i="15"/>
  <c r="L867" i="15"/>
  <c r="K867" i="15"/>
  <c r="J867" i="15"/>
  <c r="I867" i="15"/>
  <c r="H867" i="15"/>
  <c r="G867" i="15"/>
  <c r="F867" i="15"/>
  <c r="E867" i="15"/>
  <c r="D867" i="15"/>
  <c r="C867" i="15"/>
  <c r="B867" i="15"/>
  <c r="A867" i="15" s="1"/>
  <c r="N866" i="15"/>
  <c r="M866" i="15"/>
  <c r="L866" i="15"/>
  <c r="K866" i="15"/>
  <c r="J866" i="15"/>
  <c r="I866" i="15"/>
  <c r="H866" i="15"/>
  <c r="G866" i="15"/>
  <c r="F866" i="15"/>
  <c r="E866" i="15"/>
  <c r="D866" i="15"/>
  <c r="C866" i="15"/>
  <c r="B866" i="15"/>
  <c r="A866" i="15" s="1"/>
  <c r="N865" i="15"/>
  <c r="M865" i="15"/>
  <c r="L865" i="15"/>
  <c r="K865" i="15"/>
  <c r="J865" i="15"/>
  <c r="I865" i="15"/>
  <c r="H865" i="15"/>
  <c r="G865" i="15"/>
  <c r="F865" i="15"/>
  <c r="E865" i="15"/>
  <c r="D865" i="15"/>
  <c r="C865" i="15"/>
  <c r="B865" i="15"/>
  <c r="A865" i="15" s="1"/>
  <c r="N864" i="15"/>
  <c r="M864" i="15"/>
  <c r="L864" i="15"/>
  <c r="K864" i="15"/>
  <c r="J864" i="15"/>
  <c r="I864" i="15"/>
  <c r="H864" i="15"/>
  <c r="G864" i="15"/>
  <c r="F864" i="15"/>
  <c r="E864" i="15"/>
  <c r="D864" i="15"/>
  <c r="C864" i="15"/>
  <c r="B864" i="15"/>
  <c r="A864" i="15" s="1"/>
  <c r="N863" i="15"/>
  <c r="M863" i="15"/>
  <c r="L863" i="15"/>
  <c r="K863" i="15"/>
  <c r="J863" i="15"/>
  <c r="I863" i="15"/>
  <c r="H863" i="15"/>
  <c r="G863" i="15"/>
  <c r="F863" i="15"/>
  <c r="E863" i="15"/>
  <c r="D863" i="15"/>
  <c r="C863" i="15"/>
  <c r="B863" i="15"/>
  <c r="A863" i="15" s="1"/>
  <c r="N862" i="15"/>
  <c r="M862" i="15"/>
  <c r="L862" i="15"/>
  <c r="K862" i="15"/>
  <c r="J862" i="15"/>
  <c r="I862" i="15"/>
  <c r="H862" i="15"/>
  <c r="G862" i="15"/>
  <c r="F862" i="15"/>
  <c r="E862" i="15"/>
  <c r="D862" i="15"/>
  <c r="C862" i="15"/>
  <c r="B862" i="15"/>
  <c r="A862" i="15" s="1"/>
  <c r="N861" i="15"/>
  <c r="M861" i="15"/>
  <c r="L861" i="15"/>
  <c r="K861" i="15"/>
  <c r="J861" i="15"/>
  <c r="I861" i="15"/>
  <c r="H861" i="15"/>
  <c r="G861" i="15"/>
  <c r="F861" i="15"/>
  <c r="E861" i="15"/>
  <c r="D861" i="15"/>
  <c r="C861" i="15"/>
  <c r="B861" i="15"/>
  <c r="A861" i="15" s="1"/>
  <c r="N860" i="15"/>
  <c r="M860" i="15"/>
  <c r="L860" i="15"/>
  <c r="K860" i="15"/>
  <c r="J860" i="15"/>
  <c r="I860" i="15"/>
  <c r="H860" i="15"/>
  <c r="G860" i="15"/>
  <c r="F860" i="15"/>
  <c r="E860" i="15"/>
  <c r="D860" i="15"/>
  <c r="C860" i="15"/>
  <c r="B860" i="15"/>
  <c r="A860" i="15" s="1"/>
  <c r="N859" i="15"/>
  <c r="M859" i="15"/>
  <c r="L859" i="15"/>
  <c r="K859" i="15"/>
  <c r="J859" i="15"/>
  <c r="I859" i="15"/>
  <c r="H859" i="15"/>
  <c r="G859" i="15"/>
  <c r="F859" i="15"/>
  <c r="E859" i="15"/>
  <c r="D859" i="15"/>
  <c r="C859" i="15"/>
  <c r="B859" i="15"/>
  <c r="A859" i="15" s="1"/>
  <c r="N858" i="15"/>
  <c r="M858" i="15"/>
  <c r="L858" i="15"/>
  <c r="K858" i="15"/>
  <c r="J858" i="15"/>
  <c r="I858" i="15"/>
  <c r="H858" i="15"/>
  <c r="G858" i="15"/>
  <c r="F858" i="15"/>
  <c r="E858" i="15"/>
  <c r="D858" i="15"/>
  <c r="C858" i="15"/>
  <c r="B858" i="15"/>
  <c r="A858" i="15" s="1"/>
  <c r="N857" i="15"/>
  <c r="M857" i="15"/>
  <c r="L857" i="15"/>
  <c r="K857" i="15"/>
  <c r="J857" i="15"/>
  <c r="I857" i="15"/>
  <c r="H857" i="15"/>
  <c r="G857" i="15"/>
  <c r="F857" i="15"/>
  <c r="E857" i="15"/>
  <c r="D857" i="15"/>
  <c r="C857" i="15"/>
  <c r="B857" i="15"/>
  <c r="A857" i="15" s="1"/>
  <c r="N856" i="15"/>
  <c r="M856" i="15"/>
  <c r="L856" i="15"/>
  <c r="K856" i="15"/>
  <c r="J856" i="15"/>
  <c r="I856" i="15"/>
  <c r="H856" i="15"/>
  <c r="G856" i="15"/>
  <c r="F856" i="15"/>
  <c r="E856" i="15"/>
  <c r="D856" i="15"/>
  <c r="C856" i="15"/>
  <c r="B856" i="15"/>
  <c r="A856" i="15" s="1"/>
  <c r="N855" i="15"/>
  <c r="M855" i="15"/>
  <c r="L855" i="15"/>
  <c r="K855" i="15"/>
  <c r="J855" i="15"/>
  <c r="I855" i="15"/>
  <c r="H855" i="15"/>
  <c r="G855" i="15"/>
  <c r="F855" i="15"/>
  <c r="E855" i="15"/>
  <c r="D855" i="15"/>
  <c r="C855" i="15"/>
  <c r="B855" i="15"/>
  <c r="A855" i="15" s="1"/>
  <c r="N854" i="15"/>
  <c r="M854" i="15"/>
  <c r="L854" i="15"/>
  <c r="K854" i="15"/>
  <c r="J854" i="15"/>
  <c r="I854" i="15"/>
  <c r="H854" i="15"/>
  <c r="G854" i="15"/>
  <c r="F854" i="15"/>
  <c r="E854" i="15"/>
  <c r="D854" i="15"/>
  <c r="C854" i="15"/>
  <c r="B854" i="15"/>
  <c r="A854" i="15" s="1"/>
  <c r="N853" i="15"/>
  <c r="M853" i="15"/>
  <c r="L853" i="15"/>
  <c r="K853" i="15"/>
  <c r="J853" i="15"/>
  <c r="I853" i="15"/>
  <c r="H853" i="15"/>
  <c r="G853" i="15"/>
  <c r="F853" i="15"/>
  <c r="E853" i="15"/>
  <c r="D853" i="15"/>
  <c r="C853" i="15"/>
  <c r="B853" i="15"/>
  <c r="A853" i="15" s="1"/>
  <c r="N852" i="15"/>
  <c r="M852" i="15"/>
  <c r="L852" i="15"/>
  <c r="K852" i="15"/>
  <c r="J852" i="15"/>
  <c r="I852" i="15"/>
  <c r="H852" i="15"/>
  <c r="G852" i="15"/>
  <c r="F852" i="15"/>
  <c r="E852" i="15"/>
  <c r="D852" i="15"/>
  <c r="C852" i="15"/>
  <c r="B852" i="15"/>
  <c r="A852" i="15" s="1"/>
  <c r="N851" i="15"/>
  <c r="M851" i="15"/>
  <c r="L851" i="15"/>
  <c r="K851" i="15"/>
  <c r="J851" i="15"/>
  <c r="I851" i="15"/>
  <c r="H851" i="15"/>
  <c r="G851" i="15"/>
  <c r="F851" i="15"/>
  <c r="E851" i="15"/>
  <c r="D851" i="15"/>
  <c r="C851" i="15"/>
  <c r="B851" i="15"/>
  <c r="A851" i="15" s="1"/>
  <c r="N850" i="15"/>
  <c r="M850" i="15"/>
  <c r="L850" i="15"/>
  <c r="K850" i="15"/>
  <c r="J850" i="15"/>
  <c r="I850" i="15"/>
  <c r="H850" i="15"/>
  <c r="G850" i="15"/>
  <c r="F850" i="15"/>
  <c r="E850" i="15"/>
  <c r="D850" i="15"/>
  <c r="C850" i="15"/>
  <c r="B850" i="15"/>
  <c r="A850" i="15" s="1"/>
  <c r="N849" i="15"/>
  <c r="M849" i="15"/>
  <c r="L849" i="15"/>
  <c r="K849" i="15"/>
  <c r="J849" i="15"/>
  <c r="I849" i="15"/>
  <c r="H849" i="15"/>
  <c r="G849" i="15"/>
  <c r="F849" i="15"/>
  <c r="E849" i="15"/>
  <c r="D849" i="15"/>
  <c r="C849" i="15"/>
  <c r="B849" i="15"/>
  <c r="A849" i="15" s="1"/>
  <c r="N848" i="15"/>
  <c r="M848" i="15"/>
  <c r="L848" i="15"/>
  <c r="K848" i="15"/>
  <c r="J848" i="15"/>
  <c r="I848" i="15"/>
  <c r="H848" i="15"/>
  <c r="G848" i="15"/>
  <c r="F848" i="15"/>
  <c r="E848" i="15"/>
  <c r="D848" i="15"/>
  <c r="C848" i="15"/>
  <c r="B848" i="15"/>
  <c r="A848" i="15" s="1"/>
  <c r="N847" i="15"/>
  <c r="M847" i="15"/>
  <c r="L847" i="15"/>
  <c r="K847" i="15"/>
  <c r="J847" i="15"/>
  <c r="I847" i="15"/>
  <c r="H847" i="15"/>
  <c r="G847" i="15"/>
  <c r="F847" i="15"/>
  <c r="E847" i="15"/>
  <c r="D847" i="15"/>
  <c r="C847" i="15"/>
  <c r="B847" i="15"/>
  <c r="A847" i="15" s="1"/>
  <c r="N846" i="15"/>
  <c r="M846" i="15"/>
  <c r="L846" i="15"/>
  <c r="K846" i="15"/>
  <c r="J846" i="15"/>
  <c r="I846" i="15"/>
  <c r="H846" i="15"/>
  <c r="G846" i="15"/>
  <c r="F846" i="15"/>
  <c r="E846" i="15"/>
  <c r="D846" i="15"/>
  <c r="C846" i="15"/>
  <c r="B846" i="15"/>
  <c r="A846" i="15" s="1"/>
  <c r="N845" i="15"/>
  <c r="M845" i="15"/>
  <c r="L845" i="15"/>
  <c r="K845" i="15"/>
  <c r="J845" i="15"/>
  <c r="I845" i="15"/>
  <c r="H845" i="15"/>
  <c r="G845" i="15"/>
  <c r="F845" i="15"/>
  <c r="E845" i="15"/>
  <c r="D845" i="15"/>
  <c r="C845" i="15"/>
  <c r="B845" i="15"/>
  <c r="A845" i="15" s="1"/>
  <c r="N844" i="15"/>
  <c r="M844" i="15"/>
  <c r="L844" i="15"/>
  <c r="K844" i="15"/>
  <c r="J844" i="15"/>
  <c r="I844" i="15"/>
  <c r="H844" i="15"/>
  <c r="G844" i="15"/>
  <c r="F844" i="15"/>
  <c r="E844" i="15"/>
  <c r="D844" i="15"/>
  <c r="C844" i="15"/>
  <c r="B844" i="15"/>
  <c r="A844" i="15" s="1"/>
  <c r="N843" i="15"/>
  <c r="M843" i="15"/>
  <c r="L843" i="15"/>
  <c r="K843" i="15"/>
  <c r="J843" i="15"/>
  <c r="I843" i="15"/>
  <c r="H843" i="15"/>
  <c r="G843" i="15"/>
  <c r="F843" i="15"/>
  <c r="E843" i="15"/>
  <c r="D843" i="15"/>
  <c r="C843" i="15"/>
  <c r="B843" i="15"/>
  <c r="A843" i="15" s="1"/>
  <c r="N842" i="15"/>
  <c r="M842" i="15"/>
  <c r="L842" i="15"/>
  <c r="K842" i="15"/>
  <c r="J842" i="15"/>
  <c r="I842" i="15"/>
  <c r="H842" i="15"/>
  <c r="G842" i="15"/>
  <c r="F842" i="15"/>
  <c r="E842" i="15"/>
  <c r="D842" i="15"/>
  <c r="C842" i="15"/>
  <c r="B842" i="15"/>
  <c r="A842" i="15" s="1"/>
  <c r="N841" i="15"/>
  <c r="M841" i="15"/>
  <c r="L841" i="15"/>
  <c r="K841" i="15"/>
  <c r="J841" i="15"/>
  <c r="I841" i="15"/>
  <c r="H841" i="15"/>
  <c r="G841" i="15"/>
  <c r="F841" i="15"/>
  <c r="E841" i="15"/>
  <c r="D841" i="15"/>
  <c r="C841" i="15"/>
  <c r="B841" i="15"/>
  <c r="A841" i="15" s="1"/>
  <c r="N840" i="15"/>
  <c r="M840" i="15"/>
  <c r="L840" i="15"/>
  <c r="K840" i="15"/>
  <c r="J840" i="15"/>
  <c r="I840" i="15"/>
  <c r="H840" i="15"/>
  <c r="G840" i="15"/>
  <c r="F840" i="15"/>
  <c r="E840" i="15"/>
  <c r="D840" i="15"/>
  <c r="C840" i="15"/>
  <c r="B840" i="15"/>
  <c r="A840" i="15" s="1"/>
  <c r="N839" i="15"/>
  <c r="M839" i="15"/>
  <c r="L839" i="15"/>
  <c r="K839" i="15"/>
  <c r="J839" i="15"/>
  <c r="I839" i="15"/>
  <c r="H839" i="15"/>
  <c r="G839" i="15"/>
  <c r="F839" i="15"/>
  <c r="E839" i="15"/>
  <c r="D839" i="15"/>
  <c r="C839" i="15"/>
  <c r="B839" i="15"/>
  <c r="A839" i="15" s="1"/>
  <c r="N838" i="15"/>
  <c r="M838" i="15"/>
  <c r="L838" i="15"/>
  <c r="K838" i="15"/>
  <c r="J838" i="15"/>
  <c r="I838" i="15"/>
  <c r="H838" i="15"/>
  <c r="G838" i="15"/>
  <c r="F838" i="15"/>
  <c r="E838" i="15"/>
  <c r="D838" i="15"/>
  <c r="C838" i="15"/>
  <c r="B838" i="15"/>
  <c r="A838" i="15" s="1"/>
  <c r="N837" i="15"/>
  <c r="M837" i="15"/>
  <c r="L837" i="15"/>
  <c r="K837" i="15"/>
  <c r="J837" i="15"/>
  <c r="I837" i="15"/>
  <c r="H837" i="15"/>
  <c r="G837" i="15"/>
  <c r="F837" i="15"/>
  <c r="E837" i="15"/>
  <c r="D837" i="15"/>
  <c r="C837" i="15"/>
  <c r="B837" i="15"/>
  <c r="A837" i="15" s="1"/>
  <c r="N836" i="15"/>
  <c r="M836" i="15"/>
  <c r="L836" i="15"/>
  <c r="K836" i="15"/>
  <c r="J836" i="15"/>
  <c r="I836" i="15"/>
  <c r="H836" i="15"/>
  <c r="G836" i="15"/>
  <c r="F836" i="15"/>
  <c r="E836" i="15"/>
  <c r="D836" i="15"/>
  <c r="C836" i="15"/>
  <c r="B836" i="15"/>
  <c r="A836" i="15" s="1"/>
  <c r="N835" i="15"/>
  <c r="M835" i="15"/>
  <c r="L835" i="15"/>
  <c r="K835" i="15"/>
  <c r="J835" i="15"/>
  <c r="I835" i="15"/>
  <c r="H835" i="15"/>
  <c r="G835" i="15"/>
  <c r="F835" i="15"/>
  <c r="E835" i="15"/>
  <c r="D835" i="15"/>
  <c r="C835" i="15"/>
  <c r="B835" i="15"/>
  <c r="A835" i="15" s="1"/>
  <c r="N834" i="15"/>
  <c r="M834" i="15"/>
  <c r="L834" i="15"/>
  <c r="K834" i="15"/>
  <c r="J834" i="15"/>
  <c r="I834" i="15"/>
  <c r="H834" i="15"/>
  <c r="G834" i="15"/>
  <c r="F834" i="15"/>
  <c r="E834" i="15"/>
  <c r="D834" i="15"/>
  <c r="C834" i="15"/>
  <c r="B834" i="15"/>
  <c r="A834" i="15" s="1"/>
  <c r="N833" i="15"/>
  <c r="M833" i="15"/>
  <c r="L833" i="15"/>
  <c r="K833" i="15"/>
  <c r="J833" i="15"/>
  <c r="I833" i="15"/>
  <c r="H833" i="15"/>
  <c r="G833" i="15"/>
  <c r="F833" i="15"/>
  <c r="E833" i="15"/>
  <c r="D833" i="15"/>
  <c r="C833" i="15"/>
  <c r="B833" i="15"/>
  <c r="A833" i="15" s="1"/>
  <c r="N832" i="15"/>
  <c r="M832" i="15"/>
  <c r="L832" i="15"/>
  <c r="K832" i="15"/>
  <c r="J832" i="15"/>
  <c r="I832" i="15"/>
  <c r="H832" i="15"/>
  <c r="G832" i="15"/>
  <c r="F832" i="15"/>
  <c r="E832" i="15"/>
  <c r="D832" i="15"/>
  <c r="C832" i="15"/>
  <c r="B832" i="15"/>
  <c r="A832" i="15" s="1"/>
  <c r="N831" i="15"/>
  <c r="M831" i="15"/>
  <c r="L831" i="15"/>
  <c r="K831" i="15"/>
  <c r="J831" i="15"/>
  <c r="I831" i="15"/>
  <c r="H831" i="15"/>
  <c r="G831" i="15"/>
  <c r="F831" i="15"/>
  <c r="E831" i="15"/>
  <c r="D831" i="15"/>
  <c r="C831" i="15"/>
  <c r="B831" i="15"/>
  <c r="A831" i="15" s="1"/>
  <c r="N830" i="15"/>
  <c r="M830" i="15"/>
  <c r="L830" i="15"/>
  <c r="K830" i="15"/>
  <c r="J830" i="15"/>
  <c r="I830" i="15"/>
  <c r="H830" i="15"/>
  <c r="G830" i="15"/>
  <c r="F830" i="15"/>
  <c r="E830" i="15"/>
  <c r="D830" i="15"/>
  <c r="C830" i="15"/>
  <c r="B830" i="15"/>
  <c r="A830" i="15" s="1"/>
  <c r="N829" i="15"/>
  <c r="M829" i="15"/>
  <c r="L829" i="15"/>
  <c r="K829" i="15"/>
  <c r="J829" i="15"/>
  <c r="I829" i="15"/>
  <c r="H829" i="15"/>
  <c r="G829" i="15"/>
  <c r="F829" i="15"/>
  <c r="E829" i="15"/>
  <c r="D829" i="15"/>
  <c r="C829" i="15"/>
  <c r="B829" i="15"/>
  <c r="A829" i="15" s="1"/>
  <c r="N828" i="15"/>
  <c r="M828" i="15"/>
  <c r="L828" i="15"/>
  <c r="K828" i="15"/>
  <c r="J828" i="15"/>
  <c r="I828" i="15"/>
  <c r="H828" i="15"/>
  <c r="G828" i="15"/>
  <c r="F828" i="15"/>
  <c r="E828" i="15"/>
  <c r="D828" i="15"/>
  <c r="C828" i="15"/>
  <c r="B828" i="15"/>
  <c r="A828" i="15" s="1"/>
  <c r="N827" i="15"/>
  <c r="M827" i="15"/>
  <c r="L827" i="15"/>
  <c r="K827" i="15"/>
  <c r="J827" i="15"/>
  <c r="I827" i="15"/>
  <c r="H827" i="15"/>
  <c r="G827" i="15"/>
  <c r="F827" i="15"/>
  <c r="E827" i="15"/>
  <c r="D827" i="15"/>
  <c r="C827" i="15"/>
  <c r="B827" i="15"/>
  <c r="A827" i="15" s="1"/>
  <c r="N826" i="15"/>
  <c r="M826" i="15"/>
  <c r="L826" i="15"/>
  <c r="K826" i="15"/>
  <c r="J826" i="15"/>
  <c r="I826" i="15"/>
  <c r="H826" i="15"/>
  <c r="G826" i="15"/>
  <c r="F826" i="15"/>
  <c r="E826" i="15"/>
  <c r="D826" i="15"/>
  <c r="C826" i="15"/>
  <c r="B826" i="15"/>
  <c r="A826" i="15" s="1"/>
  <c r="N825" i="15"/>
  <c r="M825" i="15"/>
  <c r="L825" i="15"/>
  <c r="K825" i="15"/>
  <c r="J825" i="15"/>
  <c r="I825" i="15"/>
  <c r="H825" i="15"/>
  <c r="G825" i="15"/>
  <c r="F825" i="15"/>
  <c r="E825" i="15"/>
  <c r="D825" i="15"/>
  <c r="C825" i="15"/>
  <c r="B825" i="15"/>
  <c r="A825" i="15" s="1"/>
  <c r="N824" i="15"/>
  <c r="M824" i="15"/>
  <c r="L824" i="15"/>
  <c r="K824" i="15"/>
  <c r="J824" i="15"/>
  <c r="I824" i="15"/>
  <c r="H824" i="15"/>
  <c r="G824" i="15"/>
  <c r="F824" i="15"/>
  <c r="E824" i="15"/>
  <c r="D824" i="15"/>
  <c r="C824" i="15"/>
  <c r="B824" i="15"/>
  <c r="A824" i="15" s="1"/>
  <c r="N823" i="15"/>
  <c r="M823" i="15"/>
  <c r="L823" i="15"/>
  <c r="K823" i="15"/>
  <c r="J823" i="15"/>
  <c r="I823" i="15"/>
  <c r="H823" i="15"/>
  <c r="G823" i="15"/>
  <c r="F823" i="15"/>
  <c r="E823" i="15"/>
  <c r="D823" i="15"/>
  <c r="C823" i="15"/>
  <c r="B823" i="15"/>
  <c r="A823" i="15" s="1"/>
  <c r="N822" i="15"/>
  <c r="M822" i="15"/>
  <c r="L822" i="15"/>
  <c r="K822" i="15"/>
  <c r="J822" i="15"/>
  <c r="I822" i="15"/>
  <c r="H822" i="15"/>
  <c r="G822" i="15"/>
  <c r="F822" i="15"/>
  <c r="E822" i="15"/>
  <c r="D822" i="15"/>
  <c r="C822" i="15"/>
  <c r="B822" i="15"/>
  <c r="A822" i="15" s="1"/>
  <c r="N821" i="15"/>
  <c r="M821" i="15"/>
  <c r="L821" i="15"/>
  <c r="K821" i="15"/>
  <c r="J821" i="15"/>
  <c r="I821" i="15"/>
  <c r="H821" i="15"/>
  <c r="G821" i="15"/>
  <c r="F821" i="15"/>
  <c r="E821" i="15"/>
  <c r="D821" i="15"/>
  <c r="C821" i="15"/>
  <c r="B821" i="15"/>
  <c r="A821" i="15" s="1"/>
  <c r="N820" i="15"/>
  <c r="M820" i="15"/>
  <c r="L820" i="15"/>
  <c r="K820" i="15"/>
  <c r="J820" i="15"/>
  <c r="I820" i="15"/>
  <c r="H820" i="15"/>
  <c r="G820" i="15"/>
  <c r="F820" i="15"/>
  <c r="E820" i="15"/>
  <c r="D820" i="15"/>
  <c r="C820" i="15"/>
  <c r="B820" i="15"/>
  <c r="A820" i="15" s="1"/>
  <c r="N819" i="15"/>
  <c r="M819" i="15"/>
  <c r="L819" i="15"/>
  <c r="K819" i="15"/>
  <c r="J819" i="15"/>
  <c r="I819" i="15"/>
  <c r="H819" i="15"/>
  <c r="G819" i="15"/>
  <c r="F819" i="15"/>
  <c r="E819" i="15"/>
  <c r="D819" i="15"/>
  <c r="C819" i="15"/>
  <c r="B819" i="15"/>
  <c r="A819" i="15" s="1"/>
  <c r="N818" i="15"/>
  <c r="M818" i="15"/>
  <c r="L818" i="15"/>
  <c r="K818" i="15"/>
  <c r="J818" i="15"/>
  <c r="I818" i="15"/>
  <c r="H818" i="15"/>
  <c r="G818" i="15"/>
  <c r="F818" i="15"/>
  <c r="E818" i="15"/>
  <c r="D818" i="15"/>
  <c r="C818" i="15"/>
  <c r="B818" i="15"/>
  <c r="A818" i="15" s="1"/>
  <c r="N817" i="15"/>
  <c r="M817" i="15"/>
  <c r="L817" i="15"/>
  <c r="K817" i="15"/>
  <c r="J817" i="15"/>
  <c r="I817" i="15"/>
  <c r="H817" i="15"/>
  <c r="G817" i="15"/>
  <c r="F817" i="15"/>
  <c r="E817" i="15"/>
  <c r="D817" i="15"/>
  <c r="C817" i="15"/>
  <c r="B817" i="15"/>
  <c r="A817" i="15" s="1"/>
  <c r="N816" i="15"/>
  <c r="M816" i="15"/>
  <c r="L816" i="15"/>
  <c r="K816" i="15"/>
  <c r="J816" i="15"/>
  <c r="I816" i="15"/>
  <c r="H816" i="15"/>
  <c r="G816" i="15"/>
  <c r="F816" i="15"/>
  <c r="E816" i="15"/>
  <c r="D816" i="15"/>
  <c r="C816" i="15"/>
  <c r="B816" i="15"/>
  <c r="A816" i="15" s="1"/>
  <c r="N815" i="15"/>
  <c r="M815" i="15"/>
  <c r="L815" i="15"/>
  <c r="K815" i="15"/>
  <c r="J815" i="15"/>
  <c r="I815" i="15"/>
  <c r="H815" i="15"/>
  <c r="G815" i="15"/>
  <c r="F815" i="15"/>
  <c r="E815" i="15"/>
  <c r="D815" i="15"/>
  <c r="C815" i="15"/>
  <c r="B815" i="15"/>
  <c r="A815" i="15" s="1"/>
  <c r="N814" i="15"/>
  <c r="M814" i="15"/>
  <c r="L814" i="15"/>
  <c r="K814" i="15"/>
  <c r="J814" i="15"/>
  <c r="I814" i="15"/>
  <c r="H814" i="15"/>
  <c r="G814" i="15"/>
  <c r="F814" i="15"/>
  <c r="E814" i="15"/>
  <c r="D814" i="15"/>
  <c r="C814" i="15"/>
  <c r="B814" i="15"/>
  <c r="A814" i="15" s="1"/>
  <c r="N813" i="15"/>
  <c r="M813" i="15"/>
  <c r="L813" i="15"/>
  <c r="K813" i="15"/>
  <c r="J813" i="15"/>
  <c r="I813" i="15"/>
  <c r="H813" i="15"/>
  <c r="G813" i="15"/>
  <c r="F813" i="15"/>
  <c r="E813" i="15"/>
  <c r="D813" i="15"/>
  <c r="C813" i="15"/>
  <c r="B813" i="15"/>
  <c r="A813" i="15" s="1"/>
  <c r="N812" i="15"/>
  <c r="M812" i="15"/>
  <c r="L812" i="15"/>
  <c r="K812" i="15"/>
  <c r="J812" i="15"/>
  <c r="I812" i="15"/>
  <c r="H812" i="15"/>
  <c r="G812" i="15"/>
  <c r="F812" i="15"/>
  <c r="E812" i="15"/>
  <c r="D812" i="15"/>
  <c r="C812" i="15"/>
  <c r="B812" i="15"/>
  <c r="A812" i="15" s="1"/>
  <c r="N811" i="15"/>
  <c r="M811" i="15"/>
  <c r="L811" i="15"/>
  <c r="K811" i="15"/>
  <c r="J811" i="15"/>
  <c r="I811" i="15"/>
  <c r="H811" i="15"/>
  <c r="G811" i="15"/>
  <c r="F811" i="15"/>
  <c r="E811" i="15"/>
  <c r="D811" i="15"/>
  <c r="C811" i="15"/>
  <c r="B811" i="15"/>
  <c r="A811" i="15" s="1"/>
  <c r="N810" i="15"/>
  <c r="M810" i="15"/>
  <c r="L810" i="15"/>
  <c r="K810" i="15"/>
  <c r="J810" i="15"/>
  <c r="I810" i="15"/>
  <c r="H810" i="15"/>
  <c r="G810" i="15"/>
  <c r="F810" i="15"/>
  <c r="E810" i="15"/>
  <c r="D810" i="15"/>
  <c r="C810" i="15"/>
  <c r="B810" i="15"/>
  <c r="A810" i="15" s="1"/>
  <c r="N809" i="15"/>
  <c r="M809" i="15"/>
  <c r="L809" i="15"/>
  <c r="K809" i="15"/>
  <c r="J809" i="15"/>
  <c r="I809" i="15"/>
  <c r="H809" i="15"/>
  <c r="G809" i="15"/>
  <c r="F809" i="15"/>
  <c r="E809" i="15"/>
  <c r="D809" i="15"/>
  <c r="C809" i="15"/>
  <c r="B809" i="15"/>
  <c r="A809" i="15" s="1"/>
  <c r="N808" i="15"/>
  <c r="M808" i="15"/>
  <c r="L808" i="15"/>
  <c r="K808" i="15"/>
  <c r="J808" i="15"/>
  <c r="I808" i="15"/>
  <c r="H808" i="15"/>
  <c r="G808" i="15"/>
  <c r="F808" i="15"/>
  <c r="E808" i="15"/>
  <c r="D808" i="15"/>
  <c r="C808" i="15"/>
  <c r="B808" i="15"/>
  <c r="A808" i="15" s="1"/>
  <c r="N807" i="15"/>
  <c r="M807" i="15"/>
  <c r="L807" i="15"/>
  <c r="K807" i="15"/>
  <c r="J807" i="15"/>
  <c r="I807" i="15"/>
  <c r="H807" i="15"/>
  <c r="G807" i="15"/>
  <c r="F807" i="15"/>
  <c r="E807" i="15"/>
  <c r="D807" i="15"/>
  <c r="C807" i="15"/>
  <c r="B807" i="15"/>
  <c r="A807" i="15" s="1"/>
  <c r="N806" i="15"/>
  <c r="M806" i="15"/>
  <c r="L806" i="15"/>
  <c r="K806" i="15"/>
  <c r="J806" i="15"/>
  <c r="I806" i="15"/>
  <c r="H806" i="15"/>
  <c r="G806" i="15"/>
  <c r="F806" i="15"/>
  <c r="E806" i="15"/>
  <c r="D806" i="15"/>
  <c r="C806" i="15"/>
  <c r="B806" i="15"/>
  <c r="A806" i="15" s="1"/>
  <c r="N805" i="15"/>
  <c r="M805" i="15"/>
  <c r="L805" i="15"/>
  <c r="K805" i="15"/>
  <c r="J805" i="15"/>
  <c r="I805" i="15"/>
  <c r="H805" i="15"/>
  <c r="G805" i="15"/>
  <c r="F805" i="15"/>
  <c r="E805" i="15"/>
  <c r="D805" i="15"/>
  <c r="C805" i="15"/>
  <c r="B805" i="15"/>
  <c r="A805" i="15" s="1"/>
  <c r="N804" i="15"/>
  <c r="M804" i="15"/>
  <c r="L804" i="15"/>
  <c r="K804" i="15"/>
  <c r="J804" i="15"/>
  <c r="I804" i="15"/>
  <c r="H804" i="15"/>
  <c r="G804" i="15"/>
  <c r="F804" i="15"/>
  <c r="E804" i="15"/>
  <c r="D804" i="15"/>
  <c r="C804" i="15"/>
  <c r="B804" i="15"/>
  <c r="A804" i="15" s="1"/>
  <c r="N803" i="15"/>
  <c r="M803" i="15"/>
  <c r="L803" i="15"/>
  <c r="K803" i="15"/>
  <c r="J803" i="15"/>
  <c r="I803" i="15"/>
  <c r="H803" i="15"/>
  <c r="G803" i="15"/>
  <c r="F803" i="15"/>
  <c r="E803" i="15"/>
  <c r="D803" i="15"/>
  <c r="C803" i="15"/>
  <c r="B803" i="15"/>
  <c r="A803" i="15" s="1"/>
  <c r="N802" i="15"/>
  <c r="M802" i="15"/>
  <c r="L802" i="15"/>
  <c r="K802" i="15"/>
  <c r="J802" i="15"/>
  <c r="I802" i="15"/>
  <c r="H802" i="15"/>
  <c r="G802" i="15"/>
  <c r="F802" i="15"/>
  <c r="E802" i="15"/>
  <c r="D802" i="15"/>
  <c r="C802" i="15"/>
  <c r="B802" i="15"/>
  <c r="A802" i="15" s="1"/>
  <c r="N801" i="15"/>
  <c r="M801" i="15"/>
  <c r="L801" i="15"/>
  <c r="K801" i="15"/>
  <c r="J801" i="15"/>
  <c r="I801" i="15"/>
  <c r="H801" i="15"/>
  <c r="G801" i="15"/>
  <c r="F801" i="15"/>
  <c r="E801" i="15"/>
  <c r="D801" i="15"/>
  <c r="C801" i="15"/>
  <c r="B801" i="15"/>
  <c r="A801" i="15" s="1"/>
  <c r="N800" i="15"/>
  <c r="M800" i="15"/>
  <c r="L800" i="15"/>
  <c r="K800" i="15"/>
  <c r="J800" i="15"/>
  <c r="I800" i="15"/>
  <c r="H800" i="15"/>
  <c r="G800" i="15"/>
  <c r="F800" i="15"/>
  <c r="E800" i="15"/>
  <c r="D800" i="15"/>
  <c r="C800" i="15"/>
  <c r="B800" i="15"/>
  <c r="A800" i="15" s="1"/>
  <c r="N799" i="15"/>
  <c r="M799" i="15"/>
  <c r="L799" i="15"/>
  <c r="K799" i="15"/>
  <c r="J799" i="15"/>
  <c r="I799" i="15"/>
  <c r="H799" i="15"/>
  <c r="G799" i="15"/>
  <c r="F799" i="15"/>
  <c r="E799" i="15"/>
  <c r="D799" i="15"/>
  <c r="C799" i="15"/>
  <c r="B799" i="15"/>
  <c r="A799" i="15" s="1"/>
  <c r="N798" i="15"/>
  <c r="M798" i="15"/>
  <c r="L798" i="15"/>
  <c r="K798" i="15"/>
  <c r="J798" i="15"/>
  <c r="I798" i="15"/>
  <c r="H798" i="15"/>
  <c r="G798" i="15"/>
  <c r="F798" i="15"/>
  <c r="E798" i="15"/>
  <c r="D798" i="15"/>
  <c r="C798" i="15"/>
  <c r="B798" i="15"/>
  <c r="A798" i="15" s="1"/>
  <c r="N797" i="15"/>
  <c r="M797" i="15"/>
  <c r="L797" i="15"/>
  <c r="K797" i="15"/>
  <c r="J797" i="15"/>
  <c r="I797" i="15"/>
  <c r="H797" i="15"/>
  <c r="G797" i="15"/>
  <c r="F797" i="15"/>
  <c r="E797" i="15"/>
  <c r="D797" i="15"/>
  <c r="C797" i="15"/>
  <c r="B797" i="15"/>
  <c r="A797" i="15" s="1"/>
  <c r="N796" i="15"/>
  <c r="M796" i="15"/>
  <c r="L796" i="15"/>
  <c r="K796" i="15"/>
  <c r="J796" i="15"/>
  <c r="I796" i="15"/>
  <c r="H796" i="15"/>
  <c r="G796" i="15"/>
  <c r="F796" i="15"/>
  <c r="E796" i="15"/>
  <c r="D796" i="15"/>
  <c r="C796" i="15"/>
  <c r="B796" i="15"/>
  <c r="A796" i="15" s="1"/>
  <c r="N795" i="15"/>
  <c r="M795" i="15"/>
  <c r="L795" i="15"/>
  <c r="K795" i="15"/>
  <c r="J795" i="15"/>
  <c r="I795" i="15"/>
  <c r="H795" i="15"/>
  <c r="G795" i="15"/>
  <c r="F795" i="15"/>
  <c r="E795" i="15"/>
  <c r="D795" i="15"/>
  <c r="C795" i="15"/>
  <c r="B795" i="15"/>
  <c r="A795" i="15" s="1"/>
  <c r="N794" i="15"/>
  <c r="M794" i="15"/>
  <c r="L794" i="15"/>
  <c r="K794" i="15"/>
  <c r="J794" i="15"/>
  <c r="I794" i="15"/>
  <c r="H794" i="15"/>
  <c r="G794" i="15"/>
  <c r="F794" i="15"/>
  <c r="E794" i="15"/>
  <c r="D794" i="15"/>
  <c r="C794" i="15"/>
  <c r="B794" i="15"/>
  <c r="A794" i="15" s="1"/>
  <c r="N793" i="15"/>
  <c r="M793" i="15"/>
  <c r="L793" i="15"/>
  <c r="K793" i="15"/>
  <c r="J793" i="15"/>
  <c r="I793" i="15"/>
  <c r="H793" i="15"/>
  <c r="G793" i="15"/>
  <c r="F793" i="15"/>
  <c r="E793" i="15"/>
  <c r="D793" i="15"/>
  <c r="C793" i="15"/>
  <c r="B793" i="15"/>
  <c r="A793" i="15" s="1"/>
  <c r="N792" i="15"/>
  <c r="M792" i="15"/>
  <c r="L792" i="15"/>
  <c r="K792" i="15"/>
  <c r="J792" i="15"/>
  <c r="I792" i="15"/>
  <c r="H792" i="15"/>
  <c r="G792" i="15"/>
  <c r="F792" i="15"/>
  <c r="E792" i="15"/>
  <c r="D792" i="15"/>
  <c r="C792" i="15"/>
  <c r="B792" i="15"/>
  <c r="A792" i="15" s="1"/>
  <c r="N791" i="15"/>
  <c r="M791" i="15"/>
  <c r="L791" i="15"/>
  <c r="K791" i="15"/>
  <c r="J791" i="15"/>
  <c r="I791" i="15"/>
  <c r="H791" i="15"/>
  <c r="G791" i="15"/>
  <c r="F791" i="15"/>
  <c r="E791" i="15"/>
  <c r="D791" i="15"/>
  <c r="C791" i="15"/>
  <c r="B791" i="15"/>
  <c r="A791" i="15" s="1"/>
  <c r="N790" i="15"/>
  <c r="M790" i="15"/>
  <c r="L790" i="15"/>
  <c r="K790" i="15"/>
  <c r="J790" i="15"/>
  <c r="I790" i="15"/>
  <c r="H790" i="15"/>
  <c r="G790" i="15"/>
  <c r="F790" i="15"/>
  <c r="E790" i="15"/>
  <c r="D790" i="15"/>
  <c r="C790" i="15"/>
  <c r="B790" i="15"/>
  <c r="A790" i="15" s="1"/>
  <c r="N789" i="15"/>
  <c r="M789" i="15"/>
  <c r="L789" i="15"/>
  <c r="K789" i="15"/>
  <c r="J789" i="15"/>
  <c r="I789" i="15"/>
  <c r="H789" i="15"/>
  <c r="G789" i="15"/>
  <c r="F789" i="15"/>
  <c r="E789" i="15"/>
  <c r="D789" i="15"/>
  <c r="C789" i="15"/>
  <c r="B789" i="15"/>
  <c r="A789" i="15" s="1"/>
  <c r="N788" i="15"/>
  <c r="M788" i="15"/>
  <c r="L788" i="15"/>
  <c r="K788" i="15"/>
  <c r="J788" i="15"/>
  <c r="I788" i="15"/>
  <c r="H788" i="15"/>
  <c r="G788" i="15"/>
  <c r="F788" i="15"/>
  <c r="E788" i="15"/>
  <c r="D788" i="15"/>
  <c r="C788" i="15"/>
  <c r="B788" i="15"/>
  <c r="A788" i="15" s="1"/>
  <c r="N787" i="15"/>
  <c r="M787" i="15"/>
  <c r="L787" i="15"/>
  <c r="K787" i="15"/>
  <c r="J787" i="15"/>
  <c r="I787" i="15"/>
  <c r="H787" i="15"/>
  <c r="G787" i="15"/>
  <c r="F787" i="15"/>
  <c r="E787" i="15"/>
  <c r="D787" i="15"/>
  <c r="C787" i="15"/>
  <c r="B787" i="15"/>
  <c r="A787" i="15" s="1"/>
  <c r="N786" i="15"/>
  <c r="M786" i="15"/>
  <c r="L786" i="15"/>
  <c r="K786" i="15"/>
  <c r="J786" i="15"/>
  <c r="I786" i="15"/>
  <c r="H786" i="15"/>
  <c r="G786" i="15"/>
  <c r="F786" i="15"/>
  <c r="E786" i="15"/>
  <c r="D786" i="15"/>
  <c r="C786" i="15"/>
  <c r="B786" i="15"/>
  <c r="A786" i="15" s="1"/>
  <c r="N785" i="15"/>
  <c r="M785" i="15"/>
  <c r="L785" i="15"/>
  <c r="K785" i="15"/>
  <c r="J785" i="15"/>
  <c r="I785" i="15"/>
  <c r="H785" i="15"/>
  <c r="G785" i="15"/>
  <c r="F785" i="15"/>
  <c r="E785" i="15"/>
  <c r="D785" i="15"/>
  <c r="C785" i="15"/>
  <c r="B785" i="15"/>
  <c r="A785" i="15" s="1"/>
  <c r="N784" i="15"/>
  <c r="M784" i="15"/>
  <c r="L784" i="15"/>
  <c r="K784" i="15"/>
  <c r="J784" i="15"/>
  <c r="I784" i="15"/>
  <c r="H784" i="15"/>
  <c r="G784" i="15"/>
  <c r="F784" i="15"/>
  <c r="E784" i="15"/>
  <c r="D784" i="15"/>
  <c r="C784" i="15"/>
  <c r="B784" i="15"/>
  <c r="A784" i="15" s="1"/>
  <c r="N783" i="15"/>
  <c r="M783" i="15"/>
  <c r="L783" i="15"/>
  <c r="K783" i="15"/>
  <c r="J783" i="15"/>
  <c r="I783" i="15"/>
  <c r="H783" i="15"/>
  <c r="G783" i="15"/>
  <c r="F783" i="15"/>
  <c r="E783" i="15"/>
  <c r="D783" i="15"/>
  <c r="C783" i="15"/>
  <c r="B783" i="15"/>
  <c r="A783" i="15" s="1"/>
  <c r="N782" i="15"/>
  <c r="M782" i="15"/>
  <c r="L782" i="15"/>
  <c r="K782" i="15"/>
  <c r="J782" i="15"/>
  <c r="I782" i="15"/>
  <c r="H782" i="15"/>
  <c r="G782" i="15"/>
  <c r="F782" i="15"/>
  <c r="E782" i="15"/>
  <c r="D782" i="15"/>
  <c r="C782" i="15"/>
  <c r="B782" i="15"/>
  <c r="A782" i="15" s="1"/>
  <c r="N781" i="15"/>
  <c r="M781" i="15"/>
  <c r="L781" i="15"/>
  <c r="K781" i="15"/>
  <c r="J781" i="15"/>
  <c r="I781" i="15"/>
  <c r="H781" i="15"/>
  <c r="G781" i="15"/>
  <c r="F781" i="15"/>
  <c r="E781" i="15"/>
  <c r="D781" i="15"/>
  <c r="C781" i="15"/>
  <c r="B781" i="15"/>
  <c r="A781" i="15" s="1"/>
  <c r="N780" i="15"/>
  <c r="M780" i="15"/>
  <c r="L780" i="15"/>
  <c r="K780" i="15"/>
  <c r="J780" i="15"/>
  <c r="I780" i="15"/>
  <c r="H780" i="15"/>
  <c r="G780" i="15"/>
  <c r="F780" i="15"/>
  <c r="E780" i="15"/>
  <c r="D780" i="15"/>
  <c r="C780" i="15"/>
  <c r="B780" i="15"/>
  <c r="A780" i="15" s="1"/>
  <c r="N779" i="15"/>
  <c r="M779" i="15"/>
  <c r="L779" i="15"/>
  <c r="K779" i="15"/>
  <c r="J779" i="15"/>
  <c r="I779" i="15"/>
  <c r="H779" i="15"/>
  <c r="G779" i="15"/>
  <c r="F779" i="15"/>
  <c r="E779" i="15"/>
  <c r="D779" i="15"/>
  <c r="C779" i="15"/>
  <c r="B779" i="15"/>
  <c r="A779" i="15" s="1"/>
  <c r="N778" i="15"/>
  <c r="M778" i="15"/>
  <c r="L778" i="15"/>
  <c r="K778" i="15"/>
  <c r="J778" i="15"/>
  <c r="I778" i="15"/>
  <c r="H778" i="15"/>
  <c r="G778" i="15"/>
  <c r="F778" i="15"/>
  <c r="E778" i="15"/>
  <c r="D778" i="15"/>
  <c r="C778" i="15"/>
  <c r="B778" i="15"/>
  <c r="A778" i="15" s="1"/>
  <c r="N777" i="15"/>
  <c r="M777" i="15"/>
  <c r="L777" i="15"/>
  <c r="K777" i="15"/>
  <c r="J777" i="15"/>
  <c r="I777" i="15"/>
  <c r="H777" i="15"/>
  <c r="G777" i="15"/>
  <c r="F777" i="15"/>
  <c r="E777" i="15"/>
  <c r="D777" i="15"/>
  <c r="C777" i="15"/>
  <c r="B777" i="15"/>
  <c r="A777" i="15" s="1"/>
  <c r="N776" i="15"/>
  <c r="M776" i="15"/>
  <c r="L776" i="15"/>
  <c r="K776" i="15"/>
  <c r="J776" i="15"/>
  <c r="I776" i="15"/>
  <c r="H776" i="15"/>
  <c r="G776" i="15"/>
  <c r="F776" i="15"/>
  <c r="E776" i="15"/>
  <c r="D776" i="15"/>
  <c r="C776" i="15"/>
  <c r="B776" i="15"/>
  <c r="A776" i="15" s="1"/>
  <c r="N775" i="15"/>
  <c r="M775" i="15"/>
  <c r="L775" i="15"/>
  <c r="K775" i="15"/>
  <c r="J775" i="15"/>
  <c r="I775" i="15"/>
  <c r="H775" i="15"/>
  <c r="G775" i="15"/>
  <c r="F775" i="15"/>
  <c r="E775" i="15"/>
  <c r="D775" i="15"/>
  <c r="C775" i="15"/>
  <c r="B775" i="15"/>
  <c r="A775" i="15" s="1"/>
  <c r="N774" i="15"/>
  <c r="M774" i="15"/>
  <c r="L774" i="15"/>
  <c r="K774" i="15"/>
  <c r="J774" i="15"/>
  <c r="I774" i="15"/>
  <c r="H774" i="15"/>
  <c r="G774" i="15"/>
  <c r="F774" i="15"/>
  <c r="E774" i="15"/>
  <c r="D774" i="15"/>
  <c r="C774" i="15"/>
  <c r="B774" i="15"/>
  <c r="A774" i="15" s="1"/>
  <c r="N773" i="15"/>
  <c r="M773" i="15"/>
  <c r="L773" i="15"/>
  <c r="K773" i="15"/>
  <c r="J773" i="15"/>
  <c r="I773" i="15"/>
  <c r="H773" i="15"/>
  <c r="G773" i="15"/>
  <c r="F773" i="15"/>
  <c r="E773" i="15"/>
  <c r="D773" i="15"/>
  <c r="C773" i="15"/>
  <c r="B773" i="15"/>
  <c r="A773" i="15" s="1"/>
  <c r="N772" i="15"/>
  <c r="M772" i="15"/>
  <c r="L772" i="15"/>
  <c r="K772" i="15"/>
  <c r="J772" i="15"/>
  <c r="I772" i="15"/>
  <c r="H772" i="15"/>
  <c r="G772" i="15"/>
  <c r="F772" i="15"/>
  <c r="E772" i="15"/>
  <c r="D772" i="15"/>
  <c r="C772" i="15"/>
  <c r="B772" i="15"/>
  <c r="A772" i="15" s="1"/>
  <c r="N771" i="15"/>
  <c r="M771" i="15"/>
  <c r="L771" i="15"/>
  <c r="K771" i="15"/>
  <c r="J771" i="15"/>
  <c r="I771" i="15"/>
  <c r="H771" i="15"/>
  <c r="G771" i="15"/>
  <c r="F771" i="15"/>
  <c r="E771" i="15"/>
  <c r="D771" i="15"/>
  <c r="C771" i="15"/>
  <c r="B771" i="15"/>
  <c r="A771" i="15" s="1"/>
  <c r="N770" i="15"/>
  <c r="M770" i="15"/>
  <c r="L770" i="15"/>
  <c r="K770" i="15"/>
  <c r="J770" i="15"/>
  <c r="I770" i="15"/>
  <c r="H770" i="15"/>
  <c r="G770" i="15"/>
  <c r="F770" i="15"/>
  <c r="E770" i="15"/>
  <c r="D770" i="15"/>
  <c r="C770" i="15"/>
  <c r="B770" i="15"/>
  <c r="A770" i="15" s="1"/>
  <c r="N769" i="15"/>
  <c r="M769" i="15"/>
  <c r="L769" i="15"/>
  <c r="K769" i="15"/>
  <c r="J769" i="15"/>
  <c r="I769" i="15"/>
  <c r="H769" i="15"/>
  <c r="G769" i="15"/>
  <c r="F769" i="15"/>
  <c r="E769" i="15"/>
  <c r="D769" i="15"/>
  <c r="C769" i="15"/>
  <c r="B769" i="15"/>
  <c r="A769" i="15" s="1"/>
  <c r="N768" i="15"/>
  <c r="M768" i="15"/>
  <c r="L768" i="15"/>
  <c r="K768" i="15"/>
  <c r="J768" i="15"/>
  <c r="I768" i="15"/>
  <c r="H768" i="15"/>
  <c r="G768" i="15"/>
  <c r="F768" i="15"/>
  <c r="E768" i="15"/>
  <c r="D768" i="15"/>
  <c r="C768" i="15"/>
  <c r="B768" i="15"/>
  <c r="A768" i="15" s="1"/>
  <c r="N767" i="15"/>
  <c r="M767" i="15"/>
  <c r="L767" i="15"/>
  <c r="K767" i="15"/>
  <c r="J767" i="15"/>
  <c r="I767" i="15"/>
  <c r="H767" i="15"/>
  <c r="G767" i="15"/>
  <c r="F767" i="15"/>
  <c r="E767" i="15"/>
  <c r="D767" i="15"/>
  <c r="C767" i="15"/>
  <c r="B767" i="15"/>
  <c r="A767" i="15" s="1"/>
  <c r="N766" i="15"/>
  <c r="M766" i="15"/>
  <c r="L766" i="15"/>
  <c r="K766" i="15"/>
  <c r="J766" i="15"/>
  <c r="I766" i="15"/>
  <c r="H766" i="15"/>
  <c r="G766" i="15"/>
  <c r="F766" i="15"/>
  <c r="E766" i="15"/>
  <c r="D766" i="15"/>
  <c r="C766" i="15"/>
  <c r="B766" i="15"/>
  <c r="A766" i="15" s="1"/>
  <c r="N765" i="15"/>
  <c r="M765" i="15"/>
  <c r="L765" i="15"/>
  <c r="K765" i="15"/>
  <c r="J765" i="15"/>
  <c r="I765" i="15"/>
  <c r="H765" i="15"/>
  <c r="G765" i="15"/>
  <c r="F765" i="15"/>
  <c r="E765" i="15"/>
  <c r="D765" i="15"/>
  <c r="C765" i="15"/>
  <c r="B765" i="15"/>
  <c r="A765" i="15" s="1"/>
  <c r="N764" i="15"/>
  <c r="M764" i="15"/>
  <c r="L764" i="15"/>
  <c r="K764" i="15"/>
  <c r="J764" i="15"/>
  <c r="I764" i="15"/>
  <c r="H764" i="15"/>
  <c r="G764" i="15"/>
  <c r="F764" i="15"/>
  <c r="E764" i="15"/>
  <c r="D764" i="15"/>
  <c r="C764" i="15"/>
  <c r="B764" i="15"/>
  <c r="A764" i="15" s="1"/>
  <c r="N763" i="15"/>
  <c r="M763" i="15"/>
  <c r="L763" i="15"/>
  <c r="K763" i="15"/>
  <c r="J763" i="15"/>
  <c r="I763" i="15"/>
  <c r="H763" i="15"/>
  <c r="G763" i="15"/>
  <c r="F763" i="15"/>
  <c r="E763" i="15"/>
  <c r="D763" i="15"/>
  <c r="C763" i="15"/>
  <c r="B763" i="15"/>
  <c r="A763" i="15" s="1"/>
  <c r="N762" i="15"/>
  <c r="M762" i="15"/>
  <c r="L762" i="15"/>
  <c r="K762" i="15"/>
  <c r="J762" i="15"/>
  <c r="I762" i="15"/>
  <c r="H762" i="15"/>
  <c r="G762" i="15"/>
  <c r="F762" i="15"/>
  <c r="E762" i="15"/>
  <c r="D762" i="15"/>
  <c r="C762" i="15"/>
  <c r="B762" i="15"/>
  <c r="A762" i="15" s="1"/>
  <c r="N761" i="15"/>
  <c r="M761" i="15"/>
  <c r="L761" i="15"/>
  <c r="K761" i="15"/>
  <c r="J761" i="15"/>
  <c r="I761" i="15"/>
  <c r="H761" i="15"/>
  <c r="G761" i="15"/>
  <c r="F761" i="15"/>
  <c r="E761" i="15"/>
  <c r="D761" i="15"/>
  <c r="C761" i="15"/>
  <c r="B761" i="15"/>
  <c r="A761" i="15" s="1"/>
  <c r="N760" i="15"/>
  <c r="M760" i="15"/>
  <c r="L760" i="15"/>
  <c r="K760" i="15"/>
  <c r="J760" i="15"/>
  <c r="I760" i="15"/>
  <c r="H760" i="15"/>
  <c r="G760" i="15"/>
  <c r="F760" i="15"/>
  <c r="E760" i="15"/>
  <c r="D760" i="15"/>
  <c r="C760" i="15"/>
  <c r="B760" i="15"/>
  <c r="A760" i="15" s="1"/>
  <c r="N759" i="15"/>
  <c r="M759" i="15"/>
  <c r="L759" i="15"/>
  <c r="K759" i="15"/>
  <c r="J759" i="15"/>
  <c r="I759" i="15"/>
  <c r="H759" i="15"/>
  <c r="G759" i="15"/>
  <c r="F759" i="15"/>
  <c r="E759" i="15"/>
  <c r="D759" i="15"/>
  <c r="C759" i="15"/>
  <c r="B759" i="15"/>
  <c r="A759" i="15" s="1"/>
  <c r="N758" i="15"/>
  <c r="M758" i="15"/>
  <c r="L758" i="15"/>
  <c r="K758" i="15"/>
  <c r="J758" i="15"/>
  <c r="I758" i="15"/>
  <c r="H758" i="15"/>
  <c r="G758" i="15"/>
  <c r="F758" i="15"/>
  <c r="E758" i="15"/>
  <c r="D758" i="15"/>
  <c r="C758" i="15"/>
  <c r="B758" i="15"/>
  <c r="A758" i="15" s="1"/>
  <c r="N757" i="15"/>
  <c r="M757" i="15"/>
  <c r="L757" i="15"/>
  <c r="K757" i="15"/>
  <c r="J757" i="15"/>
  <c r="I757" i="15"/>
  <c r="H757" i="15"/>
  <c r="G757" i="15"/>
  <c r="F757" i="15"/>
  <c r="E757" i="15"/>
  <c r="D757" i="15"/>
  <c r="C757" i="15"/>
  <c r="B757" i="15"/>
  <c r="A757" i="15" s="1"/>
  <c r="N756" i="15"/>
  <c r="M756" i="15"/>
  <c r="L756" i="15"/>
  <c r="K756" i="15"/>
  <c r="J756" i="15"/>
  <c r="I756" i="15"/>
  <c r="H756" i="15"/>
  <c r="G756" i="15"/>
  <c r="F756" i="15"/>
  <c r="E756" i="15"/>
  <c r="D756" i="15"/>
  <c r="C756" i="15"/>
  <c r="B756" i="15"/>
  <c r="A756" i="15" s="1"/>
  <c r="N755" i="15"/>
  <c r="M755" i="15"/>
  <c r="L755" i="15"/>
  <c r="K755" i="15"/>
  <c r="J755" i="15"/>
  <c r="I755" i="15"/>
  <c r="H755" i="15"/>
  <c r="G755" i="15"/>
  <c r="F755" i="15"/>
  <c r="E755" i="15"/>
  <c r="D755" i="15"/>
  <c r="C755" i="15"/>
  <c r="B755" i="15"/>
  <c r="A755" i="15" s="1"/>
  <c r="N754" i="15"/>
  <c r="M754" i="15"/>
  <c r="L754" i="15"/>
  <c r="K754" i="15"/>
  <c r="J754" i="15"/>
  <c r="I754" i="15"/>
  <c r="H754" i="15"/>
  <c r="G754" i="15"/>
  <c r="F754" i="15"/>
  <c r="E754" i="15"/>
  <c r="D754" i="15"/>
  <c r="C754" i="15"/>
  <c r="B754" i="15"/>
  <c r="A754" i="15" s="1"/>
  <c r="N753" i="15"/>
  <c r="M753" i="15"/>
  <c r="L753" i="15"/>
  <c r="K753" i="15"/>
  <c r="J753" i="15"/>
  <c r="I753" i="15"/>
  <c r="H753" i="15"/>
  <c r="G753" i="15"/>
  <c r="F753" i="15"/>
  <c r="E753" i="15"/>
  <c r="D753" i="15"/>
  <c r="C753" i="15"/>
  <c r="B753" i="15"/>
  <c r="A753" i="15" s="1"/>
  <c r="N752" i="15"/>
  <c r="M752" i="15"/>
  <c r="L752" i="15"/>
  <c r="K752" i="15"/>
  <c r="J752" i="15"/>
  <c r="I752" i="15"/>
  <c r="H752" i="15"/>
  <c r="G752" i="15"/>
  <c r="F752" i="15"/>
  <c r="E752" i="15"/>
  <c r="D752" i="15"/>
  <c r="C752" i="15"/>
  <c r="B752" i="15"/>
  <c r="A752" i="15" s="1"/>
  <c r="N751" i="15"/>
  <c r="M751" i="15"/>
  <c r="L751" i="15"/>
  <c r="K751" i="15"/>
  <c r="J751" i="15"/>
  <c r="I751" i="15"/>
  <c r="H751" i="15"/>
  <c r="G751" i="15"/>
  <c r="F751" i="15"/>
  <c r="E751" i="15"/>
  <c r="D751" i="15"/>
  <c r="C751" i="15"/>
  <c r="B751" i="15"/>
  <c r="A751" i="15" s="1"/>
  <c r="N750" i="15"/>
  <c r="M750" i="15"/>
  <c r="L750" i="15"/>
  <c r="K750" i="15"/>
  <c r="J750" i="15"/>
  <c r="I750" i="15"/>
  <c r="H750" i="15"/>
  <c r="G750" i="15"/>
  <c r="F750" i="15"/>
  <c r="E750" i="15"/>
  <c r="D750" i="15"/>
  <c r="C750" i="15"/>
  <c r="B750" i="15"/>
  <c r="A750" i="15" s="1"/>
  <c r="N749" i="15"/>
  <c r="M749" i="15"/>
  <c r="L749" i="15"/>
  <c r="K749" i="15"/>
  <c r="J749" i="15"/>
  <c r="I749" i="15"/>
  <c r="H749" i="15"/>
  <c r="G749" i="15"/>
  <c r="F749" i="15"/>
  <c r="E749" i="15"/>
  <c r="D749" i="15"/>
  <c r="C749" i="15"/>
  <c r="B749" i="15"/>
  <c r="A749" i="15" s="1"/>
  <c r="N748" i="15"/>
  <c r="M748" i="15"/>
  <c r="L748" i="15"/>
  <c r="K748" i="15"/>
  <c r="J748" i="15"/>
  <c r="I748" i="15"/>
  <c r="H748" i="15"/>
  <c r="G748" i="15"/>
  <c r="F748" i="15"/>
  <c r="E748" i="15"/>
  <c r="D748" i="15"/>
  <c r="C748" i="15"/>
  <c r="B748" i="15"/>
  <c r="A748" i="15" s="1"/>
  <c r="N747" i="15"/>
  <c r="M747" i="15"/>
  <c r="L747" i="15"/>
  <c r="K747" i="15"/>
  <c r="J747" i="15"/>
  <c r="I747" i="15"/>
  <c r="H747" i="15"/>
  <c r="G747" i="15"/>
  <c r="F747" i="15"/>
  <c r="E747" i="15"/>
  <c r="D747" i="15"/>
  <c r="C747" i="15"/>
  <c r="B747" i="15"/>
  <c r="A747" i="15" s="1"/>
  <c r="N746" i="15"/>
  <c r="M746" i="15"/>
  <c r="L746" i="15"/>
  <c r="K746" i="15"/>
  <c r="J746" i="15"/>
  <c r="I746" i="15"/>
  <c r="H746" i="15"/>
  <c r="G746" i="15"/>
  <c r="F746" i="15"/>
  <c r="E746" i="15"/>
  <c r="D746" i="15"/>
  <c r="C746" i="15"/>
  <c r="B746" i="15"/>
  <c r="A746" i="15" s="1"/>
  <c r="N745" i="15"/>
  <c r="M745" i="15"/>
  <c r="L745" i="15"/>
  <c r="K745" i="15"/>
  <c r="J745" i="15"/>
  <c r="I745" i="15"/>
  <c r="H745" i="15"/>
  <c r="G745" i="15"/>
  <c r="F745" i="15"/>
  <c r="E745" i="15"/>
  <c r="D745" i="15"/>
  <c r="C745" i="15"/>
  <c r="B745" i="15"/>
  <c r="A745" i="15" s="1"/>
  <c r="N744" i="15"/>
  <c r="M744" i="15"/>
  <c r="L744" i="15"/>
  <c r="K744" i="15"/>
  <c r="J744" i="15"/>
  <c r="I744" i="15"/>
  <c r="H744" i="15"/>
  <c r="G744" i="15"/>
  <c r="F744" i="15"/>
  <c r="E744" i="15"/>
  <c r="D744" i="15"/>
  <c r="C744" i="15"/>
  <c r="B744" i="15"/>
  <c r="A744" i="15" s="1"/>
  <c r="N743" i="15"/>
  <c r="M743" i="15"/>
  <c r="L743" i="15"/>
  <c r="K743" i="15"/>
  <c r="J743" i="15"/>
  <c r="I743" i="15"/>
  <c r="H743" i="15"/>
  <c r="G743" i="15"/>
  <c r="F743" i="15"/>
  <c r="E743" i="15"/>
  <c r="D743" i="15"/>
  <c r="C743" i="15"/>
  <c r="B743" i="15"/>
  <c r="A743" i="15" s="1"/>
  <c r="N742" i="15"/>
  <c r="M742" i="15"/>
  <c r="L742" i="15"/>
  <c r="K742" i="15"/>
  <c r="J742" i="15"/>
  <c r="I742" i="15"/>
  <c r="H742" i="15"/>
  <c r="G742" i="15"/>
  <c r="F742" i="15"/>
  <c r="E742" i="15"/>
  <c r="D742" i="15"/>
  <c r="C742" i="15"/>
  <c r="B742" i="15"/>
  <c r="A742" i="15" s="1"/>
  <c r="N741" i="15"/>
  <c r="M741" i="15"/>
  <c r="L741" i="15"/>
  <c r="K741" i="15"/>
  <c r="J741" i="15"/>
  <c r="I741" i="15"/>
  <c r="H741" i="15"/>
  <c r="G741" i="15"/>
  <c r="F741" i="15"/>
  <c r="E741" i="15"/>
  <c r="D741" i="15"/>
  <c r="C741" i="15"/>
  <c r="B741" i="15"/>
  <c r="A741" i="15" s="1"/>
  <c r="N740" i="15"/>
  <c r="M740" i="15"/>
  <c r="L740" i="15"/>
  <c r="K740" i="15"/>
  <c r="J740" i="15"/>
  <c r="I740" i="15"/>
  <c r="H740" i="15"/>
  <c r="G740" i="15"/>
  <c r="F740" i="15"/>
  <c r="E740" i="15"/>
  <c r="D740" i="15"/>
  <c r="C740" i="15"/>
  <c r="B740" i="15"/>
  <c r="A740" i="15" s="1"/>
  <c r="N739" i="15"/>
  <c r="M739" i="15"/>
  <c r="L739" i="15"/>
  <c r="K739" i="15"/>
  <c r="J739" i="15"/>
  <c r="I739" i="15"/>
  <c r="H739" i="15"/>
  <c r="G739" i="15"/>
  <c r="F739" i="15"/>
  <c r="E739" i="15"/>
  <c r="D739" i="15"/>
  <c r="C739" i="15"/>
  <c r="B739" i="15"/>
  <c r="A739" i="15" s="1"/>
  <c r="N738" i="15"/>
  <c r="M738" i="15"/>
  <c r="L738" i="15"/>
  <c r="K738" i="15"/>
  <c r="J738" i="15"/>
  <c r="I738" i="15"/>
  <c r="H738" i="15"/>
  <c r="G738" i="15"/>
  <c r="F738" i="15"/>
  <c r="E738" i="15"/>
  <c r="D738" i="15"/>
  <c r="C738" i="15"/>
  <c r="B738" i="15"/>
  <c r="A738" i="15" s="1"/>
  <c r="N737" i="15"/>
  <c r="M737" i="15"/>
  <c r="L737" i="15"/>
  <c r="K737" i="15"/>
  <c r="J737" i="15"/>
  <c r="I737" i="15"/>
  <c r="H737" i="15"/>
  <c r="G737" i="15"/>
  <c r="F737" i="15"/>
  <c r="E737" i="15"/>
  <c r="D737" i="15"/>
  <c r="C737" i="15"/>
  <c r="B737" i="15"/>
  <c r="A737" i="15" s="1"/>
  <c r="N736" i="15"/>
  <c r="M736" i="15"/>
  <c r="L736" i="15"/>
  <c r="K736" i="15"/>
  <c r="J736" i="15"/>
  <c r="I736" i="15"/>
  <c r="H736" i="15"/>
  <c r="G736" i="15"/>
  <c r="F736" i="15"/>
  <c r="E736" i="15"/>
  <c r="D736" i="15"/>
  <c r="C736" i="15"/>
  <c r="B736" i="15"/>
  <c r="A736" i="15" s="1"/>
  <c r="N735" i="15"/>
  <c r="M735" i="15"/>
  <c r="L735" i="15"/>
  <c r="K735" i="15"/>
  <c r="J735" i="15"/>
  <c r="I735" i="15"/>
  <c r="H735" i="15"/>
  <c r="G735" i="15"/>
  <c r="F735" i="15"/>
  <c r="E735" i="15"/>
  <c r="D735" i="15"/>
  <c r="C735" i="15"/>
  <c r="B735" i="15"/>
  <c r="A735" i="15" s="1"/>
  <c r="N734" i="15"/>
  <c r="M734" i="15"/>
  <c r="L734" i="15"/>
  <c r="K734" i="15"/>
  <c r="J734" i="15"/>
  <c r="I734" i="15"/>
  <c r="H734" i="15"/>
  <c r="G734" i="15"/>
  <c r="F734" i="15"/>
  <c r="E734" i="15"/>
  <c r="D734" i="15"/>
  <c r="C734" i="15"/>
  <c r="B734" i="15"/>
  <c r="A734" i="15" s="1"/>
  <c r="N733" i="15"/>
  <c r="M733" i="15"/>
  <c r="L733" i="15"/>
  <c r="K733" i="15"/>
  <c r="J733" i="15"/>
  <c r="I733" i="15"/>
  <c r="H733" i="15"/>
  <c r="G733" i="15"/>
  <c r="F733" i="15"/>
  <c r="E733" i="15"/>
  <c r="D733" i="15"/>
  <c r="C733" i="15"/>
  <c r="B733" i="15"/>
  <c r="A733" i="15" s="1"/>
  <c r="N732" i="15"/>
  <c r="M732" i="15"/>
  <c r="L732" i="15"/>
  <c r="K732" i="15"/>
  <c r="J732" i="15"/>
  <c r="I732" i="15"/>
  <c r="H732" i="15"/>
  <c r="G732" i="15"/>
  <c r="F732" i="15"/>
  <c r="E732" i="15"/>
  <c r="D732" i="15"/>
  <c r="C732" i="15"/>
  <c r="B732" i="15"/>
  <c r="A732" i="15" s="1"/>
  <c r="N731" i="15"/>
  <c r="M731" i="15"/>
  <c r="L731" i="15"/>
  <c r="K731" i="15"/>
  <c r="J731" i="15"/>
  <c r="I731" i="15"/>
  <c r="H731" i="15"/>
  <c r="G731" i="15"/>
  <c r="F731" i="15"/>
  <c r="E731" i="15"/>
  <c r="D731" i="15"/>
  <c r="C731" i="15"/>
  <c r="B731" i="15"/>
  <c r="A731" i="15" s="1"/>
  <c r="N730" i="15"/>
  <c r="M730" i="15"/>
  <c r="L730" i="15"/>
  <c r="K730" i="15"/>
  <c r="J730" i="15"/>
  <c r="I730" i="15"/>
  <c r="H730" i="15"/>
  <c r="G730" i="15"/>
  <c r="F730" i="15"/>
  <c r="E730" i="15"/>
  <c r="D730" i="15"/>
  <c r="C730" i="15"/>
  <c r="B730" i="15"/>
  <c r="A730" i="15" s="1"/>
  <c r="N729" i="15"/>
  <c r="M729" i="15"/>
  <c r="L729" i="15"/>
  <c r="K729" i="15"/>
  <c r="J729" i="15"/>
  <c r="I729" i="15"/>
  <c r="H729" i="15"/>
  <c r="G729" i="15"/>
  <c r="F729" i="15"/>
  <c r="E729" i="15"/>
  <c r="D729" i="15"/>
  <c r="C729" i="15"/>
  <c r="B729" i="15"/>
  <c r="A729" i="15" s="1"/>
  <c r="N728" i="15"/>
  <c r="M728" i="15"/>
  <c r="L728" i="15"/>
  <c r="K728" i="15"/>
  <c r="J728" i="15"/>
  <c r="I728" i="15"/>
  <c r="H728" i="15"/>
  <c r="G728" i="15"/>
  <c r="F728" i="15"/>
  <c r="E728" i="15"/>
  <c r="D728" i="15"/>
  <c r="C728" i="15"/>
  <c r="B728" i="15"/>
  <c r="A728" i="15" s="1"/>
  <c r="N727" i="15"/>
  <c r="M727" i="15"/>
  <c r="L727" i="15"/>
  <c r="K727" i="15"/>
  <c r="J727" i="15"/>
  <c r="I727" i="15"/>
  <c r="H727" i="15"/>
  <c r="G727" i="15"/>
  <c r="F727" i="15"/>
  <c r="E727" i="15"/>
  <c r="D727" i="15"/>
  <c r="C727" i="15"/>
  <c r="B727" i="15"/>
  <c r="A727" i="15" s="1"/>
  <c r="N726" i="15"/>
  <c r="M726" i="15"/>
  <c r="L726" i="15"/>
  <c r="K726" i="15"/>
  <c r="J726" i="15"/>
  <c r="I726" i="15"/>
  <c r="H726" i="15"/>
  <c r="G726" i="15"/>
  <c r="F726" i="15"/>
  <c r="E726" i="15"/>
  <c r="D726" i="15"/>
  <c r="C726" i="15"/>
  <c r="B726" i="15"/>
  <c r="A726" i="15" s="1"/>
  <c r="N725" i="15"/>
  <c r="M725" i="15"/>
  <c r="L725" i="15"/>
  <c r="K725" i="15"/>
  <c r="J725" i="15"/>
  <c r="I725" i="15"/>
  <c r="H725" i="15"/>
  <c r="G725" i="15"/>
  <c r="F725" i="15"/>
  <c r="E725" i="15"/>
  <c r="D725" i="15"/>
  <c r="C725" i="15"/>
  <c r="B725" i="15"/>
  <c r="A725" i="15" s="1"/>
  <c r="N724" i="15"/>
  <c r="M724" i="15"/>
  <c r="L724" i="15"/>
  <c r="K724" i="15"/>
  <c r="J724" i="15"/>
  <c r="I724" i="15"/>
  <c r="H724" i="15"/>
  <c r="G724" i="15"/>
  <c r="F724" i="15"/>
  <c r="E724" i="15"/>
  <c r="D724" i="15"/>
  <c r="C724" i="15"/>
  <c r="B724" i="15"/>
  <c r="A724" i="15" s="1"/>
  <c r="N723" i="15"/>
  <c r="M723" i="15"/>
  <c r="L723" i="15"/>
  <c r="K723" i="15"/>
  <c r="J723" i="15"/>
  <c r="I723" i="15"/>
  <c r="H723" i="15"/>
  <c r="G723" i="15"/>
  <c r="F723" i="15"/>
  <c r="E723" i="15"/>
  <c r="D723" i="15"/>
  <c r="C723" i="15"/>
  <c r="B723" i="15"/>
  <c r="A723" i="15" s="1"/>
  <c r="N722" i="15"/>
  <c r="M722" i="15"/>
  <c r="L722" i="15"/>
  <c r="K722" i="15"/>
  <c r="J722" i="15"/>
  <c r="I722" i="15"/>
  <c r="H722" i="15"/>
  <c r="G722" i="15"/>
  <c r="F722" i="15"/>
  <c r="E722" i="15"/>
  <c r="D722" i="15"/>
  <c r="C722" i="15"/>
  <c r="B722" i="15"/>
  <c r="A722" i="15" s="1"/>
  <c r="N721" i="15"/>
  <c r="M721" i="15"/>
  <c r="L721" i="15"/>
  <c r="K721" i="15"/>
  <c r="J721" i="15"/>
  <c r="I721" i="15"/>
  <c r="H721" i="15"/>
  <c r="G721" i="15"/>
  <c r="F721" i="15"/>
  <c r="E721" i="15"/>
  <c r="D721" i="15"/>
  <c r="C721" i="15"/>
  <c r="B721" i="15"/>
  <c r="A721" i="15" s="1"/>
  <c r="N720" i="15"/>
  <c r="M720" i="15"/>
  <c r="L720" i="15"/>
  <c r="K720" i="15"/>
  <c r="J720" i="15"/>
  <c r="I720" i="15"/>
  <c r="H720" i="15"/>
  <c r="G720" i="15"/>
  <c r="F720" i="15"/>
  <c r="E720" i="15"/>
  <c r="D720" i="15"/>
  <c r="C720" i="15"/>
  <c r="B720" i="15"/>
  <c r="A720" i="15" s="1"/>
  <c r="N719" i="15"/>
  <c r="M719" i="15"/>
  <c r="L719" i="15"/>
  <c r="K719" i="15"/>
  <c r="J719" i="15"/>
  <c r="I719" i="15"/>
  <c r="H719" i="15"/>
  <c r="G719" i="15"/>
  <c r="F719" i="15"/>
  <c r="E719" i="15"/>
  <c r="D719" i="15"/>
  <c r="C719" i="15"/>
  <c r="B719" i="15"/>
  <c r="A719" i="15" s="1"/>
  <c r="N718" i="15"/>
  <c r="M718" i="15"/>
  <c r="L718" i="15"/>
  <c r="K718" i="15"/>
  <c r="J718" i="15"/>
  <c r="I718" i="15"/>
  <c r="H718" i="15"/>
  <c r="G718" i="15"/>
  <c r="F718" i="15"/>
  <c r="E718" i="15"/>
  <c r="D718" i="15"/>
  <c r="C718" i="15"/>
  <c r="B718" i="15"/>
  <c r="A718" i="15" s="1"/>
  <c r="N717" i="15"/>
  <c r="M717" i="15"/>
  <c r="L717" i="15"/>
  <c r="K717" i="15"/>
  <c r="J717" i="15"/>
  <c r="I717" i="15"/>
  <c r="H717" i="15"/>
  <c r="G717" i="15"/>
  <c r="F717" i="15"/>
  <c r="E717" i="15"/>
  <c r="D717" i="15"/>
  <c r="C717" i="15"/>
  <c r="B717" i="15"/>
  <c r="A717" i="15" s="1"/>
  <c r="N716" i="15"/>
  <c r="M716" i="15"/>
  <c r="L716" i="15"/>
  <c r="K716" i="15"/>
  <c r="J716" i="15"/>
  <c r="I716" i="15"/>
  <c r="H716" i="15"/>
  <c r="G716" i="15"/>
  <c r="F716" i="15"/>
  <c r="E716" i="15"/>
  <c r="D716" i="15"/>
  <c r="C716" i="15"/>
  <c r="B716" i="15"/>
  <c r="A716" i="15" s="1"/>
  <c r="N715" i="15"/>
  <c r="M715" i="15"/>
  <c r="L715" i="15"/>
  <c r="K715" i="15"/>
  <c r="J715" i="15"/>
  <c r="I715" i="15"/>
  <c r="H715" i="15"/>
  <c r="G715" i="15"/>
  <c r="F715" i="15"/>
  <c r="E715" i="15"/>
  <c r="D715" i="15"/>
  <c r="C715" i="15"/>
  <c r="B715" i="15"/>
  <c r="A715" i="15" s="1"/>
  <c r="N714" i="15"/>
  <c r="M714" i="15"/>
  <c r="L714" i="15"/>
  <c r="K714" i="15"/>
  <c r="J714" i="15"/>
  <c r="I714" i="15"/>
  <c r="H714" i="15"/>
  <c r="G714" i="15"/>
  <c r="F714" i="15"/>
  <c r="E714" i="15"/>
  <c r="D714" i="15"/>
  <c r="C714" i="15"/>
  <c r="B714" i="15"/>
  <c r="A714" i="15" s="1"/>
  <c r="N713" i="15"/>
  <c r="M713" i="15"/>
  <c r="L713" i="15"/>
  <c r="K713" i="15"/>
  <c r="J713" i="15"/>
  <c r="I713" i="15"/>
  <c r="H713" i="15"/>
  <c r="G713" i="15"/>
  <c r="F713" i="15"/>
  <c r="E713" i="15"/>
  <c r="D713" i="15"/>
  <c r="C713" i="15"/>
  <c r="B713" i="15"/>
  <c r="A713" i="15" s="1"/>
  <c r="N712" i="15"/>
  <c r="M712" i="15"/>
  <c r="L712" i="15"/>
  <c r="K712" i="15"/>
  <c r="J712" i="15"/>
  <c r="I712" i="15"/>
  <c r="H712" i="15"/>
  <c r="G712" i="15"/>
  <c r="F712" i="15"/>
  <c r="E712" i="15"/>
  <c r="D712" i="15"/>
  <c r="C712" i="15"/>
  <c r="B712" i="15"/>
  <c r="A712" i="15" s="1"/>
  <c r="N711" i="15"/>
  <c r="M711" i="15"/>
  <c r="L711" i="15"/>
  <c r="K711" i="15"/>
  <c r="J711" i="15"/>
  <c r="I711" i="15"/>
  <c r="H711" i="15"/>
  <c r="G711" i="15"/>
  <c r="F711" i="15"/>
  <c r="E711" i="15"/>
  <c r="D711" i="15"/>
  <c r="C711" i="15"/>
  <c r="B711" i="15"/>
  <c r="A711" i="15" s="1"/>
  <c r="N710" i="15"/>
  <c r="M710" i="15"/>
  <c r="L710" i="15"/>
  <c r="K710" i="15"/>
  <c r="J710" i="15"/>
  <c r="I710" i="15"/>
  <c r="H710" i="15"/>
  <c r="G710" i="15"/>
  <c r="F710" i="15"/>
  <c r="E710" i="15"/>
  <c r="D710" i="15"/>
  <c r="C710" i="15"/>
  <c r="B710" i="15"/>
  <c r="A710" i="15" s="1"/>
  <c r="N709" i="15"/>
  <c r="M709" i="15"/>
  <c r="L709" i="15"/>
  <c r="K709" i="15"/>
  <c r="J709" i="15"/>
  <c r="I709" i="15"/>
  <c r="H709" i="15"/>
  <c r="G709" i="15"/>
  <c r="F709" i="15"/>
  <c r="E709" i="15"/>
  <c r="D709" i="15"/>
  <c r="C709" i="15"/>
  <c r="B709" i="15"/>
  <c r="A709" i="15" s="1"/>
  <c r="N708" i="15"/>
  <c r="M708" i="15"/>
  <c r="L708" i="15"/>
  <c r="K708" i="15"/>
  <c r="J708" i="15"/>
  <c r="I708" i="15"/>
  <c r="H708" i="15"/>
  <c r="G708" i="15"/>
  <c r="F708" i="15"/>
  <c r="E708" i="15"/>
  <c r="D708" i="15"/>
  <c r="C708" i="15"/>
  <c r="B708" i="15"/>
  <c r="A708" i="15" s="1"/>
  <c r="N707" i="15"/>
  <c r="M707" i="15"/>
  <c r="L707" i="15"/>
  <c r="K707" i="15"/>
  <c r="J707" i="15"/>
  <c r="I707" i="15"/>
  <c r="H707" i="15"/>
  <c r="G707" i="15"/>
  <c r="F707" i="15"/>
  <c r="E707" i="15"/>
  <c r="D707" i="15"/>
  <c r="C707" i="15"/>
  <c r="B707" i="15"/>
  <c r="A707" i="15" s="1"/>
  <c r="N706" i="15"/>
  <c r="M706" i="15"/>
  <c r="L706" i="15"/>
  <c r="K706" i="15"/>
  <c r="J706" i="15"/>
  <c r="I706" i="15"/>
  <c r="H706" i="15"/>
  <c r="G706" i="15"/>
  <c r="F706" i="15"/>
  <c r="E706" i="15"/>
  <c r="D706" i="15"/>
  <c r="C706" i="15"/>
  <c r="B706" i="15"/>
  <c r="A706" i="15" s="1"/>
  <c r="N705" i="15"/>
  <c r="M705" i="15"/>
  <c r="L705" i="15"/>
  <c r="K705" i="15"/>
  <c r="J705" i="15"/>
  <c r="I705" i="15"/>
  <c r="H705" i="15"/>
  <c r="G705" i="15"/>
  <c r="F705" i="15"/>
  <c r="E705" i="15"/>
  <c r="D705" i="15"/>
  <c r="C705" i="15"/>
  <c r="B705" i="15"/>
  <c r="A705" i="15" s="1"/>
  <c r="N704" i="15"/>
  <c r="M704" i="15"/>
  <c r="L704" i="15"/>
  <c r="K704" i="15"/>
  <c r="J704" i="15"/>
  <c r="I704" i="15"/>
  <c r="H704" i="15"/>
  <c r="G704" i="15"/>
  <c r="F704" i="15"/>
  <c r="E704" i="15"/>
  <c r="D704" i="15"/>
  <c r="C704" i="15"/>
  <c r="B704" i="15"/>
  <c r="A704" i="15" s="1"/>
  <c r="N703" i="15"/>
  <c r="M703" i="15"/>
  <c r="L703" i="15"/>
  <c r="K703" i="15"/>
  <c r="J703" i="15"/>
  <c r="I703" i="15"/>
  <c r="H703" i="15"/>
  <c r="G703" i="15"/>
  <c r="F703" i="15"/>
  <c r="E703" i="15"/>
  <c r="D703" i="15"/>
  <c r="C703" i="15"/>
  <c r="B703" i="15"/>
  <c r="A703" i="15" s="1"/>
  <c r="N702" i="15"/>
  <c r="M702" i="15"/>
  <c r="L702" i="15"/>
  <c r="K702" i="15"/>
  <c r="J702" i="15"/>
  <c r="I702" i="15"/>
  <c r="H702" i="15"/>
  <c r="G702" i="15"/>
  <c r="F702" i="15"/>
  <c r="E702" i="15"/>
  <c r="D702" i="15"/>
  <c r="C702" i="15"/>
  <c r="B702" i="15"/>
  <c r="A702" i="15" s="1"/>
  <c r="N701" i="15"/>
  <c r="M701" i="15"/>
  <c r="L701" i="15"/>
  <c r="K701" i="15"/>
  <c r="J701" i="15"/>
  <c r="I701" i="15"/>
  <c r="H701" i="15"/>
  <c r="G701" i="15"/>
  <c r="F701" i="15"/>
  <c r="E701" i="15"/>
  <c r="D701" i="15"/>
  <c r="C701" i="15"/>
  <c r="B701" i="15"/>
  <c r="A701" i="15" s="1"/>
  <c r="N700" i="15"/>
  <c r="M700" i="15"/>
  <c r="L700" i="15"/>
  <c r="K700" i="15"/>
  <c r="J700" i="15"/>
  <c r="I700" i="15"/>
  <c r="H700" i="15"/>
  <c r="G700" i="15"/>
  <c r="F700" i="15"/>
  <c r="E700" i="15"/>
  <c r="D700" i="15"/>
  <c r="C700" i="15"/>
  <c r="B700" i="15"/>
  <c r="A700" i="15" s="1"/>
  <c r="N699" i="15"/>
  <c r="M699" i="15"/>
  <c r="L699" i="15"/>
  <c r="K699" i="15"/>
  <c r="J699" i="15"/>
  <c r="I699" i="15"/>
  <c r="H699" i="15"/>
  <c r="G699" i="15"/>
  <c r="F699" i="15"/>
  <c r="E699" i="15"/>
  <c r="D699" i="15"/>
  <c r="C699" i="15"/>
  <c r="B699" i="15"/>
  <c r="A699" i="15" s="1"/>
  <c r="N698" i="15"/>
  <c r="M698" i="15"/>
  <c r="L698" i="15"/>
  <c r="K698" i="15"/>
  <c r="J698" i="15"/>
  <c r="I698" i="15"/>
  <c r="H698" i="15"/>
  <c r="G698" i="15"/>
  <c r="F698" i="15"/>
  <c r="E698" i="15"/>
  <c r="D698" i="15"/>
  <c r="C698" i="15"/>
  <c r="B698" i="15"/>
  <c r="A698" i="15" s="1"/>
  <c r="N697" i="15"/>
  <c r="M697" i="15"/>
  <c r="L697" i="15"/>
  <c r="K697" i="15"/>
  <c r="J697" i="15"/>
  <c r="I697" i="15"/>
  <c r="H697" i="15"/>
  <c r="G697" i="15"/>
  <c r="F697" i="15"/>
  <c r="E697" i="15"/>
  <c r="D697" i="15"/>
  <c r="C697" i="15"/>
  <c r="B697" i="15"/>
  <c r="A697" i="15" s="1"/>
  <c r="N696" i="15"/>
  <c r="M696" i="15"/>
  <c r="L696" i="15"/>
  <c r="K696" i="15"/>
  <c r="J696" i="15"/>
  <c r="I696" i="15"/>
  <c r="H696" i="15"/>
  <c r="G696" i="15"/>
  <c r="F696" i="15"/>
  <c r="E696" i="15"/>
  <c r="D696" i="15"/>
  <c r="C696" i="15"/>
  <c r="B696" i="15"/>
  <c r="A696" i="15" s="1"/>
  <c r="N695" i="15"/>
  <c r="M695" i="15"/>
  <c r="L695" i="15"/>
  <c r="K695" i="15"/>
  <c r="J695" i="15"/>
  <c r="I695" i="15"/>
  <c r="H695" i="15"/>
  <c r="G695" i="15"/>
  <c r="F695" i="15"/>
  <c r="E695" i="15"/>
  <c r="D695" i="15"/>
  <c r="C695" i="15"/>
  <c r="B695" i="15"/>
  <c r="A695" i="15" s="1"/>
  <c r="N694" i="15"/>
  <c r="M694" i="15"/>
  <c r="L694" i="15"/>
  <c r="K694" i="15"/>
  <c r="J694" i="15"/>
  <c r="I694" i="15"/>
  <c r="H694" i="15"/>
  <c r="G694" i="15"/>
  <c r="F694" i="15"/>
  <c r="E694" i="15"/>
  <c r="D694" i="15"/>
  <c r="C694" i="15"/>
  <c r="B694" i="15"/>
  <c r="A694" i="15" s="1"/>
  <c r="N693" i="15"/>
  <c r="M693" i="15"/>
  <c r="L693" i="15"/>
  <c r="K693" i="15"/>
  <c r="J693" i="15"/>
  <c r="I693" i="15"/>
  <c r="H693" i="15"/>
  <c r="G693" i="15"/>
  <c r="F693" i="15"/>
  <c r="E693" i="15"/>
  <c r="D693" i="15"/>
  <c r="C693" i="15"/>
  <c r="B693" i="15"/>
  <c r="A693" i="15" s="1"/>
  <c r="N692" i="15"/>
  <c r="M692" i="15"/>
  <c r="L692" i="15"/>
  <c r="K692" i="15"/>
  <c r="J692" i="15"/>
  <c r="I692" i="15"/>
  <c r="H692" i="15"/>
  <c r="G692" i="15"/>
  <c r="F692" i="15"/>
  <c r="E692" i="15"/>
  <c r="D692" i="15"/>
  <c r="C692" i="15"/>
  <c r="B692" i="15"/>
  <c r="A692" i="15" s="1"/>
  <c r="N691" i="15"/>
  <c r="M691" i="15"/>
  <c r="L691" i="15"/>
  <c r="K691" i="15"/>
  <c r="J691" i="15"/>
  <c r="I691" i="15"/>
  <c r="H691" i="15"/>
  <c r="G691" i="15"/>
  <c r="F691" i="15"/>
  <c r="E691" i="15"/>
  <c r="D691" i="15"/>
  <c r="C691" i="15"/>
  <c r="B691" i="15"/>
  <c r="A691" i="15" s="1"/>
  <c r="N690" i="15"/>
  <c r="M690" i="15"/>
  <c r="L690" i="15"/>
  <c r="K690" i="15"/>
  <c r="J690" i="15"/>
  <c r="I690" i="15"/>
  <c r="H690" i="15"/>
  <c r="G690" i="15"/>
  <c r="F690" i="15"/>
  <c r="E690" i="15"/>
  <c r="D690" i="15"/>
  <c r="C690" i="15"/>
  <c r="B690" i="15"/>
  <c r="A690" i="15" s="1"/>
  <c r="N689" i="15"/>
  <c r="M689" i="15"/>
  <c r="L689" i="15"/>
  <c r="K689" i="15"/>
  <c r="J689" i="15"/>
  <c r="I689" i="15"/>
  <c r="H689" i="15"/>
  <c r="G689" i="15"/>
  <c r="F689" i="15"/>
  <c r="E689" i="15"/>
  <c r="D689" i="15"/>
  <c r="C689" i="15"/>
  <c r="B689" i="15"/>
  <c r="A689" i="15" s="1"/>
  <c r="N688" i="15"/>
  <c r="M688" i="15"/>
  <c r="L688" i="15"/>
  <c r="K688" i="15"/>
  <c r="J688" i="15"/>
  <c r="I688" i="15"/>
  <c r="H688" i="15"/>
  <c r="G688" i="15"/>
  <c r="F688" i="15"/>
  <c r="E688" i="15"/>
  <c r="D688" i="15"/>
  <c r="C688" i="15"/>
  <c r="B688" i="15"/>
  <c r="A688" i="15" s="1"/>
  <c r="N687" i="15"/>
  <c r="M687" i="15"/>
  <c r="L687" i="15"/>
  <c r="K687" i="15"/>
  <c r="J687" i="15"/>
  <c r="I687" i="15"/>
  <c r="H687" i="15"/>
  <c r="G687" i="15"/>
  <c r="F687" i="15"/>
  <c r="E687" i="15"/>
  <c r="D687" i="15"/>
  <c r="C687" i="15"/>
  <c r="B687" i="15"/>
  <c r="A687" i="15" s="1"/>
  <c r="N686" i="15"/>
  <c r="M686" i="15"/>
  <c r="L686" i="15"/>
  <c r="K686" i="15"/>
  <c r="J686" i="15"/>
  <c r="I686" i="15"/>
  <c r="H686" i="15"/>
  <c r="G686" i="15"/>
  <c r="F686" i="15"/>
  <c r="E686" i="15"/>
  <c r="D686" i="15"/>
  <c r="C686" i="15"/>
  <c r="B686" i="15"/>
  <c r="A686" i="15" s="1"/>
  <c r="N685" i="15"/>
  <c r="M685" i="15"/>
  <c r="L685" i="15"/>
  <c r="K685" i="15"/>
  <c r="J685" i="15"/>
  <c r="I685" i="15"/>
  <c r="H685" i="15"/>
  <c r="G685" i="15"/>
  <c r="F685" i="15"/>
  <c r="E685" i="15"/>
  <c r="D685" i="15"/>
  <c r="C685" i="15"/>
  <c r="B685" i="15"/>
  <c r="A685" i="15" s="1"/>
  <c r="N684" i="15"/>
  <c r="M684" i="15"/>
  <c r="L684" i="15"/>
  <c r="K684" i="15"/>
  <c r="J684" i="15"/>
  <c r="I684" i="15"/>
  <c r="H684" i="15"/>
  <c r="G684" i="15"/>
  <c r="F684" i="15"/>
  <c r="E684" i="15"/>
  <c r="D684" i="15"/>
  <c r="C684" i="15"/>
  <c r="B684" i="15"/>
  <c r="A684" i="15" s="1"/>
  <c r="N683" i="15"/>
  <c r="M683" i="15"/>
  <c r="L683" i="15"/>
  <c r="K683" i="15"/>
  <c r="J683" i="15"/>
  <c r="I683" i="15"/>
  <c r="H683" i="15"/>
  <c r="G683" i="15"/>
  <c r="F683" i="15"/>
  <c r="E683" i="15"/>
  <c r="D683" i="15"/>
  <c r="C683" i="15"/>
  <c r="B683" i="15"/>
  <c r="A683" i="15" s="1"/>
  <c r="N682" i="15"/>
  <c r="M682" i="15"/>
  <c r="L682" i="15"/>
  <c r="K682" i="15"/>
  <c r="J682" i="15"/>
  <c r="I682" i="15"/>
  <c r="H682" i="15"/>
  <c r="G682" i="15"/>
  <c r="F682" i="15"/>
  <c r="E682" i="15"/>
  <c r="D682" i="15"/>
  <c r="C682" i="15"/>
  <c r="B682" i="15"/>
  <c r="A682" i="15" s="1"/>
  <c r="N681" i="15"/>
  <c r="M681" i="15"/>
  <c r="L681" i="15"/>
  <c r="K681" i="15"/>
  <c r="J681" i="15"/>
  <c r="I681" i="15"/>
  <c r="H681" i="15"/>
  <c r="G681" i="15"/>
  <c r="F681" i="15"/>
  <c r="E681" i="15"/>
  <c r="D681" i="15"/>
  <c r="C681" i="15"/>
  <c r="B681" i="15"/>
  <c r="A681" i="15" s="1"/>
  <c r="N680" i="15"/>
  <c r="M680" i="15"/>
  <c r="L680" i="15"/>
  <c r="K680" i="15"/>
  <c r="J680" i="15"/>
  <c r="I680" i="15"/>
  <c r="H680" i="15"/>
  <c r="G680" i="15"/>
  <c r="F680" i="15"/>
  <c r="E680" i="15"/>
  <c r="D680" i="15"/>
  <c r="C680" i="15"/>
  <c r="B680" i="15"/>
  <c r="A680" i="15" s="1"/>
  <c r="N679" i="15"/>
  <c r="M679" i="15"/>
  <c r="L679" i="15"/>
  <c r="K679" i="15"/>
  <c r="J679" i="15"/>
  <c r="I679" i="15"/>
  <c r="H679" i="15"/>
  <c r="G679" i="15"/>
  <c r="F679" i="15"/>
  <c r="E679" i="15"/>
  <c r="D679" i="15"/>
  <c r="C679" i="15"/>
  <c r="B679" i="15"/>
  <c r="A679" i="15" s="1"/>
  <c r="N678" i="15"/>
  <c r="M678" i="15"/>
  <c r="L678" i="15"/>
  <c r="K678" i="15"/>
  <c r="J678" i="15"/>
  <c r="I678" i="15"/>
  <c r="H678" i="15"/>
  <c r="G678" i="15"/>
  <c r="F678" i="15"/>
  <c r="E678" i="15"/>
  <c r="D678" i="15"/>
  <c r="C678" i="15"/>
  <c r="B678" i="15"/>
  <c r="A678" i="15" s="1"/>
  <c r="N677" i="15"/>
  <c r="M677" i="15"/>
  <c r="L677" i="15"/>
  <c r="K677" i="15"/>
  <c r="J677" i="15"/>
  <c r="I677" i="15"/>
  <c r="H677" i="15"/>
  <c r="G677" i="15"/>
  <c r="F677" i="15"/>
  <c r="E677" i="15"/>
  <c r="D677" i="15"/>
  <c r="C677" i="15"/>
  <c r="B677" i="15"/>
  <c r="A677" i="15" s="1"/>
  <c r="N676" i="15"/>
  <c r="M676" i="15"/>
  <c r="L676" i="15"/>
  <c r="K676" i="15"/>
  <c r="J676" i="15"/>
  <c r="I676" i="15"/>
  <c r="H676" i="15"/>
  <c r="G676" i="15"/>
  <c r="F676" i="15"/>
  <c r="E676" i="15"/>
  <c r="D676" i="15"/>
  <c r="C676" i="15"/>
  <c r="B676" i="15"/>
  <c r="A676" i="15" s="1"/>
  <c r="N675" i="15"/>
  <c r="M675" i="15"/>
  <c r="L675" i="15"/>
  <c r="K675" i="15"/>
  <c r="J675" i="15"/>
  <c r="I675" i="15"/>
  <c r="H675" i="15"/>
  <c r="G675" i="15"/>
  <c r="F675" i="15"/>
  <c r="E675" i="15"/>
  <c r="D675" i="15"/>
  <c r="C675" i="15"/>
  <c r="B675" i="15"/>
  <c r="A675" i="15" s="1"/>
  <c r="N674" i="15"/>
  <c r="M674" i="15"/>
  <c r="L674" i="15"/>
  <c r="K674" i="15"/>
  <c r="J674" i="15"/>
  <c r="I674" i="15"/>
  <c r="H674" i="15"/>
  <c r="G674" i="15"/>
  <c r="F674" i="15"/>
  <c r="E674" i="15"/>
  <c r="D674" i="15"/>
  <c r="C674" i="15"/>
  <c r="B674" i="15"/>
  <c r="A674" i="15" s="1"/>
  <c r="N673" i="15"/>
  <c r="M673" i="15"/>
  <c r="L673" i="15"/>
  <c r="K673" i="15"/>
  <c r="J673" i="15"/>
  <c r="I673" i="15"/>
  <c r="H673" i="15"/>
  <c r="G673" i="15"/>
  <c r="F673" i="15"/>
  <c r="E673" i="15"/>
  <c r="D673" i="15"/>
  <c r="C673" i="15"/>
  <c r="B673" i="15"/>
  <c r="A673" i="15" s="1"/>
  <c r="N672" i="15"/>
  <c r="M672" i="15"/>
  <c r="L672" i="15"/>
  <c r="K672" i="15"/>
  <c r="J672" i="15"/>
  <c r="I672" i="15"/>
  <c r="H672" i="15"/>
  <c r="G672" i="15"/>
  <c r="F672" i="15"/>
  <c r="E672" i="15"/>
  <c r="D672" i="15"/>
  <c r="C672" i="15"/>
  <c r="B672" i="15"/>
  <c r="A672" i="15" s="1"/>
  <c r="N671" i="15"/>
  <c r="M671" i="15"/>
  <c r="L671" i="15"/>
  <c r="K671" i="15"/>
  <c r="J671" i="15"/>
  <c r="I671" i="15"/>
  <c r="H671" i="15"/>
  <c r="G671" i="15"/>
  <c r="F671" i="15"/>
  <c r="E671" i="15"/>
  <c r="D671" i="15"/>
  <c r="C671" i="15"/>
  <c r="B671" i="15"/>
  <c r="A671" i="15" s="1"/>
  <c r="N670" i="15"/>
  <c r="M670" i="15"/>
  <c r="L670" i="15"/>
  <c r="K670" i="15"/>
  <c r="J670" i="15"/>
  <c r="I670" i="15"/>
  <c r="H670" i="15"/>
  <c r="G670" i="15"/>
  <c r="F670" i="15"/>
  <c r="E670" i="15"/>
  <c r="D670" i="15"/>
  <c r="C670" i="15"/>
  <c r="B670" i="15"/>
  <c r="A670" i="15" s="1"/>
  <c r="N669" i="15"/>
  <c r="M669" i="15"/>
  <c r="L669" i="15"/>
  <c r="K669" i="15"/>
  <c r="J669" i="15"/>
  <c r="I669" i="15"/>
  <c r="H669" i="15"/>
  <c r="G669" i="15"/>
  <c r="F669" i="15"/>
  <c r="E669" i="15"/>
  <c r="D669" i="15"/>
  <c r="C669" i="15"/>
  <c r="B669" i="15"/>
  <c r="A669" i="15" s="1"/>
  <c r="N668" i="15"/>
  <c r="M668" i="15"/>
  <c r="L668" i="15"/>
  <c r="K668" i="15"/>
  <c r="J668" i="15"/>
  <c r="I668" i="15"/>
  <c r="H668" i="15"/>
  <c r="G668" i="15"/>
  <c r="F668" i="15"/>
  <c r="E668" i="15"/>
  <c r="D668" i="15"/>
  <c r="C668" i="15"/>
  <c r="B668" i="15"/>
  <c r="A668" i="15" s="1"/>
  <c r="N667" i="15"/>
  <c r="M667" i="15"/>
  <c r="L667" i="15"/>
  <c r="K667" i="15"/>
  <c r="J667" i="15"/>
  <c r="I667" i="15"/>
  <c r="H667" i="15"/>
  <c r="G667" i="15"/>
  <c r="F667" i="15"/>
  <c r="E667" i="15"/>
  <c r="D667" i="15"/>
  <c r="C667" i="15"/>
  <c r="B667" i="15"/>
  <c r="A667" i="15" s="1"/>
  <c r="N666" i="15"/>
  <c r="M666" i="15"/>
  <c r="L666" i="15"/>
  <c r="K666" i="15"/>
  <c r="J666" i="15"/>
  <c r="I666" i="15"/>
  <c r="H666" i="15"/>
  <c r="G666" i="15"/>
  <c r="F666" i="15"/>
  <c r="E666" i="15"/>
  <c r="D666" i="15"/>
  <c r="C666" i="15"/>
  <c r="B666" i="15"/>
  <c r="A666" i="15" s="1"/>
  <c r="N665" i="15"/>
  <c r="M665" i="15"/>
  <c r="L665" i="15"/>
  <c r="K665" i="15"/>
  <c r="J665" i="15"/>
  <c r="I665" i="15"/>
  <c r="H665" i="15"/>
  <c r="G665" i="15"/>
  <c r="F665" i="15"/>
  <c r="E665" i="15"/>
  <c r="D665" i="15"/>
  <c r="C665" i="15"/>
  <c r="B665" i="15"/>
  <c r="A665" i="15" s="1"/>
  <c r="N664" i="15"/>
  <c r="M664" i="15"/>
  <c r="L664" i="15"/>
  <c r="K664" i="15"/>
  <c r="J664" i="15"/>
  <c r="I664" i="15"/>
  <c r="H664" i="15"/>
  <c r="G664" i="15"/>
  <c r="F664" i="15"/>
  <c r="E664" i="15"/>
  <c r="D664" i="15"/>
  <c r="C664" i="15"/>
  <c r="B664" i="15"/>
  <c r="A664" i="15" s="1"/>
  <c r="N663" i="15"/>
  <c r="M663" i="15"/>
  <c r="L663" i="15"/>
  <c r="K663" i="15"/>
  <c r="J663" i="15"/>
  <c r="I663" i="15"/>
  <c r="H663" i="15"/>
  <c r="G663" i="15"/>
  <c r="F663" i="15"/>
  <c r="E663" i="15"/>
  <c r="D663" i="15"/>
  <c r="C663" i="15"/>
  <c r="B663" i="15"/>
  <c r="A663" i="15" s="1"/>
  <c r="N662" i="15"/>
  <c r="M662" i="15"/>
  <c r="L662" i="15"/>
  <c r="K662" i="15"/>
  <c r="J662" i="15"/>
  <c r="I662" i="15"/>
  <c r="H662" i="15"/>
  <c r="G662" i="15"/>
  <c r="F662" i="15"/>
  <c r="E662" i="15"/>
  <c r="D662" i="15"/>
  <c r="C662" i="15"/>
  <c r="B662" i="15"/>
  <c r="A662" i="15" s="1"/>
  <c r="N661" i="15"/>
  <c r="M661" i="15"/>
  <c r="L661" i="15"/>
  <c r="K661" i="15"/>
  <c r="J661" i="15"/>
  <c r="I661" i="15"/>
  <c r="H661" i="15"/>
  <c r="G661" i="15"/>
  <c r="F661" i="15"/>
  <c r="E661" i="15"/>
  <c r="D661" i="15"/>
  <c r="C661" i="15"/>
  <c r="B661" i="15"/>
  <c r="A661" i="15" s="1"/>
  <c r="N660" i="15"/>
  <c r="M660" i="15"/>
  <c r="L660" i="15"/>
  <c r="K660" i="15"/>
  <c r="J660" i="15"/>
  <c r="I660" i="15"/>
  <c r="H660" i="15"/>
  <c r="G660" i="15"/>
  <c r="F660" i="15"/>
  <c r="E660" i="15"/>
  <c r="D660" i="15"/>
  <c r="C660" i="15"/>
  <c r="B660" i="15"/>
  <c r="A660" i="15" s="1"/>
  <c r="N659" i="15"/>
  <c r="M659" i="15"/>
  <c r="L659" i="15"/>
  <c r="K659" i="15"/>
  <c r="J659" i="15"/>
  <c r="I659" i="15"/>
  <c r="H659" i="15"/>
  <c r="G659" i="15"/>
  <c r="F659" i="15"/>
  <c r="E659" i="15"/>
  <c r="D659" i="15"/>
  <c r="C659" i="15"/>
  <c r="B659" i="15"/>
  <c r="A659" i="15" s="1"/>
  <c r="N658" i="15"/>
  <c r="M658" i="15"/>
  <c r="L658" i="15"/>
  <c r="K658" i="15"/>
  <c r="J658" i="15"/>
  <c r="I658" i="15"/>
  <c r="H658" i="15"/>
  <c r="G658" i="15"/>
  <c r="F658" i="15"/>
  <c r="E658" i="15"/>
  <c r="D658" i="15"/>
  <c r="C658" i="15"/>
  <c r="B658" i="15"/>
  <c r="A658" i="15" s="1"/>
  <c r="N657" i="15"/>
  <c r="M657" i="15"/>
  <c r="L657" i="15"/>
  <c r="K657" i="15"/>
  <c r="J657" i="15"/>
  <c r="I657" i="15"/>
  <c r="H657" i="15"/>
  <c r="G657" i="15"/>
  <c r="F657" i="15"/>
  <c r="E657" i="15"/>
  <c r="D657" i="15"/>
  <c r="C657" i="15"/>
  <c r="B657" i="15"/>
  <c r="A657" i="15" s="1"/>
  <c r="N656" i="15"/>
  <c r="M656" i="15"/>
  <c r="L656" i="15"/>
  <c r="K656" i="15"/>
  <c r="J656" i="15"/>
  <c r="I656" i="15"/>
  <c r="H656" i="15"/>
  <c r="G656" i="15"/>
  <c r="F656" i="15"/>
  <c r="E656" i="15"/>
  <c r="D656" i="15"/>
  <c r="C656" i="15"/>
  <c r="B656" i="15"/>
  <c r="A656" i="15" s="1"/>
  <c r="N655" i="15"/>
  <c r="M655" i="15"/>
  <c r="L655" i="15"/>
  <c r="K655" i="15"/>
  <c r="J655" i="15"/>
  <c r="I655" i="15"/>
  <c r="H655" i="15"/>
  <c r="G655" i="15"/>
  <c r="F655" i="15"/>
  <c r="E655" i="15"/>
  <c r="D655" i="15"/>
  <c r="C655" i="15"/>
  <c r="B655" i="15"/>
  <c r="A655" i="15" s="1"/>
  <c r="N654" i="15"/>
  <c r="M654" i="15"/>
  <c r="L654" i="15"/>
  <c r="K654" i="15"/>
  <c r="J654" i="15"/>
  <c r="I654" i="15"/>
  <c r="H654" i="15"/>
  <c r="G654" i="15"/>
  <c r="F654" i="15"/>
  <c r="E654" i="15"/>
  <c r="D654" i="15"/>
  <c r="C654" i="15"/>
  <c r="B654" i="15"/>
  <c r="A654" i="15" s="1"/>
  <c r="N653" i="15"/>
  <c r="M653" i="15"/>
  <c r="L653" i="15"/>
  <c r="K653" i="15"/>
  <c r="J653" i="15"/>
  <c r="I653" i="15"/>
  <c r="H653" i="15"/>
  <c r="G653" i="15"/>
  <c r="F653" i="15"/>
  <c r="E653" i="15"/>
  <c r="D653" i="15"/>
  <c r="C653" i="15"/>
  <c r="B653" i="15"/>
  <c r="A653" i="15" s="1"/>
  <c r="N652" i="15"/>
  <c r="M652" i="15"/>
  <c r="L652" i="15"/>
  <c r="K652" i="15"/>
  <c r="J652" i="15"/>
  <c r="I652" i="15"/>
  <c r="H652" i="15"/>
  <c r="G652" i="15"/>
  <c r="F652" i="15"/>
  <c r="E652" i="15"/>
  <c r="D652" i="15"/>
  <c r="C652" i="15"/>
  <c r="B652" i="15"/>
  <c r="A652" i="15" s="1"/>
  <c r="N651" i="15"/>
  <c r="M651" i="15"/>
  <c r="L651" i="15"/>
  <c r="K651" i="15"/>
  <c r="J651" i="15"/>
  <c r="I651" i="15"/>
  <c r="H651" i="15"/>
  <c r="G651" i="15"/>
  <c r="F651" i="15"/>
  <c r="E651" i="15"/>
  <c r="D651" i="15"/>
  <c r="C651" i="15"/>
  <c r="B651" i="15"/>
  <c r="A651" i="15" s="1"/>
  <c r="N650" i="15"/>
  <c r="M650" i="15"/>
  <c r="L650" i="15"/>
  <c r="K650" i="15"/>
  <c r="J650" i="15"/>
  <c r="I650" i="15"/>
  <c r="H650" i="15"/>
  <c r="G650" i="15"/>
  <c r="F650" i="15"/>
  <c r="E650" i="15"/>
  <c r="D650" i="15"/>
  <c r="C650" i="15"/>
  <c r="B650" i="15"/>
  <c r="A650" i="15" s="1"/>
  <c r="N649" i="15"/>
  <c r="M649" i="15"/>
  <c r="L649" i="15"/>
  <c r="K649" i="15"/>
  <c r="J649" i="15"/>
  <c r="I649" i="15"/>
  <c r="H649" i="15"/>
  <c r="G649" i="15"/>
  <c r="F649" i="15"/>
  <c r="E649" i="15"/>
  <c r="D649" i="15"/>
  <c r="C649" i="15"/>
  <c r="B649" i="15"/>
  <c r="A649" i="15" s="1"/>
  <c r="N648" i="15"/>
  <c r="M648" i="15"/>
  <c r="L648" i="15"/>
  <c r="K648" i="15"/>
  <c r="J648" i="15"/>
  <c r="I648" i="15"/>
  <c r="H648" i="15"/>
  <c r="G648" i="15"/>
  <c r="F648" i="15"/>
  <c r="E648" i="15"/>
  <c r="D648" i="15"/>
  <c r="C648" i="15"/>
  <c r="B648" i="15"/>
  <c r="A648" i="15" s="1"/>
  <c r="N647" i="15"/>
  <c r="M647" i="15"/>
  <c r="L647" i="15"/>
  <c r="K647" i="15"/>
  <c r="J647" i="15"/>
  <c r="I647" i="15"/>
  <c r="H647" i="15"/>
  <c r="G647" i="15"/>
  <c r="F647" i="15"/>
  <c r="E647" i="15"/>
  <c r="D647" i="15"/>
  <c r="C647" i="15"/>
  <c r="B647" i="15"/>
  <c r="A647" i="15" s="1"/>
  <c r="N646" i="15"/>
  <c r="M646" i="15"/>
  <c r="L646" i="15"/>
  <c r="K646" i="15"/>
  <c r="J646" i="15"/>
  <c r="I646" i="15"/>
  <c r="H646" i="15"/>
  <c r="G646" i="15"/>
  <c r="F646" i="15"/>
  <c r="E646" i="15"/>
  <c r="D646" i="15"/>
  <c r="C646" i="15"/>
  <c r="B646" i="15"/>
  <c r="A646" i="15" s="1"/>
  <c r="N645" i="15"/>
  <c r="M645" i="15"/>
  <c r="L645" i="15"/>
  <c r="K645" i="15"/>
  <c r="J645" i="15"/>
  <c r="I645" i="15"/>
  <c r="H645" i="15"/>
  <c r="G645" i="15"/>
  <c r="F645" i="15"/>
  <c r="E645" i="15"/>
  <c r="D645" i="15"/>
  <c r="C645" i="15"/>
  <c r="B645" i="15"/>
  <c r="A645" i="15" s="1"/>
  <c r="N644" i="15"/>
  <c r="M644" i="15"/>
  <c r="L644" i="15"/>
  <c r="K644" i="15"/>
  <c r="J644" i="15"/>
  <c r="I644" i="15"/>
  <c r="H644" i="15"/>
  <c r="G644" i="15"/>
  <c r="F644" i="15"/>
  <c r="E644" i="15"/>
  <c r="D644" i="15"/>
  <c r="C644" i="15"/>
  <c r="B644" i="15"/>
  <c r="A644" i="15" s="1"/>
  <c r="N643" i="15"/>
  <c r="M643" i="15"/>
  <c r="L643" i="15"/>
  <c r="K643" i="15"/>
  <c r="J643" i="15"/>
  <c r="I643" i="15"/>
  <c r="H643" i="15"/>
  <c r="G643" i="15"/>
  <c r="F643" i="15"/>
  <c r="E643" i="15"/>
  <c r="D643" i="15"/>
  <c r="C643" i="15"/>
  <c r="B643" i="15"/>
  <c r="A643" i="15" s="1"/>
  <c r="N642" i="15"/>
  <c r="M642" i="15"/>
  <c r="L642" i="15"/>
  <c r="K642" i="15"/>
  <c r="J642" i="15"/>
  <c r="I642" i="15"/>
  <c r="H642" i="15"/>
  <c r="G642" i="15"/>
  <c r="F642" i="15"/>
  <c r="E642" i="15"/>
  <c r="D642" i="15"/>
  <c r="C642" i="15"/>
  <c r="B642" i="15"/>
  <c r="A642" i="15" s="1"/>
  <c r="N641" i="15"/>
  <c r="M641" i="15"/>
  <c r="L641" i="15"/>
  <c r="K641" i="15"/>
  <c r="J641" i="15"/>
  <c r="I641" i="15"/>
  <c r="H641" i="15"/>
  <c r="G641" i="15"/>
  <c r="F641" i="15"/>
  <c r="E641" i="15"/>
  <c r="D641" i="15"/>
  <c r="C641" i="15"/>
  <c r="B641" i="15"/>
  <c r="A641" i="15" s="1"/>
  <c r="N640" i="15"/>
  <c r="M640" i="15"/>
  <c r="L640" i="15"/>
  <c r="K640" i="15"/>
  <c r="J640" i="15"/>
  <c r="I640" i="15"/>
  <c r="H640" i="15"/>
  <c r="G640" i="15"/>
  <c r="F640" i="15"/>
  <c r="E640" i="15"/>
  <c r="D640" i="15"/>
  <c r="C640" i="15"/>
  <c r="B640" i="15"/>
  <c r="A640" i="15" s="1"/>
  <c r="N639" i="15"/>
  <c r="M639" i="15"/>
  <c r="L639" i="15"/>
  <c r="K639" i="15"/>
  <c r="J639" i="15"/>
  <c r="I639" i="15"/>
  <c r="H639" i="15"/>
  <c r="G639" i="15"/>
  <c r="F639" i="15"/>
  <c r="E639" i="15"/>
  <c r="D639" i="15"/>
  <c r="C639" i="15"/>
  <c r="B639" i="15"/>
  <c r="A639" i="15" s="1"/>
  <c r="N638" i="15"/>
  <c r="M638" i="15"/>
  <c r="L638" i="15"/>
  <c r="K638" i="15"/>
  <c r="J638" i="15"/>
  <c r="I638" i="15"/>
  <c r="H638" i="15"/>
  <c r="G638" i="15"/>
  <c r="F638" i="15"/>
  <c r="E638" i="15"/>
  <c r="D638" i="15"/>
  <c r="C638" i="15"/>
  <c r="B638" i="15"/>
  <c r="A638" i="15" s="1"/>
  <c r="N637" i="15"/>
  <c r="M637" i="15"/>
  <c r="L637" i="15"/>
  <c r="K637" i="15"/>
  <c r="J637" i="15"/>
  <c r="I637" i="15"/>
  <c r="H637" i="15"/>
  <c r="G637" i="15"/>
  <c r="F637" i="15"/>
  <c r="E637" i="15"/>
  <c r="D637" i="15"/>
  <c r="C637" i="15"/>
  <c r="B637" i="15"/>
  <c r="A637" i="15" s="1"/>
  <c r="N636" i="15"/>
  <c r="M636" i="15"/>
  <c r="L636" i="15"/>
  <c r="K636" i="15"/>
  <c r="J636" i="15"/>
  <c r="I636" i="15"/>
  <c r="H636" i="15"/>
  <c r="G636" i="15"/>
  <c r="F636" i="15"/>
  <c r="E636" i="15"/>
  <c r="D636" i="15"/>
  <c r="C636" i="15"/>
  <c r="B636" i="15"/>
  <c r="A636" i="15" s="1"/>
  <c r="N635" i="15"/>
  <c r="M635" i="15"/>
  <c r="L635" i="15"/>
  <c r="K635" i="15"/>
  <c r="J635" i="15"/>
  <c r="I635" i="15"/>
  <c r="H635" i="15"/>
  <c r="G635" i="15"/>
  <c r="F635" i="15"/>
  <c r="E635" i="15"/>
  <c r="D635" i="15"/>
  <c r="C635" i="15"/>
  <c r="B635" i="15"/>
  <c r="A635" i="15" s="1"/>
  <c r="N634" i="15"/>
  <c r="M634" i="15"/>
  <c r="L634" i="15"/>
  <c r="K634" i="15"/>
  <c r="J634" i="15"/>
  <c r="I634" i="15"/>
  <c r="H634" i="15"/>
  <c r="G634" i="15"/>
  <c r="F634" i="15"/>
  <c r="E634" i="15"/>
  <c r="D634" i="15"/>
  <c r="C634" i="15"/>
  <c r="B634" i="15"/>
  <c r="A634" i="15" s="1"/>
  <c r="N633" i="15"/>
  <c r="M633" i="15"/>
  <c r="L633" i="15"/>
  <c r="K633" i="15"/>
  <c r="J633" i="15"/>
  <c r="I633" i="15"/>
  <c r="H633" i="15"/>
  <c r="G633" i="15"/>
  <c r="F633" i="15"/>
  <c r="E633" i="15"/>
  <c r="D633" i="15"/>
  <c r="C633" i="15"/>
  <c r="B633" i="15"/>
  <c r="A633" i="15" s="1"/>
  <c r="N632" i="15"/>
  <c r="M632" i="15"/>
  <c r="L632" i="15"/>
  <c r="K632" i="15"/>
  <c r="J632" i="15"/>
  <c r="I632" i="15"/>
  <c r="H632" i="15"/>
  <c r="G632" i="15"/>
  <c r="F632" i="15"/>
  <c r="E632" i="15"/>
  <c r="D632" i="15"/>
  <c r="C632" i="15"/>
  <c r="B632" i="15"/>
  <c r="A632" i="15" s="1"/>
  <c r="N631" i="15"/>
  <c r="M631" i="15"/>
  <c r="L631" i="15"/>
  <c r="K631" i="15"/>
  <c r="J631" i="15"/>
  <c r="I631" i="15"/>
  <c r="H631" i="15"/>
  <c r="G631" i="15"/>
  <c r="F631" i="15"/>
  <c r="E631" i="15"/>
  <c r="D631" i="15"/>
  <c r="C631" i="15"/>
  <c r="B631" i="15"/>
  <c r="A631" i="15" s="1"/>
  <c r="N630" i="15"/>
  <c r="M630" i="15"/>
  <c r="L630" i="15"/>
  <c r="K630" i="15"/>
  <c r="J630" i="15"/>
  <c r="I630" i="15"/>
  <c r="H630" i="15"/>
  <c r="G630" i="15"/>
  <c r="F630" i="15"/>
  <c r="E630" i="15"/>
  <c r="D630" i="15"/>
  <c r="C630" i="15"/>
  <c r="B630" i="15"/>
  <c r="A630" i="15" s="1"/>
  <c r="N629" i="15"/>
  <c r="M629" i="15"/>
  <c r="L629" i="15"/>
  <c r="K629" i="15"/>
  <c r="J629" i="15"/>
  <c r="I629" i="15"/>
  <c r="H629" i="15"/>
  <c r="G629" i="15"/>
  <c r="F629" i="15"/>
  <c r="E629" i="15"/>
  <c r="D629" i="15"/>
  <c r="C629" i="15"/>
  <c r="B629" i="15"/>
  <c r="A629" i="15" s="1"/>
  <c r="N628" i="15"/>
  <c r="M628" i="15"/>
  <c r="L628" i="15"/>
  <c r="K628" i="15"/>
  <c r="J628" i="15"/>
  <c r="I628" i="15"/>
  <c r="H628" i="15"/>
  <c r="G628" i="15"/>
  <c r="F628" i="15"/>
  <c r="E628" i="15"/>
  <c r="D628" i="15"/>
  <c r="C628" i="15"/>
  <c r="B628" i="15"/>
  <c r="A628" i="15" s="1"/>
  <c r="N627" i="15"/>
  <c r="M627" i="15"/>
  <c r="L627" i="15"/>
  <c r="K627" i="15"/>
  <c r="J627" i="15"/>
  <c r="I627" i="15"/>
  <c r="H627" i="15"/>
  <c r="G627" i="15"/>
  <c r="F627" i="15"/>
  <c r="E627" i="15"/>
  <c r="D627" i="15"/>
  <c r="C627" i="15"/>
  <c r="B627" i="15"/>
  <c r="A627" i="15" s="1"/>
  <c r="N626" i="15"/>
  <c r="M626" i="15"/>
  <c r="L626" i="15"/>
  <c r="K626" i="15"/>
  <c r="J626" i="15"/>
  <c r="I626" i="15"/>
  <c r="H626" i="15"/>
  <c r="G626" i="15"/>
  <c r="F626" i="15"/>
  <c r="E626" i="15"/>
  <c r="D626" i="15"/>
  <c r="C626" i="15"/>
  <c r="B626" i="15"/>
  <c r="A626" i="15" s="1"/>
  <c r="N625" i="15"/>
  <c r="M625" i="15"/>
  <c r="L625" i="15"/>
  <c r="K625" i="15"/>
  <c r="J625" i="15"/>
  <c r="I625" i="15"/>
  <c r="H625" i="15"/>
  <c r="G625" i="15"/>
  <c r="F625" i="15"/>
  <c r="E625" i="15"/>
  <c r="D625" i="15"/>
  <c r="C625" i="15"/>
  <c r="B625" i="15"/>
  <c r="A625" i="15" s="1"/>
  <c r="N624" i="15"/>
  <c r="M624" i="15"/>
  <c r="L624" i="15"/>
  <c r="K624" i="15"/>
  <c r="J624" i="15"/>
  <c r="I624" i="15"/>
  <c r="H624" i="15"/>
  <c r="G624" i="15"/>
  <c r="F624" i="15"/>
  <c r="E624" i="15"/>
  <c r="D624" i="15"/>
  <c r="C624" i="15"/>
  <c r="B624" i="15"/>
  <c r="A624" i="15" s="1"/>
  <c r="N623" i="15"/>
  <c r="M623" i="15"/>
  <c r="L623" i="15"/>
  <c r="K623" i="15"/>
  <c r="J623" i="15"/>
  <c r="I623" i="15"/>
  <c r="H623" i="15"/>
  <c r="G623" i="15"/>
  <c r="F623" i="15"/>
  <c r="E623" i="15"/>
  <c r="D623" i="15"/>
  <c r="C623" i="15"/>
  <c r="B623" i="15"/>
  <c r="A623" i="15" s="1"/>
  <c r="N622" i="15"/>
  <c r="M622" i="15"/>
  <c r="L622" i="15"/>
  <c r="K622" i="15"/>
  <c r="J622" i="15"/>
  <c r="I622" i="15"/>
  <c r="H622" i="15"/>
  <c r="G622" i="15"/>
  <c r="F622" i="15"/>
  <c r="E622" i="15"/>
  <c r="D622" i="15"/>
  <c r="C622" i="15"/>
  <c r="B622" i="15"/>
  <c r="A622" i="15" s="1"/>
  <c r="N621" i="15"/>
  <c r="M621" i="15"/>
  <c r="L621" i="15"/>
  <c r="K621" i="15"/>
  <c r="J621" i="15"/>
  <c r="I621" i="15"/>
  <c r="H621" i="15"/>
  <c r="G621" i="15"/>
  <c r="F621" i="15"/>
  <c r="E621" i="15"/>
  <c r="D621" i="15"/>
  <c r="C621" i="15"/>
  <c r="B621" i="15"/>
  <c r="A621" i="15" s="1"/>
  <c r="N620" i="15"/>
  <c r="M620" i="15"/>
  <c r="L620" i="15"/>
  <c r="K620" i="15"/>
  <c r="J620" i="15"/>
  <c r="I620" i="15"/>
  <c r="H620" i="15"/>
  <c r="G620" i="15"/>
  <c r="F620" i="15"/>
  <c r="E620" i="15"/>
  <c r="D620" i="15"/>
  <c r="C620" i="15"/>
  <c r="B620" i="15"/>
  <c r="A620" i="15" s="1"/>
  <c r="N619" i="15"/>
  <c r="M619" i="15"/>
  <c r="L619" i="15"/>
  <c r="K619" i="15"/>
  <c r="J619" i="15"/>
  <c r="I619" i="15"/>
  <c r="H619" i="15"/>
  <c r="G619" i="15"/>
  <c r="F619" i="15"/>
  <c r="E619" i="15"/>
  <c r="D619" i="15"/>
  <c r="C619" i="15"/>
  <c r="B619" i="15"/>
  <c r="A619" i="15" s="1"/>
  <c r="N618" i="15"/>
  <c r="M618" i="15"/>
  <c r="L618" i="15"/>
  <c r="K618" i="15"/>
  <c r="J618" i="15"/>
  <c r="I618" i="15"/>
  <c r="H618" i="15"/>
  <c r="G618" i="15"/>
  <c r="F618" i="15"/>
  <c r="E618" i="15"/>
  <c r="D618" i="15"/>
  <c r="C618" i="15"/>
  <c r="B618" i="15"/>
  <c r="A618" i="15" s="1"/>
  <c r="N617" i="15"/>
  <c r="M617" i="15"/>
  <c r="L617" i="15"/>
  <c r="K617" i="15"/>
  <c r="J617" i="15"/>
  <c r="I617" i="15"/>
  <c r="H617" i="15"/>
  <c r="G617" i="15"/>
  <c r="F617" i="15"/>
  <c r="E617" i="15"/>
  <c r="D617" i="15"/>
  <c r="C617" i="15"/>
  <c r="B617" i="15"/>
  <c r="A617" i="15" s="1"/>
  <c r="N616" i="15"/>
  <c r="M616" i="15"/>
  <c r="L616" i="15"/>
  <c r="K616" i="15"/>
  <c r="J616" i="15"/>
  <c r="I616" i="15"/>
  <c r="H616" i="15"/>
  <c r="G616" i="15"/>
  <c r="F616" i="15"/>
  <c r="E616" i="15"/>
  <c r="D616" i="15"/>
  <c r="C616" i="15"/>
  <c r="B616" i="15"/>
  <c r="A616" i="15" s="1"/>
  <c r="N615" i="15"/>
  <c r="M615" i="15"/>
  <c r="L615" i="15"/>
  <c r="K615" i="15"/>
  <c r="J615" i="15"/>
  <c r="I615" i="15"/>
  <c r="H615" i="15"/>
  <c r="G615" i="15"/>
  <c r="F615" i="15"/>
  <c r="E615" i="15"/>
  <c r="D615" i="15"/>
  <c r="C615" i="15"/>
  <c r="B615" i="15"/>
  <c r="A615" i="15" s="1"/>
  <c r="N614" i="15"/>
  <c r="M614" i="15"/>
  <c r="L614" i="15"/>
  <c r="K614" i="15"/>
  <c r="J614" i="15"/>
  <c r="I614" i="15"/>
  <c r="H614" i="15"/>
  <c r="G614" i="15"/>
  <c r="F614" i="15"/>
  <c r="E614" i="15"/>
  <c r="D614" i="15"/>
  <c r="C614" i="15"/>
  <c r="B614" i="15"/>
  <c r="A614" i="15" s="1"/>
  <c r="N613" i="15"/>
  <c r="M613" i="15"/>
  <c r="L613" i="15"/>
  <c r="K613" i="15"/>
  <c r="J613" i="15"/>
  <c r="I613" i="15"/>
  <c r="H613" i="15"/>
  <c r="G613" i="15"/>
  <c r="F613" i="15"/>
  <c r="E613" i="15"/>
  <c r="D613" i="15"/>
  <c r="C613" i="15"/>
  <c r="B613" i="15"/>
  <c r="A613" i="15" s="1"/>
  <c r="N612" i="15"/>
  <c r="M612" i="15"/>
  <c r="L612" i="15"/>
  <c r="K612" i="15"/>
  <c r="J612" i="15"/>
  <c r="I612" i="15"/>
  <c r="H612" i="15"/>
  <c r="G612" i="15"/>
  <c r="F612" i="15"/>
  <c r="E612" i="15"/>
  <c r="D612" i="15"/>
  <c r="C612" i="15"/>
  <c r="B612" i="15"/>
  <c r="A612" i="15" s="1"/>
  <c r="N611" i="15"/>
  <c r="M611" i="15"/>
  <c r="L611" i="15"/>
  <c r="K611" i="15"/>
  <c r="J611" i="15"/>
  <c r="I611" i="15"/>
  <c r="H611" i="15"/>
  <c r="G611" i="15"/>
  <c r="F611" i="15"/>
  <c r="E611" i="15"/>
  <c r="D611" i="15"/>
  <c r="C611" i="15"/>
  <c r="B611" i="15"/>
  <c r="A611" i="15" s="1"/>
  <c r="N610" i="15"/>
  <c r="M610" i="15"/>
  <c r="L610" i="15"/>
  <c r="K610" i="15"/>
  <c r="J610" i="15"/>
  <c r="I610" i="15"/>
  <c r="H610" i="15"/>
  <c r="G610" i="15"/>
  <c r="F610" i="15"/>
  <c r="E610" i="15"/>
  <c r="D610" i="15"/>
  <c r="C610" i="15"/>
  <c r="B610" i="15"/>
  <c r="A610" i="15" s="1"/>
  <c r="N609" i="15"/>
  <c r="M609" i="15"/>
  <c r="L609" i="15"/>
  <c r="K609" i="15"/>
  <c r="J609" i="15"/>
  <c r="I609" i="15"/>
  <c r="H609" i="15"/>
  <c r="G609" i="15"/>
  <c r="F609" i="15"/>
  <c r="E609" i="15"/>
  <c r="D609" i="15"/>
  <c r="C609" i="15"/>
  <c r="B609" i="15"/>
  <c r="A609" i="15" s="1"/>
  <c r="N608" i="15"/>
  <c r="M608" i="15"/>
  <c r="L608" i="15"/>
  <c r="K608" i="15"/>
  <c r="J608" i="15"/>
  <c r="I608" i="15"/>
  <c r="H608" i="15"/>
  <c r="G608" i="15"/>
  <c r="F608" i="15"/>
  <c r="E608" i="15"/>
  <c r="D608" i="15"/>
  <c r="C608" i="15"/>
  <c r="B608" i="15"/>
  <c r="A608" i="15" s="1"/>
  <c r="N607" i="15"/>
  <c r="M607" i="15"/>
  <c r="L607" i="15"/>
  <c r="K607" i="15"/>
  <c r="J607" i="15"/>
  <c r="I607" i="15"/>
  <c r="H607" i="15"/>
  <c r="G607" i="15"/>
  <c r="F607" i="15"/>
  <c r="E607" i="15"/>
  <c r="D607" i="15"/>
  <c r="C607" i="15"/>
  <c r="B607" i="15"/>
  <c r="A607" i="15" s="1"/>
  <c r="N606" i="15"/>
  <c r="M606" i="15"/>
  <c r="L606" i="15"/>
  <c r="K606" i="15"/>
  <c r="J606" i="15"/>
  <c r="I606" i="15"/>
  <c r="H606" i="15"/>
  <c r="G606" i="15"/>
  <c r="F606" i="15"/>
  <c r="E606" i="15"/>
  <c r="D606" i="15"/>
  <c r="C606" i="15"/>
  <c r="B606" i="15"/>
  <c r="A606" i="15" s="1"/>
  <c r="N605" i="15"/>
  <c r="M605" i="15"/>
  <c r="L605" i="15"/>
  <c r="K605" i="15"/>
  <c r="J605" i="15"/>
  <c r="I605" i="15"/>
  <c r="H605" i="15"/>
  <c r="G605" i="15"/>
  <c r="F605" i="15"/>
  <c r="E605" i="15"/>
  <c r="D605" i="15"/>
  <c r="C605" i="15"/>
  <c r="B605" i="15"/>
  <c r="A605" i="15" s="1"/>
  <c r="N604" i="15"/>
  <c r="M604" i="15"/>
  <c r="L604" i="15"/>
  <c r="K604" i="15"/>
  <c r="J604" i="15"/>
  <c r="I604" i="15"/>
  <c r="H604" i="15"/>
  <c r="G604" i="15"/>
  <c r="F604" i="15"/>
  <c r="E604" i="15"/>
  <c r="D604" i="15"/>
  <c r="C604" i="15"/>
  <c r="B604" i="15"/>
  <c r="A604" i="15" s="1"/>
  <c r="N603" i="15"/>
  <c r="M603" i="15"/>
  <c r="L603" i="15"/>
  <c r="K603" i="15"/>
  <c r="J603" i="15"/>
  <c r="I603" i="15"/>
  <c r="H603" i="15"/>
  <c r="G603" i="15"/>
  <c r="F603" i="15"/>
  <c r="E603" i="15"/>
  <c r="D603" i="15"/>
  <c r="C603" i="15"/>
  <c r="B603" i="15"/>
  <c r="A603" i="15" s="1"/>
  <c r="N602" i="15"/>
  <c r="M602" i="15"/>
  <c r="L602" i="15"/>
  <c r="K602" i="15"/>
  <c r="J602" i="15"/>
  <c r="I602" i="15"/>
  <c r="H602" i="15"/>
  <c r="G602" i="15"/>
  <c r="F602" i="15"/>
  <c r="E602" i="15"/>
  <c r="D602" i="15"/>
  <c r="C602" i="15"/>
  <c r="B602" i="15"/>
  <c r="A602" i="15" s="1"/>
  <c r="N601" i="15"/>
  <c r="M601" i="15"/>
  <c r="L601" i="15"/>
  <c r="K601" i="15"/>
  <c r="J601" i="15"/>
  <c r="I601" i="15"/>
  <c r="H601" i="15"/>
  <c r="G601" i="15"/>
  <c r="F601" i="15"/>
  <c r="E601" i="15"/>
  <c r="D601" i="15"/>
  <c r="C601" i="15"/>
  <c r="B601" i="15"/>
  <c r="A601" i="15" s="1"/>
  <c r="N600" i="15"/>
  <c r="M600" i="15"/>
  <c r="L600" i="15"/>
  <c r="K600" i="15"/>
  <c r="J600" i="15"/>
  <c r="I600" i="15"/>
  <c r="H600" i="15"/>
  <c r="G600" i="15"/>
  <c r="F600" i="15"/>
  <c r="E600" i="15"/>
  <c r="D600" i="15"/>
  <c r="C600" i="15"/>
  <c r="B600" i="15"/>
  <c r="A600" i="15" s="1"/>
  <c r="N599" i="15"/>
  <c r="M599" i="15"/>
  <c r="L599" i="15"/>
  <c r="K599" i="15"/>
  <c r="J599" i="15"/>
  <c r="I599" i="15"/>
  <c r="H599" i="15"/>
  <c r="G599" i="15"/>
  <c r="F599" i="15"/>
  <c r="E599" i="15"/>
  <c r="D599" i="15"/>
  <c r="C599" i="15"/>
  <c r="B599" i="15"/>
  <c r="A599" i="15" s="1"/>
  <c r="N598" i="15"/>
  <c r="M598" i="15"/>
  <c r="L598" i="15"/>
  <c r="K598" i="15"/>
  <c r="J598" i="15"/>
  <c r="I598" i="15"/>
  <c r="H598" i="15"/>
  <c r="G598" i="15"/>
  <c r="F598" i="15"/>
  <c r="E598" i="15"/>
  <c r="D598" i="15"/>
  <c r="C598" i="15"/>
  <c r="B598" i="15"/>
  <c r="A598" i="15" s="1"/>
  <c r="N597" i="15"/>
  <c r="M597" i="15"/>
  <c r="L597" i="15"/>
  <c r="K597" i="15"/>
  <c r="J597" i="15"/>
  <c r="I597" i="15"/>
  <c r="H597" i="15"/>
  <c r="G597" i="15"/>
  <c r="F597" i="15"/>
  <c r="E597" i="15"/>
  <c r="D597" i="15"/>
  <c r="C597" i="15"/>
  <c r="B597" i="15"/>
  <c r="A597" i="15" s="1"/>
  <c r="N596" i="15"/>
  <c r="M596" i="15"/>
  <c r="L596" i="15"/>
  <c r="K596" i="15"/>
  <c r="J596" i="15"/>
  <c r="I596" i="15"/>
  <c r="H596" i="15"/>
  <c r="G596" i="15"/>
  <c r="F596" i="15"/>
  <c r="E596" i="15"/>
  <c r="D596" i="15"/>
  <c r="C596" i="15"/>
  <c r="B596" i="15"/>
  <c r="A596" i="15" s="1"/>
  <c r="N595" i="15"/>
  <c r="M595" i="15"/>
  <c r="L595" i="15"/>
  <c r="K595" i="15"/>
  <c r="J595" i="15"/>
  <c r="I595" i="15"/>
  <c r="H595" i="15"/>
  <c r="G595" i="15"/>
  <c r="F595" i="15"/>
  <c r="E595" i="15"/>
  <c r="D595" i="15"/>
  <c r="C595" i="15"/>
  <c r="B595" i="15"/>
  <c r="A595" i="15" s="1"/>
  <c r="N594" i="15"/>
  <c r="M594" i="15"/>
  <c r="L594" i="15"/>
  <c r="K594" i="15"/>
  <c r="J594" i="15"/>
  <c r="I594" i="15"/>
  <c r="H594" i="15"/>
  <c r="G594" i="15"/>
  <c r="F594" i="15"/>
  <c r="E594" i="15"/>
  <c r="D594" i="15"/>
  <c r="C594" i="15"/>
  <c r="B594" i="15"/>
  <c r="A594" i="15" s="1"/>
  <c r="N593" i="15"/>
  <c r="M593" i="15"/>
  <c r="L593" i="15"/>
  <c r="K593" i="15"/>
  <c r="J593" i="15"/>
  <c r="I593" i="15"/>
  <c r="H593" i="15"/>
  <c r="G593" i="15"/>
  <c r="F593" i="15"/>
  <c r="E593" i="15"/>
  <c r="D593" i="15"/>
  <c r="C593" i="15"/>
  <c r="B593" i="15"/>
  <c r="A593" i="15" s="1"/>
  <c r="N592" i="15"/>
  <c r="M592" i="15"/>
  <c r="L592" i="15"/>
  <c r="K592" i="15"/>
  <c r="J592" i="15"/>
  <c r="I592" i="15"/>
  <c r="H592" i="15"/>
  <c r="G592" i="15"/>
  <c r="F592" i="15"/>
  <c r="E592" i="15"/>
  <c r="D592" i="15"/>
  <c r="C592" i="15"/>
  <c r="B592" i="15"/>
  <c r="A592" i="15" s="1"/>
  <c r="N591" i="15"/>
  <c r="M591" i="15"/>
  <c r="L591" i="15"/>
  <c r="K591" i="15"/>
  <c r="J591" i="15"/>
  <c r="I591" i="15"/>
  <c r="H591" i="15"/>
  <c r="G591" i="15"/>
  <c r="F591" i="15"/>
  <c r="E591" i="15"/>
  <c r="D591" i="15"/>
  <c r="C591" i="15"/>
  <c r="B591" i="15"/>
  <c r="A591" i="15" s="1"/>
  <c r="N590" i="15"/>
  <c r="M590" i="15"/>
  <c r="L590" i="15"/>
  <c r="K590" i="15"/>
  <c r="J590" i="15"/>
  <c r="I590" i="15"/>
  <c r="H590" i="15"/>
  <c r="G590" i="15"/>
  <c r="F590" i="15"/>
  <c r="E590" i="15"/>
  <c r="D590" i="15"/>
  <c r="C590" i="15"/>
  <c r="B590" i="15"/>
  <c r="A590" i="15" s="1"/>
  <c r="N589" i="15"/>
  <c r="M589" i="15"/>
  <c r="L589" i="15"/>
  <c r="K589" i="15"/>
  <c r="J589" i="15"/>
  <c r="I589" i="15"/>
  <c r="H589" i="15"/>
  <c r="G589" i="15"/>
  <c r="F589" i="15"/>
  <c r="E589" i="15"/>
  <c r="D589" i="15"/>
  <c r="C589" i="15"/>
  <c r="B589" i="15"/>
  <c r="A589" i="15" s="1"/>
  <c r="N588" i="15"/>
  <c r="M588" i="15"/>
  <c r="L588" i="15"/>
  <c r="K588" i="15"/>
  <c r="J588" i="15"/>
  <c r="I588" i="15"/>
  <c r="H588" i="15"/>
  <c r="G588" i="15"/>
  <c r="F588" i="15"/>
  <c r="E588" i="15"/>
  <c r="D588" i="15"/>
  <c r="C588" i="15"/>
  <c r="B588" i="15"/>
  <c r="A588" i="15" s="1"/>
  <c r="N587" i="15"/>
  <c r="M587" i="15"/>
  <c r="L587" i="15"/>
  <c r="K587" i="15"/>
  <c r="J587" i="15"/>
  <c r="I587" i="15"/>
  <c r="H587" i="15"/>
  <c r="G587" i="15"/>
  <c r="F587" i="15"/>
  <c r="E587" i="15"/>
  <c r="D587" i="15"/>
  <c r="C587" i="15"/>
  <c r="B587" i="15"/>
  <c r="A587" i="15" s="1"/>
  <c r="N586" i="15"/>
  <c r="M586" i="15"/>
  <c r="L586" i="15"/>
  <c r="K586" i="15"/>
  <c r="J586" i="15"/>
  <c r="I586" i="15"/>
  <c r="H586" i="15"/>
  <c r="G586" i="15"/>
  <c r="F586" i="15"/>
  <c r="E586" i="15"/>
  <c r="D586" i="15"/>
  <c r="C586" i="15"/>
  <c r="B586" i="15"/>
  <c r="A586" i="15" s="1"/>
  <c r="N585" i="15"/>
  <c r="M585" i="15"/>
  <c r="L585" i="15"/>
  <c r="K585" i="15"/>
  <c r="J585" i="15"/>
  <c r="I585" i="15"/>
  <c r="H585" i="15"/>
  <c r="G585" i="15"/>
  <c r="F585" i="15"/>
  <c r="E585" i="15"/>
  <c r="D585" i="15"/>
  <c r="C585" i="15"/>
  <c r="B585" i="15"/>
  <c r="A585" i="15" s="1"/>
  <c r="N584" i="15"/>
  <c r="M584" i="15"/>
  <c r="L584" i="15"/>
  <c r="K584" i="15"/>
  <c r="J584" i="15"/>
  <c r="I584" i="15"/>
  <c r="H584" i="15"/>
  <c r="G584" i="15"/>
  <c r="F584" i="15"/>
  <c r="E584" i="15"/>
  <c r="D584" i="15"/>
  <c r="C584" i="15"/>
  <c r="B584" i="15"/>
  <c r="A584" i="15" s="1"/>
  <c r="N583" i="15"/>
  <c r="M583" i="15"/>
  <c r="L583" i="15"/>
  <c r="K583" i="15"/>
  <c r="J583" i="15"/>
  <c r="I583" i="15"/>
  <c r="H583" i="15"/>
  <c r="G583" i="15"/>
  <c r="F583" i="15"/>
  <c r="E583" i="15"/>
  <c r="D583" i="15"/>
  <c r="C583" i="15"/>
  <c r="B583" i="15"/>
  <c r="A583" i="15" s="1"/>
  <c r="N582" i="15"/>
  <c r="M582" i="15"/>
  <c r="L582" i="15"/>
  <c r="K582" i="15"/>
  <c r="J582" i="15"/>
  <c r="I582" i="15"/>
  <c r="H582" i="15"/>
  <c r="G582" i="15"/>
  <c r="F582" i="15"/>
  <c r="E582" i="15"/>
  <c r="D582" i="15"/>
  <c r="C582" i="15"/>
  <c r="B582" i="15"/>
  <c r="A582" i="15" s="1"/>
  <c r="N581" i="15"/>
  <c r="M581" i="15"/>
  <c r="L581" i="15"/>
  <c r="K581" i="15"/>
  <c r="J581" i="15"/>
  <c r="I581" i="15"/>
  <c r="H581" i="15"/>
  <c r="G581" i="15"/>
  <c r="F581" i="15"/>
  <c r="E581" i="15"/>
  <c r="D581" i="15"/>
  <c r="C581" i="15"/>
  <c r="B581" i="15"/>
  <c r="A581" i="15" s="1"/>
  <c r="N580" i="15"/>
  <c r="M580" i="15"/>
  <c r="L580" i="15"/>
  <c r="K580" i="15"/>
  <c r="J580" i="15"/>
  <c r="I580" i="15"/>
  <c r="H580" i="15"/>
  <c r="G580" i="15"/>
  <c r="F580" i="15"/>
  <c r="E580" i="15"/>
  <c r="D580" i="15"/>
  <c r="C580" i="15"/>
  <c r="B580" i="15"/>
  <c r="A580" i="15" s="1"/>
  <c r="N579" i="15"/>
  <c r="M579" i="15"/>
  <c r="L579" i="15"/>
  <c r="K579" i="15"/>
  <c r="J579" i="15"/>
  <c r="I579" i="15"/>
  <c r="H579" i="15"/>
  <c r="G579" i="15"/>
  <c r="F579" i="15"/>
  <c r="E579" i="15"/>
  <c r="D579" i="15"/>
  <c r="C579" i="15"/>
  <c r="B579" i="15"/>
  <c r="A579" i="15" s="1"/>
  <c r="N578" i="15"/>
  <c r="M578" i="15"/>
  <c r="L578" i="15"/>
  <c r="K578" i="15"/>
  <c r="J578" i="15"/>
  <c r="I578" i="15"/>
  <c r="H578" i="15"/>
  <c r="G578" i="15"/>
  <c r="F578" i="15"/>
  <c r="E578" i="15"/>
  <c r="D578" i="15"/>
  <c r="C578" i="15"/>
  <c r="B578" i="15"/>
  <c r="A578" i="15" s="1"/>
  <c r="N577" i="15"/>
  <c r="M577" i="15"/>
  <c r="L577" i="15"/>
  <c r="K577" i="15"/>
  <c r="J577" i="15"/>
  <c r="I577" i="15"/>
  <c r="H577" i="15"/>
  <c r="G577" i="15"/>
  <c r="F577" i="15"/>
  <c r="E577" i="15"/>
  <c r="D577" i="15"/>
  <c r="C577" i="15"/>
  <c r="B577" i="15"/>
  <c r="A577" i="15" s="1"/>
  <c r="N576" i="15"/>
  <c r="M576" i="15"/>
  <c r="L576" i="15"/>
  <c r="K576" i="15"/>
  <c r="J576" i="15"/>
  <c r="I576" i="15"/>
  <c r="H576" i="15"/>
  <c r="G576" i="15"/>
  <c r="F576" i="15"/>
  <c r="E576" i="15"/>
  <c r="D576" i="15"/>
  <c r="C576" i="15"/>
  <c r="B576" i="15"/>
  <c r="A576" i="15" s="1"/>
  <c r="N575" i="15"/>
  <c r="M575" i="15"/>
  <c r="L575" i="15"/>
  <c r="K575" i="15"/>
  <c r="J575" i="15"/>
  <c r="I575" i="15"/>
  <c r="H575" i="15"/>
  <c r="G575" i="15"/>
  <c r="F575" i="15"/>
  <c r="E575" i="15"/>
  <c r="D575" i="15"/>
  <c r="C575" i="15"/>
  <c r="B575" i="15"/>
  <c r="A575" i="15" s="1"/>
  <c r="N574" i="15"/>
  <c r="M574" i="15"/>
  <c r="L574" i="15"/>
  <c r="K574" i="15"/>
  <c r="J574" i="15"/>
  <c r="I574" i="15"/>
  <c r="H574" i="15"/>
  <c r="G574" i="15"/>
  <c r="F574" i="15"/>
  <c r="E574" i="15"/>
  <c r="D574" i="15"/>
  <c r="C574" i="15"/>
  <c r="B574" i="15"/>
  <c r="A574" i="15" s="1"/>
  <c r="N573" i="15"/>
  <c r="M573" i="15"/>
  <c r="L573" i="15"/>
  <c r="K573" i="15"/>
  <c r="J573" i="15"/>
  <c r="I573" i="15"/>
  <c r="H573" i="15"/>
  <c r="G573" i="15"/>
  <c r="F573" i="15"/>
  <c r="E573" i="15"/>
  <c r="D573" i="15"/>
  <c r="C573" i="15"/>
  <c r="B573" i="15"/>
  <c r="A573" i="15" s="1"/>
  <c r="N572" i="15"/>
  <c r="M572" i="15"/>
  <c r="L572" i="15"/>
  <c r="K572" i="15"/>
  <c r="J572" i="15"/>
  <c r="I572" i="15"/>
  <c r="H572" i="15"/>
  <c r="G572" i="15"/>
  <c r="F572" i="15"/>
  <c r="E572" i="15"/>
  <c r="D572" i="15"/>
  <c r="C572" i="15"/>
  <c r="B572" i="15"/>
  <c r="A572" i="15" s="1"/>
  <c r="N571" i="15"/>
  <c r="M571" i="15"/>
  <c r="L571" i="15"/>
  <c r="K571" i="15"/>
  <c r="J571" i="15"/>
  <c r="I571" i="15"/>
  <c r="H571" i="15"/>
  <c r="G571" i="15"/>
  <c r="F571" i="15"/>
  <c r="E571" i="15"/>
  <c r="D571" i="15"/>
  <c r="C571" i="15"/>
  <c r="B571" i="15"/>
  <c r="A571" i="15" s="1"/>
  <c r="N570" i="15"/>
  <c r="M570" i="15"/>
  <c r="L570" i="15"/>
  <c r="K570" i="15"/>
  <c r="J570" i="15"/>
  <c r="I570" i="15"/>
  <c r="H570" i="15"/>
  <c r="G570" i="15"/>
  <c r="F570" i="15"/>
  <c r="E570" i="15"/>
  <c r="D570" i="15"/>
  <c r="C570" i="15"/>
  <c r="B570" i="15"/>
  <c r="A570" i="15" s="1"/>
  <c r="N569" i="15"/>
  <c r="M569" i="15"/>
  <c r="L569" i="15"/>
  <c r="K569" i="15"/>
  <c r="J569" i="15"/>
  <c r="I569" i="15"/>
  <c r="H569" i="15"/>
  <c r="G569" i="15"/>
  <c r="F569" i="15"/>
  <c r="E569" i="15"/>
  <c r="D569" i="15"/>
  <c r="C569" i="15"/>
  <c r="B569" i="15"/>
  <c r="A569" i="15" s="1"/>
  <c r="N568" i="15"/>
  <c r="M568" i="15"/>
  <c r="L568" i="15"/>
  <c r="K568" i="15"/>
  <c r="J568" i="15"/>
  <c r="I568" i="15"/>
  <c r="H568" i="15"/>
  <c r="G568" i="15"/>
  <c r="F568" i="15"/>
  <c r="E568" i="15"/>
  <c r="D568" i="15"/>
  <c r="C568" i="15"/>
  <c r="B568" i="15"/>
  <c r="A568" i="15" s="1"/>
  <c r="N567" i="15"/>
  <c r="M567" i="15"/>
  <c r="L567" i="15"/>
  <c r="K567" i="15"/>
  <c r="J567" i="15"/>
  <c r="I567" i="15"/>
  <c r="H567" i="15"/>
  <c r="G567" i="15"/>
  <c r="F567" i="15"/>
  <c r="E567" i="15"/>
  <c r="D567" i="15"/>
  <c r="C567" i="15"/>
  <c r="B567" i="15"/>
  <c r="A567" i="15" s="1"/>
  <c r="N566" i="15"/>
  <c r="M566" i="15"/>
  <c r="L566" i="15"/>
  <c r="K566" i="15"/>
  <c r="J566" i="15"/>
  <c r="I566" i="15"/>
  <c r="H566" i="15"/>
  <c r="G566" i="15"/>
  <c r="F566" i="15"/>
  <c r="E566" i="15"/>
  <c r="D566" i="15"/>
  <c r="C566" i="15"/>
  <c r="B566" i="15"/>
  <c r="A566" i="15" s="1"/>
  <c r="N565" i="15"/>
  <c r="M565" i="15"/>
  <c r="L565" i="15"/>
  <c r="K565" i="15"/>
  <c r="J565" i="15"/>
  <c r="I565" i="15"/>
  <c r="H565" i="15"/>
  <c r="G565" i="15"/>
  <c r="F565" i="15"/>
  <c r="E565" i="15"/>
  <c r="D565" i="15"/>
  <c r="C565" i="15"/>
  <c r="B565" i="15"/>
  <c r="A565" i="15" s="1"/>
  <c r="N564" i="15"/>
  <c r="M564" i="15"/>
  <c r="L564" i="15"/>
  <c r="K564" i="15"/>
  <c r="J564" i="15"/>
  <c r="I564" i="15"/>
  <c r="H564" i="15"/>
  <c r="G564" i="15"/>
  <c r="F564" i="15"/>
  <c r="E564" i="15"/>
  <c r="D564" i="15"/>
  <c r="C564" i="15"/>
  <c r="B564" i="15"/>
  <c r="A564" i="15" s="1"/>
  <c r="N563" i="15"/>
  <c r="M563" i="15"/>
  <c r="L563" i="15"/>
  <c r="K563" i="15"/>
  <c r="J563" i="15"/>
  <c r="I563" i="15"/>
  <c r="H563" i="15"/>
  <c r="G563" i="15"/>
  <c r="F563" i="15"/>
  <c r="E563" i="15"/>
  <c r="D563" i="15"/>
  <c r="C563" i="15"/>
  <c r="B563" i="15"/>
  <c r="A563" i="15" s="1"/>
  <c r="N562" i="15"/>
  <c r="M562" i="15"/>
  <c r="L562" i="15"/>
  <c r="K562" i="15"/>
  <c r="J562" i="15"/>
  <c r="I562" i="15"/>
  <c r="H562" i="15"/>
  <c r="G562" i="15"/>
  <c r="F562" i="15"/>
  <c r="E562" i="15"/>
  <c r="D562" i="15"/>
  <c r="C562" i="15"/>
  <c r="B562" i="15"/>
  <c r="A562" i="15" s="1"/>
  <c r="N561" i="15"/>
  <c r="M561" i="15"/>
  <c r="L561" i="15"/>
  <c r="K561" i="15"/>
  <c r="J561" i="15"/>
  <c r="I561" i="15"/>
  <c r="H561" i="15"/>
  <c r="G561" i="15"/>
  <c r="F561" i="15"/>
  <c r="E561" i="15"/>
  <c r="D561" i="15"/>
  <c r="C561" i="15"/>
  <c r="B561" i="15"/>
  <c r="A561" i="15" s="1"/>
  <c r="N560" i="15"/>
  <c r="M560" i="15"/>
  <c r="L560" i="15"/>
  <c r="K560" i="15"/>
  <c r="J560" i="15"/>
  <c r="I560" i="15"/>
  <c r="H560" i="15"/>
  <c r="G560" i="15"/>
  <c r="F560" i="15"/>
  <c r="E560" i="15"/>
  <c r="D560" i="15"/>
  <c r="C560" i="15"/>
  <c r="B560" i="15"/>
  <c r="A560" i="15" s="1"/>
  <c r="N559" i="15"/>
  <c r="M559" i="15"/>
  <c r="L559" i="15"/>
  <c r="K559" i="15"/>
  <c r="J559" i="15"/>
  <c r="I559" i="15"/>
  <c r="H559" i="15"/>
  <c r="G559" i="15"/>
  <c r="F559" i="15"/>
  <c r="E559" i="15"/>
  <c r="D559" i="15"/>
  <c r="C559" i="15"/>
  <c r="B559" i="15"/>
  <c r="A559" i="15" s="1"/>
  <c r="N558" i="15"/>
  <c r="M558" i="15"/>
  <c r="L558" i="15"/>
  <c r="K558" i="15"/>
  <c r="J558" i="15"/>
  <c r="I558" i="15"/>
  <c r="H558" i="15"/>
  <c r="G558" i="15"/>
  <c r="F558" i="15"/>
  <c r="E558" i="15"/>
  <c r="D558" i="15"/>
  <c r="C558" i="15"/>
  <c r="B558" i="15"/>
  <c r="A558" i="15" s="1"/>
  <c r="N557" i="15"/>
  <c r="M557" i="15"/>
  <c r="L557" i="15"/>
  <c r="K557" i="15"/>
  <c r="J557" i="15"/>
  <c r="I557" i="15"/>
  <c r="H557" i="15"/>
  <c r="G557" i="15"/>
  <c r="F557" i="15"/>
  <c r="E557" i="15"/>
  <c r="D557" i="15"/>
  <c r="C557" i="15"/>
  <c r="B557" i="15"/>
  <c r="A557" i="15" s="1"/>
  <c r="N556" i="15"/>
  <c r="M556" i="15"/>
  <c r="L556" i="15"/>
  <c r="K556" i="15"/>
  <c r="J556" i="15"/>
  <c r="I556" i="15"/>
  <c r="H556" i="15"/>
  <c r="G556" i="15"/>
  <c r="F556" i="15"/>
  <c r="E556" i="15"/>
  <c r="D556" i="15"/>
  <c r="C556" i="15"/>
  <c r="B556" i="15"/>
  <c r="A556" i="15" s="1"/>
  <c r="N555" i="15"/>
  <c r="M555" i="15"/>
  <c r="L555" i="15"/>
  <c r="K555" i="15"/>
  <c r="J555" i="15"/>
  <c r="I555" i="15"/>
  <c r="H555" i="15"/>
  <c r="G555" i="15"/>
  <c r="F555" i="15"/>
  <c r="E555" i="15"/>
  <c r="D555" i="15"/>
  <c r="C555" i="15"/>
  <c r="B555" i="15"/>
  <c r="A555" i="15" s="1"/>
  <c r="N554" i="15"/>
  <c r="M554" i="15"/>
  <c r="L554" i="15"/>
  <c r="K554" i="15"/>
  <c r="J554" i="15"/>
  <c r="I554" i="15"/>
  <c r="H554" i="15"/>
  <c r="G554" i="15"/>
  <c r="F554" i="15"/>
  <c r="E554" i="15"/>
  <c r="D554" i="15"/>
  <c r="C554" i="15"/>
  <c r="B554" i="15"/>
  <c r="A554" i="15" s="1"/>
  <c r="N553" i="15"/>
  <c r="M553" i="15"/>
  <c r="L553" i="15"/>
  <c r="K553" i="15"/>
  <c r="J553" i="15"/>
  <c r="I553" i="15"/>
  <c r="H553" i="15"/>
  <c r="G553" i="15"/>
  <c r="F553" i="15"/>
  <c r="E553" i="15"/>
  <c r="D553" i="15"/>
  <c r="C553" i="15"/>
  <c r="B553" i="15"/>
  <c r="A553" i="15" s="1"/>
  <c r="N552" i="15"/>
  <c r="M552" i="15"/>
  <c r="L552" i="15"/>
  <c r="K552" i="15"/>
  <c r="J552" i="15"/>
  <c r="I552" i="15"/>
  <c r="H552" i="15"/>
  <c r="G552" i="15"/>
  <c r="F552" i="15"/>
  <c r="E552" i="15"/>
  <c r="D552" i="15"/>
  <c r="C552" i="15"/>
  <c r="B552" i="15"/>
  <c r="A552" i="15" s="1"/>
  <c r="N551" i="15"/>
  <c r="M551" i="15"/>
  <c r="L551" i="15"/>
  <c r="K551" i="15"/>
  <c r="J551" i="15"/>
  <c r="I551" i="15"/>
  <c r="H551" i="15"/>
  <c r="G551" i="15"/>
  <c r="F551" i="15"/>
  <c r="E551" i="15"/>
  <c r="D551" i="15"/>
  <c r="C551" i="15"/>
  <c r="B551" i="15"/>
  <c r="A551" i="15" s="1"/>
  <c r="N550" i="15"/>
  <c r="M550" i="15"/>
  <c r="L550" i="15"/>
  <c r="K550" i="15"/>
  <c r="J550" i="15"/>
  <c r="I550" i="15"/>
  <c r="H550" i="15"/>
  <c r="G550" i="15"/>
  <c r="F550" i="15"/>
  <c r="E550" i="15"/>
  <c r="D550" i="15"/>
  <c r="C550" i="15"/>
  <c r="B550" i="15"/>
  <c r="A550" i="15" s="1"/>
  <c r="N549" i="15"/>
  <c r="M549" i="15"/>
  <c r="L549" i="15"/>
  <c r="K549" i="15"/>
  <c r="J549" i="15"/>
  <c r="I549" i="15"/>
  <c r="H549" i="15"/>
  <c r="G549" i="15"/>
  <c r="F549" i="15"/>
  <c r="E549" i="15"/>
  <c r="D549" i="15"/>
  <c r="C549" i="15"/>
  <c r="B549" i="15"/>
  <c r="A549" i="15" s="1"/>
  <c r="N548" i="15"/>
  <c r="M548" i="15"/>
  <c r="L548" i="15"/>
  <c r="K548" i="15"/>
  <c r="J548" i="15"/>
  <c r="I548" i="15"/>
  <c r="H548" i="15"/>
  <c r="G548" i="15"/>
  <c r="F548" i="15"/>
  <c r="E548" i="15"/>
  <c r="D548" i="15"/>
  <c r="C548" i="15"/>
  <c r="B548" i="15"/>
  <c r="A548" i="15" s="1"/>
  <c r="N547" i="15"/>
  <c r="M547" i="15"/>
  <c r="L547" i="15"/>
  <c r="K547" i="15"/>
  <c r="J547" i="15"/>
  <c r="I547" i="15"/>
  <c r="H547" i="15"/>
  <c r="G547" i="15"/>
  <c r="F547" i="15"/>
  <c r="E547" i="15"/>
  <c r="D547" i="15"/>
  <c r="C547" i="15"/>
  <c r="B547" i="15"/>
  <c r="A547" i="15" s="1"/>
  <c r="N546" i="15"/>
  <c r="M546" i="15"/>
  <c r="L546" i="15"/>
  <c r="K546" i="15"/>
  <c r="J546" i="15"/>
  <c r="I546" i="15"/>
  <c r="H546" i="15"/>
  <c r="G546" i="15"/>
  <c r="F546" i="15"/>
  <c r="E546" i="15"/>
  <c r="D546" i="15"/>
  <c r="C546" i="15"/>
  <c r="B546" i="15"/>
  <c r="A546" i="15" s="1"/>
  <c r="N545" i="15"/>
  <c r="M545" i="15"/>
  <c r="L545" i="15"/>
  <c r="K545" i="15"/>
  <c r="J545" i="15"/>
  <c r="I545" i="15"/>
  <c r="H545" i="15"/>
  <c r="G545" i="15"/>
  <c r="F545" i="15"/>
  <c r="E545" i="15"/>
  <c r="D545" i="15"/>
  <c r="C545" i="15"/>
  <c r="B545" i="15"/>
  <c r="A545" i="15" s="1"/>
  <c r="N544" i="15"/>
  <c r="M544" i="15"/>
  <c r="L544" i="15"/>
  <c r="K544" i="15"/>
  <c r="J544" i="15"/>
  <c r="I544" i="15"/>
  <c r="H544" i="15"/>
  <c r="G544" i="15"/>
  <c r="F544" i="15"/>
  <c r="E544" i="15"/>
  <c r="D544" i="15"/>
  <c r="C544" i="15"/>
  <c r="B544" i="15"/>
  <c r="A544" i="15" s="1"/>
  <c r="N543" i="15"/>
  <c r="M543" i="15"/>
  <c r="L543" i="15"/>
  <c r="K543" i="15"/>
  <c r="J543" i="15"/>
  <c r="I543" i="15"/>
  <c r="H543" i="15"/>
  <c r="G543" i="15"/>
  <c r="F543" i="15"/>
  <c r="E543" i="15"/>
  <c r="D543" i="15"/>
  <c r="C543" i="15"/>
  <c r="B543" i="15"/>
  <c r="A543" i="15" s="1"/>
  <c r="N542" i="15"/>
  <c r="M542" i="15"/>
  <c r="L542" i="15"/>
  <c r="K542" i="15"/>
  <c r="J542" i="15"/>
  <c r="I542" i="15"/>
  <c r="H542" i="15"/>
  <c r="G542" i="15"/>
  <c r="F542" i="15"/>
  <c r="E542" i="15"/>
  <c r="D542" i="15"/>
  <c r="C542" i="15"/>
  <c r="B542" i="15"/>
  <c r="A542" i="15" s="1"/>
  <c r="N541" i="15"/>
  <c r="M541" i="15"/>
  <c r="L541" i="15"/>
  <c r="K541" i="15"/>
  <c r="J541" i="15"/>
  <c r="I541" i="15"/>
  <c r="H541" i="15"/>
  <c r="G541" i="15"/>
  <c r="F541" i="15"/>
  <c r="E541" i="15"/>
  <c r="D541" i="15"/>
  <c r="C541" i="15"/>
  <c r="B541" i="15"/>
  <c r="A541" i="15" s="1"/>
  <c r="N540" i="15"/>
  <c r="M540" i="15"/>
  <c r="L540" i="15"/>
  <c r="K540" i="15"/>
  <c r="J540" i="15"/>
  <c r="I540" i="15"/>
  <c r="H540" i="15"/>
  <c r="G540" i="15"/>
  <c r="F540" i="15"/>
  <c r="E540" i="15"/>
  <c r="D540" i="15"/>
  <c r="C540" i="15"/>
  <c r="B540" i="15"/>
  <c r="A540" i="15" s="1"/>
  <c r="N539" i="15"/>
  <c r="M539" i="15"/>
  <c r="L539" i="15"/>
  <c r="K539" i="15"/>
  <c r="J539" i="15"/>
  <c r="I539" i="15"/>
  <c r="H539" i="15"/>
  <c r="G539" i="15"/>
  <c r="F539" i="15"/>
  <c r="E539" i="15"/>
  <c r="D539" i="15"/>
  <c r="C539" i="15"/>
  <c r="B539" i="15"/>
  <c r="A539" i="15" s="1"/>
  <c r="N538" i="15"/>
  <c r="M538" i="15"/>
  <c r="L538" i="15"/>
  <c r="K538" i="15"/>
  <c r="J538" i="15"/>
  <c r="I538" i="15"/>
  <c r="H538" i="15"/>
  <c r="G538" i="15"/>
  <c r="F538" i="15"/>
  <c r="E538" i="15"/>
  <c r="D538" i="15"/>
  <c r="C538" i="15"/>
  <c r="B538" i="15"/>
  <c r="A538" i="15" s="1"/>
  <c r="N537" i="15"/>
  <c r="M537" i="15"/>
  <c r="L537" i="15"/>
  <c r="K537" i="15"/>
  <c r="J537" i="15"/>
  <c r="I537" i="15"/>
  <c r="H537" i="15"/>
  <c r="G537" i="15"/>
  <c r="F537" i="15"/>
  <c r="E537" i="15"/>
  <c r="D537" i="15"/>
  <c r="C537" i="15"/>
  <c r="B537" i="15"/>
  <c r="A537" i="15" s="1"/>
  <c r="N536" i="15"/>
  <c r="M536" i="15"/>
  <c r="L536" i="15"/>
  <c r="K536" i="15"/>
  <c r="J536" i="15"/>
  <c r="I536" i="15"/>
  <c r="H536" i="15"/>
  <c r="G536" i="15"/>
  <c r="F536" i="15"/>
  <c r="E536" i="15"/>
  <c r="D536" i="15"/>
  <c r="C536" i="15"/>
  <c r="B536" i="15"/>
  <c r="A536" i="15" s="1"/>
  <c r="N535" i="15"/>
  <c r="M535" i="15"/>
  <c r="L535" i="15"/>
  <c r="K535" i="15"/>
  <c r="J535" i="15"/>
  <c r="I535" i="15"/>
  <c r="H535" i="15"/>
  <c r="G535" i="15"/>
  <c r="F535" i="15"/>
  <c r="E535" i="15"/>
  <c r="D535" i="15"/>
  <c r="C535" i="15"/>
  <c r="B535" i="15"/>
  <c r="A535" i="15" s="1"/>
  <c r="N534" i="15"/>
  <c r="M534" i="15"/>
  <c r="L534" i="15"/>
  <c r="K534" i="15"/>
  <c r="J534" i="15"/>
  <c r="I534" i="15"/>
  <c r="H534" i="15"/>
  <c r="G534" i="15"/>
  <c r="F534" i="15"/>
  <c r="E534" i="15"/>
  <c r="D534" i="15"/>
  <c r="C534" i="15"/>
  <c r="B534" i="15"/>
  <c r="A534" i="15" s="1"/>
  <c r="N533" i="15"/>
  <c r="M533" i="15"/>
  <c r="L533" i="15"/>
  <c r="K533" i="15"/>
  <c r="J533" i="15"/>
  <c r="I533" i="15"/>
  <c r="H533" i="15"/>
  <c r="G533" i="15"/>
  <c r="F533" i="15"/>
  <c r="E533" i="15"/>
  <c r="D533" i="15"/>
  <c r="C533" i="15"/>
  <c r="B533" i="15"/>
  <c r="A533" i="15" s="1"/>
  <c r="N532" i="15"/>
  <c r="M532" i="15"/>
  <c r="L532" i="15"/>
  <c r="K532" i="15"/>
  <c r="J532" i="15"/>
  <c r="I532" i="15"/>
  <c r="H532" i="15"/>
  <c r="G532" i="15"/>
  <c r="F532" i="15"/>
  <c r="E532" i="15"/>
  <c r="D532" i="15"/>
  <c r="C532" i="15"/>
  <c r="B532" i="15"/>
  <c r="A532" i="15" s="1"/>
  <c r="N531" i="15"/>
  <c r="M531" i="15"/>
  <c r="L531" i="15"/>
  <c r="K531" i="15"/>
  <c r="J531" i="15"/>
  <c r="I531" i="15"/>
  <c r="H531" i="15"/>
  <c r="G531" i="15"/>
  <c r="F531" i="15"/>
  <c r="E531" i="15"/>
  <c r="D531" i="15"/>
  <c r="C531" i="15"/>
  <c r="B531" i="15"/>
  <c r="A531" i="15" s="1"/>
  <c r="N530" i="15"/>
  <c r="M530" i="15"/>
  <c r="L530" i="15"/>
  <c r="K530" i="15"/>
  <c r="J530" i="15"/>
  <c r="I530" i="15"/>
  <c r="H530" i="15"/>
  <c r="G530" i="15"/>
  <c r="F530" i="15"/>
  <c r="E530" i="15"/>
  <c r="D530" i="15"/>
  <c r="C530" i="15"/>
  <c r="B530" i="15"/>
  <c r="A530" i="15" s="1"/>
  <c r="N529" i="15"/>
  <c r="M529" i="15"/>
  <c r="L529" i="15"/>
  <c r="K529" i="15"/>
  <c r="J529" i="15"/>
  <c r="I529" i="15"/>
  <c r="H529" i="15"/>
  <c r="G529" i="15"/>
  <c r="F529" i="15"/>
  <c r="E529" i="15"/>
  <c r="D529" i="15"/>
  <c r="C529" i="15"/>
  <c r="B529" i="15"/>
  <c r="A529" i="15" s="1"/>
  <c r="N528" i="15"/>
  <c r="M528" i="15"/>
  <c r="L528" i="15"/>
  <c r="K528" i="15"/>
  <c r="J528" i="15"/>
  <c r="I528" i="15"/>
  <c r="H528" i="15"/>
  <c r="G528" i="15"/>
  <c r="F528" i="15"/>
  <c r="E528" i="15"/>
  <c r="D528" i="15"/>
  <c r="C528" i="15"/>
  <c r="B528" i="15"/>
  <c r="A528" i="15" s="1"/>
  <c r="N527" i="15"/>
  <c r="M527" i="15"/>
  <c r="L527" i="15"/>
  <c r="K527" i="15"/>
  <c r="J527" i="15"/>
  <c r="I527" i="15"/>
  <c r="H527" i="15"/>
  <c r="G527" i="15"/>
  <c r="F527" i="15"/>
  <c r="E527" i="15"/>
  <c r="D527" i="15"/>
  <c r="C527" i="15"/>
  <c r="B527" i="15"/>
  <c r="A527" i="15" s="1"/>
  <c r="N526" i="15"/>
  <c r="M526" i="15"/>
  <c r="L526" i="15"/>
  <c r="K526" i="15"/>
  <c r="J526" i="15"/>
  <c r="I526" i="15"/>
  <c r="H526" i="15"/>
  <c r="G526" i="15"/>
  <c r="F526" i="15"/>
  <c r="E526" i="15"/>
  <c r="D526" i="15"/>
  <c r="C526" i="15"/>
  <c r="B526" i="15"/>
  <c r="A526" i="15" s="1"/>
  <c r="N525" i="15"/>
  <c r="M525" i="15"/>
  <c r="L525" i="15"/>
  <c r="K525" i="15"/>
  <c r="J525" i="15"/>
  <c r="I525" i="15"/>
  <c r="H525" i="15"/>
  <c r="G525" i="15"/>
  <c r="F525" i="15"/>
  <c r="E525" i="15"/>
  <c r="D525" i="15"/>
  <c r="C525" i="15"/>
  <c r="B525" i="15"/>
  <c r="A525" i="15" s="1"/>
  <c r="N524" i="15"/>
  <c r="M524" i="15"/>
  <c r="L524" i="15"/>
  <c r="K524" i="15"/>
  <c r="J524" i="15"/>
  <c r="I524" i="15"/>
  <c r="H524" i="15"/>
  <c r="G524" i="15"/>
  <c r="F524" i="15"/>
  <c r="E524" i="15"/>
  <c r="D524" i="15"/>
  <c r="C524" i="15"/>
  <c r="B524" i="15"/>
  <c r="A524" i="15" s="1"/>
  <c r="N523" i="15"/>
  <c r="M523" i="15"/>
  <c r="L523" i="15"/>
  <c r="K523" i="15"/>
  <c r="J523" i="15"/>
  <c r="I523" i="15"/>
  <c r="H523" i="15"/>
  <c r="G523" i="15"/>
  <c r="F523" i="15"/>
  <c r="E523" i="15"/>
  <c r="D523" i="15"/>
  <c r="C523" i="15"/>
  <c r="B523" i="15"/>
  <c r="A523" i="15" s="1"/>
  <c r="N522" i="15"/>
  <c r="M522" i="15"/>
  <c r="L522" i="15"/>
  <c r="K522" i="15"/>
  <c r="J522" i="15"/>
  <c r="I522" i="15"/>
  <c r="H522" i="15"/>
  <c r="G522" i="15"/>
  <c r="F522" i="15"/>
  <c r="E522" i="15"/>
  <c r="D522" i="15"/>
  <c r="C522" i="15"/>
  <c r="B522" i="15"/>
  <c r="A522" i="15" s="1"/>
  <c r="N521" i="15"/>
  <c r="M521" i="15"/>
  <c r="L521" i="15"/>
  <c r="K521" i="15"/>
  <c r="J521" i="15"/>
  <c r="I521" i="15"/>
  <c r="H521" i="15"/>
  <c r="G521" i="15"/>
  <c r="F521" i="15"/>
  <c r="E521" i="15"/>
  <c r="D521" i="15"/>
  <c r="C521" i="15"/>
  <c r="B521" i="15"/>
  <c r="A521" i="15" s="1"/>
  <c r="N520" i="15"/>
  <c r="M520" i="15"/>
  <c r="L520" i="15"/>
  <c r="K520" i="15"/>
  <c r="J520" i="15"/>
  <c r="I520" i="15"/>
  <c r="H520" i="15"/>
  <c r="G520" i="15"/>
  <c r="F520" i="15"/>
  <c r="E520" i="15"/>
  <c r="D520" i="15"/>
  <c r="C520" i="15"/>
  <c r="B520" i="15"/>
  <c r="A520" i="15" s="1"/>
  <c r="N519" i="15"/>
  <c r="M519" i="15"/>
  <c r="L519" i="15"/>
  <c r="K519" i="15"/>
  <c r="J519" i="15"/>
  <c r="I519" i="15"/>
  <c r="H519" i="15"/>
  <c r="G519" i="15"/>
  <c r="F519" i="15"/>
  <c r="E519" i="15"/>
  <c r="D519" i="15"/>
  <c r="C519" i="15"/>
  <c r="B519" i="15"/>
  <c r="A519" i="15" s="1"/>
  <c r="N518" i="15"/>
  <c r="M518" i="15"/>
  <c r="L518" i="15"/>
  <c r="K518" i="15"/>
  <c r="J518" i="15"/>
  <c r="I518" i="15"/>
  <c r="H518" i="15"/>
  <c r="G518" i="15"/>
  <c r="F518" i="15"/>
  <c r="E518" i="15"/>
  <c r="D518" i="15"/>
  <c r="C518" i="15"/>
  <c r="B518" i="15"/>
  <c r="A518" i="15" s="1"/>
  <c r="N517" i="15"/>
  <c r="M517" i="15"/>
  <c r="L517" i="15"/>
  <c r="K517" i="15"/>
  <c r="J517" i="15"/>
  <c r="I517" i="15"/>
  <c r="H517" i="15"/>
  <c r="G517" i="15"/>
  <c r="F517" i="15"/>
  <c r="E517" i="15"/>
  <c r="D517" i="15"/>
  <c r="C517" i="15"/>
  <c r="B517" i="15"/>
  <c r="A517" i="15" s="1"/>
  <c r="N516" i="15"/>
  <c r="M516" i="15"/>
  <c r="L516" i="15"/>
  <c r="K516" i="15"/>
  <c r="J516" i="15"/>
  <c r="I516" i="15"/>
  <c r="H516" i="15"/>
  <c r="G516" i="15"/>
  <c r="F516" i="15"/>
  <c r="E516" i="15"/>
  <c r="D516" i="15"/>
  <c r="C516" i="15"/>
  <c r="B516" i="15"/>
  <c r="A516" i="15" s="1"/>
  <c r="N515" i="15"/>
  <c r="M515" i="15"/>
  <c r="L515" i="15"/>
  <c r="K515" i="15"/>
  <c r="J515" i="15"/>
  <c r="I515" i="15"/>
  <c r="H515" i="15"/>
  <c r="G515" i="15"/>
  <c r="F515" i="15"/>
  <c r="E515" i="15"/>
  <c r="D515" i="15"/>
  <c r="C515" i="15"/>
  <c r="B515" i="15"/>
  <c r="A515" i="15" s="1"/>
  <c r="N514" i="15"/>
  <c r="M514" i="15"/>
  <c r="L514" i="15"/>
  <c r="K514" i="15"/>
  <c r="J514" i="15"/>
  <c r="I514" i="15"/>
  <c r="H514" i="15"/>
  <c r="G514" i="15"/>
  <c r="F514" i="15"/>
  <c r="E514" i="15"/>
  <c r="D514" i="15"/>
  <c r="C514" i="15"/>
  <c r="B514" i="15"/>
  <c r="A514" i="15" s="1"/>
  <c r="N513" i="15"/>
  <c r="M513" i="15"/>
  <c r="L513" i="15"/>
  <c r="K513" i="15"/>
  <c r="J513" i="15"/>
  <c r="I513" i="15"/>
  <c r="H513" i="15"/>
  <c r="G513" i="15"/>
  <c r="F513" i="15"/>
  <c r="E513" i="15"/>
  <c r="D513" i="15"/>
  <c r="C513" i="15"/>
  <c r="B513" i="15"/>
  <c r="A513" i="15" s="1"/>
  <c r="N512" i="15"/>
  <c r="M512" i="15"/>
  <c r="L512" i="15"/>
  <c r="K512" i="15"/>
  <c r="J512" i="15"/>
  <c r="I512" i="15"/>
  <c r="H512" i="15"/>
  <c r="G512" i="15"/>
  <c r="F512" i="15"/>
  <c r="E512" i="15"/>
  <c r="D512" i="15"/>
  <c r="C512" i="15"/>
  <c r="B512" i="15"/>
  <c r="A512" i="15" s="1"/>
  <c r="N511" i="15"/>
  <c r="M511" i="15"/>
  <c r="L511" i="15"/>
  <c r="K511" i="15"/>
  <c r="J511" i="15"/>
  <c r="I511" i="15"/>
  <c r="H511" i="15"/>
  <c r="G511" i="15"/>
  <c r="F511" i="15"/>
  <c r="E511" i="15"/>
  <c r="D511" i="15"/>
  <c r="C511" i="15"/>
  <c r="B511" i="15"/>
  <c r="A511" i="15" s="1"/>
  <c r="N510" i="15"/>
  <c r="M510" i="15"/>
  <c r="L510" i="15"/>
  <c r="K510" i="15"/>
  <c r="J510" i="15"/>
  <c r="I510" i="15"/>
  <c r="H510" i="15"/>
  <c r="G510" i="15"/>
  <c r="F510" i="15"/>
  <c r="E510" i="15"/>
  <c r="D510" i="15"/>
  <c r="C510" i="15"/>
  <c r="B510" i="15"/>
  <c r="A510" i="15" s="1"/>
  <c r="N509" i="15"/>
  <c r="M509" i="15"/>
  <c r="L509" i="15"/>
  <c r="K509" i="15"/>
  <c r="J509" i="15"/>
  <c r="I509" i="15"/>
  <c r="H509" i="15"/>
  <c r="G509" i="15"/>
  <c r="F509" i="15"/>
  <c r="E509" i="15"/>
  <c r="D509" i="15"/>
  <c r="C509" i="15"/>
  <c r="B509" i="15"/>
  <c r="A509" i="15" s="1"/>
  <c r="N508" i="15"/>
  <c r="M508" i="15"/>
  <c r="L508" i="15"/>
  <c r="K508" i="15"/>
  <c r="J508" i="15"/>
  <c r="I508" i="15"/>
  <c r="H508" i="15"/>
  <c r="G508" i="15"/>
  <c r="F508" i="15"/>
  <c r="E508" i="15"/>
  <c r="D508" i="15"/>
  <c r="C508" i="15"/>
  <c r="B508" i="15"/>
  <c r="A508" i="15" s="1"/>
  <c r="N507" i="15"/>
  <c r="M507" i="15"/>
  <c r="L507" i="15"/>
  <c r="K507" i="15"/>
  <c r="J507" i="15"/>
  <c r="I507" i="15"/>
  <c r="H507" i="15"/>
  <c r="G507" i="15"/>
  <c r="F507" i="15"/>
  <c r="E507" i="15"/>
  <c r="D507" i="15"/>
  <c r="C507" i="15"/>
  <c r="B507" i="15"/>
  <c r="A507" i="15" s="1"/>
  <c r="N506" i="15"/>
  <c r="M506" i="15"/>
  <c r="L506" i="15"/>
  <c r="K506" i="15"/>
  <c r="J506" i="15"/>
  <c r="I506" i="15"/>
  <c r="H506" i="15"/>
  <c r="G506" i="15"/>
  <c r="F506" i="15"/>
  <c r="E506" i="15"/>
  <c r="D506" i="15"/>
  <c r="C506" i="15"/>
  <c r="B506" i="15"/>
  <c r="A506" i="15" s="1"/>
  <c r="N505" i="15"/>
  <c r="M505" i="15"/>
  <c r="L505" i="15"/>
  <c r="K505" i="15"/>
  <c r="J505" i="15"/>
  <c r="I505" i="15"/>
  <c r="H505" i="15"/>
  <c r="G505" i="15"/>
  <c r="F505" i="15"/>
  <c r="E505" i="15"/>
  <c r="D505" i="15"/>
  <c r="C505" i="15"/>
  <c r="B505" i="15"/>
  <c r="A505" i="15" s="1"/>
  <c r="N504" i="15"/>
  <c r="M504" i="15"/>
  <c r="L504" i="15"/>
  <c r="K504" i="15"/>
  <c r="J504" i="15"/>
  <c r="I504" i="15"/>
  <c r="H504" i="15"/>
  <c r="G504" i="15"/>
  <c r="F504" i="15"/>
  <c r="E504" i="15"/>
  <c r="D504" i="15"/>
  <c r="C504" i="15"/>
  <c r="B504" i="15"/>
  <c r="A504" i="15" s="1"/>
  <c r="N503" i="15"/>
  <c r="M503" i="15"/>
  <c r="L503" i="15"/>
  <c r="K503" i="15"/>
  <c r="J503" i="15"/>
  <c r="I503" i="15"/>
  <c r="H503" i="15"/>
  <c r="G503" i="15"/>
  <c r="F503" i="15"/>
  <c r="E503" i="15"/>
  <c r="D503" i="15"/>
  <c r="C503" i="15"/>
  <c r="B503" i="15"/>
  <c r="A503" i="15" s="1"/>
  <c r="N502" i="15"/>
  <c r="M502" i="15"/>
  <c r="L502" i="15"/>
  <c r="K502" i="15"/>
  <c r="J502" i="15"/>
  <c r="I502" i="15"/>
  <c r="H502" i="15"/>
  <c r="G502" i="15"/>
  <c r="F502" i="15"/>
  <c r="E502" i="15"/>
  <c r="D502" i="15"/>
  <c r="C502" i="15"/>
  <c r="B502" i="15"/>
  <c r="A502" i="15" s="1"/>
  <c r="N501" i="15"/>
  <c r="M501" i="15"/>
  <c r="L501" i="15"/>
  <c r="K501" i="15"/>
  <c r="J501" i="15"/>
  <c r="I501" i="15"/>
  <c r="H501" i="15"/>
  <c r="G501" i="15"/>
  <c r="F501" i="15"/>
  <c r="E501" i="15"/>
  <c r="D501" i="15"/>
  <c r="C501" i="15"/>
  <c r="B501" i="15"/>
  <c r="A501" i="15" s="1"/>
  <c r="N500" i="15"/>
  <c r="M500" i="15"/>
  <c r="L500" i="15"/>
  <c r="K500" i="15"/>
  <c r="J500" i="15"/>
  <c r="I500" i="15"/>
  <c r="H500" i="15"/>
  <c r="G500" i="15"/>
  <c r="F500" i="15"/>
  <c r="E500" i="15"/>
  <c r="D500" i="15"/>
  <c r="C500" i="15"/>
  <c r="B500" i="15"/>
  <c r="A500" i="15" s="1"/>
  <c r="N499" i="15"/>
  <c r="M499" i="15"/>
  <c r="L499" i="15"/>
  <c r="K499" i="15"/>
  <c r="J499" i="15"/>
  <c r="I499" i="15"/>
  <c r="H499" i="15"/>
  <c r="G499" i="15"/>
  <c r="F499" i="15"/>
  <c r="E499" i="15"/>
  <c r="D499" i="15"/>
  <c r="C499" i="15"/>
  <c r="B499" i="15"/>
  <c r="A499" i="15" s="1"/>
  <c r="N498" i="15"/>
  <c r="M498" i="15"/>
  <c r="L498" i="15"/>
  <c r="K498" i="15"/>
  <c r="J498" i="15"/>
  <c r="I498" i="15"/>
  <c r="H498" i="15"/>
  <c r="G498" i="15"/>
  <c r="F498" i="15"/>
  <c r="E498" i="15"/>
  <c r="D498" i="15"/>
  <c r="C498" i="15"/>
  <c r="B498" i="15"/>
  <c r="A498" i="15" s="1"/>
  <c r="N497" i="15"/>
  <c r="M497" i="15"/>
  <c r="L497" i="15"/>
  <c r="K497" i="15"/>
  <c r="J497" i="15"/>
  <c r="I497" i="15"/>
  <c r="H497" i="15"/>
  <c r="G497" i="15"/>
  <c r="F497" i="15"/>
  <c r="E497" i="15"/>
  <c r="D497" i="15"/>
  <c r="C497" i="15"/>
  <c r="B497" i="15"/>
  <c r="A497" i="15" s="1"/>
  <c r="N496" i="15"/>
  <c r="M496" i="15"/>
  <c r="L496" i="15"/>
  <c r="K496" i="15"/>
  <c r="J496" i="15"/>
  <c r="I496" i="15"/>
  <c r="H496" i="15"/>
  <c r="G496" i="15"/>
  <c r="F496" i="15"/>
  <c r="E496" i="15"/>
  <c r="D496" i="15"/>
  <c r="C496" i="15"/>
  <c r="B496" i="15"/>
  <c r="A496" i="15" s="1"/>
  <c r="N495" i="15"/>
  <c r="M495" i="15"/>
  <c r="L495" i="15"/>
  <c r="K495" i="15"/>
  <c r="J495" i="15"/>
  <c r="I495" i="15"/>
  <c r="H495" i="15"/>
  <c r="G495" i="15"/>
  <c r="F495" i="15"/>
  <c r="E495" i="15"/>
  <c r="D495" i="15"/>
  <c r="C495" i="15"/>
  <c r="B495" i="15"/>
  <c r="A495" i="15" s="1"/>
  <c r="N494" i="15"/>
  <c r="M494" i="15"/>
  <c r="L494" i="15"/>
  <c r="K494" i="15"/>
  <c r="J494" i="15"/>
  <c r="I494" i="15"/>
  <c r="H494" i="15"/>
  <c r="G494" i="15"/>
  <c r="F494" i="15"/>
  <c r="E494" i="15"/>
  <c r="D494" i="15"/>
  <c r="C494" i="15"/>
  <c r="B494" i="15"/>
  <c r="A494" i="15" s="1"/>
  <c r="N493" i="15"/>
  <c r="M493" i="15"/>
  <c r="L493" i="15"/>
  <c r="K493" i="15"/>
  <c r="J493" i="15"/>
  <c r="I493" i="15"/>
  <c r="H493" i="15"/>
  <c r="G493" i="15"/>
  <c r="F493" i="15"/>
  <c r="E493" i="15"/>
  <c r="D493" i="15"/>
  <c r="C493" i="15"/>
  <c r="B493" i="15"/>
  <c r="A493" i="15" s="1"/>
  <c r="N492" i="15"/>
  <c r="M492" i="15"/>
  <c r="L492" i="15"/>
  <c r="K492" i="15"/>
  <c r="J492" i="15"/>
  <c r="I492" i="15"/>
  <c r="H492" i="15"/>
  <c r="G492" i="15"/>
  <c r="F492" i="15"/>
  <c r="E492" i="15"/>
  <c r="D492" i="15"/>
  <c r="C492" i="15"/>
  <c r="B492" i="15"/>
  <c r="A492" i="15" s="1"/>
  <c r="N491" i="15"/>
  <c r="M491" i="15"/>
  <c r="L491" i="15"/>
  <c r="K491" i="15"/>
  <c r="J491" i="15"/>
  <c r="I491" i="15"/>
  <c r="H491" i="15"/>
  <c r="G491" i="15"/>
  <c r="F491" i="15"/>
  <c r="E491" i="15"/>
  <c r="D491" i="15"/>
  <c r="C491" i="15"/>
  <c r="B491" i="15"/>
  <c r="A491" i="15" s="1"/>
  <c r="N490" i="15"/>
  <c r="M490" i="15"/>
  <c r="L490" i="15"/>
  <c r="K490" i="15"/>
  <c r="J490" i="15"/>
  <c r="I490" i="15"/>
  <c r="H490" i="15"/>
  <c r="G490" i="15"/>
  <c r="F490" i="15"/>
  <c r="E490" i="15"/>
  <c r="D490" i="15"/>
  <c r="C490" i="15"/>
  <c r="B490" i="15"/>
  <c r="A490" i="15" s="1"/>
  <c r="N489" i="15"/>
  <c r="M489" i="15"/>
  <c r="L489" i="15"/>
  <c r="K489" i="15"/>
  <c r="J489" i="15"/>
  <c r="I489" i="15"/>
  <c r="H489" i="15"/>
  <c r="G489" i="15"/>
  <c r="F489" i="15"/>
  <c r="E489" i="15"/>
  <c r="D489" i="15"/>
  <c r="C489" i="15"/>
  <c r="B489" i="15"/>
  <c r="A489" i="15" s="1"/>
  <c r="N488" i="15"/>
  <c r="M488" i="15"/>
  <c r="L488" i="15"/>
  <c r="K488" i="15"/>
  <c r="J488" i="15"/>
  <c r="I488" i="15"/>
  <c r="H488" i="15"/>
  <c r="G488" i="15"/>
  <c r="F488" i="15"/>
  <c r="E488" i="15"/>
  <c r="D488" i="15"/>
  <c r="C488" i="15"/>
  <c r="B488" i="15"/>
  <c r="A488" i="15" s="1"/>
  <c r="N487" i="15"/>
  <c r="M487" i="15"/>
  <c r="L487" i="15"/>
  <c r="K487" i="15"/>
  <c r="J487" i="15"/>
  <c r="I487" i="15"/>
  <c r="H487" i="15"/>
  <c r="G487" i="15"/>
  <c r="F487" i="15"/>
  <c r="E487" i="15"/>
  <c r="D487" i="15"/>
  <c r="C487" i="15"/>
  <c r="B487" i="15"/>
  <c r="A487" i="15" s="1"/>
  <c r="N486" i="15"/>
  <c r="M486" i="15"/>
  <c r="L486" i="15"/>
  <c r="K486" i="15"/>
  <c r="J486" i="15"/>
  <c r="I486" i="15"/>
  <c r="H486" i="15"/>
  <c r="G486" i="15"/>
  <c r="F486" i="15"/>
  <c r="E486" i="15"/>
  <c r="D486" i="15"/>
  <c r="C486" i="15"/>
  <c r="B486" i="15"/>
  <c r="A486" i="15" s="1"/>
  <c r="N485" i="15"/>
  <c r="M485" i="15"/>
  <c r="L485" i="15"/>
  <c r="K485" i="15"/>
  <c r="J485" i="15"/>
  <c r="I485" i="15"/>
  <c r="H485" i="15"/>
  <c r="G485" i="15"/>
  <c r="F485" i="15"/>
  <c r="E485" i="15"/>
  <c r="D485" i="15"/>
  <c r="C485" i="15"/>
  <c r="B485" i="15"/>
  <c r="A485" i="15" s="1"/>
  <c r="N484" i="15"/>
  <c r="M484" i="15"/>
  <c r="L484" i="15"/>
  <c r="K484" i="15"/>
  <c r="J484" i="15"/>
  <c r="I484" i="15"/>
  <c r="H484" i="15"/>
  <c r="G484" i="15"/>
  <c r="F484" i="15"/>
  <c r="E484" i="15"/>
  <c r="D484" i="15"/>
  <c r="C484" i="15"/>
  <c r="B484" i="15"/>
  <c r="A484" i="15" s="1"/>
  <c r="N483" i="15"/>
  <c r="M483" i="15"/>
  <c r="L483" i="15"/>
  <c r="K483" i="15"/>
  <c r="J483" i="15"/>
  <c r="I483" i="15"/>
  <c r="H483" i="15"/>
  <c r="G483" i="15"/>
  <c r="F483" i="15"/>
  <c r="E483" i="15"/>
  <c r="D483" i="15"/>
  <c r="C483" i="15"/>
  <c r="B483" i="15"/>
  <c r="A483" i="15" s="1"/>
  <c r="N482" i="15"/>
  <c r="M482" i="15"/>
  <c r="L482" i="15"/>
  <c r="K482" i="15"/>
  <c r="J482" i="15"/>
  <c r="I482" i="15"/>
  <c r="H482" i="15"/>
  <c r="G482" i="15"/>
  <c r="F482" i="15"/>
  <c r="E482" i="15"/>
  <c r="D482" i="15"/>
  <c r="C482" i="15"/>
  <c r="B482" i="15"/>
  <c r="A482" i="15" s="1"/>
  <c r="N481" i="15"/>
  <c r="M481" i="15"/>
  <c r="L481" i="15"/>
  <c r="K481" i="15"/>
  <c r="J481" i="15"/>
  <c r="I481" i="15"/>
  <c r="H481" i="15"/>
  <c r="G481" i="15"/>
  <c r="F481" i="15"/>
  <c r="E481" i="15"/>
  <c r="D481" i="15"/>
  <c r="C481" i="15"/>
  <c r="B481" i="15"/>
  <c r="A481" i="15" s="1"/>
  <c r="N480" i="15"/>
  <c r="M480" i="15"/>
  <c r="L480" i="15"/>
  <c r="K480" i="15"/>
  <c r="J480" i="15"/>
  <c r="I480" i="15"/>
  <c r="H480" i="15"/>
  <c r="G480" i="15"/>
  <c r="F480" i="15"/>
  <c r="E480" i="15"/>
  <c r="D480" i="15"/>
  <c r="C480" i="15"/>
  <c r="B480" i="15"/>
  <c r="A480" i="15" s="1"/>
  <c r="N479" i="15"/>
  <c r="M479" i="15"/>
  <c r="L479" i="15"/>
  <c r="K479" i="15"/>
  <c r="J479" i="15"/>
  <c r="I479" i="15"/>
  <c r="H479" i="15"/>
  <c r="G479" i="15"/>
  <c r="F479" i="15"/>
  <c r="E479" i="15"/>
  <c r="D479" i="15"/>
  <c r="C479" i="15"/>
  <c r="B479" i="15"/>
  <c r="A479" i="15" s="1"/>
  <c r="N478" i="15"/>
  <c r="M478" i="15"/>
  <c r="L478" i="15"/>
  <c r="K478" i="15"/>
  <c r="J478" i="15"/>
  <c r="I478" i="15"/>
  <c r="H478" i="15"/>
  <c r="G478" i="15"/>
  <c r="F478" i="15"/>
  <c r="E478" i="15"/>
  <c r="D478" i="15"/>
  <c r="C478" i="15"/>
  <c r="B478" i="15"/>
  <c r="A478" i="15" s="1"/>
  <c r="N477" i="15"/>
  <c r="M477" i="15"/>
  <c r="L477" i="15"/>
  <c r="K477" i="15"/>
  <c r="J477" i="15"/>
  <c r="I477" i="15"/>
  <c r="H477" i="15"/>
  <c r="G477" i="15"/>
  <c r="F477" i="15"/>
  <c r="E477" i="15"/>
  <c r="D477" i="15"/>
  <c r="C477" i="15"/>
  <c r="B477" i="15"/>
  <c r="A477" i="15" s="1"/>
  <c r="N476" i="15"/>
  <c r="M476" i="15"/>
  <c r="L476" i="15"/>
  <c r="K476" i="15"/>
  <c r="J476" i="15"/>
  <c r="I476" i="15"/>
  <c r="H476" i="15"/>
  <c r="G476" i="15"/>
  <c r="F476" i="15"/>
  <c r="E476" i="15"/>
  <c r="D476" i="15"/>
  <c r="C476" i="15"/>
  <c r="B476" i="15"/>
  <c r="A476" i="15" s="1"/>
  <c r="N475" i="15"/>
  <c r="M475" i="15"/>
  <c r="L475" i="15"/>
  <c r="K475" i="15"/>
  <c r="J475" i="15"/>
  <c r="I475" i="15"/>
  <c r="H475" i="15"/>
  <c r="G475" i="15"/>
  <c r="F475" i="15"/>
  <c r="E475" i="15"/>
  <c r="D475" i="15"/>
  <c r="C475" i="15"/>
  <c r="B475" i="15"/>
  <c r="A475" i="15" s="1"/>
  <c r="N474" i="15"/>
  <c r="M474" i="15"/>
  <c r="L474" i="15"/>
  <c r="K474" i="15"/>
  <c r="J474" i="15"/>
  <c r="I474" i="15"/>
  <c r="H474" i="15"/>
  <c r="G474" i="15"/>
  <c r="F474" i="15"/>
  <c r="E474" i="15"/>
  <c r="D474" i="15"/>
  <c r="C474" i="15"/>
  <c r="B474" i="15"/>
  <c r="A474" i="15" s="1"/>
  <c r="N473" i="15"/>
  <c r="M473" i="15"/>
  <c r="L473" i="15"/>
  <c r="K473" i="15"/>
  <c r="J473" i="15"/>
  <c r="I473" i="15"/>
  <c r="H473" i="15"/>
  <c r="G473" i="15"/>
  <c r="F473" i="15"/>
  <c r="E473" i="15"/>
  <c r="D473" i="15"/>
  <c r="C473" i="15"/>
  <c r="B473" i="15"/>
  <c r="A473" i="15" s="1"/>
  <c r="N472" i="15"/>
  <c r="M472" i="15"/>
  <c r="L472" i="15"/>
  <c r="K472" i="15"/>
  <c r="J472" i="15"/>
  <c r="I472" i="15"/>
  <c r="H472" i="15"/>
  <c r="G472" i="15"/>
  <c r="F472" i="15"/>
  <c r="E472" i="15"/>
  <c r="D472" i="15"/>
  <c r="C472" i="15"/>
  <c r="B472" i="15"/>
  <c r="A472" i="15" s="1"/>
  <c r="N471" i="15"/>
  <c r="M471" i="15"/>
  <c r="L471" i="15"/>
  <c r="K471" i="15"/>
  <c r="J471" i="15"/>
  <c r="I471" i="15"/>
  <c r="H471" i="15"/>
  <c r="G471" i="15"/>
  <c r="F471" i="15"/>
  <c r="E471" i="15"/>
  <c r="D471" i="15"/>
  <c r="C471" i="15"/>
  <c r="B471" i="15"/>
  <c r="A471" i="15" s="1"/>
  <c r="N470" i="15"/>
  <c r="M470" i="15"/>
  <c r="L470" i="15"/>
  <c r="K470" i="15"/>
  <c r="J470" i="15"/>
  <c r="I470" i="15"/>
  <c r="H470" i="15"/>
  <c r="G470" i="15"/>
  <c r="F470" i="15"/>
  <c r="E470" i="15"/>
  <c r="D470" i="15"/>
  <c r="C470" i="15"/>
  <c r="B470" i="15"/>
  <c r="A470" i="15" s="1"/>
  <c r="N469" i="15"/>
  <c r="M469" i="15"/>
  <c r="L469" i="15"/>
  <c r="K469" i="15"/>
  <c r="J469" i="15"/>
  <c r="I469" i="15"/>
  <c r="H469" i="15"/>
  <c r="G469" i="15"/>
  <c r="F469" i="15"/>
  <c r="E469" i="15"/>
  <c r="D469" i="15"/>
  <c r="C469" i="15"/>
  <c r="B469" i="15"/>
  <c r="A469" i="15" s="1"/>
  <c r="N468" i="15"/>
  <c r="M468" i="15"/>
  <c r="L468" i="15"/>
  <c r="K468" i="15"/>
  <c r="J468" i="15"/>
  <c r="I468" i="15"/>
  <c r="H468" i="15"/>
  <c r="G468" i="15"/>
  <c r="F468" i="15"/>
  <c r="E468" i="15"/>
  <c r="D468" i="15"/>
  <c r="C468" i="15"/>
  <c r="B468" i="15"/>
  <c r="A468" i="15" s="1"/>
  <c r="N467" i="15"/>
  <c r="M467" i="15"/>
  <c r="L467" i="15"/>
  <c r="K467" i="15"/>
  <c r="J467" i="15"/>
  <c r="I467" i="15"/>
  <c r="H467" i="15"/>
  <c r="G467" i="15"/>
  <c r="F467" i="15"/>
  <c r="E467" i="15"/>
  <c r="D467" i="15"/>
  <c r="C467" i="15"/>
  <c r="B467" i="15"/>
  <c r="A467" i="15" s="1"/>
  <c r="N466" i="15"/>
  <c r="M466" i="15"/>
  <c r="L466" i="15"/>
  <c r="K466" i="15"/>
  <c r="J466" i="15"/>
  <c r="I466" i="15"/>
  <c r="H466" i="15"/>
  <c r="G466" i="15"/>
  <c r="F466" i="15"/>
  <c r="E466" i="15"/>
  <c r="D466" i="15"/>
  <c r="C466" i="15"/>
  <c r="B466" i="15"/>
  <c r="A466" i="15" s="1"/>
  <c r="N465" i="15"/>
  <c r="M465" i="15"/>
  <c r="L465" i="15"/>
  <c r="K465" i="15"/>
  <c r="J465" i="15"/>
  <c r="I465" i="15"/>
  <c r="H465" i="15"/>
  <c r="G465" i="15"/>
  <c r="F465" i="15"/>
  <c r="E465" i="15"/>
  <c r="D465" i="15"/>
  <c r="C465" i="15"/>
  <c r="B465" i="15"/>
  <c r="A465" i="15" s="1"/>
  <c r="N464" i="15"/>
  <c r="M464" i="15"/>
  <c r="L464" i="15"/>
  <c r="K464" i="15"/>
  <c r="J464" i="15"/>
  <c r="I464" i="15"/>
  <c r="H464" i="15"/>
  <c r="G464" i="15"/>
  <c r="F464" i="15"/>
  <c r="E464" i="15"/>
  <c r="D464" i="15"/>
  <c r="C464" i="15"/>
  <c r="B464" i="15"/>
  <c r="A464" i="15" s="1"/>
  <c r="N463" i="15"/>
  <c r="M463" i="15"/>
  <c r="L463" i="15"/>
  <c r="K463" i="15"/>
  <c r="J463" i="15"/>
  <c r="I463" i="15"/>
  <c r="H463" i="15"/>
  <c r="G463" i="15"/>
  <c r="F463" i="15"/>
  <c r="E463" i="15"/>
  <c r="D463" i="15"/>
  <c r="C463" i="15"/>
  <c r="B463" i="15"/>
  <c r="A463" i="15" s="1"/>
  <c r="N462" i="15"/>
  <c r="M462" i="15"/>
  <c r="L462" i="15"/>
  <c r="K462" i="15"/>
  <c r="J462" i="15"/>
  <c r="I462" i="15"/>
  <c r="H462" i="15"/>
  <c r="G462" i="15"/>
  <c r="F462" i="15"/>
  <c r="E462" i="15"/>
  <c r="D462" i="15"/>
  <c r="C462" i="15"/>
  <c r="B462" i="15"/>
  <c r="A462" i="15" s="1"/>
  <c r="N461" i="15"/>
  <c r="M461" i="15"/>
  <c r="L461" i="15"/>
  <c r="K461" i="15"/>
  <c r="J461" i="15"/>
  <c r="I461" i="15"/>
  <c r="H461" i="15"/>
  <c r="G461" i="15"/>
  <c r="F461" i="15"/>
  <c r="E461" i="15"/>
  <c r="D461" i="15"/>
  <c r="C461" i="15"/>
  <c r="B461" i="15"/>
  <c r="A461" i="15" s="1"/>
  <c r="N460" i="15"/>
  <c r="M460" i="15"/>
  <c r="L460" i="15"/>
  <c r="K460" i="15"/>
  <c r="J460" i="15"/>
  <c r="I460" i="15"/>
  <c r="H460" i="15"/>
  <c r="G460" i="15"/>
  <c r="F460" i="15"/>
  <c r="E460" i="15"/>
  <c r="D460" i="15"/>
  <c r="C460" i="15"/>
  <c r="B460" i="15"/>
  <c r="A460" i="15" s="1"/>
  <c r="N459" i="15"/>
  <c r="M459" i="15"/>
  <c r="L459" i="15"/>
  <c r="K459" i="15"/>
  <c r="J459" i="15"/>
  <c r="I459" i="15"/>
  <c r="H459" i="15"/>
  <c r="G459" i="15"/>
  <c r="F459" i="15"/>
  <c r="E459" i="15"/>
  <c r="D459" i="15"/>
  <c r="C459" i="15"/>
  <c r="B459" i="15"/>
  <c r="A459" i="15" s="1"/>
  <c r="N458" i="15"/>
  <c r="M458" i="15"/>
  <c r="L458" i="15"/>
  <c r="K458" i="15"/>
  <c r="J458" i="15"/>
  <c r="I458" i="15"/>
  <c r="H458" i="15"/>
  <c r="G458" i="15"/>
  <c r="F458" i="15"/>
  <c r="E458" i="15"/>
  <c r="D458" i="15"/>
  <c r="C458" i="15"/>
  <c r="B458" i="15"/>
  <c r="A458" i="15" s="1"/>
  <c r="N457" i="15"/>
  <c r="M457" i="15"/>
  <c r="L457" i="15"/>
  <c r="K457" i="15"/>
  <c r="J457" i="15"/>
  <c r="I457" i="15"/>
  <c r="H457" i="15"/>
  <c r="G457" i="15"/>
  <c r="F457" i="15"/>
  <c r="E457" i="15"/>
  <c r="D457" i="15"/>
  <c r="C457" i="15"/>
  <c r="B457" i="15"/>
  <c r="A457" i="15" s="1"/>
  <c r="N456" i="15"/>
  <c r="M456" i="15"/>
  <c r="L456" i="15"/>
  <c r="K456" i="15"/>
  <c r="J456" i="15"/>
  <c r="I456" i="15"/>
  <c r="H456" i="15"/>
  <c r="G456" i="15"/>
  <c r="F456" i="15"/>
  <c r="E456" i="15"/>
  <c r="D456" i="15"/>
  <c r="C456" i="15"/>
  <c r="B456" i="15"/>
  <c r="A456" i="15" s="1"/>
  <c r="N455" i="15"/>
  <c r="M455" i="15"/>
  <c r="L455" i="15"/>
  <c r="K455" i="15"/>
  <c r="J455" i="15"/>
  <c r="I455" i="15"/>
  <c r="H455" i="15"/>
  <c r="G455" i="15"/>
  <c r="F455" i="15"/>
  <c r="E455" i="15"/>
  <c r="D455" i="15"/>
  <c r="C455" i="15"/>
  <c r="B455" i="15"/>
  <c r="A455" i="15" s="1"/>
  <c r="N454" i="15"/>
  <c r="M454" i="15"/>
  <c r="L454" i="15"/>
  <c r="K454" i="15"/>
  <c r="J454" i="15"/>
  <c r="I454" i="15"/>
  <c r="H454" i="15"/>
  <c r="G454" i="15"/>
  <c r="F454" i="15"/>
  <c r="E454" i="15"/>
  <c r="D454" i="15"/>
  <c r="C454" i="15"/>
  <c r="B454" i="15"/>
  <c r="A454" i="15" s="1"/>
  <c r="N453" i="15"/>
  <c r="M453" i="15"/>
  <c r="L453" i="15"/>
  <c r="K453" i="15"/>
  <c r="J453" i="15"/>
  <c r="I453" i="15"/>
  <c r="H453" i="15"/>
  <c r="G453" i="15"/>
  <c r="F453" i="15"/>
  <c r="E453" i="15"/>
  <c r="D453" i="15"/>
  <c r="C453" i="15"/>
  <c r="B453" i="15"/>
  <c r="A453" i="15" s="1"/>
  <c r="N452" i="15"/>
  <c r="M452" i="15"/>
  <c r="L452" i="15"/>
  <c r="K452" i="15"/>
  <c r="J452" i="15"/>
  <c r="I452" i="15"/>
  <c r="H452" i="15"/>
  <c r="G452" i="15"/>
  <c r="F452" i="15"/>
  <c r="E452" i="15"/>
  <c r="D452" i="15"/>
  <c r="C452" i="15"/>
  <c r="B452" i="15"/>
  <c r="A452" i="15" s="1"/>
  <c r="N451" i="15"/>
  <c r="M451" i="15"/>
  <c r="L451" i="15"/>
  <c r="K451" i="15"/>
  <c r="J451" i="15"/>
  <c r="I451" i="15"/>
  <c r="H451" i="15"/>
  <c r="G451" i="15"/>
  <c r="F451" i="15"/>
  <c r="E451" i="15"/>
  <c r="D451" i="15"/>
  <c r="C451" i="15"/>
  <c r="B451" i="15"/>
  <c r="A451" i="15" s="1"/>
  <c r="N450" i="15"/>
  <c r="M450" i="15"/>
  <c r="L450" i="15"/>
  <c r="K450" i="15"/>
  <c r="J450" i="15"/>
  <c r="I450" i="15"/>
  <c r="H450" i="15"/>
  <c r="G450" i="15"/>
  <c r="F450" i="15"/>
  <c r="E450" i="15"/>
  <c r="D450" i="15"/>
  <c r="C450" i="15"/>
  <c r="B450" i="15"/>
  <c r="A450" i="15" s="1"/>
  <c r="N449" i="15"/>
  <c r="M449" i="15"/>
  <c r="L449" i="15"/>
  <c r="K449" i="15"/>
  <c r="J449" i="15"/>
  <c r="I449" i="15"/>
  <c r="H449" i="15"/>
  <c r="G449" i="15"/>
  <c r="F449" i="15"/>
  <c r="E449" i="15"/>
  <c r="D449" i="15"/>
  <c r="C449" i="15"/>
  <c r="B449" i="15"/>
  <c r="A449" i="15" s="1"/>
  <c r="N448" i="15"/>
  <c r="M448" i="15"/>
  <c r="L448" i="15"/>
  <c r="K448" i="15"/>
  <c r="J448" i="15"/>
  <c r="I448" i="15"/>
  <c r="H448" i="15"/>
  <c r="G448" i="15"/>
  <c r="F448" i="15"/>
  <c r="E448" i="15"/>
  <c r="D448" i="15"/>
  <c r="C448" i="15"/>
  <c r="B448" i="15"/>
  <c r="A448" i="15" s="1"/>
  <c r="N447" i="15"/>
  <c r="M447" i="15"/>
  <c r="L447" i="15"/>
  <c r="K447" i="15"/>
  <c r="J447" i="15"/>
  <c r="I447" i="15"/>
  <c r="H447" i="15"/>
  <c r="G447" i="15"/>
  <c r="F447" i="15"/>
  <c r="E447" i="15"/>
  <c r="D447" i="15"/>
  <c r="C447" i="15"/>
  <c r="B447" i="15"/>
  <c r="A447" i="15" s="1"/>
  <c r="N446" i="15"/>
  <c r="M446" i="15"/>
  <c r="L446" i="15"/>
  <c r="K446" i="15"/>
  <c r="J446" i="15"/>
  <c r="I446" i="15"/>
  <c r="H446" i="15"/>
  <c r="G446" i="15"/>
  <c r="F446" i="15"/>
  <c r="E446" i="15"/>
  <c r="D446" i="15"/>
  <c r="C446" i="15"/>
  <c r="B446" i="15"/>
  <c r="A446" i="15" s="1"/>
  <c r="N445" i="15"/>
  <c r="M445" i="15"/>
  <c r="L445" i="15"/>
  <c r="K445" i="15"/>
  <c r="J445" i="15"/>
  <c r="I445" i="15"/>
  <c r="H445" i="15"/>
  <c r="G445" i="15"/>
  <c r="F445" i="15"/>
  <c r="E445" i="15"/>
  <c r="D445" i="15"/>
  <c r="C445" i="15"/>
  <c r="B445" i="15"/>
  <c r="A445" i="15" s="1"/>
  <c r="N444" i="15"/>
  <c r="M444" i="15"/>
  <c r="L444" i="15"/>
  <c r="K444" i="15"/>
  <c r="J444" i="15"/>
  <c r="I444" i="15"/>
  <c r="H444" i="15"/>
  <c r="G444" i="15"/>
  <c r="F444" i="15"/>
  <c r="E444" i="15"/>
  <c r="D444" i="15"/>
  <c r="C444" i="15"/>
  <c r="B444" i="15"/>
  <c r="A444" i="15" s="1"/>
  <c r="N443" i="15"/>
  <c r="M443" i="15"/>
  <c r="L443" i="15"/>
  <c r="K443" i="15"/>
  <c r="J443" i="15"/>
  <c r="I443" i="15"/>
  <c r="H443" i="15"/>
  <c r="G443" i="15"/>
  <c r="F443" i="15"/>
  <c r="E443" i="15"/>
  <c r="D443" i="15"/>
  <c r="C443" i="15"/>
  <c r="B443" i="15"/>
  <c r="A443" i="15" s="1"/>
  <c r="N442" i="15"/>
  <c r="M442" i="15"/>
  <c r="L442" i="15"/>
  <c r="K442" i="15"/>
  <c r="J442" i="15"/>
  <c r="I442" i="15"/>
  <c r="H442" i="15"/>
  <c r="G442" i="15"/>
  <c r="F442" i="15"/>
  <c r="E442" i="15"/>
  <c r="D442" i="15"/>
  <c r="C442" i="15"/>
  <c r="B442" i="15"/>
  <c r="A442" i="15" s="1"/>
  <c r="N441" i="15"/>
  <c r="M441" i="15"/>
  <c r="L441" i="15"/>
  <c r="K441" i="15"/>
  <c r="J441" i="15"/>
  <c r="I441" i="15"/>
  <c r="H441" i="15"/>
  <c r="G441" i="15"/>
  <c r="F441" i="15"/>
  <c r="E441" i="15"/>
  <c r="D441" i="15"/>
  <c r="C441" i="15"/>
  <c r="B441" i="15"/>
  <c r="A441" i="15" s="1"/>
  <c r="N440" i="15"/>
  <c r="M440" i="15"/>
  <c r="L440" i="15"/>
  <c r="K440" i="15"/>
  <c r="J440" i="15"/>
  <c r="I440" i="15"/>
  <c r="H440" i="15"/>
  <c r="G440" i="15"/>
  <c r="F440" i="15"/>
  <c r="E440" i="15"/>
  <c r="D440" i="15"/>
  <c r="C440" i="15"/>
  <c r="B440" i="15"/>
  <c r="A440" i="15" s="1"/>
  <c r="N439" i="15"/>
  <c r="M439" i="15"/>
  <c r="L439" i="15"/>
  <c r="K439" i="15"/>
  <c r="J439" i="15"/>
  <c r="I439" i="15"/>
  <c r="H439" i="15"/>
  <c r="G439" i="15"/>
  <c r="F439" i="15"/>
  <c r="E439" i="15"/>
  <c r="D439" i="15"/>
  <c r="C439" i="15"/>
  <c r="B439" i="15"/>
  <c r="A439" i="15" s="1"/>
  <c r="N438" i="15"/>
  <c r="M438" i="15"/>
  <c r="L438" i="15"/>
  <c r="K438" i="15"/>
  <c r="J438" i="15"/>
  <c r="I438" i="15"/>
  <c r="H438" i="15"/>
  <c r="G438" i="15"/>
  <c r="F438" i="15"/>
  <c r="E438" i="15"/>
  <c r="D438" i="15"/>
  <c r="C438" i="15"/>
  <c r="B438" i="15"/>
  <c r="A438" i="15" s="1"/>
  <c r="N437" i="15"/>
  <c r="M437" i="15"/>
  <c r="L437" i="15"/>
  <c r="K437" i="15"/>
  <c r="J437" i="15"/>
  <c r="I437" i="15"/>
  <c r="H437" i="15"/>
  <c r="G437" i="15"/>
  <c r="F437" i="15"/>
  <c r="E437" i="15"/>
  <c r="D437" i="15"/>
  <c r="C437" i="15"/>
  <c r="B437" i="15"/>
  <c r="A437" i="15" s="1"/>
  <c r="N436" i="15"/>
  <c r="M436" i="15"/>
  <c r="L436" i="15"/>
  <c r="K436" i="15"/>
  <c r="J436" i="15"/>
  <c r="I436" i="15"/>
  <c r="H436" i="15"/>
  <c r="G436" i="15"/>
  <c r="F436" i="15"/>
  <c r="E436" i="15"/>
  <c r="D436" i="15"/>
  <c r="C436" i="15"/>
  <c r="B436" i="15"/>
  <c r="A436" i="15" s="1"/>
  <c r="N435" i="15"/>
  <c r="M435" i="15"/>
  <c r="L435" i="15"/>
  <c r="K435" i="15"/>
  <c r="J435" i="15"/>
  <c r="I435" i="15"/>
  <c r="H435" i="15"/>
  <c r="G435" i="15"/>
  <c r="F435" i="15"/>
  <c r="E435" i="15"/>
  <c r="D435" i="15"/>
  <c r="C435" i="15"/>
  <c r="B435" i="15"/>
  <c r="A435" i="15" s="1"/>
  <c r="N434" i="15"/>
  <c r="M434" i="15"/>
  <c r="L434" i="15"/>
  <c r="K434" i="15"/>
  <c r="J434" i="15"/>
  <c r="I434" i="15"/>
  <c r="H434" i="15"/>
  <c r="G434" i="15"/>
  <c r="F434" i="15"/>
  <c r="E434" i="15"/>
  <c r="D434" i="15"/>
  <c r="C434" i="15"/>
  <c r="B434" i="15"/>
  <c r="A434" i="15" s="1"/>
  <c r="N433" i="15"/>
  <c r="M433" i="15"/>
  <c r="L433" i="15"/>
  <c r="K433" i="15"/>
  <c r="J433" i="15"/>
  <c r="I433" i="15"/>
  <c r="H433" i="15"/>
  <c r="G433" i="15"/>
  <c r="F433" i="15"/>
  <c r="E433" i="15"/>
  <c r="D433" i="15"/>
  <c r="C433" i="15"/>
  <c r="B433" i="15"/>
  <c r="A433" i="15" s="1"/>
  <c r="N432" i="15"/>
  <c r="M432" i="15"/>
  <c r="L432" i="15"/>
  <c r="K432" i="15"/>
  <c r="J432" i="15"/>
  <c r="I432" i="15"/>
  <c r="H432" i="15"/>
  <c r="G432" i="15"/>
  <c r="F432" i="15"/>
  <c r="E432" i="15"/>
  <c r="D432" i="15"/>
  <c r="C432" i="15"/>
  <c r="B432" i="15"/>
  <c r="A432" i="15" s="1"/>
  <c r="N431" i="15"/>
  <c r="M431" i="15"/>
  <c r="L431" i="15"/>
  <c r="K431" i="15"/>
  <c r="J431" i="15"/>
  <c r="I431" i="15"/>
  <c r="H431" i="15"/>
  <c r="G431" i="15"/>
  <c r="F431" i="15"/>
  <c r="E431" i="15"/>
  <c r="D431" i="15"/>
  <c r="C431" i="15"/>
  <c r="B431" i="15"/>
  <c r="A431" i="15" s="1"/>
  <c r="N430" i="15"/>
  <c r="M430" i="15"/>
  <c r="L430" i="15"/>
  <c r="K430" i="15"/>
  <c r="J430" i="15"/>
  <c r="I430" i="15"/>
  <c r="H430" i="15"/>
  <c r="G430" i="15"/>
  <c r="F430" i="15"/>
  <c r="E430" i="15"/>
  <c r="D430" i="15"/>
  <c r="C430" i="15"/>
  <c r="B430" i="15"/>
  <c r="A430" i="15" s="1"/>
  <c r="N429" i="15"/>
  <c r="M429" i="15"/>
  <c r="L429" i="15"/>
  <c r="K429" i="15"/>
  <c r="J429" i="15"/>
  <c r="I429" i="15"/>
  <c r="H429" i="15"/>
  <c r="G429" i="15"/>
  <c r="F429" i="15"/>
  <c r="E429" i="15"/>
  <c r="D429" i="15"/>
  <c r="C429" i="15"/>
  <c r="B429" i="15"/>
  <c r="A429" i="15" s="1"/>
  <c r="N428" i="15"/>
  <c r="M428" i="15"/>
  <c r="L428" i="15"/>
  <c r="K428" i="15"/>
  <c r="J428" i="15"/>
  <c r="I428" i="15"/>
  <c r="H428" i="15"/>
  <c r="G428" i="15"/>
  <c r="F428" i="15"/>
  <c r="E428" i="15"/>
  <c r="D428" i="15"/>
  <c r="C428" i="15"/>
  <c r="B428" i="15"/>
  <c r="A428" i="15" s="1"/>
  <c r="N427" i="15"/>
  <c r="M427" i="15"/>
  <c r="L427" i="15"/>
  <c r="K427" i="15"/>
  <c r="J427" i="15"/>
  <c r="I427" i="15"/>
  <c r="H427" i="15"/>
  <c r="G427" i="15"/>
  <c r="F427" i="15"/>
  <c r="E427" i="15"/>
  <c r="D427" i="15"/>
  <c r="C427" i="15"/>
  <c r="B427" i="15"/>
  <c r="A427" i="15" s="1"/>
  <c r="N426" i="15"/>
  <c r="M426" i="15"/>
  <c r="L426" i="15"/>
  <c r="K426" i="15"/>
  <c r="J426" i="15"/>
  <c r="I426" i="15"/>
  <c r="H426" i="15"/>
  <c r="G426" i="15"/>
  <c r="F426" i="15"/>
  <c r="E426" i="15"/>
  <c r="D426" i="15"/>
  <c r="C426" i="15"/>
  <c r="B426" i="15"/>
  <c r="A426" i="15" s="1"/>
  <c r="N425" i="15"/>
  <c r="M425" i="15"/>
  <c r="L425" i="15"/>
  <c r="K425" i="15"/>
  <c r="J425" i="15"/>
  <c r="I425" i="15"/>
  <c r="H425" i="15"/>
  <c r="G425" i="15"/>
  <c r="F425" i="15"/>
  <c r="E425" i="15"/>
  <c r="D425" i="15"/>
  <c r="C425" i="15"/>
  <c r="B425" i="15"/>
  <c r="A425" i="15" s="1"/>
  <c r="N424" i="15"/>
  <c r="M424" i="15"/>
  <c r="L424" i="15"/>
  <c r="K424" i="15"/>
  <c r="J424" i="15"/>
  <c r="I424" i="15"/>
  <c r="H424" i="15"/>
  <c r="G424" i="15"/>
  <c r="F424" i="15"/>
  <c r="E424" i="15"/>
  <c r="D424" i="15"/>
  <c r="C424" i="15"/>
  <c r="B424" i="15"/>
  <c r="A424" i="15" s="1"/>
  <c r="N423" i="15"/>
  <c r="M423" i="15"/>
  <c r="L423" i="15"/>
  <c r="K423" i="15"/>
  <c r="J423" i="15"/>
  <c r="I423" i="15"/>
  <c r="H423" i="15"/>
  <c r="G423" i="15"/>
  <c r="F423" i="15"/>
  <c r="E423" i="15"/>
  <c r="D423" i="15"/>
  <c r="C423" i="15"/>
  <c r="B423" i="15"/>
  <c r="A423" i="15" s="1"/>
  <c r="N422" i="15"/>
  <c r="M422" i="15"/>
  <c r="L422" i="15"/>
  <c r="K422" i="15"/>
  <c r="J422" i="15"/>
  <c r="I422" i="15"/>
  <c r="H422" i="15"/>
  <c r="G422" i="15"/>
  <c r="F422" i="15"/>
  <c r="E422" i="15"/>
  <c r="D422" i="15"/>
  <c r="C422" i="15"/>
  <c r="B422" i="15"/>
  <c r="A422" i="15" s="1"/>
  <c r="N421" i="15"/>
  <c r="M421" i="15"/>
  <c r="L421" i="15"/>
  <c r="K421" i="15"/>
  <c r="J421" i="15"/>
  <c r="I421" i="15"/>
  <c r="H421" i="15"/>
  <c r="G421" i="15"/>
  <c r="F421" i="15"/>
  <c r="E421" i="15"/>
  <c r="D421" i="15"/>
  <c r="C421" i="15"/>
  <c r="B421" i="15"/>
  <c r="A421" i="15" s="1"/>
  <c r="N420" i="15"/>
  <c r="M420" i="15"/>
  <c r="L420" i="15"/>
  <c r="K420" i="15"/>
  <c r="J420" i="15"/>
  <c r="I420" i="15"/>
  <c r="H420" i="15"/>
  <c r="G420" i="15"/>
  <c r="F420" i="15"/>
  <c r="E420" i="15"/>
  <c r="D420" i="15"/>
  <c r="C420" i="15"/>
  <c r="B420" i="15"/>
  <c r="A420" i="15" s="1"/>
  <c r="N419" i="15"/>
  <c r="M419" i="15"/>
  <c r="L419" i="15"/>
  <c r="K419" i="15"/>
  <c r="J419" i="15"/>
  <c r="I419" i="15"/>
  <c r="H419" i="15"/>
  <c r="G419" i="15"/>
  <c r="F419" i="15"/>
  <c r="E419" i="15"/>
  <c r="D419" i="15"/>
  <c r="C419" i="15"/>
  <c r="B419" i="15"/>
  <c r="A419" i="15" s="1"/>
  <c r="N418" i="15"/>
  <c r="M418" i="15"/>
  <c r="L418" i="15"/>
  <c r="K418" i="15"/>
  <c r="J418" i="15"/>
  <c r="I418" i="15"/>
  <c r="H418" i="15"/>
  <c r="G418" i="15"/>
  <c r="F418" i="15"/>
  <c r="E418" i="15"/>
  <c r="D418" i="15"/>
  <c r="C418" i="15"/>
  <c r="B418" i="15"/>
  <c r="A418" i="15" s="1"/>
  <c r="N417" i="15"/>
  <c r="M417" i="15"/>
  <c r="L417" i="15"/>
  <c r="K417" i="15"/>
  <c r="J417" i="15"/>
  <c r="I417" i="15"/>
  <c r="H417" i="15"/>
  <c r="G417" i="15"/>
  <c r="F417" i="15"/>
  <c r="E417" i="15"/>
  <c r="D417" i="15"/>
  <c r="C417" i="15"/>
  <c r="B417" i="15"/>
  <c r="A417" i="15" s="1"/>
  <c r="N416" i="15"/>
  <c r="M416" i="15"/>
  <c r="L416" i="15"/>
  <c r="K416" i="15"/>
  <c r="J416" i="15"/>
  <c r="I416" i="15"/>
  <c r="H416" i="15"/>
  <c r="G416" i="15"/>
  <c r="F416" i="15"/>
  <c r="E416" i="15"/>
  <c r="D416" i="15"/>
  <c r="C416" i="15"/>
  <c r="B416" i="15"/>
  <c r="A416" i="15" s="1"/>
  <c r="N415" i="15"/>
  <c r="M415" i="15"/>
  <c r="L415" i="15"/>
  <c r="K415" i="15"/>
  <c r="J415" i="15"/>
  <c r="I415" i="15"/>
  <c r="H415" i="15"/>
  <c r="G415" i="15"/>
  <c r="F415" i="15"/>
  <c r="E415" i="15"/>
  <c r="D415" i="15"/>
  <c r="C415" i="15"/>
  <c r="B415" i="15"/>
  <c r="A415" i="15" s="1"/>
  <c r="N414" i="15"/>
  <c r="M414" i="15"/>
  <c r="L414" i="15"/>
  <c r="K414" i="15"/>
  <c r="J414" i="15"/>
  <c r="I414" i="15"/>
  <c r="H414" i="15"/>
  <c r="G414" i="15"/>
  <c r="F414" i="15"/>
  <c r="E414" i="15"/>
  <c r="D414" i="15"/>
  <c r="C414" i="15"/>
  <c r="B414" i="15"/>
  <c r="A414" i="15" s="1"/>
  <c r="N413" i="15"/>
  <c r="M413" i="15"/>
  <c r="L413" i="15"/>
  <c r="K413" i="15"/>
  <c r="J413" i="15"/>
  <c r="I413" i="15"/>
  <c r="H413" i="15"/>
  <c r="G413" i="15"/>
  <c r="F413" i="15"/>
  <c r="E413" i="15"/>
  <c r="D413" i="15"/>
  <c r="C413" i="15"/>
  <c r="B413" i="15"/>
  <c r="A413" i="15" s="1"/>
  <c r="N412" i="15"/>
  <c r="M412" i="15"/>
  <c r="L412" i="15"/>
  <c r="K412" i="15"/>
  <c r="J412" i="15"/>
  <c r="I412" i="15"/>
  <c r="H412" i="15"/>
  <c r="G412" i="15"/>
  <c r="F412" i="15"/>
  <c r="E412" i="15"/>
  <c r="D412" i="15"/>
  <c r="C412" i="15"/>
  <c r="B412" i="15"/>
  <c r="A412" i="15" s="1"/>
  <c r="N411" i="15"/>
  <c r="M411" i="15"/>
  <c r="L411" i="15"/>
  <c r="K411" i="15"/>
  <c r="J411" i="15"/>
  <c r="I411" i="15"/>
  <c r="H411" i="15"/>
  <c r="G411" i="15"/>
  <c r="F411" i="15"/>
  <c r="E411" i="15"/>
  <c r="D411" i="15"/>
  <c r="C411" i="15"/>
  <c r="B411" i="15"/>
  <c r="A411" i="15" s="1"/>
  <c r="N410" i="15"/>
  <c r="M410" i="15"/>
  <c r="L410" i="15"/>
  <c r="K410" i="15"/>
  <c r="J410" i="15"/>
  <c r="I410" i="15"/>
  <c r="H410" i="15"/>
  <c r="G410" i="15"/>
  <c r="F410" i="15"/>
  <c r="E410" i="15"/>
  <c r="D410" i="15"/>
  <c r="C410" i="15"/>
  <c r="B410" i="15"/>
  <c r="A410" i="15" s="1"/>
  <c r="N409" i="15"/>
  <c r="M409" i="15"/>
  <c r="L409" i="15"/>
  <c r="K409" i="15"/>
  <c r="J409" i="15"/>
  <c r="I409" i="15"/>
  <c r="H409" i="15"/>
  <c r="G409" i="15"/>
  <c r="F409" i="15"/>
  <c r="E409" i="15"/>
  <c r="D409" i="15"/>
  <c r="C409" i="15"/>
  <c r="B409" i="15"/>
  <c r="A409" i="15" s="1"/>
  <c r="N408" i="15"/>
  <c r="M408" i="15"/>
  <c r="L408" i="15"/>
  <c r="K408" i="15"/>
  <c r="J408" i="15"/>
  <c r="I408" i="15"/>
  <c r="H408" i="15"/>
  <c r="G408" i="15"/>
  <c r="F408" i="15"/>
  <c r="E408" i="15"/>
  <c r="D408" i="15"/>
  <c r="C408" i="15"/>
  <c r="B408" i="15"/>
  <c r="A408" i="15" s="1"/>
  <c r="N407" i="15"/>
  <c r="M407" i="15"/>
  <c r="L407" i="15"/>
  <c r="K407" i="15"/>
  <c r="J407" i="15"/>
  <c r="I407" i="15"/>
  <c r="H407" i="15"/>
  <c r="G407" i="15"/>
  <c r="F407" i="15"/>
  <c r="E407" i="15"/>
  <c r="D407" i="15"/>
  <c r="C407" i="15"/>
  <c r="B407" i="15"/>
  <c r="A407" i="15" s="1"/>
  <c r="N406" i="15"/>
  <c r="M406" i="15"/>
  <c r="L406" i="15"/>
  <c r="K406" i="15"/>
  <c r="J406" i="15"/>
  <c r="I406" i="15"/>
  <c r="H406" i="15"/>
  <c r="G406" i="15"/>
  <c r="F406" i="15"/>
  <c r="E406" i="15"/>
  <c r="D406" i="15"/>
  <c r="C406" i="15"/>
  <c r="B406" i="15"/>
  <c r="A406" i="15" s="1"/>
  <c r="N405" i="15"/>
  <c r="M405" i="15"/>
  <c r="L405" i="15"/>
  <c r="K405" i="15"/>
  <c r="J405" i="15"/>
  <c r="I405" i="15"/>
  <c r="H405" i="15"/>
  <c r="G405" i="15"/>
  <c r="F405" i="15"/>
  <c r="E405" i="15"/>
  <c r="D405" i="15"/>
  <c r="C405" i="15"/>
  <c r="B405" i="15"/>
  <c r="A405" i="15" s="1"/>
  <c r="N404" i="15"/>
  <c r="M404" i="15"/>
  <c r="L404" i="15"/>
  <c r="K404" i="15"/>
  <c r="J404" i="15"/>
  <c r="I404" i="15"/>
  <c r="H404" i="15"/>
  <c r="G404" i="15"/>
  <c r="F404" i="15"/>
  <c r="E404" i="15"/>
  <c r="D404" i="15"/>
  <c r="C404" i="15"/>
  <c r="B404" i="15"/>
  <c r="A404" i="15" s="1"/>
  <c r="N403" i="15"/>
  <c r="M403" i="15"/>
  <c r="L403" i="15"/>
  <c r="K403" i="15"/>
  <c r="J403" i="15"/>
  <c r="I403" i="15"/>
  <c r="H403" i="15"/>
  <c r="G403" i="15"/>
  <c r="F403" i="15"/>
  <c r="E403" i="15"/>
  <c r="D403" i="15"/>
  <c r="C403" i="15"/>
  <c r="B403" i="15"/>
  <c r="A403" i="15" s="1"/>
  <c r="N402" i="15"/>
  <c r="M402" i="15"/>
  <c r="L402" i="15"/>
  <c r="K402" i="15"/>
  <c r="J402" i="15"/>
  <c r="I402" i="15"/>
  <c r="H402" i="15"/>
  <c r="G402" i="15"/>
  <c r="F402" i="15"/>
  <c r="E402" i="15"/>
  <c r="D402" i="15"/>
  <c r="C402" i="15"/>
  <c r="B402" i="15"/>
  <c r="A402" i="15" s="1"/>
  <c r="N401" i="15"/>
  <c r="M401" i="15"/>
  <c r="L401" i="15"/>
  <c r="K401" i="15"/>
  <c r="J401" i="15"/>
  <c r="I401" i="15"/>
  <c r="H401" i="15"/>
  <c r="G401" i="15"/>
  <c r="F401" i="15"/>
  <c r="E401" i="15"/>
  <c r="D401" i="15"/>
  <c r="C401" i="15"/>
  <c r="B401" i="15"/>
  <c r="A401" i="15" s="1"/>
  <c r="N400" i="15"/>
  <c r="M400" i="15"/>
  <c r="L400" i="15"/>
  <c r="K400" i="15"/>
  <c r="J400" i="15"/>
  <c r="I400" i="15"/>
  <c r="H400" i="15"/>
  <c r="G400" i="15"/>
  <c r="F400" i="15"/>
  <c r="E400" i="15"/>
  <c r="D400" i="15"/>
  <c r="C400" i="15"/>
  <c r="B400" i="15"/>
  <c r="A400" i="15" s="1"/>
  <c r="N399" i="15"/>
  <c r="M399" i="15"/>
  <c r="L399" i="15"/>
  <c r="K399" i="15"/>
  <c r="J399" i="15"/>
  <c r="I399" i="15"/>
  <c r="H399" i="15"/>
  <c r="G399" i="15"/>
  <c r="F399" i="15"/>
  <c r="E399" i="15"/>
  <c r="D399" i="15"/>
  <c r="C399" i="15"/>
  <c r="B399" i="15"/>
  <c r="A399" i="15" s="1"/>
  <c r="N398" i="15"/>
  <c r="M398" i="15"/>
  <c r="L398" i="15"/>
  <c r="K398" i="15"/>
  <c r="J398" i="15"/>
  <c r="I398" i="15"/>
  <c r="H398" i="15"/>
  <c r="G398" i="15"/>
  <c r="F398" i="15"/>
  <c r="E398" i="15"/>
  <c r="D398" i="15"/>
  <c r="C398" i="15"/>
  <c r="B398" i="15"/>
  <c r="A398" i="15" s="1"/>
  <c r="N397" i="15"/>
  <c r="M397" i="15"/>
  <c r="L397" i="15"/>
  <c r="K397" i="15"/>
  <c r="J397" i="15"/>
  <c r="I397" i="15"/>
  <c r="H397" i="15"/>
  <c r="G397" i="15"/>
  <c r="F397" i="15"/>
  <c r="E397" i="15"/>
  <c r="D397" i="15"/>
  <c r="C397" i="15"/>
  <c r="B397" i="15"/>
  <c r="A397" i="15" s="1"/>
  <c r="N396" i="15"/>
  <c r="M396" i="15"/>
  <c r="L396" i="15"/>
  <c r="K396" i="15"/>
  <c r="J396" i="15"/>
  <c r="I396" i="15"/>
  <c r="H396" i="15"/>
  <c r="G396" i="15"/>
  <c r="F396" i="15"/>
  <c r="E396" i="15"/>
  <c r="D396" i="15"/>
  <c r="C396" i="15"/>
  <c r="B396" i="15"/>
  <c r="A396" i="15" s="1"/>
  <c r="N395" i="15"/>
  <c r="M395" i="15"/>
  <c r="L395" i="15"/>
  <c r="K395" i="15"/>
  <c r="J395" i="15"/>
  <c r="I395" i="15"/>
  <c r="H395" i="15"/>
  <c r="G395" i="15"/>
  <c r="F395" i="15"/>
  <c r="E395" i="15"/>
  <c r="D395" i="15"/>
  <c r="C395" i="15"/>
  <c r="B395" i="15"/>
  <c r="A395" i="15" s="1"/>
  <c r="N394" i="15"/>
  <c r="M394" i="15"/>
  <c r="L394" i="15"/>
  <c r="K394" i="15"/>
  <c r="J394" i="15"/>
  <c r="I394" i="15"/>
  <c r="H394" i="15"/>
  <c r="G394" i="15"/>
  <c r="F394" i="15"/>
  <c r="E394" i="15"/>
  <c r="D394" i="15"/>
  <c r="C394" i="15"/>
  <c r="B394" i="15"/>
  <c r="A394" i="15" s="1"/>
  <c r="N393" i="15"/>
  <c r="M393" i="15"/>
  <c r="L393" i="15"/>
  <c r="K393" i="15"/>
  <c r="J393" i="15"/>
  <c r="I393" i="15"/>
  <c r="H393" i="15"/>
  <c r="G393" i="15"/>
  <c r="F393" i="15"/>
  <c r="E393" i="15"/>
  <c r="D393" i="15"/>
  <c r="C393" i="15"/>
  <c r="B393" i="15"/>
  <c r="A393" i="15" s="1"/>
  <c r="N392" i="15"/>
  <c r="M392" i="15"/>
  <c r="L392" i="15"/>
  <c r="K392" i="15"/>
  <c r="J392" i="15"/>
  <c r="I392" i="15"/>
  <c r="H392" i="15"/>
  <c r="G392" i="15"/>
  <c r="F392" i="15"/>
  <c r="E392" i="15"/>
  <c r="D392" i="15"/>
  <c r="C392" i="15"/>
  <c r="B392" i="15"/>
  <c r="A392" i="15" s="1"/>
  <c r="N391" i="15"/>
  <c r="M391" i="15"/>
  <c r="L391" i="15"/>
  <c r="K391" i="15"/>
  <c r="J391" i="15"/>
  <c r="I391" i="15"/>
  <c r="H391" i="15"/>
  <c r="G391" i="15"/>
  <c r="F391" i="15"/>
  <c r="E391" i="15"/>
  <c r="D391" i="15"/>
  <c r="C391" i="15"/>
  <c r="B391" i="15"/>
  <c r="A391" i="15" s="1"/>
  <c r="N390" i="15"/>
  <c r="M390" i="15"/>
  <c r="L390" i="15"/>
  <c r="K390" i="15"/>
  <c r="J390" i="15"/>
  <c r="I390" i="15"/>
  <c r="H390" i="15"/>
  <c r="G390" i="15"/>
  <c r="F390" i="15"/>
  <c r="E390" i="15"/>
  <c r="D390" i="15"/>
  <c r="C390" i="15"/>
  <c r="B390" i="15"/>
  <c r="A390" i="15" s="1"/>
  <c r="N389" i="15"/>
  <c r="M389" i="15"/>
  <c r="L389" i="15"/>
  <c r="K389" i="15"/>
  <c r="J389" i="15"/>
  <c r="I389" i="15"/>
  <c r="H389" i="15"/>
  <c r="G389" i="15"/>
  <c r="F389" i="15"/>
  <c r="E389" i="15"/>
  <c r="D389" i="15"/>
  <c r="C389" i="15"/>
  <c r="B389" i="15"/>
  <c r="A389" i="15" s="1"/>
  <c r="N388" i="15"/>
  <c r="M388" i="15"/>
  <c r="L388" i="15"/>
  <c r="K388" i="15"/>
  <c r="J388" i="15"/>
  <c r="I388" i="15"/>
  <c r="H388" i="15"/>
  <c r="G388" i="15"/>
  <c r="F388" i="15"/>
  <c r="E388" i="15"/>
  <c r="D388" i="15"/>
  <c r="C388" i="15"/>
  <c r="B388" i="15"/>
  <c r="A388" i="15" s="1"/>
  <c r="N387" i="15"/>
  <c r="M387" i="15"/>
  <c r="L387" i="15"/>
  <c r="K387" i="15"/>
  <c r="J387" i="15"/>
  <c r="I387" i="15"/>
  <c r="H387" i="15"/>
  <c r="G387" i="15"/>
  <c r="F387" i="15"/>
  <c r="E387" i="15"/>
  <c r="D387" i="15"/>
  <c r="C387" i="15"/>
  <c r="B387" i="15"/>
  <c r="A387" i="15" s="1"/>
  <c r="N386" i="15"/>
  <c r="M386" i="15"/>
  <c r="L386" i="15"/>
  <c r="K386" i="15"/>
  <c r="J386" i="15"/>
  <c r="I386" i="15"/>
  <c r="H386" i="15"/>
  <c r="G386" i="15"/>
  <c r="F386" i="15"/>
  <c r="E386" i="15"/>
  <c r="D386" i="15"/>
  <c r="C386" i="15"/>
  <c r="B386" i="15"/>
  <c r="A386" i="15" s="1"/>
  <c r="N385" i="15"/>
  <c r="M385" i="15"/>
  <c r="L385" i="15"/>
  <c r="K385" i="15"/>
  <c r="J385" i="15"/>
  <c r="I385" i="15"/>
  <c r="H385" i="15"/>
  <c r="G385" i="15"/>
  <c r="F385" i="15"/>
  <c r="E385" i="15"/>
  <c r="D385" i="15"/>
  <c r="C385" i="15"/>
  <c r="B385" i="15"/>
  <c r="A385" i="15" s="1"/>
  <c r="N384" i="15"/>
  <c r="M384" i="15"/>
  <c r="L384" i="15"/>
  <c r="K384" i="15"/>
  <c r="J384" i="15"/>
  <c r="I384" i="15"/>
  <c r="H384" i="15"/>
  <c r="G384" i="15"/>
  <c r="F384" i="15"/>
  <c r="E384" i="15"/>
  <c r="D384" i="15"/>
  <c r="C384" i="15"/>
  <c r="B384" i="15"/>
  <c r="A384" i="15" s="1"/>
  <c r="N383" i="15"/>
  <c r="M383" i="15"/>
  <c r="L383" i="15"/>
  <c r="K383" i="15"/>
  <c r="J383" i="15"/>
  <c r="I383" i="15"/>
  <c r="H383" i="15"/>
  <c r="G383" i="15"/>
  <c r="F383" i="15"/>
  <c r="E383" i="15"/>
  <c r="D383" i="15"/>
  <c r="C383" i="15"/>
  <c r="B383" i="15"/>
  <c r="A383" i="15" s="1"/>
  <c r="N382" i="15"/>
  <c r="M382" i="15"/>
  <c r="L382" i="15"/>
  <c r="K382" i="15"/>
  <c r="J382" i="15"/>
  <c r="I382" i="15"/>
  <c r="H382" i="15"/>
  <c r="G382" i="15"/>
  <c r="F382" i="15"/>
  <c r="E382" i="15"/>
  <c r="D382" i="15"/>
  <c r="C382" i="15"/>
  <c r="B382" i="15"/>
  <c r="A382" i="15" s="1"/>
  <c r="N381" i="15"/>
  <c r="M381" i="15"/>
  <c r="L381" i="15"/>
  <c r="K381" i="15"/>
  <c r="J381" i="15"/>
  <c r="I381" i="15"/>
  <c r="H381" i="15"/>
  <c r="G381" i="15"/>
  <c r="F381" i="15"/>
  <c r="E381" i="15"/>
  <c r="D381" i="15"/>
  <c r="C381" i="15"/>
  <c r="B381" i="15"/>
  <c r="A381" i="15" s="1"/>
  <c r="N380" i="15"/>
  <c r="M380" i="15"/>
  <c r="L380" i="15"/>
  <c r="K380" i="15"/>
  <c r="J380" i="15"/>
  <c r="I380" i="15"/>
  <c r="H380" i="15"/>
  <c r="G380" i="15"/>
  <c r="F380" i="15"/>
  <c r="E380" i="15"/>
  <c r="D380" i="15"/>
  <c r="C380" i="15"/>
  <c r="B380" i="15"/>
  <c r="A380" i="15" s="1"/>
  <c r="N379" i="15"/>
  <c r="M379" i="15"/>
  <c r="L379" i="15"/>
  <c r="K379" i="15"/>
  <c r="J379" i="15"/>
  <c r="I379" i="15"/>
  <c r="H379" i="15"/>
  <c r="G379" i="15"/>
  <c r="F379" i="15"/>
  <c r="E379" i="15"/>
  <c r="D379" i="15"/>
  <c r="C379" i="15"/>
  <c r="B379" i="15"/>
  <c r="A379" i="15" s="1"/>
  <c r="N378" i="15"/>
  <c r="M378" i="15"/>
  <c r="L378" i="15"/>
  <c r="K378" i="15"/>
  <c r="J378" i="15"/>
  <c r="I378" i="15"/>
  <c r="H378" i="15"/>
  <c r="G378" i="15"/>
  <c r="F378" i="15"/>
  <c r="E378" i="15"/>
  <c r="D378" i="15"/>
  <c r="C378" i="15"/>
  <c r="B378" i="15"/>
  <c r="A378" i="15" s="1"/>
  <c r="N377" i="15"/>
  <c r="M377" i="15"/>
  <c r="L377" i="15"/>
  <c r="K377" i="15"/>
  <c r="J377" i="15"/>
  <c r="I377" i="15"/>
  <c r="H377" i="15"/>
  <c r="G377" i="15"/>
  <c r="F377" i="15"/>
  <c r="E377" i="15"/>
  <c r="D377" i="15"/>
  <c r="C377" i="15"/>
  <c r="B377" i="15"/>
  <c r="A377" i="15" s="1"/>
  <c r="N376" i="15"/>
  <c r="M376" i="15"/>
  <c r="L376" i="15"/>
  <c r="K376" i="15"/>
  <c r="J376" i="15"/>
  <c r="I376" i="15"/>
  <c r="H376" i="15"/>
  <c r="G376" i="15"/>
  <c r="F376" i="15"/>
  <c r="E376" i="15"/>
  <c r="D376" i="15"/>
  <c r="C376" i="15"/>
  <c r="B376" i="15"/>
  <c r="A376" i="15" s="1"/>
  <c r="N375" i="15"/>
  <c r="M375" i="15"/>
  <c r="L375" i="15"/>
  <c r="K375" i="15"/>
  <c r="J375" i="15"/>
  <c r="I375" i="15"/>
  <c r="H375" i="15"/>
  <c r="G375" i="15"/>
  <c r="F375" i="15"/>
  <c r="E375" i="15"/>
  <c r="D375" i="15"/>
  <c r="C375" i="15"/>
  <c r="B375" i="15"/>
  <c r="A375" i="15" s="1"/>
  <c r="N374" i="15"/>
  <c r="M374" i="15"/>
  <c r="L374" i="15"/>
  <c r="K374" i="15"/>
  <c r="J374" i="15"/>
  <c r="I374" i="15"/>
  <c r="H374" i="15"/>
  <c r="G374" i="15"/>
  <c r="F374" i="15"/>
  <c r="E374" i="15"/>
  <c r="D374" i="15"/>
  <c r="C374" i="15"/>
  <c r="B374" i="15"/>
  <c r="A374" i="15" s="1"/>
  <c r="N373" i="15"/>
  <c r="M373" i="15"/>
  <c r="L373" i="15"/>
  <c r="K373" i="15"/>
  <c r="J373" i="15"/>
  <c r="I373" i="15"/>
  <c r="H373" i="15"/>
  <c r="G373" i="15"/>
  <c r="F373" i="15"/>
  <c r="E373" i="15"/>
  <c r="D373" i="15"/>
  <c r="C373" i="15"/>
  <c r="B373" i="15"/>
  <c r="A373" i="15" s="1"/>
  <c r="N372" i="15"/>
  <c r="M372" i="15"/>
  <c r="L372" i="15"/>
  <c r="K372" i="15"/>
  <c r="J372" i="15"/>
  <c r="I372" i="15"/>
  <c r="H372" i="15"/>
  <c r="G372" i="15"/>
  <c r="F372" i="15"/>
  <c r="E372" i="15"/>
  <c r="D372" i="15"/>
  <c r="C372" i="15"/>
  <c r="B372" i="15"/>
  <c r="A372" i="15" s="1"/>
  <c r="N371" i="15"/>
  <c r="M371" i="15"/>
  <c r="L371" i="15"/>
  <c r="K371" i="15"/>
  <c r="J371" i="15"/>
  <c r="I371" i="15"/>
  <c r="H371" i="15"/>
  <c r="G371" i="15"/>
  <c r="F371" i="15"/>
  <c r="E371" i="15"/>
  <c r="D371" i="15"/>
  <c r="C371" i="15"/>
  <c r="B371" i="15"/>
  <c r="A371" i="15" s="1"/>
  <c r="N370" i="15"/>
  <c r="M370" i="15"/>
  <c r="L370" i="15"/>
  <c r="K370" i="15"/>
  <c r="J370" i="15"/>
  <c r="I370" i="15"/>
  <c r="H370" i="15"/>
  <c r="G370" i="15"/>
  <c r="F370" i="15"/>
  <c r="E370" i="15"/>
  <c r="D370" i="15"/>
  <c r="C370" i="15"/>
  <c r="B370" i="15"/>
  <c r="A370" i="15" s="1"/>
  <c r="N369" i="15"/>
  <c r="M369" i="15"/>
  <c r="L369" i="15"/>
  <c r="K369" i="15"/>
  <c r="J369" i="15"/>
  <c r="I369" i="15"/>
  <c r="H369" i="15"/>
  <c r="G369" i="15"/>
  <c r="F369" i="15"/>
  <c r="E369" i="15"/>
  <c r="D369" i="15"/>
  <c r="C369" i="15"/>
  <c r="B369" i="15"/>
  <c r="A369" i="15" s="1"/>
  <c r="N368" i="15"/>
  <c r="M368" i="15"/>
  <c r="L368" i="15"/>
  <c r="K368" i="15"/>
  <c r="J368" i="15"/>
  <c r="I368" i="15"/>
  <c r="H368" i="15"/>
  <c r="G368" i="15"/>
  <c r="F368" i="15"/>
  <c r="E368" i="15"/>
  <c r="D368" i="15"/>
  <c r="C368" i="15"/>
  <c r="B368" i="15"/>
  <c r="A368" i="15" s="1"/>
  <c r="N367" i="15"/>
  <c r="M367" i="15"/>
  <c r="L367" i="15"/>
  <c r="K367" i="15"/>
  <c r="J367" i="15"/>
  <c r="I367" i="15"/>
  <c r="H367" i="15"/>
  <c r="G367" i="15"/>
  <c r="F367" i="15"/>
  <c r="E367" i="15"/>
  <c r="D367" i="15"/>
  <c r="C367" i="15"/>
  <c r="B367" i="15"/>
  <c r="A367" i="15" s="1"/>
  <c r="N366" i="15"/>
  <c r="M366" i="15"/>
  <c r="L366" i="15"/>
  <c r="K366" i="15"/>
  <c r="J366" i="15"/>
  <c r="I366" i="15"/>
  <c r="H366" i="15"/>
  <c r="G366" i="15"/>
  <c r="F366" i="15"/>
  <c r="E366" i="15"/>
  <c r="D366" i="15"/>
  <c r="C366" i="15"/>
  <c r="B366" i="15"/>
  <c r="A366" i="15" s="1"/>
  <c r="N365" i="15"/>
  <c r="M365" i="15"/>
  <c r="L365" i="15"/>
  <c r="K365" i="15"/>
  <c r="J365" i="15"/>
  <c r="I365" i="15"/>
  <c r="H365" i="15"/>
  <c r="G365" i="15"/>
  <c r="F365" i="15"/>
  <c r="E365" i="15"/>
  <c r="D365" i="15"/>
  <c r="C365" i="15"/>
  <c r="B365" i="15"/>
  <c r="A365" i="15" s="1"/>
  <c r="N364" i="15"/>
  <c r="M364" i="15"/>
  <c r="L364" i="15"/>
  <c r="K364" i="15"/>
  <c r="J364" i="15"/>
  <c r="I364" i="15"/>
  <c r="H364" i="15"/>
  <c r="G364" i="15"/>
  <c r="F364" i="15"/>
  <c r="E364" i="15"/>
  <c r="D364" i="15"/>
  <c r="C364" i="15"/>
  <c r="B364" i="15"/>
  <c r="A364" i="15" s="1"/>
  <c r="N363" i="15"/>
  <c r="M363" i="15"/>
  <c r="L363" i="15"/>
  <c r="K363" i="15"/>
  <c r="J363" i="15"/>
  <c r="I363" i="15"/>
  <c r="H363" i="15"/>
  <c r="G363" i="15"/>
  <c r="F363" i="15"/>
  <c r="E363" i="15"/>
  <c r="D363" i="15"/>
  <c r="C363" i="15"/>
  <c r="B363" i="15"/>
  <c r="A363" i="15" s="1"/>
  <c r="N362" i="15"/>
  <c r="M362" i="15"/>
  <c r="L362" i="15"/>
  <c r="K362" i="15"/>
  <c r="J362" i="15"/>
  <c r="I362" i="15"/>
  <c r="H362" i="15"/>
  <c r="G362" i="15"/>
  <c r="F362" i="15"/>
  <c r="E362" i="15"/>
  <c r="D362" i="15"/>
  <c r="C362" i="15"/>
  <c r="B362" i="15"/>
  <c r="A362" i="15" s="1"/>
  <c r="N361" i="15"/>
  <c r="M361" i="15"/>
  <c r="L361" i="15"/>
  <c r="K361" i="15"/>
  <c r="J361" i="15"/>
  <c r="I361" i="15"/>
  <c r="H361" i="15"/>
  <c r="G361" i="15"/>
  <c r="F361" i="15"/>
  <c r="E361" i="15"/>
  <c r="D361" i="15"/>
  <c r="C361" i="15"/>
  <c r="B361" i="15"/>
  <c r="A361" i="15" s="1"/>
  <c r="N360" i="15"/>
  <c r="M360" i="15"/>
  <c r="L360" i="15"/>
  <c r="K360" i="15"/>
  <c r="J360" i="15"/>
  <c r="I360" i="15"/>
  <c r="H360" i="15"/>
  <c r="G360" i="15"/>
  <c r="F360" i="15"/>
  <c r="E360" i="15"/>
  <c r="D360" i="15"/>
  <c r="C360" i="15"/>
  <c r="B360" i="15"/>
  <c r="A360" i="15" s="1"/>
  <c r="N359" i="15"/>
  <c r="M359" i="15"/>
  <c r="L359" i="15"/>
  <c r="K359" i="15"/>
  <c r="J359" i="15"/>
  <c r="I359" i="15"/>
  <c r="H359" i="15"/>
  <c r="G359" i="15"/>
  <c r="F359" i="15"/>
  <c r="E359" i="15"/>
  <c r="D359" i="15"/>
  <c r="C359" i="15"/>
  <c r="B359" i="15"/>
  <c r="A359" i="15" s="1"/>
  <c r="N358" i="15"/>
  <c r="M358" i="15"/>
  <c r="L358" i="15"/>
  <c r="K358" i="15"/>
  <c r="J358" i="15"/>
  <c r="I358" i="15"/>
  <c r="H358" i="15"/>
  <c r="G358" i="15"/>
  <c r="F358" i="15"/>
  <c r="E358" i="15"/>
  <c r="D358" i="15"/>
  <c r="C358" i="15"/>
  <c r="B358" i="15"/>
  <c r="A358" i="15" s="1"/>
  <c r="N357" i="15"/>
  <c r="M357" i="15"/>
  <c r="L357" i="15"/>
  <c r="K357" i="15"/>
  <c r="J357" i="15"/>
  <c r="I357" i="15"/>
  <c r="H357" i="15"/>
  <c r="G357" i="15"/>
  <c r="F357" i="15"/>
  <c r="E357" i="15"/>
  <c r="D357" i="15"/>
  <c r="C357" i="15"/>
  <c r="B357" i="15"/>
  <c r="A357" i="15" s="1"/>
  <c r="N356" i="15"/>
  <c r="M356" i="15"/>
  <c r="L356" i="15"/>
  <c r="K356" i="15"/>
  <c r="J356" i="15"/>
  <c r="I356" i="15"/>
  <c r="H356" i="15"/>
  <c r="G356" i="15"/>
  <c r="F356" i="15"/>
  <c r="E356" i="15"/>
  <c r="D356" i="15"/>
  <c r="C356" i="15"/>
  <c r="B356" i="15"/>
  <c r="A356" i="15" s="1"/>
  <c r="N355" i="15"/>
  <c r="M355" i="15"/>
  <c r="L355" i="15"/>
  <c r="K355" i="15"/>
  <c r="J355" i="15"/>
  <c r="I355" i="15"/>
  <c r="H355" i="15"/>
  <c r="G355" i="15"/>
  <c r="F355" i="15"/>
  <c r="E355" i="15"/>
  <c r="D355" i="15"/>
  <c r="C355" i="15"/>
  <c r="B355" i="15"/>
  <c r="A355" i="15" s="1"/>
  <c r="N354" i="15"/>
  <c r="M354" i="15"/>
  <c r="L354" i="15"/>
  <c r="K354" i="15"/>
  <c r="J354" i="15"/>
  <c r="I354" i="15"/>
  <c r="H354" i="15"/>
  <c r="G354" i="15"/>
  <c r="F354" i="15"/>
  <c r="E354" i="15"/>
  <c r="D354" i="15"/>
  <c r="C354" i="15"/>
  <c r="B354" i="15"/>
  <c r="A354" i="15" s="1"/>
  <c r="N353" i="15"/>
  <c r="M353" i="15"/>
  <c r="L353" i="15"/>
  <c r="K353" i="15"/>
  <c r="J353" i="15"/>
  <c r="I353" i="15"/>
  <c r="H353" i="15"/>
  <c r="G353" i="15"/>
  <c r="F353" i="15"/>
  <c r="E353" i="15"/>
  <c r="D353" i="15"/>
  <c r="C353" i="15"/>
  <c r="B353" i="15"/>
  <c r="A353" i="15" s="1"/>
  <c r="N352" i="15"/>
  <c r="M352" i="15"/>
  <c r="L352" i="15"/>
  <c r="K352" i="15"/>
  <c r="J352" i="15"/>
  <c r="I352" i="15"/>
  <c r="H352" i="15"/>
  <c r="G352" i="15"/>
  <c r="F352" i="15"/>
  <c r="E352" i="15"/>
  <c r="D352" i="15"/>
  <c r="C352" i="15"/>
  <c r="B352" i="15"/>
  <c r="A352" i="15" s="1"/>
  <c r="N351" i="15"/>
  <c r="M351" i="15"/>
  <c r="L351" i="15"/>
  <c r="K351" i="15"/>
  <c r="J351" i="15"/>
  <c r="I351" i="15"/>
  <c r="H351" i="15"/>
  <c r="G351" i="15"/>
  <c r="F351" i="15"/>
  <c r="E351" i="15"/>
  <c r="D351" i="15"/>
  <c r="C351" i="15"/>
  <c r="B351" i="15"/>
  <c r="A351" i="15" s="1"/>
  <c r="N350" i="15"/>
  <c r="M350" i="15"/>
  <c r="L350" i="15"/>
  <c r="K350" i="15"/>
  <c r="J350" i="15"/>
  <c r="I350" i="15"/>
  <c r="H350" i="15"/>
  <c r="G350" i="15"/>
  <c r="F350" i="15"/>
  <c r="E350" i="15"/>
  <c r="D350" i="15"/>
  <c r="C350" i="15"/>
  <c r="B350" i="15"/>
  <c r="A350" i="15" s="1"/>
  <c r="N349" i="15"/>
  <c r="M349" i="15"/>
  <c r="L349" i="15"/>
  <c r="K349" i="15"/>
  <c r="J349" i="15"/>
  <c r="I349" i="15"/>
  <c r="H349" i="15"/>
  <c r="G349" i="15"/>
  <c r="F349" i="15"/>
  <c r="E349" i="15"/>
  <c r="D349" i="15"/>
  <c r="C349" i="15"/>
  <c r="B349" i="15"/>
  <c r="A349" i="15" s="1"/>
  <c r="N348" i="15"/>
  <c r="M348" i="15"/>
  <c r="L348" i="15"/>
  <c r="K348" i="15"/>
  <c r="J348" i="15"/>
  <c r="I348" i="15"/>
  <c r="H348" i="15"/>
  <c r="G348" i="15"/>
  <c r="F348" i="15"/>
  <c r="E348" i="15"/>
  <c r="D348" i="15"/>
  <c r="C348" i="15"/>
  <c r="B348" i="15"/>
  <c r="A348" i="15" s="1"/>
  <c r="N347" i="15"/>
  <c r="M347" i="15"/>
  <c r="L347" i="15"/>
  <c r="K347" i="15"/>
  <c r="J347" i="15"/>
  <c r="I347" i="15"/>
  <c r="H347" i="15"/>
  <c r="G347" i="15"/>
  <c r="F347" i="15"/>
  <c r="E347" i="15"/>
  <c r="D347" i="15"/>
  <c r="C347" i="15"/>
  <c r="B347" i="15"/>
  <c r="A347" i="15" s="1"/>
  <c r="N346" i="15"/>
  <c r="M346" i="15"/>
  <c r="L346" i="15"/>
  <c r="K346" i="15"/>
  <c r="J346" i="15"/>
  <c r="I346" i="15"/>
  <c r="H346" i="15"/>
  <c r="G346" i="15"/>
  <c r="F346" i="15"/>
  <c r="E346" i="15"/>
  <c r="D346" i="15"/>
  <c r="C346" i="15"/>
  <c r="B346" i="15"/>
  <c r="A346" i="15" s="1"/>
  <c r="N345" i="15"/>
  <c r="M345" i="15"/>
  <c r="L345" i="15"/>
  <c r="K345" i="15"/>
  <c r="J345" i="15"/>
  <c r="I345" i="15"/>
  <c r="H345" i="15"/>
  <c r="G345" i="15"/>
  <c r="F345" i="15"/>
  <c r="E345" i="15"/>
  <c r="D345" i="15"/>
  <c r="C345" i="15"/>
  <c r="B345" i="15"/>
  <c r="A345" i="15" s="1"/>
  <c r="N344" i="15"/>
  <c r="M344" i="15"/>
  <c r="L344" i="15"/>
  <c r="K344" i="15"/>
  <c r="J344" i="15"/>
  <c r="I344" i="15"/>
  <c r="H344" i="15"/>
  <c r="G344" i="15"/>
  <c r="F344" i="15"/>
  <c r="E344" i="15"/>
  <c r="D344" i="15"/>
  <c r="C344" i="15"/>
  <c r="B344" i="15"/>
  <c r="A344" i="15" s="1"/>
  <c r="N343" i="15"/>
  <c r="M343" i="15"/>
  <c r="L343" i="15"/>
  <c r="K343" i="15"/>
  <c r="J343" i="15"/>
  <c r="I343" i="15"/>
  <c r="H343" i="15"/>
  <c r="G343" i="15"/>
  <c r="F343" i="15"/>
  <c r="E343" i="15"/>
  <c r="D343" i="15"/>
  <c r="C343" i="15"/>
  <c r="B343" i="15"/>
  <c r="A343" i="15" s="1"/>
  <c r="N342" i="15"/>
  <c r="M342" i="15"/>
  <c r="L342" i="15"/>
  <c r="K342" i="15"/>
  <c r="J342" i="15"/>
  <c r="I342" i="15"/>
  <c r="H342" i="15"/>
  <c r="G342" i="15"/>
  <c r="F342" i="15"/>
  <c r="E342" i="15"/>
  <c r="D342" i="15"/>
  <c r="C342" i="15"/>
  <c r="B342" i="15"/>
  <c r="A342" i="15" s="1"/>
  <c r="N341" i="15"/>
  <c r="M341" i="15"/>
  <c r="L341" i="15"/>
  <c r="K341" i="15"/>
  <c r="J341" i="15"/>
  <c r="I341" i="15"/>
  <c r="H341" i="15"/>
  <c r="G341" i="15"/>
  <c r="F341" i="15"/>
  <c r="E341" i="15"/>
  <c r="D341" i="15"/>
  <c r="C341" i="15"/>
  <c r="B341" i="15"/>
  <c r="A341" i="15" s="1"/>
  <c r="N340" i="15"/>
  <c r="M340" i="15"/>
  <c r="L340" i="15"/>
  <c r="K340" i="15"/>
  <c r="J340" i="15"/>
  <c r="I340" i="15"/>
  <c r="H340" i="15"/>
  <c r="G340" i="15"/>
  <c r="F340" i="15"/>
  <c r="E340" i="15"/>
  <c r="D340" i="15"/>
  <c r="C340" i="15"/>
  <c r="B340" i="15"/>
  <c r="A340" i="15" s="1"/>
  <c r="N339" i="15"/>
  <c r="M339" i="15"/>
  <c r="L339" i="15"/>
  <c r="K339" i="15"/>
  <c r="J339" i="15"/>
  <c r="I339" i="15"/>
  <c r="H339" i="15"/>
  <c r="G339" i="15"/>
  <c r="F339" i="15"/>
  <c r="E339" i="15"/>
  <c r="D339" i="15"/>
  <c r="C339" i="15"/>
  <c r="B339" i="15"/>
  <c r="A339" i="15" s="1"/>
  <c r="N338" i="15"/>
  <c r="M338" i="15"/>
  <c r="L338" i="15"/>
  <c r="K338" i="15"/>
  <c r="J338" i="15"/>
  <c r="I338" i="15"/>
  <c r="H338" i="15"/>
  <c r="G338" i="15"/>
  <c r="F338" i="15"/>
  <c r="E338" i="15"/>
  <c r="D338" i="15"/>
  <c r="C338" i="15"/>
  <c r="B338" i="15"/>
  <c r="A338" i="15" s="1"/>
  <c r="N337" i="15"/>
  <c r="M337" i="15"/>
  <c r="L337" i="15"/>
  <c r="K337" i="15"/>
  <c r="J337" i="15"/>
  <c r="I337" i="15"/>
  <c r="H337" i="15"/>
  <c r="G337" i="15"/>
  <c r="F337" i="15"/>
  <c r="E337" i="15"/>
  <c r="D337" i="15"/>
  <c r="C337" i="15"/>
  <c r="B337" i="15"/>
  <c r="A337" i="15" s="1"/>
  <c r="N336" i="15"/>
  <c r="M336" i="15"/>
  <c r="L336" i="15"/>
  <c r="K336" i="15"/>
  <c r="J336" i="15"/>
  <c r="I336" i="15"/>
  <c r="H336" i="15"/>
  <c r="G336" i="15"/>
  <c r="F336" i="15"/>
  <c r="E336" i="15"/>
  <c r="D336" i="15"/>
  <c r="C336" i="15"/>
  <c r="B336" i="15"/>
  <c r="A336" i="15" s="1"/>
  <c r="N335" i="15"/>
  <c r="M335" i="15"/>
  <c r="L335" i="15"/>
  <c r="K335" i="15"/>
  <c r="J335" i="15"/>
  <c r="I335" i="15"/>
  <c r="H335" i="15"/>
  <c r="G335" i="15"/>
  <c r="F335" i="15"/>
  <c r="E335" i="15"/>
  <c r="D335" i="15"/>
  <c r="C335" i="15"/>
  <c r="B335" i="15"/>
  <c r="A335" i="15" s="1"/>
  <c r="N334" i="15"/>
  <c r="M334" i="15"/>
  <c r="L334" i="15"/>
  <c r="K334" i="15"/>
  <c r="J334" i="15"/>
  <c r="I334" i="15"/>
  <c r="H334" i="15"/>
  <c r="G334" i="15"/>
  <c r="F334" i="15"/>
  <c r="E334" i="15"/>
  <c r="D334" i="15"/>
  <c r="C334" i="15"/>
  <c r="B334" i="15"/>
  <c r="A334" i="15" s="1"/>
  <c r="N333" i="15"/>
  <c r="M333" i="15"/>
  <c r="L333" i="15"/>
  <c r="K333" i="15"/>
  <c r="J333" i="15"/>
  <c r="I333" i="15"/>
  <c r="H333" i="15"/>
  <c r="G333" i="15"/>
  <c r="F333" i="15"/>
  <c r="E333" i="15"/>
  <c r="D333" i="15"/>
  <c r="C333" i="15"/>
  <c r="B333" i="15"/>
  <c r="A333" i="15" s="1"/>
  <c r="N332" i="15"/>
  <c r="M332" i="15"/>
  <c r="L332" i="15"/>
  <c r="K332" i="15"/>
  <c r="J332" i="15"/>
  <c r="I332" i="15"/>
  <c r="H332" i="15"/>
  <c r="G332" i="15"/>
  <c r="F332" i="15"/>
  <c r="E332" i="15"/>
  <c r="D332" i="15"/>
  <c r="C332" i="15"/>
  <c r="B332" i="15"/>
  <c r="A332" i="15" s="1"/>
  <c r="N331" i="15"/>
  <c r="M331" i="15"/>
  <c r="L331" i="15"/>
  <c r="K331" i="15"/>
  <c r="J331" i="15"/>
  <c r="I331" i="15"/>
  <c r="H331" i="15"/>
  <c r="G331" i="15"/>
  <c r="F331" i="15"/>
  <c r="E331" i="15"/>
  <c r="D331" i="15"/>
  <c r="C331" i="15"/>
  <c r="B331" i="15"/>
  <c r="A331" i="15" s="1"/>
  <c r="N330" i="15"/>
  <c r="M330" i="15"/>
  <c r="L330" i="15"/>
  <c r="K330" i="15"/>
  <c r="J330" i="15"/>
  <c r="I330" i="15"/>
  <c r="H330" i="15"/>
  <c r="G330" i="15"/>
  <c r="F330" i="15"/>
  <c r="E330" i="15"/>
  <c r="D330" i="15"/>
  <c r="C330" i="15"/>
  <c r="B330" i="15"/>
  <c r="A330" i="15" s="1"/>
  <c r="N329" i="15"/>
  <c r="M329" i="15"/>
  <c r="L329" i="15"/>
  <c r="K329" i="15"/>
  <c r="J329" i="15"/>
  <c r="I329" i="15"/>
  <c r="H329" i="15"/>
  <c r="G329" i="15"/>
  <c r="F329" i="15"/>
  <c r="E329" i="15"/>
  <c r="D329" i="15"/>
  <c r="C329" i="15"/>
  <c r="B329" i="15"/>
  <c r="A329" i="15" s="1"/>
  <c r="N328" i="15"/>
  <c r="M328" i="15"/>
  <c r="L328" i="15"/>
  <c r="K328" i="15"/>
  <c r="J328" i="15"/>
  <c r="I328" i="15"/>
  <c r="H328" i="15"/>
  <c r="G328" i="15"/>
  <c r="F328" i="15"/>
  <c r="E328" i="15"/>
  <c r="D328" i="15"/>
  <c r="C328" i="15"/>
  <c r="B328" i="15"/>
  <c r="A328" i="15" s="1"/>
  <c r="N327" i="15"/>
  <c r="M327" i="15"/>
  <c r="L327" i="15"/>
  <c r="K327" i="15"/>
  <c r="J327" i="15"/>
  <c r="I327" i="15"/>
  <c r="H327" i="15"/>
  <c r="G327" i="15"/>
  <c r="F327" i="15"/>
  <c r="E327" i="15"/>
  <c r="D327" i="15"/>
  <c r="C327" i="15"/>
  <c r="B327" i="15"/>
  <c r="A327" i="15" s="1"/>
  <c r="N326" i="15"/>
  <c r="M326" i="15"/>
  <c r="L326" i="15"/>
  <c r="K326" i="15"/>
  <c r="J326" i="15"/>
  <c r="I326" i="15"/>
  <c r="H326" i="15"/>
  <c r="G326" i="15"/>
  <c r="F326" i="15"/>
  <c r="E326" i="15"/>
  <c r="D326" i="15"/>
  <c r="C326" i="15"/>
  <c r="B326" i="15"/>
  <c r="A326" i="15" s="1"/>
  <c r="N325" i="15"/>
  <c r="M325" i="15"/>
  <c r="L325" i="15"/>
  <c r="K325" i="15"/>
  <c r="J325" i="15"/>
  <c r="I325" i="15"/>
  <c r="H325" i="15"/>
  <c r="G325" i="15"/>
  <c r="F325" i="15"/>
  <c r="E325" i="15"/>
  <c r="D325" i="15"/>
  <c r="C325" i="15"/>
  <c r="B325" i="15"/>
  <c r="A325" i="15" s="1"/>
  <c r="N324" i="15"/>
  <c r="M324" i="15"/>
  <c r="L324" i="15"/>
  <c r="K324" i="15"/>
  <c r="J324" i="15"/>
  <c r="I324" i="15"/>
  <c r="H324" i="15"/>
  <c r="G324" i="15"/>
  <c r="F324" i="15"/>
  <c r="E324" i="15"/>
  <c r="D324" i="15"/>
  <c r="C324" i="15"/>
  <c r="B324" i="15"/>
  <c r="A324" i="15" s="1"/>
  <c r="N323" i="15"/>
  <c r="M323" i="15"/>
  <c r="L323" i="15"/>
  <c r="K323" i="15"/>
  <c r="J323" i="15"/>
  <c r="I323" i="15"/>
  <c r="H323" i="15"/>
  <c r="G323" i="15"/>
  <c r="F323" i="15"/>
  <c r="E323" i="15"/>
  <c r="D323" i="15"/>
  <c r="C323" i="15"/>
  <c r="B323" i="15"/>
  <c r="A323" i="15" s="1"/>
  <c r="N322" i="15"/>
  <c r="M322" i="15"/>
  <c r="L322" i="15"/>
  <c r="K322" i="15"/>
  <c r="J322" i="15"/>
  <c r="I322" i="15"/>
  <c r="H322" i="15"/>
  <c r="G322" i="15"/>
  <c r="F322" i="15"/>
  <c r="E322" i="15"/>
  <c r="D322" i="15"/>
  <c r="C322" i="15"/>
  <c r="B322" i="15"/>
  <c r="A322" i="15" s="1"/>
  <c r="N321" i="15"/>
  <c r="M321" i="15"/>
  <c r="L321" i="15"/>
  <c r="K321" i="15"/>
  <c r="J321" i="15"/>
  <c r="I321" i="15"/>
  <c r="H321" i="15"/>
  <c r="G321" i="15"/>
  <c r="F321" i="15"/>
  <c r="E321" i="15"/>
  <c r="D321" i="15"/>
  <c r="C321" i="15"/>
  <c r="B321" i="15"/>
  <c r="A321" i="15" s="1"/>
  <c r="N320" i="15"/>
  <c r="M320" i="15"/>
  <c r="L320" i="15"/>
  <c r="K320" i="15"/>
  <c r="J320" i="15"/>
  <c r="I320" i="15"/>
  <c r="H320" i="15"/>
  <c r="G320" i="15"/>
  <c r="F320" i="15"/>
  <c r="E320" i="15"/>
  <c r="D320" i="15"/>
  <c r="C320" i="15"/>
  <c r="B320" i="15"/>
  <c r="A320" i="15" s="1"/>
  <c r="N319" i="15"/>
  <c r="M319" i="15"/>
  <c r="L319" i="15"/>
  <c r="K319" i="15"/>
  <c r="J319" i="15"/>
  <c r="I319" i="15"/>
  <c r="H319" i="15"/>
  <c r="G319" i="15"/>
  <c r="F319" i="15"/>
  <c r="E319" i="15"/>
  <c r="D319" i="15"/>
  <c r="C319" i="15"/>
  <c r="B319" i="15"/>
  <c r="A319" i="15" s="1"/>
  <c r="N318" i="15"/>
  <c r="M318" i="15"/>
  <c r="L318" i="15"/>
  <c r="K318" i="15"/>
  <c r="J318" i="15"/>
  <c r="I318" i="15"/>
  <c r="H318" i="15"/>
  <c r="G318" i="15"/>
  <c r="F318" i="15"/>
  <c r="E318" i="15"/>
  <c r="D318" i="15"/>
  <c r="C318" i="15"/>
  <c r="B318" i="15"/>
  <c r="A318" i="15" s="1"/>
  <c r="N317" i="15"/>
  <c r="M317" i="15"/>
  <c r="L317" i="15"/>
  <c r="K317" i="15"/>
  <c r="J317" i="15"/>
  <c r="I317" i="15"/>
  <c r="H317" i="15"/>
  <c r="G317" i="15"/>
  <c r="F317" i="15"/>
  <c r="E317" i="15"/>
  <c r="D317" i="15"/>
  <c r="C317" i="15"/>
  <c r="B317" i="15"/>
  <c r="A317" i="15" s="1"/>
  <c r="N316" i="15"/>
  <c r="M316" i="15"/>
  <c r="L316" i="15"/>
  <c r="K316" i="15"/>
  <c r="J316" i="15"/>
  <c r="I316" i="15"/>
  <c r="H316" i="15"/>
  <c r="G316" i="15"/>
  <c r="F316" i="15"/>
  <c r="E316" i="15"/>
  <c r="D316" i="15"/>
  <c r="C316" i="15"/>
  <c r="B316" i="15"/>
  <c r="A316" i="15" s="1"/>
  <c r="N315" i="15"/>
  <c r="M315" i="15"/>
  <c r="L315" i="15"/>
  <c r="K315" i="15"/>
  <c r="J315" i="15"/>
  <c r="I315" i="15"/>
  <c r="H315" i="15"/>
  <c r="G315" i="15"/>
  <c r="F315" i="15"/>
  <c r="E315" i="15"/>
  <c r="D315" i="15"/>
  <c r="C315" i="15"/>
  <c r="B315" i="15"/>
  <c r="A315" i="15" s="1"/>
  <c r="N314" i="15"/>
  <c r="M314" i="15"/>
  <c r="L314" i="15"/>
  <c r="K314" i="15"/>
  <c r="J314" i="15"/>
  <c r="I314" i="15"/>
  <c r="H314" i="15"/>
  <c r="G314" i="15"/>
  <c r="F314" i="15"/>
  <c r="E314" i="15"/>
  <c r="D314" i="15"/>
  <c r="C314" i="15"/>
  <c r="B314" i="15"/>
  <c r="A314" i="15" s="1"/>
  <c r="N313" i="15"/>
  <c r="M313" i="15"/>
  <c r="L313" i="15"/>
  <c r="K313" i="15"/>
  <c r="J313" i="15"/>
  <c r="I313" i="15"/>
  <c r="H313" i="15"/>
  <c r="G313" i="15"/>
  <c r="F313" i="15"/>
  <c r="E313" i="15"/>
  <c r="D313" i="15"/>
  <c r="C313" i="15"/>
  <c r="B313" i="15"/>
  <c r="A313" i="15" s="1"/>
  <c r="N312" i="15"/>
  <c r="M312" i="15"/>
  <c r="L312" i="15"/>
  <c r="K312" i="15"/>
  <c r="J312" i="15"/>
  <c r="I312" i="15"/>
  <c r="H312" i="15"/>
  <c r="G312" i="15"/>
  <c r="F312" i="15"/>
  <c r="E312" i="15"/>
  <c r="D312" i="15"/>
  <c r="C312" i="15"/>
  <c r="B312" i="15"/>
  <c r="A312" i="15" s="1"/>
  <c r="N311" i="15"/>
  <c r="M311" i="15"/>
  <c r="L311" i="15"/>
  <c r="K311" i="15"/>
  <c r="J311" i="15"/>
  <c r="I311" i="15"/>
  <c r="H311" i="15"/>
  <c r="G311" i="15"/>
  <c r="F311" i="15"/>
  <c r="E311" i="15"/>
  <c r="D311" i="15"/>
  <c r="C311" i="15"/>
  <c r="B311" i="15"/>
  <c r="A311" i="15" s="1"/>
  <c r="N310" i="15"/>
  <c r="M310" i="15"/>
  <c r="L310" i="15"/>
  <c r="K310" i="15"/>
  <c r="J310" i="15"/>
  <c r="I310" i="15"/>
  <c r="H310" i="15"/>
  <c r="G310" i="15"/>
  <c r="F310" i="15"/>
  <c r="E310" i="15"/>
  <c r="D310" i="15"/>
  <c r="C310" i="15"/>
  <c r="B310" i="15"/>
  <c r="A310" i="15" s="1"/>
  <c r="N309" i="15"/>
  <c r="M309" i="15"/>
  <c r="L309" i="15"/>
  <c r="K309" i="15"/>
  <c r="J309" i="15"/>
  <c r="I309" i="15"/>
  <c r="H309" i="15"/>
  <c r="G309" i="15"/>
  <c r="F309" i="15"/>
  <c r="E309" i="15"/>
  <c r="D309" i="15"/>
  <c r="C309" i="15"/>
  <c r="B309" i="15"/>
  <c r="A309" i="15" s="1"/>
  <c r="N308" i="15"/>
  <c r="M308" i="15"/>
  <c r="L308" i="15"/>
  <c r="K308" i="15"/>
  <c r="J308" i="15"/>
  <c r="I308" i="15"/>
  <c r="H308" i="15"/>
  <c r="G308" i="15"/>
  <c r="F308" i="15"/>
  <c r="E308" i="15"/>
  <c r="D308" i="15"/>
  <c r="C308" i="15"/>
  <c r="B308" i="15"/>
  <c r="A308" i="15" s="1"/>
  <c r="N307" i="15"/>
  <c r="M307" i="15"/>
  <c r="L307" i="15"/>
  <c r="K307" i="15"/>
  <c r="J307" i="15"/>
  <c r="I307" i="15"/>
  <c r="H307" i="15"/>
  <c r="G307" i="15"/>
  <c r="F307" i="15"/>
  <c r="E307" i="15"/>
  <c r="D307" i="15"/>
  <c r="C307" i="15"/>
  <c r="B307" i="15"/>
  <c r="A307" i="15" s="1"/>
  <c r="N306" i="15"/>
  <c r="M306" i="15"/>
  <c r="L306" i="15"/>
  <c r="K306" i="15"/>
  <c r="J306" i="15"/>
  <c r="I306" i="15"/>
  <c r="H306" i="15"/>
  <c r="G306" i="15"/>
  <c r="F306" i="15"/>
  <c r="E306" i="15"/>
  <c r="D306" i="15"/>
  <c r="C306" i="15"/>
  <c r="B306" i="15"/>
  <c r="A306" i="15" s="1"/>
  <c r="N305" i="15"/>
  <c r="M305" i="15"/>
  <c r="L305" i="15"/>
  <c r="K305" i="15"/>
  <c r="J305" i="15"/>
  <c r="I305" i="15"/>
  <c r="H305" i="15"/>
  <c r="G305" i="15"/>
  <c r="F305" i="15"/>
  <c r="E305" i="15"/>
  <c r="D305" i="15"/>
  <c r="C305" i="15"/>
  <c r="B305" i="15"/>
  <c r="A305" i="15" s="1"/>
  <c r="N304" i="15"/>
  <c r="M304" i="15"/>
  <c r="L304" i="15"/>
  <c r="K304" i="15"/>
  <c r="J304" i="15"/>
  <c r="I304" i="15"/>
  <c r="H304" i="15"/>
  <c r="G304" i="15"/>
  <c r="F304" i="15"/>
  <c r="E304" i="15"/>
  <c r="D304" i="15"/>
  <c r="C304" i="15"/>
  <c r="B304" i="15"/>
  <c r="A304" i="15" s="1"/>
  <c r="N303" i="15"/>
  <c r="M303" i="15"/>
  <c r="L303" i="15"/>
  <c r="K303" i="15"/>
  <c r="J303" i="15"/>
  <c r="I303" i="15"/>
  <c r="H303" i="15"/>
  <c r="G303" i="15"/>
  <c r="F303" i="15"/>
  <c r="E303" i="15"/>
  <c r="D303" i="15"/>
  <c r="C303" i="15"/>
  <c r="B303" i="15"/>
  <c r="A303" i="15" s="1"/>
  <c r="N302" i="15"/>
  <c r="M302" i="15"/>
  <c r="L302" i="15"/>
  <c r="K302" i="15"/>
  <c r="J302" i="15"/>
  <c r="I302" i="15"/>
  <c r="H302" i="15"/>
  <c r="G302" i="15"/>
  <c r="F302" i="15"/>
  <c r="E302" i="15"/>
  <c r="D302" i="15"/>
  <c r="C302" i="15"/>
  <c r="B302" i="15"/>
  <c r="A302" i="15" s="1"/>
  <c r="N301" i="15"/>
  <c r="M301" i="15"/>
  <c r="L301" i="15"/>
  <c r="K301" i="15"/>
  <c r="J301" i="15"/>
  <c r="I301" i="15"/>
  <c r="H301" i="15"/>
  <c r="G301" i="15"/>
  <c r="F301" i="15"/>
  <c r="E301" i="15"/>
  <c r="D301" i="15"/>
  <c r="C301" i="15"/>
  <c r="B301" i="15"/>
  <c r="A301" i="15" s="1"/>
  <c r="N300" i="15"/>
  <c r="M300" i="15"/>
  <c r="L300" i="15"/>
  <c r="K300" i="15"/>
  <c r="J300" i="15"/>
  <c r="I300" i="15"/>
  <c r="H300" i="15"/>
  <c r="G300" i="15"/>
  <c r="F300" i="15"/>
  <c r="E300" i="15"/>
  <c r="D300" i="15"/>
  <c r="C300" i="15"/>
  <c r="B300" i="15"/>
  <c r="A300" i="15" s="1"/>
  <c r="N299" i="15"/>
  <c r="M299" i="15"/>
  <c r="L299" i="15"/>
  <c r="K299" i="15"/>
  <c r="J299" i="15"/>
  <c r="I299" i="15"/>
  <c r="H299" i="15"/>
  <c r="G299" i="15"/>
  <c r="F299" i="15"/>
  <c r="E299" i="15"/>
  <c r="D299" i="15"/>
  <c r="C299" i="15"/>
  <c r="B299" i="15"/>
  <c r="A299" i="15" s="1"/>
  <c r="N298" i="15"/>
  <c r="M298" i="15"/>
  <c r="L298" i="15"/>
  <c r="K298" i="15"/>
  <c r="J298" i="15"/>
  <c r="I298" i="15"/>
  <c r="H298" i="15"/>
  <c r="G298" i="15"/>
  <c r="F298" i="15"/>
  <c r="E298" i="15"/>
  <c r="D298" i="15"/>
  <c r="C298" i="15"/>
  <c r="B298" i="15"/>
  <c r="A298" i="15" s="1"/>
  <c r="N297" i="15"/>
  <c r="M297" i="15"/>
  <c r="L297" i="15"/>
  <c r="K297" i="15"/>
  <c r="J297" i="15"/>
  <c r="I297" i="15"/>
  <c r="H297" i="15"/>
  <c r="G297" i="15"/>
  <c r="F297" i="15"/>
  <c r="E297" i="15"/>
  <c r="D297" i="15"/>
  <c r="C297" i="15"/>
  <c r="B297" i="15"/>
  <c r="A297" i="15" s="1"/>
  <c r="N296" i="15"/>
  <c r="M296" i="15"/>
  <c r="L296" i="15"/>
  <c r="K296" i="15"/>
  <c r="J296" i="15"/>
  <c r="I296" i="15"/>
  <c r="H296" i="15"/>
  <c r="G296" i="15"/>
  <c r="F296" i="15"/>
  <c r="E296" i="15"/>
  <c r="D296" i="15"/>
  <c r="C296" i="15"/>
  <c r="B296" i="15"/>
  <c r="A296" i="15" s="1"/>
  <c r="N295" i="15"/>
  <c r="M295" i="15"/>
  <c r="L295" i="15"/>
  <c r="K295" i="15"/>
  <c r="J295" i="15"/>
  <c r="I295" i="15"/>
  <c r="H295" i="15"/>
  <c r="G295" i="15"/>
  <c r="F295" i="15"/>
  <c r="E295" i="15"/>
  <c r="D295" i="15"/>
  <c r="C295" i="15"/>
  <c r="B295" i="15"/>
  <c r="A295" i="15" s="1"/>
  <c r="N294" i="15"/>
  <c r="M294" i="15"/>
  <c r="L294" i="15"/>
  <c r="K294" i="15"/>
  <c r="J294" i="15"/>
  <c r="I294" i="15"/>
  <c r="H294" i="15"/>
  <c r="G294" i="15"/>
  <c r="F294" i="15"/>
  <c r="E294" i="15"/>
  <c r="D294" i="15"/>
  <c r="C294" i="15"/>
  <c r="B294" i="15"/>
  <c r="A294" i="15" s="1"/>
  <c r="N293" i="15"/>
  <c r="M293" i="15"/>
  <c r="L293" i="15"/>
  <c r="K293" i="15"/>
  <c r="J293" i="15"/>
  <c r="I293" i="15"/>
  <c r="H293" i="15"/>
  <c r="G293" i="15"/>
  <c r="F293" i="15"/>
  <c r="E293" i="15"/>
  <c r="D293" i="15"/>
  <c r="C293" i="15"/>
  <c r="B293" i="15"/>
  <c r="A293" i="15" s="1"/>
  <c r="N292" i="15"/>
  <c r="M292" i="15"/>
  <c r="L292" i="15"/>
  <c r="K292" i="15"/>
  <c r="J292" i="15"/>
  <c r="I292" i="15"/>
  <c r="H292" i="15"/>
  <c r="G292" i="15"/>
  <c r="F292" i="15"/>
  <c r="E292" i="15"/>
  <c r="D292" i="15"/>
  <c r="C292" i="15"/>
  <c r="B292" i="15"/>
  <c r="A292" i="15" s="1"/>
  <c r="N291" i="15"/>
  <c r="M291" i="15"/>
  <c r="L291" i="15"/>
  <c r="K291" i="15"/>
  <c r="J291" i="15"/>
  <c r="I291" i="15"/>
  <c r="H291" i="15"/>
  <c r="G291" i="15"/>
  <c r="F291" i="15"/>
  <c r="E291" i="15"/>
  <c r="D291" i="15"/>
  <c r="C291" i="15"/>
  <c r="B291" i="15"/>
  <c r="A291" i="15" s="1"/>
  <c r="N290" i="15"/>
  <c r="M290" i="15"/>
  <c r="L290" i="15"/>
  <c r="K290" i="15"/>
  <c r="J290" i="15"/>
  <c r="I290" i="15"/>
  <c r="H290" i="15"/>
  <c r="G290" i="15"/>
  <c r="F290" i="15"/>
  <c r="E290" i="15"/>
  <c r="D290" i="15"/>
  <c r="C290" i="15"/>
  <c r="B290" i="15"/>
  <c r="A290" i="15" s="1"/>
  <c r="N289" i="15"/>
  <c r="M289" i="15"/>
  <c r="L289" i="15"/>
  <c r="K289" i="15"/>
  <c r="J289" i="15"/>
  <c r="I289" i="15"/>
  <c r="H289" i="15"/>
  <c r="G289" i="15"/>
  <c r="F289" i="15"/>
  <c r="E289" i="15"/>
  <c r="D289" i="15"/>
  <c r="C289" i="15"/>
  <c r="B289" i="15"/>
  <c r="A289" i="15" s="1"/>
  <c r="N288" i="15"/>
  <c r="M288" i="15"/>
  <c r="L288" i="15"/>
  <c r="K288" i="15"/>
  <c r="J288" i="15"/>
  <c r="I288" i="15"/>
  <c r="H288" i="15"/>
  <c r="G288" i="15"/>
  <c r="F288" i="15"/>
  <c r="E288" i="15"/>
  <c r="D288" i="15"/>
  <c r="C288" i="15"/>
  <c r="B288" i="15"/>
  <c r="A288" i="15" s="1"/>
  <c r="N287" i="15"/>
  <c r="M287" i="15"/>
  <c r="L287" i="15"/>
  <c r="K287" i="15"/>
  <c r="J287" i="15"/>
  <c r="I287" i="15"/>
  <c r="H287" i="15"/>
  <c r="G287" i="15"/>
  <c r="F287" i="15"/>
  <c r="E287" i="15"/>
  <c r="D287" i="15"/>
  <c r="C287" i="15"/>
  <c r="B287" i="15"/>
  <c r="A287" i="15" s="1"/>
  <c r="N286" i="15"/>
  <c r="M286" i="15"/>
  <c r="L286" i="15"/>
  <c r="K286" i="15"/>
  <c r="J286" i="15"/>
  <c r="I286" i="15"/>
  <c r="H286" i="15"/>
  <c r="G286" i="15"/>
  <c r="F286" i="15"/>
  <c r="E286" i="15"/>
  <c r="D286" i="15"/>
  <c r="C286" i="15"/>
  <c r="B286" i="15"/>
  <c r="A286" i="15" s="1"/>
  <c r="N285" i="15"/>
  <c r="M285" i="15"/>
  <c r="L285" i="15"/>
  <c r="K285" i="15"/>
  <c r="J285" i="15"/>
  <c r="I285" i="15"/>
  <c r="H285" i="15"/>
  <c r="G285" i="15"/>
  <c r="F285" i="15"/>
  <c r="E285" i="15"/>
  <c r="D285" i="15"/>
  <c r="C285" i="15"/>
  <c r="B285" i="15"/>
  <c r="A285" i="15" s="1"/>
  <c r="N284" i="15"/>
  <c r="M284" i="15"/>
  <c r="L284" i="15"/>
  <c r="K284" i="15"/>
  <c r="J284" i="15"/>
  <c r="I284" i="15"/>
  <c r="H284" i="15"/>
  <c r="G284" i="15"/>
  <c r="F284" i="15"/>
  <c r="E284" i="15"/>
  <c r="D284" i="15"/>
  <c r="C284" i="15"/>
  <c r="B284" i="15"/>
  <c r="A284" i="15" s="1"/>
  <c r="N283" i="15"/>
  <c r="M283" i="15"/>
  <c r="L283" i="15"/>
  <c r="K283" i="15"/>
  <c r="J283" i="15"/>
  <c r="I283" i="15"/>
  <c r="H283" i="15"/>
  <c r="G283" i="15"/>
  <c r="F283" i="15"/>
  <c r="E283" i="15"/>
  <c r="D283" i="15"/>
  <c r="C283" i="15"/>
  <c r="B283" i="15"/>
  <c r="A283" i="15" s="1"/>
  <c r="N282" i="15"/>
  <c r="M282" i="15"/>
  <c r="L282" i="15"/>
  <c r="K282" i="15"/>
  <c r="J282" i="15"/>
  <c r="I282" i="15"/>
  <c r="H282" i="15"/>
  <c r="G282" i="15"/>
  <c r="F282" i="15"/>
  <c r="E282" i="15"/>
  <c r="D282" i="15"/>
  <c r="C282" i="15"/>
  <c r="B282" i="15"/>
  <c r="A282" i="15" s="1"/>
  <c r="N281" i="15"/>
  <c r="M281" i="15"/>
  <c r="L281" i="15"/>
  <c r="K281" i="15"/>
  <c r="J281" i="15"/>
  <c r="I281" i="15"/>
  <c r="H281" i="15"/>
  <c r="G281" i="15"/>
  <c r="F281" i="15"/>
  <c r="E281" i="15"/>
  <c r="D281" i="15"/>
  <c r="C281" i="15"/>
  <c r="B281" i="15"/>
  <c r="A281" i="15" s="1"/>
  <c r="N280" i="15"/>
  <c r="M280" i="15"/>
  <c r="L280" i="15"/>
  <c r="K280" i="15"/>
  <c r="J280" i="15"/>
  <c r="I280" i="15"/>
  <c r="H280" i="15"/>
  <c r="G280" i="15"/>
  <c r="F280" i="15"/>
  <c r="E280" i="15"/>
  <c r="D280" i="15"/>
  <c r="C280" i="15"/>
  <c r="B280" i="15"/>
  <c r="A280" i="15" s="1"/>
  <c r="N279" i="15"/>
  <c r="M279" i="15"/>
  <c r="L279" i="15"/>
  <c r="K279" i="15"/>
  <c r="J279" i="15"/>
  <c r="I279" i="15"/>
  <c r="H279" i="15"/>
  <c r="G279" i="15"/>
  <c r="F279" i="15"/>
  <c r="E279" i="15"/>
  <c r="D279" i="15"/>
  <c r="C279" i="15"/>
  <c r="B279" i="15"/>
  <c r="A279" i="15" s="1"/>
  <c r="N278" i="15"/>
  <c r="M278" i="15"/>
  <c r="L278" i="15"/>
  <c r="K278" i="15"/>
  <c r="J278" i="15"/>
  <c r="I278" i="15"/>
  <c r="H278" i="15"/>
  <c r="G278" i="15"/>
  <c r="F278" i="15"/>
  <c r="E278" i="15"/>
  <c r="D278" i="15"/>
  <c r="C278" i="15"/>
  <c r="B278" i="15"/>
  <c r="A278" i="15" s="1"/>
  <c r="N277" i="15"/>
  <c r="M277" i="15"/>
  <c r="L277" i="15"/>
  <c r="K277" i="15"/>
  <c r="J277" i="15"/>
  <c r="I277" i="15"/>
  <c r="H277" i="15"/>
  <c r="G277" i="15"/>
  <c r="F277" i="15"/>
  <c r="E277" i="15"/>
  <c r="D277" i="15"/>
  <c r="C277" i="15"/>
  <c r="B277" i="15"/>
  <c r="A277" i="15" s="1"/>
  <c r="N276" i="15"/>
  <c r="M276" i="15"/>
  <c r="L276" i="15"/>
  <c r="K276" i="15"/>
  <c r="J276" i="15"/>
  <c r="I276" i="15"/>
  <c r="H276" i="15"/>
  <c r="G276" i="15"/>
  <c r="F276" i="15"/>
  <c r="E276" i="15"/>
  <c r="D276" i="15"/>
  <c r="C276" i="15"/>
  <c r="B276" i="15"/>
  <c r="A276" i="15" s="1"/>
  <c r="N275" i="15"/>
  <c r="M275" i="15"/>
  <c r="L275" i="15"/>
  <c r="K275" i="15"/>
  <c r="J275" i="15"/>
  <c r="I275" i="15"/>
  <c r="H275" i="15"/>
  <c r="G275" i="15"/>
  <c r="F275" i="15"/>
  <c r="E275" i="15"/>
  <c r="D275" i="15"/>
  <c r="C275" i="15"/>
  <c r="B275" i="15"/>
  <c r="A275" i="15" s="1"/>
  <c r="N274" i="15"/>
  <c r="M274" i="15"/>
  <c r="L274" i="15"/>
  <c r="K274" i="15"/>
  <c r="J274" i="15"/>
  <c r="I274" i="15"/>
  <c r="H274" i="15"/>
  <c r="G274" i="15"/>
  <c r="F274" i="15"/>
  <c r="E274" i="15"/>
  <c r="D274" i="15"/>
  <c r="C274" i="15"/>
  <c r="B274" i="15"/>
  <c r="A274" i="15" s="1"/>
  <c r="N273" i="15"/>
  <c r="M273" i="15"/>
  <c r="L273" i="15"/>
  <c r="K273" i="15"/>
  <c r="J273" i="15"/>
  <c r="I273" i="15"/>
  <c r="H273" i="15"/>
  <c r="G273" i="15"/>
  <c r="F273" i="15"/>
  <c r="E273" i="15"/>
  <c r="D273" i="15"/>
  <c r="C273" i="15"/>
  <c r="B273" i="15"/>
  <c r="A273" i="15" s="1"/>
  <c r="N272" i="15"/>
  <c r="M272" i="15"/>
  <c r="L272" i="15"/>
  <c r="K272" i="15"/>
  <c r="J272" i="15"/>
  <c r="I272" i="15"/>
  <c r="H272" i="15"/>
  <c r="G272" i="15"/>
  <c r="F272" i="15"/>
  <c r="E272" i="15"/>
  <c r="D272" i="15"/>
  <c r="C272" i="15"/>
  <c r="B272" i="15"/>
  <c r="A272" i="15" s="1"/>
  <c r="N271" i="15"/>
  <c r="M271" i="15"/>
  <c r="L271" i="15"/>
  <c r="K271" i="15"/>
  <c r="J271" i="15"/>
  <c r="I271" i="15"/>
  <c r="H271" i="15"/>
  <c r="G271" i="15"/>
  <c r="F271" i="15"/>
  <c r="E271" i="15"/>
  <c r="D271" i="15"/>
  <c r="C271" i="15"/>
  <c r="B271" i="15"/>
  <c r="A271" i="15" s="1"/>
  <c r="N270" i="15"/>
  <c r="M270" i="15"/>
  <c r="L270" i="15"/>
  <c r="K270" i="15"/>
  <c r="J270" i="15"/>
  <c r="I270" i="15"/>
  <c r="H270" i="15"/>
  <c r="G270" i="15"/>
  <c r="F270" i="15"/>
  <c r="E270" i="15"/>
  <c r="D270" i="15"/>
  <c r="C270" i="15"/>
  <c r="B270" i="15"/>
  <c r="A270" i="15" s="1"/>
  <c r="N269" i="15"/>
  <c r="M269" i="15"/>
  <c r="L269" i="15"/>
  <c r="K269" i="15"/>
  <c r="J269" i="15"/>
  <c r="I269" i="15"/>
  <c r="H269" i="15"/>
  <c r="G269" i="15"/>
  <c r="F269" i="15"/>
  <c r="E269" i="15"/>
  <c r="D269" i="15"/>
  <c r="C269" i="15"/>
  <c r="B269" i="15"/>
  <c r="A269" i="15" s="1"/>
  <c r="N268" i="15"/>
  <c r="M268" i="15"/>
  <c r="L268" i="15"/>
  <c r="K268" i="15"/>
  <c r="J268" i="15"/>
  <c r="I268" i="15"/>
  <c r="H268" i="15"/>
  <c r="G268" i="15"/>
  <c r="F268" i="15"/>
  <c r="E268" i="15"/>
  <c r="D268" i="15"/>
  <c r="C268" i="15"/>
  <c r="B268" i="15"/>
  <c r="A268" i="15" s="1"/>
  <c r="N267" i="15"/>
  <c r="M267" i="15"/>
  <c r="L267" i="15"/>
  <c r="K267" i="15"/>
  <c r="J267" i="15"/>
  <c r="I267" i="15"/>
  <c r="H267" i="15"/>
  <c r="G267" i="15"/>
  <c r="F267" i="15"/>
  <c r="E267" i="15"/>
  <c r="D267" i="15"/>
  <c r="C267" i="15"/>
  <c r="B267" i="15"/>
  <c r="A267" i="15" s="1"/>
  <c r="N266" i="15"/>
  <c r="M266" i="15"/>
  <c r="L266" i="15"/>
  <c r="K266" i="15"/>
  <c r="J266" i="15"/>
  <c r="I266" i="15"/>
  <c r="H266" i="15"/>
  <c r="G266" i="15"/>
  <c r="F266" i="15"/>
  <c r="E266" i="15"/>
  <c r="D266" i="15"/>
  <c r="C266" i="15"/>
  <c r="B266" i="15"/>
  <c r="A266" i="15" s="1"/>
  <c r="N265" i="15"/>
  <c r="M265" i="15"/>
  <c r="L265" i="15"/>
  <c r="K265" i="15"/>
  <c r="J265" i="15"/>
  <c r="I265" i="15"/>
  <c r="H265" i="15"/>
  <c r="G265" i="15"/>
  <c r="F265" i="15"/>
  <c r="E265" i="15"/>
  <c r="D265" i="15"/>
  <c r="C265" i="15"/>
  <c r="B265" i="15"/>
  <c r="A265" i="15" s="1"/>
  <c r="N264" i="15"/>
  <c r="M264" i="15"/>
  <c r="L264" i="15"/>
  <c r="K264" i="15"/>
  <c r="J264" i="15"/>
  <c r="I264" i="15"/>
  <c r="H264" i="15"/>
  <c r="G264" i="15"/>
  <c r="F264" i="15"/>
  <c r="E264" i="15"/>
  <c r="D264" i="15"/>
  <c r="C264" i="15"/>
  <c r="B264" i="15"/>
  <c r="A264" i="15" s="1"/>
  <c r="N263" i="15"/>
  <c r="M263" i="15"/>
  <c r="L263" i="15"/>
  <c r="K263" i="15"/>
  <c r="J263" i="15"/>
  <c r="I263" i="15"/>
  <c r="H263" i="15"/>
  <c r="G263" i="15"/>
  <c r="F263" i="15"/>
  <c r="E263" i="15"/>
  <c r="D263" i="15"/>
  <c r="C263" i="15"/>
  <c r="B263" i="15"/>
  <c r="A263" i="15" s="1"/>
  <c r="N262" i="15"/>
  <c r="M262" i="15"/>
  <c r="L262" i="15"/>
  <c r="K262" i="15"/>
  <c r="J262" i="15"/>
  <c r="I262" i="15"/>
  <c r="H262" i="15"/>
  <c r="G262" i="15"/>
  <c r="F262" i="15"/>
  <c r="E262" i="15"/>
  <c r="D262" i="15"/>
  <c r="C262" i="15"/>
  <c r="B262" i="15"/>
  <c r="A262" i="15" s="1"/>
  <c r="N261" i="15"/>
  <c r="M261" i="15"/>
  <c r="L261" i="15"/>
  <c r="K261" i="15"/>
  <c r="J261" i="15"/>
  <c r="I261" i="15"/>
  <c r="H261" i="15"/>
  <c r="G261" i="15"/>
  <c r="F261" i="15"/>
  <c r="E261" i="15"/>
  <c r="D261" i="15"/>
  <c r="C261" i="15"/>
  <c r="B261" i="15"/>
  <c r="A261" i="15" s="1"/>
  <c r="N260" i="15"/>
  <c r="M260" i="15"/>
  <c r="L260" i="15"/>
  <c r="K260" i="15"/>
  <c r="J260" i="15"/>
  <c r="I260" i="15"/>
  <c r="H260" i="15"/>
  <c r="G260" i="15"/>
  <c r="F260" i="15"/>
  <c r="E260" i="15"/>
  <c r="D260" i="15"/>
  <c r="C260" i="15"/>
  <c r="B260" i="15"/>
  <c r="A260" i="15" s="1"/>
  <c r="N259" i="15"/>
  <c r="M259" i="15"/>
  <c r="L259" i="15"/>
  <c r="K259" i="15"/>
  <c r="J259" i="15"/>
  <c r="I259" i="15"/>
  <c r="H259" i="15"/>
  <c r="G259" i="15"/>
  <c r="F259" i="15"/>
  <c r="E259" i="15"/>
  <c r="D259" i="15"/>
  <c r="C259" i="15"/>
  <c r="B259" i="15"/>
  <c r="A259" i="15" s="1"/>
  <c r="N258" i="15"/>
  <c r="M258" i="15"/>
  <c r="L258" i="15"/>
  <c r="K258" i="15"/>
  <c r="J258" i="15"/>
  <c r="I258" i="15"/>
  <c r="H258" i="15"/>
  <c r="G258" i="15"/>
  <c r="F258" i="15"/>
  <c r="E258" i="15"/>
  <c r="D258" i="15"/>
  <c r="C258" i="15"/>
  <c r="B258" i="15"/>
  <c r="A258" i="15" s="1"/>
  <c r="N257" i="15"/>
  <c r="M257" i="15"/>
  <c r="L257" i="15"/>
  <c r="K257" i="15"/>
  <c r="J257" i="15"/>
  <c r="I257" i="15"/>
  <c r="H257" i="15"/>
  <c r="G257" i="15"/>
  <c r="F257" i="15"/>
  <c r="E257" i="15"/>
  <c r="D257" i="15"/>
  <c r="C257" i="15"/>
  <c r="B257" i="15"/>
  <c r="A257" i="15" s="1"/>
  <c r="N256" i="15"/>
  <c r="M256" i="15"/>
  <c r="L256" i="15"/>
  <c r="K256" i="15"/>
  <c r="J256" i="15"/>
  <c r="I256" i="15"/>
  <c r="H256" i="15"/>
  <c r="G256" i="15"/>
  <c r="F256" i="15"/>
  <c r="E256" i="15"/>
  <c r="D256" i="15"/>
  <c r="C256" i="15"/>
  <c r="B256" i="15"/>
  <c r="A256" i="15" s="1"/>
  <c r="N255" i="15"/>
  <c r="M255" i="15"/>
  <c r="L255" i="15"/>
  <c r="K255" i="15"/>
  <c r="J255" i="15"/>
  <c r="I255" i="15"/>
  <c r="H255" i="15"/>
  <c r="G255" i="15"/>
  <c r="F255" i="15"/>
  <c r="E255" i="15"/>
  <c r="D255" i="15"/>
  <c r="C255" i="15"/>
  <c r="B255" i="15"/>
  <c r="A255" i="15" s="1"/>
  <c r="N254" i="15"/>
  <c r="M254" i="15"/>
  <c r="L254" i="15"/>
  <c r="K254" i="15"/>
  <c r="J254" i="15"/>
  <c r="I254" i="15"/>
  <c r="H254" i="15"/>
  <c r="G254" i="15"/>
  <c r="F254" i="15"/>
  <c r="E254" i="15"/>
  <c r="D254" i="15"/>
  <c r="C254" i="15"/>
  <c r="B254" i="15"/>
  <c r="A254" i="15" s="1"/>
  <c r="N253" i="15"/>
  <c r="M253" i="15"/>
  <c r="L253" i="15"/>
  <c r="K253" i="15"/>
  <c r="J253" i="15"/>
  <c r="I253" i="15"/>
  <c r="H253" i="15"/>
  <c r="G253" i="15"/>
  <c r="F253" i="15"/>
  <c r="E253" i="15"/>
  <c r="D253" i="15"/>
  <c r="C253" i="15"/>
  <c r="B253" i="15"/>
  <c r="A253" i="15" s="1"/>
  <c r="N252" i="15"/>
  <c r="M252" i="15"/>
  <c r="L252" i="15"/>
  <c r="K252" i="15"/>
  <c r="J252" i="15"/>
  <c r="I252" i="15"/>
  <c r="H252" i="15"/>
  <c r="G252" i="15"/>
  <c r="F252" i="15"/>
  <c r="E252" i="15"/>
  <c r="D252" i="15"/>
  <c r="C252" i="15"/>
  <c r="B252" i="15"/>
  <c r="A252" i="15" s="1"/>
  <c r="N251" i="15"/>
  <c r="M251" i="15"/>
  <c r="L251" i="15"/>
  <c r="K251" i="15"/>
  <c r="J251" i="15"/>
  <c r="I251" i="15"/>
  <c r="H251" i="15"/>
  <c r="G251" i="15"/>
  <c r="F251" i="15"/>
  <c r="E251" i="15"/>
  <c r="D251" i="15"/>
  <c r="C251" i="15"/>
  <c r="B251" i="15"/>
  <c r="A251" i="15" s="1"/>
  <c r="N250" i="15"/>
  <c r="M250" i="15"/>
  <c r="L250" i="15"/>
  <c r="K250" i="15"/>
  <c r="J250" i="15"/>
  <c r="I250" i="15"/>
  <c r="H250" i="15"/>
  <c r="G250" i="15"/>
  <c r="F250" i="15"/>
  <c r="E250" i="15"/>
  <c r="D250" i="15"/>
  <c r="C250" i="15"/>
  <c r="B250" i="15"/>
  <c r="A250" i="15" s="1"/>
  <c r="N249" i="15"/>
  <c r="M249" i="15"/>
  <c r="L249" i="15"/>
  <c r="K249" i="15"/>
  <c r="J249" i="15"/>
  <c r="I249" i="15"/>
  <c r="H249" i="15"/>
  <c r="G249" i="15"/>
  <c r="F249" i="15"/>
  <c r="E249" i="15"/>
  <c r="D249" i="15"/>
  <c r="C249" i="15"/>
  <c r="B249" i="15"/>
  <c r="A249" i="15" s="1"/>
  <c r="N248" i="15"/>
  <c r="M248" i="15"/>
  <c r="L248" i="15"/>
  <c r="K248" i="15"/>
  <c r="J248" i="15"/>
  <c r="I248" i="15"/>
  <c r="H248" i="15"/>
  <c r="G248" i="15"/>
  <c r="F248" i="15"/>
  <c r="E248" i="15"/>
  <c r="D248" i="15"/>
  <c r="C248" i="15"/>
  <c r="B248" i="15"/>
  <c r="A248" i="15" s="1"/>
  <c r="N247" i="15"/>
  <c r="M247" i="15"/>
  <c r="L247" i="15"/>
  <c r="K247" i="15"/>
  <c r="J247" i="15"/>
  <c r="I247" i="15"/>
  <c r="H247" i="15"/>
  <c r="G247" i="15"/>
  <c r="F247" i="15"/>
  <c r="E247" i="15"/>
  <c r="D247" i="15"/>
  <c r="C247" i="15"/>
  <c r="B247" i="15"/>
  <c r="A247" i="15" s="1"/>
  <c r="N246" i="15"/>
  <c r="M246" i="15"/>
  <c r="L246" i="15"/>
  <c r="K246" i="15"/>
  <c r="J246" i="15"/>
  <c r="I246" i="15"/>
  <c r="H246" i="15"/>
  <c r="G246" i="15"/>
  <c r="F246" i="15"/>
  <c r="E246" i="15"/>
  <c r="D246" i="15"/>
  <c r="C246" i="15"/>
  <c r="B246" i="15"/>
  <c r="A246" i="15" s="1"/>
  <c r="N245" i="15"/>
  <c r="M245" i="15"/>
  <c r="L245" i="15"/>
  <c r="K245" i="15"/>
  <c r="J245" i="15"/>
  <c r="I245" i="15"/>
  <c r="H245" i="15"/>
  <c r="G245" i="15"/>
  <c r="F245" i="15"/>
  <c r="E245" i="15"/>
  <c r="D245" i="15"/>
  <c r="C245" i="15"/>
  <c r="B245" i="15"/>
  <c r="A245" i="15" s="1"/>
  <c r="N244" i="15"/>
  <c r="M244" i="15"/>
  <c r="L244" i="15"/>
  <c r="K244" i="15"/>
  <c r="J244" i="15"/>
  <c r="I244" i="15"/>
  <c r="H244" i="15"/>
  <c r="G244" i="15"/>
  <c r="F244" i="15"/>
  <c r="E244" i="15"/>
  <c r="D244" i="15"/>
  <c r="C244" i="15"/>
  <c r="B244" i="15"/>
  <c r="A244" i="15" s="1"/>
  <c r="N243" i="15"/>
  <c r="M243" i="15"/>
  <c r="L243" i="15"/>
  <c r="K243" i="15"/>
  <c r="J243" i="15"/>
  <c r="I243" i="15"/>
  <c r="H243" i="15"/>
  <c r="G243" i="15"/>
  <c r="F243" i="15"/>
  <c r="E243" i="15"/>
  <c r="D243" i="15"/>
  <c r="C243" i="15"/>
  <c r="B243" i="15"/>
  <c r="A243" i="15" s="1"/>
  <c r="N242" i="15"/>
  <c r="M242" i="15"/>
  <c r="L242" i="15"/>
  <c r="K242" i="15"/>
  <c r="J242" i="15"/>
  <c r="I242" i="15"/>
  <c r="H242" i="15"/>
  <c r="G242" i="15"/>
  <c r="F242" i="15"/>
  <c r="E242" i="15"/>
  <c r="D242" i="15"/>
  <c r="C242" i="15"/>
  <c r="B242" i="15"/>
  <c r="A242" i="15" s="1"/>
  <c r="N241" i="15"/>
  <c r="M241" i="15"/>
  <c r="L241" i="15"/>
  <c r="K241" i="15"/>
  <c r="J241" i="15"/>
  <c r="I241" i="15"/>
  <c r="H241" i="15"/>
  <c r="G241" i="15"/>
  <c r="F241" i="15"/>
  <c r="E241" i="15"/>
  <c r="D241" i="15"/>
  <c r="C241" i="15"/>
  <c r="B241" i="15"/>
  <c r="A241" i="15" s="1"/>
  <c r="N240" i="15"/>
  <c r="M240" i="15"/>
  <c r="L240" i="15"/>
  <c r="K240" i="15"/>
  <c r="J240" i="15"/>
  <c r="I240" i="15"/>
  <c r="H240" i="15"/>
  <c r="G240" i="15"/>
  <c r="F240" i="15"/>
  <c r="E240" i="15"/>
  <c r="D240" i="15"/>
  <c r="C240" i="15"/>
  <c r="B240" i="15"/>
  <c r="A240" i="15" s="1"/>
  <c r="N239" i="15"/>
  <c r="M239" i="15"/>
  <c r="L239" i="15"/>
  <c r="K239" i="15"/>
  <c r="J239" i="15"/>
  <c r="I239" i="15"/>
  <c r="H239" i="15"/>
  <c r="G239" i="15"/>
  <c r="F239" i="15"/>
  <c r="E239" i="15"/>
  <c r="D239" i="15"/>
  <c r="C239" i="15"/>
  <c r="B239" i="15"/>
  <c r="A239" i="15" s="1"/>
  <c r="N238" i="15"/>
  <c r="M238" i="15"/>
  <c r="L238" i="15"/>
  <c r="K238" i="15"/>
  <c r="J238" i="15"/>
  <c r="I238" i="15"/>
  <c r="H238" i="15"/>
  <c r="G238" i="15"/>
  <c r="F238" i="15"/>
  <c r="E238" i="15"/>
  <c r="D238" i="15"/>
  <c r="C238" i="15"/>
  <c r="B238" i="15"/>
  <c r="A238" i="15" s="1"/>
  <c r="N237" i="15"/>
  <c r="M237" i="15"/>
  <c r="L237" i="15"/>
  <c r="K237" i="15"/>
  <c r="J237" i="15"/>
  <c r="I237" i="15"/>
  <c r="H237" i="15"/>
  <c r="G237" i="15"/>
  <c r="F237" i="15"/>
  <c r="E237" i="15"/>
  <c r="D237" i="15"/>
  <c r="C237" i="15"/>
  <c r="B237" i="15"/>
  <c r="A237" i="15" s="1"/>
  <c r="N236" i="15"/>
  <c r="M236" i="15"/>
  <c r="L236" i="15"/>
  <c r="K236" i="15"/>
  <c r="J236" i="15"/>
  <c r="I236" i="15"/>
  <c r="H236" i="15"/>
  <c r="G236" i="15"/>
  <c r="F236" i="15"/>
  <c r="E236" i="15"/>
  <c r="D236" i="15"/>
  <c r="C236" i="15"/>
  <c r="B236" i="15"/>
  <c r="A236" i="15" s="1"/>
  <c r="N235" i="15"/>
  <c r="M235" i="15"/>
  <c r="L235" i="15"/>
  <c r="K235" i="15"/>
  <c r="J235" i="15"/>
  <c r="I235" i="15"/>
  <c r="H235" i="15"/>
  <c r="G235" i="15"/>
  <c r="F235" i="15"/>
  <c r="E235" i="15"/>
  <c r="D235" i="15"/>
  <c r="C235" i="15"/>
  <c r="B235" i="15"/>
  <c r="A235" i="15" s="1"/>
  <c r="N234" i="15"/>
  <c r="M234" i="15"/>
  <c r="L234" i="15"/>
  <c r="K234" i="15"/>
  <c r="J234" i="15"/>
  <c r="I234" i="15"/>
  <c r="H234" i="15"/>
  <c r="G234" i="15"/>
  <c r="F234" i="15"/>
  <c r="E234" i="15"/>
  <c r="D234" i="15"/>
  <c r="C234" i="15"/>
  <c r="B234" i="15"/>
  <c r="A234" i="15" s="1"/>
  <c r="N233" i="15"/>
  <c r="M233" i="15"/>
  <c r="L233" i="15"/>
  <c r="K233" i="15"/>
  <c r="J233" i="15"/>
  <c r="I233" i="15"/>
  <c r="H233" i="15"/>
  <c r="G233" i="15"/>
  <c r="F233" i="15"/>
  <c r="E233" i="15"/>
  <c r="D233" i="15"/>
  <c r="C233" i="15"/>
  <c r="B233" i="15"/>
  <c r="A233" i="15" s="1"/>
  <c r="N232" i="15"/>
  <c r="M232" i="15"/>
  <c r="L232" i="15"/>
  <c r="K232" i="15"/>
  <c r="J232" i="15"/>
  <c r="I232" i="15"/>
  <c r="H232" i="15"/>
  <c r="G232" i="15"/>
  <c r="F232" i="15"/>
  <c r="E232" i="15"/>
  <c r="D232" i="15"/>
  <c r="C232" i="15"/>
  <c r="B232" i="15"/>
  <c r="A232" i="15" s="1"/>
  <c r="N231" i="15"/>
  <c r="M231" i="15"/>
  <c r="L231" i="15"/>
  <c r="K231" i="15"/>
  <c r="J231" i="15"/>
  <c r="I231" i="15"/>
  <c r="H231" i="15"/>
  <c r="G231" i="15"/>
  <c r="F231" i="15"/>
  <c r="E231" i="15"/>
  <c r="D231" i="15"/>
  <c r="C231" i="15"/>
  <c r="B231" i="15"/>
  <c r="A231" i="15" s="1"/>
  <c r="N230" i="15"/>
  <c r="M230" i="15"/>
  <c r="L230" i="15"/>
  <c r="K230" i="15"/>
  <c r="J230" i="15"/>
  <c r="I230" i="15"/>
  <c r="H230" i="15"/>
  <c r="G230" i="15"/>
  <c r="F230" i="15"/>
  <c r="E230" i="15"/>
  <c r="D230" i="15"/>
  <c r="C230" i="15"/>
  <c r="B230" i="15"/>
  <c r="A230" i="15" s="1"/>
  <c r="N229" i="15"/>
  <c r="M229" i="15"/>
  <c r="L229" i="15"/>
  <c r="K229" i="15"/>
  <c r="J229" i="15"/>
  <c r="I229" i="15"/>
  <c r="H229" i="15"/>
  <c r="G229" i="15"/>
  <c r="F229" i="15"/>
  <c r="E229" i="15"/>
  <c r="D229" i="15"/>
  <c r="C229" i="15"/>
  <c r="B229" i="15"/>
  <c r="A229" i="15" s="1"/>
  <c r="N228" i="15"/>
  <c r="M228" i="15"/>
  <c r="L228" i="15"/>
  <c r="K228" i="15"/>
  <c r="J228" i="15"/>
  <c r="I228" i="15"/>
  <c r="H228" i="15"/>
  <c r="G228" i="15"/>
  <c r="F228" i="15"/>
  <c r="E228" i="15"/>
  <c r="D228" i="15"/>
  <c r="C228" i="15"/>
  <c r="B228" i="15"/>
  <c r="A228" i="15" s="1"/>
  <c r="N227" i="15"/>
  <c r="M227" i="15"/>
  <c r="L227" i="15"/>
  <c r="K227" i="15"/>
  <c r="J227" i="15"/>
  <c r="I227" i="15"/>
  <c r="H227" i="15"/>
  <c r="G227" i="15"/>
  <c r="F227" i="15"/>
  <c r="E227" i="15"/>
  <c r="D227" i="15"/>
  <c r="C227" i="15"/>
  <c r="B227" i="15"/>
  <c r="A227" i="15" s="1"/>
  <c r="N226" i="15"/>
  <c r="M226" i="15"/>
  <c r="L226" i="15"/>
  <c r="K226" i="15"/>
  <c r="J226" i="15"/>
  <c r="I226" i="15"/>
  <c r="H226" i="15"/>
  <c r="G226" i="15"/>
  <c r="F226" i="15"/>
  <c r="E226" i="15"/>
  <c r="D226" i="15"/>
  <c r="C226" i="15"/>
  <c r="B226" i="15"/>
  <c r="A226" i="15" s="1"/>
  <c r="N225" i="15"/>
  <c r="M225" i="15"/>
  <c r="L225" i="15"/>
  <c r="K225" i="15"/>
  <c r="J225" i="15"/>
  <c r="I225" i="15"/>
  <c r="H225" i="15"/>
  <c r="G225" i="15"/>
  <c r="F225" i="15"/>
  <c r="E225" i="15"/>
  <c r="D225" i="15"/>
  <c r="C225" i="15"/>
  <c r="B225" i="15"/>
  <c r="A225" i="15" s="1"/>
  <c r="N224" i="15"/>
  <c r="M224" i="15"/>
  <c r="L224" i="15"/>
  <c r="K224" i="15"/>
  <c r="J224" i="15"/>
  <c r="I224" i="15"/>
  <c r="H224" i="15"/>
  <c r="G224" i="15"/>
  <c r="F224" i="15"/>
  <c r="E224" i="15"/>
  <c r="D224" i="15"/>
  <c r="C224" i="15"/>
  <c r="B224" i="15"/>
  <c r="A224" i="15" s="1"/>
  <c r="N223" i="15"/>
  <c r="M223" i="15"/>
  <c r="L223" i="15"/>
  <c r="K223" i="15"/>
  <c r="J223" i="15"/>
  <c r="I223" i="15"/>
  <c r="H223" i="15"/>
  <c r="G223" i="15"/>
  <c r="F223" i="15"/>
  <c r="E223" i="15"/>
  <c r="D223" i="15"/>
  <c r="C223" i="15"/>
  <c r="B223" i="15"/>
  <c r="A223" i="15" s="1"/>
  <c r="N222" i="15"/>
  <c r="M222" i="15"/>
  <c r="L222" i="15"/>
  <c r="K222" i="15"/>
  <c r="J222" i="15"/>
  <c r="I222" i="15"/>
  <c r="H222" i="15"/>
  <c r="G222" i="15"/>
  <c r="F222" i="15"/>
  <c r="E222" i="15"/>
  <c r="D222" i="15"/>
  <c r="C222" i="15"/>
  <c r="B222" i="15"/>
  <c r="A222" i="15" s="1"/>
  <c r="N221" i="15"/>
  <c r="M221" i="15"/>
  <c r="L221" i="15"/>
  <c r="K221" i="15"/>
  <c r="J221" i="15"/>
  <c r="I221" i="15"/>
  <c r="H221" i="15"/>
  <c r="G221" i="15"/>
  <c r="F221" i="15"/>
  <c r="E221" i="15"/>
  <c r="D221" i="15"/>
  <c r="C221" i="15"/>
  <c r="B221" i="15"/>
  <c r="A221" i="15" s="1"/>
  <c r="N220" i="15"/>
  <c r="M220" i="15"/>
  <c r="L220" i="15"/>
  <c r="K220" i="15"/>
  <c r="J220" i="15"/>
  <c r="I220" i="15"/>
  <c r="H220" i="15"/>
  <c r="G220" i="15"/>
  <c r="F220" i="15"/>
  <c r="E220" i="15"/>
  <c r="D220" i="15"/>
  <c r="C220" i="15"/>
  <c r="B220" i="15"/>
  <c r="A220" i="15" s="1"/>
  <c r="N219" i="15"/>
  <c r="M219" i="15"/>
  <c r="L219" i="15"/>
  <c r="K219" i="15"/>
  <c r="J219" i="15"/>
  <c r="I219" i="15"/>
  <c r="H219" i="15"/>
  <c r="G219" i="15"/>
  <c r="F219" i="15"/>
  <c r="E219" i="15"/>
  <c r="D219" i="15"/>
  <c r="C219" i="15"/>
  <c r="B219" i="15"/>
  <c r="A219" i="15" s="1"/>
  <c r="N218" i="15"/>
  <c r="M218" i="15"/>
  <c r="L218" i="15"/>
  <c r="K218" i="15"/>
  <c r="J218" i="15"/>
  <c r="I218" i="15"/>
  <c r="H218" i="15"/>
  <c r="G218" i="15"/>
  <c r="F218" i="15"/>
  <c r="E218" i="15"/>
  <c r="D218" i="15"/>
  <c r="C218" i="15"/>
  <c r="B218" i="15"/>
  <c r="A218" i="15" s="1"/>
  <c r="N217" i="15"/>
  <c r="M217" i="15"/>
  <c r="L217" i="15"/>
  <c r="K217" i="15"/>
  <c r="J217" i="15"/>
  <c r="I217" i="15"/>
  <c r="H217" i="15"/>
  <c r="G217" i="15"/>
  <c r="F217" i="15"/>
  <c r="E217" i="15"/>
  <c r="D217" i="15"/>
  <c r="C217" i="15"/>
  <c r="B217" i="15"/>
  <c r="A217" i="15" s="1"/>
  <c r="N216" i="15"/>
  <c r="M216" i="15"/>
  <c r="L216" i="15"/>
  <c r="K216" i="15"/>
  <c r="J216" i="15"/>
  <c r="I216" i="15"/>
  <c r="H216" i="15"/>
  <c r="G216" i="15"/>
  <c r="F216" i="15"/>
  <c r="E216" i="15"/>
  <c r="D216" i="15"/>
  <c r="C216" i="15"/>
  <c r="B216" i="15"/>
  <c r="A216" i="15" s="1"/>
  <c r="N215" i="15"/>
  <c r="M215" i="15"/>
  <c r="L215" i="15"/>
  <c r="K215" i="15"/>
  <c r="J215" i="15"/>
  <c r="I215" i="15"/>
  <c r="H215" i="15"/>
  <c r="G215" i="15"/>
  <c r="F215" i="15"/>
  <c r="E215" i="15"/>
  <c r="D215" i="15"/>
  <c r="C215" i="15"/>
  <c r="B215" i="15"/>
  <c r="A215" i="15" s="1"/>
  <c r="N214" i="15"/>
  <c r="M214" i="15"/>
  <c r="L214" i="15"/>
  <c r="K214" i="15"/>
  <c r="J214" i="15"/>
  <c r="I214" i="15"/>
  <c r="H214" i="15"/>
  <c r="G214" i="15"/>
  <c r="F214" i="15"/>
  <c r="E214" i="15"/>
  <c r="D214" i="15"/>
  <c r="C214" i="15"/>
  <c r="B214" i="15"/>
  <c r="A214" i="15" s="1"/>
  <c r="N213" i="15"/>
  <c r="M213" i="15"/>
  <c r="L213" i="15"/>
  <c r="K213" i="15"/>
  <c r="J213" i="15"/>
  <c r="I213" i="15"/>
  <c r="H213" i="15"/>
  <c r="G213" i="15"/>
  <c r="F213" i="15"/>
  <c r="E213" i="15"/>
  <c r="D213" i="15"/>
  <c r="C213" i="15"/>
  <c r="B213" i="15"/>
  <c r="A213" i="15" s="1"/>
  <c r="N212" i="15"/>
  <c r="M212" i="15"/>
  <c r="L212" i="15"/>
  <c r="K212" i="15"/>
  <c r="J212" i="15"/>
  <c r="I212" i="15"/>
  <c r="H212" i="15"/>
  <c r="G212" i="15"/>
  <c r="F212" i="15"/>
  <c r="E212" i="15"/>
  <c r="D212" i="15"/>
  <c r="C212" i="15"/>
  <c r="B212" i="15"/>
  <c r="A212" i="15" s="1"/>
  <c r="N211" i="15"/>
  <c r="M211" i="15"/>
  <c r="L211" i="15"/>
  <c r="K211" i="15"/>
  <c r="J211" i="15"/>
  <c r="I211" i="15"/>
  <c r="H211" i="15"/>
  <c r="G211" i="15"/>
  <c r="F211" i="15"/>
  <c r="E211" i="15"/>
  <c r="D211" i="15"/>
  <c r="C211" i="15"/>
  <c r="B211" i="15"/>
  <c r="A211" i="15" s="1"/>
  <c r="N210" i="15"/>
  <c r="M210" i="15"/>
  <c r="L210" i="15"/>
  <c r="K210" i="15"/>
  <c r="J210" i="15"/>
  <c r="I210" i="15"/>
  <c r="H210" i="15"/>
  <c r="G210" i="15"/>
  <c r="F210" i="15"/>
  <c r="E210" i="15"/>
  <c r="D210" i="15"/>
  <c r="C210" i="15"/>
  <c r="B210" i="15"/>
  <c r="A210" i="15" s="1"/>
  <c r="N209" i="15"/>
  <c r="M209" i="15"/>
  <c r="L209" i="15"/>
  <c r="K209" i="15"/>
  <c r="J209" i="15"/>
  <c r="I209" i="15"/>
  <c r="H209" i="15"/>
  <c r="G209" i="15"/>
  <c r="F209" i="15"/>
  <c r="E209" i="15"/>
  <c r="D209" i="15"/>
  <c r="C209" i="15"/>
  <c r="B209" i="15"/>
  <c r="A209" i="15" s="1"/>
  <c r="N208" i="15"/>
  <c r="M208" i="15"/>
  <c r="L208" i="15"/>
  <c r="K208" i="15"/>
  <c r="J208" i="15"/>
  <c r="I208" i="15"/>
  <c r="H208" i="15"/>
  <c r="G208" i="15"/>
  <c r="F208" i="15"/>
  <c r="E208" i="15"/>
  <c r="D208" i="15"/>
  <c r="C208" i="15"/>
  <c r="B208" i="15"/>
  <c r="A208" i="15" s="1"/>
  <c r="N207" i="15"/>
  <c r="M207" i="15"/>
  <c r="L207" i="15"/>
  <c r="K207" i="15"/>
  <c r="J207" i="15"/>
  <c r="I207" i="15"/>
  <c r="H207" i="15"/>
  <c r="G207" i="15"/>
  <c r="F207" i="15"/>
  <c r="E207" i="15"/>
  <c r="D207" i="15"/>
  <c r="C207" i="15"/>
  <c r="B207" i="15"/>
  <c r="A207" i="15" s="1"/>
  <c r="N206" i="15"/>
  <c r="M206" i="15"/>
  <c r="L206" i="15"/>
  <c r="K206" i="15"/>
  <c r="J206" i="15"/>
  <c r="I206" i="15"/>
  <c r="H206" i="15"/>
  <c r="G206" i="15"/>
  <c r="F206" i="15"/>
  <c r="E206" i="15"/>
  <c r="D206" i="15"/>
  <c r="C206" i="15"/>
  <c r="B206" i="15"/>
  <c r="A206" i="15" s="1"/>
  <c r="N205" i="15"/>
  <c r="M205" i="15"/>
  <c r="L205" i="15"/>
  <c r="K205" i="15"/>
  <c r="J205" i="15"/>
  <c r="I205" i="15"/>
  <c r="H205" i="15"/>
  <c r="G205" i="15"/>
  <c r="F205" i="15"/>
  <c r="E205" i="15"/>
  <c r="D205" i="15"/>
  <c r="C205" i="15"/>
  <c r="B205" i="15"/>
  <c r="A205" i="15" s="1"/>
  <c r="N204" i="15"/>
  <c r="M204" i="15"/>
  <c r="L204" i="15"/>
  <c r="K204" i="15"/>
  <c r="J204" i="15"/>
  <c r="I204" i="15"/>
  <c r="H204" i="15"/>
  <c r="G204" i="15"/>
  <c r="F204" i="15"/>
  <c r="E204" i="15"/>
  <c r="D204" i="15"/>
  <c r="C204" i="15"/>
  <c r="B204" i="15"/>
  <c r="A204" i="15" s="1"/>
  <c r="N203" i="15"/>
  <c r="M203" i="15"/>
  <c r="L203" i="15"/>
  <c r="K203" i="15"/>
  <c r="J203" i="15"/>
  <c r="I203" i="15"/>
  <c r="H203" i="15"/>
  <c r="G203" i="15"/>
  <c r="F203" i="15"/>
  <c r="E203" i="15"/>
  <c r="D203" i="15"/>
  <c r="C203" i="15"/>
  <c r="B203" i="15"/>
  <c r="A203" i="15" s="1"/>
  <c r="N202" i="15"/>
  <c r="M202" i="15"/>
  <c r="L202" i="15"/>
  <c r="K202" i="15"/>
  <c r="J202" i="15"/>
  <c r="I202" i="15"/>
  <c r="H202" i="15"/>
  <c r="G202" i="15"/>
  <c r="F202" i="15"/>
  <c r="E202" i="15"/>
  <c r="D202" i="15"/>
  <c r="C202" i="15"/>
  <c r="B202" i="15"/>
  <c r="A202" i="15" s="1"/>
  <c r="N201" i="15"/>
  <c r="M201" i="15"/>
  <c r="L201" i="15"/>
  <c r="K201" i="15"/>
  <c r="J201" i="15"/>
  <c r="I201" i="15"/>
  <c r="H201" i="15"/>
  <c r="G201" i="15"/>
  <c r="F201" i="15"/>
  <c r="E201" i="15"/>
  <c r="D201" i="15"/>
  <c r="C201" i="15"/>
  <c r="B201" i="15"/>
  <c r="A201" i="15" s="1"/>
  <c r="N200" i="15"/>
  <c r="M200" i="15"/>
  <c r="L200" i="15"/>
  <c r="K200" i="15"/>
  <c r="J200" i="15"/>
  <c r="I200" i="15"/>
  <c r="H200" i="15"/>
  <c r="G200" i="15"/>
  <c r="F200" i="15"/>
  <c r="E200" i="15"/>
  <c r="D200" i="15"/>
  <c r="C200" i="15"/>
  <c r="B200" i="15"/>
  <c r="A200" i="15" s="1"/>
  <c r="N199" i="15"/>
  <c r="M199" i="15"/>
  <c r="L199" i="15"/>
  <c r="K199" i="15"/>
  <c r="J199" i="15"/>
  <c r="I199" i="15"/>
  <c r="H199" i="15"/>
  <c r="G199" i="15"/>
  <c r="F199" i="15"/>
  <c r="E199" i="15"/>
  <c r="D199" i="15"/>
  <c r="C199" i="15"/>
  <c r="B199" i="15"/>
  <c r="A199" i="15" s="1"/>
  <c r="N198" i="15"/>
  <c r="M198" i="15"/>
  <c r="L198" i="15"/>
  <c r="K198" i="15"/>
  <c r="J198" i="15"/>
  <c r="I198" i="15"/>
  <c r="H198" i="15"/>
  <c r="G198" i="15"/>
  <c r="F198" i="15"/>
  <c r="E198" i="15"/>
  <c r="D198" i="15"/>
  <c r="C198" i="15"/>
  <c r="B198" i="15"/>
  <c r="A198" i="15" s="1"/>
  <c r="N197" i="15"/>
  <c r="M197" i="15"/>
  <c r="L197" i="15"/>
  <c r="K197" i="15"/>
  <c r="J197" i="15"/>
  <c r="I197" i="15"/>
  <c r="H197" i="15"/>
  <c r="G197" i="15"/>
  <c r="F197" i="15"/>
  <c r="E197" i="15"/>
  <c r="D197" i="15"/>
  <c r="C197" i="15"/>
  <c r="B197" i="15"/>
  <c r="A197" i="15" s="1"/>
  <c r="N196" i="15"/>
  <c r="M196" i="15"/>
  <c r="L196" i="15"/>
  <c r="K196" i="15"/>
  <c r="J196" i="15"/>
  <c r="I196" i="15"/>
  <c r="H196" i="15"/>
  <c r="G196" i="15"/>
  <c r="F196" i="15"/>
  <c r="E196" i="15"/>
  <c r="D196" i="15"/>
  <c r="C196" i="15"/>
  <c r="B196" i="15"/>
  <c r="A196" i="15" s="1"/>
  <c r="N195" i="15"/>
  <c r="M195" i="15"/>
  <c r="L195" i="15"/>
  <c r="K195" i="15"/>
  <c r="J195" i="15"/>
  <c r="I195" i="15"/>
  <c r="H195" i="15"/>
  <c r="G195" i="15"/>
  <c r="F195" i="15"/>
  <c r="E195" i="15"/>
  <c r="D195" i="15"/>
  <c r="C195" i="15"/>
  <c r="B195" i="15"/>
  <c r="A195" i="15" s="1"/>
  <c r="N194" i="15"/>
  <c r="M194" i="15"/>
  <c r="L194" i="15"/>
  <c r="K194" i="15"/>
  <c r="J194" i="15"/>
  <c r="I194" i="15"/>
  <c r="H194" i="15"/>
  <c r="G194" i="15"/>
  <c r="F194" i="15"/>
  <c r="E194" i="15"/>
  <c r="D194" i="15"/>
  <c r="C194" i="15"/>
  <c r="B194" i="15"/>
  <c r="A194" i="15" s="1"/>
  <c r="N193" i="15"/>
  <c r="M193" i="15"/>
  <c r="L193" i="15"/>
  <c r="K193" i="15"/>
  <c r="J193" i="15"/>
  <c r="I193" i="15"/>
  <c r="H193" i="15"/>
  <c r="G193" i="15"/>
  <c r="F193" i="15"/>
  <c r="E193" i="15"/>
  <c r="D193" i="15"/>
  <c r="C193" i="15"/>
  <c r="B193" i="15"/>
  <c r="A193" i="15" s="1"/>
  <c r="N192" i="15"/>
  <c r="M192" i="15"/>
  <c r="L192" i="15"/>
  <c r="K192" i="15"/>
  <c r="J192" i="15"/>
  <c r="I192" i="15"/>
  <c r="H192" i="15"/>
  <c r="G192" i="15"/>
  <c r="F192" i="15"/>
  <c r="E192" i="15"/>
  <c r="D192" i="15"/>
  <c r="C192" i="15"/>
  <c r="B192" i="15"/>
  <c r="A192" i="15" s="1"/>
  <c r="N191" i="15"/>
  <c r="M191" i="15"/>
  <c r="L191" i="15"/>
  <c r="K191" i="15"/>
  <c r="J191" i="15"/>
  <c r="I191" i="15"/>
  <c r="H191" i="15"/>
  <c r="G191" i="15"/>
  <c r="F191" i="15"/>
  <c r="E191" i="15"/>
  <c r="D191" i="15"/>
  <c r="C191" i="15"/>
  <c r="B191" i="15"/>
  <c r="A191" i="15" s="1"/>
  <c r="N190" i="15"/>
  <c r="M190" i="15"/>
  <c r="L190" i="15"/>
  <c r="K190" i="15"/>
  <c r="J190" i="15"/>
  <c r="I190" i="15"/>
  <c r="H190" i="15"/>
  <c r="G190" i="15"/>
  <c r="F190" i="15"/>
  <c r="E190" i="15"/>
  <c r="D190" i="15"/>
  <c r="C190" i="15"/>
  <c r="B190" i="15"/>
  <c r="A190" i="15" s="1"/>
  <c r="N189" i="15"/>
  <c r="M189" i="15"/>
  <c r="L189" i="15"/>
  <c r="K189" i="15"/>
  <c r="J189" i="15"/>
  <c r="I189" i="15"/>
  <c r="H189" i="15"/>
  <c r="G189" i="15"/>
  <c r="F189" i="15"/>
  <c r="E189" i="15"/>
  <c r="D189" i="15"/>
  <c r="C189" i="15"/>
  <c r="B189" i="15"/>
  <c r="A189" i="15" s="1"/>
  <c r="N188" i="15"/>
  <c r="M188" i="15"/>
  <c r="L188" i="15"/>
  <c r="K188" i="15"/>
  <c r="J188" i="15"/>
  <c r="I188" i="15"/>
  <c r="H188" i="15"/>
  <c r="G188" i="15"/>
  <c r="F188" i="15"/>
  <c r="E188" i="15"/>
  <c r="D188" i="15"/>
  <c r="C188" i="15"/>
  <c r="B188" i="15"/>
  <c r="A188" i="15" s="1"/>
  <c r="N187" i="15"/>
  <c r="M187" i="15"/>
  <c r="L187" i="15"/>
  <c r="K187" i="15"/>
  <c r="J187" i="15"/>
  <c r="I187" i="15"/>
  <c r="H187" i="15"/>
  <c r="G187" i="15"/>
  <c r="F187" i="15"/>
  <c r="E187" i="15"/>
  <c r="D187" i="15"/>
  <c r="C187" i="15"/>
  <c r="B187" i="15"/>
  <c r="A187" i="15" s="1"/>
  <c r="N186" i="15"/>
  <c r="M186" i="15"/>
  <c r="L186" i="15"/>
  <c r="K186" i="15"/>
  <c r="J186" i="15"/>
  <c r="I186" i="15"/>
  <c r="H186" i="15"/>
  <c r="G186" i="15"/>
  <c r="F186" i="15"/>
  <c r="E186" i="15"/>
  <c r="D186" i="15"/>
  <c r="C186" i="15"/>
  <c r="B186" i="15"/>
  <c r="A186" i="15" s="1"/>
  <c r="N185" i="15"/>
  <c r="M185" i="15"/>
  <c r="L185" i="15"/>
  <c r="K185" i="15"/>
  <c r="J185" i="15"/>
  <c r="I185" i="15"/>
  <c r="H185" i="15"/>
  <c r="G185" i="15"/>
  <c r="F185" i="15"/>
  <c r="E185" i="15"/>
  <c r="D185" i="15"/>
  <c r="C185" i="15"/>
  <c r="B185" i="15"/>
  <c r="A185" i="15" s="1"/>
  <c r="N184" i="15"/>
  <c r="M184" i="15"/>
  <c r="L184" i="15"/>
  <c r="K184" i="15"/>
  <c r="J184" i="15"/>
  <c r="I184" i="15"/>
  <c r="H184" i="15"/>
  <c r="G184" i="15"/>
  <c r="F184" i="15"/>
  <c r="E184" i="15"/>
  <c r="D184" i="15"/>
  <c r="C184" i="15"/>
  <c r="B184" i="15"/>
  <c r="A184" i="15" s="1"/>
  <c r="N183" i="15"/>
  <c r="M183" i="15"/>
  <c r="L183" i="15"/>
  <c r="K183" i="15"/>
  <c r="J183" i="15"/>
  <c r="I183" i="15"/>
  <c r="H183" i="15"/>
  <c r="G183" i="15"/>
  <c r="F183" i="15"/>
  <c r="E183" i="15"/>
  <c r="D183" i="15"/>
  <c r="C183" i="15"/>
  <c r="B183" i="15"/>
  <c r="A183" i="15" s="1"/>
  <c r="N182" i="15"/>
  <c r="M182" i="15"/>
  <c r="L182" i="15"/>
  <c r="K182" i="15"/>
  <c r="J182" i="15"/>
  <c r="I182" i="15"/>
  <c r="H182" i="15"/>
  <c r="G182" i="15"/>
  <c r="F182" i="15"/>
  <c r="E182" i="15"/>
  <c r="D182" i="15"/>
  <c r="C182" i="15"/>
  <c r="B182" i="15"/>
  <c r="A182" i="15" s="1"/>
  <c r="N181" i="15"/>
  <c r="M181" i="15"/>
  <c r="L181" i="15"/>
  <c r="K181" i="15"/>
  <c r="J181" i="15"/>
  <c r="I181" i="15"/>
  <c r="H181" i="15"/>
  <c r="G181" i="15"/>
  <c r="F181" i="15"/>
  <c r="E181" i="15"/>
  <c r="D181" i="15"/>
  <c r="C181" i="15"/>
  <c r="B181" i="15"/>
  <c r="A181" i="15" s="1"/>
  <c r="N180" i="15"/>
  <c r="M180" i="15"/>
  <c r="L180" i="15"/>
  <c r="K180" i="15"/>
  <c r="J180" i="15"/>
  <c r="I180" i="15"/>
  <c r="H180" i="15"/>
  <c r="G180" i="15"/>
  <c r="F180" i="15"/>
  <c r="E180" i="15"/>
  <c r="D180" i="15"/>
  <c r="C180" i="15"/>
  <c r="B180" i="15"/>
  <c r="A180" i="15" s="1"/>
  <c r="N179" i="15"/>
  <c r="M179" i="15"/>
  <c r="L179" i="15"/>
  <c r="K179" i="15"/>
  <c r="J179" i="15"/>
  <c r="I179" i="15"/>
  <c r="H179" i="15"/>
  <c r="G179" i="15"/>
  <c r="F179" i="15"/>
  <c r="E179" i="15"/>
  <c r="D179" i="15"/>
  <c r="C179" i="15"/>
  <c r="B179" i="15"/>
  <c r="A179" i="15" s="1"/>
  <c r="N178" i="15"/>
  <c r="M178" i="15"/>
  <c r="L178" i="15"/>
  <c r="K178" i="15"/>
  <c r="J178" i="15"/>
  <c r="I178" i="15"/>
  <c r="H178" i="15"/>
  <c r="G178" i="15"/>
  <c r="F178" i="15"/>
  <c r="E178" i="15"/>
  <c r="D178" i="15"/>
  <c r="C178" i="15"/>
  <c r="B178" i="15"/>
  <c r="A178" i="15" s="1"/>
  <c r="N177" i="15"/>
  <c r="M177" i="15"/>
  <c r="L177" i="15"/>
  <c r="K177" i="15"/>
  <c r="J177" i="15"/>
  <c r="I177" i="15"/>
  <c r="H177" i="15"/>
  <c r="G177" i="15"/>
  <c r="F177" i="15"/>
  <c r="E177" i="15"/>
  <c r="D177" i="15"/>
  <c r="C177" i="15"/>
  <c r="B177" i="15"/>
  <c r="A177" i="15" s="1"/>
  <c r="N176" i="15"/>
  <c r="M176" i="15"/>
  <c r="L176" i="15"/>
  <c r="K176" i="15"/>
  <c r="J176" i="15"/>
  <c r="I176" i="15"/>
  <c r="H176" i="15"/>
  <c r="G176" i="15"/>
  <c r="F176" i="15"/>
  <c r="E176" i="15"/>
  <c r="D176" i="15"/>
  <c r="C176" i="15"/>
  <c r="B176" i="15"/>
  <c r="A176" i="15" s="1"/>
  <c r="N175" i="15"/>
  <c r="M175" i="15"/>
  <c r="L175" i="15"/>
  <c r="K175" i="15"/>
  <c r="J175" i="15"/>
  <c r="I175" i="15"/>
  <c r="H175" i="15"/>
  <c r="G175" i="15"/>
  <c r="F175" i="15"/>
  <c r="E175" i="15"/>
  <c r="D175" i="15"/>
  <c r="C175" i="15"/>
  <c r="B175" i="15"/>
  <c r="A175" i="15" s="1"/>
  <c r="N174" i="15"/>
  <c r="M174" i="15"/>
  <c r="L174" i="15"/>
  <c r="K174" i="15"/>
  <c r="J174" i="15"/>
  <c r="I174" i="15"/>
  <c r="H174" i="15"/>
  <c r="G174" i="15"/>
  <c r="F174" i="15"/>
  <c r="E174" i="15"/>
  <c r="D174" i="15"/>
  <c r="C174" i="15"/>
  <c r="B174" i="15"/>
  <c r="A174" i="15" s="1"/>
  <c r="N173" i="15"/>
  <c r="M173" i="15"/>
  <c r="L173" i="15"/>
  <c r="K173" i="15"/>
  <c r="J173" i="15"/>
  <c r="I173" i="15"/>
  <c r="H173" i="15"/>
  <c r="G173" i="15"/>
  <c r="F173" i="15"/>
  <c r="E173" i="15"/>
  <c r="D173" i="15"/>
  <c r="C173" i="15"/>
  <c r="B173" i="15"/>
  <c r="A173" i="15" s="1"/>
  <c r="N172" i="15"/>
  <c r="M172" i="15"/>
  <c r="L172" i="15"/>
  <c r="K172" i="15"/>
  <c r="J172" i="15"/>
  <c r="I172" i="15"/>
  <c r="H172" i="15"/>
  <c r="G172" i="15"/>
  <c r="F172" i="15"/>
  <c r="E172" i="15"/>
  <c r="D172" i="15"/>
  <c r="C172" i="15"/>
  <c r="B172" i="15"/>
  <c r="A172" i="15" s="1"/>
  <c r="N171" i="15"/>
  <c r="M171" i="15"/>
  <c r="L171" i="15"/>
  <c r="K171" i="15"/>
  <c r="J171" i="15"/>
  <c r="I171" i="15"/>
  <c r="H171" i="15"/>
  <c r="G171" i="15"/>
  <c r="F171" i="15"/>
  <c r="E171" i="15"/>
  <c r="D171" i="15"/>
  <c r="C171" i="15"/>
  <c r="B171" i="15"/>
  <c r="A171" i="15" s="1"/>
  <c r="N170" i="15"/>
  <c r="M170" i="15"/>
  <c r="L170" i="15"/>
  <c r="K170" i="15"/>
  <c r="J170" i="15"/>
  <c r="I170" i="15"/>
  <c r="H170" i="15"/>
  <c r="G170" i="15"/>
  <c r="F170" i="15"/>
  <c r="E170" i="15"/>
  <c r="D170" i="15"/>
  <c r="C170" i="15"/>
  <c r="B170" i="15"/>
  <c r="A170" i="15" s="1"/>
  <c r="N169" i="15"/>
  <c r="M169" i="15"/>
  <c r="L169" i="15"/>
  <c r="K169" i="15"/>
  <c r="J169" i="15"/>
  <c r="I169" i="15"/>
  <c r="H169" i="15"/>
  <c r="G169" i="15"/>
  <c r="F169" i="15"/>
  <c r="E169" i="15"/>
  <c r="D169" i="15"/>
  <c r="C169" i="15"/>
  <c r="B169" i="15"/>
  <c r="A169" i="15" s="1"/>
  <c r="N168" i="15"/>
  <c r="M168" i="15"/>
  <c r="L168" i="15"/>
  <c r="K168" i="15"/>
  <c r="J168" i="15"/>
  <c r="I168" i="15"/>
  <c r="H168" i="15"/>
  <c r="G168" i="15"/>
  <c r="F168" i="15"/>
  <c r="E168" i="15"/>
  <c r="D168" i="15"/>
  <c r="C168" i="15"/>
  <c r="B168" i="15"/>
  <c r="A168" i="15" s="1"/>
  <c r="N167" i="15"/>
  <c r="M167" i="15"/>
  <c r="L167" i="15"/>
  <c r="K167" i="15"/>
  <c r="J167" i="15"/>
  <c r="I167" i="15"/>
  <c r="H167" i="15"/>
  <c r="G167" i="15"/>
  <c r="F167" i="15"/>
  <c r="E167" i="15"/>
  <c r="D167" i="15"/>
  <c r="C167" i="15"/>
  <c r="B167" i="15"/>
  <c r="A167" i="15" s="1"/>
  <c r="N166" i="15"/>
  <c r="M166" i="15"/>
  <c r="L166" i="15"/>
  <c r="K166" i="15"/>
  <c r="J166" i="15"/>
  <c r="I166" i="15"/>
  <c r="H166" i="15"/>
  <c r="G166" i="15"/>
  <c r="F166" i="15"/>
  <c r="E166" i="15"/>
  <c r="D166" i="15"/>
  <c r="C166" i="15"/>
  <c r="B166" i="15"/>
  <c r="A166" i="15" s="1"/>
  <c r="N165" i="15"/>
  <c r="M165" i="15"/>
  <c r="L165" i="15"/>
  <c r="K165" i="15"/>
  <c r="J165" i="15"/>
  <c r="I165" i="15"/>
  <c r="H165" i="15"/>
  <c r="G165" i="15"/>
  <c r="F165" i="15"/>
  <c r="E165" i="15"/>
  <c r="D165" i="15"/>
  <c r="C165" i="15"/>
  <c r="B165" i="15"/>
  <c r="A165" i="15" s="1"/>
  <c r="N164" i="15"/>
  <c r="M164" i="15"/>
  <c r="L164" i="15"/>
  <c r="K164" i="15"/>
  <c r="J164" i="15"/>
  <c r="I164" i="15"/>
  <c r="H164" i="15"/>
  <c r="G164" i="15"/>
  <c r="F164" i="15"/>
  <c r="E164" i="15"/>
  <c r="D164" i="15"/>
  <c r="C164" i="15"/>
  <c r="B164" i="15"/>
  <c r="A164" i="15" s="1"/>
  <c r="N163" i="15"/>
  <c r="M163" i="15"/>
  <c r="L163" i="15"/>
  <c r="K163" i="15"/>
  <c r="J163" i="15"/>
  <c r="I163" i="15"/>
  <c r="H163" i="15"/>
  <c r="G163" i="15"/>
  <c r="F163" i="15"/>
  <c r="E163" i="15"/>
  <c r="D163" i="15"/>
  <c r="C163" i="15"/>
  <c r="B163" i="15"/>
  <c r="A163" i="15" s="1"/>
  <c r="N162" i="15"/>
  <c r="M162" i="15"/>
  <c r="L162" i="15"/>
  <c r="K162" i="15"/>
  <c r="J162" i="15"/>
  <c r="I162" i="15"/>
  <c r="H162" i="15"/>
  <c r="G162" i="15"/>
  <c r="F162" i="15"/>
  <c r="E162" i="15"/>
  <c r="D162" i="15"/>
  <c r="C162" i="15"/>
  <c r="B162" i="15"/>
  <c r="A162" i="15" s="1"/>
  <c r="N161" i="15"/>
  <c r="M161" i="15"/>
  <c r="L161" i="15"/>
  <c r="K161" i="15"/>
  <c r="J161" i="15"/>
  <c r="I161" i="15"/>
  <c r="H161" i="15"/>
  <c r="G161" i="15"/>
  <c r="F161" i="15"/>
  <c r="E161" i="15"/>
  <c r="D161" i="15"/>
  <c r="C161" i="15"/>
  <c r="B161" i="15"/>
  <c r="A161" i="15" s="1"/>
  <c r="N160" i="15"/>
  <c r="M160" i="15"/>
  <c r="L160" i="15"/>
  <c r="K160" i="15"/>
  <c r="J160" i="15"/>
  <c r="I160" i="15"/>
  <c r="H160" i="15"/>
  <c r="G160" i="15"/>
  <c r="F160" i="15"/>
  <c r="E160" i="15"/>
  <c r="D160" i="15"/>
  <c r="C160" i="15"/>
  <c r="B160" i="15"/>
  <c r="A160" i="15" s="1"/>
  <c r="N159" i="15"/>
  <c r="M159" i="15"/>
  <c r="L159" i="15"/>
  <c r="K159" i="15"/>
  <c r="J159" i="15"/>
  <c r="I159" i="15"/>
  <c r="H159" i="15"/>
  <c r="G159" i="15"/>
  <c r="F159" i="15"/>
  <c r="E159" i="15"/>
  <c r="D159" i="15"/>
  <c r="C159" i="15"/>
  <c r="B159" i="15"/>
  <c r="A159" i="15" s="1"/>
  <c r="N158" i="15"/>
  <c r="M158" i="15"/>
  <c r="L158" i="15"/>
  <c r="K158" i="15"/>
  <c r="J158" i="15"/>
  <c r="I158" i="15"/>
  <c r="H158" i="15"/>
  <c r="G158" i="15"/>
  <c r="F158" i="15"/>
  <c r="E158" i="15"/>
  <c r="D158" i="15"/>
  <c r="C158" i="15"/>
  <c r="B158" i="15"/>
  <c r="A158" i="15" s="1"/>
  <c r="N157" i="15"/>
  <c r="M157" i="15"/>
  <c r="L157" i="15"/>
  <c r="K157" i="15"/>
  <c r="J157" i="15"/>
  <c r="I157" i="15"/>
  <c r="H157" i="15"/>
  <c r="G157" i="15"/>
  <c r="F157" i="15"/>
  <c r="E157" i="15"/>
  <c r="D157" i="15"/>
  <c r="C157" i="15"/>
  <c r="B157" i="15"/>
  <c r="A157" i="15" s="1"/>
  <c r="N156" i="15"/>
  <c r="M156" i="15"/>
  <c r="L156" i="15"/>
  <c r="K156" i="15"/>
  <c r="J156" i="15"/>
  <c r="I156" i="15"/>
  <c r="H156" i="15"/>
  <c r="G156" i="15"/>
  <c r="F156" i="15"/>
  <c r="E156" i="15"/>
  <c r="D156" i="15"/>
  <c r="C156" i="15"/>
  <c r="B156" i="15"/>
  <c r="A156" i="15" s="1"/>
  <c r="N155" i="15"/>
  <c r="M155" i="15"/>
  <c r="L155" i="15"/>
  <c r="K155" i="15"/>
  <c r="J155" i="15"/>
  <c r="I155" i="15"/>
  <c r="H155" i="15"/>
  <c r="G155" i="15"/>
  <c r="F155" i="15"/>
  <c r="E155" i="15"/>
  <c r="D155" i="15"/>
  <c r="C155" i="15"/>
  <c r="B155" i="15"/>
  <c r="A155" i="15" s="1"/>
  <c r="N154" i="15"/>
  <c r="M154" i="15"/>
  <c r="L154" i="15"/>
  <c r="K154" i="15"/>
  <c r="J154" i="15"/>
  <c r="I154" i="15"/>
  <c r="H154" i="15"/>
  <c r="G154" i="15"/>
  <c r="F154" i="15"/>
  <c r="E154" i="15"/>
  <c r="D154" i="15"/>
  <c r="C154" i="15"/>
  <c r="B154" i="15"/>
  <c r="A154" i="15" s="1"/>
  <c r="N153" i="15"/>
  <c r="M153" i="15"/>
  <c r="L153" i="15"/>
  <c r="K153" i="15"/>
  <c r="J153" i="15"/>
  <c r="I153" i="15"/>
  <c r="H153" i="15"/>
  <c r="G153" i="15"/>
  <c r="F153" i="15"/>
  <c r="E153" i="15"/>
  <c r="D153" i="15"/>
  <c r="C153" i="15"/>
  <c r="B153" i="15"/>
  <c r="A153" i="15" s="1"/>
  <c r="N152" i="15"/>
  <c r="M152" i="15"/>
  <c r="L152" i="15"/>
  <c r="K152" i="15"/>
  <c r="J152" i="15"/>
  <c r="I152" i="15"/>
  <c r="H152" i="15"/>
  <c r="G152" i="15"/>
  <c r="F152" i="15"/>
  <c r="E152" i="15"/>
  <c r="D152" i="15"/>
  <c r="C152" i="15"/>
  <c r="B152" i="15"/>
  <c r="A152" i="15" s="1"/>
  <c r="N151" i="15"/>
  <c r="M151" i="15"/>
  <c r="L151" i="15"/>
  <c r="K151" i="15"/>
  <c r="J151" i="15"/>
  <c r="I151" i="15"/>
  <c r="H151" i="15"/>
  <c r="G151" i="15"/>
  <c r="F151" i="15"/>
  <c r="E151" i="15"/>
  <c r="D151" i="15"/>
  <c r="C151" i="15"/>
  <c r="B151" i="15"/>
  <c r="A151" i="15" s="1"/>
  <c r="N150" i="15"/>
  <c r="M150" i="15"/>
  <c r="L150" i="15"/>
  <c r="K150" i="15"/>
  <c r="J150" i="15"/>
  <c r="I150" i="15"/>
  <c r="H150" i="15"/>
  <c r="G150" i="15"/>
  <c r="F150" i="15"/>
  <c r="E150" i="15"/>
  <c r="D150" i="15"/>
  <c r="C150" i="15"/>
  <c r="B150" i="15"/>
  <c r="A150" i="15" s="1"/>
  <c r="N149" i="15"/>
  <c r="M149" i="15"/>
  <c r="L149" i="15"/>
  <c r="K149" i="15"/>
  <c r="J149" i="15"/>
  <c r="I149" i="15"/>
  <c r="H149" i="15"/>
  <c r="G149" i="15"/>
  <c r="F149" i="15"/>
  <c r="E149" i="15"/>
  <c r="D149" i="15"/>
  <c r="C149" i="15"/>
  <c r="B149" i="15"/>
  <c r="A149" i="15" s="1"/>
  <c r="N148" i="15"/>
  <c r="M148" i="15"/>
  <c r="L148" i="15"/>
  <c r="K148" i="15"/>
  <c r="J148" i="15"/>
  <c r="I148" i="15"/>
  <c r="H148" i="15"/>
  <c r="G148" i="15"/>
  <c r="F148" i="15"/>
  <c r="E148" i="15"/>
  <c r="D148" i="15"/>
  <c r="C148" i="15"/>
  <c r="B148" i="15"/>
  <c r="A148" i="15" s="1"/>
  <c r="N147" i="15"/>
  <c r="M147" i="15"/>
  <c r="L147" i="15"/>
  <c r="K147" i="15"/>
  <c r="J147" i="15"/>
  <c r="I147" i="15"/>
  <c r="H147" i="15"/>
  <c r="G147" i="15"/>
  <c r="F147" i="15"/>
  <c r="E147" i="15"/>
  <c r="D147" i="15"/>
  <c r="C147" i="15"/>
  <c r="B147" i="15"/>
  <c r="A147" i="15" s="1"/>
  <c r="N146" i="15"/>
  <c r="M146" i="15"/>
  <c r="L146" i="15"/>
  <c r="K146" i="15"/>
  <c r="J146" i="15"/>
  <c r="I146" i="15"/>
  <c r="H146" i="15"/>
  <c r="G146" i="15"/>
  <c r="F146" i="15"/>
  <c r="E146" i="15"/>
  <c r="D146" i="15"/>
  <c r="C146" i="15"/>
  <c r="B146" i="15"/>
  <c r="A146" i="15" s="1"/>
  <c r="N145" i="15"/>
  <c r="M145" i="15"/>
  <c r="L145" i="15"/>
  <c r="K145" i="15"/>
  <c r="J145" i="15"/>
  <c r="I145" i="15"/>
  <c r="H145" i="15"/>
  <c r="G145" i="15"/>
  <c r="F145" i="15"/>
  <c r="E145" i="15"/>
  <c r="D145" i="15"/>
  <c r="C145" i="15"/>
  <c r="B145" i="15"/>
  <c r="A145" i="15" s="1"/>
  <c r="N144" i="15"/>
  <c r="M144" i="15"/>
  <c r="L144" i="15"/>
  <c r="K144" i="15"/>
  <c r="J144" i="15"/>
  <c r="I144" i="15"/>
  <c r="H144" i="15"/>
  <c r="G144" i="15"/>
  <c r="F144" i="15"/>
  <c r="E144" i="15"/>
  <c r="D144" i="15"/>
  <c r="C144" i="15"/>
  <c r="B144" i="15"/>
  <c r="A144" i="15" s="1"/>
  <c r="N143" i="15"/>
  <c r="M143" i="15"/>
  <c r="L143" i="15"/>
  <c r="K143" i="15"/>
  <c r="J143" i="15"/>
  <c r="I143" i="15"/>
  <c r="H143" i="15"/>
  <c r="G143" i="15"/>
  <c r="F143" i="15"/>
  <c r="E143" i="15"/>
  <c r="D143" i="15"/>
  <c r="C143" i="15"/>
  <c r="B143" i="15"/>
  <c r="A143" i="15" s="1"/>
  <c r="N142" i="15"/>
  <c r="M142" i="15"/>
  <c r="L142" i="15"/>
  <c r="K142" i="15"/>
  <c r="J142" i="15"/>
  <c r="I142" i="15"/>
  <c r="H142" i="15"/>
  <c r="G142" i="15"/>
  <c r="F142" i="15"/>
  <c r="E142" i="15"/>
  <c r="D142" i="15"/>
  <c r="C142" i="15"/>
  <c r="B142" i="15"/>
  <c r="A142" i="15" s="1"/>
  <c r="N141" i="15"/>
  <c r="M141" i="15"/>
  <c r="L141" i="15"/>
  <c r="K141" i="15"/>
  <c r="J141" i="15"/>
  <c r="I141" i="15"/>
  <c r="H141" i="15"/>
  <c r="G141" i="15"/>
  <c r="F141" i="15"/>
  <c r="E141" i="15"/>
  <c r="D141" i="15"/>
  <c r="C141" i="15"/>
  <c r="B141" i="15"/>
  <c r="A141" i="15" s="1"/>
  <c r="N140" i="15"/>
  <c r="M140" i="15"/>
  <c r="L140" i="15"/>
  <c r="K140" i="15"/>
  <c r="J140" i="15"/>
  <c r="I140" i="15"/>
  <c r="H140" i="15"/>
  <c r="G140" i="15"/>
  <c r="F140" i="15"/>
  <c r="E140" i="15"/>
  <c r="D140" i="15"/>
  <c r="C140" i="15"/>
  <c r="B140" i="15"/>
  <c r="A140" i="15" s="1"/>
  <c r="N139" i="15"/>
  <c r="M139" i="15"/>
  <c r="L139" i="15"/>
  <c r="K139" i="15"/>
  <c r="J139" i="15"/>
  <c r="I139" i="15"/>
  <c r="H139" i="15"/>
  <c r="G139" i="15"/>
  <c r="F139" i="15"/>
  <c r="E139" i="15"/>
  <c r="D139" i="15"/>
  <c r="C139" i="15"/>
  <c r="B139" i="15"/>
  <c r="A139" i="15" s="1"/>
  <c r="N138" i="15"/>
  <c r="M138" i="15"/>
  <c r="L138" i="15"/>
  <c r="K138" i="15"/>
  <c r="J138" i="15"/>
  <c r="I138" i="15"/>
  <c r="H138" i="15"/>
  <c r="G138" i="15"/>
  <c r="F138" i="15"/>
  <c r="E138" i="15"/>
  <c r="D138" i="15"/>
  <c r="C138" i="15"/>
  <c r="B138" i="15"/>
  <c r="A138" i="15" s="1"/>
  <c r="N137" i="15"/>
  <c r="M137" i="15"/>
  <c r="L137" i="15"/>
  <c r="K137" i="15"/>
  <c r="J137" i="15"/>
  <c r="I137" i="15"/>
  <c r="H137" i="15"/>
  <c r="G137" i="15"/>
  <c r="F137" i="15"/>
  <c r="E137" i="15"/>
  <c r="D137" i="15"/>
  <c r="C137" i="15"/>
  <c r="B137" i="15"/>
  <c r="A137" i="15" s="1"/>
  <c r="N136" i="15"/>
  <c r="M136" i="15"/>
  <c r="L136" i="15"/>
  <c r="K136" i="15"/>
  <c r="J136" i="15"/>
  <c r="I136" i="15"/>
  <c r="H136" i="15"/>
  <c r="G136" i="15"/>
  <c r="F136" i="15"/>
  <c r="E136" i="15"/>
  <c r="D136" i="15"/>
  <c r="C136" i="15"/>
  <c r="B136" i="15"/>
  <c r="A136" i="15" s="1"/>
  <c r="N135" i="15"/>
  <c r="M135" i="15"/>
  <c r="L135" i="15"/>
  <c r="K135" i="15"/>
  <c r="J135" i="15"/>
  <c r="I135" i="15"/>
  <c r="H135" i="15"/>
  <c r="G135" i="15"/>
  <c r="F135" i="15"/>
  <c r="E135" i="15"/>
  <c r="D135" i="15"/>
  <c r="C135" i="15"/>
  <c r="B135" i="15"/>
  <c r="A135" i="15" s="1"/>
  <c r="N134" i="15"/>
  <c r="M134" i="15"/>
  <c r="L134" i="15"/>
  <c r="K134" i="15"/>
  <c r="J134" i="15"/>
  <c r="I134" i="15"/>
  <c r="H134" i="15"/>
  <c r="G134" i="15"/>
  <c r="F134" i="15"/>
  <c r="E134" i="15"/>
  <c r="D134" i="15"/>
  <c r="C134" i="15"/>
  <c r="B134" i="15"/>
  <c r="A134" i="15" s="1"/>
  <c r="N133" i="15"/>
  <c r="M133" i="15"/>
  <c r="L133" i="15"/>
  <c r="K133" i="15"/>
  <c r="J133" i="15"/>
  <c r="I133" i="15"/>
  <c r="H133" i="15"/>
  <c r="G133" i="15"/>
  <c r="F133" i="15"/>
  <c r="E133" i="15"/>
  <c r="D133" i="15"/>
  <c r="C133" i="15"/>
  <c r="B133" i="15"/>
  <c r="A133" i="15" s="1"/>
  <c r="N132" i="15"/>
  <c r="M132" i="15"/>
  <c r="L132" i="15"/>
  <c r="K132" i="15"/>
  <c r="J132" i="15"/>
  <c r="I132" i="15"/>
  <c r="H132" i="15"/>
  <c r="G132" i="15"/>
  <c r="F132" i="15"/>
  <c r="E132" i="15"/>
  <c r="D132" i="15"/>
  <c r="C132" i="15"/>
  <c r="B132" i="15"/>
  <c r="A132" i="15" s="1"/>
  <c r="N131" i="15"/>
  <c r="M131" i="15"/>
  <c r="L131" i="15"/>
  <c r="K131" i="15"/>
  <c r="J131" i="15"/>
  <c r="I131" i="15"/>
  <c r="H131" i="15"/>
  <c r="G131" i="15"/>
  <c r="F131" i="15"/>
  <c r="E131" i="15"/>
  <c r="D131" i="15"/>
  <c r="C131" i="15"/>
  <c r="B131" i="15"/>
  <c r="A131" i="15" s="1"/>
  <c r="N130" i="15"/>
  <c r="M130" i="15"/>
  <c r="L130" i="15"/>
  <c r="K130" i="15"/>
  <c r="J130" i="15"/>
  <c r="I130" i="15"/>
  <c r="H130" i="15"/>
  <c r="G130" i="15"/>
  <c r="F130" i="15"/>
  <c r="E130" i="15"/>
  <c r="D130" i="15"/>
  <c r="C130" i="15"/>
  <c r="B130" i="15"/>
  <c r="A130" i="15" s="1"/>
  <c r="N129" i="15"/>
  <c r="M129" i="15"/>
  <c r="L129" i="15"/>
  <c r="K129" i="15"/>
  <c r="J129" i="15"/>
  <c r="I129" i="15"/>
  <c r="H129" i="15"/>
  <c r="G129" i="15"/>
  <c r="F129" i="15"/>
  <c r="E129" i="15"/>
  <c r="D129" i="15"/>
  <c r="C129" i="15"/>
  <c r="B129" i="15"/>
  <c r="A129" i="15" s="1"/>
  <c r="N128" i="15"/>
  <c r="M128" i="15"/>
  <c r="L128" i="15"/>
  <c r="K128" i="15"/>
  <c r="J128" i="15"/>
  <c r="I128" i="15"/>
  <c r="H128" i="15"/>
  <c r="G128" i="15"/>
  <c r="F128" i="15"/>
  <c r="E128" i="15"/>
  <c r="D128" i="15"/>
  <c r="C128" i="15"/>
  <c r="B128" i="15"/>
  <c r="A128" i="15" s="1"/>
  <c r="N127" i="15"/>
  <c r="M127" i="15"/>
  <c r="L127" i="15"/>
  <c r="K127" i="15"/>
  <c r="J127" i="15"/>
  <c r="I127" i="15"/>
  <c r="H127" i="15"/>
  <c r="G127" i="15"/>
  <c r="F127" i="15"/>
  <c r="E127" i="15"/>
  <c r="D127" i="15"/>
  <c r="C127" i="15"/>
  <c r="B127" i="15"/>
  <c r="A127" i="15" s="1"/>
  <c r="N126" i="15"/>
  <c r="M126" i="15"/>
  <c r="L126" i="15"/>
  <c r="K126" i="15"/>
  <c r="J126" i="15"/>
  <c r="I126" i="15"/>
  <c r="H126" i="15"/>
  <c r="G126" i="15"/>
  <c r="F126" i="15"/>
  <c r="E126" i="15"/>
  <c r="D126" i="15"/>
  <c r="C126" i="15"/>
  <c r="B126" i="15"/>
  <c r="A126" i="15" s="1"/>
  <c r="N125" i="15"/>
  <c r="M125" i="15"/>
  <c r="L125" i="15"/>
  <c r="K125" i="15"/>
  <c r="J125" i="15"/>
  <c r="I125" i="15"/>
  <c r="H125" i="15"/>
  <c r="G125" i="15"/>
  <c r="F125" i="15"/>
  <c r="E125" i="15"/>
  <c r="D125" i="15"/>
  <c r="C125" i="15"/>
  <c r="B125" i="15"/>
  <c r="A125" i="15" s="1"/>
  <c r="N124" i="15"/>
  <c r="M124" i="15"/>
  <c r="L124" i="15"/>
  <c r="K124" i="15"/>
  <c r="J124" i="15"/>
  <c r="I124" i="15"/>
  <c r="H124" i="15"/>
  <c r="G124" i="15"/>
  <c r="F124" i="15"/>
  <c r="E124" i="15"/>
  <c r="D124" i="15"/>
  <c r="C124" i="15"/>
  <c r="B124" i="15"/>
  <c r="A124" i="15" s="1"/>
  <c r="N123" i="15"/>
  <c r="M123" i="15"/>
  <c r="L123" i="15"/>
  <c r="K123" i="15"/>
  <c r="J123" i="15"/>
  <c r="I123" i="15"/>
  <c r="H123" i="15"/>
  <c r="G123" i="15"/>
  <c r="F123" i="15"/>
  <c r="E123" i="15"/>
  <c r="D123" i="15"/>
  <c r="C123" i="15"/>
  <c r="B123" i="15"/>
  <c r="A123" i="15" s="1"/>
  <c r="N122" i="15"/>
  <c r="M122" i="15"/>
  <c r="L122" i="15"/>
  <c r="K122" i="15"/>
  <c r="J122" i="15"/>
  <c r="I122" i="15"/>
  <c r="H122" i="15"/>
  <c r="G122" i="15"/>
  <c r="F122" i="15"/>
  <c r="E122" i="15"/>
  <c r="D122" i="15"/>
  <c r="C122" i="15"/>
  <c r="B122" i="15"/>
  <c r="A122" i="15" s="1"/>
  <c r="N121" i="15"/>
  <c r="M121" i="15"/>
  <c r="L121" i="15"/>
  <c r="K121" i="15"/>
  <c r="J121" i="15"/>
  <c r="I121" i="15"/>
  <c r="H121" i="15"/>
  <c r="G121" i="15"/>
  <c r="F121" i="15"/>
  <c r="E121" i="15"/>
  <c r="D121" i="15"/>
  <c r="C121" i="15"/>
  <c r="B121" i="15"/>
  <c r="A121" i="15" s="1"/>
  <c r="N120" i="15"/>
  <c r="M120" i="15"/>
  <c r="L120" i="15"/>
  <c r="K120" i="15"/>
  <c r="J120" i="15"/>
  <c r="I120" i="15"/>
  <c r="H120" i="15"/>
  <c r="G120" i="15"/>
  <c r="F120" i="15"/>
  <c r="E120" i="15"/>
  <c r="D120" i="15"/>
  <c r="C120" i="15"/>
  <c r="B120" i="15"/>
  <c r="A120" i="15" s="1"/>
  <c r="N119" i="15"/>
  <c r="M119" i="15"/>
  <c r="L119" i="15"/>
  <c r="K119" i="15"/>
  <c r="J119" i="15"/>
  <c r="I119" i="15"/>
  <c r="H119" i="15"/>
  <c r="G119" i="15"/>
  <c r="F119" i="15"/>
  <c r="E119" i="15"/>
  <c r="D119" i="15"/>
  <c r="C119" i="15"/>
  <c r="B119" i="15"/>
  <c r="A119" i="15" s="1"/>
  <c r="N118" i="15"/>
  <c r="M118" i="15"/>
  <c r="L118" i="15"/>
  <c r="K118" i="15"/>
  <c r="J118" i="15"/>
  <c r="I118" i="15"/>
  <c r="H118" i="15"/>
  <c r="G118" i="15"/>
  <c r="F118" i="15"/>
  <c r="E118" i="15"/>
  <c r="D118" i="15"/>
  <c r="C118" i="15"/>
  <c r="B118" i="15"/>
  <c r="A118" i="15" s="1"/>
  <c r="N117" i="15"/>
  <c r="M117" i="15"/>
  <c r="L117" i="15"/>
  <c r="K117" i="15"/>
  <c r="J117" i="15"/>
  <c r="I117" i="15"/>
  <c r="H117" i="15"/>
  <c r="G117" i="15"/>
  <c r="F117" i="15"/>
  <c r="E117" i="15"/>
  <c r="D117" i="15"/>
  <c r="C117" i="15"/>
  <c r="B117" i="15"/>
  <c r="A117" i="15" s="1"/>
  <c r="N116" i="15"/>
  <c r="M116" i="15"/>
  <c r="L116" i="15"/>
  <c r="K116" i="15"/>
  <c r="J116" i="15"/>
  <c r="I116" i="15"/>
  <c r="H116" i="15"/>
  <c r="G116" i="15"/>
  <c r="F116" i="15"/>
  <c r="E116" i="15"/>
  <c r="D116" i="15"/>
  <c r="C116" i="15"/>
  <c r="B116" i="15"/>
  <c r="A116" i="15" s="1"/>
  <c r="N115" i="15"/>
  <c r="M115" i="15"/>
  <c r="L115" i="15"/>
  <c r="K115" i="15"/>
  <c r="J115" i="15"/>
  <c r="I115" i="15"/>
  <c r="H115" i="15"/>
  <c r="G115" i="15"/>
  <c r="F115" i="15"/>
  <c r="E115" i="15"/>
  <c r="D115" i="15"/>
  <c r="C115" i="15"/>
  <c r="B115" i="15"/>
  <c r="A115" i="15" s="1"/>
  <c r="N114" i="15"/>
  <c r="M114" i="15"/>
  <c r="L114" i="15"/>
  <c r="K114" i="15"/>
  <c r="J114" i="15"/>
  <c r="I114" i="15"/>
  <c r="H114" i="15"/>
  <c r="G114" i="15"/>
  <c r="F114" i="15"/>
  <c r="E114" i="15"/>
  <c r="D114" i="15"/>
  <c r="C114" i="15"/>
  <c r="B114" i="15"/>
  <c r="A114" i="15" s="1"/>
  <c r="N113" i="15"/>
  <c r="M113" i="15"/>
  <c r="L113" i="15"/>
  <c r="K113" i="15"/>
  <c r="J113" i="15"/>
  <c r="I113" i="15"/>
  <c r="H113" i="15"/>
  <c r="G113" i="15"/>
  <c r="F113" i="15"/>
  <c r="E113" i="15"/>
  <c r="D113" i="15"/>
  <c r="C113" i="15"/>
  <c r="B113" i="15"/>
  <c r="A113" i="15" s="1"/>
  <c r="N112" i="15"/>
  <c r="M112" i="15"/>
  <c r="L112" i="15"/>
  <c r="K112" i="15"/>
  <c r="J112" i="15"/>
  <c r="I112" i="15"/>
  <c r="H112" i="15"/>
  <c r="G112" i="15"/>
  <c r="F112" i="15"/>
  <c r="E112" i="15"/>
  <c r="D112" i="15"/>
  <c r="C112" i="15"/>
  <c r="B112" i="15"/>
  <c r="A112" i="15" s="1"/>
  <c r="N111" i="15"/>
  <c r="M111" i="15"/>
  <c r="L111" i="15"/>
  <c r="K111" i="15"/>
  <c r="J111" i="15"/>
  <c r="I111" i="15"/>
  <c r="H111" i="15"/>
  <c r="G111" i="15"/>
  <c r="F111" i="15"/>
  <c r="E111" i="15"/>
  <c r="D111" i="15"/>
  <c r="C111" i="15"/>
  <c r="B111" i="15"/>
  <c r="A111" i="15" s="1"/>
  <c r="N110" i="15"/>
  <c r="M110" i="15"/>
  <c r="L110" i="15"/>
  <c r="K110" i="15"/>
  <c r="J110" i="15"/>
  <c r="I110" i="15"/>
  <c r="H110" i="15"/>
  <c r="G110" i="15"/>
  <c r="F110" i="15"/>
  <c r="E110" i="15"/>
  <c r="D110" i="15"/>
  <c r="C110" i="15"/>
  <c r="B110" i="15"/>
  <c r="A110" i="15" s="1"/>
  <c r="N109" i="15"/>
  <c r="M109" i="15"/>
  <c r="L109" i="15"/>
  <c r="K109" i="15"/>
  <c r="J109" i="15"/>
  <c r="I109" i="15"/>
  <c r="H109" i="15"/>
  <c r="G109" i="15"/>
  <c r="F109" i="15"/>
  <c r="E109" i="15"/>
  <c r="D109" i="15"/>
  <c r="C109" i="15"/>
  <c r="B109" i="15"/>
  <c r="A109" i="15" s="1"/>
  <c r="N108" i="15"/>
  <c r="M108" i="15"/>
  <c r="L108" i="15"/>
  <c r="K108" i="15"/>
  <c r="J108" i="15"/>
  <c r="I108" i="15"/>
  <c r="H108" i="15"/>
  <c r="G108" i="15"/>
  <c r="F108" i="15"/>
  <c r="E108" i="15"/>
  <c r="D108" i="15"/>
  <c r="C108" i="15"/>
  <c r="B108" i="15"/>
  <c r="A108" i="15" s="1"/>
  <c r="N107" i="15"/>
  <c r="M107" i="15"/>
  <c r="L107" i="15"/>
  <c r="K107" i="15"/>
  <c r="J107" i="15"/>
  <c r="I107" i="15"/>
  <c r="H107" i="15"/>
  <c r="G107" i="15"/>
  <c r="F107" i="15"/>
  <c r="E107" i="15"/>
  <c r="D107" i="15"/>
  <c r="C107" i="15"/>
  <c r="B107" i="15"/>
  <c r="A107" i="15" s="1"/>
  <c r="N106" i="15"/>
  <c r="M106" i="15"/>
  <c r="L106" i="15"/>
  <c r="K106" i="15"/>
  <c r="J106" i="15"/>
  <c r="I106" i="15"/>
  <c r="H106" i="15"/>
  <c r="G106" i="15"/>
  <c r="F106" i="15"/>
  <c r="E106" i="15"/>
  <c r="D106" i="15"/>
  <c r="C106" i="15"/>
  <c r="B106" i="15"/>
  <c r="A106" i="15" s="1"/>
  <c r="N105" i="15"/>
  <c r="M105" i="15"/>
  <c r="L105" i="15"/>
  <c r="K105" i="15"/>
  <c r="J105" i="15"/>
  <c r="I105" i="15"/>
  <c r="H105" i="15"/>
  <c r="G105" i="15"/>
  <c r="F105" i="15"/>
  <c r="E105" i="15"/>
  <c r="D105" i="15"/>
  <c r="C105" i="15"/>
  <c r="B105" i="15"/>
  <c r="A105" i="15" s="1"/>
  <c r="N104" i="15"/>
  <c r="M104" i="15"/>
  <c r="L104" i="15"/>
  <c r="K104" i="15"/>
  <c r="J104" i="15"/>
  <c r="I104" i="15"/>
  <c r="H104" i="15"/>
  <c r="G104" i="15"/>
  <c r="F104" i="15"/>
  <c r="E104" i="15"/>
  <c r="D104" i="15"/>
  <c r="C104" i="15"/>
  <c r="B104" i="15"/>
  <c r="A104" i="15" s="1"/>
  <c r="N103" i="15"/>
  <c r="M103" i="15"/>
  <c r="L103" i="15"/>
  <c r="K103" i="15"/>
  <c r="J103" i="15"/>
  <c r="I103" i="15"/>
  <c r="H103" i="15"/>
  <c r="G103" i="15"/>
  <c r="F103" i="15"/>
  <c r="E103" i="15"/>
  <c r="D103" i="15"/>
  <c r="C103" i="15"/>
  <c r="B103" i="15"/>
  <c r="A103" i="15" s="1"/>
  <c r="N102" i="15"/>
  <c r="M102" i="15"/>
  <c r="L102" i="15"/>
  <c r="K102" i="15"/>
  <c r="J102" i="15"/>
  <c r="I102" i="15"/>
  <c r="H102" i="15"/>
  <c r="G102" i="15"/>
  <c r="F102" i="15"/>
  <c r="E102" i="15"/>
  <c r="D102" i="15"/>
  <c r="C102" i="15"/>
  <c r="B102" i="15"/>
  <c r="A102" i="15" s="1"/>
  <c r="N101" i="15"/>
  <c r="M101" i="15"/>
  <c r="L101" i="15"/>
  <c r="K101" i="15"/>
  <c r="J101" i="15"/>
  <c r="I101" i="15"/>
  <c r="H101" i="15"/>
  <c r="G101" i="15"/>
  <c r="F101" i="15"/>
  <c r="E101" i="15"/>
  <c r="D101" i="15"/>
  <c r="C101" i="15"/>
  <c r="B101" i="15"/>
  <c r="A101" i="15" s="1"/>
  <c r="N100" i="15"/>
  <c r="M100" i="15"/>
  <c r="L100" i="15"/>
  <c r="K100" i="15"/>
  <c r="J100" i="15"/>
  <c r="I100" i="15"/>
  <c r="H100" i="15"/>
  <c r="G100" i="15"/>
  <c r="F100" i="15"/>
  <c r="E100" i="15"/>
  <c r="D100" i="15"/>
  <c r="C100" i="15"/>
  <c r="B100" i="15"/>
  <c r="A100" i="15" s="1"/>
  <c r="N99" i="15"/>
  <c r="M99" i="15"/>
  <c r="L99" i="15"/>
  <c r="K99" i="15"/>
  <c r="J99" i="15"/>
  <c r="I99" i="15"/>
  <c r="H99" i="15"/>
  <c r="G99" i="15"/>
  <c r="F99" i="15"/>
  <c r="E99" i="15"/>
  <c r="D99" i="15"/>
  <c r="C99" i="15"/>
  <c r="B99" i="15"/>
  <c r="A99" i="15" s="1"/>
  <c r="N98" i="15"/>
  <c r="M98" i="15"/>
  <c r="L98" i="15"/>
  <c r="K98" i="15"/>
  <c r="J98" i="15"/>
  <c r="I98" i="15"/>
  <c r="H98" i="15"/>
  <c r="G98" i="15"/>
  <c r="F98" i="15"/>
  <c r="E98" i="15"/>
  <c r="D98" i="15"/>
  <c r="C98" i="15"/>
  <c r="B98" i="15"/>
  <c r="A98" i="15" s="1"/>
  <c r="N97" i="15"/>
  <c r="M97" i="15"/>
  <c r="L97" i="15"/>
  <c r="K97" i="15"/>
  <c r="J97" i="15"/>
  <c r="I97" i="15"/>
  <c r="H97" i="15"/>
  <c r="G97" i="15"/>
  <c r="F97" i="15"/>
  <c r="E97" i="15"/>
  <c r="D97" i="15"/>
  <c r="C97" i="15"/>
  <c r="B97" i="15"/>
  <c r="A97" i="15" s="1"/>
  <c r="N96" i="15"/>
  <c r="M96" i="15"/>
  <c r="L96" i="15"/>
  <c r="K96" i="15"/>
  <c r="J96" i="15"/>
  <c r="I96" i="15"/>
  <c r="H96" i="15"/>
  <c r="G96" i="15"/>
  <c r="F96" i="15"/>
  <c r="E96" i="15"/>
  <c r="D96" i="15"/>
  <c r="C96" i="15"/>
  <c r="B96" i="15"/>
  <c r="A96" i="15" s="1"/>
  <c r="N95" i="15"/>
  <c r="M95" i="15"/>
  <c r="L95" i="15"/>
  <c r="K95" i="15"/>
  <c r="J95" i="15"/>
  <c r="I95" i="15"/>
  <c r="H95" i="15"/>
  <c r="G95" i="15"/>
  <c r="F95" i="15"/>
  <c r="E95" i="15"/>
  <c r="D95" i="15"/>
  <c r="C95" i="15"/>
  <c r="B95" i="15"/>
  <c r="A95" i="15" s="1"/>
  <c r="N94" i="15"/>
  <c r="M94" i="15"/>
  <c r="L94" i="15"/>
  <c r="K94" i="15"/>
  <c r="J94" i="15"/>
  <c r="I94" i="15"/>
  <c r="H94" i="15"/>
  <c r="G94" i="15"/>
  <c r="F94" i="15"/>
  <c r="E94" i="15"/>
  <c r="D94" i="15"/>
  <c r="C94" i="15"/>
  <c r="B94" i="15"/>
  <c r="A94" i="15" s="1"/>
  <c r="N93" i="15"/>
  <c r="M93" i="15"/>
  <c r="L93" i="15"/>
  <c r="K93" i="15"/>
  <c r="J93" i="15"/>
  <c r="I93" i="15"/>
  <c r="H93" i="15"/>
  <c r="G93" i="15"/>
  <c r="F93" i="15"/>
  <c r="E93" i="15"/>
  <c r="D93" i="15"/>
  <c r="C93" i="15"/>
  <c r="B93" i="15"/>
  <c r="A93" i="15" s="1"/>
  <c r="N92" i="15"/>
  <c r="M92" i="15"/>
  <c r="L92" i="15"/>
  <c r="K92" i="15"/>
  <c r="J92" i="15"/>
  <c r="I92" i="15"/>
  <c r="H92" i="15"/>
  <c r="G92" i="15"/>
  <c r="F92" i="15"/>
  <c r="E92" i="15"/>
  <c r="D92" i="15"/>
  <c r="C92" i="15"/>
  <c r="B92" i="15"/>
  <c r="A92" i="15" s="1"/>
  <c r="N91" i="15"/>
  <c r="M91" i="15"/>
  <c r="L91" i="15"/>
  <c r="K91" i="15"/>
  <c r="J91" i="15"/>
  <c r="I91" i="15"/>
  <c r="H91" i="15"/>
  <c r="G91" i="15"/>
  <c r="F91" i="15"/>
  <c r="E91" i="15"/>
  <c r="D91" i="15"/>
  <c r="C91" i="15"/>
  <c r="B91" i="15"/>
  <c r="A91" i="15" s="1"/>
  <c r="N90" i="15"/>
  <c r="M90" i="15"/>
  <c r="L90" i="15"/>
  <c r="K90" i="15"/>
  <c r="J90" i="15"/>
  <c r="I90" i="15"/>
  <c r="H90" i="15"/>
  <c r="G90" i="15"/>
  <c r="F90" i="15"/>
  <c r="E90" i="15"/>
  <c r="D90" i="15"/>
  <c r="C90" i="15"/>
  <c r="B90" i="15"/>
  <c r="A90" i="15" s="1"/>
  <c r="N89" i="15"/>
  <c r="M89" i="15"/>
  <c r="L89" i="15"/>
  <c r="K89" i="15"/>
  <c r="J89" i="15"/>
  <c r="I89" i="15"/>
  <c r="H89" i="15"/>
  <c r="G89" i="15"/>
  <c r="F89" i="15"/>
  <c r="E89" i="15"/>
  <c r="D89" i="15"/>
  <c r="C89" i="15"/>
  <c r="B89" i="15"/>
  <c r="A89" i="15" s="1"/>
  <c r="N88" i="15"/>
  <c r="M88" i="15"/>
  <c r="L88" i="15"/>
  <c r="K88" i="15"/>
  <c r="J88" i="15"/>
  <c r="I88" i="15"/>
  <c r="H88" i="15"/>
  <c r="G88" i="15"/>
  <c r="F88" i="15"/>
  <c r="E88" i="15"/>
  <c r="D88" i="15"/>
  <c r="C88" i="15"/>
  <c r="B88" i="15"/>
  <c r="A88" i="15" s="1"/>
  <c r="N87" i="15"/>
  <c r="M87" i="15"/>
  <c r="L87" i="15"/>
  <c r="K87" i="15"/>
  <c r="J87" i="15"/>
  <c r="I87" i="15"/>
  <c r="H87" i="15"/>
  <c r="G87" i="15"/>
  <c r="F87" i="15"/>
  <c r="E87" i="15"/>
  <c r="D87" i="15"/>
  <c r="C87" i="15"/>
  <c r="B87" i="15"/>
  <c r="A87" i="15" s="1"/>
  <c r="N86" i="15"/>
  <c r="M86" i="15"/>
  <c r="L86" i="15"/>
  <c r="K86" i="15"/>
  <c r="J86" i="15"/>
  <c r="I86" i="15"/>
  <c r="H86" i="15"/>
  <c r="G86" i="15"/>
  <c r="F86" i="15"/>
  <c r="E86" i="15"/>
  <c r="D86" i="15"/>
  <c r="C86" i="15"/>
  <c r="B86" i="15"/>
  <c r="A86" i="15" s="1"/>
  <c r="N85" i="15"/>
  <c r="M85" i="15"/>
  <c r="L85" i="15"/>
  <c r="K85" i="15"/>
  <c r="J85" i="15"/>
  <c r="I85" i="15"/>
  <c r="H85" i="15"/>
  <c r="G85" i="15"/>
  <c r="F85" i="15"/>
  <c r="E85" i="15"/>
  <c r="D85" i="15"/>
  <c r="C85" i="15"/>
  <c r="B85" i="15"/>
  <c r="A85" i="15" s="1"/>
  <c r="N84" i="15"/>
  <c r="M84" i="15"/>
  <c r="L84" i="15"/>
  <c r="K84" i="15"/>
  <c r="J84" i="15"/>
  <c r="I84" i="15"/>
  <c r="H84" i="15"/>
  <c r="G84" i="15"/>
  <c r="F84" i="15"/>
  <c r="E84" i="15"/>
  <c r="D84" i="15"/>
  <c r="C84" i="15"/>
  <c r="B84" i="15"/>
  <c r="A84" i="15" s="1"/>
  <c r="N83" i="15"/>
  <c r="M83" i="15"/>
  <c r="L83" i="15"/>
  <c r="K83" i="15"/>
  <c r="J83" i="15"/>
  <c r="I83" i="15"/>
  <c r="H83" i="15"/>
  <c r="G83" i="15"/>
  <c r="F83" i="15"/>
  <c r="E83" i="15"/>
  <c r="D83" i="15"/>
  <c r="C83" i="15"/>
  <c r="B83" i="15"/>
  <c r="A83" i="15" s="1"/>
  <c r="N82" i="15"/>
  <c r="M82" i="15"/>
  <c r="L82" i="15"/>
  <c r="K82" i="15"/>
  <c r="J82" i="15"/>
  <c r="I82" i="15"/>
  <c r="H82" i="15"/>
  <c r="G82" i="15"/>
  <c r="F82" i="15"/>
  <c r="E82" i="15"/>
  <c r="D82" i="15"/>
  <c r="C82" i="15"/>
  <c r="B82" i="15"/>
  <c r="A82" i="15" s="1"/>
  <c r="N81" i="15"/>
  <c r="M81" i="15"/>
  <c r="L81" i="15"/>
  <c r="K81" i="15"/>
  <c r="J81" i="15"/>
  <c r="I81" i="15"/>
  <c r="H81" i="15"/>
  <c r="G81" i="15"/>
  <c r="F81" i="15"/>
  <c r="E81" i="15"/>
  <c r="D81" i="15"/>
  <c r="C81" i="15"/>
  <c r="B81" i="15"/>
  <c r="A81" i="15" s="1"/>
  <c r="N80" i="15"/>
  <c r="M80" i="15"/>
  <c r="L80" i="15"/>
  <c r="K80" i="15"/>
  <c r="J80" i="15"/>
  <c r="I80" i="15"/>
  <c r="H80" i="15"/>
  <c r="G80" i="15"/>
  <c r="F80" i="15"/>
  <c r="E80" i="15"/>
  <c r="D80" i="15"/>
  <c r="C80" i="15"/>
  <c r="B80" i="15"/>
  <c r="A80" i="15" s="1"/>
  <c r="N79" i="15"/>
  <c r="M79" i="15"/>
  <c r="L79" i="15"/>
  <c r="K79" i="15"/>
  <c r="J79" i="15"/>
  <c r="I79" i="15"/>
  <c r="H79" i="15"/>
  <c r="G79" i="15"/>
  <c r="F79" i="15"/>
  <c r="E79" i="15"/>
  <c r="D79" i="15"/>
  <c r="C79" i="15"/>
  <c r="B79" i="15"/>
  <c r="A79" i="15" s="1"/>
  <c r="N78" i="15"/>
  <c r="M78" i="15"/>
  <c r="L78" i="15"/>
  <c r="K78" i="15"/>
  <c r="J78" i="15"/>
  <c r="I78" i="15"/>
  <c r="H78" i="15"/>
  <c r="G78" i="15"/>
  <c r="F78" i="15"/>
  <c r="E78" i="15"/>
  <c r="D78" i="15"/>
  <c r="C78" i="15"/>
  <c r="B78" i="15"/>
  <c r="A78" i="15" s="1"/>
  <c r="N77" i="15"/>
  <c r="M77" i="15"/>
  <c r="L77" i="15"/>
  <c r="K77" i="15"/>
  <c r="J77" i="15"/>
  <c r="I77" i="15"/>
  <c r="H77" i="15"/>
  <c r="G77" i="15"/>
  <c r="F77" i="15"/>
  <c r="E77" i="15"/>
  <c r="D77" i="15"/>
  <c r="C77" i="15"/>
  <c r="B77" i="15"/>
  <c r="A77" i="15" s="1"/>
  <c r="N76" i="15"/>
  <c r="M76" i="15"/>
  <c r="L76" i="15"/>
  <c r="K76" i="15"/>
  <c r="J76" i="15"/>
  <c r="I76" i="15"/>
  <c r="H76" i="15"/>
  <c r="G76" i="15"/>
  <c r="F76" i="15"/>
  <c r="E76" i="15"/>
  <c r="D76" i="15"/>
  <c r="C76" i="15"/>
  <c r="B76" i="15"/>
  <c r="A76" i="15" s="1"/>
  <c r="N75" i="15"/>
  <c r="M75" i="15"/>
  <c r="L75" i="15"/>
  <c r="K75" i="15"/>
  <c r="J75" i="15"/>
  <c r="I75" i="15"/>
  <c r="H75" i="15"/>
  <c r="G75" i="15"/>
  <c r="F75" i="15"/>
  <c r="E75" i="15"/>
  <c r="D75" i="15"/>
  <c r="C75" i="15"/>
  <c r="B75" i="15"/>
  <c r="A75" i="15" s="1"/>
  <c r="N74" i="15"/>
  <c r="M74" i="15"/>
  <c r="L74" i="15"/>
  <c r="K74" i="15"/>
  <c r="J74" i="15"/>
  <c r="I74" i="15"/>
  <c r="H74" i="15"/>
  <c r="G74" i="15"/>
  <c r="F74" i="15"/>
  <c r="E74" i="15"/>
  <c r="D74" i="15"/>
  <c r="C74" i="15"/>
  <c r="B74" i="15"/>
  <c r="A74" i="15" s="1"/>
  <c r="N73" i="15"/>
  <c r="M73" i="15"/>
  <c r="L73" i="15"/>
  <c r="K73" i="15"/>
  <c r="J73" i="15"/>
  <c r="I73" i="15"/>
  <c r="H73" i="15"/>
  <c r="G73" i="15"/>
  <c r="F73" i="15"/>
  <c r="E73" i="15"/>
  <c r="D73" i="15"/>
  <c r="C73" i="15"/>
  <c r="B73" i="15"/>
  <c r="A73" i="15" s="1"/>
  <c r="N72" i="15"/>
  <c r="M72" i="15"/>
  <c r="L72" i="15"/>
  <c r="K72" i="15"/>
  <c r="J72" i="15"/>
  <c r="I72" i="15"/>
  <c r="H72" i="15"/>
  <c r="G72" i="15"/>
  <c r="F72" i="15"/>
  <c r="E72" i="15"/>
  <c r="D72" i="15"/>
  <c r="C72" i="15"/>
  <c r="B72" i="15"/>
  <c r="A72" i="15" s="1"/>
  <c r="N71" i="15"/>
  <c r="M71" i="15"/>
  <c r="L71" i="15"/>
  <c r="K71" i="15"/>
  <c r="J71" i="15"/>
  <c r="I71" i="15"/>
  <c r="H71" i="15"/>
  <c r="G71" i="15"/>
  <c r="F71" i="15"/>
  <c r="E71" i="15"/>
  <c r="D71" i="15"/>
  <c r="C71" i="15"/>
  <c r="B71" i="15"/>
  <c r="A71" i="15" s="1"/>
  <c r="N70" i="15"/>
  <c r="M70" i="15"/>
  <c r="L70" i="15"/>
  <c r="K70" i="15"/>
  <c r="J70" i="15"/>
  <c r="I70" i="15"/>
  <c r="H70" i="15"/>
  <c r="G70" i="15"/>
  <c r="F70" i="15"/>
  <c r="E70" i="15"/>
  <c r="D70" i="15"/>
  <c r="C70" i="15"/>
  <c r="B70" i="15"/>
  <c r="A70" i="15" s="1"/>
  <c r="N69" i="15"/>
  <c r="M69" i="15"/>
  <c r="L69" i="15"/>
  <c r="K69" i="15"/>
  <c r="J69" i="15"/>
  <c r="I69" i="15"/>
  <c r="H69" i="15"/>
  <c r="G69" i="15"/>
  <c r="F69" i="15"/>
  <c r="E69" i="15"/>
  <c r="D69" i="15"/>
  <c r="C69" i="15"/>
  <c r="B69" i="15"/>
  <c r="A69" i="15" s="1"/>
  <c r="N68" i="15"/>
  <c r="M68" i="15"/>
  <c r="L68" i="15"/>
  <c r="K68" i="15"/>
  <c r="J68" i="15"/>
  <c r="I68" i="15"/>
  <c r="H68" i="15"/>
  <c r="G68" i="15"/>
  <c r="F68" i="15"/>
  <c r="E68" i="15"/>
  <c r="D68" i="15"/>
  <c r="C68" i="15"/>
  <c r="B68" i="15"/>
  <c r="A68" i="15" s="1"/>
  <c r="N67" i="15"/>
  <c r="M67" i="15"/>
  <c r="L67" i="15"/>
  <c r="K67" i="15"/>
  <c r="J67" i="15"/>
  <c r="I67" i="15"/>
  <c r="H67" i="15"/>
  <c r="G67" i="15"/>
  <c r="F67" i="15"/>
  <c r="E67" i="15"/>
  <c r="D67" i="15"/>
  <c r="C67" i="15"/>
  <c r="B67" i="15"/>
  <c r="A67" i="15" s="1"/>
  <c r="N66" i="15"/>
  <c r="M66" i="15"/>
  <c r="L66" i="15"/>
  <c r="K66" i="15"/>
  <c r="J66" i="15"/>
  <c r="I66" i="15"/>
  <c r="H66" i="15"/>
  <c r="G66" i="15"/>
  <c r="F66" i="15"/>
  <c r="E66" i="15"/>
  <c r="D66" i="15"/>
  <c r="C66" i="15"/>
  <c r="B66" i="15"/>
  <c r="A66" i="15" s="1"/>
  <c r="N65" i="15"/>
  <c r="M65" i="15"/>
  <c r="L65" i="15"/>
  <c r="K65" i="15"/>
  <c r="J65" i="15"/>
  <c r="I65" i="15"/>
  <c r="H65" i="15"/>
  <c r="G65" i="15"/>
  <c r="F65" i="15"/>
  <c r="E65" i="15"/>
  <c r="D65" i="15"/>
  <c r="C65" i="15"/>
  <c r="B65" i="15"/>
  <c r="A65" i="15" s="1"/>
  <c r="N64" i="15"/>
  <c r="M64" i="15"/>
  <c r="L64" i="15"/>
  <c r="K64" i="15"/>
  <c r="J64" i="15"/>
  <c r="I64" i="15"/>
  <c r="H64" i="15"/>
  <c r="G64" i="15"/>
  <c r="F64" i="15"/>
  <c r="E64" i="15"/>
  <c r="D64" i="15"/>
  <c r="C64" i="15"/>
  <c r="B64" i="15"/>
  <c r="A64" i="15" s="1"/>
  <c r="N63" i="15"/>
  <c r="M63" i="15"/>
  <c r="L63" i="15"/>
  <c r="K63" i="15"/>
  <c r="J63" i="15"/>
  <c r="I63" i="15"/>
  <c r="H63" i="15"/>
  <c r="G63" i="15"/>
  <c r="F63" i="15"/>
  <c r="E63" i="15"/>
  <c r="D63" i="15"/>
  <c r="C63" i="15"/>
  <c r="B63" i="15"/>
  <c r="A63" i="15" s="1"/>
  <c r="N62" i="15"/>
  <c r="M62" i="15"/>
  <c r="L62" i="15"/>
  <c r="K62" i="15"/>
  <c r="J62" i="15"/>
  <c r="I62" i="15"/>
  <c r="H62" i="15"/>
  <c r="G62" i="15"/>
  <c r="F62" i="15"/>
  <c r="E62" i="15"/>
  <c r="D62" i="15"/>
  <c r="C62" i="15"/>
  <c r="B62" i="15"/>
  <c r="A62" i="15" s="1"/>
  <c r="N61" i="15"/>
  <c r="M61" i="15"/>
  <c r="L61" i="15"/>
  <c r="K61" i="15"/>
  <c r="J61" i="15"/>
  <c r="I61" i="15"/>
  <c r="H61" i="15"/>
  <c r="G61" i="15"/>
  <c r="F61" i="15"/>
  <c r="E61" i="15"/>
  <c r="D61" i="15"/>
  <c r="C61" i="15"/>
  <c r="B61" i="15"/>
  <c r="A61" i="15" s="1"/>
  <c r="N60" i="15"/>
  <c r="M60" i="15"/>
  <c r="L60" i="15"/>
  <c r="K60" i="15"/>
  <c r="J60" i="15"/>
  <c r="I60" i="15"/>
  <c r="H60" i="15"/>
  <c r="G60" i="15"/>
  <c r="F60" i="15"/>
  <c r="E60" i="15"/>
  <c r="D60" i="15"/>
  <c r="C60" i="15"/>
  <c r="B60" i="15"/>
  <c r="A60" i="15" s="1"/>
  <c r="N59" i="15"/>
  <c r="M59" i="15"/>
  <c r="L59" i="15"/>
  <c r="K59" i="15"/>
  <c r="J59" i="15"/>
  <c r="I59" i="15"/>
  <c r="H59" i="15"/>
  <c r="G59" i="15"/>
  <c r="F59" i="15"/>
  <c r="E59" i="15"/>
  <c r="D59" i="15"/>
  <c r="C59" i="15"/>
  <c r="A59" i="15"/>
  <c r="N58" i="15"/>
  <c r="M58" i="15"/>
  <c r="L58" i="15"/>
  <c r="K58" i="15"/>
  <c r="J58" i="15"/>
  <c r="I58" i="15"/>
  <c r="H58" i="15"/>
  <c r="G58" i="15"/>
  <c r="F58" i="15"/>
  <c r="E58" i="15"/>
  <c r="D58" i="15"/>
  <c r="C58" i="15"/>
  <c r="A58" i="15"/>
  <c r="N57" i="15"/>
  <c r="M57" i="15"/>
  <c r="L57" i="15"/>
  <c r="K57" i="15"/>
  <c r="J57" i="15"/>
  <c r="I57" i="15"/>
  <c r="H57" i="15"/>
  <c r="G57" i="15"/>
  <c r="F57" i="15"/>
  <c r="E57" i="15"/>
  <c r="D57" i="15"/>
  <c r="C57" i="15"/>
  <c r="A57" i="15"/>
  <c r="N56" i="15"/>
  <c r="M56" i="15"/>
  <c r="L56" i="15"/>
  <c r="K56" i="15"/>
  <c r="J56" i="15"/>
  <c r="I56" i="15"/>
  <c r="H56" i="15"/>
  <c r="G56" i="15"/>
  <c r="F56" i="15"/>
  <c r="E56" i="15"/>
  <c r="D56" i="15"/>
  <c r="C56" i="15"/>
  <c r="A56" i="15"/>
  <c r="N55" i="15"/>
  <c r="M55" i="15"/>
  <c r="L55" i="15"/>
  <c r="K55" i="15"/>
  <c r="J55" i="15"/>
  <c r="I55" i="15"/>
  <c r="H55" i="15"/>
  <c r="G55" i="15"/>
  <c r="F55" i="15"/>
  <c r="E55" i="15"/>
  <c r="D55" i="15"/>
  <c r="C55" i="15"/>
  <c r="A55" i="15"/>
  <c r="N54" i="15"/>
  <c r="M54" i="15"/>
  <c r="L54" i="15"/>
  <c r="K54" i="15"/>
  <c r="J54" i="15"/>
  <c r="I54" i="15"/>
  <c r="H54" i="15"/>
  <c r="G54" i="15"/>
  <c r="F54" i="15"/>
  <c r="E54" i="15"/>
  <c r="D54" i="15"/>
  <c r="C54" i="15"/>
  <c r="A54" i="15"/>
  <c r="N53" i="15"/>
  <c r="M53" i="15"/>
  <c r="L53" i="15"/>
  <c r="K53" i="15"/>
  <c r="J53" i="15"/>
  <c r="I53" i="15"/>
  <c r="H53" i="15"/>
  <c r="G53" i="15"/>
  <c r="F53" i="15"/>
  <c r="E53" i="15"/>
  <c r="D53" i="15"/>
  <c r="C53" i="15"/>
  <c r="A53" i="15"/>
  <c r="N52" i="15"/>
  <c r="M52" i="15"/>
  <c r="L52" i="15"/>
  <c r="K52" i="15"/>
  <c r="J52" i="15"/>
  <c r="I52" i="15"/>
  <c r="H52" i="15"/>
  <c r="G52" i="15"/>
  <c r="F52" i="15"/>
  <c r="E52" i="15"/>
  <c r="D52" i="15"/>
  <c r="C52" i="15"/>
  <c r="A52" i="15"/>
  <c r="N51" i="15"/>
  <c r="M51" i="15"/>
  <c r="L51" i="15"/>
  <c r="K51" i="15"/>
  <c r="J51" i="15"/>
  <c r="I51" i="15"/>
  <c r="H51" i="15"/>
  <c r="G51" i="15"/>
  <c r="F51" i="15"/>
  <c r="E51" i="15"/>
  <c r="D51" i="15"/>
  <c r="C51" i="15"/>
  <c r="A51" i="15"/>
  <c r="N50" i="15"/>
  <c r="M50" i="15"/>
  <c r="L50" i="15"/>
  <c r="K50" i="15"/>
  <c r="J50" i="15"/>
  <c r="I50" i="15"/>
  <c r="H50" i="15"/>
  <c r="G50" i="15"/>
  <c r="F50" i="15"/>
  <c r="E50" i="15"/>
  <c r="D50" i="15"/>
  <c r="C50" i="15"/>
  <c r="A50" i="15"/>
  <c r="N49" i="15"/>
  <c r="M49" i="15"/>
  <c r="L49" i="15"/>
  <c r="K49" i="15"/>
  <c r="J49" i="15"/>
  <c r="I49" i="15"/>
  <c r="H49" i="15"/>
  <c r="G49" i="15"/>
  <c r="F49" i="15"/>
  <c r="E49" i="15"/>
  <c r="D49" i="15"/>
  <c r="C49" i="15"/>
  <c r="A49" i="15"/>
  <c r="N48" i="15"/>
  <c r="M48" i="15"/>
  <c r="L48" i="15"/>
  <c r="K48" i="15"/>
  <c r="J48" i="15"/>
  <c r="I48" i="15"/>
  <c r="H48" i="15"/>
  <c r="G48" i="15"/>
  <c r="F48" i="15"/>
  <c r="E48" i="15"/>
  <c r="D48" i="15"/>
  <c r="C48" i="15"/>
  <c r="A48" i="15"/>
  <c r="N47" i="15"/>
  <c r="M47" i="15"/>
  <c r="L47" i="15"/>
  <c r="K47" i="15"/>
  <c r="J47" i="15"/>
  <c r="I47" i="15"/>
  <c r="H47" i="15"/>
  <c r="G47" i="15"/>
  <c r="F47" i="15"/>
  <c r="E47" i="15"/>
  <c r="D47" i="15"/>
  <c r="C47" i="15"/>
  <c r="A47" i="15"/>
  <c r="N46" i="15"/>
  <c r="M46" i="15"/>
  <c r="L46" i="15"/>
  <c r="K46" i="15"/>
  <c r="J46" i="15"/>
  <c r="I46" i="15"/>
  <c r="H46" i="15"/>
  <c r="G46" i="15"/>
  <c r="F46" i="15"/>
  <c r="E46" i="15"/>
  <c r="D46" i="15"/>
  <c r="C46" i="15"/>
  <c r="A46" i="15"/>
  <c r="N45" i="15"/>
  <c r="M45" i="15"/>
  <c r="L45" i="15"/>
  <c r="K45" i="15"/>
  <c r="J45" i="15"/>
  <c r="I45" i="15"/>
  <c r="H45" i="15"/>
  <c r="G45" i="15"/>
  <c r="F45" i="15"/>
  <c r="E45" i="15"/>
  <c r="D45" i="15"/>
  <c r="C45" i="15"/>
  <c r="A45" i="15"/>
  <c r="N44" i="15"/>
  <c r="M44" i="15"/>
  <c r="L44" i="15"/>
  <c r="K44" i="15"/>
  <c r="J44" i="15"/>
  <c r="I44" i="15"/>
  <c r="H44" i="15"/>
  <c r="G44" i="15"/>
  <c r="F44" i="15"/>
  <c r="E44" i="15"/>
  <c r="D44" i="15"/>
  <c r="C44" i="15"/>
  <c r="A44" i="15"/>
  <c r="N43" i="15"/>
  <c r="M43" i="15"/>
  <c r="L43" i="15"/>
  <c r="K43" i="15"/>
  <c r="J43" i="15"/>
  <c r="I43" i="15"/>
  <c r="H43" i="15"/>
  <c r="G43" i="15"/>
  <c r="F43" i="15"/>
  <c r="E43" i="15"/>
  <c r="D43" i="15"/>
  <c r="C43" i="15"/>
  <c r="A43" i="15"/>
  <c r="N42" i="15"/>
  <c r="M42" i="15"/>
  <c r="L42" i="15"/>
  <c r="K42" i="15"/>
  <c r="J42" i="15"/>
  <c r="I42" i="15"/>
  <c r="H42" i="15"/>
  <c r="G42" i="15"/>
  <c r="F42" i="15"/>
  <c r="E42" i="15"/>
  <c r="D42" i="15"/>
  <c r="C42" i="15"/>
  <c r="A42" i="15"/>
  <c r="N41" i="15"/>
  <c r="M41" i="15"/>
  <c r="L41" i="15"/>
  <c r="K41" i="15"/>
  <c r="J41" i="15"/>
  <c r="I41" i="15"/>
  <c r="H41" i="15"/>
  <c r="G41" i="15"/>
  <c r="F41" i="15"/>
  <c r="E41" i="15"/>
  <c r="D41" i="15"/>
  <c r="C41" i="15"/>
  <c r="A41" i="15"/>
  <c r="N40" i="15"/>
  <c r="M40" i="15"/>
  <c r="L40" i="15"/>
  <c r="K40" i="15"/>
  <c r="J40" i="15"/>
  <c r="I40" i="15"/>
  <c r="H40" i="15"/>
  <c r="G40" i="15"/>
  <c r="F40" i="15"/>
  <c r="E40" i="15"/>
  <c r="D40" i="15"/>
  <c r="C40" i="15"/>
  <c r="A40" i="15"/>
  <c r="N39" i="15"/>
  <c r="M39" i="15"/>
  <c r="L39" i="15"/>
  <c r="K39" i="15"/>
  <c r="J39" i="15"/>
  <c r="I39" i="15"/>
  <c r="H39" i="15"/>
  <c r="G39" i="15"/>
  <c r="F39" i="15"/>
  <c r="E39" i="15"/>
  <c r="D39" i="15"/>
  <c r="C39" i="15"/>
  <c r="A39" i="15"/>
  <c r="N38" i="15"/>
  <c r="M38" i="15"/>
  <c r="L38" i="15"/>
  <c r="K38" i="15"/>
  <c r="J38" i="15"/>
  <c r="I38" i="15"/>
  <c r="H38" i="15"/>
  <c r="G38" i="15"/>
  <c r="F38" i="15"/>
  <c r="E38" i="15"/>
  <c r="D38" i="15"/>
  <c r="C38" i="15"/>
  <c r="A38" i="15"/>
  <c r="N37" i="15"/>
  <c r="M37" i="15"/>
  <c r="L37" i="15"/>
  <c r="K37" i="15"/>
  <c r="J37" i="15"/>
  <c r="I37" i="15"/>
  <c r="H37" i="15"/>
  <c r="G37" i="15"/>
  <c r="F37" i="15"/>
  <c r="E37" i="15"/>
  <c r="D37" i="15"/>
  <c r="C37" i="15"/>
  <c r="A37" i="15"/>
  <c r="N36" i="15"/>
  <c r="M36" i="15"/>
  <c r="L36" i="15"/>
  <c r="K36" i="15"/>
  <c r="J36" i="15"/>
  <c r="I36" i="15"/>
  <c r="H36" i="15"/>
  <c r="G36" i="15"/>
  <c r="F36" i="15"/>
  <c r="E36" i="15"/>
  <c r="D36" i="15"/>
  <c r="C36" i="15"/>
  <c r="A36" i="15"/>
  <c r="N35" i="15"/>
  <c r="M35" i="15"/>
  <c r="L35" i="15"/>
  <c r="K35" i="15"/>
  <c r="J35" i="15"/>
  <c r="I35" i="15"/>
  <c r="H35" i="15"/>
  <c r="G35" i="15"/>
  <c r="F35" i="15"/>
  <c r="E35" i="15"/>
  <c r="D35" i="15"/>
  <c r="C35" i="15"/>
  <c r="A35" i="15"/>
  <c r="N34" i="15"/>
  <c r="M34" i="15"/>
  <c r="L34" i="15"/>
  <c r="K34" i="15"/>
  <c r="J34" i="15"/>
  <c r="I34" i="15"/>
  <c r="H34" i="15"/>
  <c r="G34" i="15"/>
  <c r="F34" i="15"/>
  <c r="E34" i="15"/>
  <c r="D34" i="15"/>
  <c r="C34" i="15"/>
  <c r="A34" i="15"/>
  <c r="N33" i="15"/>
  <c r="M33" i="15"/>
  <c r="L33" i="15"/>
  <c r="K33" i="15"/>
  <c r="J33" i="15"/>
  <c r="I33" i="15"/>
  <c r="H33" i="15"/>
  <c r="G33" i="15"/>
  <c r="F33" i="15"/>
  <c r="E33" i="15"/>
  <c r="D33" i="15"/>
  <c r="C33" i="15"/>
  <c r="A33" i="15"/>
  <c r="N32" i="15"/>
  <c r="M32" i="15"/>
  <c r="L32" i="15"/>
  <c r="K32" i="15"/>
  <c r="J32" i="15"/>
  <c r="I32" i="15"/>
  <c r="H32" i="15"/>
  <c r="G32" i="15"/>
  <c r="F32" i="15"/>
  <c r="E32" i="15"/>
  <c r="D32" i="15"/>
  <c r="C32" i="15"/>
  <c r="A32" i="15"/>
  <c r="N31" i="15"/>
  <c r="M31" i="15"/>
  <c r="L31" i="15"/>
  <c r="K31" i="15"/>
  <c r="J31" i="15"/>
  <c r="I31" i="15"/>
  <c r="H31" i="15"/>
  <c r="G31" i="15"/>
  <c r="F31" i="15"/>
  <c r="E31" i="15"/>
  <c r="D31" i="15"/>
  <c r="C31" i="15"/>
  <c r="A31" i="15"/>
  <c r="N30" i="15"/>
  <c r="M30" i="15"/>
  <c r="L30" i="15"/>
  <c r="K30" i="15"/>
  <c r="J30" i="15"/>
  <c r="I30" i="15"/>
  <c r="H30" i="15"/>
  <c r="G30" i="15"/>
  <c r="F30" i="15"/>
  <c r="E30" i="15"/>
  <c r="D30" i="15"/>
  <c r="C30" i="15"/>
  <c r="A30" i="15"/>
  <c r="N29" i="15"/>
  <c r="M29" i="15"/>
  <c r="L29" i="15"/>
  <c r="K29" i="15"/>
  <c r="J29" i="15"/>
  <c r="I29" i="15"/>
  <c r="H29" i="15"/>
  <c r="G29" i="15"/>
  <c r="F29" i="15"/>
  <c r="E29" i="15"/>
  <c r="D29" i="15"/>
  <c r="C29" i="15"/>
  <c r="A29" i="15"/>
  <c r="N28" i="15"/>
  <c r="M28" i="15"/>
  <c r="L28" i="15"/>
  <c r="K28" i="15"/>
  <c r="J28" i="15"/>
  <c r="I28" i="15"/>
  <c r="H28" i="15"/>
  <c r="G28" i="15"/>
  <c r="F28" i="15"/>
  <c r="E28" i="15"/>
  <c r="D28" i="15"/>
  <c r="C28" i="15"/>
  <c r="A28" i="15"/>
  <c r="N27" i="15"/>
  <c r="M27" i="15"/>
  <c r="L27" i="15"/>
  <c r="K27" i="15"/>
  <c r="J27" i="15"/>
  <c r="I27" i="15"/>
  <c r="H27" i="15"/>
  <c r="G27" i="15"/>
  <c r="F27" i="15"/>
  <c r="E27" i="15"/>
  <c r="D27" i="15"/>
  <c r="C27" i="15"/>
  <c r="A27" i="15"/>
  <c r="N26" i="15"/>
  <c r="M26" i="15"/>
  <c r="L26" i="15"/>
  <c r="K26" i="15"/>
  <c r="J26" i="15"/>
  <c r="I26" i="15"/>
  <c r="H26" i="15"/>
  <c r="G26" i="15"/>
  <c r="F26" i="15"/>
  <c r="E26" i="15"/>
  <c r="D26" i="15"/>
  <c r="C26" i="15"/>
  <c r="A26" i="15"/>
  <c r="N25" i="15"/>
  <c r="M25" i="15"/>
  <c r="L25" i="15"/>
  <c r="K25" i="15"/>
  <c r="J25" i="15"/>
  <c r="I25" i="15"/>
  <c r="H25" i="15"/>
  <c r="G25" i="15"/>
  <c r="F25" i="15"/>
  <c r="E25" i="15"/>
  <c r="D25" i="15"/>
  <c r="C25" i="15"/>
  <c r="A25" i="15"/>
  <c r="N24" i="15"/>
  <c r="M24" i="15"/>
  <c r="L24" i="15"/>
  <c r="K24" i="15"/>
  <c r="J24" i="15"/>
  <c r="I24" i="15"/>
  <c r="H24" i="15"/>
  <c r="G24" i="15"/>
  <c r="F24" i="15"/>
  <c r="E24" i="15"/>
  <c r="D24" i="15"/>
  <c r="C24" i="15"/>
  <c r="A24" i="15"/>
  <c r="N23" i="15"/>
  <c r="M23" i="15"/>
  <c r="L23" i="15"/>
  <c r="K23" i="15"/>
  <c r="J23" i="15"/>
  <c r="I23" i="15"/>
  <c r="H23" i="15"/>
  <c r="G23" i="15"/>
  <c r="F23" i="15"/>
  <c r="E23" i="15"/>
  <c r="D23" i="15"/>
  <c r="C23" i="15"/>
  <c r="A23" i="15"/>
  <c r="N22" i="15"/>
  <c r="M22" i="15"/>
  <c r="L22" i="15"/>
  <c r="K22" i="15"/>
  <c r="J22" i="15"/>
  <c r="I22" i="15"/>
  <c r="H22" i="15"/>
  <c r="G22" i="15"/>
  <c r="F22" i="15"/>
  <c r="E22" i="15"/>
  <c r="D22" i="15"/>
  <c r="C22" i="15"/>
  <c r="A22" i="15"/>
  <c r="N21" i="15"/>
  <c r="M21" i="15"/>
  <c r="L21" i="15"/>
  <c r="K21" i="15"/>
  <c r="J21" i="15"/>
  <c r="I21" i="15"/>
  <c r="H21" i="15"/>
  <c r="G21" i="15"/>
  <c r="F21" i="15"/>
  <c r="E21" i="15"/>
  <c r="D21" i="15"/>
  <c r="C21" i="15"/>
  <c r="A21" i="15"/>
  <c r="N20" i="15"/>
  <c r="M20" i="15"/>
  <c r="L20" i="15"/>
  <c r="K20" i="15"/>
  <c r="J20" i="15"/>
  <c r="I20" i="15"/>
  <c r="H20" i="15"/>
  <c r="G20" i="15"/>
  <c r="F20" i="15"/>
  <c r="E20" i="15"/>
  <c r="D20" i="15"/>
  <c r="C20" i="15"/>
  <c r="A20" i="15"/>
  <c r="N19" i="15"/>
  <c r="M19" i="15"/>
  <c r="L19" i="15"/>
  <c r="K19" i="15"/>
  <c r="J19" i="15"/>
  <c r="I19" i="15"/>
  <c r="H19" i="15"/>
  <c r="G19" i="15"/>
  <c r="F19" i="15"/>
  <c r="E19" i="15"/>
  <c r="D19" i="15"/>
  <c r="C19" i="15"/>
  <c r="A19" i="15"/>
  <c r="N18" i="15"/>
  <c r="M18" i="15"/>
  <c r="L18" i="15"/>
  <c r="K18" i="15"/>
  <c r="J18" i="15"/>
  <c r="I18" i="15"/>
  <c r="H18" i="15"/>
  <c r="G18" i="15"/>
  <c r="F18" i="15"/>
  <c r="E18" i="15"/>
  <c r="D18" i="15"/>
  <c r="C18" i="15"/>
  <c r="A18" i="15"/>
  <c r="N17" i="15"/>
  <c r="M17" i="15"/>
  <c r="L17" i="15"/>
  <c r="K17" i="15"/>
  <c r="J17" i="15"/>
  <c r="I17" i="15"/>
  <c r="H17" i="15"/>
  <c r="G17" i="15"/>
  <c r="F17" i="15"/>
  <c r="E17" i="15"/>
  <c r="D17" i="15"/>
  <c r="C17" i="15"/>
  <c r="A17" i="15"/>
  <c r="N16" i="15"/>
  <c r="M16" i="15"/>
  <c r="L16" i="15"/>
  <c r="K16" i="15"/>
  <c r="J16" i="15"/>
  <c r="I16" i="15"/>
  <c r="H16" i="15"/>
  <c r="G16" i="15"/>
  <c r="F16" i="15"/>
  <c r="E16" i="15"/>
  <c r="D16" i="15"/>
  <c r="C16" i="15"/>
  <c r="A16" i="15"/>
  <c r="N15" i="15"/>
  <c r="M15" i="15"/>
  <c r="L15" i="15"/>
  <c r="K15" i="15"/>
  <c r="J15" i="15"/>
  <c r="I15" i="15"/>
  <c r="H15" i="15"/>
  <c r="G15" i="15"/>
  <c r="F15" i="15"/>
  <c r="E15" i="15"/>
  <c r="D15" i="15"/>
  <c r="C15" i="15"/>
  <c r="A15" i="15"/>
  <c r="N14" i="15"/>
  <c r="M14" i="15"/>
  <c r="L14" i="15"/>
  <c r="K14" i="15"/>
  <c r="J14" i="15"/>
  <c r="I14" i="15"/>
  <c r="H14" i="15"/>
  <c r="G14" i="15"/>
  <c r="F14" i="15"/>
  <c r="E14" i="15"/>
  <c r="D14" i="15"/>
  <c r="C14" i="15"/>
  <c r="B14" i="15"/>
  <c r="A14" i="15" s="1"/>
  <c r="N13" i="15"/>
  <c r="M13" i="15"/>
  <c r="N12" i="15"/>
  <c r="M12" i="15"/>
  <c r="L12" i="15"/>
  <c r="K12" i="15"/>
  <c r="J12" i="15"/>
  <c r="I12" i="15"/>
  <c r="H12" i="15"/>
  <c r="G12" i="15"/>
  <c r="F12" i="15"/>
  <c r="E12" i="15"/>
  <c r="D12" i="15"/>
  <c r="C12" i="15"/>
  <c r="B12" i="15"/>
  <c r="J7" i="15"/>
  <c r="C7" i="15"/>
  <c r="J6" i="15"/>
  <c r="C6" i="15"/>
  <c r="J5" i="15"/>
  <c r="C5" i="15"/>
  <c r="B2" i="15"/>
  <c r="B1" i="15"/>
  <c r="P903" i="14"/>
  <c r="O903" i="14"/>
  <c r="N903" i="14"/>
  <c r="M903" i="14"/>
  <c r="L903" i="14"/>
  <c r="K903" i="14"/>
  <c r="J903" i="14"/>
  <c r="I903" i="14"/>
  <c r="H903" i="14"/>
  <c r="G903" i="14"/>
  <c r="F903" i="14"/>
  <c r="E903" i="14"/>
  <c r="D903" i="14"/>
  <c r="C903" i="14"/>
  <c r="B903" i="14"/>
  <c r="A903" i="14" s="1"/>
  <c r="P902" i="14"/>
  <c r="O902" i="14"/>
  <c r="N902" i="14"/>
  <c r="M902" i="14"/>
  <c r="L902" i="14"/>
  <c r="K902" i="14"/>
  <c r="J902" i="14"/>
  <c r="I902" i="14"/>
  <c r="H902" i="14"/>
  <c r="G902" i="14"/>
  <c r="F902" i="14"/>
  <c r="E902" i="14"/>
  <c r="D902" i="14"/>
  <c r="C902" i="14"/>
  <c r="B902" i="14"/>
  <c r="A902" i="14" s="1"/>
  <c r="P901" i="14"/>
  <c r="O901" i="14"/>
  <c r="N901" i="14"/>
  <c r="M901" i="14"/>
  <c r="L901" i="14"/>
  <c r="K901" i="14"/>
  <c r="J901" i="14"/>
  <c r="I901" i="14"/>
  <c r="H901" i="14"/>
  <c r="G901" i="14"/>
  <c r="F901" i="14"/>
  <c r="E901" i="14"/>
  <c r="D901" i="14"/>
  <c r="C901" i="14"/>
  <c r="B901" i="14"/>
  <c r="A901" i="14" s="1"/>
  <c r="P900" i="14"/>
  <c r="O900" i="14"/>
  <c r="N900" i="14"/>
  <c r="M900" i="14"/>
  <c r="L900" i="14"/>
  <c r="K900" i="14"/>
  <c r="J900" i="14"/>
  <c r="I900" i="14"/>
  <c r="H900" i="14"/>
  <c r="G900" i="14"/>
  <c r="F900" i="14"/>
  <c r="E900" i="14"/>
  <c r="D900" i="14"/>
  <c r="C900" i="14"/>
  <c r="B900" i="14"/>
  <c r="A900" i="14" s="1"/>
  <c r="P899" i="14"/>
  <c r="O899" i="14"/>
  <c r="N899" i="14"/>
  <c r="M899" i="14"/>
  <c r="L899" i="14"/>
  <c r="K899" i="14"/>
  <c r="J899" i="14"/>
  <c r="I899" i="14"/>
  <c r="H899" i="14"/>
  <c r="G899" i="14"/>
  <c r="F899" i="14"/>
  <c r="E899" i="14"/>
  <c r="D899" i="14"/>
  <c r="C899" i="14"/>
  <c r="B899" i="14"/>
  <c r="A899" i="14" s="1"/>
  <c r="P898" i="14"/>
  <c r="O898" i="14"/>
  <c r="N898" i="14"/>
  <c r="M898" i="14"/>
  <c r="L898" i="14"/>
  <c r="K898" i="14"/>
  <c r="J898" i="14"/>
  <c r="I898" i="14"/>
  <c r="H898" i="14"/>
  <c r="G898" i="14"/>
  <c r="F898" i="14"/>
  <c r="E898" i="14"/>
  <c r="D898" i="14"/>
  <c r="C898" i="14"/>
  <c r="B898" i="14"/>
  <c r="A898" i="14" s="1"/>
  <c r="P897" i="14"/>
  <c r="O897" i="14"/>
  <c r="N897" i="14"/>
  <c r="M897" i="14"/>
  <c r="L897" i="14"/>
  <c r="K897" i="14"/>
  <c r="J897" i="14"/>
  <c r="I897" i="14"/>
  <c r="H897" i="14"/>
  <c r="G897" i="14"/>
  <c r="F897" i="14"/>
  <c r="E897" i="14"/>
  <c r="D897" i="14"/>
  <c r="C897" i="14"/>
  <c r="B897" i="14"/>
  <c r="A897" i="14" s="1"/>
  <c r="P896" i="14"/>
  <c r="O896" i="14"/>
  <c r="N896" i="14"/>
  <c r="M896" i="14"/>
  <c r="L896" i="14"/>
  <c r="K896" i="14"/>
  <c r="J896" i="14"/>
  <c r="I896" i="14"/>
  <c r="H896" i="14"/>
  <c r="G896" i="14"/>
  <c r="F896" i="14"/>
  <c r="E896" i="14"/>
  <c r="D896" i="14"/>
  <c r="C896" i="14"/>
  <c r="B896" i="14"/>
  <c r="A896" i="14" s="1"/>
  <c r="P895" i="14"/>
  <c r="O895" i="14"/>
  <c r="N895" i="14"/>
  <c r="M895" i="14"/>
  <c r="L895" i="14"/>
  <c r="K895" i="14"/>
  <c r="J895" i="14"/>
  <c r="I895" i="14"/>
  <c r="H895" i="14"/>
  <c r="G895" i="14"/>
  <c r="F895" i="14"/>
  <c r="E895" i="14"/>
  <c r="D895" i="14"/>
  <c r="C895" i="14"/>
  <c r="B895" i="14"/>
  <c r="A895" i="14" s="1"/>
  <c r="P894" i="14"/>
  <c r="O894" i="14"/>
  <c r="N894" i="14"/>
  <c r="M894" i="14"/>
  <c r="L894" i="14"/>
  <c r="K894" i="14"/>
  <c r="J894" i="14"/>
  <c r="I894" i="14"/>
  <c r="H894" i="14"/>
  <c r="G894" i="14"/>
  <c r="F894" i="14"/>
  <c r="E894" i="14"/>
  <c r="D894" i="14"/>
  <c r="C894" i="14"/>
  <c r="B894" i="14"/>
  <c r="A894" i="14" s="1"/>
  <c r="P893" i="14"/>
  <c r="O893" i="14"/>
  <c r="N893" i="14"/>
  <c r="M893" i="14"/>
  <c r="L893" i="14"/>
  <c r="K893" i="14"/>
  <c r="J893" i="14"/>
  <c r="I893" i="14"/>
  <c r="H893" i="14"/>
  <c r="G893" i="14"/>
  <c r="F893" i="14"/>
  <c r="E893" i="14"/>
  <c r="D893" i="14"/>
  <c r="C893" i="14"/>
  <c r="B893" i="14"/>
  <c r="A893" i="14" s="1"/>
  <c r="P892" i="14"/>
  <c r="O892" i="14"/>
  <c r="N892" i="14"/>
  <c r="M892" i="14"/>
  <c r="L892" i="14"/>
  <c r="K892" i="14"/>
  <c r="J892" i="14"/>
  <c r="I892" i="14"/>
  <c r="H892" i="14"/>
  <c r="G892" i="14"/>
  <c r="F892" i="14"/>
  <c r="E892" i="14"/>
  <c r="D892" i="14"/>
  <c r="C892" i="14"/>
  <c r="B892" i="14"/>
  <c r="A892" i="14" s="1"/>
  <c r="P891" i="14"/>
  <c r="O891" i="14"/>
  <c r="N891" i="14"/>
  <c r="M891" i="14"/>
  <c r="L891" i="14"/>
  <c r="K891" i="14"/>
  <c r="J891" i="14"/>
  <c r="I891" i="14"/>
  <c r="H891" i="14"/>
  <c r="G891" i="14"/>
  <c r="F891" i="14"/>
  <c r="E891" i="14"/>
  <c r="D891" i="14"/>
  <c r="C891" i="14"/>
  <c r="B891" i="14"/>
  <c r="A891" i="14" s="1"/>
  <c r="P890" i="14"/>
  <c r="O890" i="14"/>
  <c r="N890" i="14"/>
  <c r="M890" i="14"/>
  <c r="L890" i="14"/>
  <c r="K890" i="14"/>
  <c r="J890" i="14"/>
  <c r="I890" i="14"/>
  <c r="H890" i="14"/>
  <c r="G890" i="14"/>
  <c r="F890" i="14"/>
  <c r="E890" i="14"/>
  <c r="D890" i="14"/>
  <c r="C890" i="14"/>
  <c r="B890" i="14"/>
  <c r="A890" i="14" s="1"/>
  <c r="P889" i="14"/>
  <c r="O889" i="14"/>
  <c r="N889" i="14"/>
  <c r="M889" i="14"/>
  <c r="L889" i="14"/>
  <c r="K889" i="14"/>
  <c r="J889" i="14"/>
  <c r="I889" i="14"/>
  <c r="H889" i="14"/>
  <c r="G889" i="14"/>
  <c r="F889" i="14"/>
  <c r="E889" i="14"/>
  <c r="D889" i="14"/>
  <c r="C889" i="14"/>
  <c r="B889" i="14"/>
  <c r="A889" i="14" s="1"/>
  <c r="P888" i="14"/>
  <c r="O888" i="14"/>
  <c r="N888" i="14"/>
  <c r="M888" i="14"/>
  <c r="L888" i="14"/>
  <c r="K888" i="14"/>
  <c r="J888" i="14"/>
  <c r="I888" i="14"/>
  <c r="H888" i="14"/>
  <c r="G888" i="14"/>
  <c r="F888" i="14"/>
  <c r="E888" i="14"/>
  <c r="D888" i="14"/>
  <c r="C888" i="14"/>
  <c r="B888" i="14"/>
  <c r="A888" i="14" s="1"/>
  <c r="P887" i="14"/>
  <c r="O887" i="14"/>
  <c r="N887" i="14"/>
  <c r="M887" i="14"/>
  <c r="L887" i="14"/>
  <c r="K887" i="14"/>
  <c r="J887" i="14"/>
  <c r="I887" i="14"/>
  <c r="H887" i="14"/>
  <c r="G887" i="14"/>
  <c r="F887" i="14"/>
  <c r="E887" i="14"/>
  <c r="D887" i="14"/>
  <c r="C887" i="14"/>
  <c r="B887" i="14"/>
  <c r="A887" i="14" s="1"/>
  <c r="P886" i="14"/>
  <c r="O886" i="14"/>
  <c r="N886" i="14"/>
  <c r="M886" i="14"/>
  <c r="L886" i="14"/>
  <c r="K886" i="14"/>
  <c r="J886" i="14"/>
  <c r="I886" i="14"/>
  <c r="H886" i="14"/>
  <c r="G886" i="14"/>
  <c r="F886" i="14"/>
  <c r="E886" i="14"/>
  <c r="D886" i="14"/>
  <c r="C886" i="14"/>
  <c r="B886" i="14"/>
  <c r="A886" i="14" s="1"/>
  <c r="P885" i="14"/>
  <c r="O885" i="14"/>
  <c r="N885" i="14"/>
  <c r="M885" i="14"/>
  <c r="L885" i="14"/>
  <c r="K885" i="14"/>
  <c r="J885" i="14"/>
  <c r="I885" i="14"/>
  <c r="H885" i="14"/>
  <c r="G885" i="14"/>
  <c r="F885" i="14"/>
  <c r="E885" i="14"/>
  <c r="D885" i="14"/>
  <c r="C885" i="14"/>
  <c r="B885" i="14"/>
  <c r="A885" i="14" s="1"/>
  <c r="P884" i="14"/>
  <c r="O884" i="14"/>
  <c r="N884" i="14"/>
  <c r="M884" i="14"/>
  <c r="L884" i="14"/>
  <c r="K884" i="14"/>
  <c r="J884" i="14"/>
  <c r="I884" i="14"/>
  <c r="H884" i="14"/>
  <c r="G884" i="14"/>
  <c r="F884" i="14"/>
  <c r="E884" i="14"/>
  <c r="D884" i="14"/>
  <c r="C884" i="14"/>
  <c r="B884" i="14"/>
  <c r="A884" i="14" s="1"/>
  <c r="P883" i="14"/>
  <c r="O883" i="14"/>
  <c r="N883" i="14"/>
  <c r="M883" i="14"/>
  <c r="L883" i="14"/>
  <c r="K883" i="14"/>
  <c r="J883" i="14"/>
  <c r="I883" i="14"/>
  <c r="H883" i="14"/>
  <c r="G883" i="14"/>
  <c r="F883" i="14"/>
  <c r="E883" i="14"/>
  <c r="D883" i="14"/>
  <c r="C883" i="14"/>
  <c r="B883" i="14"/>
  <c r="A883" i="14" s="1"/>
  <c r="P882" i="14"/>
  <c r="O882" i="14"/>
  <c r="N882" i="14"/>
  <c r="M882" i="14"/>
  <c r="L882" i="14"/>
  <c r="K882" i="14"/>
  <c r="J882" i="14"/>
  <c r="I882" i="14"/>
  <c r="H882" i="14"/>
  <c r="G882" i="14"/>
  <c r="F882" i="14"/>
  <c r="E882" i="14"/>
  <c r="D882" i="14"/>
  <c r="C882" i="14"/>
  <c r="B882" i="14"/>
  <c r="A882" i="14" s="1"/>
  <c r="P881" i="14"/>
  <c r="O881" i="14"/>
  <c r="N881" i="14"/>
  <c r="M881" i="14"/>
  <c r="L881" i="14"/>
  <c r="K881" i="14"/>
  <c r="J881" i="14"/>
  <c r="I881" i="14"/>
  <c r="H881" i="14"/>
  <c r="G881" i="14"/>
  <c r="F881" i="14"/>
  <c r="E881" i="14"/>
  <c r="D881" i="14"/>
  <c r="C881" i="14"/>
  <c r="B881" i="14"/>
  <c r="A881" i="14" s="1"/>
  <c r="P880" i="14"/>
  <c r="O880" i="14"/>
  <c r="N880" i="14"/>
  <c r="M880" i="14"/>
  <c r="L880" i="14"/>
  <c r="K880" i="14"/>
  <c r="J880" i="14"/>
  <c r="I880" i="14"/>
  <c r="H880" i="14"/>
  <c r="G880" i="14"/>
  <c r="F880" i="14"/>
  <c r="E880" i="14"/>
  <c r="D880" i="14"/>
  <c r="C880" i="14"/>
  <c r="B880" i="14"/>
  <c r="A880" i="14" s="1"/>
  <c r="P879" i="14"/>
  <c r="O879" i="14"/>
  <c r="N879" i="14"/>
  <c r="M879" i="14"/>
  <c r="L879" i="14"/>
  <c r="K879" i="14"/>
  <c r="J879" i="14"/>
  <c r="I879" i="14"/>
  <c r="H879" i="14"/>
  <c r="G879" i="14"/>
  <c r="F879" i="14"/>
  <c r="E879" i="14"/>
  <c r="D879" i="14"/>
  <c r="C879" i="14"/>
  <c r="B879" i="14"/>
  <c r="A879" i="14" s="1"/>
  <c r="P878" i="14"/>
  <c r="O878" i="14"/>
  <c r="N878" i="14"/>
  <c r="M878" i="14"/>
  <c r="L878" i="14"/>
  <c r="K878" i="14"/>
  <c r="J878" i="14"/>
  <c r="I878" i="14"/>
  <c r="H878" i="14"/>
  <c r="G878" i="14"/>
  <c r="F878" i="14"/>
  <c r="E878" i="14"/>
  <c r="D878" i="14"/>
  <c r="C878" i="14"/>
  <c r="B878" i="14"/>
  <c r="A878" i="14" s="1"/>
  <c r="P877" i="14"/>
  <c r="O877" i="14"/>
  <c r="N877" i="14"/>
  <c r="M877" i="14"/>
  <c r="L877" i="14"/>
  <c r="K877" i="14"/>
  <c r="J877" i="14"/>
  <c r="I877" i="14"/>
  <c r="H877" i="14"/>
  <c r="G877" i="14"/>
  <c r="F877" i="14"/>
  <c r="E877" i="14"/>
  <c r="D877" i="14"/>
  <c r="C877" i="14"/>
  <c r="B877" i="14"/>
  <c r="A877" i="14" s="1"/>
  <c r="P876" i="14"/>
  <c r="O876" i="14"/>
  <c r="N876" i="14"/>
  <c r="M876" i="14"/>
  <c r="L876" i="14"/>
  <c r="K876" i="14"/>
  <c r="J876" i="14"/>
  <c r="I876" i="14"/>
  <c r="H876" i="14"/>
  <c r="G876" i="14"/>
  <c r="F876" i="14"/>
  <c r="E876" i="14"/>
  <c r="D876" i="14"/>
  <c r="C876" i="14"/>
  <c r="B876" i="14"/>
  <c r="A876" i="14" s="1"/>
  <c r="P875" i="14"/>
  <c r="O875" i="14"/>
  <c r="N875" i="14"/>
  <c r="M875" i="14"/>
  <c r="L875" i="14"/>
  <c r="K875" i="14"/>
  <c r="J875" i="14"/>
  <c r="I875" i="14"/>
  <c r="H875" i="14"/>
  <c r="G875" i="14"/>
  <c r="F875" i="14"/>
  <c r="E875" i="14"/>
  <c r="D875" i="14"/>
  <c r="C875" i="14"/>
  <c r="B875" i="14"/>
  <c r="A875" i="14" s="1"/>
  <c r="P874" i="14"/>
  <c r="O874" i="14"/>
  <c r="N874" i="14"/>
  <c r="M874" i="14"/>
  <c r="L874" i="14"/>
  <c r="K874" i="14"/>
  <c r="J874" i="14"/>
  <c r="I874" i="14"/>
  <c r="H874" i="14"/>
  <c r="G874" i="14"/>
  <c r="F874" i="14"/>
  <c r="E874" i="14"/>
  <c r="D874" i="14"/>
  <c r="C874" i="14"/>
  <c r="B874" i="14"/>
  <c r="A874" i="14" s="1"/>
  <c r="P873" i="14"/>
  <c r="O873" i="14"/>
  <c r="N873" i="14"/>
  <c r="M873" i="14"/>
  <c r="L873" i="14"/>
  <c r="K873" i="14"/>
  <c r="J873" i="14"/>
  <c r="I873" i="14"/>
  <c r="H873" i="14"/>
  <c r="G873" i="14"/>
  <c r="F873" i="14"/>
  <c r="E873" i="14"/>
  <c r="D873" i="14"/>
  <c r="C873" i="14"/>
  <c r="B873" i="14"/>
  <c r="A873" i="14" s="1"/>
  <c r="P872" i="14"/>
  <c r="O872" i="14"/>
  <c r="N872" i="14"/>
  <c r="M872" i="14"/>
  <c r="L872" i="14"/>
  <c r="K872" i="14"/>
  <c r="J872" i="14"/>
  <c r="I872" i="14"/>
  <c r="H872" i="14"/>
  <c r="G872" i="14"/>
  <c r="F872" i="14"/>
  <c r="E872" i="14"/>
  <c r="D872" i="14"/>
  <c r="C872" i="14"/>
  <c r="B872" i="14"/>
  <c r="A872" i="14" s="1"/>
  <c r="P871" i="14"/>
  <c r="O871" i="14"/>
  <c r="N871" i="14"/>
  <c r="M871" i="14"/>
  <c r="L871" i="14"/>
  <c r="K871" i="14"/>
  <c r="J871" i="14"/>
  <c r="I871" i="14"/>
  <c r="H871" i="14"/>
  <c r="G871" i="14"/>
  <c r="F871" i="14"/>
  <c r="E871" i="14"/>
  <c r="D871" i="14"/>
  <c r="C871" i="14"/>
  <c r="B871" i="14"/>
  <c r="A871" i="14" s="1"/>
  <c r="P870" i="14"/>
  <c r="O870" i="14"/>
  <c r="N870" i="14"/>
  <c r="M870" i="14"/>
  <c r="L870" i="14"/>
  <c r="K870" i="14"/>
  <c r="J870" i="14"/>
  <c r="I870" i="14"/>
  <c r="H870" i="14"/>
  <c r="G870" i="14"/>
  <c r="F870" i="14"/>
  <c r="E870" i="14"/>
  <c r="D870" i="14"/>
  <c r="C870" i="14"/>
  <c r="B870" i="14"/>
  <c r="A870" i="14" s="1"/>
  <c r="P869" i="14"/>
  <c r="O869" i="14"/>
  <c r="N869" i="14"/>
  <c r="M869" i="14"/>
  <c r="L869" i="14"/>
  <c r="K869" i="14"/>
  <c r="J869" i="14"/>
  <c r="I869" i="14"/>
  <c r="H869" i="14"/>
  <c r="G869" i="14"/>
  <c r="F869" i="14"/>
  <c r="E869" i="14"/>
  <c r="D869" i="14"/>
  <c r="C869" i="14"/>
  <c r="B869" i="14"/>
  <c r="A869" i="14" s="1"/>
  <c r="P868" i="14"/>
  <c r="O868" i="14"/>
  <c r="N868" i="14"/>
  <c r="M868" i="14"/>
  <c r="L868" i="14"/>
  <c r="K868" i="14"/>
  <c r="J868" i="14"/>
  <c r="I868" i="14"/>
  <c r="H868" i="14"/>
  <c r="G868" i="14"/>
  <c r="F868" i="14"/>
  <c r="E868" i="14"/>
  <c r="D868" i="14"/>
  <c r="C868" i="14"/>
  <c r="B868" i="14"/>
  <c r="A868" i="14" s="1"/>
  <c r="P867" i="14"/>
  <c r="O867" i="14"/>
  <c r="N867" i="14"/>
  <c r="M867" i="14"/>
  <c r="L867" i="14"/>
  <c r="K867" i="14"/>
  <c r="J867" i="14"/>
  <c r="I867" i="14"/>
  <c r="H867" i="14"/>
  <c r="G867" i="14"/>
  <c r="F867" i="14"/>
  <c r="E867" i="14"/>
  <c r="D867" i="14"/>
  <c r="C867" i="14"/>
  <c r="B867" i="14"/>
  <c r="A867" i="14" s="1"/>
  <c r="P866" i="14"/>
  <c r="O866" i="14"/>
  <c r="N866" i="14"/>
  <c r="M866" i="14"/>
  <c r="L866" i="14"/>
  <c r="K866" i="14"/>
  <c r="J866" i="14"/>
  <c r="I866" i="14"/>
  <c r="H866" i="14"/>
  <c r="G866" i="14"/>
  <c r="F866" i="14"/>
  <c r="E866" i="14"/>
  <c r="D866" i="14"/>
  <c r="C866" i="14"/>
  <c r="B866" i="14"/>
  <c r="A866" i="14" s="1"/>
  <c r="P865" i="14"/>
  <c r="O865" i="14"/>
  <c r="N865" i="14"/>
  <c r="M865" i="14"/>
  <c r="L865" i="14"/>
  <c r="K865" i="14"/>
  <c r="J865" i="14"/>
  <c r="I865" i="14"/>
  <c r="H865" i="14"/>
  <c r="G865" i="14"/>
  <c r="F865" i="14"/>
  <c r="E865" i="14"/>
  <c r="D865" i="14"/>
  <c r="C865" i="14"/>
  <c r="B865" i="14"/>
  <c r="A865" i="14" s="1"/>
  <c r="P864" i="14"/>
  <c r="O864" i="14"/>
  <c r="N864" i="14"/>
  <c r="M864" i="14"/>
  <c r="L864" i="14"/>
  <c r="K864" i="14"/>
  <c r="J864" i="14"/>
  <c r="I864" i="14"/>
  <c r="H864" i="14"/>
  <c r="G864" i="14"/>
  <c r="F864" i="14"/>
  <c r="E864" i="14"/>
  <c r="D864" i="14"/>
  <c r="C864" i="14"/>
  <c r="B864" i="14"/>
  <c r="A864" i="14" s="1"/>
  <c r="P863" i="14"/>
  <c r="O863" i="14"/>
  <c r="N863" i="14"/>
  <c r="M863" i="14"/>
  <c r="L863" i="14"/>
  <c r="K863" i="14"/>
  <c r="J863" i="14"/>
  <c r="I863" i="14"/>
  <c r="H863" i="14"/>
  <c r="G863" i="14"/>
  <c r="F863" i="14"/>
  <c r="E863" i="14"/>
  <c r="D863" i="14"/>
  <c r="C863" i="14"/>
  <c r="B863" i="14"/>
  <c r="A863" i="14" s="1"/>
  <c r="P862" i="14"/>
  <c r="O862" i="14"/>
  <c r="N862" i="14"/>
  <c r="M862" i="14"/>
  <c r="L862" i="14"/>
  <c r="K862" i="14"/>
  <c r="J862" i="14"/>
  <c r="I862" i="14"/>
  <c r="H862" i="14"/>
  <c r="G862" i="14"/>
  <c r="F862" i="14"/>
  <c r="E862" i="14"/>
  <c r="D862" i="14"/>
  <c r="C862" i="14"/>
  <c r="B862" i="14"/>
  <c r="A862" i="14" s="1"/>
  <c r="P861" i="14"/>
  <c r="O861" i="14"/>
  <c r="N861" i="14"/>
  <c r="M861" i="14"/>
  <c r="L861" i="14"/>
  <c r="K861" i="14"/>
  <c r="J861" i="14"/>
  <c r="I861" i="14"/>
  <c r="H861" i="14"/>
  <c r="G861" i="14"/>
  <c r="F861" i="14"/>
  <c r="E861" i="14"/>
  <c r="D861" i="14"/>
  <c r="C861" i="14"/>
  <c r="B861" i="14"/>
  <c r="A861" i="14" s="1"/>
  <c r="P860" i="14"/>
  <c r="O860" i="14"/>
  <c r="N860" i="14"/>
  <c r="M860" i="14"/>
  <c r="L860" i="14"/>
  <c r="K860" i="14"/>
  <c r="J860" i="14"/>
  <c r="I860" i="14"/>
  <c r="H860" i="14"/>
  <c r="G860" i="14"/>
  <c r="F860" i="14"/>
  <c r="E860" i="14"/>
  <c r="D860" i="14"/>
  <c r="C860" i="14"/>
  <c r="B860" i="14"/>
  <c r="A860" i="14" s="1"/>
  <c r="P859" i="14"/>
  <c r="O859" i="14"/>
  <c r="N859" i="14"/>
  <c r="M859" i="14"/>
  <c r="L859" i="14"/>
  <c r="K859" i="14"/>
  <c r="J859" i="14"/>
  <c r="I859" i="14"/>
  <c r="H859" i="14"/>
  <c r="G859" i="14"/>
  <c r="F859" i="14"/>
  <c r="E859" i="14"/>
  <c r="D859" i="14"/>
  <c r="C859" i="14"/>
  <c r="B859" i="14"/>
  <c r="A859" i="14" s="1"/>
  <c r="P858" i="14"/>
  <c r="O858" i="14"/>
  <c r="N858" i="14"/>
  <c r="M858" i="14"/>
  <c r="L858" i="14"/>
  <c r="K858" i="14"/>
  <c r="J858" i="14"/>
  <c r="I858" i="14"/>
  <c r="H858" i="14"/>
  <c r="G858" i="14"/>
  <c r="F858" i="14"/>
  <c r="E858" i="14"/>
  <c r="D858" i="14"/>
  <c r="C858" i="14"/>
  <c r="B858" i="14"/>
  <c r="A858" i="14" s="1"/>
  <c r="P857" i="14"/>
  <c r="O857" i="14"/>
  <c r="N857" i="14"/>
  <c r="M857" i="14"/>
  <c r="L857" i="14"/>
  <c r="K857" i="14"/>
  <c r="J857" i="14"/>
  <c r="I857" i="14"/>
  <c r="H857" i="14"/>
  <c r="G857" i="14"/>
  <c r="F857" i="14"/>
  <c r="E857" i="14"/>
  <c r="D857" i="14"/>
  <c r="C857" i="14"/>
  <c r="B857" i="14"/>
  <c r="A857" i="14" s="1"/>
  <c r="P856" i="14"/>
  <c r="O856" i="14"/>
  <c r="N856" i="14"/>
  <c r="M856" i="14"/>
  <c r="L856" i="14"/>
  <c r="K856" i="14"/>
  <c r="J856" i="14"/>
  <c r="I856" i="14"/>
  <c r="H856" i="14"/>
  <c r="G856" i="14"/>
  <c r="F856" i="14"/>
  <c r="E856" i="14"/>
  <c r="D856" i="14"/>
  <c r="C856" i="14"/>
  <c r="B856" i="14"/>
  <c r="A856" i="14" s="1"/>
  <c r="P855" i="14"/>
  <c r="O855" i="14"/>
  <c r="N855" i="14"/>
  <c r="M855" i="14"/>
  <c r="L855" i="14"/>
  <c r="K855" i="14"/>
  <c r="J855" i="14"/>
  <c r="I855" i="14"/>
  <c r="H855" i="14"/>
  <c r="G855" i="14"/>
  <c r="F855" i="14"/>
  <c r="E855" i="14"/>
  <c r="D855" i="14"/>
  <c r="C855" i="14"/>
  <c r="B855" i="14"/>
  <c r="A855" i="14" s="1"/>
  <c r="P854" i="14"/>
  <c r="O854" i="14"/>
  <c r="N854" i="14"/>
  <c r="M854" i="14"/>
  <c r="L854" i="14"/>
  <c r="K854" i="14"/>
  <c r="J854" i="14"/>
  <c r="I854" i="14"/>
  <c r="H854" i="14"/>
  <c r="G854" i="14"/>
  <c r="F854" i="14"/>
  <c r="E854" i="14"/>
  <c r="D854" i="14"/>
  <c r="C854" i="14"/>
  <c r="B854" i="14"/>
  <c r="A854" i="14" s="1"/>
  <c r="P853" i="14"/>
  <c r="O853" i="14"/>
  <c r="N853" i="14"/>
  <c r="M853" i="14"/>
  <c r="L853" i="14"/>
  <c r="K853" i="14"/>
  <c r="J853" i="14"/>
  <c r="I853" i="14"/>
  <c r="H853" i="14"/>
  <c r="G853" i="14"/>
  <c r="F853" i="14"/>
  <c r="E853" i="14"/>
  <c r="D853" i="14"/>
  <c r="C853" i="14"/>
  <c r="B853" i="14"/>
  <c r="A853" i="14" s="1"/>
  <c r="P852" i="14"/>
  <c r="O852" i="14"/>
  <c r="N852" i="14"/>
  <c r="M852" i="14"/>
  <c r="L852" i="14"/>
  <c r="K852" i="14"/>
  <c r="J852" i="14"/>
  <c r="I852" i="14"/>
  <c r="H852" i="14"/>
  <c r="G852" i="14"/>
  <c r="F852" i="14"/>
  <c r="E852" i="14"/>
  <c r="D852" i="14"/>
  <c r="C852" i="14"/>
  <c r="B852" i="14"/>
  <c r="A852" i="14" s="1"/>
  <c r="P851" i="14"/>
  <c r="O851" i="14"/>
  <c r="N851" i="14"/>
  <c r="M851" i="14"/>
  <c r="L851" i="14"/>
  <c r="K851" i="14"/>
  <c r="J851" i="14"/>
  <c r="I851" i="14"/>
  <c r="H851" i="14"/>
  <c r="G851" i="14"/>
  <c r="F851" i="14"/>
  <c r="E851" i="14"/>
  <c r="D851" i="14"/>
  <c r="C851" i="14"/>
  <c r="B851" i="14"/>
  <c r="A851" i="14" s="1"/>
  <c r="P850" i="14"/>
  <c r="O850" i="14"/>
  <c r="N850" i="14"/>
  <c r="M850" i="14"/>
  <c r="L850" i="14"/>
  <c r="K850" i="14"/>
  <c r="J850" i="14"/>
  <c r="I850" i="14"/>
  <c r="H850" i="14"/>
  <c r="G850" i="14"/>
  <c r="F850" i="14"/>
  <c r="E850" i="14"/>
  <c r="D850" i="14"/>
  <c r="C850" i="14"/>
  <c r="B850" i="14"/>
  <c r="A850" i="14" s="1"/>
  <c r="P849" i="14"/>
  <c r="O849" i="14"/>
  <c r="N849" i="14"/>
  <c r="M849" i="14"/>
  <c r="L849" i="14"/>
  <c r="K849" i="14"/>
  <c r="J849" i="14"/>
  <c r="I849" i="14"/>
  <c r="H849" i="14"/>
  <c r="G849" i="14"/>
  <c r="F849" i="14"/>
  <c r="E849" i="14"/>
  <c r="D849" i="14"/>
  <c r="C849" i="14"/>
  <c r="B849" i="14"/>
  <c r="A849" i="14" s="1"/>
  <c r="P848" i="14"/>
  <c r="O848" i="14"/>
  <c r="N848" i="14"/>
  <c r="M848" i="14"/>
  <c r="L848" i="14"/>
  <c r="K848" i="14"/>
  <c r="J848" i="14"/>
  <c r="I848" i="14"/>
  <c r="H848" i="14"/>
  <c r="G848" i="14"/>
  <c r="F848" i="14"/>
  <c r="E848" i="14"/>
  <c r="D848" i="14"/>
  <c r="C848" i="14"/>
  <c r="B848" i="14"/>
  <c r="A848" i="14" s="1"/>
  <c r="P847" i="14"/>
  <c r="O847" i="14"/>
  <c r="N847" i="14"/>
  <c r="M847" i="14"/>
  <c r="L847" i="14"/>
  <c r="K847" i="14"/>
  <c r="J847" i="14"/>
  <c r="I847" i="14"/>
  <c r="H847" i="14"/>
  <c r="G847" i="14"/>
  <c r="F847" i="14"/>
  <c r="E847" i="14"/>
  <c r="D847" i="14"/>
  <c r="C847" i="14"/>
  <c r="B847" i="14"/>
  <c r="A847" i="14" s="1"/>
  <c r="P846" i="14"/>
  <c r="O846" i="14"/>
  <c r="N846" i="14"/>
  <c r="M846" i="14"/>
  <c r="L846" i="14"/>
  <c r="K846" i="14"/>
  <c r="J846" i="14"/>
  <c r="I846" i="14"/>
  <c r="H846" i="14"/>
  <c r="G846" i="14"/>
  <c r="F846" i="14"/>
  <c r="E846" i="14"/>
  <c r="D846" i="14"/>
  <c r="C846" i="14"/>
  <c r="B846" i="14"/>
  <c r="A846" i="14" s="1"/>
  <c r="P845" i="14"/>
  <c r="O845" i="14"/>
  <c r="N845" i="14"/>
  <c r="M845" i="14"/>
  <c r="L845" i="14"/>
  <c r="K845" i="14"/>
  <c r="J845" i="14"/>
  <c r="I845" i="14"/>
  <c r="H845" i="14"/>
  <c r="G845" i="14"/>
  <c r="F845" i="14"/>
  <c r="E845" i="14"/>
  <c r="D845" i="14"/>
  <c r="C845" i="14"/>
  <c r="B845" i="14"/>
  <c r="A845" i="14" s="1"/>
  <c r="P844" i="14"/>
  <c r="O844" i="14"/>
  <c r="N844" i="14"/>
  <c r="M844" i="14"/>
  <c r="L844" i="14"/>
  <c r="K844" i="14"/>
  <c r="J844" i="14"/>
  <c r="I844" i="14"/>
  <c r="H844" i="14"/>
  <c r="G844" i="14"/>
  <c r="F844" i="14"/>
  <c r="E844" i="14"/>
  <c r="D844" i="14"/>
  <c r="C844" i="14"/>
  <c r="B844" i="14"/>
  <c r="A844" i="14" s="1"/>
  <c r="P843" i="14"/>
  <c r="O843" i="14"/>
  <c r="N843" i="14"/>
  <c r="M843" i="14"/>
  <c r="L843" i="14"/>
  <c r="K843" i="14"/>
  <c r="J843" i="14"/>
  <c r="I843" i="14"/>
  <c r="H843" i="14"/>
  <c r="G843" i="14"/>
  <c r="F843" i="14"/>
  <c r="E843" i="14"/>
  <c r="D843" i="14"/>
  <c r="C843" i="14"/>
  <c r="B843" i="14"/>
  <c r="A843" i="14" s="1"/>
  <c r="P842" i="14"/>
  <c r="O842" i="14"/>
  <c r="N842" i="14"/>
  <c r="M842" i="14"/>
  <c r="L842" i="14"/>
  <c r="K842" i="14"/>
  <c r="J842" i="14"/>
  <c r="I842" i="14"/>
  <c r="H842" i="14"/>
  <c r="G842" i="14"/>
  <c r="F842" i="14"/>
  <c r="E842" i="14"/>
  <c r="D842" i="14"/>
  <c r="C842" i="14"/>
  <c r="B842" i="14"/>
  <c r="A842" i="14" s="1"/>
  <c r="P841" i="14"/>
  <c r="O841" i="14"/>
  <c r="N841" i="14"/>
  <c r="M841" i="14"/>
  <c r="L841" i="14"/>
  <c r="K841" i="14"/>
  <c r="J841" i="14"/>
  <c r="I841" i="14"/>
  <c r="H841" i="14"/>
  <c r="G841" i="14"/>
  <c r="F841" i="14"/>
  <c r="E841" i="14"/>
  <c r="D841" i="14"/>
  <c r="C841" i="14"/>
  <c r="B841" i="14"/>
  <c r="A841" i="14" s="1"/>
  <c r="P840" i="14"/>
  <c r="O840" i="14"/>
  <c r="N840" i="14"/>
  <c r="M840" i="14"/>
  <c r="L840" i="14"/>
  <c r="K840" i="14"/>
  <c r="J840" i="14"/>
  <c r="I840" i="14"/>
  <c r="H840" i="14"/>
  <c r="G840" i="14"/>
  <c r="F840" i="14"/>
  <c r="E840" i="14"/>
  <c r="D840" i="14"/>
  <c r="C840" i="14"/>
  <c r="B840" i="14"/>
  <c r="A840" i="14" s="1"/>
  <c r="P839" i="14"/>
  <c r="O839" i="14"/>
  <c r="N839" i="14"/>
  <c r="M839" i="14"/>
  <c r="L839" i="14"/>
  <c r="K839" i="14"/>
  <c r="J839" i="14"/>
  <c r="I839" i="14"/>
  <c r="H839" i="14"/>
  <c r="G839" i="14"/>
  <c r="F839" i="14"/>
  <c r="E839" i="14"/>
  <c r="D839" i="14"/>
  <c r="C839" i="14"/>
  <c r="B839" i="14"/>
  <c r="A839" i="14" s="1"/>
  <c r="P838" i="14"/>
  <c r="O838" i="14"/>
  <c r="N838" i="14"/>
  <c r="M838" i="14"/>
  <c r="L838" i="14"/>
  <c r="K838" i="14"/>
  <c r="J838" i="14"/>
  <c r="I838" i="14"/>
  <c r="H838" i="14"/>
  <c r="G838" i="14"/>
  <c r="F838" i="14"/>
  <c r="E838" i="14"/>
  <c r="D838" i="14"/>
  <c r="C838" i="14"/>
  <c r="B838" i="14"/>
  <c r="A838" i="14" s="1"/>
  <c r="P837" i="14"/>
  <c r="O837" i="14"/>
  <c r="N837" i="14"/>
  <c r="M837" i="14"/>
  <c r="L837" i="14"/>
  <c r="K837" i="14"/>
  <c r="J837" i="14"/>
  <c r="I837" i="14"/>
  <c r="H837" i="14"/>
  <c r="G837" i="14"/>
  <c r="F837" i="14"/>
  <c r="E837" i="14"/>
  <c r="D837" i="14"/>
  <c r="C837" i="14"/>
  <c r="B837" i="14"/>
  <c r="A837" i="14" s="1"/>
  <c r="P836" i="14"/>
  <c r="O836" i="14"/>
  <c r="N836" i="14"/>
  <c r="M836" i="14"/>
  <c r="L836" i="14"/>
  <c r="K836" i="14"/>
  <c r="J836" i="14"/>
  <c r="I836" i="14"/>
  <c r="H836" i="14"/>
  <c r="G836" i="14"/>
  <c r="F836" i="14"/>
  <c r="E836" i="14"/>
  <c r="D836" i="14"/>
  <c r="C836" i="14"/>
  <c r="B836" i="14"/>
  <c r="A836" i="14" s="1"/>
  <c r="P835" i="14"/>
  <c r="O835" i="14"/>
  <c r="N835" i="14"/>
  <c r="M835" i="14"/>
  <c r="L835" i="14"/>
  <c r="K835" i="14"/>
  <c r="J835" i="14"/>
  <c r="I835" i="14"/>
  <c r="H835" i="14"/>
  <c r="G835" i="14"/>
  <c r="F835" i="14"/>
  <c r="E835" i="14"/>
  <c r="D835" i="14"/>
  <c r="C835" i="14"/>
  <c r="B835" i="14"/>
  <c r="A835" i="14" s="1"/>
  <c r="P834" i="14"/>
  <c r="O834" i="14"/>
  <c r="N834" i="14"/>
  <c r="M834" i="14"/>
  <c r="L834" i="14"/>
  <c r="K834" i="14"/>
  <c r="J834" i="14"/>
  <c r="I834" i="14"/>
  <c r="H834" i="14"/>
  <c r="G834" i="14"/>
  <c r="F834" i="14"/>
  <c r="E834" i="14"/>
  <c r="D834" i="14"/>
  <c r="C834" i="14"/>
  <c r="B834" i="14"/>
  <c r="A834" i="14" s="1"/>
  <c r="P833" i="14"/>
  <c r="O833" i="14"/>
  <c r="N833" i="14"/>
  <c r="M833" i="14"/>
  <c r="L833" i="14"/>
  <c r="K833" i="14"/>
  <c r="J833" i="14"/>
  <c r="I833" i="14"/>
  <c r="H833" i="14"/>
  <c r="G833" i="14"/>
  <c r="F833" i="14"/>
  <c r="E833" i="14"/>
  <c r="D833" i="14"/>
  <c r="C833" i="14"/>
  <c r="B833" i="14"/>
  <c r="A833" i="14" s="1"/>
  <c r="P832" i="14"/>
  <c r="O832" i="14"/>
  <c r="N832" i="14"/>
  <c r="M832" i="14"/>
  <c r="L832" i="14"/>
  <c r="K832" i="14"/>
  <c r="J832" i="14"/>
  <c r="I832" i="14"/>
  <c r="H832" i="14"/>
  <c r="G832" i="14"/>
  <c r="F832" i="14"/>
  <c r="E832" i="14"/>
  <c r="D832" i="14"/>
  <c r="C832" i="14"/>
  <c r="B832" i="14"/>
  <c r="A832" i="14" s="1"/>
  <c r="P831" i="14"/>
  <c r="O831" i="14"/>
  <c r="N831" i="14"/>
  <c r="M831" i="14"/>
  <c r="L831" i="14"/>
  <c r="K831" i="14"/>
  <c r="J831" i="14"/>
  <c r="I831" i="14"/>
  <c r="H831" i="14"/>
  <c r="G831" i="14"/>
  <c r="F831" i="14"/>
  <c r="E831" i="14"/>
  <c r="D831" i="14"/>
  <c r="C831" i="14"/>
  <c r="B831" i="14"/>
  <c r="A831" i="14" s="1"/>
  <c r="P830" i="14"/>
  <c r="O830" i="14"/>
  <c r="N830" i="14"/>
  <c r="M830" i="14"/>
  <c r="L830" i="14"/>
  <c r="K830" i="14"/>
  <c r="J830" i="14"/>
  <c r="I830" i="14"/>
  <c r="H830" i="14"/>
  <c r="G830" i="14"/>
  <c r="F830" i="14"/>
  <c r="E830" i="14"/>
  <c r="D830" i="14"/>
  <c r="C830" i="14"/>
  <c r="B830" i="14"/>
  <c r="A830" i="14" s="1"/>
  <c r="P829" i="14"/>
  <c r="O829" i="14"/>
  <c r="N829" i="14"/>
  <c r="M829" i="14"/>
  <c r="L829" i="14"/>
  <c r="K829" i="14"/>
  <c r="J829" i="14"/>
  <c r="I829" i="14"/>
  <c r="H829" i="14"/>
  <c r="G829" i="14"/>
  <c r="F829" i="14"/>
  <c r="E829" i="14"/>
  <c r="D829" i="14"/>
  <c r="C829" i="14"/>
  <c r="B829" i="14"/>
  <c r="A829" i="14" s="1"/>
  <c r="P828" i="14"/>
  <c r="O828" i="14"/>
  <c r="N828" i="14"/>
  <c r="M828" i="14"/>
  <c r="L828" i="14"/>
  <c r="K828" i="14"/>
  <c r="J828" i="14"/>
  <c r="I828" i="14"/>
  <c r="H828" i="14"/>
  <c r="G828" i="14"/>
  <c r="F828" i="14"/>
  <c r="E828" i="14"/>
  <c r="D828" i="14"/>
  <c r="C828" i="14"/>
  <c r="B828" i="14"/>
  <c r="A828" i="14" s="1"/>
  <c r="P827" i="14"/>
  <c r="O827" i="14"/>
  <c r="N827" i="14"/>
  <c r="M827" i="14"/>
  <c r="L827" i="14"/>
  <c r="K827" i="14"/>
  <c r="J827" i="14"/>
  <c r="I827" i="14"/>
  <c r="H827" i="14"/>
  <c r="G827" i="14"/>
  <c r="F827" i="14"/>
  <c r="E827" i="14"/>
  <c r="D827" i="14"/>
  <c r="C827" i="14"/>
  <c r="B827" i="14"/>
  <c r="A827" i="14" s="1"/>
  <c r="P826" i="14"/>
  <c r="O826" i="14"/>
  <c r="N826" i="14"/>
  <c r="M826" i="14"/>
  <c r="L826" i="14"/>
  <c r="K826" i="14"/>
  <c r="J826" i="14"/>
  <c r="I826" i="14"/>
  <c r="H826" i="14"/>
  <c r="G826" i="14"/>
  <c r="F826" i="14"/>
  <c r="E826" i="14"/>
  <c r="D826" i="14"/>
  <c r="C826" i="14"/>
  <c r="B826" i="14"/>
  <c r="A826" i="14" s="1"/>
  <c r="P825" i="14"/>
  <c r="O825" i="14"/>
  <c r="N825" i="14"/>
  <c r="M825" i="14"/>
  <c r="L825" i="14"/>
  <c r="K825" i="14"/>
  <c r="J825" i="14"/>
  <c r="I825" i="14"/>
  <c r="H825" i="14"/>
  <c r="G825" i="14"/>
  <c r="F825" i="14"/>
  <c r="E825" i="14"/>
  <c r="D825" i="14"/>
  <c r="C825" i="14"/>
  <c r="B825" i="14"/>
  <c r="A825" i="14" s="1"/>
  <c r="P824" i="14"/>
  <c r="O824" i="14"/>
  <c r="N824" i="14"/>
  <c r="M824" i="14"/>
  <c r="L824" i="14"/>
  <c r="K824" i="14"/>
  <c r="J824" i="14"/>
  <c r="I824" i="14"/>
  <c r="H824" i="14"/>
  <c r="G824" i="14"/>
  <c r="F824" i="14"/>
  <c r="E824" i="14"/>
  <c r="D824" i="14"/>
  <c r="C824" i="14"/>
  <c r="B824" i="14"/>
  <c r="A824" i="14" s="1"/>
  <c r="P823" i="14"/>
  <c r="O823" i="14"/>
  <c r="N823" i="14"/>
  <c r="M823" i="14"/>
  <c r="L823" i="14"/>
  <c r="K823" i="14"/>
  <c r="J823" i="14"/>
  <c r="I823" i="14"/>
  <c r="H823" i="14"/>
  <c r="G823" i="14"/>
  <c r="F823" i="14"/>
  <c r="E823" i="14"/>
  <c r="D823" i="14"/>
  <c r="C823" i="14"/>
  <c r="B823" i="14"/>
  <c r="A823" i="14" s="1"/>
  <c r="P822" i="14"/>
  <c r="O822" i="14"/>
  <c r="N822" i="14"/>
  <c r="M822" i="14"/>
  <c r="L822" i="14"/>
  <c r="K822" i="14"/>
  <c r="J822" i="14"/>
  <c r="I822" i="14"/>
  <c r="H822" i="14"/>
  <c r="G822" i="14"/>
  <c r="F822" i="14"/>
  <c r="E822" i="14"/>
  <c r="D822" i="14"/>
  <c r="C822" i="14"/>
  <c r="B822" i="14"/>
  <c r="A822" i="14" s="1"/>
  <c r="P821" i="14"/>
  <c r="O821" i="14"/>
  <c r="N821" i="14"/>
  <c r="M821" i="14"/>
  <c r="L821" i="14"/>
  <c r="K821" i="14"/>
  <c r="J821" i="14"/>
  <c r="I821" i="14"/>
  <c r="H821" i="14"/>
  <c r="G821" i="14"/>
  <c r="F821" i="14"/>
  <c r="E821" i="14"/>
  <c r="D821" i="14"/>
  <c r="C821" i="14"/>
  <c r="B821" i="14"/>
  <c r="A821" i="14" s="1"/>
  <c r="P820" i="14"/>
  <c r="O820" i="14"/>
  <c r="N820" i="14"/>
  <c r="M820" i="14"/>
  <c r="L820" i="14"/>
  <c r="K820" i="14"/>
  <c r="J820" i="14"/>
  <c r="I820" i="14"/>
  <c r="H820" i="14"/>
  <c r="G820" i="14"/>
  <c r="F820" i="14"/>
  <c r="E820" i="14"/>
  <c r="D820" i="14"/>
  <c r="C820" i="14"/>
  <c r="B820" i="14"/>
  <c r="A820" i="14" s="1"/>
  <c r="P819" i="14"/>
  <c r="O819" i="14"/>
  <c r="N819" i="14"/>
  <c r="M819" i="14"/>
  <c r="L819" i="14"/>
  <c r="K819" i="14"/>
  <c r="J819" i="14"/>
  <c r="I819" i="14"/>
  <c r="H819" i="14"/>
  <c r="G819" i="14"/>
  <c r="F819" i="14"/>
  <c r="E819" i="14"/>
  <c r="D819" i="14"/>
  <c r="C819" i="14"/>
  <c r="B819" i="14"/>
  <c r="A819" i="14" s="1"/>
  <c r="P818" i="14"/>
  <c r="O818" i="14"/>
  <c r="N818" i="14"/>
  <c r="M818" i="14"/>
  <c r="L818" i="14"/>
  <c r="K818" i="14"/>
  <c r="J818" i="14"/>
  <c r="I818" i="14"/>
  <c r="H818" i="14"/>
  <c r="G818" i="14"/>
  <c r="F818" i="14"/>
  <c r="E818" i="14"/>
  <c r="D818" i="14"/>
  <c r="C818" i="14"/>
  <c r="B818" i="14"/>
  <c r="A818" i="14" s="1"/>
  <c r="P817" i="14"/>
  <c r="O817" i="14"/>
  <c r="N817" i="14"/>
  <c r="M817" i="14"/>
  <c r="L817" i="14"/>
  <c r="K817" i="14"/>
  <c r="J817" i="14"/>
  <c r="I817" i="14"/>
  <c r="H817" i="14"/>
  <c r="G817" i="14"/>
  <c r="F817" i="14"/>
  <c r="E817" i="14"/>
  <c r="D817" i="14"/>
  <c r="C817" i="14"/>
  <c r="B817" i="14"/>
  <c r="A817" i="14" s="1"/>
  <c r="P816" i="14"/>
  <c r="O816" i="14"/>
  <c r="N816" i="14"/>
  <c r="M816" i="14"/>
  <c r="L816" i="14"/>
  <c r="K816" i="14"/>
  <c r="J816" i="14"/>
  <c r="I816" i="14"/>
  <c r="H816" i="14"/>
  <c r="G816" i="14"/>
  <c r="F816" i="14"/>
  <c r="E816" i="14"/>
  <c r="D816" i="14"/>
  <c r="C816" i="14"/>
  <c r="B816" i="14"/>
  <c r="A816" i="14" s="1"/>
  <c r="P815" i="14"/>
  <c r="O815" i="14"/>
  <c r="N815" i="14"/>
  <c r="M815" i="14"/>
  <c r="L815" i="14"/>
  <c r="K815" i="14"/>
  <c r="J815" i="14"/>
  <c r="I815" i="14"/>
  <c r="H815" i="14"/>
  <c r="G815" i="14"/>
  <c r="F815" i="14"/>
  <c r="E815" i="14"/>
  <c r="D815" i="14"/>
  <c r="C815" i="14"/>
  <c r="B815" i="14"/>
  <c r="A815" i="14" s="1"/>
  <c r="P814" i="14"/>
  <c r="O814" i="14"/>
  <c r="N814" i="14"/>
  <c r="M814" i="14"/>
  <c r="L814" i="14"/>
  <c r="K814" i="14"/>
  <c r="J814" i="14"/>
  <c r="I814" i="14"/>
  <c r="H814" i="14"/>
  <c r="G814" i="14"/>
  <c r="F814" i="14"/>
  <c r="E814" i="14"/>
  <c r="D814" i="14"/>
  <c r="C814" i="14"/>
  <c r="B814" i="14"/>
  <c r="A814" i="14" s="1"/>
  <c r="P813" i="14"/>
  <c r="O813" i="14"/>
  <c r="N813" i="14"/>
  <c r="M813" i="14"/>
  <c r="L813" i="14"/>
  <c r="K813" i="14"/>
  <c r="J813" i="14"/>
  <c r="I813" i="14"/>
  <c r="H813" i="14"/>
  <c r="G813" i="14"/>
  <c r="F813" i="14"/>
  <c r="E813" i="14"/>
  <c r="D813" i="14"/>
  <c r="C813" i="14"/>
  <c r="B813" i="14"/>
  <c r="A813" i="14" s="1"/>
  <c r="P812" i="14"/>
  <c r="O812" i="14"/>
  <c r="N812" i="14"/>
  <c r="M812" i="14"/>
  <c r="L812" i="14"/>
  <c r="K812" i="14"/>
  <c r="J812" i="14"/>
  <c r="I812" i="14"/>
  <c r="H812" i="14"/>
  <c r="G812" i="14"/>
  <c r="F812" i="14"/>
  <c r="E812" i="14"/>
  <c r="D812" i="14"/>
  <c r="C812" i="14"/>
  <c r="B812" i="14"/>
  <c r="A812" i="14" s="1"/>
  <c r="P811" i="14"/>
  <c r="O811" i="14"/>
  <c r="N811" i="14"/>
  <c r="M811" i="14"/>
  <c r="L811" i="14"/>
  <c r="K811" i="14"/>
  <c r="J811" i="14"/>
  <c r="I811" i="14"/>
  <c r="H811" i="14"/>
  <c r="G811" i="14"/>
  <c r="F811" i="14"/>
  <c r="E811" i="14"/>
  <c r="D811" i="14"/>
  <c r="C811" i="14"/>
  <c r="B811" i="14"/>
  <c r="A811" i="14" s="1"/>
  <c r="P810" i="14"/>
  <c r="O810" i="14"/>
  <c r="N810" i="14"/>
  <c r="M810" i="14"/>
  <c r="L810" i="14"/>
  <c r="K810" i="14"/>
  <c r="J810" i="14"/>
  <c r="I810" i="14"/>
  <c r="H810" i="14"/>
  <c r="G810" i="14"/>
  <c r="F810" i="14"/>
  <c r="E810" i="14"/>
  <c r="D810" i="14"/>
  <c r="C810" i="14"/>
  <c r="B810" i="14"/>
  <c r="A810" i="14" s="1"/>
  <c r="P809" i="14"/>
  <c r="O809" i="14"/>
  <c r="N809" i="14"/>
  <c r="M809" i="14"/>
  <c r="L809" i="14"/>
  <c r="K809" i="14"/>
  <c r="J809" i="14"/>
  <c r="I809" i="14"/>
  <c r="H809" i="14"/>
  <c r="G809" i="14"/>
  <c r="F809" i="14"/>
  <c r="E809" i="14"/>
  <c r="D809" i="14"/>
  <c r="C809" i="14"/>
  <c r="B809" i="14"/>
  <c r="A809" i="14" s="1"/>
  <c r="P808" i="14"/>
  <c r="O808" i="14"/>
  <c r="N808" i="14"/>
  <c r="M808" i="14"/>
  <c r="L808" i="14"/>
  <c r="K808" i="14"/>
  <c r="J808" i="14"/>
  <c r="I808" i="14"/>
  <c r="H808" i="14"/>
  <c r="G808" i="14"/>
  <c r="F808" i="14"/>
  <c r="E808" i="14"/>
  <c r="D808" i="14"/>
  <c r="C808" i="14"/>
  <c r="B808" i="14"/>
  <c r="A808" i="14" s="1"/>
  <c r="P807" i="14"/>
  <c r="O807" i="14"/>
  <c r="N807" i="14"/>
  <c r="M807" i="14"/>
  <c r="L807" i="14"/>
  <c r="K807" i="14"/>
  <c r="J807" i="14"/>
  <c r="I807" i="14"/>
  <c r="H807" i="14"/>
  <c r="G807" i="14"/>
  <c r="F807" i="14"/>
  <c r="E807" i="14"/>
  <c r="D807" i="14"/>
  <c r="C807" i="14"/>
  <c r="B807" i="14"/>
  <c r="A807" i="14" s="1"/>
  <c r="P806" i="14"/>
  <c r="O806" i="14"/>
  <c r="N806" i="14"/>
  <c r="M806" i="14"/>
  <c r="L806" i="14"/>
  <c r="K806" i="14"/>
  <c r="J806" i="14"/>
  <c r="I806" i="14"/>
  <c r="H806" i="14"/>
  <c r="G806" i="14"/>
  <c r="F806" i="14"/>
  <c r="E806" i="14"/>
  <c r="D806" i="14"/>
  <c r="C806" i="14"/>
  <c r="B806" i="14"/>
  <c r="A806" i="14" s="1"/>
  <c r="P805" i="14"/>
  <c r="O805" i="14"/>
  <c r="N805" i="14"/>
  <c r="M805" i="14"/>
  <c r="L805" i="14"/>
  <c r="K805" i="14"/>
  <c r="J805" i="14"/>
  <c r="I805" i="14"/>
  <c r="H805" i="14"/>
  <c r="G805" i="14"/>
  <c r="F805" i="14"/>
  <c r="E805" i="14"/>
  <c r="D805" i="14"/>
  <c r="C805" i="14"/>
  <c r="B805" i="14"/>
  <c r="A805" i="14" s="1"/>
  <c r="P804" i="14"/>
  <c r="O804" i="14"/>
  <c r="N804" i="14"/>
  <c r="M804" i="14"/>
  <c r="L804" i="14"/>
  <c r="K804" i="14"/>
  <c r="J804" i="14"/>
  <c r="I804" i="14"/>
  <c r="H804" i="14"/>
  <c r="G804" i="14"/>
  <c r="F804" i="14"/>
  <c r="E804" i="14"/>
  <c r="D804" i="14"/>
  <c r="C804" i="14"/>
  <c r="B804" i="14"/>
  <c r="A804" i="14" s="1"/>
  <c r="P803" i="14"/>
  <c r="O803" i="14"/>
  <c r="N803" i="14"/>
  <c r="M803" i="14"/>
  <c r="L803" i="14"/>
  <c r="K803" i="14"/>
  <c r="J803" i="14"/>
  <c r="I803" i="14"/>
  <c r="H803" i="14"/>
  <c r="G803" i="14"/>
  <c r="F803" i="14"/>
  <c r="E803" i="14"/>
  <c r="D803" i="14"/>
  <c r="C803" i="14"/>
  <c r="B803" i="14"/>
  <c r="A803" i="14" s="1"/>
  <c r="P802" i="14"/>
  <c r="O802" i="14"/>
  <c r="N802" i="14"/>
  <c r="M802" i="14"/>
  <c r="L802" i="14"/>
  <c r="K802" i="14"/>
  <c r="J802" i="14"/>
  <c r="I802" i="14"/>
  <c r="H802" i="14"/>
  <c r="G802" i="14"/>
  <c r="F802" i="14"/>
  <c r="E802" i="14"/>
  <c r="D802" i="14"/>
  <c r="C802" i="14"/>
  <c r="B802" i="14"/>
  <c r="A802" i="14" s="1"/>
  <c r="P801" i="14"/>
  <c r="O801" i="14"/>
  <c r="N801" i="14"/>
  <c r="M801" i="14"/>
  <c r="L801" i="14"/>
  <c r="K801" i="14"/>
  <c r="J801" i="14"/>
  <c r="I801" i="14"/>
  <c r="H801" i="14"/>
  <c r="G801" i="14"/>
  <c r="F801" i="14"/>
  <c r="E801" i="14"/>
  <c r="D801" i="14"/>
  <c r="C801" i="14"/>
  <c r="B801" i="14"/>
  <c r="A801" i="14" s="1"/>
  <c r="P800" i="14"/>
  <c r="O800" i="14"/>
  <c r="N800" i="14"/>
  <c r="M800" i="14"/>
  <c r="L800" i="14"/>
  <c r="K800" i="14"/>
  <c r="J800" i="14"/>
  <c r="I800" i="14"/>
  <c r="H800" i="14"/>
  <c r="G800" i="14"/>
  <c r="F800" i="14"/>
  <c r="E800" i="14"/>
  <c r="D800" i="14"/>
  <c r="C800" i="14"/>
  <c r="B800" i="14"/>
  <c r="A800" i="14" s="1"/>
  <c r="P799" i="14"/>
  <c r="O799" i="14"/>
  <c r="N799" i="14"/>
  <c r="M799" i="14"/>
  <c r="L799" i="14"/>
  <c r="K799" i="14"/>
  <c r="J799" i="14"/>
  <c r="I799" i="14"/>
  <c r="H799" i="14"/>
  <c r="G799" i="14"/>
  <c r="F799" i="14"/>
  <c r="E799" i="14"/>
  <c r="D799" i="14"/>
  <c r="C799" i="14"/>
  <c r="B799" i="14"/>
  <c r="A799" i="14" s="1"/>
  <c r="P798" i="14"/>
  <c r="O798" i="14"/>
  <c r="N798" i="14"/>
  <c r="M798" i="14"/>
  <c r="L798" i="14"/>
  <c r="K798" i="14"/>
  <c r="J798" i="14"/>
  <c r="I798" i="14"/>
  <c r="H798" i="14"/>
  <c r="G798" i="14"/>
  <c r="F798" i="14"/>
  <c r="E798" i="14"/>
  <c r="D798" i="14"/>
  <c r="C798" i="14"/>
  <c r="B798" i="14"/>
  <c r="A798" i="14" s="1"/>
  <c r="P797" i="14"/>
  <c r="O797" i="14"/>
  <c r="N797" i="14"/>
  <c r="M797" i="14"/>
  <c r="L797" i="14"/>
  <c r="K797" i="14"/>
  <c r="J797" i="14"/>
  <c r="I797" i="14"/>
  <c r="H797" i="14"/>
  <c r="G797" i="14"/>
  <c r="F797" i="14"/>
  <c r="E797" i="14"/>
  <c r="D797" i="14"/>
  <c r="C797" i="14"/>
  <c r="B797" i="14"/>
  <c r="A797" i="14" s="1"/>
  <c r="P796" i="14"/>
  <c r="O796" i="14"/>
  <c r="N796" i="14"/>
  <c r="M796" i="14"/>
  <c r="L796" i="14"/>
  <c r="K796" i="14"/>
  <c r="J796" i="14"/>
  <c r="I796" i="14"/>
  <c r="H796" i="14"/>
  <c r="G796" i="14"/>
  <c r="F796" i="14"/>
  <c r="E796" i="14"/>
  <c r="D796" i="14"/>
  <c r="C796" i="14"/>
  <c r="B796" i="14"/>
  <c r="A796" i="14" s="1"/>
  <c r="P795" i="14"/>
  <c r="O795" i="14"/>
  <c r="N795" i="14"/>
  <c r="M795" i="14"/>
  <c r="L795" i="14"/>
  <c r="K795" i="14"/>
  <c r="J795" i="14"/>
  <c r="I795" i="14"/>
  <c r="H795" i="14"/>
  <c r="G795" i="14"/>
  <c r="F795" i="14"/>
  <c r="E795" i="14"/>
  <c r="D795" i="14"/>
  <c r="C795" i="14"/>
  <c r="B795" i="14"/>
  <c r="A795" i="14" s="1"/>
  <c r="P794" i="14"/>
  <c r="O794" i="14"/>
  <c r="N794" i="14"/>
  <c r="M794" i="14"/>
  <c r="L794" i="14"/>
  <c r="K794" i="14"/>
  <c r="J794" i="14"/>
  <c r="I794" i="14"/>
  <c r="H794" i="14"/>
  <c r="G794" i="14"/>
  <c r="F794" i="14"/>
  <c r="E794" i="14"/>
  <c r="D794" i="14"/>
  <c r="C794" i="14"/>
  <c r="B794" i="14"/>
  <c r="A794" i="14" s="1"/>
  <c r="P793" i="14"/>
  <c r="O793" i="14"/>
  <c r="N793" i="14"/>
  <c r="M793" i="14"/>
  <c r="L793" i="14"/>
  <c r="K793" i="14"/>
  <c r="J793" i="14"/>
  <c r="I793" i="14"/>
  <c r="H793" i="14"/>
  <c r="G793" i="14"/>
  <c r="F793" i="14"/>
  <c r="E793" i="14"/>
  <c r="D793" i="14"/>
  <c r="C793" i="14"/>
  <c r="B793" i="14"/>
  <c r="A793" i="14" s="1"/>
  <c r="P792" i="14"/>
  <c r="O792" i="14"/>
  <c r="N792" i="14"/>
  <c r="M792" i="14"/>
  <c r="L792" i="14"/>
  <c r="K792" i="14"/>
  <c r="J792" i="14"/>
  <c r="I792" i="14"/>
  <c r="H792" i="14"/>
  <c r="G792" i="14"/>
  <c r="F792" i="14"/>
  <c r="E792" i="14"/>
  <c r="D792" i="14"/>
  <c r="C792" i="14"/>
  <c r="B792" i="14"/>
  <c r="A792" i="14" s="1"/>
  <c r="P791" i="14"/>
  <c r="O791" i="14"/>
  <c r="N791" i="14"/>
  <c r="M791" i="14"/>
  <c r="L791" i="14"/>
  <c r="K791" i="14"/>
  <c r="J791" i="14"/>
  <c r="I791" i="14"/>
  <c r="H791" i="14"/>
  <c r="G791" i="14"/>
  <c r="F791" i="14"/>
  <c r="E791" i="14"/>
  <c r="D791" i="14"/>
  <c r="C791" i="14"/>
  <c r="B791" i="14"/>
  <c r="A791" i="14" s="1"/>
  <c r="P790" i="14"/>
  <c r="O790" i="14"/>
  <c r="N790" i="14"/>
  <c r="M790" i="14"/>
  <c r="L790" i="14"/>
  <c r="K790" i="14"/>
  <c r="J790" i="14"/>
  <c r="I790" i="14"/>
  <c r="H790" i="14"/>
  <c r="G790" i="14"/>
  <c r="F790" i="14"/>
  <c r="E790" i="14"/>
  <c r="D790" i="14"/>
  <c r="C790" i="14"/>
  <c r="B790" i="14"/>
  <c r="A790" i="14" s="1"/>
  <c r="P789" i="14"/>
  <c r="O789" i="14"/>
  <c r="N789" i="14"/>
  <c r="M789" i="14"/>
  <c r="L789" i="14"/>
  <c r="K789" i="14"/>
  <c r="J789" i="14"/>
  <c r="I789" i="14"/>
  <c r="H789" i="14"/>
  <c r="G789" i="14"/>
  <c r="F789" i="14"/>
  <c r="E789" i="14"/>
  <c r="D789" i="14"/>
  <c r="C789" i="14"/>
  <c r="B789" i="14"/>
  <c r="A789" i="14" s="1"/>
  <c r="P788" i="14"/>
  <c r="O788" i="14"/>
  <c r="N788" i="14"/>
  <c r="M788" i="14"/>
  <c r="L788" i="14"/>
  <c r="K788" i="14"/>
  <c r="J788" i="14"/>
  <c r="I788" i="14"/>
  <c r="H788" i="14"/>
  <c r="G788" i="14"/>
  <c r="F788" i="14"/>
  <c r="E788" i="14"/>
  <c r="D788" i="14"/>
  <c r="C788" i="14"/>
  <c r="B788" i="14"/>
  <c r="A788" i="14" s="1"/>
  <c r="P787" i="14"/>
  <c r="O787" i="14"/>
  <c r="N787" i="14"/>
  <c r="M787" i="14"/>
  <c r="L787" i="14"/>
  <c r="K787" i="14"/>
  <c r="J787" i="14"/>
  <c r="I787" i="14"/>
  <c r="H787" i="14"/>
  <c r="G787" i="14"/>
  <c r="F787" i="14"/>
  <c r="E787" i="14"/>
  <c r="D787" i="14"/>
  <c r="C787" i="14"/>
  <c r="B787" i="14"/>
  <c r="A787" i="14" s="1"/>
  <c r="P786" i="14"/>
  <c r="O786" i="14"/>
  <c r="N786" i="14"/>
  <c r="M786" i="14"/>
  <c r="L786" i="14"/>
  <c r="K786" i="14"/>
  <c r="J786" i="14"/>
  <c r="I786" i="14"/>
  <c r="H786" i="14"/>
  <c r="G786" i="14"/>
  <c r="F786" i="14"/>
  <c r="E786" i="14"/>
  <c r="D786" i="14"/>
  <c r="C786" i="14"/>
  <c r="B786" i="14"/>
  <c r="A786" i="14" s="1"/>
  <c r="P785" i="14"/>
  <c r="O785" i="14"/>
  <c r="N785" i="14"/>
  <c r="M785" i="14"/>
  <c r="L785" i="14"/>
  <c r="K785" i="14"/>
  <c r="J785" i="14"/>
  <c r="I785" i="14"/>
  <c r="H785" i="14"/>
  <c r="G785" i="14"/>
  <c r="F785" i="14"/>
  <c r="E785" i="14"/>
  <c r="D785" i="14"/>
  <c r="C785" i="14"/>
  <c r="B785" i="14"/>
  <c r="A785" i="14" s="1"/>
  <c r="P784" i="14"/>
  <c r="O784" i="14"/>
  <c r="N784" i="14"/>
  <c r="M784" i="14"/>
  <c r="L784" i="14"/>
  <c r="K784" i="14"/>
  <c r="J784" i="14"/>
  <c r="I784" i="14"/>
  <c r="H784" i="14"/>
  <c r="G784" i="14"/>
  <c r="F784" i="14"/>
  <c r="E784" i="14"/>
  <c r="D784" i="14"/>
  <c r="C784" i="14"/>
  <c r="B784" i="14"/>
  <c r="A784" i="14" s="1"/>
  <c r="P783" i="14"/>
  <c r="O783" i="14"/>
  <c r="N783" i="14"/>
  <c r="M783" i="14"/>
  <c r="L783" i="14"/>
  <c r="K783" i="14"/>
  <c r="J783" i="14"/>
  <c r="I783" i="14"/>
  <c r="H783" i="14"/>
  <c r="G783" i="14"/>
  <c r="F783" i="14"/>
  <c r="E783" i="14"/>
  <c r="D783" i="14"/>
  <c r="C783" i="14"/>
  <c r="B783" i="14"/>
  <c r="A783" i="14" s="1"/>
  <c r="P782" i="14"/>
  <c r="O782" i="14"/>
  <c r="N782" i="14"/>
  <c r="M782" i="14"/>
  <c r="L782" i="14"/>
  <c r="K782" i="14"/>
  <c r="J782" i="14"/>
  <c r="I782" i="14"/>
  <c r="H782" i="14"/>
  <c r="G782" i="14"/>
  <c r="F782" i="14"/>
  <c r="E782" i="14"/>
  <c r="D782" i="14"/>
  <c r="C782" i="14"/>
  <c r="B782" i="14"/>
  <c r="A782" i="14" s="1"/>
  <c r="P781" i="14"/>
  <c r="O781" i="14"/>
  <c r="N781" i="14"/>
  <c r="M781" i="14"/>
  <c r="L781" i="14"/>
  <c r="K781" i="14"/>
  <c r="J781" i="14"/>
  <c r="I781" i="14"/>
  <c r="H781" i="14"/>
  <c r="G781" i="14"/>
  <c r="F781" i="14"/>
  <c r="E781" i="14"/>
  <c r="D781" i="14"/>
  <c r="C781" i="14"/>
  <c r="B781" i="14"/>
  <c r="A781" i="14" s="1"/>
  <c r="P780" i="14"/>
  <c r="O780" i="14"/>
  <c r="N780" i="14"/>
  <c r="M780" i="14"/>
  <c r="L780" i="14"/>
  <c r="K780" i="14"/>
  <c r="J780" i="14"/>
  <c r="I780" i="14"/>
  <c r="H780" i="14"/>
  <c r="G780" i="14"/>
  <c r="F780" i="14"/>
  <c r="E780" i="14"/>
  <c r="D780" i="14"/>
  <c r="C780" i="14"/>
  <c r="B780" i="14"/>
  <c r="A780" i="14" s="1"/>
  <c r="P779" i="14"/>
  <c r="O779" i="14"/>
  <c r="N779" i="14"/>
  <c r="M779" i="14"/>
  <c r="L779" i="14"/>
  <c r="K779" i="14"/>
  <c r="J779" i="14"/>
  <c r="I779" i="14"/>
  <c r="H779" i="14"/>
  <c r="G779" i="14"/>
  <c r="F779" i="14"/>
  <c r="E779" i="14"/>
  <c r="D779" i="14"/>
  <c r="C779" i="14"/>
  <c r="B779" i="14"/>
  <c r="A779" i="14" s="1"/>
  <c r="P778" i="14"/>
  <c r="O778" i="14"/>
  <c r="N778" i="14"/>
  <c r="M778" i="14"/>
  <c r="L778" i="14"/>
  <c r="K778" i="14"/>
  <c r="J778" i="14"/>
  <c r="I778" i="14"/>
  <c r="H778" i="14"/>
  <c r="G778" i="14"/>
  <c r="F778" i="14"/>
  <c r="E778" i="14"/>
  <c r="D778" i="14"/>
  <c r="C778" i="14"/>
  <c r="B778" i="14"/>
  <c r="A778" i="14" s="1"/>
  <c r="P777" i="14"/>
  <c r="O777" i="14"/>
  <c r="N777" i="14"/>
  <c r="M777" i="14"/>
  <c r="L777" i="14"/>
  <c r="K777" i="14"/>
  <c r="J777" i="14"/>
  <c r="I777" i="14"/>
  <c r="H777" i="14"/>
  <c r="G777" i="14"/>
  <c r="F777" i="14"/>
  <c r="E777" i="14"/>
  <c r="D777" i="14"/>
  <c r="C777" i="14"/>
  <c r="B777" i="14"/>
  <c r="A777" i="14" s="1"/>
  <c r="P776" i="14"/>
  <c r="O776" i="14"/>
  <c r="N776" i="14"/>
  <c r="M776" i="14"/>
  <c r="L776" i="14"/>
  <c r="K776" i="14"/>
  <c r="J776" i="14"/>
  <c r="I776" i="14"/>
  <c r="H776" i="14"/>
  <c r="G776" i="14"/>
  <c r="F776" i="14"/>
  <c r="E776" i="14"/>
  <c r="D776" i="14"/>
  <c r="C776" i="14"/>
  <c r="B776" i="14"/>
  <c r="A776" i="14" s="1"/>
  <c r="P775" i="14"/>
  <c r="O775" i="14"/>
  <c r="N775" i="14"/>
  <c r="M775" i="14"/>
  <c r="L775" i="14"/>
  <c r="K775" i="14"/>
  <c r="J775" i="14"/>
  <c r="I775" i="14"/>
  <c r="H775" i="14"/>
  <c r="G775" i="14"/>
  <c r="F775" i="14"/>
  <c r="E775" i="14"/>
  <c r="D775" i="14"/>
  <c r="C775" i="14"/>
  <c r="B775" i="14"/>
  <c r="A775" i="14" s="1"/>
  <c r="P774" i="14"/>
  <c r="O774" i="14"/>
  <c r="N774" i="14"/>
  <c r="M774" i="14"/>
  <c r="L774" i="14"/>
  <c r="K774" i="14"/>
  <c r="J774" i="14"/>
  <c r="I774" i="14"/>
  <c r="H774" i="14"/>
  <c r="G774" i="14"/>
  <c r="F774" i="14"/>
  <c r="E774" i="14"/>
  <c r="D774" i="14"/>
  <c r="C774" i="14"/>
  <c r="B774" i="14"/>
  <c r="A774" i="14" s="1"/>
  <c r="P773" i="14"/>
  <c r="O773" i="14"/>
  <c r="N773" i="14"/>
  <c r="M773" i="14"/>
  <c r="L773" i="14"/>
  <c r="K773" i="14"/>
  <c r="J773" i="14"/>
  <c r="I773" i="14"/>
  <c r="H773" i="14"/>
  <c r="G773" i="14"/>
  <c r="F773" i="14"/>
  <c r="E773" i="14"/>
  <c r="D773" i="14"/>
  <c r="C773" i="14"/>
  <c r="B773" i="14"/>
  <c r="A773" i="14" s="1"/>
  <c r="P772" i="14"/>
  <c r="O772" i="14"/>
  <c r="N772" i="14"/>
  <c r="M772" i="14"/>
  <c r="L772" i="14"/>
  <c r="K772" i="14"/>
  <c r="J772" i="14"/>
  <c r="I772" i="14"/>
  <c r="H772" i="14"/>
  <c r="G772" i="14"/>
  <c r="F772" i="14"/>
  <c r="E772" i="14"/>
  <c r="D772" i="14"/>
  <c r="C772" i="14"/>
  <c r="B772" i="14"/>
  <c r="A772" i="14" s="1"/>
  <c r="P771" i="14"/>
  <c r="O771" i="14"/>
  <c r="N771" i="14"/>
  <c r="M771" i="14"/>
  <c r="L771" i="14"/>
  <c r="K771" i="14"/>
  <c r="J771" i="14"/>
  <c r="I771" i="14"/>
  <c r="H771" i="14"/>
  <c r="G771" i="14"/>
  <c r="F771" i="14"/>
  <c r="E771" i="14"/>
  <c r="D771" i="14"/>
  <c r="C771" i="14"/>
  <c r="B771" i="14"/>
  <c r="A771" i="14" s="1"/>
  <c r="P770" i="14"/>
  <c r="O770" i="14"/>
  <c r="N770" i="14"/>
  <c r="M770" i="14"/>
  <c r="L770" i="14"/>
  <c r="K770" i="14"/>
  <c r="J770" i="14"/>
  <c r="I770" i="14"/>
  <c r="H770" i="14"/>
  <c r="G770" i="14"/>
  <c r="F770" i="14"/>
  <c r="E770" i="14"/>
  <c r="D770" i="14"/>
  <c r="C770" i="14"/>
  <c r="B770" i="14"/>
  <c r="A770" i="14" s="1"/>
  <c r="P769" i="14"/>
  <c r="O769" i="14"/>
  <c r="N769" i="14"/>
  <c r="M769" i="14"/>
  <c r="L769" i="14"/>
  <c r="K769" i="14"/>
  <c r="J769" i="14"/>
  <c r="I769" i="14"/>
  <c r="H769" i="14"/>
  <c r="G769" i="14"/>
  <c r="F769" i="14"/>
  <c r="E769" i="14"/>
  <c r="D769" i="14"/>
  <c r="C769" i="14"/>
  <c r="B769" i="14"/>
  <c r="A769" i="14" s="1"/>
  <c r="P768" i="14"/>
  <c r="O768" i="14"/>
  <c r="N768" i="14"/>
  <c r="M768" i="14"/>
  <c r="L768" i="14"/>
  <c r="K768" i="14"/>
  <c r="J768" i="14"/>
  <c r="I768" i="14"/>
  <c r="H768" i="14"/>
  <c r="G768" i="14"/>
  <c r="F768" i="14"/>
  <c r="E768" i="14"/>
  <c r="D768" i="14"/>
  <c r="C768" i="14"/>
  <c r="B768" i="14"/>
  <c r="A768" i="14" s="1"/>
  <c r="P767" i="14"/>
  <c r="O767" i="14"/>
  <c r="N767" i="14"/>
  <c r="M767" i="14"/>
  <c r="L767" i="14"/>
  <c r="K767" i="14"/>
  <c r="J767" i="14"/>
  <c r="I767" i="14"/>
  <c r="H767" i="14"/>
  <c r="G767" i="14"/>
  <c r="F767" i="14"/>
  <c r="E767" i="14"/>
  <c r="D767" i="14"/>
  <c r="C767" i="14"/>
  <c r="B767" i="14"/>
  <c r="A767" i="14" s="1"/>
  <c r="P766" i="14"/>
  <c r="O766" i="14"/>
  <c r="N766" i="14"/>
  <c r="M766" i="14"/>
  <c r="L766" i="14"/>
  <c r="K766" i="14"/>
  <c r="J766" i="14"/>
  <c r="I766" i="14"/>
  <c r="H766" i="14"/>
  <c r="G766" i="14"/>
  <c r="F766" i="14"/>
  <c r="E766" i="14"/>
  <c r="D766" i="14"/>
  <c r="C766" i="14"/>
  <c r="B766" i="14"/>
  <c r="A766" i="14" s="1"/>
  <c r="P765" i="14"/>
  <c r="O765" i="14"/>
  <c r="N765" i="14"/>
  <c r="M765" i="14"/>
  <c r="L765" i="14"/>
  <c r="K765" i="14"/>
  <c r="J765" i="14"/>
  <c r="I765" i="14"/>
  <c r="H765" i="14"/>
  <c r="G765" i="14"/>
  <c r="F765" i="14"/>
  <c r="E765" i="14"/>
  <c r="D765" i="14"/>
  <c r="C765" i="14"/>
  <c r="B765" i="14"/>
  <c r="A765" i="14" s="1"/>
  <c r="P764" i="14"/>
  <c r="O764" i="14"/>
  <c r="N764" i="14"/>
  <c r="M764" i="14"/>
  <c r="L764" i="14"/>
  <c r="K764" i="14"/>
  <c r="J764" i="14"/>
  <c r="I764" i="14"/>
  <c r="H764" i="14"/>
  <c r="G764" i="14"/>
  <c r="F764" i="14"/>
  <c r="E764" i="14"/>
  <c r="D764" i="14"/>
  <c r="C764" i="14"/>
  <c r="B764" i="14"/>
  <c r="A764" i="14" s="1"/>
  <c r="P763" i="14"/>
  <c r="O763" i="14"/>
  <c r="N763" i="14"/>
  <c r="M763" i="14"/>
  <c r="L763" i="14"/>
  <c r="K763" i="14"/>
  <c r="J763" i="14"/>
  <c r="I763" i="14"/>
  <c r="H763" i="14"/>
  <c r="G763" i="14"/>
  <c r="F763" i="14"/>
  <c r="E763" i="14"/>
  <c r="D763" i="14"/>
  <c r="C763" i="14"/>
  <c r="B763" i="14"/>
  <c r="A763" i="14" s="1"/>
  <c r="P762" i="14"/>
  <c r="O762" i="14"/>
  <c r="N762" i="14"/>
  <c r="M762" i="14"/>
  <c r="L762" i="14"/>
  <c r="K762" i="14"/>
  <c r="J762" i="14"/>
  <c r="I762" i="14"/>
  <c r="H762" i="14"/>
  <c r="G762" i="14"/>
  <c r="F762" i="14"/>
  <c r="E762" i="14"/>
  <c r="D762" i="14"/>
  <c r="C762" i="14"/>
  <c r="B762" i="14"/>
  <c r="A762" i="14" s="1"/>
  <c r="P761" i="14"/>
  <c r="O761" i="14"/>
  <c r="N761" i="14"/>
  <c r="M761" i="14"/>
  <c r="L761" i="14"/>
  <c r="K761" i="14"/>
  <c r="J761" i="14"/>
  <c r="I761" i="14"/>
  <c r="H761" i="14"/>
  <c r="G761" i="14"/>
  <c r="F761" i="14"/>
  <c r="E761" i="14"/>
  <c r="D761" i="14"/>
  <c r="C761" i="14"/>
  <c r="B761" i="14"/>
  <c r="A761" i="14" s="1"/>
  <c r="P760" i="14"/>
  <c r="O760" i="14"/>
  <c r="N760" i="14"/>
  <c r="M760" i="14"/>
  <c r="L760" i="14"/>
  <c r="K760" i="14"/>
  <c r="J760" i="14"/>
  <c r="I760" i="14"/>
  <c r="H760" i="14"/>
  <c r="G760" i="14"/>
  <c r="F760" i="14"/>
  <c r="E760" i="14"/>
  <c r="D760" i="14"/>
  <c r="C760" i="14"/>
  <c r="B760" i="14"/>
  <c r="A760" i="14" s="1"/>
  <c r="P759" i="14"/>
  <c r="O759" i="14"/>
  <c r="N759" i="14"/>
  <c r="M759" i="14"/>
  <c r="L759" i="14"/>
  <c r="K759" i="14"/>
  <c r="J759" i="14"/>
  <c r="I759" i="14"/>
  <c r="H759" i="14"/>
  <c r="G759" i="14"/>
  <c r="F759" i="14"/>
  <c r="E759" i="14"/>
  <c r="D759" i="14"/>
  <c r="C759" i="14"/>
  <c r="B759" i="14"/>
  <c r="A759" i="14" s="1"/>
  <c r="P758" i="14"/>
  <c r="O758" i="14"/>
  <c r="N758" i="14"/>
  <c r="M758" i="14"/>
  <c r="L758" i="14"/>
  <c r="K758" i="14"/>
  <c r="J758" i="14"/>
  <c r="I758" i="14"/>
  <c r="H758" i="14"/>
  <c r="G758" i="14"/>
  <c r="F758" i="14"/>
  <c r="E758" i="14"/>
  <c r="D758" i="14"/>
  <c r="C758" i="14"/>
  <c r="B758" i="14"/>
  <c r="A758" i="14" s="1"/>
  <c r="P757" i="14"/>
  <c r="O757" i="14"/>
  <c r="N757" i="14"/>
  <c r="M757" i="14"/>
  <c r="L757" i="14"/>
  <c r="K757" i="14"/>
  <c r="J757" i="14"/>
  <c r="I757" i="14"/>
  <c r="H757" i="14"/>
  <c r="G757" i="14"/>
  <c r="F757" i="14"/>
  <c r="E757" i="14"/>
  <c r="D757" i="14"/>
  <c r="C757" i="14"/>
  <c r="B757" i="14"/>
  <c r="A757" i="14" s="1"/>
  <c r="P756" i="14"/>
  <c r="O756" i="14"/>
  <c r="N756" i="14"/>
  <c r="M756" i="14"/>
  <c r="L756" i="14"/>
  <c r="K756" i="14"/>
  <c r="J756" i="14"/>
  <c r="I756" i="14"/>
  <c r="H756" i="14"/>
  <c r="G756" i="14"/>
  <c r="F756" i="14"/>
  <c r="E756" i="14"/>
  <c r="D756" i="14"/>
  <c r="C756" i="14"/>
  <c r="B756" i="14"/>
  <c r="A756" i="14" s="1"/>
  <c r="P755" i="14"/>
  <c r="O755" i="14"/>
  <c r="N755" i="14"/>
  <c r="M755" i="14"/>
  <c r="L755" i="14"/>
  <c r="K755" i="14"/>
  <c r="J755" i="14"/>
  <c r="I755" i="14"/>
  <c r="H755" i="14"/>
  <c r="G755" i="14"/>
  <c r="F755" i="14"/>
  <c r="E755" i="14"/>
  <c r="D755" i="14"/>
  <c r="C755" i="14"/>
  <c r="B755" i="14"/>
  <c r="A755" i="14" s="1"/>
  <c r="P754" i="14"/>
  <c r="O754" i="14"/>
  <c r="N754" i="14"/>
  <c r="M754" i="14"/>
  <c r="L754" i="14"/>
  <c r="K754" i="14"/>
  <c r="J754" i="14"/>
  <c r="I754" i="14"/>
  <c r="H754" i="14"/>
  <c r="G754" i="14"/>
  <c r="F754" i="14"/>
  <c r="E754" i="14"/>
  <c r="D754" i="14"/>
  <c r="C754" i="14"/>
  <c r="B754" i="14"/>
  <c r="A754" i="14" s="1"/>
  <c r="P753" i="14"/>
  <c r="O753" i="14"/>
  <c r="N753" i="14"/>
  <c r="M753" i="14"/>
  <c r="L753" i="14"/>
  <c r="K753" i="14"/>
  <c r="J753" i="14"/>
  <c r="I753" i="14"/>
  <c r="H753" i="14"/>
  <c r="G753" i="14"/>
  <c r="F753" i="14"/>
  <c r="E753" i="14"/>
  <c r="D753" i="14"/>
  <c r="C753" i="14"/>
  <c r="B753" i="14"/>
  <c r="A753" i="14" s="1"/>
  <c r="P752" i="14"/>
  <c r="O752" i="14"/>
  <c r="N752" i="14"/>
  <c r="M752" i="14"/>
  <c r="L752" i="14"/>
  <c r="K752" i="14"/>
  <c r="J752" i="14"/>
  <c r="I752" i="14"/>
  <c r="H752" i="14"/>
  <c r="G752" i="14"/>
  <c r="F752" i="14"/>
  <c r="E752" i="14"/>
  <c r="D752" i="14"/>
  <c r="C752" i="14"/>
  <c r="B752" i="14"/>
  <c r="A752" i="14" s="1"/>
  <c r="P751" i="14"/>
  <c r="O751" i="14"/>
  <c r="N751" i="14"/>
  <c r="M751" i="14"/>
  <c r="L751" i="14"/>
  <c r="K751" i="14"/>
  <c r="J751" i="14"/>
  <c r="I751" i="14"/>
  <c r="H751" i="14"/>
  <c r="G751" i="14"/>
  <c r="F751" i="14"/>
  <c r="E751" i="14"/>
  <c r="D751" i="14"/>
  <c r="C751" i="14"/>
  <c r="B751" i="14"/>
  <c r="A751" i="14" s="1"/>
  <c r="P750" i="14"/>
  <c r="O750" i="14"/>
  <c r="N750" i="14"/>
  <c r="M750" i="14"/>
  <c r="L750" i="14"/>
  <c r="K750" i="14"/>
  <c r="J750" i="14"/>
  <c r="I750" i="14"/>
  <c r="H750" i="14"/>
  <c r="G750" i="14"/>
  <c r="F750" i="14"/>
  <c r="E750" i="14"/>
  <c r="D750" i="14"/>
  <c r="C750" i="14"/>
  <c r="B750" i="14"/>
  <c r="A750" i="14" s="1"/>
  <c r="P749" i="14"/>
  <c r="O749" i="14"/>
  <c r="N749" i="14"/>
  <c r="M749" i="14"/>
  <c r="L749" i="14"/>
  <c r="K749" i="14"/>
  <c r="J749" i="14"/>
  <c r="I749" i="14"/>
  <c r="H749" i="14"/>
  <c r="G749" i="14"/>
  <c r="F749" i="14"/>
  <c r="E749" i="14"/>
  <c r="D749" i="14"/>
  <c r="C749" i="14"/>
  <c r="B749" i="14"/>
  <c r="A749" i="14" s="1"/>
  <c r="P748" i="14"/>
  <c r="O748" i="14"/>
  <c r="N748" i="14"/>
  <c r="M748" i="14"/>
  <c r="L748" i="14"/>
  <c r="K748" i="14"/>
  <c r="J748" i="14"/>
  <c r="I748" i="14"/>
  <c r="H748" i="14"/>
  <c r="G748" i="14"/>
  <c r="F748" i="14"/>
  <c r="E748" i="14"/>
  <c r="D748" i="14"/>
  <c r="C748" i="14"/>
  <c r="B748" i="14"/>
  <c r="A748" i="14" s="1"/>
  <c r="P747" i="14"/>
  <c r="O747" i="14"/>
  <c r="N747" i="14"/>
  <c r="M747" i="14"/>
  <c r="L747" i="14"/>
  <c r="K747" i="14"/>
  <c r="J747" i="14"/>
  <c r="I747" i="14"/>
  <c r="H747" i="14"/>
  <c r="G747" i="14"/>
  <c r="F747" i="14"/>
  <c r="E747" i="14"/>
  <c r="D747" i="14"/>
  <c r="C747" i="14"/>
  <c r="B747" i="14"/>
  <c r="A747" i="14" s="1"/>
  <c r="P746" i="14"/>
  <c r="O746" i="14"/>
  <c r="N746" i="14"/>
  <c r="M746" i="14"/>
  <c r="L746" i="14"/>
  <c r="K746" i="14"/>
  <c r="J746" i="14"/>
  <c r="I746" i="14"/>
  <c r="H746" i="14"/>
  <c r="G746" i="14"/>
  <c r="F746" i="14"/>
  <c r="E746" i="14"/>
  <c r="D746" i="14"/>
  <c r="C746" i="14"/>
  <c r="B746" i="14"/>
  <c r="A746" i="14" s="1"/>
  <c r="P745" i="14"/>
  <c r="O745" i="14"/>
  <c r="N745" i="14"/>
  <c r="M745" i="14"/>
  <c r="L745" i="14"/>
  <c r="K745" i="14"/>
  <c r="J745" i="14"/>
  <c r="I745" i="14"/>
  <c r="H745" i="14"/>
  <c r="G745" i="14"/>
  <c r="F745" i="14"/>
  <c r="E745" i="14"/>
  <c r="D745" i="14"/>
  <c r="C745" i="14"/>
  <c r="B745" i="14"/>
  <c r="A745" i="14" s="1"/>
  <c r="P744" i="14"/>
  <c r="O744" i="14"/>
  <c r="N744" i="14"/>
  <c r="M744" i="14"/>
  <c r="L744" i="14"/>
  <c r="K744" i="14"/>
  <c r="J744" i="14"/>
  <c r="I744" i="14"/>
  <c r="H744" i="14"/>
  <c r="G744" i="14"/>
  <c r="F744" i="14"/>
  <c r="E744" i="14"/>
  <c r="D744" i="14"/>
  <c r="C744" i="14"/>
  <c r="B744" i="14"/>
  <c r="A744" i="14" s="1"/>
  <c r="P743" i="14"/>
  <c r="O743" i="14"/>
  <c r="N743" i="14"/>
  <c r="M743" i="14"/>
  <c r="L743" i="14"/>
  <c r="K743" i="14"/>
  <c r="J743" i="14"/>
  <c r="I743" i="14"/>
  <c r="H743" i="14"/>
  <c r="G743" i="14"/>
  <c r="F743" i="14"/>
  <c r="E743" i="14"/>
  <c r="D743" i="14"/>
  <c r="C743" i="14"/>
  <c r="B743" i="14"/>
  <c r="A743" i="14" s="1"/>
  <c r="P742" i="14"/>
  <c r="O742" i="14"/>
  <c r="N742" i="14"/>
  <c r="M742" i="14"/>
  <c r="L742" i="14"/>
  <c r="K742" i="14"/>
  <c r="J742" i="14"/>
  <c r="I742" i="14"/>
  <c r="H742" i="14"/>
  <c r="G742" i="14"/>
  <c r="F742" i="14"/>
  <c r="E742" i="14"/>
  <c r="D742" i="14"/>
  <c r="C742" i="14"/>
  <c r="B742" i="14"/>
  <c r="A742" i="14" s="1"/>
  <c r="P741" i="14"/>
  <c r="O741" i="14"/>
  <c r="N741" i="14"/>
  <c r="M741" i="14"/>
  <c r="L741" i="14"/>
  <c r="K741" i="14"/>
  <c r="J741" i="14"/>
  <c r="I741" i="14"/>
  <c r="H741" i="14"/>
  <c r="G741" i="14"/>
  <c r="F741" i="14"/>
  <c r="E741" i="14"/>
  <c r="D741" i="14"/>
  <c r="C741" i="14"/>
  <c r="B741" i="14"/>
  <c r="A741" i="14" s="1"/>
  <c r="P740" i="14"/>
  <c r="O740" i="14"/>
  <c r="N740" i="14"/>
  <c r="M740" i="14"/>
  <c r="L740" i="14"/>
  <c r="K740" i="14"/>
  <c r="J740" i="14"/>
  <c r="I740" i="14"/>
  <c r="H740" i="14"/>
  <c r="G740" i="14"/>
  <c r="F740" i="14"/>
  <c r="E740" i="14"/>
  <c r="D740" i="14"/>
  <c r="C740" i="14"/>
  <c r="B740" i="14"/>
  <c r="A740" i="14" s="1"/>
  <c r="P739" i="14"/>
  <c r="O739" i="14"/>
  <c r="N739" i="14"/>
  <c r="M739" i="14"/>
  <c r="L739" i="14"/>
  <c r="K739" i="14"/>
  <c r="J739" i="14"/>
  <c r="I739" i="14"/>
  <c r="H739" i="14"/>
  <c r="G739" i="14"/>
  <c r="F739" i="14"/>
  <c r="E739" i="14"/>
  <c r="D739" i="14"/>
  <c r="C739" i="14"/>
  <c r="B739" i="14"/>
  <c r="A739" i="14" s="1"/>
  <c r="P738" i="14"/>
  <c r="O738" i="14"/>
  <c r="N738" i="14"/>
  <c r="M738" i="14"/>
  <c r="L738" i="14"/>
  <c r="K738" i="14"/>
  <c r="J738" i="14"/>
  <c r="I738" i="14"/>
  <c r="H738" i="14"/>
  <c r="G738" i="14"/>
  <c r="F738" i="14"/>
  <c r="E738" i="14"/>
  <c r="D738" i="14"/>
  <c r="C738" i="14"/>
  <c r="B738" i="14"/>
  <c r="A738" i="14" s="1"/>
  <c r="P737" i="14"/>
  <c r="O737" i="14"/>
  <c r="N737" i="14"/>
  <c r="M737" i="14"/>
  <c r="L737" i="14"/>
  <c r="K737" i="14"/>
  <c r="J737" i="14"/>
  <c r="I737" i="14"/>
  <c r="H737" i="14"/>
  <c r="G737" i="14"/>
  <c r="F737" i="14"/>
  <c r="E737" i="14"/>
  <c r="D737" i="14"/>
  <c r="C737" i="14"/>
  <c r="B737" i="14"/>
  <c r="A737" i="14" s="1"/>
  <c r="P736" i="14"/>
  <c r="O736" i="14"/>
  <c r="N736" i="14"/>
  <c r="M736" i="14"/>
  <c r="L736" i="14"/>
  <c r="K736" i="14"/>
  <c r="J736" i="14"/>
  <c r="I736" i="14"/>
  <c r="H736" i="14"/>
  <c r="G736" i="14"/>
  <c r="F736" i="14"/>
  <c r="E736" i="14"/>
  <c r="D736" i="14"/>
  <c r="C736" i="14"/>
  <c r="B736" i="14"/>
  <c r="A736" i="14" s="1"/>
  <c r="P735" i="14"/>
  <c r="O735" i="14"/>
  <c r="N735" i="14"/>
  <c r="M735" i="14"/>
  <c r="L735" i="14"/>
  <c r="K735" i="14"/>
  <c r="J735" i="14"/>
  <c r="I735" i="14"/>
  <c r="H735" i="14"/>
  <c r="G735" i="14"/>
  <c r="F735" i="14"/>
  <c r="E735" i="14"/>
  <c r="D735" i="14"/>
  <c r="C735" i="14"/>
  <c r="B735" i="14"/>
  <c r="A735" i="14" s="1"/>
  <c r="P734" i="14"/>
  <c r="O734" i="14"/>
  <c r="N734" i="14"/>
  <c r="M734" i="14"/>
  <c r="L734" i="14"/>
  <c r="K734" i="14"/>
  <c r="J734" i="14"/>
  <c r="I734" i="14"/>
  <c r="H734" i="14"/>
  <c r="G734" i="14"/>
  <c r="F734" i="14"/>
  <c r="E734" i="14"/>
  <c r="D734" i="14"/>
  <c r="C734" i="14"/>
  <c r="B734" i="14"/>
  <c r="A734" i="14" s="1"/>
  <c r="P733" i="14"/>
  <c r="O733" i="14"/>
  <c r="N733" i="14"/>
  <c r="M733" i="14"/>
  <c r="L733" i="14"/>
  <c r="K733" i="14"/>
  <c r="J733" i="14"/>
  <c r="I733" i="14"/>
  <c r="H733" i="14"/>
  <c r="G733" i="14"/>
  <c r="F733" i="14"/>
  <c r="E733" i="14"/>
  <c r="D733" i="14"/>
  <c r="C733" i="14"/>
  <c r="B733" i="14"/>
  <c r="A733" i="14" s="1"/>
  <c r="P732" i="14"/>
  <c r="O732" i="14"/>
  <c r="N732" i="14"/>
  <c r="M732" i="14"/>
  <c r="L732" i="14"/>
  <c r="K732" i="14"/>
  <c r="J732" i="14"/>
  <c r="I732" i="14"/>
  <c r="H732" i="14"/>
  <c r="G732" i="14"/>
  <c r="F732" i="14"/>
  <c r="E732" i="14"/>
  <c r="D732" i="14"/>
  <c r="C732" i="14"/>
  <c r="B732" i="14"/>
  <c r="A732" i="14" s="1"/>
  <c r="P731" i="14"/>
  <c r="O731" i="14"/>
  <c r="N731" i="14"/>
  <c r="M731" i="14"/>
  <c r="L731" i="14"/>
  <c r="K731" i="14"/>
  <c r="J731" i="14"/>
  <c r="I731" i="14"/>
  <c r="H731" i="14"/>
  <c r="G731" i="14"/>
  <c r="F731" i="14"/>
  <c r="E731" i="14"/>
  <c r="D731" i="14"/>
  <c r="C731" i="14"/>
  <c r="B731" i="14"/>
  <c r="A731" i="14" s="1"/>
  <c r="P730" i="14"/>
  <c r="O730" i="14"/>
  <c r="N730" i="14"/>
  <c r="M730" i="14"/>
  <c r="L730" i="14"/>
  <c r="K730" i="14"/>
  <c r="J730" i="14"/>
  <c r="I730" i="14"/>
  <c r="H730" i="14"/>
  <c r="G730" i="14"/>
  <c r="F730" i="14"/>
  <c r="E730" i="14"/>
  <c r="D730" i="14"/>
  <c r="C730" i="14"/>
  <c r="B730" i="14"/>
  <c r="A730" i="14" s="1"/>
  <c r="P729" i="14"/>
  <c r="O729" i="14"/>
  <c r="N729" i="14"/>
  <c r="M729" i="14"/>
  <c r="L729" i="14"/>
  <c r="K729" i="14"/>
  <c r="J729" i="14"/>
  <c r="I729" i="14"/>
  <c r="H729" i="14"/>
  <c r="G729" i="14"/>
  <c r="F729" i="14"/>
  <c r="E729" i="14"/>
  <c r="D729" i="14"/>
  <c r="C729" i="14"/>
  <c r="B729" i="14"/>
  <c r="A729" i="14" s="1"/>
  <c r="P728" i="14"/>
  <c r="O728" i="14"/>
  <c r="N728" i="14"/>
  <c r="M728" i="14"/>
  <c r="L728" i="14"/>
  <c r="K728" i="14"/>
  <c r="J728" i="14"/>
  <c r="I728" i="14"/>
  <c r="H728" i="14"/>
  <c r="G728" i="14"/>
  <c r="F728" i="14"/>
  <c r="E728" i="14"/>
  <c r="D728" i="14"/>
  <c r="C728" i="14"/>
  <c r="B728" i="14"/>
  <c r="A728" i="14" s="1"/>
  <c r="P727" i="14"/>
  <c r="O727" i="14"/>
  <c r="N727" i="14"/>
  <c r="M727" i="14"/>
  <c r="L727" i="14"/>
  <c r="K727" i="14"/>
  <c r="J727" i="14"/>
  <c r="I727" i="14"/>
  <c r="H727" i="14"/>
  <c r="G727" i="14"/>
  <c r="F727" i="14"/>
  <c r="E727" i="14"/>
  <c r="D727" i="14"/>
  <c r="C727" i="14"/>
  <c r="B727" i="14"/>
  <c r="A727" i="14" s="1"/>
  <c r="P726" i="14"/>
  <c r="O726" i="14"/>
  <c r="N726" i="14"/>
  <c r="M726" i="14"/>
  <c r="L726" i="14"/>
  <c r="K726" i="14"/>
  <c r="J726" i="14"/>
  <c r="I726" i="14"/>
  <c r="H726" i="14"/>
  <c r="G726" i="14"/>
  <c r="F726" i="14"/>
  <c r="E726" i="14"/>
  <c r="D726" i="14"/>
  <c r="C726" i="14"/>
  <c r="B726" i="14"/>
  <c r="A726" i="14" s="1"/>
  <c r="P725" i="14"/>
  <c r="O725" i="14"/>
  <c r="N725" i="14"/>
  <c r="M725" i="14"/>
  <c r="L725" i="14"/>
  <c r="K725" i="14"/>
  <c r="J725" i="14"/>
  <c r="I725" i="14"/>
  <c r="H725" i="14"/>
  <c r="G725" i="14"/>
  <c r="F725" i="14"/>
  <c r="E725" i="14"/>
  <c r="D725" i="14"/>
  <c r="C725" i="14"/>
  <c r="B725" i="14"/>
  <c r="A725" i="14" s="1"/>
  <c r="P724" i="14"/>
  <c r="O724" i="14"/>
  <c r="N724" i="14"/>
  <c r="M724" i="14"/>
  <c r="L724" i="14"/>
  <c r="K724" i="14"/>
  <c r="J724" i="14"/>
  <c r="I724" i="14"/>
  <c r="H724" i="14"/>
  <c r="G724" i="14"/>
  <c r="F724" i="14"/>
  <c r="E724" i="14"/>
  <c r="D724" i="14"/>
  <c r="C724" i="14"/>
  <c r="B724" i="14"/>
  <c r="A724" i="14" s="1"/>
  <c r="P723" i="14"/>
  <c r="O723" i="14"/>
  <c r="N723" i="14"/>
  <c r="M723" i="14"/>
  <c r="L723" i="14"/>
  <c r="K723" i="14"/>
  <c r="J723" i="14"/>
  <c r="I723" i="14"/>
  <c r="H723" i="14"/>
  <c r="G723" i="14"/>
  <c r="F723" i="14"/>
  <c r="E723" i="14"/>
  <c r="D723" i="14"/>
  <c r="C723" i="14"/>
  <c r="B723" i="14"/>
  <c r="A723" i="14" s="1"/>
  <c r="P722" i="14"/>
  <c r="O722" i="14"/>
  <c r="N722" i="14"/>
  <c r="M722" i="14"/>
  <c r="L722" i="14"/>
  <c r="K722" i="14"/>
  <c r="J722" i="14"/>
  <c r="I722" i="14"/>
  <c r="H722" i="14"/>
  <c r="G722" i="14"/>
  <c r="F722" i="14"/>
  <c r="E722" i="14"/>
  <c r="D722" i="14"/>
  <c r="C722" i="14"/>
  <c r="B722" i="14"/>
  <c r="A722" i="14" s="1"/>
  <c r="P721" i="14"/>
  <c r="O721" i="14"/>
  <c r="N721" i="14"/>
  <c r="M721" i="14"/>
  <c r="L721" i="14"/>
  <c r="K721" i="14"/>
  <c r="J721" i="14"/>
  <c r="I721" i="14"/>
  <c r="H721" i="14"/>
  <c r="G721" i="14"/>
  <c r="F721" i="14"/>
  <c r="E721" i="14"/>
  <c r="D721" i="14"/>
  <c r="C721" i="14"/>
  <c r="B721" i="14"/>
  <c r="A721" i="14" s="1"/>
  <c r="P720" i="14"/>
  <c r="O720" i="14"/>
  <c r="N720" i="14"/>
  <c r="M720" i="14"/>
  <c r="L720" i="14"/>
  <c r="K720" i="14"/>
  <c r="J720" i="14"/>
  <c r="I720" i="14"/>
  <c r="H720" i="14"/>
  <c r="G720" i="14"/>
  <c r="F720" i="14"/>
  <c r="E720" i="14"/>
  <c r="D720" i="14"/>
  <c r="C720" i="14"/>
  <c r="B720" i="14"/>
  <c r="A720" i="14" s="1"/>
  <c r="P719" i="14"/>
  <c r="O719" i="14"/>
  <c r="N719" i="14"/>
  <c r="M719" i="14"/>
  <c r="L719" i="14"/>
  <c r="K719" i="14"/>
  <c r="J719" i="14"/>
  <c r="I719" i="14"/>
  <c r="H719" i="14"/>
  <c r="G719" i="14"/>
  <c r="F719" i="14"/>
  <c r="E719" i="14"/>
  <c r="D719" i="14"/>
  <c r="C719" i="14"/>
  <c r="B719" i="14"/>
  <c r="A719" i="14" s="1"/>
  <c r="P718" i="14"/>
  <c r="O718" i="14"/>
  <c r="N718" i="14"/>
  <c r="M718" i="14"/>
  <c r="L718" i="14"/>
  <c r="K718" i="14"/>
  <c r="J718" i="14"/>
  <c r="I718" i="14"/>
  <c r="H718" i="14"/>
  <c r="G718" i="14"/>
  <c r="F718" i="14"/>
  <c r="E718" i="14"/>
  <c r="D718" i="14"/>
  <c r="C718" i="14"/>
  <c r="B718" i="14"/>
  <c r="A718" i="14" s="1"/>
  <c r="P717" i="14"/>
  <c r="O717" i="14"/>
  <c r="N717" i="14"/>
  <c r="M717" i="14"/>
  <c r="L717" i="14"/>
  <c r="K717" i="14"/>
  <c r="J717" i="14"/>
  <c r="I717" i="14"/>
  <c r="H717" i="14"/>
  <c r="G717" i="14"/>
  <c r="F717" i="14"/>
  <c r="E717" i="14"/>
  <c r="D717" i="14"/>
  <c r="C717" i="14"/>
  <c r="B717" i="14"/>
  <c r="A717" i="14" s="1"/>
  <c r="P716" i="14"/>
  <c r="O716" i="14"/>
  <c r="N716" i="14"/>
  <c r="M716" i="14"/>
  <c r="L716" i="14"/>
  <c r="K716" i="14"/>
  <c r="J716" i="14"/>
  <c r="I716" i="14"/>
  <c r="H716" i="14"/>
  <c r="G716" i="14"/>
  <c r="F716" i="14"/>
  <c r="E716" i="14"/>
  <c r="D716" i="14"/>
  <c r="C716" i="14"/>
  <c r="B716" i="14"/>
  <c r="A716" i="14" s="1"/>
  <c r="P715" i="14"/>
  <c r="O715" i="14"/>
  <c r="N715" i="14"/>
  <c r="M715" i="14"/>
  <c r="L715" i="14"/>
  <c r="K715" i="14"/>
  <c r="J715" i="14"/>
  <c r="I715" i="14"/>
  <c r="H715" i="14"/>
  <c r="G715" i="14"/>
  <c r="F715" i="14"/>
  <c r="E715" i="14"/>
  <c r="D715" i="14"/>
  <c r="C715" i="14"/>
  <c r="B715" i="14"/>
  <c r="A715" i="14" s="1"/>
  <c r="P714" i="14"/>
  <c r="O714" i="14"/>
  <c r="N714" i="14"/>
  <c r="M714" i="14"/>
  <c r="L714" i="14"/>
  <c r="K714" i="14"/>
  <c r="J714" i="14"/>
  <c r="I714" i="14"/>
  <c r="H714" i="14"/>
  <c r="G714" i="14"/>
  <c r="F714" i="14"/>
  <c r="E714" i="14"/>
  <c r="D714" i="14"/>
  <c r="C714" i="14"/>
  <c r="B714" i="14"/>
  <c r="A714" i="14" s="1"/>
  <c r="P713" i="14"/>
  <c r="O713" i="14"/>
  <c r="N713" i="14"/>
  <c r="M713" i="14"/>
  <c r="L713" i="14"/>
  <c r="K713" i="14"/>
  <c r="J713" i="14"/>
  <c r="I713" i="14"/>
  <c r="H713" i="14"/>
  <c r="G713" i="14"/>
  <c r="F713" i="14"/>
  <c r="E713" i="14"/>
  <c r="D713" i="14"/>
  <c r="C713" i="14"/>
  <c r="B713" i="14"/>
  <c r="A713" i="14" s="1"/>
  <c r="P712" i="14"/>
  <c r="O712" i="14"/>
  <c r="N712" i="14"/>
  <c r="M712" i="14"/>
  <c r="L712" i="14"/>
  <c r="K712" i="14"/>
  <c r="J712" i="14"/>
  <c r="I712" i="14"/>
  <c r="H712" i="14"/>
  <c r="G712" i="14"/>
  <c r="F712" i="14"/>
  <c r="E712" i="14"/>
  <c r="D712" i="14"/>
  <c r="C712" i="14"/>
  <c r="B712" i="14"/>
  <c r="A712" i="14" s="1"/>
  <c r="P711" i="14"/>
  <c r="O711" i="14"/>
  <c r="N711" i="14"/>
  <c r="M711" i="14"/>
  <c r="L711" i="14"/>
  <c r="K711" i="14"/>
  <c r="J711" i="14"/>
  <c r="I711" i="14"/>
  <c r="H711" i="14"/>
  <c r="G711" i="14"/>
  <c r="F711" i="14"/>
  <c r="E711" i="14"/>
  <c r="D711" i="14"/>
  <c r="C711" i="14"/>
  <c r="B711" i="14"/>
  <c r="A711" i="14" s="1"/>
  <c r="P710" i="14"/>
  <c r="O710" i="14"/>
  <c r="N710" i="14"/>
  <c r="M710" i="14"/>
  <c r="L710" i="14"/>
  <c r="K710" i="14"/>
  <c r="J710" i="14"/>
  <c r="I710" i="14"/>
  <c r="H710" i="14"/>
  <c r="G710" i="14"/>
  <c r="F710" i="14"/>
  <c r="E710" i="14"/>
  <c r="D710" i="14"/>
  <c r="C710" i="14"/>
  <c r="B710" i="14"/>
  <c r="A710" i="14" s="1"/>
  <c r="P709" i="14"/>
  <c r="O709" i="14"/>
  <c r="N709" i="14"/>
  <c r="M709" i="14"/>
  <c r="L709" i="14"/>
  <c r="K709" i="14"/>
  <c r="J709" i="14"/>
  <c r="I709" i="14"/>
  <c r="H709" i="14"/>
  <c r="G709" i="14"/>
  <c r="F709" i="14"/>
  <c r="E709" i="14"/>
  <c r="D709" i="14"/>
  <c r="C709" i="14"/>
  <c r="B709" i="14"/>
  <c r="A709" i="14" s="1"/>
  <c r="P708" i="14"/>
  <c r="O708" i="14"/>
  <c r="N708" i="14"/>
  <c r="M708" i="14"/>
  <c r="L708" i="14"/>
  <c r="K708" i="14"/>
  <c r="J708" i="14"/>
  <c r="I708" i="14"/>
  <c r="H708" i="14"/>
  <c r="G708" i="14"/>
  <c r="F708" i="14"/>
  <c r="E708" i="14"/>
  <c r="D708" i="14"/>
  <c r="C708" i="14"/>
  <c r="B708" i="14"/>
  <c r="A708" i="14" s="1"/>
  <c r="P707" i="14"/>
  <c r="O707" i="14"/>
  <c r="N707" i="14"/>
  <c r="M707" i="14"/>
  <c r="L707" i="14"/>
  <c r="K707" i="14"/>
  <c r="J707" i="14"/>
  <c r="I707" i="14"/>
  <c r="H707" i="14"/>
  <c r="G707" i="14"/>
  <c r="F707" i="14"/>
  <c r="E707" i="14"/>
  <c r="D707" i="14"/>
  <c r="C707" i="14"/>
  <c r="B707" i="14"/>
  <c r="A707" i="14" s="1"/>
  <c r="P706" i="14"/>
  <c r="O706" i="14"/>
  <c r="N706" i="14"/>
  <c r="M706" i="14"/>
  <c r="L706" i="14"/>
  <c r="K706" i="14"/>
  <c r="J706" i="14"/>
  <c r="I706" i="14"/>
  <c r="H706" i="14"/>
  <c r="G706" i="14"/>
  <c r="F706" i="14"/>
  <c r="E706" i="14"/>
  <c r="D706" i="14"/>
  <c r="C706" i="14"/>
  <c r="B706" i="14"/>
  <c r="A706" i="14" s="1"/>
  <c r="P705" i="14"/>
  <c r="O705" i="14"/>
  <c r="N705" i="14"/>
  <c r="M705" i="14"/>
  <c r="L705" i="14"/>
  <c r="K705" i="14"/>
  <c r="J705" i="14"/>
  <c r="I705" i="14"/>
  <c r="H705" i="14"/>
  <c r="G705" i="14"/>
  <c r="F705" i="14"/>
  <c r="E705" i="14"/>
  <c r="D705" i="14"/>
  <c r="C705" i="14"/>
  <c r="B705" i="14"/>
  <c r="A705" i="14" s="1"/>
  <c r="P704" i="14"/>
  <c r="O704" i="14"/>
  <c r="N704" i="14"/>
  <c r="M704" i="14"/>
  <c r="L704" i="14"/>
  <c r="K704" i="14"/>
  <c r="J704" i="14"/>
  <c r="I704" i="14"/>
  <c r="H704" i="14"/>
  <c r="G704" i="14"/>
  <c r="F704" i="14"/>
  <c r="E704" i="14"/>
  <c r="D704" i="14"/>
  <c r="C704" i="14"/>
  <c r="B704" i="14"/>
  <c r="A704" i="14" s="1"/>
  <c r="P703" i="14"/>
  <c r="O703" i="14"/>
  <c r="N703" i="14"/>
  <c r="M703" i="14"/>
  <c r="L703" i="14"/>
  <c r="K703" i="14"/>
  <c r="J703" i="14"/>
  <c r="I703" i="14"/>
  <c r="H703" i="14"/>
  <c r="G703" i="14"/>
  <c r="F703" i="14"/>
  <c r="E703" i="14"/>
  <c r="D703" i="14"/>
  <c r="C703" i="14"/>
  <c r="B703" i="14"/>
  <c r="A703" i="14" s="1"/>
  <c r="P702" i="14"/>
  <c r="O702" i="14"/>
  <c r="N702" i="14"/>
  <c r="M702" i="14"/>
  <c r="L702" i="14"/>
  <c r="K702" i="14"/>
  <c r="J702" i="14"/>
  <c r="I702" i="14"/>
  <c r="H702" i="14"/>
  <c r="G702" i="14"/>
  <c r="F702" i="14"/>
  <c r="E702" i="14"/>
  <c r="D702" i="14"/>
  <c r="C702" i="14"/>
  <c r="B702" i="14"/>
  <c r="A702" i="14" s="1"/>
  <c r="P701" i="14"/>
  <c r="O701" i="14"/>
  <c r="N701" i="14"/>
  <c r="M701" i="14"/>
  <c r="L701" i="14"/>
  <c r="K701" i="14"/>
  <c r="J701" i="14"/>
  <c r="I701" i="14"/>
  <c r="H701" i="14"/>
  <c r="G701" i="14"/>
  <c r="F701" i="14"/>
  <c r="E701" i="14"/>
  <c r="D701" i="14"/>
  <c r="C701" i="14"/>
  <c r="B701" i="14"/>
  <c r="A701" i="14" s="1"/>
  <c r="P700" i="14"/>
  <c r="O700" i="14"/>
  <c r="N700" i="14"/>
  <c r="M700" i="14"/>
  <c r="L700" i="14"/>
  <c r="K700" i="14"/>
  <c r="J700" i="14"/>
  <c r="I700" i="14"/>
  <c r="H700" i="14"/>
  <c r="G700" i="14"/>
  <c r="F700" i="14"/>
  <c r="E700" i="14"/>
  <c r="D700" i="14"/>
  <c r="C700" i="14"/>
  <c r="B700" i="14"/>
  <c r="A700" i="14" s="1"/>
  <c r="P699" i="14"/>
  <c r="O699" i="14"/>
  <c r="N699" i="14"/>
  <c r="M699" i="14"/>
  <c r="L699" i="14"/>
  <c r="K699" i="14"/>
  <c r="J699" i="14"/>
  <c r="I699" i="14"/>
  <c r="H699" i="14"/>
  <c r="G699" i="14"/>
  <c r="F699" i="14"/>
  <c r="E699" i="14"/>
  <c r="D699" i="14"/>
  <c r="C699" i="14"/>
  <c r="B699" i="14"/>
  <c r="A699" i="14" s="1"/>
  <c r="P698" i="14"/>
  <c r="O698" i="14"/>
  <c r="N698" i="14"/>
  <c r="M698" i="14"/>
  <c r="L698" i="14"/>
  <c r="K698" i="14"/>
  <c r="J698" i="14"/>
  <c r="I698" i="14"/>
  <c r="H698" i="14"/>
  <c r="G698" i="14"/>
  <c r="F698" i="14"/>
  <c r="E698" i="14"/>
  <c r="D698" i="14"/>
  <c r="C698" i="14"/>
  <c r="B698" i="14"/>
  <c r="A698" i="14" s="1"/>
  <c r="P697" i="14"/>
  <c r="O697" i="14"/>
  <c r="N697" i="14"/>
  <c r="M697" i="14"/>
  <c r="L697" i="14"/>
  <c r="K697" i="14"/>
  <c r="J697" i="14"/>
  <c r="I697" i="14"/>
  <c r="H697" i="14"/>
  <c r="G697" i="14"/>
  <c r="F697" i="14"/>
  <c r="E697" i="14"/>
  <c r="D697" i="14"/>
  <c r="C697" i="14"/>
  <c r="B697" i="14"/>
  <c r="A697" i="14" s="1"/>
  <c r="P696" i="14"/>
  <c r="O696" i="14"/>
  <c r="N696" i="14"/>
  <c r="M696" i="14"/>
  <c r="L696" i="14"/>
  <c r="K696" i="14"/>
  <c r="J696" i="14"/>
  <c r="I696" i="14"/>
  <c r="H696" i="14"/>
  <c r="G696" i="14"/>
  <c r="F696" i="14"/>
  <c r="E696" i="14"/>
  <c r="D696" i="14"/>
  <c r="C696" i="14"/>
  <c r="B696" i="14"/>
  <c r="A696" i="14" s="1"/>
  <c r="P695" i="14"/>
  <c r="O695" i="14"/>
  <c r="N695" i="14"/>
  <c r="M695" i="14"/>
  <c r="L695" i="14"/>
  <c r="K695" i="14"/>
  <c r="J695" i="14"/>
  <c r="I695" i="14"/>
  <c r="H695" i="14"/>
  <c r="G695" i="14"/>
  <c r="F695" i="14"/>
  <c r="E695" i="14"/>
  <c r="D695" i="14"/>
  <c r="C695" i="14"/>
  <c r="B695" i="14"/>
  <c r="A695" i="14" s="1"/>
  <c r="P694" i="14"/>
  <c r="O694" i="14"/>
  <c r="N694" i="14"/>
  <c r="M694" i="14"/>
  <c r="L694" i="14"/>
  <c r="K694" i="14"/>
  <c r="J694" i="14"/>
  <c r="I694" i="14"/>
  <c r="H694" i="14"/>
  <c r="G694" i="14"/>
  <c r="F694" i="14"/>
  <c r="E694" i="14"/>
  <c r="D694" i="14"/>
  <c r="C694" i="14"/>
  <c r="B694" i="14"/>
  <c r="A694" i="14" s="1"/>
  <c r="P693" i="14"/>
  <c r="O693" i="14"/>
  <c r="N693" i="14"/>
  <c r="M693" i="14"/>
  <c r="L693" i="14"/>
  <c r="K693" i="14"/>
  <c r="J693" i="14"/>
  <c r="I693" i="14"/>
  <c r="H693" i="14"/>
  <c r="G693" i="14"/>
  <c r="F693" i="14"/>
  <c r="E693" i="14"/>
  <c r="D693" i="14"/>
  <c r="C693" i="14"/>
  <c r="B693" i="14"/>
  <c r="A693" i="14" s="1"/>
  <c r="P692" i="14"/>
  <c r="O692" i="14"/>
  <c r="N692" i="14"/>
  <c r="M692" i="14"/>
  <c r="L692" i="14"/>
  <c r="K692" i="14"/>
  <c r="J692" i="14"/>
  <c r="I692" i="14"/>
  <c r="H692" i="14"/>
  <c r="G692" i="14"/>
  <c r="F692" i="14"/>
  <c r="E692" i="14"/>
  <c r="D692" i="14"/>
  <c r="C692" i="14"/>
  <c r="B692" i="14"/>
  <c r="A692" i="14" s="1"/>
  <c r="P691" i="14"/>
  <c r="O691" i="14"/>
  <c r="N691" i="14"/>
  <c r="M691" i="14"/>
  <c r="L691" i="14"/>
  <c r="K691" i="14"/>
  <c r="J691" i="14"/>
  <c r="I691" i="14"/>
  <c r="H691" i="14"/>
  <c r="G691" i="14"/>
  <c r="F691" i="14"/>
  <c r="E691" i="14"/>
  <c r="D691" i="14"/>
  <c r="C691" i="14"/>
  <c r="B691" i="14"/>
  <c r="A691" i="14" s="1"/>
  <c r="P690" i="14"/>
  <c r="O690" i="14"/>
  <c r="N690" i="14"/>
  <c r="M690" i="14"/>
  <c r="L690" i="14"/>
  <c r="K690" i="14"/>
  <c r="J690" i="14"/>
  <c r="I690" i="14"/>
  <c r="H690" i="14"/>
  <c r="G690" i="14"/>
  <c r="F690" i="14"/>
  <c r="E690" i="14"/>
  <c r="D690" i="14"/>
  <c r="C690" i="14"/>
  <c r="B690" i="14"/>
  <c r="A690" i="14" s="1"/>
  <c r="P689" i="14"/>
  <c r="O689" i="14"/>
  <c r="N689" i="14"/>
  <c r="M689" i="14"/>
  <c r="L689" i="14"/>
  <c r="K689" i="14"/>
  <c r="J689" i="14"/>
  <c r="I689" i="14"/>
  <c r="H689" i="14"/>
  <c r="G689" i="14"/>
  <c r="F689" i="14"/>
  <c r="E689" i="14"/>
  <c r="D689" i="14"/>
  <c r="C689" i="14"/>
  <c r="B689" i="14"/>
  <c r="A689" i="14" s="1"/>
  <c r="P688" i="14"/>
  <c r="O688" i="14"/>
  <c r="N688" i="14"/>
  <c r="M688" i="14"/>
  <c r="L688" i="14"/>
  <c r="K688" i="14"/>
  <c r="J688" i="14"/>
  <c r="I688" i="14"/>
  <c r="H688" i="14"/>
  <c r="G688" i="14"/>
  <c r="F688" i="14"/>
  <c r="E688" i="14"/>
  <c r="D688" i="14"/>
  <c r="C688" i="14"/>
  <c r="B688" i="14"/>
  <c r="A688" i="14" s="1"/>
  <c r="P687" i="14"/>
  <c r="O687" i="14"/>
  <c r="N687" i="14"/>
  <c r="M687" i="14"/>
  <c r="L687" i="14"/>
  <c r="K687" i="14"/>
  <c r="J687" i="14"/>
  <c r="I687" i="14"/>
  <c r="H687" i="14"/>
  <c r="G687" i="14"/>
  <c r="F687" i="14"/>
  <c r="E687" i="14"/>
  <c r="D687" i="14"/>
  <c r="C687" i="14"/>
  <c r="B687" i="14"/>
  <c r="A687" i="14" s="1"/>
  <c r="P686" i="14"/>
  <c r="O686" i="14"/>
  <c r="N686" i="14"/>
  <c r="M686" i="14"/>
  <c r="L686" i="14"/>
  <c r="K686" i="14"/>
  <c r="J686" i="14"/>
  <c r="I686" i="14"/>
  <c r="H686" i="14"/>
  <c r="G686" i="14"/>
  <c r="F686" i="14"/>
  <c r="E686" i="14"/>
  <c r="D686" i="14"/>
  <c r="C686" i="14"/>
  <c r="B686" i="14"/>
  <c r="A686" i="14" s="1"/>
  <c r="P685" i="14"/>
  <c r="O685" i="14"/>
  <c r="N685" i="14"/>
  <c r="M685" i="14"/>
  <c r="L685" i="14"/>
  <c r="K685" i="14"/>
  <c r="J685" i="14"/>
  <c r="I685" i="14"/>
  <c r="H685" i="14"/>
  <c r="G685" i="14"/>
  <c r="F685" i="14"/>
  <c r="E685" i="14"/>
  <c r="D685" i="14"/>
  <c r="C685" i="14"/>
  <c r="B685" i="14"/>
  <c r="A685" i="14" s="1"/>
  <c r="P684" i="14"/>
  <c r="O684" i="14"/>
  <c r="N684" i="14"/>
  <c r="M684" i="14"/>
  <c r="L684" i="14"/>
  <c r="K684" i="14"/>
  <c r="J684" i="14"/>
  <c r="I684" i="14"/>
  <c r="H684" i="14"/>
  <c r="G684" i="14"/>
  <c r="F684" i="14"/>
  <c r="E684" i="14"/>
  <c r="D684" i="14"/>
  <c r="C684" i="14"/>
  <c r="B684" i="14"/>
  <c r="A684" i="14" s="1"/>
  <c r="P683" i="14"/>
  <c r="O683" i="14"/>
  <c r="N683" i="14"/>
  <c r="M683" i="14"/>
  <c r="L683" i="14"/>
  <c r="K683" i="14"/>
  <c r="J683" i="14"/>
  <c r="I683" i="14"/>
  <c r="H683" i="14"/>
  <c r="G683" i="14"/>
  <c r="F683" i="14"/>
  <c r="E683" i="14"/>
  <c r="D683" i="14"/>
  <c r="C683" i="14"/>
  <c r="B683" i="14"/>
  <c r="A683" i="14" s="1"/>
  <c r="P682" i="14"/>
  <c r="O682" i="14"/>
  <c r="N682" i="14"/>
  <c r="M682" i="14"/>
  <c r="L682" i="14"/>
  <c r="K682" i="14"/>
  <c r="J682" i="14"/>
  <c r="I682" i="14"/>
  <c r="H682" i="14"/>
  <c r="G682" i="14"/>
  <c r="F682" i="14"/>
  <c r="E682" i="14"/>
  <c r="D682" i="14"/>
  <c r="C682" i="14"/>
  <c r="B682" i="14"/>
  <c r="A682" i="14" s="1"/>
  <c r="P681" i="14"/>
  <c r="O681" i="14"/>
  <c r="N681" i="14"/>
  <c r="M681" i="14"/>
  <c r="L681" i="14"/>
  <c r="K681" i="14"/>
  <c r="J681" i="14"/>
  <c r="I681" i="14"/>
  <c r="H681" i="14"/>
  <c r="G681" i="14"/>
  <c r="F681" i="14"/>
  <c r="E681" i="14"/>
  <c r="D681" i="14"/>
  <c r="C681" i="14"/>
  <c r="B681" i="14"/>
  <c r="A681" i="14" s="1"/>
  <c r="P680" i="14"/>
  <c r="O680" i="14"/>
  <c r="N680" i="14"/>
  <c r="M680" i="14"/>
  <c r="L680" i="14"/>
  <c r="K680" i="14"/>
  <c r="J680" i="14"/>
  <c r="I680" i="14"/>
  <c r="H680" i="14"/>
  <c r="G680" i="14"/>
  <c r="F680" i="14"/>
  <c r="E680" i="14"/>
  <c r="D680" i="14"/>
  <c r="C680" i="14"/>
  <c r="B680" i="14"/>
  <c r="A680" i="14" s="1"/>
  <c r="P679" i="14"/>
  <c r="O679" i="14"/>
  <c r="N679" i="14"/>
  <c r="M679" i="14"/>
  <c r="L679" i="14"/>
  <c r="K679" i="14"/>
  <c r="J679" i="14"/>
  <c r="I679" i="14"/>
  <c r="H679" i="14"/>
  <c r="G679" i="14"/>
  <c r="F679" i="14"/>
  <c r="E679" i="14"/>
  <c r="D679" i="14"/>
  <c r="C679" i="14"/>
  <c r="B679" i="14"/>
  <c r="A679" i="14" s="1"/>
  <c r="P678" i="14"/>
  <c r="O678" i="14"/>
  <c r="N678" i="14"/>
  <c r="M678" i="14"/>
  <c r="L678" i="14"/>
  <c r="K678" i="14"/>
  <c r="J678" i="14"/>
  <c r="I678" i="14"/>
  <c r="H678" i="14"/>
  <c r="G678" i="14"/>
  <c r="F678" i="14"/>
  <c r="E678" i="14"/>
  <c r="D678" i="14"/>
  <c r="C678" i="14"/>
  <c r="B678" i="14"/>
  <c r="A678" i="14" s="1"/>
  <c r="P677" i="14"/>
  <c r="O677" i="14"/>
  <c r="N677" i="14"/>
  <c r="M677" i="14"/>
  <c r="L677" i="14"/>
  <c r="K677" i="14"/>
  <c r="J677" i="14"/>
  <c r="I677" i="14"/>
  <c r="H677" i="14"/>
  <c r="G677" i="14"/>
  <c r="F677" i="14"/>
  <c r="E677" i="14"/>
  <c r="D677" i="14"/>
  <c r="C677" i="14"/>
  <c r="B677" i="14"/>
  <c r="A677" i="14" s="1"/>
  <c r="P676" i="14"/>
  <c r="O676" i="14"/>
  <c r="N676" i="14"/>
  <c r="M676" i="14"/>
  <c r="L676" i="14"/>
  <c r="K676" i="14"/>
  <c r="J676" i="14"/>
  <c r="I676" i="14"/>
  <c r="H676" i="14"/>
  <c r="G676" i="14"/>
  <c r="F676" i="14"/>
  <c r="E676" i="14"/>
  <c r="D676" i="14"/>
  <c r="C676" i="14"/>
  <c r="B676" i="14"/>
  <c r="A676" i="14" s="1"/>
  <c r="P675" i="14"/>
  <c r="O675" i="14"/>
  <c r="N675" i="14"/>
  <c r="M675" i="14"/>
  <c r="L675" i="14"/>
  <c r="K675" i="14"/>
  <c r="J675" i="14"/>
  <c r="I675" i="14"/>
  <c r="H675" i="14"/>
  <c r="G675" i="14"/>
  <c r="F675" i="14"/>
  <c r="E675" i="14"/>
  <c r="D675" i="14"/>
  <c r="C675" i="14"/>
  <c r="B675" i="14"/>
  <c r="A675" i="14" s="1"/>
  <c r="P674" i="14"/>
  <c r="O674" i="14"/>
  <c r="N674" i="14"/>
  <c r="M674" i="14"/>
  <c r="L674" i="14"/>
  <c r="K674" i="14"/>
  <c r="J674" i="14"/>
  <c r="I674" i="14"/>
  <c r="H674" i="14"/>
  <c r="G674" i="14"/>
  <c r="F674" i="14"/>
  <c r="E674" i="14"/>
  <c r="D674" i="14"/>
  <c r="C674" i="14"/>
  <c r="B674" i="14"/>
  <c r="A674" i="14" s="1"/>
  <c r="P673" i="14"/>
  <c r="O673" i="14"/>
  <c r="N673" i="14"/>
  <c r="M673" i="14"/>
  <c r="L673" i="14"/>
  <c r="K673" i="14"/>
  <c r="J673" i="14"/>
  <c r="I673" i="14"/>
  <c r="H673" i="14"/>
  <c r="G673" i="14"/>
  <c r="F673" i="14"/>
  <c r="E673" i="14"/>
  <c r="D673" i="14"/>
  <c r="C673" i="14"/>
  <c r="B673" i="14"/>
  <c r="A673" i="14" s="1"/>
  <c r="P672" i="14"/>
  <c r="O672" i="14"/>
  <c r="N672" i="14"/>
  <c r="M672" i="14"/>
  <c r="L672" i="14"/>
  <c r="K672" i="14"/>
  <c r="J672" i="14"/>
  <c r="I672" i="14"/>
  <c r="H672" i="14"/>
  <c r="G672" i="14"/>
  <c r="F672" i="14"/>
  <c r="E672" i="14"/>
  <c r="D672" i="14"/>
  <c r="C672" i="14"/>
  <c r="B672" i="14"/>
  <c r="A672" i="14" s="1"/>
  <c r="P671" i="14"/>
  <c r="O671" i="14"/>
  <c r="N671" i="14"/>
  <c r="M671" i="14"/>
  <c r="L671" i="14"/>
  <c r="K671" i="14"/>
  <c r="J671" i="14"/>
  <c r="I671" i="14"/>
  <c r="H671" i="14"/>
  <c r="G671" i="14"/>
  <c r="F671" i="14"/>
  <c r="E671" i="14"/>
  <c r="D671" i="14"/>
  <c r="C671" i="14"/>
  <c r="B671" i="14"/>
  <c r="A671" i="14" s="1"/>
  <c r="P670" i="14"/>
  <c r="O670" i="14"/>
  <c r="N670" i="14"/>
  <c r="M670" i="14"/>
  <c r="L670" i="14"/>
  <c r="K670" i="14"/>
  <c r="J670" i="14"/>
  <c r="I670" i="14"/>
  <c r="H670" i="14"/>
  <c r="G670" i="14"/>
  <c r="F670" i="14"/>
  <c r="E670" i="14"/>
  <c r="D670" i="14"/>
  <c r="C670" i="14"/>
  <c r="B670" i="14"/>
  <c r="A670" i="14" s="1"/>
  <c r="P669" i="14"/>
  <c r="O669" i="14"/>
  <c r="N669" i="14"/>
  <c r="M669" i="14"/>
  <c r="L669" i="14"/>
  <c r="K669" i="14"/>
  <c r="J669" i="14"/>
  <c r="I669" i="14"/>
  <c r="H669" i="14"/>
  <c r="G669" i="14"/>
  <c r="F669" i="14"/>
  <c r="E669" i="14"/>
  <c r="D669" i="14"/>
  <c r="C669" i="14"/>
  <c r="B669" i="14"/>
  <c r="A669" i="14" s="1"/>
  <c r="P668" i="14"/>
  <c r="O668" i="14"/>
  <c r="N668" i="14"/>
  <c r="M668" i="14"/>
  <c r="L668" i="14"/>
  <c r="K668" i="14"/>
  <c r="J668" i="14"/>
  <c r="I668" i="14"/>
  <c r="H668" i="14"/>
  <c r="G668" i="14"/>
  <c r="F668" i="14"/>
  <c r="E668" i="14"/>
  <c r="D668" i="14"/>
  <c r="C668" i="14"/>
  <c r="B668" i="14"/>
  <c r="A668" i="14" s="1"/>
  <c r="P667" i="14"/>
  <c r="O667" i="14"/>
  <c r="N667" i="14"/>
  <c r="M667" i="14"/>
  <c r="L667" i="14"/>
  <c r="K667" i="14"/>
  <c r="J667" i="14"/>
  <c r="I667" i="14"/>
  <c r="H667" i="14"/>
  <c r="G667" i="14"/>
  <c r="F667" i="14"/>
  <c r="E667" i="14"/>
  <c r="D667" i="14"/>
  <c r="C667" i="14"/>
  <c r="B667" i="14"/>
  <c r="A667" i="14" s="1"/>
  <c r="P666" i="14"/>
  <c r="O666" i="14"/>
  <c r="N666" i="14"/>
  <c r="M666" i="14"/>
  <c r="L666" i="14"/>
  <c r="K666" i="14"/>
  <c r="J666" i="14"/>
  <c r="I666" i="14"/>
  <c r="H666" i="14"/>
  <c r="G666" i="14"/>
  <c r="F666" i="14"/>
  <c r="E666" i="14"/>
  <c r="D666" i="14"/>
  <c r="C666" i="14"/>
  <c r="B666" i="14"/>
  <c r="A666" i="14" s="1"/>
  <c r="P665" i="14"/>
  <c r="O665" i="14"/>
  <c r="N665" i="14"/>
  <c r="M665" i="14"/>
  <c r="L665" i="14"/>
  <c r="K665" i="14"/>
  <c r="J665" i="14"/>
  <c r="I665" i="14"/>
  <c r="H665" i="14"/>
  <c r="G665" i="14"/>
  <c r="F665" i="14"/>
  <c r="E665" i="14"/>
  <c r="D665" i="14"/>
  <c r="C665" i="14"/>
  <c r="B665" i="14"/>
  <c r="A665" i="14" s="1"/>
  <c r="P664" i="14"/>
  <c r="O664" i="14"/>
  <c r="N664" i="14"/>
  <c r="M664" i="14"/>
  <c r="L664" i="14"/>
  <c r="K664" i="14"/>
  <c r="J664" i="14"/>
  <c r="I664" i="14"/>
  <c r="H664" i="14"/>
  <c r="G664" i="14"/>
  <c r="F664" i="14"/>
  <c r="E664" i="14"/>
  <c r="D664" i="14"/>
  <c r="C664" i="14"/>
  <c r="B664" i="14"/>
  <c r="A664" i="14" s="1"/>
  <c r="P663" i="14"/>
  <c r="O663" i="14"/>
  <c r="N663" i="14"/>
  <c r="M663" i="14"/>
  <c r="L663" i="14"/>
  <c r="K663" i="14"/>
  <c r="J663" i="14"/>
  <c r="I663" i="14"/>
  <c r="H663" i="14"/>
  <c r="G663" i="14"/>
  <c r="F663" i="14"/>
  <c r="E663" i="14"/>
  <c r="D663" i="14"/>
  <c r="C663" i="14"/>
  <c r="B663" i="14"/>
  <c r="A663" i="14" s="1"/>
  <c r="P662" i="14"/>
  <c r="O662" i="14"/>
  <c r="N662" i="14"/>
  <c r="M662" i="14"/>
  <c r="L662" i="14"/>
  <c r="K662" i="14"/>
  <c r="J662" i="14"/>
  <c r="I662" i="14"/>
  <c r="H662" i="14"/>
  <c r="G662" i="14"/>
  <c r="F662" i="14"/>
  <c r="E662" i="14"/>
  <c r="D662" i="14"/>
  <c r="C662" i="14"/>
  <c r="B662" i="14"/>
  <c r="A662" i="14" s="1"/>
  <c r="P661" i="14"/>
  <c r="O661" i="14"/>
  <c r="N661" i="14"/>
  <c r="M661" i="14"/>
  <c r="L661" i="14"/>
  <c r="K661" i="14"/>
  <c r="J661" i="14"/>
  <c r="I661" i="14"/>
  <c r="H661" i="14"/>
  <c r="G661" i="14"/>
  <c r="F661" i="14"/>
  <c r="E661" i="14"/>
  <c r="D661" i="14"/>
  <c r="C661" i="14"/>
  <c r="B661" i="14"/>
  <c r="A661" i="14" s="1"/>
  <c r="P660" i="14"/>
  <c r="O660" i="14"/>
  <c r="N660" i="14"/>
  <c r="M660" i="14"/>
  <c r="L660" i="14"/>
  <c r="K660" i="14"/>
  <c r="J660" i="14"/>
  <c r="I660" i="14"/>
  <c r="H660" i="14"/>
  <c r="G660" i="14"/>
  <c r="F660" i="14"/>
  <c r="E660" i="14"/>
  <c r="D660" i="14"/>
  <c r="C660" i="14"/>
  <c r="B660" i="14"/>
  <c r="A660" i="14" s="1"/>
  <c r="P659" i="14"/>
  <c r="O659" i="14"/>
  <c r="N659" i="14"/>
  <c r="M659" i="14"/>
  <c r="L659" i="14"/>
  <c r="K659" i="14"/>
  <c r="J659" i="14"/>
  <c r="I659" i="14"/>
  <c r="H659" i="14"/>
  <c r="G659" i="14"/>
  <c r="F659" i="14"/>
  <c r="E659" i="14"/>
  <c r="D659" i="14"/>
  <c r="C659" i="14"/>
  <c r="B659" i="14"/>
  <c r="A659" i="14" s="1"/>
  <c r="P658" i="14"/>
  <c r="O658" i="14"/>
  <c r="N658" i="14"/>
  <c r="M658" i="14"/>
  <c r="L658" i="14"/>
  <c r="K658" i="14"/>
  <c r="J658" i="14"/>
  <c r="I658" i="14"/>
  <c r="H658" i="14"/>
  <c r="G658" i="14"/>
  <c r="F658" i="14"/>
  <c r="E658" i="14"/>
  <c r="D658" i="14"/>
  <c r="C658" i="14"/>
  <c r="B658" i="14"/>
  <c r="A658" i="14" s="1"/>
  <c r="P657" i="14"/>
  <c r="O657" i="14"/>
  <c r="N657" i="14"/>
  <c r="M657" i="14"/>
  <c r="L657" i="14"/>
  <c r="K657" i="14"/>
  <c r="J657" i="14"/>
  <c r="I657" i="14"/>
  <c r="H657" i="14"/>
  <c r="G657" i="14"/>
  <c r="F657" i="14"/>
  <c r="E657" i="14"/>
  <c r="D657" i="14"/>
  <c r="C657" i="14"/>
  <c r="B657" i="14"/>
  <c r="A657" i="14" s="1"/>
  <c r="P656" i="14"/>
  <c r="O656" i="14"/>
  <c r="N656" i="14"/>
  <c r="M656" i="14"/>
  <c r="L656" i="14"/>
  <c r="K656" i="14"/>
  <c r="J656" i="14"/>
  <c r="I656" i="14"/>
  <c r="H656" i="14"/>
  <c r="G656" i="14"/>
  <c r="F656" i="14"/>
  <c r="E656" i="14"/>
  <c r="D656" i="14"/>
  <c r="C656" i="14"/>
  <c r="B656" i="14"/>
  <c r="A656" i="14" s="1"/>
  <c r="P655" i="14"/>
  <c r="O655" i="14"/>
  <c r="N655" i="14"/>
  <c r="M655" i="14"/>
  <c r="L655" i="14"/>
  <c r="K655" i="14"/>
  <c r="J655" i="14"/>
  <c r="I655" i="14"/>
  <c r="H655" i="14"/>
  <c r="G655" i="14"/>
  <c r="F655" i="14"/>
  <c r="E655" i="14"/>
  <c r="D655" i="14"/>
  <c r="C655" i="14"/>
  <c r="B655" i="14"/>
  <c r="A655" i="14" s="1"/>
  <c r="P654" i="14"/>
  <c r="O654" i="14"/>
  <c r="N654" i="14"/>
  <c r="M654" i="14"/>
  <c r="L654" i="14"/>
  <c r="K654" i="14"/>
  <c r="J654" i="14"/>
  <c r="I654" i="14"/>
  <c r="H654" i="14"/>
  <c r="G654" i="14"/>
  <c r="F654" i="14"/>
  <c r="E654" i="14"/>
  <c r="D654" i="14"/>
  <c r="C654" i="14"/>
  <c r="B654" i="14"/>
  <c r="A654" i="14" s="1"/>
  <c r="P653" i="14"/>
  <c r="O653" i="14"/>
  <c r="N653" i="14"/>
  <c r="M653" i="14"/>
  <c r="L653" i="14"/>
  <c r="K653" i="14"/>
  <c r="J653" i="14"/>
  <c r="I653" i="14"/>
  <c r="H653" i="14"/>
  <c r="G653" i="14"/>
  <c r="F653" i="14"/>
  <c r="E653" i="14"/>
  <c r="D653" i="14"/>
  <c r="C653" i="14"/>
  <c r="B653" i="14"/>
  <c r="A653" i="14" s="1"/>
  <c r="P652" i="14"/>
  <c r="O652" i="14"/>
  <c r="N652" i="14"/>
  <c r="M652" i="14"/>
  <c r="L652" i="14"/>
  <c r="K652" i="14"/>
  <c r="J652" i="14"/>
  <c r="I652" i="14"/>
  <c r="H652" i="14"/>
  <c r="G652" i="14"/>
  <c r="F652" i="14"/>
  <c r="E652" i="14"/>
  <c r="D652" i="14"/>
  <c r="C652" i="14"/>
  <c r="B652" i="14"/>
  <c r="A652" i="14" s="1"/>
  <c r="P651" i="14"/>
  <c r="O651" i="14"/>
  <c r="N651" i="14"/>
  <c r="M651" i="14"/>
  <c r="L651" i="14"/>
  <c r="K651" i="14"/>
  <c r="J651" i="14"/>
  <c r="I651" i="14"/>
  <c r="H651" i="14"/>
  <c r="G651" i="14"/>
  <c r="F651" i="14"/>
  <c r="E651" i="14"/>
  <c r="D651" i="14"/>
  <c r="C651" i="14"/>
  <c r="B651" i="14"/>
  <c r="A651" i="14" s="1"/>
  <c r="P650" i="14"/>
  <c r="O650" i="14"/>
  <c r="N650" i="14"/>
  <c r="M650" i="14"/>
  <c r="L650" i="14"/>
  <c r="K650" i="14"/>
  <c r="J650" i="14"/>
  <c r="I650" i="14"/>
  <c r="H650" i="14"/>
  <c r="G650" i="14"/>
  <c r="F650" i="14"/>
  <c r="E650" i="14"/>
  <c r="D650" i="14"/>
  <c r="C650" i="14"/>
  <c r="B650" i="14"/>
  <c r="A650" i="14" s="1"/>
  <c r="P649" i="14"/>
  <c r="O649" i="14"/>
  <c r="N649" i="14"/>
  <c r="M649" i="14"/>
  <c r="L649" i="14"/>
  <c r="K649" i="14"/>
  <c r="J649" i="14"/>
  <c r="I649" i="14"/>
  <c r="H649" i="14"/>
  <c r="G649" i="14"/>
  <c r="F649" i="14"/>
  <c r="E649" i="14"/>
  <c r="D649" i="14"/>
  <c r="C649" i="14"/>
  <c r="B649" i="14"/>
  <c r="A649" i="14" s="1"/>
  <c r="P648" i="14"/>
  <c r="O648" i="14"/>
  <c r="N648" i="14"/>
  <c r="M648" i="14"/>
  <c r="L648" i="14"/>
  <c r="K648" i="14"/>
  <c r="J648" i="14"/>
  <c r="I648" i="14"/>
  <c r="H648" i="14"/>
  <c r="G648" i="14"/>
  <c r="F648" i="14"/>
  <c r="E648" i="14"/>
  <c r="D648" i="14"/>
  <c r="C648" i="14"/>
  <c r="B648" i="14"/>
  <c r="A648" i="14" s="1"/>
  <c r="P647" i="14"/>
  <c r="O647" i="14"/>
  <c r="N647" i="14"/>
  <c r="M647" i="14"/>
  <c r="L647" i="14"/>
  <c r="K647" i="14"/>
  <c r="J647" i="14"/>
  <c r="I647" i="14"/>
  <c r="H647" i="14"/>
  <c r="G647" i="14"/>
  <c r="F647" i="14"/>
  <c r="E647" i="14"/>
  <c r="D647" i="14"/>
  <c r="C647" i="14"/>
  <c r="B647" i="14"/>
  <c r="A647" i="14" s="1"/>
  <c r="P646" i="14"/>
  <c r="O646" i="14"/>
  <c r="N646" i="14"/>
  <c r="M646" i="14"/>
  <c r="L646" i="14"/>
  <c r="K646" i="14"/>
  <c r="J646" i="14"/>
  <c r="I646" i="14"/>
  <c r="H646" i="14"/>
  <c r="G646" i="14"/>
  <c r="F646" i="14"/>
  <c r="E646" i="14"/>
  <c r="D646" i="14"/>
  <c r="C646" i="14"/>
  <c r="B646" i="14"/>
  <c r="A646" i="14" s="1"/>
  <c r="P645" i="14"/>
  <c r="O645" i="14"/>
  <c r="N645" i="14"/>
  <c r="M645" i="14"/>
  <c r="L645" i="14"/>
  <c r="K645" i="14"/>
  <c r="J645" i="14"/>
  <c r="I645" i="14"/>
  <c r="H645" i="14"/>
  <c r="G645" i="14"/>
  <c r="F645" i="14"/>
  <c r="E645" i="14"/>
  <c r="D645" i="14"/>
  <c r="C645" i="14"/>
  <c r="B645" i="14"/>
  <c r="A645" i="14" s="1"/>
  <c r="P644" i="14"/>
  <c r="O644" i="14"/>
  <c r="N644" i="14"/>
  <c r="M644" i="14"/>
  <c r="L644" i="14"/>
  <c r="K644" i="14"/>
  <c r="J644" i="14"/>
  <c r="I644" i="14"/>
  <c r="H644" i="14"/>
  <c r="G644" i="14"/>
  <c r="F644" i="14"/>
  <c r="E644" i="14"/>
  <c r="D644" i="14"/>
  <c r="C644" i="14"/>
  <c r="B644" i="14"/>
  <c r="A644" i="14" s="1"/>
  <c r="P643" i="14"/>
  <c r="O643" i="14"/>
  <c r="N643" i="14"/>
  <c r="M643" i="14"/>
  <c r="L643" i="14"/>
  <c r="K643" i="14"/>
  <c r="J643" i="14"/>
  <c r="I643" i="14"/>
  <c r="H643" i="14"/>
  <c r="G643" i="14"/>
  <c r="F643" i="14"/>
  <c r="E643" i="14"/>
  <c r="D643" i="14"/>
  <c r="C643" i="14"/>
  <c r="B643" i="14"/>
  <c r="A643" i="14" s="1"/>
  <c r="P642" i="14"/>
  <c r="O642" i="14"/>
  <c r="N642" i="14"/>
  <c r="M642" i="14"/>
  <c r="L642" i="14"/>
  <c r="K642" i="14"/>
  <c r="J642" i="14"/>
  <c r="I642" i="14"/>
  <c r="H642" i="14"/>
  <c r="G642" i="14"/>
  <c r="F642" i="14"/>
  <c r="E642" i="14"/>
  <c r="D642" i="14"/>
  <c r="C642" i="14"/>
  <c r="B642" i="14"/>
  <c r="A642" i="14" s="1"/>
  <c r="P641" i="14"/>
  <c r="O641" i="14"/>
  <c r="N641" i="14"/>
  <c r="M641" i="14"/>
  <c r="L641" i="14"/>
  <c r="K641" i="14"/>
  <c r="J641" i="14"/>
  <c r="I641" i="14"/>
  <c r="H641" i="14"/>
  <c r="G641" i="14"/>
  <c r="F641" i="14"/>
  <c r="E641" i="14"/>
  <c r="D641" i="14"/>
  <c r="C641" i="14"/>
  <c r="B641" i="14"/>
  <c r="A641" i="14" s="1"/>
  <c r="P640" i="14"/>
  <c r="O640" i="14"/>
  <c r="N640" i="14"/>
  <c r="M640" i="14"/>
  <c r="L640" i="14"/>
  <c r="K640" i="14"/>
  <c r="J640" i="14"/>
  <c r="I640" i="14"/>
  <c r="H640" i="14"/>
  <c r="G640" i="14"/>
  <c r="F640" i="14"/>
  <c r="E640" i="14"/>
  <c r="D640" i="14"/>
  <c r="C640" i="14"/>
  <c r="B640" i="14"/>
  <c r="A640" i="14" s="1"/>
  <c r="P639" i="14"/>
  <c r="O639" i="14"/>
  <c r="N639" i="14"/>
  <c r="M639" i="14"/>
  <c r="L639" i="14"/>
  <c r="K639" i="14"/>
  <c r="J639" i="14"/>
  <c r="I639" i="14"/>
  <c r="H639" i="14"/>
  <c r="G639" i="14"/>
  <c r="F639" i="14"/>
  <c r="E639" i="14"/>
  <c r="D639" i="14"/>
  <c r="C639" i="14"/>
  <c r="B639" i="14"/>
  <c r="A639" i="14" s="1"/>
  <c r="P638" i="14"/>
  <c r="O638" i="14"/>
  <c r="N638" i="14"/>
  <c r="M638" i="14"/>
  <c r="L638" i="14"/>
  <c r="K638" i="14"/>
  <c r="J638" i="14"/>
  <c r="I638" i="14"/>
  <c r="H638" i="14"/>
  <c r="G638" i="14"/>
  <c r="F638" i="14"/>
  <c r="E638" i="14"/>
  <c r="D638" i="14"/>
  <c r="C638" i="14"/>
  <c r="B638" i="14"/>
  <c r="A638" i="14" s="1"/>
  <c r="P637" i="14"/>
  <c r="O637" i="14"/>
  <c r="N637" i="14"/>
  <c r="M637" i="14"/>
  <c r="L637" i="14"/>
  <c r="K637" i="14"/>
  <c r="J637" i="14"/>
  <c r="I637" i="14"/>
  <c r="H637" i="14"/>
  <c r="G637" i="14"/>
  <c r="F637" i="14"/>
  <c r="E637" i="14"/>
  <c r="D637" i="14"/>
  <c r="C637" i="14"/>
  <c r="B637" i="14"/>
  <c r="A637" i="14" s="1"/>
  <c r="P636" i="14"/>
  <c r="O636" i="14"/>
  <c r="N636" i="14"/>
  <c r="M636" i="14"/>
  <c r="L636" i="14"/>
  <c r="K636" i="14"/>
  <c r="J636" i="14"/>
  <c r="I636" i="14"/>
  <c r="H636" i="14"/>
  <c r="G636" i="14"/>
  <c r="F636" i="14"/>
  <c r="E636" i="14"/>
  <c r="D636" i="14"/>
  <c r="C636" i="14"/>
  <c r="B636" i="14"/>
  <c r="A636" i="14" s="1"/>
  <c r="P635" i="14"/>
  <c r="O635" i="14"/>
  <c r="N635" i="14"/>
  <c r="M635" i="14"/>
  <c r="L635" i="14"/>
  <c r="K635" i="14"/>
  <c r="J635" i="14"/>
  <c r="I635" i="14"/>
  <c r="H635" i="14"/>
  <c r="G635" i="14"/>
  <c r="F635" i="14"/>
  <c r="E635" i="14"/>
  <c r="D635" i="14"/>
  <c r="C635" i="14"/>
  <c r="B635" i="14"/>
  <c r="A635" i="14" s="1"/>
  <c r="P634" i="14"/>
  <c r="O634" i="14"/>
  <c r="N634" i="14"/>
  <c r="M634" i="14"/>
  <c r="L634" i="14"/>
  <c r="K634" i="14"/>
  <c r="J634" i="14"/>
  <c r="I634" i="14"/>
  <c r="H634" i="14"/>
  <c r="G634" i="14"/>
  <c r="F634" i="14"/>
  <c r="E634" i="14"/>
  <c r="D634" i="14"/>
  <c r="C634" i="14"/>
  <c r="B634" i="14"/>
  <c r="A634" i="14" s="1"/>
  <c r="P633" i="14"/>
  <c r="O633" i="14"/>
  <c r="N633" i="14"/>
  <c r="M633" i="14"/>
  <c r="L633" i="14"/>
  <c r="K633" i="14"/>
  <c r="J633" i="14"/>
  <c r="I633" i="14"/>
  <c r="H633" i="14"/>
  <c r="G633" i="14"/>
  <c r="F633" i="14"/>
  <c r="E633" i="14"/>
  <c r="D633" i="14"/>
  <c r="C633" i="14"/>
  <c r="B633" i="14"/>
  <c r="A633" i="14" s="1"/>
  <c r="P632" i="14"/>
  <c r="O632" i="14"/>
  <c r="N632" i="14"/>
  <c r="M632" i="14"/>
  <c r="L632" i="14"/>
  <c r="K632" i="14"/>
  <c r="J632" i="14"/>
  <c r="I632" i="14"/>
  <c r="H632" i="14"/>
  <c r="G632" i="14"/>
  <c r="F632" i="14"/>
  <c r="E632" i="14"/>
  <c r="D632" i="14"/>
  <c r="C632" i="14"/>
  <c r="B632" i="14"/>
  <c r="A632" i="14" s="1"/>
  <c r="P631" i="14"/>
  <c r="O631" i="14"/>
  <c r="N631" i="14"/>
  <c r="M631" i="14"/>
  <c r="L631" i="14"/>
  <c r="K631" i="14"/>
  <c r="J631" i="14"/>
  <c r="I631" i="14"/>
  <c r="H631" i="14"/>
  <c r="G631" i="14"/>
  <c r="F631" i="14"/>
  <c r="E631" i="14"/>
  <c r="D631" i="14"/>
  <c r="C631" i="14"/>
  <c r="B631" i="14"/>
  <c r="A631" i="14" s="1"/>
  <c r="P630" i="14"/>
  <c r="O630" i="14"/>
  <c r="N630" i="14"/>
  <c r="M630" i="14"/>
  <c r="L630" i="14"/>
  <c r="K630" i="14"/>
  <c r="J630" i="14"/>
  <c r="I630" i="14"/>
  <c r="H630" i="14"/>
  <c r="G630" i="14"/>
  <c r="F630" i="14"/>
  <c r="E630" i="14"/>
  <c r="D630" i="14"/>
  <c r="C630" i="14"/>
  <c r="B630" i="14"/>
  <c r="A630" i="14" s="1"/>
  <c r="P629" i="14"/>
  <c r="O629" i="14"/>
  <c r="N629" i="14"/>
  <c r="M629" i="14"/>
  <c r="L629" i="14"/>
  <c r="K629" i="14"/>
  <c r="J629" i="14"/>
  <c r="I629" i="14"/>
  <c r="H629" i="14"/>
  <c r="G629" i="14"/>
  <c r="F629" i="14"/>
  <c r="E629" i="14"/>
  <c r="D629" i="14"/>
  <c r="C629" i="14"/>
  <c r="B629" i="14"/>
  <c r="A629" i="14" s="1"/>
  <c r="P628" i="14"/>
  <c r="O628" i="14"/>
  <c r="N628" i="14"/>
  <c r="M628" i="14"/>
  <c r="L628" i="14"/>
  <c r="K628" i="14"/>
  <c r="J628" i="14"/>
  <c r="I628" i="14"/>
  <c r="H628" i="14"/>
  <c r="G628" i="14"/>
  <c r="F628" i="14"/>
  <c r="E628" i="14"/>
  <c r="D628" i="14"/>
  <c r="C628" i="14"/>
  <c r="B628" i="14"/>
  <c r="A628" i="14" s="1"/>
  <c r="P627" i="14"/>
  <c r="O627" i="14"/>
  <c r="N627" i="14"/>
  <c r="M627" i="14"/>
  <c r="L627" i="14"/>
  <c r="K627" i="14"/>
  <c r="J627" i="14"/>
  <c r="I627" i="14"/>
  <c r="H627" i="14"/>
  <c r="G627" i="14"/>
  <c r="F627" i="14"/>
  <c r="E627" i="14"/>
  <c r="D627" i="14"/>
  <c r="C627" i="14"/>
  <c r="B627" i="14"/>
  <c r="A627" i="14" s="1"/>
  <c r="P626" i="14"/>
  <c r="O626" i="14"/>
  <c r="N626" i="14"/>
  <c r="M626" i="14"/>
  <c r="L626" i="14"/>
  <c r="K626" i="14"/>
  <c r="J626" i="14"/>
  <c r="I626" i="14"/>
  <c r="H626" i="14"/>
  <c r="G626" i="14"/>
  <c r="F626" i="14"/>
  <c r="E626" i="14"/>
  <c r="D626" i="14"/>
  <c r="C626" i="14"/>
  <c r="B626" i="14"/>
  <c r="A626" i="14" s="1"/>
  <c r="P625" i="14"/>
  <c r="O625" i="14"/>
  <c r="N625" i="14"/>
  <c r="M625" i="14"/>
  <c r="L625" i="14"/>
  <c r="K625" i="14"/>
  <c r="J625" i="14"/>
  <c r="I625" i="14"/>
  <c r="H625" i="14"/>
  <c r="G625" i="14"/>
  <c r="F625" i="14"/>
  <c r="E625" i="14"/>
  <c r="D625" i="14"/>
  <c r="C625" i="14"/>
  <c r="B625" i="14"/>
  <c r="A625" i="14" s="1"/>
  <c r="P624" i="14"/>
  <c r="O624" i="14"/>
  <c r="N624" i="14"/>
  <c r="M624" i="14"/>
  <c r="L624" i="14"/>
  <c r="K624" i="14"/>
  <c r="J624" i="14"/>
  <c r="I624" i="14"/>
  <c r="H624" i="14"/>
  <c r="G624" i="14"/>
  <c r="F624" i="14"/>
  <c r="E624" i="14"/>
  <c r="D624" i="14"/>
  <c r="C624" i="14"/>
  <c r="B624" i="14"/>
  <c r="A624" i="14" s="1"/>
  <c r="P623" i="14"/>
  <c r="O623" i="14"/>
  <c r="N623" i="14"/>
  <c r="M623" i="14"/>
  <c r="L623" i="14"/>
  <c r="K623" i="14"/>
  <c r="J623" i="14"/>
  <c r="I623" i="14"/>
  <c r="H623" i="14"/>
  <c r="G623" i="14"/>
  <c r="F623" i="14"/>
  <c r="E623" i="14"/>
  <c r="D623" i="14"/>
  <c r="C623" i="14"/>
  <c r="B623" i="14"/>
  <c r="A623" i="14" s="1"/>
  <c r="P622" i="14"/>
  <c r="O622" i="14"/>
  <c r="N622" i="14"/>
  <c r="M622" i="14"/>
  <c r="L622" i="14"/>
  <c r="K622" i="14"/>
  <c r="J622" i="14"/>
  <c r="I622" i="14"/>
  <c r="H622" i="14"/>
  <c r="G622" i="14"/>
  <c r="F622" i="14"/>
  <c r="E622" i="14"/>
  <c r="D622" i="14"/>
  <c r="C622" i="14"/>
  <c r="B622" i="14"/>
  <c r="A622" i="14" s="1"/>
  <c r="P621" i="14"/>
  <c r="O621" i="14"/>
  <c r="N621" i="14"/>
  <c r="M621" i="14"/>
  <c r="L621" i="14"/>
  <c r="K621" i="14"/>
  <c r="J621" i="14"/>
  <c r="I621" i="14"/>
  <c r="H621" i="14"/>
  <c r="G621" i="14"/>
  <c r="F621" i="14"/>
  <c r="E621" i="14"/>
  <c r="D621" i="14"/>
  <c r="C621" i="14"/>
  <c r="B621" i="14"/>
  <c r="A621" i="14" s="1"/>
  <c r="P620" i="14"/>
  <c r="O620" i="14"/>
  <c r="N620" i="14"/>
  <c r="M620" i="14"/>
  <c r="L620" i="14"/>
  <c r="K620" i="14"/>
  <c r="J620" i="14"/>
  <c r="I620" i="14"/>
  <c r="H620" i="14"/>
  <c r="G620" i="14"/>
  <c r="F620" i="14"/>
  <c r="E620" i="14"/>
  <c r="D620" i="14"/>
  <c r="C620" i="14"/>
  <c r="B620" i="14"/>
  <c r="A620" i="14" s="1"/>
  <c r="P619" i="14"/>
  <c r="O619" i="14"/>
  <c r="N619" i="14"/>
  <c r="M619" i="14"/>
  <c r="L619" i="14"/>
  <c r="K619" i="14"/>
  <c r="J619" i="14"/>
  <c r="I619" i="14"/>
  <c r="H619" i="14"/>
  <c r="G619" i="14"/>
  <c r="F619" i="14"/>
  <c r="E619" i="14"/>
  <c r="D619" i="14"/>
  <c r="C619" i="14"/>
  <c r="B619" i="14"/>
  <c r="A619" i="14" s="1"/>
  <c r="P618" i="14"/>
  <c r="O618" i="14"/>
  <c r="N618" i="14"/>
  <c r="M618" i="14"/>
  <c r="L618" i="14"/>
  <c r="K618" i="14"/>
  <c r="J618" i="14"/>
  <c r="I618" i="14"/>
  <c r="H618" i="14"/>
  <c r="G618" i="14"/>
  <c r="F618" i="14"/>
  <c r="E618" i="14"/>
  <c r="D618" i="14"/>
  <c r="C618" i="14"/>
  <c r="B618" i="14"/>
  <c r="A618" i="14" s="1"/>
  <c r="P617" i="14"/>
  <c r="O617" i="14"/>
  <c r="N617" i="14"/>
  <c r="M617" i="14"/>
  <c r="L617" i="14"/>
  <c r="K617" i="14"/>
  <c r="J617" i="14"/>
  <c r="I617" i="14"/>
  <c r="H617" i="14"/>
  <c r="G617" i="14"/>
  <c r="F617" i="14"/>
  <c r="E617" i="14"/>
  <c r="D617" i="14"/>
  <c r="C617" i="14"/>
  <c r="B617" i="14"/>
  <c r="A617" i="14" s="1"/>
  <c r="P616" i="14"/>
  <c r="O616" i="14"/>
  <c r="N616" i="14"/>
  <c r="M616" i="14"/>
  <c r="L616" i="14"/>
  <c r="K616" i="14"/>
  <c r="J616" i="14"/>
  <c r="I616" i="14"/>
  <c r="H616" i="14"/>
  <c r="G616" i="14"/>
  <c r="F616" i="14"/>
  <c r="E616" i="14"/>
  <c r="D616" i="14"/>
  <c r="C616" i="14"/>
  <c r="B616" i="14"/>
  <c r="A616" i="14" s="1"/>
  <c r="P615" i="14"/>
  <c r="O615" i="14"/>
  <c r="N615" i="14"/>
  <c r="M615" i="14"/>
  <c r="L615" i="14"/>
  <c r="K615" i="14"/>
  <c r="J615" i="14"/>
  <c r="I615" i="14"/>
  <c r="H615" i="14"/>
  <c r="G615" i="14"/>
  <c r="F615" i="14"/>
  <c r="E615" i="14"/>
  <c r="D615" i="14"/>
  <c r="C615" i="14"/>
  <c r="B615" i="14"/>
  <c r="A615" i="14" s="1"/>
  <c r="P614" i="14"/>
  <c r="O614" i="14"/>
  <c r="N614" i="14"/>
  <c r="M614" i="14"/>
  <c r="L614" i="14"/>
  <c r="K614" i="14"/>
  <c r="J614" i="14"/>
  <c r="I614" i="14"/>
  <c r="H614" i="14"/>
  <c r="G614" i="14"/>
  <c r="F614" i="14"/>
  <c r="E614" i="14"/>
  <c r="D614" i="14"/>
  <c r="C614" i="14"/>
  <c r="B614" i="14"/>
  <c r="A614" i="14" s="1"/>
  <c r="P613" i="14"/>
  <c r="O613" i="14"/>
  <c r="N613" i="14"/>
  <c r="M613" i="14"/>
  <c r="L613" i="14"/>
  <c r="K613" i="14"/>
  <c r="J613" i="14"/>
  <c r="I613" i="14"/>
  <c r="H613" i="14"/>
  <c r="G613" i="14"/>
  <c r="F613" i="14"/>
  <c r="E613" i="14"/>
  <c r="D613" i="14"/>
  <c r="C613" i="14"/>
  <c r="B613" i="14"/>
  <c r="A613" i="14" s="1"/>
  <c r="P612" i="14"/>
  <c r="O612" i="14"/>
  <c r="N612" i="14"/>
  <c r="M612" i="14"/>
  <c r="L612" i="14"/>
  <c r="K612" i="14"/>
  <c r="J612" i="14"/>
  <c r="I612" i="14"/>
  <c r="H612" i="14"/>
  <c r="G612" i="14"/>
  <c r="F612" i="14"/>
  <c r="E612" i="14"/>
  <c r="D612" i="14"/>
  <c r="C612" i="14"/>
  <c r="B612" i="14"/>
  <c r="A612" i="14" s="1"/>
  <c r="P611" i="14"/>
  <c r="O611" i="14"/>
  <c r="N611" i="14"/>
  <c r="M611" i="14"/>
  <c r="L611" i="14"/>
  <c r="K611" i="14"/>
  <c r="J611" i="14"/>
  <c r="I611" i="14"/>
  <c r="H611" i="14"/>
  <c r="G611" i="14"/>
  <c r="F611" i="14"/>
  <c r="E611" i="14"/>
  <c r="D611" i="14"/>
  <c r="C611" i="14"/>
  <c r="B611" i="14"/>
  <c r="A611" i="14" s="1"/>
  <c r="P610" i="14"/>
  <c r="O610" i="14"/>
  <c r="N610" i="14"/>
  <c r="M610" i="14"/>
  <c r="L610" i="14"/>
  <c r="K610" i="14"/>
  <c r="J610" i="14"/>
  <c r="I610" i="14"/>
  <c r="H610" i="14"/>
  <c r="G610" i="14"/>
  <c r="F610" i="14"/>
  <c r="E610" i="14"/>
  <c r="D610" i="14"/>
  <c r="C610" i="14"/>
  <c r="B610" i="14"/>
  <c r="A610" i="14" s="1"/>
  <c r="P609" i="14"/>
  <c r="O609" i="14"/>
  <c r="N609" i="14"/>
  <c r="M609" i="14"/>
  <c r="L609" i="14"/>
  <c r="K609" i="14"/>
  <c r="J609" i="14"/>
  <c r="I609" i="14"/>
  <c r="H609" i="14"/>
  <c r="G609" i="14"/>
  <c r="F609" i="14"/>
  <c r="E609" i="14"/>
  <c r="D609" i="14"/>
  <c r="C609" i="14"/>
  <c r="B609" i="14"/>
  <c r="A609" i="14" s="1"/>
  <c r="P608" i="14"/>
  <c r="O608" i="14"/>
  <c r="N608" i="14"/>
  <c r="M608" i="14"/>
  <c r="L608" i="14"/>
  <c r="K608" i="14"/>
  <c r="J608" i="14"/>
  <c r="I608" i="14"/>
  <c r="H608" i="14"/>
  <c r="G608" i="14"/>
  <c r="F608" i="14"/>
  <c r="E608" i="14"/>
  <c r="D608" i="14"/>
  <c r="C608" i="14"/>
  <c r="B608" i="14"/>
  <c r="A608" i="14" s="1"/>
  <c r="P607" i="14"/>
  <c r="O607" i="14"/>
  <c r="N607" i="14"/>
  <c r="M607" i="14"/>
  <c r="L607" i="14"/>
  <c r="K607" i="14"/>
  <c r="J607" i="14"/>
  <c r="I607" i="14"/>
  <c r="H607" i="14"/>
  <c r="G607" i="14"/>
  <c r="F607" i="14"/>
  <c r="E607" i="14"/>
  <c r="D607" i="14"/>
  <c r="C607" i="14"/>
  <c r="B607" i="14"/>
  <c r="A607" i="14" s="1"/>
  <c r="P606" i="14"/>
  <c r="O606" i="14"/>
  <c r="N606" i="14"/>
  <c r="M606" i="14"/>
  <c r="L606" i="14"/>
  <c r="K606" i="14"/>
  <c r="J606" i="14"/>
  <c r="I606" i="14"/>
  <c r="H606" i="14"/>
  <c r="G606" i="14"/>
  <c r="F606" i="14"/>
  <c r="E606" i="14"/>
  <c r="D606" i="14"/>
  <c r="C606" i="14"/>
  <c r="B606" i="14"/>
  <c r="A606" i="14" s="1"/>
  <c r="P605" i="14"/>
  <c r="O605" i="14"/>
  <c r="N605" i="14"/>
  <c r="M605" i="14"/>
  <c r="L605" i="14"/>
  <c r="K605" i="14"/>
  <c r="J605" i="14"/>
  <c r="I605" i="14"/>
  <c r="H605" i="14"/>
  <c r="G605" i="14"/>
  <c r="F605" i="14"/>
  <c r="E605" i="14"/>
  <c r="D605" i="14"/>
  <c r="C605" i="14"/>
  <c r="B605" i="14"/>
  <c r="A605" i="14" s="1"/>
  <c r="P604" i="14"/>
  <c r="O604" i="14"/>
  <c r="N604" i="14"/>
  <c r="M604" i="14"/>
  <c r="L604" i="14"/>
  <c r="K604" i="14"/>
  <c r="J604" i="14"/>
  <c r="I604" i="14"/>
  <c r="H604" i="14"/>
  <c r="G604" i="14"/>
  <c r="F604" i="14"/>
  <c r="E604" i="14"/>
  <c r="D604" i="14"/>
  <c r="C604" i="14"/>
  <c r="B604" i="14"/>
  <c r="A604" i="14" s="1"/>
  <c r="P603" i="14"/>
  <c r="O603" i="14"/>
  <c r="N603" i="14"/>
  <c r="M603" i="14"/>
  <c r="L603" i="14"/>
  <c r="K603" i="14"/>
  <c r="J603" i="14"/>
  <c r="I603" i="14"/>
  <c r="H603" i="14"/>
  <c r="G603" i="14"/>
  <c r="F603" i="14"/>
  <c r="E603" i="14"/>
  <c r="D603" i="14"/>
  <c r="C603" i="14"/>
  <c r="B603" i="14"/>
  <c r="A603" i="14" s="1"/>
  <c r="P602" i="14"/>
  <c r="O602" i="14"/>
  <c r="N602" i="14"/>
  <c r="M602" i="14"/>
  <c r="L602" i="14"/>
  <c r="K602" i="14"/>
  <c r="J602" i="14"/>
  <c r="I602" i="14"/>
  <c r="H602" i="14"/>
  <c r="G602" i="14"/>
  <c r="F602" i="14"/>
  <c r="E602" i="14"/>
  <c r="D602" i="14"/>
  <c r="C602" i="14"/>
  <c r="B602" i="14"/>
  <c r="A602" i="14" s="1"/>
  <c r="P601" i="14"/>
  <c r="O601" i="14"/>
  <c r="N601" i="14"/>
  <c r="M601" i="14"/>
  <c r="L601" i="14"/>
  <c r="K601" i="14"/>
  <c r="J601" i="14"/>
  <c r="I601" i="14"/>
  <c r="H601" i="14"/>
  <c r="G601" i="14"/>
  <c r="F601" i="14"/>
  <c r="E601" i="14"/>
  <c r="D601" i="14"/>
  <c r="C601" i="14"/>
  <c r="B601" i="14"/>
  <c r="A601" i="14" s="1"/>
  <c r="P600" i="14"/>
  <c r="O600" i="14"/>
  <c r="N600" i="14"/>
  <c r="M600" i="14"/>
  <c r="L600" i="14"/>
  <c r="K600" i="14"/>
  <c r="J600" i="14"/>
  <c r="I600" i="14"/>
  <c r="H600" i="14"/>
  <c r="G600" i="14"/>
  <c r="F600" i="14"/>
  <c r="E600" i="14"/>
  <c r="D600" i="14"/>
  <c r="C600" i="14"/>
  <c r="B600" i="14"/>
  <c r="A600" i="14" s="1"/>
  <c r="P599" i="14"/>
  <c r="O599" i="14"/>
  <c r="N599" i="14"/>
  <c r="M599" i="14"/>
  <c r="L599" i="14"/>
  <c r="K599" i="14"/>
  <c r="J599" i="14"/>
  <c r="I599" i="14"/>
  <c r="H599" i="14"/>
  <c r="G599" i="14"/>
  <c r="F599" i="14"/>
  <c r="E599" i="14"/>
  <c r="D599" i="14"/>
  <c r="C599" i="14"/>
  <c r="B599" i="14"/>
  <c r="A599" i="14" s="1"/>
  <c r="P598" i="14"/>
  <c r="O598" i="14"/>
  <c r="N598" i="14"/>
  <c r="M598" i="14"/>
  <c r="L598" i="14"/>
  <c r="K598" i="14"/>
  <c r="J598" i="14"/>
  <c r="I598" i="14"/>
  <c r="H598" i="14"/>
  <c r="G598" i="14"/>
  <c r="F598" i="14"/>
  <c r="E598" i="14"/>
  <c r="D598" i="14"/>
  <c r="C598" i="14"/>
  <c r="B598" i="14"/>
  <c r="A598" i="14" s="1"/>
  <c r="P597" i="14"/>
  <c r="O597" i="14"/>
  <c r="N597" i="14"/>
  <c r="M597" i="14"/>
  <c r="L597" i="14"/>
  <c r="K597" i="14"/>
  <c r="J597" i="14"/>
  <c r="I597" i="14"/>
  <c r="H597" i="14"/>
  <c r="G597" i="14"/>
  <c r="F597" i="14"/>
  <c r="E597" i="14"/>
  <c r="D597" i="14"/>
  <c r="C597" i="14"/>
  <c r="B597" i="14"/>
  <c r="A597" i="14" s="1"/>
  <c r="P596" i="14"/>
  <c r="O596" i="14"/>
  <c r="N596" i="14"/>
  <c r="M596" i="14"/>
  <c r="L596" i="14"/>
  <c r="K596" i="14"/>
  <c r="J596" i="14"/>
  <c r="I596" i="14"/>
  <c r="H596" i="14"/>
  <c r="G596" i="14"/>
  <c r="F596" i="14"/>
  <c r="E596" i="14"/>
  <c r="D596" i="14"/>
  <c r="C596" i="14"/>
  <c r="B596" i="14"/>
  <c r="A596" i="14" s="1"/>
  <c r="P595" i="14"/>
  <c r="O595" i="14"/>
  <c r="N595" i="14"/>
  <c r="M595" i="14"/>
  <c r="L595" i="14"/>
  <c r="K595" i="14"/>
  <c r="J595" i="14"/>
  <c r="I595" i="14"/>
  <c r="H595" i="14"/>
  <c r="G595" i="14"/>
  <c r="F595" i="14"/>
  <c r="E595" i="14"/>
  <c r="D595" i="14"/>
  <c r="C595" i="14"/>
  <c r="B595" i="14"/>
  <c r="A595" i="14" s="1"/>
  <c r="P594" i="14"/>
  <c r="O594" i="14"/>
  <c r="N594" i="14"/>
  <c r="M594" i="14"/>
  <c r="L594" i="14"/>
  <c r="K594" i="14"/>
  <c r="J594" i="14"/>
  <c r="I594" i="14"/>
  <c r="H594" i="14"/>
  <c r="G594" i="14"/>
  <c r="F594" i="14"/>
  <c r="E594" i="14"/>
  <c r="D594" i="14"/>
  <c r="C594" i="14"/>
  <c r="B594" i="14"/>
  <c r="A594" i="14" s="1"/>
  <c r="P593" i="14"/>
  <c r="O593" i="14"/>
  <c r="N593" i="14"/>
  <c r="M593" i="14"/>
  <c r="L593" i="14"/>
  <c r="K593" i="14"/>
  <c r="J593" i="14"/>
  <c r="I593" i="14"/>
  <c r="H593" i="14"/>
  <c r="G593" i="14"/>
  <c r="F593" i="14"/>
  <c r="E593" i="14"/>
  <c r="D593" i="14"/>
  <c r="C593" i="14"/>
  <c r="B593" i="14"/>
  <c r="A593" i="14" s="1"/>
  <c r="P592" i="14"/>
  <c r="O592" i="14"/>
  <c r="N592" i="14"/>
  <c r="M592" i="14"/>
  <c r="L592" i="14"/>
  <c r="K592" i="14"/>
  <c r="J592" i="14"/>
  <c r="I592" i="14"/>
  <c r="H592" i="14"/>
  <c r="G592" i="14"/>
  <c r="F592" i="14"/>
  <c r="E592" i="14"/>
  <c r="D592" i="14"/>
  <c r="C592" i="14"/>
  <c r="B592" i="14"/>
  <c r="A592" i="14" s="1"/>
  <c r="P591" i="14"/>
  <c r="O591" i="14"/>
  <c r="N591" i="14"/>
  <c r="M591" i="14"/>
  <c r="L591" i="14"/>
  <c r="K591" i="14"/>
  <c r="J591" i="14"/>
  <c r="I591" i="14"/>
  <c r="H591" i="14"/>
  <c r="G591" i="14"/>
  <c r="F591" i="14"/>
  <c r="E591" i="14"/>
  <c r="D591" i="14"/>
  <c r="C591" i="14"/>
  <c r="B591" i="14"/>
  <c r="A591" i="14" s="1"/>
  <c r="P590" i="14"/>
  <c r="O590" i="14"/>
  <c r="N590" i="14"/>
  <c r="M590" i="14"/>
  <c r="L590" i="14"/>
  <c r="K590" i="14"/>
  <c r="J590" i="14"/>
  <c r="I590" i="14"/>
  <c r="H590" i="14"/>
  <c r="G590" i="14"/>
  <c r="F590" i="14"/>
  <c r="E590" i="14"/>
  <c r="D590" i="14"/>
  <c r="C590" i="14"/>
  <c r="B590" i="14"/>
  <c r="A590" i="14" s="1"/>
  <c r="P589" i="14"/>
  <c r="O589" i="14"/>
  <c r="N589" i="14"/>
  <c r="M589" i="14"/>
  <c r="L589" i="14"/>
  <c r="K589" i="14"/>
  <c r="J589" i="14"/>
  <c r="I589" i="14"/>
  <c r="H589" i="14"/>
  <c r="G589" i="14"/>
  <c r="F589" i="14"/>
  <c r="E589" i="14"/>
  <c r="D589" i="14"/>
  <c r="C589" i="14"/>
  <c r="B589" i="14"/>
  <c r="A589" i="14" s="1"/>
  <c r="P588" i="14"/>
  <c r="O588" i="14"/>
  <c r="N588" i="14"/>
  <c r="M588" i="14"/>
  <c r="L588" i="14"/>
  <c r="K588" i="14"/>
  <c r="J588" i="14"/>
  <c r="I588" i="14"/>
  <c r="H588" i="14"/>
  <c r="G588" i="14"/>
  <c r="F588" i="14"/>
  <c r="E588" i="14"/>
  <c r="D588" i="14"/>
  <c r="C588" i="14"/>
  <c r="B588" i="14"/>
  <c r="A588" i="14" s="1"/>
  <c r="P587" i="14"/>
  <c r="O587" i="14"/>
  <c r="N587" i="14"/>
  <c r="M587" i="14"/>
  <c r="L587" i="14"/>
  <c r="K587" i="14"/>
  <c r="J587" i="14"/>
  <c r="I587" i="14"/>
  <c r="H587" i="14"/>
  <c r="G587" i="14"/>
  <c r="F587" i="14"/>
  <c r="E587" i="14"/>
  <c r="D587" i="14"/>
  <c r="C587" i="14"/>
  <c r="B587" i="14"/>
  <c r="A587" i="14" s="1"/>
  <c r="P586" i="14"/>
  <c r="O586" i="14"/>
  <c r="N586" i="14"/>
  <c r="M586" i="14"/>
  <c r="L586" i="14"/>
  <c r="K586" i="14"/>
  <c r="J586" i="14"/>
  <c r="I586" i="14"/>
  <c r="H586" i="14"/>
  <c r="G586" i="14"/>
  <c r="F586" i="14"/>
  <c r="E586" i="14"/>
  <c r="D586" i="14"/>
  <c r="C586" i="14"/>
  <c r="B586" i="14"/>
  <c r="A586" i="14" s="1"/>
  <c r="P585" i="14"/>
  <c r="O585" i="14"/>
  <c r="N585" i="14"/>
  <c r="M585" i="14"/>
  <c r="L585" i="14"/>
  <c r="K585" i="14"/>
  <c r="J585" i="14"/>
  <c r="I585" i="14"/>
  <c r="H585" i="14"/>
  <c r="G585" i="14"/>
  <c r="F585" i="14"/>
  <c r="E585" i="14"/>
  <c r="D585" i="14"/>
  <c r="C585" i="14"/>
  <c r="B585" i="14"/>
  <c r="A585" i="14" s="1"/>
  <c r="P584" i="14"/>
  <c r="O584" i="14"/>
  <c r="N584" i="14"/>
  <c r="M584" i="14"/>
  <c r="L584" i="14"/>
  <c r="K584" i="14"/>
  <c r="J584" i="14"/>
  <c r="I584" i="14"/>
  <c r="H584" i="14"/>
  <c r="G584" i="14"/>
  <c r="F584" i="14"/>
  <c r="E584" i="14"/>
  <c r="D584" i="14"/>
  <c r="C584" i="14"/>
  <c r="B584" i="14"/>
  <c r="A584" i="14" s="1"/>
  <c r="P583" i="14"/>
  <c r="O583" i="14"/>
  <c r="N583" i="14"/>
  <c r="M583" i="14"/>
  <c r="L583" i="14"/>
  <c r="K583" i="14"/>
  <c r="J583" i="14"/>
  <c r="I583" i="14"/>
  <c r="H583" i="14"/>
  <c r="G583" i="14"/>
  <c r="F583" i="14"/>
  <c r="E583" i="14"/>
  <c r="D583" i="14"/>
  <c r="C583" i="14"/>
  <c r="B583" i="14"/>
  <c r="A583" i="14" s="1"/>
  <c r="P582" i="14"/>
  <c r="O582" i="14"/>
  <c r="N582" i="14"/>
  <c r="M582" i="14"/>
  <c r="L582" i="14"/>
  <c r="K582" i="14"/>
  <c r="J582" i="14"/>
  <c r="I582" i="14"/>
  <c r="H582" i="14"/>
  <c r="G582" i="14"/>
  <c r="F582" i="14"/>
  <c r="E582" i="14"/>
  <c r="D582" i="14"/>
  <c r="C582" i="14"/>
  <c r="B582" i="14"/>
  <c r="A582" i="14" s="1"/>
  <c r="P581" i="14"/>
  <c r="O581" i="14"/>
  <c r="N581" i="14"/>
  <c r="M581" i="14"/>
  <c r="L581" i="14"/>
  <c r="K581" i="14"/>
  <c r="J581" i="14"/>
  <c r="I581" i="14"/>
  <c r="H581" i="14"/>
  <c r="G581" i="14"/>
  <c r="F581" i="14"/>
  <c r="E581" i="14"/>
  <c r="D581" i="14"/>
  <c r="C581" i="14"/>
  <c r="B581" i="14"/>
  <c r="A581" i="14" s="1"/>
  <c r="P580" i="14"/>
  <c r="O580" i="14"/>
  <c r="N580" i="14"/>
  <c r="M580" i="14"/>
  <c r="L580" i="14"/>
  <c r="K580" i="14"/>
  <c r="J580" i="14"/>
  <c r="I580" i="14"/>
  <c r="H580" i="14"/>
  <c r="G580" i="14"/>
  <c r="F580" i="14"/>
  <c r="E580" i="14"/>
  <c r="D580" i="14"/>
  <c r="C580" i="14"/>
  <c r="B580" i="14"/>
  <c r="A580" i="14" s="1"/>
  <c r="P579" i="14"/>
  <c r="O579" i="14"/>
  <c r="N579" i="14"/>
  <c r="M579" i="14"/>
  <c r="L579" i="14"/>
  <c r="K579" i="14"/>
  <c r="J579" i="14"/>
  <c r="I579" i="14"/>
  <c r="H579" i="14"/>
  <c r="G579" i="14"/>
  <c r="F579" i="14"/>
  <c r="E579" i="14"/>
  <c r="D579" i="14"/>
  <c r="C579" i="14"/>
  <c r="B579" i="14"/>
  <c r="A579" i="14" s="1"/>
  <c r="P578" i="14"/>
  <c r="O578" i="14"/>
  <c r="N578" i="14"/>
  <c r="M578" i="14"/>
  <c r="L578" i="14"/>
  <c r="K578" i="14"/>
  <c r="J578" i="14"/>
  <c r="I578" i="14"/>
  <c r="H578" i="14"/>
  <c r="G578" i="14"/>
  <c r="F578" i="14"/>
  <c r="E578" i="14"/>
  <c r="D578" i="14"/>
  <c r="C578" i="14"/>
  <c r="B578" i="14"/>
  <c r="A578" i="14" s="1"/>
  <c r="P577" i="14"/>
  <c r="O577" i="14"/>
  <c r="N577" i="14"/>
  <c r="M577" i="14"/>
  <c r="L577" i="14"/>
  <c r="K577" i="14"/>
  <c r="J577" i="14"/>
  <c r="I577" i="14"/>
  <c r="H577" i="14"/>
  <c r="G577" i="14"/>
  <c r="F577" i="14"/>
  <c r="E577" i="14"/>
  <c r="D577" i="14"/>
  <c r="C577" i="14"/>
  <c r="B577" i="14"/>
  <c r="A577" i="14" s="1"/>
  <c r="P576" i="14"/>
  <c r="O576" i="14"/>
  <c r="N576" i="14"/>
  <c r="M576" i="14"/>
  <c r="L576" i="14"/>
  <c r="K576" i="14"/>
  <c r="J576" i="14"/>
  <c r="I576" i="14"/>
  <c r="H576" i="14"/>
  <c r="G576" i="14"/>
  <c r="F576" i="14"/>
  <c r="E576" i="14"/>
  <c r="D576" i="14"/>
  <c r="C576" i="14"/>
  <c r="B576" i="14"/>
  <c r="A576" i="14" s="1"/>
  <c r="P575" i="14"/>
  <c r="O575" i="14"/>
  <c r="N575" i="14"/>
  <c r="M575" i="14"/>
  <c r="L575" i="14"/>
  <c r="K575" i="14"/>
  <c r="J575" i="14"/>
  <c r="I575" i="14"/>
  <c r="H575" i="14"/>
  <c r="G575" i="14"/>
  <c r="F575" i="14"/>
  <c r="E575" i="14"/>
  <c r="D575" i="14"/>
  <c r="C575" i="14"/>
  <c r="B575" i="14"/>
  <c r="A575" i="14" s="1"/>
  <c r="P574" i="14"/>
  <c r="O574" i="14"/>
  <c r="N574" i="14"/>
  <c r="M574" i="14"/>
  <c r="L574" i="14"/>
  <c r="K574" i="14"/>
  <c r="J574" i="14"/>
  <c r="I574" i="14"/>
  <c r="H574" i="14"/>
  <c r="G574" i="14"/>
  <c r="F574" i="14"/>
  <c r="E574" i="14"/>
  <c r="D574" i="14"/>
  <c r="C574" i="14"/>
  <c r="B574" i="14"/>
  <c r="A574" i="14" s="1"/>
  <c r="P573" i="14"/>
  <c r="O573" i="14"/>
  <c r="N573" i="14"/>
  <c r="M573" i="14"/>
  <c r="L573" i="14"/>
  <c r="K573" i="14"/>
  <c r="J573" i="14"/>
  <c r="I573" i="14"/>
  <c r="H573" i="14"/>
  <c r="G573" i="14"/>
  <c r="F573" i="14"/>
  <c r="E573" i="14"/>
  <c r="D573" i="14"/>
  <c r="C573" i="14"/>
  <c r="B573" i="14"/>
  <c r="A573" i="14" s="1"/>
  <c r="P572" i="14"/>
  <c r="O572" i="14"/>
  <c r="N572" i="14"/>
  <c r="M572" i="14"/>
  <c r="L572" i="14"/>
  <c r="K572" i="14"/>
  <c r="J572" i="14"/>
  <c r="I572" i="14"/>
  <c r="H572" i="14"/>
  <c r="G572" i="14"/>
  <c r="F572" i="14"/>
  <c r="E572" i="14"/>
  <c r="D572" i="14"/>
  <c r="C572" i="14"/>
  <c r="B572" i="14"/>
  <c r="A572" i="14" s="1"/>
  <c r="P571" i="14"/>
  <c r="O571" i="14"/>
  <c r="N571" i="14"/>
  <c r="M571" i="14"/>
  <c r="L571" i="14"/>
  <c r="K571" i="14"/>
  <c r="J571" i="14"/>
  <c r="I571" i="14"/>
  <c r="H571" i="14"/>
  <c r="G571" i="14"/>
  <c r="F571" i="14"/>
  <c r="E571" i="14"/>
  <c r="D571" i="14"/>
  <c r="C571" i="14"/>
  <c r="B571" i="14"/>
  <c r="A571" i="14" s="1"/>
  <c r="P570" i="14"/>
  <c r="O570" i="14"/>
  <c r="N570" i="14"/>
  <c r="M570" i="14"/>
  <c r="L570" i="14"/>
  <c r="K570" i="14"/>
  <c r="J570" i="14"/>
  <c r="I570" i="14"/>
  <c r="H570" i="14"/>
  <c r="G570" i="14"/>
  <c r="F570" i="14"/>
  <c r="E570" i="14"/>
  <c r="D570" i="14"/>
  <c r="C570" i="14"/>
  <c r="B570" i="14"/>
  <c r="A570" i="14" s="1"/>
  <c r="P569" i="14"/>
  <c r="O569" i="14"/>
  <c r="N569" i="14"/>
  <c r="M569" i="14"/>
  <c r="L569" i="14"/>
  <c r="K569" i="14"/>
  <c r="J569" i="14"/>
  <c r="I569" i="14"/>
  <c r="H569" i="14"/>
  <c r="G569" i="14"/>
  <c r="F569" i="14"/>
  <c r="E569" i="14"/>
  <c r="D569" i="14"/>
  <c r="C569" i="14"/>
  <c r="B569" i="14"/>
  <c r="A569" i="14" s="1"/>
  <c r="P568" i="14"/>
  <c r="O568" i="14"/>
  <c r="N568" i="14"/>
  <c r="M568" i="14"/>
  <c r="L568" i="14"/>
  <c r="K568" i="14"/>
  <c r="J568" i="14"/>
  <c r="I568" i="14"/>
  <c r="H568" i="14"/>
  <c r="G568" i="14"/>
  <c r="F568" i="14"/>
  <c r="E568" i="14"/>
  <c r="D568" i="14"/>
  <c r="C568" i="14"/>
  <c r="B568" i="14"/>
  <c r="A568" i="14" s="1"/>
  <c r="P567" i="14"/>
  <c r="O567" i="14"/>
  <c r="N567" i="14"/>
  <c r="M567" i="14"/>
  <c r="L567" i="14"/>
  <c r="K567" i="14"/>
  <c r="J567" i="14"/>
  <c r="I567" i="14"/>
  <c r="H567" i="14"/>
  <c r="G567" i="14"/>
  <c r="F567" i="14"/>
  <c r="E567" i="14"/>
  <c r="D567" i="14"/>
  <c r="C567" i="14"/>
  <c r="B567" i="14"/>
  <c r="A567" i="14" s="1"/>
  <c r="P566" i="14"/>
  <c r="O566" i="14"/>
  <c r="N566" i="14"/>
  <c r="M566" i="14"/>
  <c r="L566" i="14"/>
  <c r="K566" i="14"/>
  <c r="J566" i="14"/>
  <c r="I566" i="14"/>
  <c r="H566" i="14"/>
  <c r="G566" i="14"/>
  <c r="F566" i="14"/>
  <c r="E566" i="14"/>
  <c r="D566" i="14"/>
  <c r="C566" i="14"/>
  <c r="B566" i="14"/>
  <c r="A566" i="14" s="1"/>
  <c r="P565" i="14"/>
  <c r="O565" i="14"/>
  <c r="N565" i="14"/>
  <c r="M565" i="14"/>
  <c r="L565" i="14"/>
  <c r="K565" i="14"/>
  <c r="J565" i="14"/>
  <c r="I565" i="14"/>
  <c r="H565" i="14"/>
  <c r="G565" i="14"/>
  <c r="F565" i="14"/>
  <c r="E565" i="14"/>
  <c r="D565" i="14"/>
  <c r="C565" i="14"/>
  <c r="B565" i="14"/>
  <c r="A565" i="14" s="1"/>
  <c r="P564" i="14"/>
  <c r="O564" i="14"/>
  <c r="N564" i="14"/>
  <c r="M564" i="14"/>
  <c r="L564" i="14"/>
  <c r="K564" i="14"/>
  <c r="J564" i="14"/>
  <c r="I564" i="14"/>
  <c r="H564" i="14"/>
  <c r="G564" i="14"/>
  <c r="F564" i="14"/>
  <c r="E564" i="14"/>
  <c r="D564" i="14"/>
  <c r="C564" i="14"/>
  <c r="B564" i="14"/>
  <c r="A564" i="14" s="1"/>
  <c r="P563" i="14"/>
  <c r="O563" i="14"/>
  <c r="N563" i="14"/>
  <c r="M563" i="14"/>
  <c r="L563" i="14"/>
  <c r="K563" i="14"/>
  <c r="J563" i="14"/>
  <c r="I563" i="14"/>
  <c r="H563" i="14"/>
  <c r="G563" i="14"/>
  <c r="F563" i="14"/>
  <c r="E563" i="14"/>
  <c r="D563" i="14"/>
  <c r="C563" i="14"/>
  <c r="B563" i="14"/>
  <c r="A563" i="14" s="1"/>
  <c r="P562" i="14"/>
  <c r="O562" i="14"/>
  <c r="N562" i="14"/>
  <c r="M562" i="14"/>
  <c r="L562" i="14"/>
  <c r="K562" i="14"/>
  <c r="J562" i="14"/>
  <c r="I562" i="14"/>
  <c r="H562" i="14"/>
  <c r="G562" i="14"/>
  <c r="F562" i="14"/>
  <c r="E562" i="14"/>
  <c r="D562" i="14"/>
  <c r="C562" i="14"/>
  <c r="B562" i="14"/>
  <c r="A562" i="14" s="1"/>
  <c r="P561" i="14"/>
  <c r="O561" i="14"/>
  <c r="N561" i="14"/>
  <c r="M561" i="14"/>
  <c r="L561" i="14"/>
  <c r="K561" i="14"/>
  <c r="J561" i="14"/>
  <c r="I561" i="14"/>
  <c r="H561" i="14"/>
  <c r="G561" i="14"/>
  <c r="F561" i="14"/>
  <c r="E561" i="14"/>
  <c r="D561" i="14"/>
  <c r="C561" i="14"/>
  <c r="B561" i="14"/>
  <c r="A561" i="14" s="1"/>
  <c r="P560" i="14"/>
  <c r="O560" i="14"/>
  <c r="N560" i="14"/>
  <c r="M560" i="14"/>
  <c r="L560" i="14"/>
  <c r="K560" i="14"/>
  <c r="J560" i="14"/>
  <c r="I560" i="14"/>
  <c r="H560" i="14"/>
  <c r="G560" i="14"/>
  <c r="F560" i="14"/>
  <c r="E560" i="14"/>
  <c r="D560" i="14"/>
  <c r="C560" i="14"/>
  <c r="B560" i="14"/>
  <c r="A560" i="14" s="1"/>
  <c r="P559" i="14"/>
  <c r="O559" i="14"/>
  <c r="N559" i="14"/>
  <c r="M559" i="14"/>
  <c r="L559" i="14"/>
  <c r="K559" i="14"/>
  <c r="J559" i="14"/>
  <c r="I559" i="14"/>
  <c r="H559" i="14"/>
  <c r="G559" i="14"/>
  <c r="F559" i="14"/>
  <c r="E559" i="14"/>
  <c r="D559" i="14"/>
  <c r="C559" i="14"/>
  <c r="B559" i="14"/>
  <c r="A559" i="14" s="1"/>
  <c r="P558" i="14"/>
  <c r="O558" i="14"/>
  <c r="N558" i="14"/>
  <c r="M558" i="14"/>
  <c r="L558" i="14"/>
  <c r="K558" i="14"/>
  <c r="J558" i="14"/>
  <c r="I558" i="14"/>
  <c r="H558" i="14"/>
  <c r="G558" i="14"/>
  <c r="F558" i="14"/>
  <c r="E558" i="14"/>
  <c r="D558" i="14"/>
  <c r="C558" i="14"/>
  <c r="B558" i="14"/>
  <c r="A558" i="14" s="1"/>
  <c r="P557" i="14"/>
  <c r="O557" i="14"/>
  <c r="N557" i="14"/>
  <c r="M557" i="14"/>
  <c r="L557" i="14"/>
  <c r="K557" i="14"/>
  <c r="J557" i="14"/>
  <c r="I557" i="14"/>
  <c r="H557" i="14"/>
  <c r="G557" i="14"/>
  <c r="F557" i="14"/>
  <c r="E557" i="14"/>
  <c r="D557" i="14"/>
  <c r="C557" i="14"/>
  <c r="B557" i="14"/>
  <c r="A557" i="14" s="1"/>
  <c r="P556" i="14"/>
  <c r="O556" i="14"/>
  <c r="N556" i="14"/>
  <c r="M556" i="14"/>
  <c r="L556" i="14"/>
  <c r="K556" i="14"/>
  <c r="J556" i="14"/>
  <c r="I556" i="14"/>
  <c r="H556" i="14"/>
  <c r="G556" i="14"/>
  <c r="F556" i="14"/>
  <c r="E556" i="14"/>
  <c r="D556" i="14"/>
  <c r="C556" i="14"/>
  <c r="B556" i="14"/>
  <c r="A556" i="14" s="1"/>
  <c r="P555" i="14"/>
  <c r="O555" i="14"/>
  <c r="N555" i="14"/>
  <c r="M555" i="14"/>
  <c r="L555" i="14"/>
  <c r="K555" i="14"/>
  <c r="J555" i="14"/>
  <c r="I555" i="14"/>
  <c r="H555" i="14"/>
  <c r="G555" i="14"/>
  <c r="F555" i="14"/>
  <c r="E555" i="14"/>
  <c r="D555" i="14"/>
  <c r="C555" i="14"/>
  <c r="B555" i="14"/>
  <c r="A555" i="14" s="1"/>
  <c r="P554" i="14"/>
  <c r="O554" i="14"/>
  <c r="N554" i="14"/>
  <c r="M554" i="14"/>
  <c r="L554" i="14"/>
  <c r="K554" i="14"/>
  <c r="J554" i="14"/>
  <c r="I554" i="14"/>
  <c r="H554" i="14"/>
  <c r="G554" i="14"/>
  <c r="F554" i="14"/>
  <c r="E554" i="14"/>
  <c r="D554" i="14"/>
  <c r="C554" i="14"/>
  <c r="B554" i="14"/>
  <c r="A554" i="14" s="1"/>
  <c r="P553" i="14"/>
  <c r="O553" i="14"/>
  <c r="N553" i="14"/>
  <c r="M553" i="14"/>
  <c r="L553" i="14"/>
  <c r="K553" i="14"/>
  <c r="J553" i="14"/>
  <c r="I553" i="14"/>
  <c r="H553" i="14"/>
  <c r="G553" i="14"/>
  <c r="F553" i="14"/>
  <c r="E553" i="14"/>
  <c r="D553" i="14"/>
  <c r="C553" i="14"/>
  <c r="B553" i="14"/>
  <c r="A553" i="14" s="1"/>
  <c r="P552" i="14"/>
  <c r="O552" i="14"/>
  <c r="N552" i="14"/>
  <c r="M552" i="14"/>
  <c r="L552" i="14"/>
  <c r="K552" i="14"/>
  <c r="J552" i="14"/>
  <c r="I552" i="14"/>
  <c r="H552" i="14"/>
  <c r="G552" i="14"/>
  <c r="F552" i="14"/>
  <c r="E552" i="14"/>
  <c r="D552" i="14"/>
  <c r="C552" i="14"/>
  <c r="B552" i="14"/>
  <c r="A552" i="14" s="1"/>
  <c r="P551" i="14"/>
  <c r="O551" i="14"/>
  <c r="N551" i="14"/>
  <c r="M551" i="14"/>
  <c r="L551" i="14"/>
  <c r="K551" i="14"/>
  <c r="J551" i="14"/>
  <c r="I551" i="14"/>
  <c r="H551" i="14"/>
  <c r="G551" i="14"/>
  <c r="F551" i="14"/>
  <c r="E551" i="14"/>
  <c r="D551" i="14"/>
  <c r="C551" i="14"/>
  <c r="B551" i="14"/>
  <c r="A551" i="14" s="1"/>
  <c r="P550" i="14"/>
  <c r="O550" i="14"/>
  <c r="N550" i="14"/>
  <c r="M550" i="14"/>
  <c r="L550" i="14"/>
  <c r="K550" i="14"/>
  <c r="J550" i="14"/>
  <c r="I550" i="14"/>
  <c r="H550" i="14"/>
  <c r="G550" i="14"/>
  <c r="F550" i="14"/>
  <c r="E550" i="14"/>
  <c r="D550" i="14"/>
  <c r="C550" i="14"/>
  <c r="B550" i="14"/>
  <c r="A550" i="14" s="1"/>
  <c r="P549" i="14"/>
  <c r="O549" i="14"/>
  <c r="N549" i="14"/>
  <c r="M549" i="14"/>
  <c r="L549" i="14"/>
  <c r="K549" i="14"/>
  <c r="J549" i="14"/>
  <c r="I549" i="14"/>
  <c r="H549" i="14"/>
  <c r="G549" i="14"/>
  <c r="F549" i="14"/>
  <c r="E549" i="14"/>
  <c r="D549" i="14"/>
  <c r="C549" i="14"/>
  <c r="B549" i="14"/>
  <c r="A549" i="14" s="1"/>
  <c r="P548" i="14"/>
  <c r="O548" i="14"/>
  <c r="N548" i="14"/>
  <c r="M548" i="14"/>
  <c r="L548" i="14"/>
  <c r="K548" i="14"/>
  <c r="J548" i="14"/>
  <c r="I548" i="14"/>
  <c r="H548" i="14"/>
  <c r="G548" i="14"/>
  <c r="F548" i="14"/>
  <c r="E548" i="14"/>
  <c r="D548" i="14"/>
  <c r="C548" i="14"/>
  <c r="B548" i="14"/>
  <c r="A548" i="14" s="1"/>
  <c r="P547" i="14"/>
  <c r="O547" i="14"/>
  <c r="N547" i="14"/>
  <c r="M547" i="14"/>
  <c r="L547" i="14"/>
  <c r="K547" i="14"/>
  <c r="J547" i="14"/>
  <c r="I547" i="14"/>
  <c r="H547" i="14"/>
  <c r="G547" i="14"/>
  <c r="F547" i="14"/>
  <c r="E547" i="14"/>
  <c r="D547" i="14"/>
  <c r="C547" i="14"/>
  <c r="B547" i="14"/>
  <c r="A547" i="14" s="1"/>
  <c r="P546" i="14"/>
  <c r="O546" i="14"/>
  <c r="N546" i="14"/>
  <c r="M546" i="14"/>
  <c r="L546" i="14"/>
  <c r="K546" i="14"/>
  <c r="J546" i="14"/>
  <c r="I546" i="14"/>
  <c r="H546" i="14"/>
  <c r="G546" i="14"/>
  <c r="F546" i="14"/>
  <c r="E546" i="14"/>
  <c r="D546" i="14"/>
  <c r="C546" i="14"/>
  <c r="B546" i="14"/>
  <c r="A546" i="14" s="1"/>
  <c r="P545" i="14"/>
  <c r="O545" i="14"/>
  <c r="N545" i="14"/>
  <c r="M545" i="14"/>
  <c r="L545" i="14"/>
  <c r="K545" i="14"/>
  <c r="J545" i="14"/>
  <c r="I545" i="14"/>
  <c r="H545" i="14"/>
  <c r="G545" i="14"/>
  <c r="F545" i="14"/>
  <c r="E545" i="14"/>
  <c r="D545" i="14"/>
  <c r="C545" i="14"/>
  <c r="B545" i="14"/>
  <c r="A545" i="14" s="1"/>
  <c r="P544" i="14"/>
  <c r="O544" i="14"/>
  <c r="N544" i="14"/>
  <c r="M544" i="14"/>
  <c r="L544" i="14"/>
  <c r="K544" i="14"/>
  <c r="J544" i="14"/>
  <c r="I544" i="14"/>
  <c r="H544" i="14"/>
  <c r="G544" i="14"/>
  <c r="F544" i="14"/>
  <c r="E544" i="14"/>
  <c r="D544" i="14"/>
  <c r="C544" i="14"/>
  <c r="B544" i="14"/>
  <c r="A544" i="14" s="1"/>
  <c r="P543" i="14"/>
  <c r="O543" i="14"/>
  <c r="N543" i="14"/>
  <c r="M543" i="14"/>
  <c r="L543" i="14"/>
  <c r="K543" i="14"/>
  <c r="J543" i="14"/>
  <c r="I543" i="14"/>
  <c r="H543" i="14"/>
  <c r="G543" i="14"/>
  <c r="F543" i="14"/>
  <c r="E543" i="14"/>
  <c r="D543" i="14"/>
  <c r="C543" i="14"/>
  <c r="B543" i="14"/>
  <c r="A543" i="14" s="1"/>
  <c r="P542" i="14"/>
  <c r="O542" i="14"/>
  <c r="N542" i="14"/>
  <c r="M542" i="14"/>
  <c r="L542" i="14"/>
  <c r="K542" i="14"/>
  <c r="J542" i="14"/>
  <c r="I542" i="14"/>
  <c r="H542" i="14"/>
  <c r="G542" i="14"/>
  <c r="F542" i="14"/>
  <c r="E542" i="14"/>
  <c r="D542" i="14"/>
  <c r="C542" i="14"/>
  <c r="B542" i="14"/>
  <c r="A542" i="14" s="1"/>
  <c r="P541" i="14"/>
  <c r="O541" i="14"/>
  <c r="N541" i="14"/>
  <c r="M541" i="14"/>
  <c r="L541" i="14"/>
  <c r="K541" i="14"/>
  <c r="J541" i="14"/>
  <c r="I541" i="14"/>
  <c r="H541" i="14"/>
  <c r="G541" i="14"/>
  <c r="F541" i="14"/>
  <c r="E541" i="14"/>
  <c r="D541" i="14"/>
  <c r="C541" i="14"/>
  <c r="B541" i="14"/>
  <c r="A541" i="14" s="1"/>
  <c r="P540" i="14"/>
  <c r="O540" i="14"/>
  <c r="N540" i="14"/>
  <c r="M540" i="14"/>
  <c r="L540" i="14"/>
  <c r="K540" i="14"/>
  <c r="J540" i="14"/>
  <c r="I540" i="14"/>
  <c r="H540" i="14"/>
  <c r="G540" i="14"/>
  <c r="F540" i="14"/>
  <c r="E540" i="14"/>
  <c r="D540" i="14"/>
  <c r="C540" i="14"/>
  <c r="B540" i="14"/>
  <c r="A540" i="14" s="1"/>
  <c r="P539" i="14"/>
  <c r="O539" i="14"/>
  <c r="N539" i="14"/>
  <c r="M539" i="14"/>
  <c r="L539" i="14"/>
  <c r="K539" i="14"/>
  <c r="J539" i="14"/>
  <c r="I539" i="14"/>
  <c r="H539" i="14"/>
  <c r="G539" i="14"/>
  <c r="F539" i="14"/>
  <c r="E539" i="14"/>
  <c r="D539" i="14"/>
  <c r="C539" i="14"/>
  <c r="B539" i="14"/>
  <c r="A539" i="14" s="1"/>
  <c r="P538" i="14"/>
  <c r="O538" i="14"/>
  <c r="N538" i="14"/>
  <c r="M538" i="14"/>
  <c r="L538" i="14"/>
  <c r="K538" i="14"/>
  <c r="J538" i="14"/>
  <c r="I538" i="14"/>
  <c r="H538" i="14"/>
  <c r="G538" i="14"/>
  <c r="F538" i="14"/>
  <c r="E538" i="14"/>
  <c r="D538" i="14"/>
  <c r="C538" i="14"/>
  <c r="B538" i="14"/>
  <c r="A538" i="14" s="1"/>
  <c r="P537" i="14"/>
  <c r="O537" i="14"/>
  <c r="N537" i="14"/>
  <c r="M537" i="14"/>
  <c r="L537" i="14"/>
  <c r="K537" i="14"/>
  <c r="J537" i="14"/>
  <c r="I537" i="14"/>
  <c r="H537" i="14"/>
  <c r="G537" i="14"/>
  <c r="F537" i="14"/>
  <c r="E537" i="14"/>
  <c r="D537" i="14"/>
  <c r="C537" i="14"/>
  <c r="B537" i="14"/>
  <c r="A537" i="14" s="1"/>
  <c r="P536" i="14"/>
  <c r="O536" i="14"/>
  <c r="N536" i="14"/>
  <c r="M536" i="14"/>
  <c r="L536" i="14"/>
  <c r="K536" i="14"/>
  <c r="J536" i="14"/>
  <c r="I536" i="14"/>
  <c r="H536" i="14"/>
  <c r="G536" i="14"/>
  <c r="F536" i="14"/>
  <c r="E536" i="14"/>
  <c r="D536" i="14"/>
  <c r="C536" i="14"/>
  <c r="B536" i="14"/>
  <c r="A536" i="14" s="1"/>
  <c r="P535" i="14"/>
  <c r="O535" i="14"/>
  <c r="N535" i="14"/>
  <c r="M535" i="14"/>
  <c r="L535" i="14"/>
  <c r="K535" i="14"/>
  <c r="J535" i="14"/>
  <c r="I535" i="14"/>
  <c r="H535" i="14"/>
  <c r="G535" i="14"/>
  <c r="F535" i="14"/>
  <c r="E535" i="14"/>
  <c r="D535" i="14"/>
  <c r="C535" i="14"/>
  <c r="B535" i="14"/>
  <c r="A535" i="14" s="1"/>
  <c r="P534" i="14"/>
  <c r="O534" i="14"/>
  <c r="N534" i="14"/>
  <c r="M534" i="14"/>
  <c r="L534" i="14"/>
  <c r="K534" i="14"/>
  <c r="J534" i="14"/>
  <c r="I534" i="14"/>
  <c r="H534" i="14"/>
  <c r="G534" i="14"/>
  <c r="F534" i="14"/>
  <c r="E534" i="14"/>
  <c r="D534" i="14"/>
  <c r="C534" i="14"/>
  <c r="B534" i="14"/>
  <c r="A534" i="14" s="1"/>
  <c r="P533" i="14"/>
  <c r="O533" i="14"/>
  <c r="N533" i="14"/>
  <c r="M533" i="14"/>
  <c r="L533" i="14"/>
  <c r="K533" i="14"/>
  <c r="J533" i="14"/>
  <c r="I533" i="14"/>
  <c r="H533" i="14"/>
  <c r="G533" i="14"/>
  <c r="F533" i="14"/>
  <c r="E533" i="14"/>
  <c r="D533" i="14"/>
  <c r="C533" i="14"/>
  <c r="B533" i="14"/>
  <c r="A533" i="14" s="1"/>
  <c r="P532" i="14"/>
  <c r="O532" i="14"/>
  <c r="N532" i="14"/>
  <c r="M532" i="14"/>
  <c r="L532" i="14"/>
  <c r="K532" i="14"/>
  <c r="J532" i="14"/>
  <c r="I532" i="14"/>
  <c r="H532" i="14"/>
  <c r="G532" i="14"/>
  <c r="F532" i="14"/>
  <c r="E532" i="14"/>
  <c r="D532" i="14"/>
  <c r="C532" i="14"/>
  <c r="B532" i="14"/>
  <c r="A532" i="14" s="1"/>
  <c r="P531" i="14"/>
  <c r="O531" i="14"/>
  <c r="N531" i="14"/>
  <c r="M531" i="14"/>
  <c r="L531" i="14"/>
  <c r="K531" i="14"/>
  <c r="J531" i="14"/>
  <c r="I531" i="14"/>
  <c r="H531" i="14"/>
  <c r="G531" i="14"/>
  <c r="F531" i="14"/>
  <c r="E531" i="14"/>
  <c r="D531" i="14"/>
  <c r="C531" i="14"/>
  <c r="B531" i="14"/>
  <c r="A531" i="14" s="1"/>
  <c r="P530" i="14"/>
  <c r="O530" i="14"/>
  <c r="N530" i="14"/>
  <c r="M530" i="14"/>
  <c r="L530" i="14"/>
  <c r="K530" i="14"/>
  <c r="J530" i="14"/>
  <c r="I530" i="14"/>
  <c r="H530" i="14"/>
  <c r="G530" i="14"/>
  <c r="F530" i="14"/>
  <c r="E530" i="14"/>
  <c r="D530" i="14"/>
  <c r="C530" i="14"/>
  <c r="B530" i="14"/>
  <c r="A530" i="14" s="1"/>
  <c r="P529" i="14"/>
  <c r="O529" i="14"/>
  <c r="N529" i="14"/>
  <c r="M529" i="14"/>
  <c r="L529" i="14"/>
  <c r="K529" i="14"/>
  <c r="J529" i="14"/>
  <c r="I529" i="14"/>
  <c r="H529" i="14"/>
  <c r="G529" i="14"/>
  <c r="F529" i="14"/>
  <c r="E529" i="14"/>
  <c r="D529" i="14"/>
  <c r="C529" i="14"/>
  <c r="B529" i="14"/>
  <c r="A529" i="14" s="1"/>
  <c r="P528" i="14"/>
  <c r="O528" i="14"/>
  <c r="N528" i="14"/>
  <c r="M528" i="14"/>
  <c r="L528" i="14"/>
  <c r="K528" i="14"/>
  <c r="J528" i="14"/>
  <c r="I528" i="14"/>
  <c r="H528" i="14"/>
  <c r="G528" i="14"/>
  <c r="F528" i="14"/>
  <c r="E528" i="14"/>
  <c r="D528" i="14"/>
  <c r="C528" i="14"/>
  <c r="B528" i="14"/>
  <c r="A528" i="14" s="1"/>
  <c r="P527" i="14"/>
  <c r="O527" i="14"/>
  <c r="N527" i="14"/>
  <c r="M527" i="14"/>
  <c r="L527" i="14"/>
  <c r="K527" i="14"/>
  <c r="J527" i="14"/>
  <c r="I527" i="14"/>
  <c r="H527" i="14"/>
  <c r="G527" i="14"/>
  <c r="F527" i="14"/>
  <c r="E527" i="14"/>
  <c r="D527" i="14"/>
  <c r="C527" i="14"/>
  <c r="B527" i="14"/>
  <c r="A527" i="14" s="1"/>
  <c r="P526" i="14"/>
  <c r="O526" i="14"/>
  <c r="N526" i="14"/>
  <c r="M526" i="14"/>
  <c r="L526" i="14"/>
  <c r="K526" i="14"/>
  <c r="J526" i="14"/>
  <c r="I526" i="14"/>
  <c r="H526" i="14"/>
  <c r="G526" i="14"/>
  <c r="F526" i="14"/>
  <c r="E526" i="14"/>
  <c r="D526" i="14"/>
  <c r="C526" i="14"/>
  <c r="B526" i="14"/>
  <c r="A526" i="14" s="1"/>
  <c r="P525" i="14"/>
  <c r="O525" i="14"/>
  <c r="N525" i="14"/>
  <c r="M525" i="14"/>
  <c r="L525" i="14"/>
  <c r="K525" i="14"/>
  <c r="J525" i="14"/>
  <c r="I525" i="14"/>
  <c r="H525" i="14"/>
  <c r="G525" i="14"/>
  <c r="F525" i="14"/>
  <c r="E525" i="14"/>
  <c r="D525" i="14"/>
  <c r="C525" i="14"/>
  <c r="B525" i="14"/>
  <c r="A525" i="14" s="1"/>
  <c r="P524" i="14"/>
  <c r="O524" i="14"/>
  <c r="N524" i="14"/>
  <c r="M524" i="14"/>
  <c r="L524" i="14"/>
  <c r="K524" i="14"/>
  <c r="J524" i="14"/>
  <c r="I524" i="14"/>
  <c r="H524" i="14"/>
  <c r="G524" i="14"/>
  <c r="F524" i="14"/>
  <c r="E524" i="14"/>
  <c r="D524" i="14"/>
  <c r="C524" i="14"/>
  <c r="B524" i="14"/>
  <c r="A524" i="14" s="1"/>
  <c r="P523" i="14"/>
  <c r="O523" i="14"/>
  <c r="N523" i="14"/>
  <c r="M523" i="14"/>
  <c r="L523" i="14"/>
  <c r="K523" i="14"/>
  <c r="J523" i="14"/>
  <c r="I523" i="14"/>
  <c r="H523" i="14"/>
  <c r="G523" i="14"/>
  <c r="F523" i="14"/>
  <c r="E523" i="14"/>
  <c r="D523" i="14"/>
  <c r="C523" i="14"/>
  <c r="B523" i="14"/>
  <c r="A523" i="14" s="1"/>
  <c r="P522" i="14"/>
  <c r="O522" i="14"/>
  <c r="N522" i="14"/>
  <c r="M522" i="14"/>
  <c r="L522" i="14"/>
  <c r="K522" i="14"/>
  <c r="J522" i="14"/>
  <c r="I522" i="14"/>
  <c r="H522" i="14"/>
  <c r="G522" i="14"/>
  <c r="F522" i="14"/>
  <c r="E522" i="14"/>
  <c r="D522" i="14"/>
  <c r="C522" i="14"/>
  <c r="B522" i="14"/>
  <c r="A522" i="14" s="1"/>
  <c r="P521" i="14"/>
  <c r="O521" i="14"/>
  <c r="N521" i="14"/>
  <c r="M521" i="14"/>
  <c r="L521" i="14"/>
  <c r="K521" i="14"/>
  <c r="J521" i="14"/>
  <c r="I521" i="14"/>
  <c r="H521" i="14"/>
  <c r="G521" i="14"/>
  <c r="F521" i="14"/>
  <c r="E521" i="14"/>
  <c r="D521" i="14"/>
  <c r="C521" i="14"/>
  <c r="B521" i="14"/>
  <c r="A521" i="14" s="1"/>
  <c r="P520" i="14"/>
  <c r="O520" i="14"/>
  <c r="N520" i="14"/>
  <c r="M520" i="14"/>
  <c r="L520" i="14"/>
  <c r="K520" i="14"/>
  <c r="J520" i="14"/>
  <c r="I520" i="14"/>
  <c r="H520" i="14"/>
  <c r="G520" i="14"/>
  <c r="F520" i="14"/>
  <c r="E520" i="14"/>
  <c r="D520" i="14"/>
  <c r="C520" i="14"/>
  <c r="B520" i="14"/>
  <c r="A520" i="14" s="1"/>
  <c r="P519" i="14"/>
  <c r="O519" i="14"/>
  <c r="N519" i="14"/>
  <c r="M519" i="14"/>
  <c r="L519" i="14"/>
  <c r="K519" i="14"/>
  <c r="J519" i="14"/>
  <c r="I519" i="14"/>
  <c r="H519" i="14"/>
  <c r="G519" i="14"/>
  <c r="F519" i="14"/>
  <c r="E519" i="14"/>
  <c r="D519" i="14"/>
  <c r="C519" i="14"/>
  <c r="B519" i="14"/>
  <c r="A519" i="14" s="1"/>
  <c r="P518" i="14"/>
  <c r="O518" i="14"/>
  <c r="N518" i="14"/>
  <c r="M518" i="14"/>
  <c r="L518" i="14"/>
  <c r="K518" i="14"/>
  <c r="J518" i="14"/>
  <c r="I518" i="14"/>
  <c r="H518" i="14"/>
  <c r="G518" i="14"/>
  <c r="F518" i="14"/>
  <c r="E518" i="14"/>
  <c r="D518" i="14"/>
  <c r="C518" i="14"/>
  <c r="B518" i="14"/>
  <c r="A518" i="14" s="1"/>
  <c r="P517" i="14"/>
  <c r="O517" i="14"/>
  <c r="N517" i="14"/>
  <c r="M517" i="14"/>
  <c r="L517" i="14"/>
  <c r="K517" i="14"/>
  <c r="J517" i="14"/>
  <c r="I517" i="14"/>
  <c r="H517" i="14"/>
  <c r="G517" i="14"/>
  <c r="F517" i="14"/>
  <c r="E517" i="14"/>
  <c r="D517" i="14"/>
  <c r="C517" i="14"/>
  <c r="B517" i="14"/>
  <c r="A517" i="14" s="1"/>
  <c r="P516" i="14"/>
  <c r="O516" i="14"/>
  <c r="N516" i="14"/>
  <c r="M516" i="14"/>
  <c r="L516" i="14"/>
  <c r="K516" i="14"/>
  <c r="J516" i="14"/>
  <c r="I516" i="14"/>
  <c r="H516" i="14"/>
  <c r="G516" i="14"/>
  <c r="F516" i="14"/>
  <c r="E516" i="14"/>
  <c r="D516" i="14"/>
  <c r="C516" i="14"/>
  <c r="B516" i="14"/>
  <c r="A516" i="14" s="1"/>
  <c r="P515" i="14"/>
  <c r="O515" i="14"/>
  <c r="N515" i="14"/>
  <c r="M515" i="14"/>
  <c r="L515" i="14"/>
  <c r="K515" i="14"/>
  <c r="J515" i="14"/>
  <c r="I515" i="14"/>
  <c r="H515" i="14"/>
  <c r="G515" i="14"/>
  <c r="F515" i="14"/>
  <c r="E515" i="14"/>
  <c r="D515" i="14"/>
  <c r="C515" i="14"/>
  <c r="B515" i="14"/>
  <c r="A515" i="14" s="1"/>
  <c r="P514" i="14"/>
  <c r="O514" i="14"/>
  <c r="N514" i="14"/>
  <c r="M514" i="14"/>
  <c r="L514" i="14"/>
  <c r="K514" i="14"/>
  <c r="J514" i="14"/>
  <c r="I514" i="14"/>
  <c r="H514" i="14"/>
  <c r="G514" i="14"/>
  <c r="F514" i="14"/>
  <c r="E514" i="14"/>
  <c r="D514" i="14"/>
  <c r="C514" i="14"/>
  <c r="B514" i="14"/>
  <c r="A514" i="14" s="1"/>
  <c r="P513" i="14"/>
  <c r="O513" i="14"/>
  <c r="N513" i="14"/>
  <c r="M513" i="14"/>
  <c r="L513" i="14"/>
  <c r="K513" i="14"/>
  <c r="J513" i="14"/>
  <c r="I513" i="14"/>
  <c r="H513" i="14"/>
  <c r="G513" i="14"/>
  <c r="F513" i="14"/>
  <c r="E513" i="14"/>
  <c r="D513" i="14"/>
  <c r="C513" i="14"/>
  <c r="B513" i="14"/>
  <c r="A513" i="14" s="1"/>
  <c r="P512" i="14"/>
  <c r="O512" i="14"/>
  <c r="N512" i="14"/>
  <c r="M512" i="14"/>
  <c r="L512" i="14"/>
  <c r="K512" i="14"/>
  <c r="J512" i="14"/>
  <c r="I512" i="14"/>
  <c r="H512" i="14"/>
  <c r="G512" i="14"/>
  <c r="F512" i="14"/>
  <c r="E512" i="14"/>
  <c r="D512" i="14"/>
  <c r="C512" i="14"/>
  <c r="B512" i="14"/>
  <c r="A512" i="14" s="1"/>
  <c r="P511" i="14"/>
  <c r="O511" i="14"/>
  <c r="N511" i="14"/>
  <c r="M511" i="14"/>
  <c r="L511" i="14"/>
  <c r="K511" i="14"/>
  <c r="J511" i="14"/>
  <c r="I511" i="14"/>
  <c r="H511" i="14"/>
  <c r="G511" i="14"/>
  <c r="F511" i="14"/>
  <c r="E511" i="14"/>
  <c r="D511" i="14"/>
  <c r="C511" i="14"/>
  <c r="B511" i="14"/>
  <c r="A511" i="14" s="1"/>
  <c r="P510" i="14"/>
  <c r="O510" i="14"/>
  <c r="N510" i="14"/>
  <c r="M510" i="14"/>
  <c r="L510" i="14"/>
  <c r="K510" i="14"/>
  <c r="J510" i="14"/>
  <c r="I510" i="14"/>
  <c r="H510" i="14"/>
  <c r="G510" i="14"/>
  <c r="F510" i="14"/>
  <c r="E510" i="14"/>
  <c r="D510" i="14"/>
  <c r="C510" i="14"/>
  <c r="B510" i="14"/>
  <c r="A510" i="14" s="1"/>
  <c r="P509" i="14"/>
  <c r="O509" i="14"/>
  <c r="N509" i="14"/>
  <c r="M509" i="14"/>
  <c r="L509" i="14"/>
  <c r="K509" i="14"/>
  <c r="J509" i="14"/>
  <c r="I509" i="14"/>
  <c r="H509" i="14"/>
  <c r="G509" i="14"/>
  <c r="F509" i="14"/>
  <c r="E509" i="14"/>
  <c r="D509" i="14"/>
  <c r="C509" i="14"/>
  <c r="B509" i="14"/>
  <c r="A509" i="14" s="1"/>
  <c r="P508" i="14"/>
  <c r="O508" i="14"/>
  <c r="N508" i="14"/>
  <c r="M508" i="14"/>
  <c r="L508" i="14"/>
  <c r="K508" i="14"/>
  <c r="J508" i="14"/>
  <c r="I508" i="14"/>
  <c r="H508" i="14"/>
  <c r="G508" i="14"/>
  <c r="F508" i="14"/>
  <c r="E508" i="14"/>
  <c r="D508" i="14"/>
  <c r="C508" i="14"/>
  <c r="B508" i="14"/>
  <c r="A508" i="14" s="1"/>
  <c r="P507" i="14"/>
  <c r="O507" i="14"/>
  <c r="N507" i="14"/>
  <c r="M507" i="14"/>
  <c r="L507" i="14"/>
  <c r="K507" i="14"/>
  <c r="J507" i="14"/>
  <c r="I507" i="14"/>
  <c r="H507" i="14"/>
  <c r="G507" i="14"/>
  <c r="F507" i="14"/>
  <c r="E507" i="14"/>
  <c r="D507" i="14"/>
  <c r="C507" i="14"/>
  <c r="B507" i="14"/>
  <c r="A507" i="14" s="1"/>
  <c r="P506" i="14"/>
  <c r="O506" i="14"/>
  <c r="N506" i="14"/>
  <c r="M506" i="14"/>
  <c r="L506" i="14"/>
  <c r="K506" i="14"/>
  <c r="J506" i="14"/>
  <c r="I506" i="14"/>
  <c r="H506" i="14"/>
  <c r="G506" i="14"/>
  <c r="F506" i="14"/>
  <c r="E506" i="14"/>
  <c r="D506" i="14"/>
  <c r="C506" i="14"/>
  <c r="B506" i="14"/>
  <c r="A506" i="14" s="1"/>
  <c r="P505" i="14"/>
  <c r="O505" i="14"/>
  <c r="N505" i="14"/>
  <c r="M505" i="14"/>
  <c r="L505" i="14"/>
  <c r="K505" i="14"/>
  <c r="J505" i="14"/>
  <c r="I505" i="14"/>
  <c r="H505" i="14"/>
  <c r="G505" i="14"/>
  <c r="F505" i="14"/>
  <c r="E505" i="14"/>
  <c r="D505" i="14"/>
  <c r="C505" i="14"/>
  <c r="B505" i="14"/>
  <c r="A505" i="14" s="1"/>
  <c r="P504" i="14"/>
  <c r="O504" i="14"/>
  <c r="N504" i="14"/>
  <c r="M504" i="14"/>
  <c r="L504" i="14"/>
  <c r="K504" i="14"/>
  <c r="J504" i="14"/>
  <c r="I504" i="14"/>
  <c r="H504" i="14"/>
  <c r="G504" i="14"/>
  <c r="F504" i="14"/>
  <c r="E504" i="14"/>
  <c r="D504" i="14"/>
  <c r="C504" i="14"/>
  <c r="B504" i="14"/>
  <c r="A504" i="14" s="1"/>
  <c r="P503" i="14"/>
  <c r="O503" i="14"/>
  <c r="N503" i="14"/>
  <c r="M503" i="14"/>
  <c r="L503" i="14"/>
  <c r="K503" i="14"/>
  <c r="J503" i="14"/>
  <c r="I503" i="14"/>
  <c r="H503" i="14"/>
  <c r="G503" i="14"/>
  <c r="F503" i="14"/>
  <c r="E503" i="14"/>
  <c r="D503" i="14"/>
  <c r="C503" i="14"/>
  <c r="B503" i="14"/>
  <c r="A503" i="14" s="1"/>
  <c r="P502" i="14"/>
  <c r="O502" i="14"/>
  <c r="N502" i="14"/>
  <c r="M502" i="14"/>
  <c r="L502" i="14"/>
  <c r="K502" i="14"/>
  <c r="J502" i="14"/>
  <c r="I502" i="14"/>
  <c r="H502" i="14"/>
  <c r="G502" i="14"/>
  <c r="F502" i="14"/>
  <c r="E502" i="14"/>
  <c r="D502" i="14"/>
  <c r="C502" i="14"/>
  <c r="B502" i="14"/>
  <c r="A502" i="14" s="1"/>
  <c r="P501" i="14"/>
  <c r="O501" i="14"/>
  <c r="N501" i="14"/>
  <c r="M501" i="14"/>
  <c r="L501" i="14"/>
  <c r="K501" i="14"/>
  <c r="J501" i="14"/>
  <c r="I501" i="14"/>
  <c r="H501" i="14"/>
  <c r="G501" i="14"/>
  <c r="F501" i="14"/>
  <c r="E501" i="14"/>
  <c r="D501" i="14"/>
  <c r="C501" i="14"/>
  <c r="B501" i="14"/>
  <c r="A501" i="14" s="1"/>
  <c r="P500" i="14"/>
  <c r="O500" i="14"/>
  <c r="N500" i="14"/>
  <c r="M500" i="14"/>
  <c r="L500" i="14"/>
  <c r="K500" i="14"/>
  <c r="J500" i="14"/>
  <c r="I500" i="14"/>
  <c r="H500" i="14"/>
  <c r="G500" i="14"/>
  <c r="F500" i="14"/>
  <c r="E500" i="14"/>
  <c r="D500" i="14"/>
  <c r="C500" i="14"/>
  <c r="B500" i="14"/>
  <c r="A500" i="14" s="1"/>
  <c r="P499" i="14"/>
  <c r="O499" i="14"/>
  <c r="N499" i="14"/>
  <c r="M499" i="14"/>
  <c r="L499" i="14"/>
  <c r="K499" i="14"/>
  <c r="J499" i="14"/>
  <c r="I499" i="14"/>
  <c r="H499" i="14"/>
  <c r="G499" i="14"/>
  <c r="F499" i="14"/>
  <c r="E499" i="14"/>
  <c r="D499" i="14"/>
  <c r="C499" i="14"/>
  <c r="B499" i="14"/>
  <c r="A499" i="14" s="1"/>
  <c r="P498" i="14"/>
  <c r="O498" i="14"/>
  <c r="N498" i="14"/>
  <c r="M498" i="14"/>
  <c r="L498" i="14"/>
  <c r="K498" i="14"/>
  <c r="J498" i="14"/>
  <c r="I498" i="14"/>
  <c r="H498" i="14"/>
  <c r="G498" i="14"/>
  <c r="F498" i="14"/>
  <c r="E498" i="14"/>
  <c r="D498" i="14"/>
  <c r="C498" i="14"/>
  <c r="B498" i="14"/>
  <c r="A498" i="14" s="1"/>
  <c r="P497" i="14"/>
  <c r="O497" i="14"/>
  <c r="N497" i="14"/>
  <c r="M497" i="14"/>
  <c r="L497" i="14"/>
  <c r="K497" i="14"/>
  <c r="J497" i="14"/>
  <c r="I497" i="14"/>
  <c r="H497" i="14"/>
  <c r="G497" i="14"/>
  <c r="F497" i="14"/>
  <c r="E497" i="14"/>
  <c r="D497" i="14"/>
  <c r="C497" i="14"/>
  <c r="B497" i="14"/>
  <c r="A497" i="14" s="1"/>
  <c r="P496" i="14"/>
  <c r="O496" i="14"/>
  <c r="N496" i="14"/>
  <c r="M496" i="14"/>
  <c r="L496" i="14"/>
  <c r="K496" i="14"/>
  <c r="J496" i="14"/>
  <c r="I496" i="14"/>
  <c r="H496" i="14"/>
  <c r="G496" i="14"/>
  <c r="F496" i="14"/>
  <c r="E496" i="14"/>
  <c r="D496" i="14"/>
  <c r="C496" i="14"/>
  <c r="B496" i="14"/>
  <c r="A496" i="14" s="1"/>
  <c r="P495" i="14"/>
  <c r="O495" i="14"/>
  <c r="N495" i="14"/>
  <c r="M495" i="14"/>
  <c r="L495" i="14"/>
  <c r="K495" i="14"/>
  <c r="J495" i="14"/>
  <c r="I495" i="14"/>
  <c r="H495" i="14"/>
  <c r="G495" i="14"/>
  <c r="F495" i="14"/>
  <c r="E495" i="14"/>
  <c r="D495" i="14"/>
  <c r="C495" i="14"/>
  <c r="B495" i="14"/>
  <c r="A495" i="14" s="1"/>
  <c r="P494" i="14"/>
  <c r="O494" i="14"/>
  <c r="N494" i="14"/>
  <c r="M494" i="14"/>
  <c r="L494" i="14"/>
  <c r="K494" i="14"/>
  <c r="J494" i="14"/>
  <c r="I494" i="14"/>
  <c r="H494" i="14"/>
  <c r="G494" i="14"/>
  <c r="F494" i="14"/>
  <c r="E494" i="14"/>
  <c r="D494" i="14"/>
  <c r="C494" i="14"/>
  <c r="B494" i="14"/>
  <c r="A494" i="14" s="1"/>
  <c r="P493" i="14"/>
  <c r="O493" i="14"/>
  <c r="N493" i="14"/>
  <c r="M493" i="14"/>
  <c r="L493" i="14"/>
  <c r="K493" i="14"/>
  <c r="J493" i="14"/>
  <c r="I493" i="14"/>
  <c r="H493" i="14"/>
  <c r="G493" i="14"/>
  <c r="F493" i="14"/>
  <c r="E493" i="14"/>
  <c r="D493" i="14"/>
  <c r="C493" i="14"/>
  <c r="B493" i="14"/>
  <c r="A493" i="14" s="1"/>
  <c r="P492" i="14"/>
  <c r="O492" i="14"/>
  <c r="N492" i="14"/>
  <c r="M492" i="14"/>
  <c r="L492" i="14"/>
  <c r="K492" i="14"/>
  <c r="J492" i="14"/>
  <c r="I492" i="14"/>
  <c r="H492" i="14"/>
  <c r="G492" i="14"/>
  <c r="F492" i="14"/>
  <c r="E492" i="14"/>
  <c r="D492" i="14"/>
  <c r="C492" i="14"/>
  <c r="B492" i="14"/>
  <c r="A492" i="14" s="1"/>
  <c r="P491" i="14"/>
  <c r="O491" i="14"/>
  <c r="N491" i="14"/>
  <c r="M491" i="14"/>
  <c r="L491" i="14"/>
  <c r="K491" i="14"/>
  <c r="J491" i="14"/>
  <c r="I491" i="14"/>
  <c r="H491" i="14"/>
  <c r="G491" i="14"/>
  <c r="F491" i="14"/>
  <c r="E491" i="14"/>
  <c r="D491" i="14"/>
  <c r="C491" i="14"/>
  <c r="B491" i="14"/>
  <c r="A491" i="14" s="1"/>
  <c r="P490" i="14"/>
  <c r="O490" i="14"/>
  <c r="N490" i="14"/>
  <c r="M490" i="14"/>
  <c r="L490" i="14"/>
  <c r="K490" i="14"/>
  <c r="J490" i="14"/>
  <c r="I490" i="14"/>
  <c r="H490" i="14"/>
  <c r="G490" i="14"/>
  <c r="F490" i="14"/>
  <c r="E490" i="14"/>
  <c r="D490" i="14"/>
  <c r="C490" i="14"/>
  <c r="B490" i="14"/>
  <c r="A490" i="14" s="1"/>
  <c r="P489" i="14"/>
  <c r="O489" i="14"/>
  <c r="N489" i="14"/>
  <c r="M489" i="14"/>
  <c r="L489" i="14"/>
  <c r="K489" i="14"/>
  <c r="J489" i="14"/>
  <c r="I489" i="14"/>
  <c r="H489" i="14"/>
  <c r="G489" i="14"/>
  <c r="F489" i="14"/>
  <c r="E489" i="14"/>
  <c r="D489" i="14"/>
  <c r="C489" i="14"/>
  <c r="B489" i="14"/>
  <c r="A489" i="14" s="1"/>
  <c r="P488" i="14"/>
  <c r="O488" i="14"/>
  <c r="N488" i="14"/>
  <c r="M488" i="14"/>
  <c r="L488" i="14"/>
  <c r="K488" i="14"/>
  <c r="J488" i="14"/>
  <c r="I488" i="14"/>
  <c r="H488" i="14"/>
  <c r="G488" i="14"/>
  <c r="F488" i="14"/>
  <c r="E488" i="14"/>
  <c r="D488" i="14"/>
  <c r="C488" i="14"/>
  <c r="B488" i="14"/>
  <c r="A488" i="14" s="1"/>
  <c r="P487" i="14"/>
  <c r="O487" i="14"/>
  <c r="N487" i="14"/>
  <c r="M487" i="14"/>
  <c r="L487" i="14"/>
  <c r="K487" i="14"/>
  <c r="J487" i="14"/>
  <c r="I487" i="14"/>
  <c r="H487" i="14"/>
  <c r="G487" i="14"/>
  <c r="F487" i="14"/>
  <c r="E487" i="14"/>
  <c r="D487" i="14"/>
  <c r="C487" i="14"/>
  <c r="B487" i="14"/>
  <c r="A487" i="14" s="1"/>
  <c r="P486" i="14"/>
  <c r="O486" i="14"/>
  <c r="N486" i="14"/>
  <c r="M486" i="14"/>
  <c r="L486" i="14"/>
  <c r="K486" i="14"/>
  <c r="J486" i="14"/>
  <c r="I486" i="14"/>
  <c r="H486" i="14"/>
  <c r="G486" i="14"/>
  <c r="F486" i="14"/>
  <c r="E486" i="14"/>
  <c r="D486" i="14"/>
  <c r="C486" i="14"/>
  <c r="B486" i="14"/>
  <c r="A486" i="14" s="1"/>
  <c r="P485" i="14"/>
  <c r="O485" i="14"/>
  <c r="N485" i="14"/>
  <c r="M485" i="14"/>
  <c r="L485" i="14"/>
  <c r="K485" i="14"/>
  <c r="J485" i="14"/>
  <c r="I485" i="14"/>
  <c r="H485" i="14"/>
  <c r="G485" i="14"/>
  <c r="F485" i="14"/>
  <c r="E485" i="14"/>
  <c r="D485" i="14"/>
  <c r="C485" i="14"/>
  <c r="B485" i="14"/>
  <c r="A485" i="14" s="1"/>
  <c r="P484" i="14"/>
  <c r="O484" i="14"/>
  <c r="N484" i="14"/>
  <c r="M484" i="14"/>
  <c r="L484" i="14"/>
  <c r="K484" i="14"/>
  <c r="J484" i="14"/>
  <c r="I484" i="14"/>
  <c r="H484" i="14"/>
  <c r="G484" i="14"/>
  <c r="F484" i="14"/>
  <c r="E484" i="14"/>
  <c r="D484" i="14"/>
  <c r="C484" i="14"/>
  <c r="B484" i="14"/>
  <c r="A484" i="14" s="1"/>
  <c r="P483" i="14"/>
  <c r="O483" i="14"/>
  <c r="N483" i="14"/>
  <c r="M483" i="14"/>
  <c r="L483" i="14"/>
  <c r="K483" i="14"/>
  <c r="J483" i="14"/>
  <c r="I483" i="14"/>
  <c r="H483" i="14"/>
  <c r="G483" i="14"/>
  <c r="F483" i="14"/>
  <c r="E483" i="14"/>
  <c r="D483" i="14"/>
  <c r="C483" i="14"/>
  <c r="B483" i="14"/>
  <c r="A483" i="14" s="1"/>
  <c r="P482" i="14"/>
  <c r="O482" i="14"/>
  <c r="N482" i="14"/>
  <c r="M482" i="14"/>
  <c r="L482" i="14"/>
  <c r="K482" i="14"/>
  <c r="J482" i="14"/>
  <c r="I482" i="14"/>
  <c r="H482" i="14"/>
  <c r="G482" i="14"/>
  <c r="F482" i="14"/>
  <c r="E482" i="14"/>
  <c r="D482" i="14"/>
  <c r="C482" i="14"/>
  <c r="B482" i="14"/>
  <c r="A482" i="14" s="1"/>
  <c r="P481" i="14"/>
  <c r="O481" i="14"/>
  <c r="N481" i="14"/>
  <c r="M481" i="14"/>
  <c r="L481" i="14"/>
  <c r="K481" i="14"/>
  <c r="J481" i="14"/>
  <c r="I481" i="14"/>
  <c r="H481" i="14"/>
  <c r="G481" i="14"/>
  <c r="F481" i="14"/>
  <c r="E481" i="14"/>
  <c r="D481" i="14"/>
  <c r="C481" i="14"/>
  <c r="B481" i="14"/>
  <c r="A481" i="14" s="1"/>
  <c r="P480" i="14"/>
  <c r="O480" i="14"/>
  <c r="N480" i="14"/>
  <c r="M480" i="14"/>
  <c r="L480" i="14"/>
  <c r="K480" i="14"/>
  <c r="J480" i="14"/>
  <c r="I480" i="14"/>
  <c r="H480" i="14"/>
  <c r="G480" i="14"/>
  <c r="F480" i="14"/>
  <c r="E480" i="14"/>
  <c r="D480" i="14"/>
  <c r="C480" i="14"/>
  <c r="B480" i="14"/>
  <c r="A480" i="14" s="1"/>
  <c r="P479" i="14"/>
  <c r="O479" i="14"/>
  <c r="N479" i="14"/>
  <c r="M479" i="14"/>
  <c r="L479" i="14"/>
  <c r="K479" i="14"/>
  <c r="J479" i="14"/>
  <c r="I479" i="14"/>
  <c r="H479" i="14"/>
  <c r="G479" i="14"/>
  <c r="F479" i="14"/>
  <c r="E479" i="14"/>
  <c r="D479" i="14"/>
  <c r="C479" i="14"/>
  <c r="B479" i="14"/>
  <c r="A479" i="14" s="1"/>
  <c r="P478" i="14"/>
  <c r="O478" i="14"/>
  <c r="N478" i="14"/>
  <c r="M478" i="14"/>
  <c r="L478" i="14"/>
  <c r="K478" i="14"/>
  <c r="J478" i="14"/>
  <c r="I478" i="14"/>
  <c r="H478" i="14"/>
  <c r="G478" i="14"/>
  <c r="F478" i="14"/>
  <c r="E478" i="14"/>
  <c r="D478" i="14"/>
  <c r="C478" i="14"/>
  <c r="B478" i="14"/>
  <c r="A478" i="14" s="1"/>
  <c r="P477" i="14"/>
  <c r="O477" i="14"/>
  <c r="N477" i="14"/>
  <c r="M477" i="14"/>
  <c r="L477" i="14"/>
  <c r="K477" i="14"/>
  <c r="J477" i="14"/>
  <c r="I477" i="14"/>
  <c r="H477" i="14"/>
  <c r="G477" i="14"/>
  <c r="F477" i="14"/>
  <c r="E477" i="14"/>
  <c r="D477" i="14"/>
  <c r="C477" i="14"/>
  <c r="B477" i="14"/>
  <c r="A477" i="14" s="1"/>
  <c r="P476" i="14"/>
  <c r="O476" i="14"/>
  <c r="N476" i="14"/>
  <c r="M476" i="14"/>
  <c r="L476" i="14"/>
  <c r="K476" i="14"/>
  <c r="J476" i="14"/>
  <c r="I476" i="14"/>
  <c r="H476" i="14"/>
  <c r="G476" i="14"/>
  <c r="F476" i="14"/>
  <c r="E476" i="14"/>
  <c r="D476" i="14"/>
  <c r="C476" i="14"/>
  <c r="B476" i="14"/>
  <c r="A476" i="14" s="1"/>
  <c r="P475" i="14"/>
  <c r="O475" i="14"/>
  <c r="N475" i="14"/>
  <c r="M475" i="14"/>
  <c r="L475" i="14"/>
  <c r="K475" i="14"/>
  <c r="J475" i="14"/>
  <c r="I475" i="14"/>
  <c r="H475" i="14"/>
  <c r="G475" i="14"/>
  <c r="F475" i="14"/>
  <c r="E475" i="14"/>
  <c r="D475" i="14"/>
  <c r="C475" i="14"/>
  <c r="B475" i="14"/>
  <c r="A475" i="14" s="1"/>
  <c r="P474" i="14"/>
  <c r="O474" i="14"/>
  <c r="N474" i="14"/>
  <c r="M474" i="14"/>
  <c r="L474" i="14"/>
  <c r="K474" i="14"/>
  <c r="J474" i="14"/>
  <c r="I474" i="14"/>
  <c r="H474" i="14"/>
  <c r="G474" i="14"/>
  <c r="F474" i="14"/>
  <c r="E474" i="14"/>
  <c r="D474" i="14"/>
  <c r="C474" i="14"/>
  <c r="B474" i="14"/>
  <c r="A474" i="14" s="1"/>
  <c r="P473" i="14"/>
  <c r="O473" i="14"/>
  <c r="N473" i="14"/>
  <c r="M473" i="14"/>
  <c r="L473" i="14"/>
  <c r="K473" i="14"/>
  <c r="J473" i="14"/>
  <c r="I473" i="14"/>
  <c r="H473" i="14"/>
  <c r="G473" i="14"/>
  <c r="F473" i="14"/>
  <c r="E473" i="14"/>
  <c r="D473" i="14"/>
  <c r="C473" i="14"/>
  <c r="B473" i="14"/>
  <c r="A473" i="14" s="1"/>
  <c r="P472" i="14"/>
  <c r="O472" i="14"/>
  <c r="N472" i="14"/>
  <c r="M472" i="14"/>
  <c r="L472" i="14"/>
  <c r="K472" i="14"/>
  <c r="J472" i="14"/>
  <c r="I472" i="14"/>
  <c r="H472" i="14"/>
  <c r="G472" i="14"/>
  <c r="F472" i="14"/>
  <c r="E472" i="14"/>
  <c r="D472" i="14"/>
  <c r="C472" i="14"/>
  <c r="B472" i="14"/>
  <c r="A472" i="14" s="1"/>
  <c r="P471" i="14"/>
  <c r="O471" i="14"/>
  <c r="N471" i="14"/>
  <c r="M471" i="14"/>
  <c r="L471" i="14"/>
  <c r="K471" i="14"/>
  <c r="J471" i="14"/>
  <c r="I471" i="14"/>
  <c r="H471" i="14"/>
  <c r="G471" i="14"/>
  <c r="F471" i="14"/>
  <c r="E471" i="14"/>
  <c r="D471" i="14"/>
  <c r="C471" i="14"/>
  <c r="B471" i="14"/>
  <c r="A471" i="14" s="1"/>
  <c r="P470" i="14"/>
  <c r="O470" i="14"/>
  <c r="N470" i="14"/>
  <c r="M470" i="14"/>
  <c r="L470" i="14"/>
  <c r="K470" i="14"/>
  <c r="J470" i="14"/>
  <c r="I470" i="14"/>
  <c r="H470" i="14"/>
  <c r="G470" i="14"/>
  <c r="F470" i="14"/>
  <c r="E470" i="14"/>
  <c r="D470" i="14"/>
  <c r="C470" i="14"/>
  <c r="B470" i="14"/>
  <c r="A470" i="14" s="1"/>
  <c r="P469" i="14"/>
  <c r="O469" i="14"/>
  <c r="N469" i="14"/>
  <c r="M469" i="14"/>
  <c r="L469" i="14"/>
  <c r="K469" i="14"/>
  <c r="J469" i="14"/>
  <c r="I469" i="14"/>
  <c r="H469" i="14"/>
  <c r="G469" i="14"/>
  <c r="F469" i="14"/>
  <c r="E469" i="14"/>
  <c r="D469" i="14"/>
  <c r="C469" i="14"/>
  <c r="B469" i="14"/>
  <c r="A469" i="14" s="1"/>
  <c r="P468" i="14"/>
  <c r="O468" i="14"/>
  <c r="N468" i="14"/>
  <c r="M468" i="14"/>
  <c r="L468" i="14"/>
  <c r="K468" i="14"/>
  <c r="J468" i="14"/>
  <c r="I468" i="14"/>
  <c r="H468" i="14"/>
  <c r="G468" i="14"/>
  <c r="F468" i="14"/>
  <c r="E468" i="14"/>
  <c r="D468" i="14"/>
  <c r="C468" i="14"/>
  <c r="B468" i="14"/>
  <c r="A468" i="14" s="1"/>
  <c r="P467" i="14"/>
  <c r="O467" i="14"/>
  <c r="N467" i="14"/>
  <c r="M467" i="14"/>
  <c r="L467" i="14"/>
  <c r="K467" i="14"/>
  <c r="J467" i="14"/>
  <c r="I467" i="14"/>
  <c r="H467" i="14"/>
  <c r="G467" i="14"/>
  <c r="F467" i="14"/>
  <c r="E467" i="14"/>
  <c r="D467" i="14"/>
  <c r="C467" i="14"/>
  <c r="B467" i="14"/>
  <c r="A467" i="14" s="1"/>
  <c r="P466" i="14"/>
  <c r="O466" i="14"/>
  <c r="N466" i="14"/>
  <c r="M466" i="14"/>
  <c r="L466" i="14"/>
  <c r="K466" i="14"/>
  <c r="J466" i="14"/>
  <c r="I466" i="14"/>
  <c r="H466" i="14"/>
  <c r="G466" i="14"/>
  <c r="F466" i="14"/>
  <c r="E466" i="14"/>
  <c r="D466" i="14"/>
  <c r="C466" i="14"/>
  <c r="B466" i="14"/>
  <c r="A466" i="14" s="1"/>
  <c r="P465" i="14"/>
  <c r="O465" i="14"/>
  <c r="N465" i="14"/>
  <c r="M465" i="14"/>
  <c r="L465" i="14"/>
  <c r="K465" i="14"/>
  <c r="J465" i="14"/>
  <c r="I465" i="14"/>
  <c r="H465" i="14"/>
  <c r="G465" i="14"/>
  <c r="F465" i="14"/>
  <c r="E465" i="14"/>
  <c r="D465" i="14"/>
  <c r="C465" i="14"/>
  <c r="B465" i="14"/>
  <c r="A465" i="14" s="1"/>
  <c r="P464" i="14"/>
  <c r="O464" i="14"/>
  <c r="N464" i="14"/>
  <c r="M464" i="14"/>
  <c r="L464" i="14"/>
  <c r="K464" i="14"/>
  <c r="J464" i="14"/>
  <c r="I464" i="14"/>
  <c r="H464" i="14"/>
  <c r="G464" i="14"/>
  <c r="F464" i="14"/>
  <c r="E464" i="14"/>
  <c r="D464" i="14"/>
  <c r="C464" i="14"/>
  <c r="B464" i="14"/>
  <c r="A464" i="14" s="1"/>
  <c r="P463" i="14"/>
  <c r="O463" i="14"/>
  <c r="N463" i="14"/>
  <c r="M463" i="14"/>
  <c r="L463" i="14"/>
  <c r="K463" i="14"/>
  <c r="J463" i="14"/>
  <c r="I463" i="14"/>
  <c r="H463" i="14"/>
  <c r="G463" i="14"/>
  <c r="F463" i="14"/>
  <c r="E463" i="14"/>
  <c r="D463" i="14"/>
  <c r="C463" i="14"/>
  <c r="B463" i="14"/>
  <c r="A463" i="14" s="1"/>
  <c r="P462" i="14"/>
  <c r="O462" i="14"/>
  <c r="N462" i="14"/>
  <c r="M462" i="14"/>
  <c r="L462" i="14"/>
  <c r="K462" i="14"/>
  <c r="J462" i="14"/>
  <c r="I462" i="14"/>
  <c r="H462" i="14"/>
  <c r="G462" i="14"/>
  <c r="F462" i="14"/>
  <c r="E462" i="14"/>
  <c r="D462" i="14"/>
  <c r="C462" i="14"/>
  <c r="B462" i="14"/>
  <c r="A462" i="14" s="1"/>
  <c r="P461" i="14"/>
  <c r="O461" i="14"/>
  <c r="N461" i="14"/>
  <c r="M461" i="14"/>
  <c r="L461" i="14"/>
  <c r="K461" i="14"/>
  <c r="J461" i="14"/>
  <c r="I461" i="14"/>
  <c r="H461" i="14"/>
  <c r="G461" i="14"/>
  <c r="F461" i="14"/>
  <c r="E461" i="14"/>
  <c r="D461" i="14"/>
  <c r="C461" i="14"/>
  <c r="B461" i="14"/>
  <c r="A461" i="14" s="1"/>
  <c r="P460" i="14"/>
  <c r="O460" i="14"/>
  <c r="N460" i="14"/>
  <c r="M460" i="14"/>
  <c r="L460" i="14"/>
  <c r="K460" i="14"/>
  <c r="J460" i="14"/>
  <c r="I460" i="14"/>
  <c r="H460" i="14"/>
  <c r="G460" i="14"/>
  <c r="F460" i="14"/>
  <c r="E460" i="14"/>
  <c r="D460" i="14"/>
  <c r="C460" i="14"/>
  <c r="B460" i="14"/>
  <c r="A460" i="14" s="1"/>
  <c r="P459" i="14"/>
  <c r="O459" i="14"/>
  <c r="N459" i="14"/>
  <c r="M459" i="14"/>
  <c r="L459" i="14"/>
  <c r="K459" i="14"/>
  <c r="J459" i="14"/>
  <c r="I459" i="14"/>
  <c r="H459" i="14"/>
  <c r="G459" i="14"/>
  <c r="F459" i="14"/>
  <c r="E459" i="14"/>
  <c r="D459" i="14"/>
  <c r="C459" i="14"/>
  <c r="B459" i="14"/>
  <c r="A459" i="14" s="1"/>
  <c r="P458" i="14"/>
  <c r="O458" i="14"/>
  <c r="N458" i="14"/>
  <c r="M458" i="14"/>
  <c r="L458" i="14"/>
  <c r="K458" i="14"/>
  <c r="J458" i="14"/>
  <c r="I458" i="14"/>
  <c r="H458" i="14"/>
  <c r="G458" i="14"/>
  <c r="F458" i="14"/>
  <c r="E458" i="14"/>
  <c r="D458" i="14"/>
  <c r="C458" i="14"/>
  <c r="B458" i="14"/>
  <c r="A458" i="14" s="1"/>
  <c r="P457" i="14"/>
  <c r="O457" i="14"/>
  <c r="N457" i="14"/>
  <c r="M457" i="14"/>
  <c r="L457" i="14"/>
  <c r="K457" i="14"/>
  <c r="J457" i="14"/>
  <c r="I457" i="14"/>
  <c r="H457" i="14"/>
  <c r="G457" i="14"/>
  <c r="F457" i="14"/>
  <c r="E457" i="14"/>
  <c r="D457" i="14"/>
  <c r="C457" i="14"/>
  <c r="B457" i="14"/>
  <c r="A457" i="14" s="1"/>
  <c r="P456" i="14"/>
  <c r="O456" i="14"/>
  <c r="N456" i="14"/>
  <c r="M456" i="14"/>
  <c r="L456" i="14"/>
  <c r="K456" i="14"/>
  <c r="J456" i="14"/>
  <c r="I456" i="14"/>
  <c r="H456" i="14"/>
  <c r="G456" i="14"/>
  <c r="F456" i="14"/>
  <c r="E456" i="14"/>
  <c r="D456" i="14"/>
  <c r="C456" i="14"/>
  <c r="B456" i="14"/>
  <c r="A456" i="14" s="1"/>
  <c r="P455" i="14"/>
  <c r="O455" i="14"/>
  <c r="N455" i="14"/>
  <c r="M455" i="14"/>
  <c r="L455" i="14"/>
  <c r="K455" i="14"/>
  <c r="J455" i="14"/>
  <c r="I455" i="14"/>
  <c r="H455" i="14"/>
  <c r="G455" i="14"/>
  <c r="F455" i="14"/>
  <c r="E455" i="14"/>
  <c r="D455" i="14"/>
  <c r="C455" i="14"/>
  <c r="B455" i="14"/>
  <c r="A455" i="14" s="1"/>
  <c r="P454" i="14"/>
  <c r="O454" i="14"/>
  <c r="N454" i="14"/>
  <c r="M454" i="14"/>
  <c r="L454" i="14"/>
  <c r="K454" i="14"/>
  <c r="J454" i="14"/>
  <c r="I454" i="14"/>
  <c r="H454" i="14"/>
  <c r="G454" i="14"/>
  <c r="F454" i="14"/>
  <c r="E454" i="14"/>
  <c r="D454" i="14"/>
  <c r="C454" i="14"/>
  <c r="B454" i="14"/>
  <c r="A454" i="14" s="1"/>
  <c r="P453" i="14"/>
  <c r="O453" i="14"/>
  <c r="N453" i="14"/>
  <c r="M453" i="14"/>
  <c r="L453" i="14"/>
  <c r="K453" i="14"/>
  <c r="J453" i="14"/>
  <c r="I453" i="14"/>
  <c r="H453" i="14"/>
  <c r="G453" i="14"/>
  <c r="F453" i="14"/>
  <c r="E453" i="14"/>
  <c r="D453" i="14"/>
  <c r="C453" i="14"/>
  <c r="B453" i="14"/>
  <c r="A453" i="14" s="1"/>
  <c r="P452" i="14"/>
  <c r="O452" i="14"/>
  <c r="N452" i="14"/>
  <c r="M452" i="14"/>
  <c r="L452" i="14"/>
  <c r="K452" i="14"/>
  <c r="J452" i="14"/>
  <c r="I452" i="14"/>
  <c r="H452" i="14"/>
  <c r="G452" i="14"/>
  <c r="F452" i="14"/>
  <c r="E452" i="14"/>
  <c r="D452" i="14"/>
  <c r="C452" i="14"/>
  <c r="B452" i="14"/>
  <c r="A452" i="14" s="1"/>
  <c r="P451" i="14"/>
  <c r="O451" i="14"/>
  <c r="N451" i="14"/>
  <c r="M451" i="14"/>
  <c r="L451" i="14"/>
  <c r="K451" i="14"/>
  <c r="J451" i="14"/>
  <c r="I451" i="14"/>
  <c r="H451" i="14"/>
  <c r="G451" i="14"/>
  <c r="F451" i="14"/>
  <c r="E451" i="14"/>
  <c r="D451" i="14"/>
  <c r="C451" i="14"/>
  <c r="B451" i="14"/>
  <c r="A451" i="14" s="1"/>
  <c r="P450" i="14"/>
  <c r="O450" i="14"/>
  <c r="N450" i="14"/>
  <c r="M450" i="14"/>
  <c r="L450" i="14"/>
  <c r="K450" i="14"/>
  <c r="J450" i="14"/>
  <c r="I450" i="14"/>
  <c r="H450" i="14"/>
  <c r="G450" i="14"/>
  <c r="F450" i="14"/>
  <c r="E450" i="14"/>
  <c r="D450" i="14"/>
  <c r="C450" i="14"/>
  <c r="B450" i="14"/>
  <c r="A450" i="14" s="1"/>
  <c r="P449" i="14"/>
  <c r="O449" i="14"/>
  <c r="N449" i="14"/>
  <c r="M449" i="14"/>
  <c r="L449" i="14"/>
  <c r="K449" i="14"/>
  <c r="J449" i="14"/>
  <c r="I449" i="14"/>
  <c r="H449" i="14"/>
  <c r="G449" i="14"/>
  <c r="F449" i="14"/>
  <c r="E449" i="14"/>
  <c r="D449" i="14"/>
  <c r="C449" i="14"/>
  <c r="B449" i="14"/>
  <c r="A449" i="14" s="1"/>
  <c r="P448" i="14"/>
  <c r="O448" i="14"/>
  <c r="N448" i="14"/>
  <c r="M448" i="14"/>
  <c r="L448" i="14"/>
  <c r="K448" i="14"/>
  <c r="J448" i="14"/>
  <c r="I448" i="14"/>
  <c r="H448" i="14"/>
  <c r="G448" i="14"/>
  <c r="F448" i="14"/>
  <c r="E448" i="14"/>
  <c r="D448" i="14"/>
  <c r="C448" i="14"/>
  <c r="B448" i="14"/>
  <c r="A448" i="14" s="1"/>
  <c r="P447" i="14"/>
  <c r="O447" i="14"/>
  <c r="N447" i="14"/>
  <c r="M447" i="14"/>
  <c r="L447" i="14"/>
  <c r="K447" i="14"/>
  <c r="J447" i="14"/>
  <c r="I447" i="14"/>
  <c r="H447" i="14"/>
  <c r="G447" i="14"/>
  <c r="F447" i="14"/>
  <c r="E447" i="14"/>
  <c r="D447" i="14"/>
  <c r="C447" i="14"/>
  <c r="B447" i="14"/>
  <c r="A447" i="14" s="1"/>
  <c r="P446" i="14"/>
  <c r="O446" i="14"/>
  <c r="N446" i="14"/>
  <c r="M446" i="14"/>
  <c r="L446" i="14"/>
  <c r="K446" i="14"/>
  <c r="J446" i="14"/>
  <c r="I446" i="14"/>
  <c r="H446" i="14"/>
  <c r="G446" i="14"/>
  <c r="F446" i="14"/>
  <c r="E446" i="14"/>
  <c r="D446" i="14"/>
  <c r="C446" i="14"/>
  <c r="B446" i="14"/>
  <c r="A446" i="14" s="1"/>
  <c r="P445" i="14"/>
  <c r="O445" i="14"/>
  <c r="N445" i="14"/>
  <c r="M445" i="14"/>
  <c r="L445" i="14"/>
  <c r="K445" i="14"/>
  <c r="J445" i="14"/>
  <c r="I445" i="14"/>
  <c r="H445" i="14"/>
  <c r="G445" i="14"/>
  <c r="F445" i="14"/>
  <c r="E445" i="14"/>
  <c r="D445" i="14"/>
  <c r="C445" i="14"/>
  <c r="B445" i="14"/>
  <c r="A445" i="14" s="1"/>
  <c r="P444" i="14"/>
  <c r="O444" i="14"/>
  <c r="N444" i="14"/>
  <c r="M444" i="14"/>
  <c r="L444" i="14"/>
  <c r="K444" i="14"/>
  <c r="J444" i="14"/>
  <c r="I444" i="14"/>
  <c r="H444" i="14"/>
  <c r="G444" i="14"/>
  <c r="F444" i="14"/>
  <c r="E444" i="14"/>
  <c r="D444" i="14"/>
  <c r="C444" i="14"/>
  <c r="B444" i="14"/>
  <c r="A444" i="14" s="1"/>
  <c r="P443" i="14"/>
  <c r="O443" i="14"/>
  <c r="N443" i="14"/>
  <c r="M443" i="14"/>
  <c r="L443" i="14"/>
  <c r="K443" i="14"/>
  <c r="J443" i="14"/>
  <c r="I443" i="14"/>
  <c r="H443" i="14"/>
  <c r="G443" i="14"/>
  <c r="F443" i="14"/>
  <c r="E443" i="14"/>
  <c r="D443" i="14"/>
  <c r="C443" i="14"/>
  <c r="B443" i="14"/>
  <c r="A443" i="14" s="1"/>
  <c r="P442" i="14"/>
  <c r="O442" i="14"/>
  <c r="N442" i="14"/>
  <c r="M442" i="14"/>
  <c r="L442" i="14"/>
  <c r="K442" i="14"/>
  <c r="J442" i="14"/>
  <c r="I442" i="14"/>
  <c r="H442" i="14"/>
  <c r="G442" i="14"/>
  <c r="F442" i="14"/>
  <c r="E442" i="14"/>
  <c r="D442" i="14"/>
  <c r="C442" i="14"/>
  <c r="B442" i="14"/>
  <c r="A442" i="14" s="1"/>
  <c r="P441" i="14"/>
  <c r="O441" i="14"/>
  <c r="N441" i="14"/>
  <c r="M441" i="14"/>
  <c r="L441" i="14"/>
  <c r="K441" i="14"/>
  <c r="J441" i="14"/>
  <c r="I441" i="14"/>
  <c r="H441" i="14"/>
  <c r="G441" i="14"/>
  <c r="F441" i="14"/>
  <c r="E441" i="14"/>
  <c r="D441" i="14"/>
  <c r="C441" i="14"/>
  <c r="B441" i="14"/>
  <c r="A441" i="14" s="1"/>
  <c r="P440" i="14"/>
  <c r="O440" i="14"/>
  <c r="N440" i="14"/>
  <c r="M440" i="14"/>
  <c r="L440" i="14"/>
  <c r="K440" i="14"/>
  <c r="J440" i="14"/>
  <c r="I440" i="14"/>
  <c r="H440" i="14"/>
  <c r="G440" i="14"/>
  <c r="F440" i="14"/>
  <c r="E440" i="14"/>
  <c r="D440" i="14"/>
  <c r="C440" i="14"/>
  <c r="B440" i="14"/>
  <c r="A440" i="14" s="1"/>
  <c r="P439" i="14"/>
  <c r="O439" i="14"/>
  <c r="N439" i="14"/>
  <c r="M439" i="14"/>
  <c r="L439" i="14"/>
  <c r="K439" i="14"/>
  <c r="J439" i="14"/>
  <c r="I439" i="14"/>
  <c r="H439" i="14"/>
  <c r="G439" i="14"/>
  <c r="F439" i="14"/>
  <c r="E439" i="14"/>
  <c r="D439" i="14"/>
  <c r="C439" i="14"/>
  <c r="B439" i="14"/>
  <c r="A439" i="14" s="1"/>
  <c r="P438" i="14"/>
  <c r="O438" i="14"/>
  <c r="N438" i="14"/>
  <c r="M438" i="14"/>
  <c r="L438" i="14"/>
  <c r="K438" i="14"/>
  <c r="J438" i="14"/>
  <c r="I438" i="14"/>
  <c r="H438" i="14"/>
  <c r="G438" i="14"/>
  <c r="F438" i="14"/>
  <c r="E438" i="14"/>
  <c r="D438" i="14"/>
  <c r="C438" i="14"/>
  <c r="B438" i="14"/>
  <c r="A438" i="14" s="1"/>
  <c r="P437" i="14"/>
  <c r="O437" i="14"/>
  <c r="N437" i="14"/>
  <c r="M437" i="14"/>
  <c r="L437" i="14"/>
  <c r="K437" i="14"/>
  <c r="J437" i="14"/>
  <c r="I437" i="14"/>
  <c r="H437" i="14"/>
  <c r="G437" i="14"/>
  <c r="F437" i="14"/>
  <c r="E437" i="14"/>
  <c r="D437" i="14"/>
  <c r="C437" i="14"/>
  <c r="B437" i="14"/>
  <c r="A437" i="14" s="1"/>
  <c r="P436" i="14"/>
  <c r="O436" i="14"/>
  <c r="N436" i="14"/>
  <c r="M436" i="14"/>
  <c r="L436" i="14"/>
  <c r="K436" i="14"/>
  <c r="J436" i="14"/>
  <c r="I436" i="14"/>
  <c r="H436" i="14"/>
  <c r="G436" i="14"/>
  <c r="F436" i="14"/>
  <c r="E436" i="14"/>
  <c r="D436" i="14"/>
  <c r="C436" i="14"/>
  <c r="B436" i="14"/>
  <c r="A436" i="14" s="1"/>
  <c r="P435" i="14"/>
  <c r="O435" i="14"/>
  <c r="N435" i="14"/>
  <c r="M435" i="14"/>
  <c r="L435" i="14"/>
  <c r="K435" i="14"/>
  <c r="J435" i="14"/>
  <c r="I435" i="14"/>
  <c r="H435" i="14"/>
  <c r="G435" i="14"/>
  <c r="F435" i="14"/>
  <c r="E435" i="14"/>
  <c r="D435" i="14"/>
  <c r="C435" i="14"/>
  <c r="B435" i="14"/>
  <c r="A435" i="14" s="1"/>
  <c r="P434" i="14"/>
  <c r="O434" i="14"/>
  <c r="N434" i="14"/>
  <c r="M434" i="14"/>
  <c r="L434" i="14"/>
  <c r="K434" i="14"/>
  <c r="J434" i="14"/>
  <c r="I434" i="14"/>
  <c r="H434" i="14"/>
  <c r="G434" i="14"/>
  <c r="F434" i="14"/>
  <c r="E434" i="14"/>
  <c r="D434" i="14"/>
  <c r="C434" i="14"/>
  <c r="B434" i="14"/>
  <c r="A434" i="14" s="1"/>
  <c r="P433" i="14"/>
  <c r="O433" i="14"/>
  <c r="N433" i="14"/>
  <c r="M433" i="14"/>
  <c r="L433" i="14"/>
  <c r="K433" i="14"/>
  <c r="J433" i="14"/>
  <c r="I433" i="14"/>
  <c r="H433" i="14"/>
  <c r="G433" i="14"/>
  <c r="F433" i="14"/>
  <c r="E433" i="14"/>
  <c r="D433" i="14"/>
  <c r="C433" i="14"/>
  <c r="B433" i="14"/>
  <c r="A433" i="14" s="1"/>
  <c r="P432" i="14"/>
  <c r="O432" i="14"/>
  <c r="N432" i="14"/>
  <c r="M432" i="14"/>
  <c r="L432" i="14"/>
  <c r="K432" i="14"/>
  <c r="J432" i="14"/>
  <c r="I432" i="14"/>
  <c r="H432" i="14"/>
  <c r="G432" i="14"/>
  <c r="F432" i="14"/>
  <c r="E432" i="14"/>
  <c r="D432" i="14"/>
  <c r="C432" i="14"/>
  <c r="B432" i="14"/>
  <c r="A432" i="14" s="1"/>
  <c r="P431" i="14"/>
  <c r="O431" i="14"/>
  <c r="N431" i="14"/>
  <c r="M431" i="14"/>
  <c r="L431" i="14"/>
  <c r="K431" i="14"/>
  <c r="J431" i="14"/>
  <c r="I431" i="14"/>
  <c r="H431" i="14"/>
  <c r="G431" i="14"/>
  <c r="F431" i="14"/>
  <c r="E431" i="14"/>
  <c r="D431" i="14"/>
  <c r="C431" i="14"/>
  <c r="B431" i="14"/>
  <c r="A431" i="14" s="1"/>
  <c r="P430" i="14"/>
  <c r="O430" i="14"/>
  <c r="N430" i="14"/>
  <c r="M430" i="14"/>
  <c r="L430" i="14"/>
  <c r="K430" i="14"/>
  <c r="J430" i="14"/>
  <c r="I430" i="14"/>
  <c r="H430" i="14"/>
  <c r="G430" i="14"/>
  <c r="F430" i="14"/>
  <c r="E430" i="14"/>
  <c r="D430" i="14"/>
  <c r="C430" i="14"/>
  <c r="B430" i="14"/>
  <c r="A430" i="14" s="1"/>
  <c r="P429" i="14"/>
  <c r="O429" i="14"/>
  <c r="N429" i="14"/>
  <c r="M429" i="14"/>
  <c r="L429" i="14"/>
  <c r="K429" i="14"/>
  <c r="J429" i="14"/>
  <c r="I429" i="14"/>
  <c r="H429" i="14"/>
  <c r="G429" i="14"/>
  <c r="F429" i="14"/>
  <c r="E429" i="14"/>
  <c r="D429" i="14"/>
  <c r="C429" i="14"/>
  <c r="B429" i="14"/>
  <c r="A429" i="14" s="1"/>
  <c r="P428" i="14"/>
  <c r="O428" i="14"/>
  <c r="N428" i="14"/>
  <c r="M428" i="14"/>
  <c r="L428" i="14"/>
  <c r="K428" i="14"/>
  <c r="J428" i="14"/>
  <c r="I428" i="14"/>
  <c r="H428" i="14"/>
  <c r="G428" i="14"/>
  <c r="F428" i="14"/>
  <c r="E428" i="14"/>
  <c r="D428" i="14"/>
  <c r="C428" i="14"/>
  <c r="B428" i="14"/>
  <c r="A428" i="14" s="1"/>
  <c r="P427" i="14"/>
  <c r="O427" i="14"/>
  <c r="N427" i="14"/>
  <c r="M427" i="14"/>
  <c r="L427" i="14"/>
  <c r="K427" i="14"/>
  <c r="J427" i="14"/>
  <c r="I427" i="14"/>
  <c r="H427" i="14"/>
  <c r="G427" i="14"/>
  <c r="F427" i="14"/>
  <c r="E427" i="14"/>
  <c r="D427" i="14"/>
  <c r="C427" i="14"/>
  <c r="B427" i="14"/>
  <c r="A427" i="14" s="1"/>
  <c r="P426" i="14"/>
  <c r="O426" i="14"/>
  <c r="N426" i="14"/>
  <c r="M426" i="14"/>
  <c r="L426" i="14"/>
  <c r="K426" i="14"/>
  <c r="J426" i="14"/>
  <c r="I426" i="14"/>
  <c r="H426" i="14"/>
  <c r="G426" i="14"/>
  <c r="F426" i="14"/>
  <c r="E426" i="14"/>
  <c r="D426" i="14"/>
  <c r="C426" i="14"/>
  <c r="B426" i="14"/>
  <c r="A426" i="14" s="1"/>
  <c r="P425" i="14"/>
  <c r="O425" i="14"/>
  <c r="N425" i="14"/>
  <c r="M425" i="14"/>
  <c r="L425" i="14"/>
  <c r="K425" i="14"/>
  <c r="J425" i="14"/>
  <c r="I425" i="14"/>
  <c r="H425" i="14"/>
  <c r="G425" i="14"/>
  <c r="F425" i="14"/>
  <c r="E425" i="14"/>
  <c r="D425" i="14"/>
  <c r="C425" i="14"/>
  <c r="B425" i="14"/>
  <c r="A425" i="14" s="1"/>
  <c r="P424" i="14"/>
  <c r="O424" i="14"/>
  <c r="N424" i="14"/>
  <c r="M424" i="14"/>
  <c r="L424" i="14"/>
  <c r="K424" i="14"/>
  <c r="J424" i="14"/>
  <c r="I424" i="14"/>
  <c r="H424" i="14"/>
  <c r="G424" i="14"/>
  <c r="F424" i="14"/>
  <c r="E424" i="14"/>
  <c r="D424" i="14"/>
  <c r="C424" i="14"/>
  <c r="B424" i="14"/>
  <c r="A424" i="14" s="1"/>
  <c r="P423" i="14"/>
  <c r="O423" i="14"/>
  <c r="N423" i="14"/>
  <c r="M423" i="14"/>
  <c r="L423" i="14"/>
  <c r="K423" i="14"/>
  <c r="J423" i="14"/>
  <c r="I423" i="14"/>
  <c r="H423" i="14"/>
  <c r="G423" i="14"/>
  <c r="F423" i="14"/>
  <c r="E423" i="14"/>
  <c r="D423" i="14"/>
  <c r="C423" i="14"/>
  <c r="B423" i="14"/>
  <c r="A423" i="14" s="1"/>
  <c r="P422" i="14"/>
  <c r="O422" i="14"/>
  <c r="N422" i="14"/>
  <c r="M422" i="14"/>
  <c r="L422" i="14"/>
  <c r="K422" i="14"/>
  <c r="J422" i="14"/>
  <c r="I422" i="14"/>
  <c r="H422" i="14"/>
  <c r="G422" i="14"/>
  <c r="F422" i="14"/>
  <c r="E422" i="14"/>
  <c r="D422" i="14"/>
  <c r="C422" i="14"/>
  <c r="B422" i="14"/>
  <c r="A422" i="14" s="1"/>
  <c r="P421" i="14"/>
  <c r="O421" i="14"/>
  <c r="N421" i="14"/>
  <c r="M421" i="14"/>
  <c r="L421" i="14"/>
  <c r="K421" i="14"/>
  <c r="J421" i="14"/>
  <c r="I421" i="14"/>
  <c r="H421" i="14"/>
  <c r="G421" i="14"/>
  <c r="F421" i="14"/>
  <c r="E421" i="14"/>
  <c r="D421" i="14"/>
  <c r="C421" i="14"/>
  <c r="B421" i="14"/>
  <c r="A421" i="14" s="1"/>
  <c r="P420" i="14"/>
  <c r="O420" i="14"/>
  <c r="N420" i="14"/>
  <c r="M420" i="14"/>
  <c r="L420" i="14"/>
  <c r="K420" i="14"/>
  <c r="J420" i="14"/>
  <c r="I420" i="14"/>
  <c r="H420" i="14"/>
  <c r="G420" i="14"/>
  <c r="F420" i="14"/>
  <c r="E420" i="14"/>
  <c r="D420" i="14"/>
  <c r="C420" i="14"/>
  <c r="B420" i="14"/>
  <c r="A420" i="14" s="1"/>
  <c r="P419" i="14"/>
  <c r="O419" i="14"/>
  <c r="N419" i="14"/>
  <c r="M419" i="14"/>
  <c r="L419" i="14"/>
  <c r="K419" i="14"/>
  <c r="J419" i="14"/>
  <c r="I419" i="14"/>
  <c r="H419" i="14"/>
  <c r="G419" i="14"/>
  <c r="F419" i="14"/>
  <c r="E419" i="14"/>
  <c r="D419" i="14"/>
  <c r="C419" i="14"/>
  <c r="B419" i="14"/>
  <c r="A419" i="14" s="1"/>
  <c r="P418" i="14"/>
  <c r="O418" i="14"/>
  <c r="N418" i="14"/>
  <c r="M418" i="14"/>
  <c r="L418" i="14"/>
  <c r="K418" i="14"/>
  <c r="J418" i="14"/>
  <c r="I418" i="14"/>
  <c r="H418" i="14"/>
  <c r="G418" i="14"/>
  <c r="F418" i="14"/>
  <c r="E418" i="14"/>
  <c r="D418" i="14"/>
  <c r="C418" i="14"/>
  <c r="B418" i="14"/>
  <c r="A418" i="14" s="1"/>
  <c r="P417" i="14"/>
  <c r="O417" i="14"/>
  <c r="N417" i="14"/>
  <c r="M417" i="14"/>
  <c r="L417" i="14"/>
  <c r="K417" i="14"/>
  <c r="J417" i="14"/>
  <c r="I417" i="14"/>
  <c r="H417" i="14"/>
  <c r="G417" i="14"/>
  <c r="F417" i="14"/>
  <c r="E417" i="14"/>
  <c r="D417" i="14"/>
  <c r="C417" i="14"/>
  <c r="B417" i="14"/>
  <c r="A417" i="14" s="1"/>
  <c r="P416" i="14"/>
  <c r="O416" i="14"/>
  <c r="N416" i="14"/>
  <c r="M416" i="14"/>
  <c r="L416" i="14"/>
  <c r="K416" i="14"/>
  <c r="J416" i="14"/>
  <c r="I416" i="14"/>
  <c r="H416" i="14"/>
  <c r="G416" i="14"/>
  <c r="F416" i="14"/>
  <c r="E416" i="14"/>
  <c r="D416" i="14"/>
  <c r="C416" i="14"/>
  <c r="B416" i="14"/>
  <c r="A416" i="14" s="1"/>
  <c r="P415" i="14"/>
  <c r="O415" i="14"/>
  <c r="N415" i="14"/>
  <c r="M415" i="14"/>
  <c r="L415" i="14"/>
  <c r="K415" i="14"/>
  <c r="J415" i="14"/>
  <c r="I415" i="14"/>
  <c r="H415" i="14"/>
  <c r="G415" i="14"/>
  <c r="F415" i="14"/>
  <c r="E415" i="14"/>
  <c r="D415" i="14"/>
  <c r="C415" i="14"/>
  <c r="B415" i="14"/>
  <c r="A415" i="14" s="1"/>
  <c r="P414" i="14"/>
  <c r="O414" i="14"/>
  <c r="N414" i="14"/>
  <c r="M414" i="14"/>
  <c r="L414" i="14"/>
  <c r="K414" i="14"/>
  <c r="J414" i="14"/>
  <c r="I414" i="14"/>
  <c r="H414" i="14"/>
  <c r="G414" i="14"/>
  <c r="F414" i="14"/>
  <c r="E414" i="14"/>
  <c r="D414" i="14"/>
  <c r="C414" i="14"/>
  <c r="B414" i="14"/>
  <c r="A414" i="14" s="1"/>
  <c r="P413" i="14"/>
  <c r="O413" i="14"/>
  <c r="N413" i="14"/>
  <c r="M413" i="14"/>
  <c r="L413" i="14"/>
  <c r="K413" i="14"/>
  <c r="J413" i="14"/>
  <c r="I413" i="14"/>
  <c r="H413" i="14"/>
  <c r="G413" i="14"/>
  <c r="F413" i="14"/>
  <c r="E413" i="14"/>
  <c r="D413" i="14"/>
  <c r="C413" i="14"/>
  <c r="B413" i="14"/>
  <c r="A413" i="14" s="1"/>
  <c r="P412" i="14"/>
  <c r="O412" i="14"/>
  <c r="N412" i="14"/>
  <c r="M412" i="14"/>
  <c r="L412" i="14"/>
  <c r="K412" i="14"/>
  <c r="J412" i="14"/>
  <c r="I412" i="14"/>
  <c r="H412" i="14"/>
  <c r="G412" i="14"/>
  <c r="F412" i="14"/>
  <c r="E412" i="14"/>
  <c r="D412" i="14"/>
  <c r="C412" i="14"/>
  <c r="B412" i="14"/>
  <c r="A412" i="14" s="1"/>
  <c r="P411" i="14"/>
  <c r="O411" i="14"/>
  <c r="N411" i="14"/>
  <c r="M411" i="14"/>
  <c r="L411" i="14"/>
  <c r="K411" i="14"/>
  <c r="J411" i="14"/>
  <c r="I411" i="14"/>
  <c r="H411" i="14"/>
  <c r="G411" i="14"/>
  <c r="F411" i="14"/>
  <c r="E411" i="14"/>
  <c r="D411" i="14"/>
  <c r="C411" i="14"/>
  <c r="B411" i="14"/>
  <c r="A411" i="14" s="1"/>
  <c r="P410" i="14"/>
  <c r="O410" i="14"/>
  <c r="N410" i="14"/>
  <c r="M410" i="14"/>
  <c r="L410" i="14"/>
  <c r="K410" i="14"/>
  <c r="J410" i="14"/>
  <c r="I410" i="14"/>
  <c r="H410" i="14"/>
  <c r="G410" i="14"/>
  <c r="F410" i="14"/>
  <c r="E410" i="14"/>
  <c r="D410" i="14"/>
  <c r="C410" i="14"/>
  <c r="B410" i="14"/>
  <c r="A410" i="14" s="1"/>
  <c r="P409" i="14"/>
  <c r="O409" i="14"/>
  <c r="N409" i="14"/>
  <c r="M409" i="14"/>
  <c r="L409" i="14"/>
  <c r="K409" i="14"/>
  <c r="J409" i="14"/>
  <c r="I409" i="14"/>
  <c r="H409" i="14"/>
  <c r="G409" i="14"/>
  <c r="F409" i="14"/>
  <c r="E409" i="14"/>
  <c r="D409" i="14"/>
  <c r="C409" i="14"/>
  <c r="B409" i="14"/>
  <c r="A409" i="14" s="1"/>
  <c r="P408" i="14"/>
  <c r="O408" i="14"/>
  <c r="N408" i="14"/>
  <c r="M408" i="14"/>
  <c r="L408" i="14"/>
  <c r="K408" i="14"/>
  <c r="J408" i="14"/>
  <c r="I408" i="14"/>
  <c r="H408" i="14"/>
  <c r="G408" i="14"/>
  <c r="F408" i="14"/>
  <c r="E408" i="14"/>
  <c r="D408" i="14"/>
  <c r="C408" i="14"/>
  <c r="B408" i="14"/>
  <c r="A408" i="14" s="1"/>
  <c r="P407" i="14"/>
  <c r="O407" i="14"/>
  <c r="N407" i="14"/>
  <c r="M407" i="14"/>
  <c r="L407" i="14"/>
  <c r="K407" i="14"/>
  <c r="J407" i="14"/>
  <c r="I407" i="14"/>
  <c r="H407" i="14"/>
  <c r="G407" i="14"/>
  <c r="F407" i="14"/>
  <c r="E407" i="14"/>
  <c r="D407" i="14"/>
  <c r="C407" i="14"/>
  <c r="B407" i="14"/>
  <c r="A407" i="14" s="1"/>
  <c r="P406" i="14"/>
  <c r="O406" i="14"/>
  <c r="N406" i="14"/>
  <c r="M406" i="14"/>
  <c r="L406" i="14"/>
  <c r="K406" i="14"/>
  <c r="J406" i="14"/>
  <c r="I406" i="14"/>
  <c r="H406" i="14"/>
  <c r="G406" i="14"/>
  <c r="F406" i="14"/>
  <c r="E406" i="14"/>
  <c r="D406" i="14"/>
  <c r="C406" i="14"/>
  <c r="B406" i="14"/>
  <c r="A406" i="14" s="1"/>
  <c r="P405" i="14"/>
  <c r="O405" i="14"/>
  <c r="N405" i="14"/>
  <c r="M405" i="14"/>
  <c r="L405" i="14"/>
  <c r="K405" i="14"/>
  <c r="J405" i="14"/>
  <c r="I405" i="14"/>
  <c r="H405" i="14"/>
  <c r="G405" i="14"/>
  <c r="F405" i="14"/>
  <c r="E405" i="14"/>
  <c r="D405" i="14"/>
  <c r="C405" i="14"/>
  <c r="B405" i="14"/>
  <c r="A405" i="14" s="1"/>
  <c r="P404" i="14"/>
  <c r="O404" i="14"/>
  <c r="N404" i="14"/>
  <c r="M404" i="14"/>
  <c r="L404" i="14"/>
  <c r="K404" i="14"/>
  <c r="J404" i="14"/>
  <c r="I404" i="14"/>
  <c r="H404" i="14"/>
  <c r="G404" i="14"/>
  <c r="F404" i="14"/>
  <c r="E404" i="14"/>
  <c r="D404" i="14"/>
  <c r="C404" i="14"/>
  <c r="B404" i="14"/>
  <c r="A404" i="14" s="1"/>
  <c r="P403" i="14"/>
  <c r="O403" i="14"/>
  <c r="N403" i="14"/>
  <c r="M403" i="14"/>
  <c r="L403" i="14"/>
  <c r="K403" i="14"/>
  <c r="J403" i="14"/>
  <c r="I403" i="14"/>
  <c r="H403" i="14"/>
  <c r="G403" i="14"/>
  <c r="F403" i="14"/>
  <c r="E403" i="14"/>
  <c r="D403" i="14"/>
  <c r="C403" i="14"/>
  <c r="B403" i="14"/>
  <c r="A403" i="14" s="1"/>
  <c r="P402" i="14"/>
  <c r="O402" i="14"/>
  <c r="N402" i="14"/>
  <c r="M402" i="14"/>
  <c r="L402" i="14"/>
  <c r="K402" i="14"/>
  <c r="J402" i="14"/>
  <c r="I402" i="14"/>
  <c r="H402" i="14"/>
  <c r="G402" i="14"/>
  <c r="F402" i="14"/>
  <c r="E402" i="14"/>
  <c r="D402" i="14"/>
  <c r="C402" i="14"/>
  <c r="B402" i="14"/>
  <c r="A402" i="14" s="1"/>
  <c r="P401" i="14"/>
  <c r="O401" i="14"/>
  <c r="N401" i="14"/>
  <c r="M401" i="14"/>
  <c r="L401" i="14"/>
  <c r="K401" i="14"/>
  <c r="J401" i="14"/>
  <c r="I401" i="14"/>
  <c r="H401" i="14"/>
  <c r="G401" i="14"/>
  <c r="F401" i="14"/>
  <c r="E401" i="14"/>
  <c r="D401" i="14"/>
  <c r="C401" i="14"/>
  <c r="B401" i="14"/>
  <c r="A401" i="14" s="1"/>
  <c r="P400" i="14"/>
  <c r="O400" i="14"/>
  <c r="N400" i="14"/>
  <c r="M400" i="14"/>
  <c r="L400" i="14"/>
  <c r="K400" i="14"/>
  <c r="J400" i="14"/>
  <c r="I400" i="14"/>
  <c r="H400" i="14"/>
  <c r="G400" i="14"/>
  <c r="F400" i="14"/>
  <c r="E400" i="14"/>
  <c r="D400" i="14"/>
  <c r="C400" i="14"/>
  <c r="B400" i="14"/>
  <c r="A400" i="14" s="1"/>
  <c r="P399" i="14"/>
  <c r="O399" i="14"/>
  <c r="N399" i="14"/>
  <c r="M399" i="14"/>
  <c r="L399" i="14"/>
  <c r="K399" i="14"/>
  <c r="J399" i="14"/>
  <c r="I399" i="14"/>
  <c r="H399" i="14"/>
  <c r="G399" i="14"/>
  <c r="F399" i="14"/>
  <c r="E399" i="14"/>
  <c r="D399" i="14"/>
  <c r="C399" i="14"/>
  <c r="B399" i="14"/>
  <c r="A399" i="14" s="1"/>
  <c r="P398" i="14"/>
  <c r="O398" i="14"/>
  <c r="N398" i="14"/>
  <c r="M398" i="14"/>
  <c r="L398" i="14"/>
  <c r="K398" i="14"/>
  <c r="J398" i="14"/>
  <c r="I398" i="14"/>
  <c r="H398" i="14"/>
  <c r="G398" i="14"/>
  <c r="F398" i="14"/>
  <c r="E398" i="14"/>
  <c r="D398" i="14"/>
  <c r="C398" i="14"/>
  <c r="B398" i="14"/>
  <c r="A398" i="14" s="1"/>
  <c r="P397" i="14"/>
  <c r="O397" i="14"/>
  <c r="N397" i="14"/>
  <c r="M397" i="14"/>
  <c r="L397" i="14"/>
  <c r="K397" i="14"/>
  <c r="J397" i="14"/>
  <c r="I397" i="14"/>
  <c r="H397" i="14"/>
  <c r="G397" i="14"/>
  <c r="F397" i="14"/>
  <c r="E397" i="14"/>
  <c r="D397" i="14"/>
  <c r="C397" i="14"/>
  <c r="B397" i="14"/>
  <c r="A397" i="14" s="1"/>
  <c r="P396" i="14"/>
  <c r="O396" i="14"/>
  <c r="N396" i="14"/>
  <c r="M396" i="14"/>
  <c r="L396" i="14"/>
  <c r="K396" i="14"/>
  <c r="J396" i="14"/>
  <c r="I396" i="14"/>
  <c r="H396" i="14"/>
  <c r="G396" i="14"/>
  <c r="F396" i="14"/>
  <c r="E396" i="14"/>
  <c r="D396" i="14"/>
  <c r="C396" i="14"/>
  <c r="B396" i="14"/>
  <c r="A396" i="14" s="1"/>
  <c r="P395" i="14"/>
  <c r="O395" i="14"/>
  <c r="N395" i="14"/>
  <c r="M395" i="14"/>
  <c r="L395" i="14"/>
  <c r="K395" i="14"/>
  <c r="J395" i="14"/>
  <c r="I395" i="14"/>
  <c r="H395" i="14"/>
  <c r="G395" i="14"/>
  <c r="F395" i="14"/>
  <c r="E395" i="14"/>
  <c r="D395" i="14"/>
  <c r="C395" i="14"/>
  <c r="B395" i="14"/>
  <c r="A395" i="14" s="1"/>
  <c r="P394" i="14"/>
  <c r="O394" i="14"/>
  <c r="N394" i="14"/>
  <c r="M394" i="14"/>
  <c r="L394" i="14"/>
  <c r="K394" i="14"/>
  <c r="J394" i="14"/>
  <c r="I394" i="14"/>
  <c r="H394" i="14"/>
  <c r="G394" i="14"/>
  <c r="F394" i="14"/>
  <c r="E394" i="14"/>
  <c r="D394" i="14"/>
  <c r="C394" i="14"/>
  <c r="B394" i="14"/>
  <c r="A394" i="14" s="1"/>
  <c r="P393" i="14"/>
  <c r="O393" i="14"/>
  <c r="N393" i="14"/>
  <c r="M393" i="14"/>
  <c r="L393" i="14"/>
  <c r="K393" i="14"/>
  <c r="J393" i="14"/>
  <c r="I393" i="14"/>
  <c r="H393" i="14"/>
  <c r="G393" i="14"/>
  <c r="F393" i="14"/>
  <c r="E393" i="14"/>
  <c r="D393" i="14"/>
  <c r="C393" i="14"/>
  <c r="B393" i="14"/>
  <c r="A393" i="14" s="1"/>
  <c r="P392" i="14"/>
  <c r="O392" i="14"/>
  <c r="N392" i="14"/>
  <c r="M392" i="14"/>
  <c r="L392" i="14"/>
  <c r="K392" i="14"/>
  <c r="J392" i="14"/>
  <c r="I392" i="14"/>
  <c r="H392" i="14"/>
  <c r="G392" i="14"/>
  <c r="F392" i="14"/>
  <c r="E392" i="14"/>
  <c r="D392" i="14"/>
  <c r="C392" i="14"/>
  <c r="B392" i="14"/>
  <c r="A392" i="14" s="1"/>
  <c r="P391" i="14"/>
  <c r="O391" i="14"/>
  <c r="N391" i="14"/>
  <c r="M391" i="14"/>
  <c r="L391" i="14"/>
  <c r="K391" i="14"/>
  <c r="J391" i="14"/>
  <c r="I391" i="14"/>
  <c r="H391" i="14"/>
  <c r="G391" i="14"/>
  <c r="F391" i="14"/>
  <c r="E391" i="14"/>
  <c r="D391" i="14"/>
  <c r="C391" i="14"/>
  <c r="B391" i="14"/>
  <c r="A391" i="14" s="1"/>
  <c r="P390" i="14"/>
  <c r="O390" i="14"/>
  <c r="N390" i="14"/>
  <c r="M390" i="14"/>
  <c r="L390" i="14"/>
  <c r="K390" i="14"/>
  <c r="J390" i="14"/>
  <c r="I390" i="14"/>
  <c r="H390" i="14"/>
  <c r="G390" i="14"/>
  <c r="F390" i="14"/>
  <c r="E390" i="14"/>
  <c r="D390" i="14"/>
  <c r="C390" i="14"/>
  <c r="B390" i="14"/>
  <c r="A390" i="14" s="1"/>
  <c r="P389" i="14"/>
  <c r="O389" i="14"/>
  <c r="N389" i="14"/>
  <c r="M389" i="14"/>
  <c r="L389" i="14"/>
  <c r="K389" i="14"/>
  <c r="J389" i="14"/>
  <c r="I389" i="14"/>
  <c r="H389" i="14"/>
  <c r="G389" i="14"/>
  <c r="F389" i="14"/>
  <c r="E389" i="14"/>
  <c r="D389" i="14"/>
  <c r="C389" i="14"/>
  <c r="B389" i="14"/>
  <c r="A389" i="14" s="1"/>
  <c r="P388" i="14"/>
  <c r="O388" i="14"/>
  <c r="N388" i="14"/>
  <c r="M388" i="14"/>
  <c r="L388" i="14"/>
  <c r="K388" i="14"/>
  <c r="J388" i="14"/>
  <c r="I388" i="14"/>
  <c r="H388" i="14"/>
  <c r="G388" i="14"/>
  <c r="F388" i="14"/>
  <c r="E388" i="14"/>
  <c r="D388" i="14"/>
  <c r="C388" i="14"/>
  <c r="B388" i="14"/>
  <c r="A388" i="14" s="1"/>
  <c r="P387" i="14"/>
  <c r="O387" i="14"/>
  <c r="N387" i="14"/>
  <c r="M387" i="14"/>
  <c r="L387" i="14"/>
  <c r="K387" i="14"/>
  <c r="J387" i="14"/>
  <c r="I387" i="14"/>
  <c r="H387" i="14"/>
  <c r="G387" i="14"/>
  <c r="F387" i="14"/>
  <c r="E387" i="14"/>
  <c r="D387" i="14"/>
  <c r="C387" i="14"/>
  <c r="B387" i="14"/>
  <c r="A387" i="14" s="1"/>
  <c r="P386" i="14"/>
  <c r="O386" i="14"/>
  <c r="N386" i="14"/>
  <c r="M386" i="14"/>
  <c r="L386" i="14"/>
  <c r="K386" i="14"/>
  <c r="J386" i="14"/>
  <c r="I386" i="14"/>
  <c r="H386" i="14"/>
  <c r="G386" i="14"/>
  <c r="F386" i="14"/>
  <c r="E386" i="14"/>
  <c r="D386" i="14"/>
  <c r="C386" i="14"/>
  <c r="B386" i="14"/>
  <c r="A386" i="14" s="1"/>
  <c r="P385" i="14"/>
  <c r="O385" i="14"/>
  <c r="N385" i="14"/>
  <c r="M385" i="14"/>
  <c r="L385" i="14"/>
  <c r="K385" i="14"/>
  <c r="J385" i="14"/>
  <c r="I385" i="14"/>
  <c r="H385" i="14"/>
  <c r="G385" i="14"/>
  <c r="F385" i="14"/>
  <c r="E385" i="14"/>
  <c r="D385" i="14"/>
  <c r="C385" i="14"/>
  <c r="B385" i="14"/>
  <c r="A385" i="14" s="1"/>
  <c r="P384" i="14"/>
  <c r="O384" i="14"/>
  <c r="N384" i="14"/>
  <c r="M384" i="14"/>
  <c r="L384" i="14"/>
  <c r="K384" i="14"/>
  <c r="J384" i="14"/>
  <c r="I384" i="14"/>
  <c r="H384" i="14"/>
  <c r="G384" i="14"/>
  <c r="F384" i="14"/>
  <c r="E384" i="14"/>
  <c r="D384" i="14"/>
  <c r="C384" i="14"/>
  <c r="B384" i="14"/>
  <c r="A384" i="14" s="1"/>
  <c r="P383" i="14"/>
  <c r="O383" i="14"/>
  <c r="N383" i="14"/>
  <c r="M383" i="14"/>
  <c r="L383" i="14"/>
  <c r="K383" i="14"/>
  <c r="J383" i="14"/>
  <c r="I383" i="14"/>
  <c r="H383" i="14"/>
  <c r="G383" i="14"/>
  <c r="F383" i="14"/>
  <c r="E383" i="14"/>
  <c r="D383" i="14"/>
  <c r="C383" i="14"/>
  <c r="B383" i="14"/>
  <c r="A383" i="14" s="1"/>
  <c r="P382" i="14"/>
  <c r="O382" i="14"/>
  <c r="N382" i="14"/>
  <c r="M382" i="14"/>
  <c r="L382" i="14"/>
  <c r="K382" i="14"/>
  <c r="J382" i="14"/>
  <c r="I382" i="14"/>
  <c r="H382" i="14"/>
  <c r="G382" i="14"/>
  <c r="F382" i="14"/>
  <c r="E382" i="14"/>
  <c r="D382" i="14"/>
  <c r="C382" i="14"/>
  <c r="B382" i="14"/>
  <c r="A382" i="14" s="1"/>
  <c r="P381" i="14"/>
  <c r="O381" i="14"/>
  <c r="N381" i="14"/>
  <c r="M381" i="14"/>
  <c r="L381" i="14"/>
  <c r="K381" i="14"/>
  <c r="J381" i="14"/>
  <c r="I381" i="14"/>
  <c r="H381" i="14"/>
  <c r="G381" i="14"/>
  <c r="F381" i="14"/>
  <c r="E381" i="14"/>
  <c r="D381" i="14"/>
  <c r="C381" i="14"/>
  <c r="B381" i="14"/>
  <c r="A381" i="14" s="1"/>
  <c r="P380" i="14"/>
  <c r="O380" i="14"/>
  <c r="N380" i="14"/>
  <c r="M380" i="14"/>
  <c r="L380" i="14"/>
  <c r="K380" i="14"/>
  <c r="J380" i="14"/>
  <c r="I380" i="14"/>
  <c r="H380" i="14"/>
  <c r="G380" i="14"/>
  <c r="F380" i="14"/>
  <c r="E380" i="14"/>
  <c r="D380" i="14"/>
  <c r="C380" i="14"/>
  <c r="B380" i="14"/>
  <c r="A380" i="14" s="1"/>
  <c r="P379" i="14"/>
  <c r="O379" i="14"/>
  <c r="N379" i="14"/>
  <c r="M379" i="14"/>
  <c r="L379" i="14"/>
  <c r="K379" i="14"/>
  <c r="J379" i="14"/>
  <c r="I379" i="14"/>
  <c r="H379" i="14"/>
  <c r="G379" i="14"/>
  <c r="F379" i="14"/>
  <c r="E379" i="14"/>
  <c r="D379" i="14"/>
  <c r="C379" i="14"/>
  <c r="B379" i="14"/>
  <c r="A379" i="14" s="1"/>
  <c r="P378" i="14"/>
  <c r="O378" i="14"/>
  <c r="N378" i="14"/>
  <c r="M378" i="14"/>
  <c r="L378" i="14"/>
  <c r="K378" i="14"/>
  <c r="J378" i="14"/>
  <c r="I378" i="14"/>
  <c r="H378" i="14"/>
  <c r="G378" i="14"/>
  <c r="F378" i="14"/>
  <c r="E378" i="14"/>
  <c r="D378" i="14"/>
  <c r="C378" i="14"/>
  <c r="B378" i="14"/>
  <c r="A378" i="14" s="1"/>
  <c r="P377" i="14"/>
  <c r="O377" i="14"/>
  <c r="N377" i="14"/>
  <c r="M377" i="14"/>
  <c r="L377" i="14"/>
  <c r="K377" i="14"/>
  <c r="J377" i="14"/>
  <c r="I377" i="14"/>
  <c r="H377" i="14"/>
  <c r="G377" i="14"/>
  <c r="F377" i="14"/>
  <c r="E377" i="14"/>
  <c r="D377" i="14"/>
  <c r="C377" i="14"/>
  <c r="B377" i="14"/>
  <c r="A377" i="14" s="1"/>
  <c r="P376" i="14"/>
  <c r="O376" i="14"/>
  <c r="N376" i="14"/>
  <c r="M376" i="14"/>
  <c r="L376" i="14"/>
  <c r="K376" i="14"/>
  <c r="J376" i="14"/>
  <c r="I376" i="14"/>
  <c r="H376" i="14"/>
  <c r="G376" i="14"/>
  <c r="F376" i="14"/>
  <c r="E376" i="14"/>
  <c r="D376" i="14"/>
  <c r="C376" i="14"/>
  <c r="B376" i="14"/>
  <c r="A376" i="14" s="1"/>
  <c r="P375" i="14"/>
  <c r="O375" i="14"/>
  <c r="N375" i="14"/>
  <c r="M375" i="14"/>
  <c r="L375" i="14"/>
  <c r="K375" i="14"/>
  <c r="J375" i="14"/>
  <c r="I375" i="14"/>
  <c r="H375" i="14"/>
  <c r="G375" i="14"/>
  <c r="F375" i="14"/>
  <c r="E375" i="14"/>
  <c r="D375" i="14"/>
  <c r="C375" i="14"/>
  <c r="B375" i="14"/>
  <c r="A375" i="14" s="1"/>
  <c r="P374" i="14"/>
  <c r="O374" i="14"/>
  <c r="N374" i="14"/>
  <c r="M374" i="14"/>
  <c r="L374" i="14"/>
  <c r="K374" i="14"/>
  <c r="J374" i="14"/>
  <c r="I374" i="14"/>
  <c r="H374" i="14"/>
  <c r="G374" i="14"/>
  <c r="F374" i="14"/>
  <c r="E374" i="14"/>
  <c r="D374" i="14"/>
  <c r="C374" i="14"/>
  <c r="B374" i="14"/>
  <c r="A374" i="14" s="1"/>
  <c r="P373" i="14"/>
  <c r="O373" i="14"/>
  <c r="N373" i="14"/>
  <c r="M373" i="14"/>
  <c r="L373" i="14"/>
  <c r="K373" i="14"/>
  <c r="J373" i="14"/>
  <c r="I373" i="14"/>
  <c r="H373" i="14"/>
  <c r="G373" i="14"/>
  <c r="F373" i="14"/>
  <c r="E373" i="14"/>
  <c r="D373" i="14"/>
  <c r="C373" i="14"/>
  <c r="B373" i="14"/>
  <c r="A373" i="14" s="1"/>
  <c r="P372" i="14"/>
  <c r="O372" i="14"/>
  <c r="N372" i="14"/>
  <c r="M372" i="14"/>
  <c r="L372" i="14"/>
  <c r="K372" i="14"/>
  <c r="J372" i="14"/>
  <c r="I372" i="14"/>
  <c r="H372" i="14"/>
  <c r="G372" i="14"/>
  <c r="F372" i="14"/>
  <c r="E372" i="14"/>
  <c r="D372" i="14"/>
  <c r="C372" i="14"/>
  <c r="B372" i="14"/>
  <c r="A372" i="14" s="1"/>
  <c r="P371" i="14"/>
  <c r="O371" i="14"/>
  <c r="N371" i="14"/>
  <c r="M371" i="14"/>
  <c r="L371" i="14"/>
  <c r="K371" i="14"/>
  <c r="J371" i="14"/>
  <c r="I371" i="14"/>
  <c r="H371" i="14"/>
  <c r="G371" i="14"/>
  <c r="F371" i="14"/>
  <c r="E371" i="14"/>
  <c r="D371" i="14"/>
  <c r="C371" i="14"/>
  <c r="B371" i="14"/>
  <c r="A371" i="14" s="1"/>
  <c r="P370" i="14"/>
  <c r="O370" i="14"/>
  <c r="N370" i="14"/>
  <c r="M370" i="14"/>
  <c r="L370" i="14"/>
  <c r="K370" i="14"/>
  <c r="J370" i="14"/>
  <c r="I370" i="14"/>
  <c r="H370" i="14"/>
  <c r="G370" i="14"/>
  <c r="F370" i="14"/>
  <c r="E370" i="14"/>
  <c r="D370" i="14"/>
  <c r="C370" i="14"/>
  <c r="B370" i="14"/>
  <c r="A370" i="14" s="1"/>
  <c r="P369" i="14"/>
  <c r="O369" i="14"/>
  <c r="N369" i="14"/>
  <c r="M369" i="14"/>
  <c r="L369" i="14"/>
  <c r="K369" i="14"/>
  <c r="J369" i="14"/>
  <c r="I369" i="14"/>
  <c r="H369" i="14"/>
  <c r="G369" i="14"/>
  <c r="F369" i="14"/>
  <c r="E369" i="14"/>
  <c r="D369" i="14"/>
  <c r="C369" i="14"/>
  <c r="B369" i="14"/>
  <c r="A369" i="14" s="1"/>
  <c r="P368" i="14"/>
  <c r="O368" i="14"/>
  <c r="N368" i="14"/>
  <c r="M368" i="14"/>
  <c r="L368" i="14"/>
  <c r="K368" i="14"/>
  <c r="J368" i="14"/>
  <c r="I368" i="14"/>
  <c r="H368" i="14"/>
  <c r="G368" i="14"/>
  <c r="F368" i="14"/>
  <c r="E368" i="14"/>
  <c r="D368" i="14"/>
  <c r="C368" i="14"/>
  <c r="B368" i="14"/>
  <c r="A368" i="14" s="1"/>
  <c r="P367" i="14"/>
  <c r="O367" i="14"/>
  <c r="N367" i="14"/>
  <c r="M367" i="14"/>
  <c r="L367" i="14"/>
  <c r="K367" i="14"/>
  <c r="J367" i="14"/>
  <c r="I367" i="14"/>
  <c r="H367" i="14"/>
  <c r="G367" i="14"/>
  <c r="F367" i="14"/>
  <c r="E367" i="14"/>
  <c r="D367" i="14"/>
  <c r="C367" i="14"/>
  <c r="B367" i="14"/>
  <c r="A367" i="14" s="1"/>
  <c r="P366" i="14"/>
  <c r="O366" i="14"/>
  <c r="N366" i="14"/>
  <c r="M366" i="14"/>
  <c r="L366" i="14"/>
  <c r="K366" i="14"/>
  <c r="J366" i="14"/>
  <c r="I366" i="14"/>
  <c r="H366" i="14"/>
  <c r="G366" i="14"/>
  <c r="F366" i="14"/>
  <c r="E366" i="14"/>
  <c r="D366" i="14"/>
  <c r="C366" i="14"/>
  <c r="B366" i="14"/>
  <c r="A366" i="14" s="1"/>
  <c r="P365" i="14"/>
  <c r="O365" i="14"/>
  <c r="N365" i="14"/>
  <c r="M365" i="14"/>
  <c r="L365" i="14"/>
  <c r="K365" i="14"/>
  <c r="J365" i="14"/>
  <c r="I365" i="14"/>
  <c r="H365" i="14"/>
  <c r="G365" i="14"/>
  <c r="F365" i="14"/>
  <c r="E365" i="14"/>
  <c r="D365" i="14"/>
  <c r="C365" i="14"/>
  <c r="B365" i="14"/>
  <c r="A365" i="14" s="1"/>
  <c r="P364" i="14"/>
  <c r="O364" i="14"/>
  <c r="N364" i="14"/>
  <c r="M364" i="14"/>
  <c r="L364" i="14"/>
  <c r="K364" i="14"/>
  <c r="J364" i="14"/>
  <c r="I364" i="14"/>
  <c r="H364" i="14"/>
  <c r="G364" i="14"/>
  <c r="F364" i="14"/>
  <c r="E364" i="14"/>
  <c r="D364" i="14"/>
  <c r="C364" i="14"/>
  <c r="B364" i="14"/>
  <c r="A364" i="14" s="1"/>
  <c r="P363" i="14"/>
  <c r="O363" i="14"/>
  <c r="N363" i="14"/>
  <c r="M363" i="14"/>
  <c r="L363" i="14"/>
  <c r="K363" i="14"/>
  <c r="J363" i="14"/>
  <c r="I363" i="14"/>
  <c r="H363" i="14"/>
  <c r="G363" i="14"/>
  <c r="F363" i="14"/>
  <c r="E363" i="14"/>
  <c r="D363" i="14"/>
  <c r="C363" i="14"/>
  <c r="B363" i="14"/>
  <c r="A363" i="14" s="1"/>
  <c r="P362" i="14"/>
  <c r="O362" i="14"/>
  <c r="N362" i="14"/>
  <c r="M362" i="14"/>
  <c r="L362" i="14"/>
  <c r="K362" i="14"/>
  <c r="J362" i="14"/>
  <c r="I362" i="14"/>
  <c r="H362" i="14"/>
  <c r="G362" i="14"/>
  <c r="F362" i="14"/>
  <c r="E362" i="14"/>
  <c r="D362" i="14"/>
  <c r="C362" i="14"/>
  <c r="B362" i="14"/>
  <c r="A362" i="14" s="1"/>
  <c r="P361" i="14"/>
  <c r="O361" i="14"/>
  <c r="N361" i="14"/>
  <c r="M361" i="14"/>
  <c r="L361" i="14"/>
  <c r="K361" i="14"/>
  <c r="J361" i="14"/>
  <c r="I361" i="14"/>
  <c r="H361" i="14"/>
  <c r="G361" i="14"/>
  <c r="F361" i="14"/>
  <c r="E361" i="14"/>
  <c r="D361" i="14"/>
  <c r="C361" i="14"/>
  <c r="B361" i="14"/>
  <c r="A361" i="14" s="1"/>
  <c r="P360" i="14"/>
  <c r="O360" i="14"/>
  <c r="N360" i="14"/>
  <c r="M360" i="14"/>
  <c r="L360" i="14"/>
  <c r="K360" i="14"/>
  <c r="J360" i="14"/>
  <c r="I360" i="14"/>
  <c r="H360" i="14"/>
  <c r="G360" i="14"/>
  <c r="F360" i="14"/>
  <c r="E360" i="14"/>
  <c r="D360" i="14"/>
  <c r="C360" i="14"/>
  <c r="B360" i="14"/>
  <c r="A360" i="14" s="1"/>
  <c r="P359" i="14"/>
  <c r="O359" i="14"/>
  <c r="N359" i="14"/>
  <c r="M359" i="14"/>
  <c r="L359" i="14"/>
  <c r="K359" i="14"/>
  <c r="J359" i="14"/>
  <c r="I359" i="14"/>
  <c r="H359" i="14"/>
  <c r="G359" i="14"/>
  <c r="F359" i="14"/>
  <c r="E359" i="14"/>
  <c r="D359" i="14"/>
  <c r="C359" i="14"/>
  <c r="B359" i="14"/>
  <c r="A359" i="14" s="1"/>
  <c r="P358" i="14"/>
  <c r="O358" i="14"/>
  <c r="N358" i="14"/>
  <c r="M358" i="14"/>
  <c r="L358" i="14"/>
  <c r="K358" i="14"/>
  <c r="J358" i="14"/>
  <c r="I358" i="14"/>
  <c r="H358" i="14"/>
  <c r="G358" i="14"/>
  <c r="F358" i="14"/>
  <c r="E358" i="14"/>
  <c r="D358" i="14"/>
  <c r="C358" i="14"/>
  <c r="B358" i="14"/>
  <c r="A358" i="14" s="1"/>
  <c r="P357" i="14"/>
  <c r="O357" i="14"/>
  <c r="N357" i="14"/>
  <c r="M357" i="14"/>
  <c r="L357" i="14"/>
  <c r="K357" i="14"/>
  <c r="J357" i="14"/>
  <c r="I357" i="14"/>
  <c r="H357" i="14"/>
  <c r="G357" i="14"/>
  <c r="F357" i="14"/>
  <c r="E357" i="14"/>
  <c r="D357" i="14"/>
  <c r="C357" i="14"/>
  <c r="B357" i="14"/>
  <c r="A357" i="14" s="1"/>
  <c r="P356" i="14"/>
  <c r="O356" i="14"/>
  <c r="N356" i="14"/>
  <c r="M356" i="14"/>
  <c r="L356" i="14"/>
  <c r="K356" i="14"/>
  <c r="J356" i="14"/>
  <c r="I356" i="14"/>
  <c r="H356" i="14"/>
  <c r="G356" i="14"/>
  <c r="F356" i="14"/>
  <c r="E356" i="14"/>
  <c r="D356" i="14"/>
  <c r="C356" i="14"/>
  <c r="B356" i="14"/>
  <c r="A356" i="14" s="1"/>
  <c r="P355" i="14"/>
  <c r="O355" i="14"/>
  <c r="N355" i="14"/>
  <c r="M355" i="14"/>
  <c r="L355" i="14"/>
  <c r="K355" i="14"/>
  <c r="J355" i="14"/>
  <c r="I355" i="14"/>
  <c r="H355" i="14"/>
  <c r="G355" i="14"/>
  <c r="F355" i="14"/>
  <c r="E355" i="14"/>
  <c r="D355" i="14"/>
  <c r="C355" i="14"/>
  <c r="B355" i="14"/>
  <c r="A355" i="14" s="1"/>
  <c r="P354" i="14"/>
  <c r="O354" i="14"/>
  <c r="N354" i="14"/>
  <c r="M354" i="14"/>
  <c r="L354" i="14"/>
  <c r="K354" i="14"/>
  <c r="J354" i="14"/>
  <c r="I354" i="14"/>
  <c r="H354" i="14"/>
  <c r="G354" i="14"/>
  <c r="F354" i="14"/>
  <c r="E354" i="14"/>
  <c r="D354" i="14"/>
  <c r="C354" i="14"/>
  <c r="B354" i="14"/>
  <c r="A354" i="14" s="1"/>
  <c r="P353" i="14"/>
  <c r="O353" i="14"/>
  <c r="N353" i="14"/>
  <c r="M353" i="14"/>
  <c r="L353" i="14"/>
  <c r="K353" i="14"/>
  <c r="J353" i="14"/>
  <c r="I353" i="14"/>
  <c r="H353" i="14"/>
  <c r="G353" i="14"/>
  <c r="F353" i="14"/>
  <c r="E353" i="14"/>
  <c r="D353" i="14"/>
  <c r="C353" i="14"/>
  <c r="B353" i="14"/>
  <c r="A353" i="14" s="1"/>
  <c r="P352" i="14"/>
  <c r="O352" i="14"/>
  <c r="N352" i="14"/>
  <c r="M352" i="14"/>
  <c r="L352" i="14"/>
  <c r="K352" i="14"/>
  <c r="J352" i="14"/>
  <c r="I352" i="14"/>
  <c r="H352" i="14"/>
  <c r="G352" i="14"/>
  <c r="F352" i="14"/>
  <c r="E352" i="14"/>
  <c r="D352" i="14"/>
  <c r="C352" i="14"/>
  <c r="B352" i="14"/>
  <c r="A352" i="14" s="1"/>
  <c r="P351" i="14"/>
  <c r="O351" i="14"/>
  <c r="N351" i="14"/>
  <c r="M351" i="14"/>
  <c r="L351" i="14"/>
  <c r="K351" i="14"/>
  <c r="J351" i="14"/>
  <c r="I351" i="14"/>
  <c r="H351" i="14"/>
  <c r="G351" i="14"/>
  <c r="F351" i="14"/>
  <c r="E351" i="14"/>
  <c r="D351" i="14"/>
  <c r="C351" i="14"/>
  <c r="B351" i="14"/>
  <c r="A351" i="14" s="1"/>
  <c r="P350" i="14"/>
  <c r="O350" i="14"/>
  <c r="N350" i="14"/>
  <c r="M350" i="14"/>
  <c r="L350" i="14"/>
  <c r="K350" i="14"/>
  <c r="J350" i="14"/>
  <c r="I350" i="14"/>
  <c r="H350" i="14"/>
  <c r="G350" i="14"/>
  <c r="F350" i="14"/>
  <c r="E350" i="14"/>
  <c r="D350" i="14"/>
  <c r="C350" i="14"/>
  <c r="B350" i="14"/>
  <c r="A350" i="14" s="1"/>
  <c r="P349" i="14"/>
  <c r="O349" i="14"/>
  <c r="N349" i="14"/>
  <c r="M349" i="14"/>
  <c r="L349" i="14"/>
  <c r="K349" i="14"/>
  <c r="J349" i="14"/>
  <c r="I349" i="14"/>
  <c r="H349" i="14"/>
  <c r="G349" i="14"/>
  <c r="F349" i="14"/>
  <c r="E349" i="14"/>
  <c r="D349" i="14"/>
  <c r="C349" i="14"/>
  <c r="B349" i="14"/>
  <c r="A349" i="14" s="1"/>
  <c r="P348" i="14"/>
  <c r="O348" i="14"/>
  <c r="N348" i="14"/>
  <c r="M348" i="14"/>
  <c r="L348" i="14"/>
  <c r="K348" i="14"/>
  <c r="J348" i="14"/>
  <c r="I348" i="14"/>
  <c r="H348" i="14"/>
  <c r="G348" i="14"/>
  <c r="F348" i="14"/>
  <c r="E348" i="14"/>
  <c r="D348" i="14"/>
  <c r="C348" i="14"/>
  <c r="B348" i="14"/>
  <c r="A348" i="14" s="1"/>
  <c r="P347" i="14"/>
  <c r="O347" i="14"/>
  <c r="N347" i="14"/>
  <c r="M347" i="14"/>
  <c r="L347" i="14"/>
  <c r="K347" i="14"/>
  <c r="J347" i="14"/>
  <c r="I347" i="14"/>
  <c r="H347" i="14"/>
  <c r="G347" i="14"/>
  <c r="F347" i="14"/>
  <c r="E347" i="14"/>
  <c r="D347" i="14"/>
  <c r="C347" i="14"/>
  <c r="B347" i="14"/>
  <c r="A347" i="14" s="1"/>
  <c r="P346" i="14"/>
  <c r="O346" i="14"/>
  <c r="N346" i="14"/>
  <c r="M346" i="14"/>
  <c r="L346" i="14"/>
  <c r="K346" i="14"/>
  <c r="J346" i="14"/>
  <c r="I346" i="14"/>
  <c r="H346" i="14"/>
  <c r="G346" i="14"/>
  <c r="F346" i="14"/>
  <c r="E346" i="14"/>
  <c r="D346" i="14"/>
  <c r="C346" i="14"/>
  <c r="B346" i="14"/>
  <c r="A346" i="14" s="1"/>
  <c r="P345" i="14"/>
  <c r="O345" i="14"/>
  <c r="N345" i="14"/>
  <c r="M345" i="14"/>
  <c r="L345" i="14"/>
  <c r="K345" i="14"/>
  <c r="J345" i="14"/>
  <c r="I345" i="14"/>
  <c r="H345" i="14"/>
  <c r="G345" i="14"/>
  <c r="F345" i="14"/>
  <c r="E345" i="14"/>
  <c r="D345" i="14"/>
  <c r="C345" i="14"/>
  <c r="B345" i="14"/>
  <c r="A345" i="14" s="1"/>
  <c r="P344" i="14"/>
  <c r="O344" i="14"/>
  <c r="N344" i="14"/>
  <c r="M344" i="14"/>
  <c r="L344" i="14"/>
  <c r="K344" i="14"/>
  <c r="J344" i="14"/>
  <c r="I344" i="14"/>
  <c r="H344" i="14"/>
  <c r="G344" i="14"/>
  <c r="F344" i="14"/>
  <c r="E344" i="14"/>
  <c r="D344" i="14"/>
  <c r="C344" i="14"/>
  <c r="B344" i="14"/>
  <c r="A344" i="14" s="1"/>
  <c r="P343" i="14"/>
  <c r="O343" i="14"/>
  <c r="N343" i="14"/>
  <c r="M343" i="14"/>
  <c r="L343" i="14"/>
  <c r="K343" i="14"/>
  <c r="J343" i="14"/>
  <c r="I343" i="14"/>
  <c r="H343" i="14"/>
  <c r="G343" i="14"/>
  <c r="F343" i="14"/>
  <c r="E343" i="14"/>
  <c r="D343" i="14"/>
  <c r="C343" i="14"/>
  <c r="B343" i="14"/>
  <c r="A343" i="14" s="1"/>
  <c r="P342" i="14"/>
  <c r="O342" i="14"/>
  <c r="N342" i="14"/>
  <c r="M342" i="14"/>
  <c r="L342" i="14"/>
  <c r="K342" i="14"/>
  <c r="J342" i="14"/>
  <c r="I342" i="14"/>
  <c r="H342" i="14"/>
  <c r="G342" i="14"/>
  <c r="F342" i="14"/>
  <c r="E342" i="14"/>
  <c r="D342" i="14"/>
  <c r="C342" i="14"/>
  <c r="B342" i="14"/>
  <c r="A342" i="14" s="1"/>
  <c r="P341" i="14"/>
  <c r="O341" i="14"/>
  <c r="N341" i="14"/>
  <c r="M341" i="14"/>
  <c r="L341" i="14"/>
  <c r="K341" i="14"/>
  <c r="J341" i="14"/>
  <c r="I341" i="14"/>
  <c r="H341" i="14"/>
  <c r="G341" i="14"/>
  <c r="F341" i="14"/>
  <c r="E341" i="14"/>
  <c r="D341" i="14"/>
  <c r="C341" i="14"/>
  <c r="B341" i="14"/>
  <c r="A341" i="14" s="1"/>
  <c r="P340" i="14"/>
  <c r="O340" i="14"/>
  <c r="N340" i="14"/>
  <c r="M340" i="14"/>
  <c r="L340" i="14"/>
  <c r="K340" i="14"/>
  <c r="J340" i="14"/>
  <c r="I340" i="14"/>
  <c r="H340" i="14"/>
  <c r="G340" i="14"/>
  <c r="F340" i="14"/>
  <c r="E340" i="14"/>
  <c r="D340" i="14"/>
  <c r="C340" i="14"/>
  <c r="B340" i="14"/>
  <c r="A340" i="14" s="1"/>
  <c r="P339" i="14"/>
  <c r="O339" i="14"/>
  <c r="N339" i="14"/>
  <c r="M339" i="14"/>
  <c r="L339" i="14"/>
  <c r="K339" i="14"/>
  <c r="J339" i="14"/>
  <c r="I339" i="14"/>
  <c r="H339" i="14"/>
  <c r="G339" i="14"/>
  <c r="F339" i="14"/>
  <c r="E339" i="14"/>
  <c r="D339" i="14"/>
  <c r="C339" i="14"/>
  <c r="B339" i="14"/>
  <c r="A339" i="14" s="1"/>
  <c r="P338" i="14"/>
  <c r="O338" i="14"/>
  <c r="N338" i="14"/>
  <c r="M338" i="14"/>
  <c r="L338" i="14"/>
  <c r="K338" i="14"/>
  <c r="J338" i="14"/>
  <c r="I338" i="14"/>
  <c r="H338" i="14"/>
  <c r="G338" i="14"/>
  <c r="F338" i="14"/>
  <c r="E338" i="14"/>
  <c r="D338" i="14"/>
  <c r="C338" i="14"/>
  <c r="B338" i="14"/>
  <c r="A338" i="14" s="1"/>
  <c r="P337" i="14"/>
  <c r="O337" i="14"/>
  <c r="N337" i="14"/>
  <c r="M337" i="14"/>
  <c r="L337" i="14"/>
  <c r="K337" i="14"/>
  <c r="J337" i="14"/>
  <c r="I337" i="14"/>
  <c r="H337" i="14"/>
  <c r="G337" i="14"/>
  <c r="F337" i="14"/>
  <c r="E337" i="14"/>
  <c r="D337" i="14"/>
  <c r="C337" i="14"/>
  <c r="B337" i="14"/>
  <c r="A337" i="14" s="1"/>
  <c r="P336" i="14"/>
  <c r="O336" i="14"/>
  <c r="N336" i="14"/>
  <c r="M336" i="14"/>
  <c r="L336" i="14"/>
  <c r="K336" i="14"/>
  <c r="J336" i="14"/>
  <c r="I336" i="14"/>
  <c r="H336" i="14"/>
  <c r="G336" i="14"/>
  <c r="F336" i="14"/>
  <c r="E336" i="14"/>
  <c r="D336" i="14"/>
  <c r="C336" i="14"/>
  <c r="B336" i="14"/>
  <c r="A336" i="14" s="1"/>
  <c r="P335" i="14"/>
  <c r="O335" i="14"/>
  <c r="N335" i="14"/>
  <c r="M335" i="14"/>
  <c r="L335" i="14"/>
  <c r="K335" i="14"/>
  <c r="J335" i="14"/>
  <c r="I335" i="14"/>
  <c r="H335" i="14"/>
  <c r="G335" i="14"/>
  <c r="F335" i="14"/>
  <c r="E335" i="14"/>
  <c r="D335" i="14"/>
  <c r="C335" i="14"/>
  <c r="B335" i="14"/>
  <c r="A335" i="14" s="1"/>
  <c r="P334" i="14"/>
  <c r="O334" i="14"/>
  <c r="N334" i="14"/>
  <c r="M334" i="14"/>
  <c r="L334" i="14"/>
  <c r="K334" i="14"/>
  <c r="J334" i="14"/>
  <c r="I334" i="14"/>
  <c r="H334" i="14"/>
  <c r="G334" i="14"/>
  <c r="F334" i="14"/>
  <c r="E334" i="14"/>
  <c r="D334" i="14"/>
  <c r="C334" i="14"/>
  <c r="B334" i="14"/>
  <c r="A334" i="14" s="1"/>
  <c r="P333" i="14"/>
  <c r="O333" i="14"/>
  <c r="N333" i="14"/>
  <c r="M333" i="14"/>
  <c r="L333" i="14"/>
  <c r="K333" i="14"/>
  <c r="J333" i="14"/>
  <c r="I333" i="14"/>
  <c r="H333" i="14"/>
  <c r="G333" i="14"/>
  <c r="F333" i="14"/>
  <c r="E333" i="14"/>
  <c r="D333" i="14"/>
  <c r="C333" i="14"/>
  <c r="B333" i="14"/>
  <c r="A333" i="14" s="1"/>
  <c r="P332" i="14"/>
  <c r="O332" i="14"/>
  <c r="N332" i="14"/>
  <c r="M332" i="14"/>
  <c r="L332" i="14"/>
  <c r="K332" i="14"/>
  <c r="J332" i="14"/>
  <c r="I332" i="14"/>
  <c r="H332" i="14"/>
  <c r="G332" i="14"/>
  <c r="F332" i="14"/>
  <c r="E332" i="14"/>
  <c r="D332" i="14"/>
  <c r="C332" i="14"/>
  <c r="B332" i="14"/>
  <c r="A332" i="14" s="1"/>
  <c r="P331" i="14"/>
  <c r="O331" i="14"/>
  <c r="N331" i="14"/>
  <c r="M331" i="14"/>
  <c r="L331" i="14"/>
  <c r="K331" i="14"/>
  <c r="J331" i="14"/>
  <c r="I331" i="14"/>
  <c r="H331" i="14"/>
  <c r="G331" i="14"/>
  <c r="F331" i="14"/>
  <c r="E331" i="14"/>
  <c r="D331" i="14"/>
  <c r="C331" i="14"/>
  <c r="B331" i="14"/>
  <c r="A331" i="14" s="1"/>
  <c r="P330" i="14"/>
  <c r="O330" i="14"/>
  <c r="N330" i="14"/>
  <c r="M330" i="14"/>
  <c r="L330" i="14"/>
  <c r="K330" i="14"/>
  <c r="J330" i="14"/>
  <c r="I330" i="14"/>
  <c r="H330" i="14"/>
  <c r="G330" i="14"/>
  <c r="F330" i="14"/>
  <c r="E330" i="14"/>
  <c r="D330" i="14"/>
  <c r="C330" i="14"/>
  <c r="B330" i="14"/>
  <c r="A330" i="14" s="1"/>
  <c r="P329" i="14"/>
  <c r="O329" i="14"/>
  <c r="N329" i="14"/>
  <c r="M329" i="14"/>
  <c r="L329" i="14"/>
  <c r="K329" i="14"/>
  <c r="J329" i="14"/>
  <c r="I329" i="14"/>
  <c r="H329" i="14"/>
  <c r="G329" i="14"/>
  <c r="F329" i="14"/>
  <c r="E329" i="14"/>
  <c r="D329" i="14"/>
  <c r="C329" i="14"/>
  <c r="B329" i="14"/>
  <c r="A329" i="14" s="1"/>
  <c r="P328" i="14"/>
  <c r="O328" i="14"/>
  <c r="N328" i="14"/>
  <c r="M328" i="14"/>
  <c r="L328" i="14"/>
  <c r="K328" i="14"/>
  <c r="J328" i="14"/>
  <c r="I328" i="14"/>
  <c r="H328" i="14"/>
  <c r="G328" i="14"/>
  <c r="F328" i="14"/>
  <c r="E328" i="14"/>
  <c r="D328" i="14"/>
  <c r="C328" i="14"/>
  <c r="B328" i="14"/>
  <c r="A328" i="14" s="1"/>
  <c r="P327" i="14"/>
  <c r="O327" i="14"/>
  <c r="N327" i="14"/>
  <c r="M327" i="14"/>
  <c r="L327" i="14"/>
  <c r="K327" i="14"/>
  <c r="J327" i="14"/>
  <c r="I327" i="14"/>
  <c r="H327" i="14"/>
  <c r="G327" i="14"/>
  <c r="F327" i="14"/>
  <c r="E327" i="14"/>
  <c r="D327" i="14"/>
  <c r="C327" i="14"/>
  <c r="B327" i="14"/>
  <c r="A327" i="14" s="1"/>
  <c r="P326" i="14"/>
  <c r="O326" i="14"/>
  <c r="N326" i="14"/>
  <c r="M326" i="14"/>
  <c r="L326" i="14"/>
  <c r="K326" i="14"/>
  <c r="J326" i="14"/>
  <c r="I326" i="14"/>
  <c r="H326" i="14"/>
  <c r="G326" i="14"/>
  <c r="F326" i="14"/>
  <c r="E326" i="14"/>
  <c r="D326" i="14"/>
  <c r="C326" i="14"/>
  <c r="B326" i="14"/>
  <c r="A326" i="14" s="1"/>
  <c r="P325" i="14"/>
  <c r="O325" i="14"/>
  <c r="N325" i="14"/>
  <c r="M325" i="14"/>
  <c r="L325" i="14"/>
  <c r="K325" i="14"/>
  <c r="J325" i="14"/>
  <c r="I325" i="14"/>
  <c r="H325" i="14"/>
  <c r="G325" i="14"/>
  <c r="F325" i="14"/>
  <c r="E325" i="14"/>
  <c r="D325" i="14"/>
  <c r="C325" i="14"/>
  <c r="B325" i="14"/>
  <c r="A325" i="14" s="1"/>
  <c r="P324" i="14"/>
  <c r="O324" i="14"/>
  <c r="N324" i="14"/>
  <c r="M324" i="14"/>
  <c r="L324" i="14"/>
  <c r="K324" i="14"/>
  <c r="J324" i="14"/>
  <c r="I324" i="14"/>
  <c r="H324" i="14"/>
  <c r="G324" i="14"/>
  <c r="F324" i="14"/>
  <c r="E324" i="14"/>
  <c r="D324" i="14"/>
  <c r="C324" i="14"/>
  <c r="B324" i="14"/>
  <c r="A324" i="14" s="1"/>
  <c r="P323" i="14"/>
  <c r="O323" i="14"/>
  <c r="N323" i="14"/>
  <c r="M323" i="14"/>
  <c r="L323" i="14"/>
  <c r="K323" i="14"/>
  <c r="J323" i="14"/>
  <c r="I323" i="14"/>
  <c r="H323" i="14"/>
  <c r="G323" i="14"/>
  <c r="F323" i="14"/>
  <c r="E323" i="14"/>
  <c r="D323" i="14"/>
  <c r="C323" i="14"/>
  <c r="B323" i="14"/>
  <c r="A323" i="14" s="1"/>
  <c r="P322" i="14"/>
  <c r="O322" i="14"/>
  <c r="N322" i="14"/>
  <c r="M322" i="14"/>
  <c r="L322" i="14"/>
  <c r="K322" i="14"/>
  <c r="J322" i="14"/>
  <c r="I322" i="14"/>
  <c r="H322" i="14"/>
  <c r="G322" i="14"/>
  <c r="F322" i="14"/>
  <c r="E322" i="14"/>
  <c r="D322" i="14"/>
  <c r="C322" i="14"/>
  <c r="B322" i="14"/>
  <c r="A322" i="14" s="1"/>
  <c r="P321" i="14"/>
  <c r="O321" i="14"/>
  <c r="N321" i="14"/>
  <c r="M321" i="14"/>
  <c r="L321" i="14"/>
  <c r="K321" i="14"/>
  <c r="J321" i="14"/>
  <c r="I321" i="14"/>
  <c r="H321" i="14"/>
  <c r="G321" i="14"/>
  <c r="F321" i="14"/>
  <c r="E321" i="14"/>
  <c r="D321" i="14"/>
  <c r="C321" i="14"/>
  <c r="B321" i="14"/>
  <c r="A321" i="14" s="1"/>
  <c r="P320" i="14"/>
  <c r="O320" i="14"/>
  <c r="N320" i="14"/>
  <c r="M320" i="14"/>
  <c r="L320" i="14"/>
  <c r="K320" i="14"/>
  <c r="J320" i="14"/>
  <c r="I320" i="14"/>
  <c r="H320" i="14"/>
  <c r="G320" i="14"/>
  <c r="F320" i="14"/>
  <c r="E320" i="14"/>
  <c r="D320" i="14"/>
  <c r="C320" i="14"/>
  <c r="B320" i="14"/>
  <c r="A320" i="14" s="1"/>
  <c r="P319" i="14"/>
  <c r="O319" i="14"/>
  <c r="N319" i="14"/>
  <c r="M319" i="14"/>
  <c r="L319" i="14"/>
  <c r="K319" i="14"/>
  <c r="J319" i="14"/>
  <c r="I319" i="14"/>
  <c r="H319" i="14"/>
  <c r="G319" i="14"/>
  <c r="F319" i="14"/>
  <c r="E319" i="14"/>
  <c r="D319" i="14"/>
  <c r="C319" i="14"/>
  <c r="B319" i="14"/>
  <c r="A319" i="14" s="1"/>
  <c r="P318" i="14"/>
  <c r="O318" i="14"/>
  <c r="N318" i="14"/>
  <c r="M318" i="14"/>
  <c r="L318" i="14"/>
  <c r="K318" i="14"/>
  <c r="J318" i="14"/>
  <c r="I318" i="14"/>
  <c r="H318" i="14"/>
  <c r="G318" i="14"/>
  <c r="F318" i="14"/>
  <c r="E318" i="14"/>
  <c r="D318" i="14"/>
  <c r="C318" i="14"/>
  <c r="B318" i="14"/>
  <c r="A318" i="14" s="1"/>
  <c r="P317" i="14"/>
  <c r="O317" i="14"/>
  <c r="N317" i="14"/>
  <c r="M317" i="14"/>
  <c r="L317" i="14"/>
  <c r="K317" i="14"/>
  <c r="J317" i="14"/>
  <c r="I317" i="14"/>
  <c r="H317" i="14"/>
  <c r="G317" i="14"/>
  <c r="F317" i="14"/>
  <c r="E317" i="14"/>
  <c r="D317" i="14"/>
  <c r="C317" i="14"/>
  <c r="B317" i="14"/>
  <c r="A317" i="14" s="1"/>
  <c r="P316" i="14"/>
  <c r="O316" i="14"/>
  <c r="N316" i="14"/>
  <c r="M316" i="14"/>
  <c r="L316" i="14"/>
  <c r="K316" i="14"/>
  <c r="J316" i="14"/>
  <c r="I316" i="14"/>
  <c r="H316" i="14"/>
  <c r="G316" i="14"/>
  <c r="F316" i="14"/>
  <c r="E316" i="14"/>
  <c r="D316" i="14"/>
  <c r="C316" i="14"/>
  <c r="B316" i="14"/>
  <c r="A316" i="14" s="1"/>
  <c r="P315" i="14"/>
  <c r="O315" i="14"/>
  <c r="N315" i="14"/>
  <c r="M315" i="14"/>
  <c r="L315" i="14"/>
  <c r="K315" i="14"/>
  <c r="J315" i="14"/>
  <c r="I315" i="14"/>
  <c r="H315" i="14"/>
  <c r="G315" i="14"/>
  <c r="F315" i="14"/>
  <c r="E315" i="14"/>
  <c r="D315" i="14"/>
  <c r="C315" i="14"/>
  <c r="B315" i="14"/>
  <c r="A315" i="14" s="1"/>
  <c r="P314" i="14"/>
  <c r="O314" i="14"/>
  <c r="N314" i="14"/>
  <c r="M314" i="14"/>
  <c r="L314" i="14"/>
  <c r="K314" i="14"/>
  <c r="J314" i="14"/>
  <c r="I314" i="14"/>
  <c r="H314" i="14"/>
  <c r="G314" i="14"/>
  <c r="F314" i="14"/>
  <c r="E314" i="14"/>
  <c r="D314" i="14"/>
  <c r="C314" i="14"/>
  <c r="B314" i="14"/>
  <c r="A314" i="14" s="1"/>
  <c r="P313" i="14"/>
  <c r="O313" i="14"/>
  <c r="N313" i="14"/>
  <c r="M313" i="14"/>
  <c r="L313" i="14"/>
  <c r="K313" i="14"/>
  <c r="J313" i="14"/>
  <c r="I313" i="14"/>
  <c r="H313" i="14"/>
  <c r="G313" i="14"/>
  <c r="F313" i="14"/>
  <c r="E313" i="14"/>
  <c r="D313" i="14"/>
  <c r="C313" i="14"/>
  <c r="B313" i="14"/>
  <c r="A313" i="14" s="1"/>
  <c r="P312" i="14"/>
  <c r="O312" i="14"/>
  <c r="N312" i="14"/>
  <c r="M312" i="14"/>
  <c r="L312" i="14"/>
  <c r="K312" i="14"/>
  <c r="J312" i="14"/>
  <c r="I312" i="14"/>
  <c r="H312" i="14"/>
  <c r="G312" i="14"/>
  <c r="F312" i="14"/>
  <c r="E312" i="14"/>
  <c r="D312" i="14"/>
  <c r="C312" i="14"/>
  <c r="B312" i="14"/>
  <c r="A312" i="14" s="1"/>
  <c r="P311" i="14"/>
  <c r="O311" i="14"/>
  <c r="N311" i="14"/>
  <c r="M311" i="14"/>
  <c r="L311" i="14"/>
  <c r="K311" i="14"/>
  <c r="J311" i="14"/>
  <c r="I311" i="14"/>
  <c r="H311" i="14"/>
  <c r="G311" i="14"/>
  <c r="F311" i="14"/>
  <c r="E311" i="14"/>
  <c r="D311" i="14"/>
  <c r="C311" i="14"/>
  <c r="B311" i="14"/>
  <c r="A311" i="14" s="1"/>
  <c r="P310" i="14"/>
  <c r="O310" i="14"/>
  <c r="N310" i="14"/>
  <c r="M310" i="14"/>
  <c r="L310" i="14"/>
  <c r="K310" i="14"/>
  <c r="J310" i="14"/>
  <c r="I310" i="14"/>
  <c r="H310" i="14"/>
  <c r="G310" i="14"/>
  <c r="F310" i="14"/>
  <c r="E310" i="14"/>
  <c r="D310" i="14"/>
  <c r="C310" i="14"/>
  <c r="B310" i="14"/>
  <c r="A310" i="14" s="1"/>
  <c r="P309" i="14"/>
  <c r="O309" i="14"/>
  <c r="N309" i="14"/>
  <c r="M309" i="14"/>
  <c r="L309" i="14"/>
  <c r="K309" i="14"/>
  <c r="J309" i="14"/>
  <c r="I309" i="14"/>
  <c r="H309" i="14"/>
  <c r="G309" i="14"/>
  <c r="F309" i="14"/>
  <c r="E309" i="14"/>
  <c r="D309" i="14"/>
  <c r="C309" i="14"/>
  <c r="B309" i="14"/>
  <c r="A309" i="14" s="1"/>
  <c r="P308" i="14"/>
  <c r="O308" i="14"/>
  <c r="N308" i="14"/>
  <c r="M308" i="14"/>
  <c r="L308" i="14"/>
  <c r="K308" i="14"/>
  <c r="J308" i="14"/>
  <c r="I308" i="14"/>
  <c r="H308" i="14"/>
  <c r="G308" i="14"/>
  <c r="F308" i="14"/>
  <c r="E308" i="14"/>
  <c r="D308" i="14"/>
  <c r="C308" i="14"/>
  <c r="B308" i="14"/>
  <c r="A308" i="14" s="1"/>
  <c r="P307" i="14"/>
  <c r="O307" i="14"/>
  <c r="N307" i="14"/>
  <c r="M307" i="14"/>
  <c r="L307" i="14"/>
  <c r="K307" i="14"/>
  <c r="J307" i="14"/>
  <c r="I307" i="14"/>
  <c r="H307" i="14"/>
  <c r="G307" i="14"/>
  <c r="F307" i="14"/>
  <c r="E307" i="14"/>
  <c r="D307" i="14"/>
  <c r="C307" i="14"/>
  <c r="B307" i="14"/>
  <c r="A307" i="14" s="1"/>
  <c r="P306" i="14"/>
  <c r="O306" i="14"/>
  <c r="N306" i="14"/>
  <c r="M306" i="14"/>
  <c r="L306" i="14"/>
  <c r="K306" i="14"/>
  <c r="J306" i="14"/>
  <c r="I306" i="14"/>
  <c r="H306" i="14"/>
  <c r="G306" i="14"/>
  <c r="F306" i="14"/>
  <c r="E306" i="14"/>
  <c r="D306" i="14"/>
  <c r="C306" i="14"/>
  <c r="B306" i="14"/>
  <c r="A306" i="14" s="1"/>
  <c r="P305" i="14"/>
  <c r="O305" i="14"/>
  <c r="N305" i="14"/>
  <c r="M305" i="14"/>
  <c r="L305" i="14"/>
  <c r="K305" i="14"/>
  <c r="J305" i="14"/>
  <c r="I305" i="14"/>
  <c r="H305" i="14"/>
  <c r="G305" i="14"/>
  <c r="F305" i="14"/>
  <c r="E305" i="14"/>
  <c r="D305" i="14"/>
  <c r="C305" i="14"/>
  <c r="B305" i="14"/>
  <c r="A305" i="14" s="1"/>
  <c r="P304" i="14"/>
  <c r="O304" i="14"/>
  <c r="N304" i="14"/>
  <c r="M304" i="14"/>
  <c r="L304" i="14"/>
  <c r="K304" i="14"/>
  <c r="J304" i="14"/>
  <c r="I304" i="14"/>
  <c r="H304" i="14"/>
  <c r="G304" i="14"/>
  <c r="F304" i="14"/>
  <c r="E304" i="14"/>
  <c r="D304" i="14"/>
  <c r="C304" i="14"/>
  <c r="B304" i="14"/>
  <c r="A304" i="14" s="1"/>
  <c r="P303" i="14"/>
  <c r="O303" i="14"/>
  <c r="N303" i="14"/>
  <c r="M303" i="14"/>
  <c r="L303" i="14"/>
  <c r="K303" i="14"/>
  <c r="J303" i="14"/>
  <c r="I303" i="14"/>
  <c r="H303" i="14"/>
  <c r="G303" i="14"/>
  <c r="F303" i="14"/>
  <c r="E303" i="14"/>
  <c r="D303" i="14"/>
  <c r="C303" i="14"/>
  <c r="B303" i="14"/>
  <c r="A303" i="14" s="1"/>
  <c r="P302" i="14"/>
  <c r="O302" i="14"/>
  <c r="N302" i="14"/>
  <c r="M302" i="14"/>
  <c r="L302" i="14"/>
  <c r="K302" i="14"/>
  <c r="J302" i="14"/>
  <c r="I302" i="14"/>
  <c r="H302" i="14"/>
  <c r="G302" i="14"/>
  <c r="F302" i="14"/>
  <c r="E302" i="14"/>
  <c r="D302" i="14"/>
  <c r="C302" i="14"/>
  <c r="B302" i="14"/>
  <c r="A302" i="14" s="1"/>
  <c r="P301" i="14"/>
  <c r="O301" i="14"/>
  <c r="N301" i="14"/>
  <c r="M301" i="14"/>
  <c r="L301" i="14"/>
  <c r="K301" i="14"/>
  <c r="J301" i="14"/>
  <c r="I301" i="14"/>
  <c r="H301" i="14"/>
  <c r="G301" i="14"/>
  <c r="F301" i="14"/>
  <c r="E301" i="14"/>
  <c r="D301" i="14"/>
  <c r="C301" i="14"/>
  <c r="B301" i="14"/>
  <c r="A301" i="14" s="1"/>
  <c r="P300" i="14"/>
  <c r="O300" i="14"/>
  <c r="N300" i="14"/>
  <c r="M300" i="14"/>
  <c r="L300" i="14"/>
  <c r="K300" i="14"/>
  <c r="J300" i="14"/>
  <c r="I300" i="14"/>
  <c r="H300" i="14"/>
  <c r="G300" i="14"/>
  <c r="F300" i="14"/>
  <c r="E300" i="14"/>
  <c r="D300" i="14"/>
  <c r="C300" i="14"/>
  <c r="B300" i="14"/>
  <c r="A300" i="14" s="1"/>
  <c r="P299" i="14"/>
  <c r="O299" i="14"/>
  <c r="N299" i="14"/>
  <c r="M299" i="14"/>
  <c r="L299" i="14"/>
  <c r="K299" i="14"/>
  <c r="J299" i="14"/>
  <c r="I299" i="14"/>
  <c r="H299" i="14"/>
  <c r="G299" i="14"/>
  <c r="F299" i="14"/>
  <c r="E299" i="14"/>
  <c r="D299" i="14"/>
  <c r="C299" i="14"/>
  <c r="B299" i="14"/>
  <c r="A299" i="14" s="1"/>
  <c r="P298" i="14"/>
  <c r="O298" i="14"/>
  <c r="N298" i="14"/>
  <c r="M298" i="14"/>
  <c r="L298" i="14"/>
  <c r="K298" i="14"/>
  <c r="J298" i="14"/>
  <c r="I298" i="14"/>
  <c r="H298" i="14"/>
  <c r="G298" i="14"/>
  <c r="F298" i="14"/>
  <c r="E298" i="14"/>
  <c r="D298" i="14"/>
  <c r="C298" i="14"/>
  <c r="B298" i="14"/>
  <c r="A298" i="14" s="1"/>
  <c r="P297" i="14"/>
  <c r="O297" i="14"/>
  <c r="N297" i="14"/>
  <c r="M297" i="14"/>
  <c r="L297" i="14"/>
  <c r="K297" i="14"/>
  <c r="J297" i="14"/>
  <c r="I297" i="14"/>
  <c r="H297" i="14"/>
  <c r="G297" i="14"/>
  <c r="F297" i="14"/>
  <c r="E297" i="14"/>
  <c r="D297" i="14"/>
  <c r="C297" i="14"/>
  <c r="B297" i="14"/>
  <c r="A297" i="14" s="1"/>
  <c r="P296" i="14"/>
  <c r="O296" i="14"/>
  <c r="N296" i="14"/>
  <c r="M296" i="14"/>
  <c r="L296" i="14"/>
  <c r="K296" i="14"/>
  <c r="J296" i="14"/>
  <c r="I296" i="14"/>
  <c r="H296" i="14"/>
  <c r="G296" i="14"/>
  <c r="F296" i="14"/>
  <c r="E296" i="14"/>
  <c r="D296" i="14"/>
  <c r="C296" i="14"/>
  <c r="B296" i="14"/>
  <c r="A296" i="14" s="1"/>
  <c r="P295" i="14"/>
  <c r="O295" i="14"/>
  <c r="N295" i="14"/>
  <c r="M295" i="14"/>
  <c r="L295" i="14"/>
  <c r="K295" i="14"/>
  <c r="J295" i="14"/>
  <c r="I295" i="14"/>
  <c r="H295" i="14"/>
  <c r="G295" i="14"/>
  <c r="F295" i="14"/>
  <c r="E295" i="14"/>
  <c r="D295" i="14"/>
  <c r="C295" i="14"/>
  <c r="B295" i="14"/>
  <c r="A295" i="14" s="1"/>
  <c r="P294" i="14"/>
  <c r="O294" i="14"/>
  <c r="N294" i="14"/>
  <c r="M294" i="14"/>
  <c r="L294" i="14"/>
  <c r="K294" i="14"/>
  <c r="J294" i="14"/>
  <c r="I294" i="14"/>
  <c r="H294" i="14"/>
  <c r="G294" i="14"/>
  <c r="F294" i="14"/>
  <c r="E294" i="14"/>
  <c r="D294" i="14"/>
  <c r="C294" i="14"/>
  <c r="B294" i="14"/>
  <c r="A294" i="14" s="1"/>
  <c r="P293" i="14"/>
  <c r="O293" i="14"/>
  <c r="N293" i="14"/>
  <c r="M293" i="14"/>
  <c r="L293" i="14"/>
  <c r="K293" i="14"/>
  <c r="J293" i="14"/>
  <c r="I293" i="14"/>
  <c r="H293" i="14"/>
  <c r="G293" i="14"/>
  <c r="F293" i="14"/>
  <c r="E293" i="14"/>
  <c r="D293" i="14"/>
  <c r="C293" i="14"/>
  <c r="B293" i="14"/>
  <c r="A293" i="14" s="1"/>
  <c r="P292" i="14"/>
  <c r="O292" i="14"/>
  <c r="N292" i="14"/>
  <c r="M292" i="14"/>
  <c r="L292" i="14"/>
  <c r="K292" i="14"/>
  <c r="J292" i="14"/>
  <c r="I292" i="14"/>
  <c r="H292" i="14"/>
  <c r="G292" i="14"/>
  <c r="F292" i="14"/>
  <c r="E292" i="14"/>
  <c r="D292" i="14"/>
  <c r="C292" i="14"/>
  <c r="B292" i="14"/>
  <c r="A292" i="14" s="1"/>
  <c r="P291" i="14"/>
  <c r="O291" i="14"/>
  <c r="N291" i="14"/>
  <c r="M291" i="14"/>
  <c r="L291" i="14"/>
  <c r="K291" i="14"/>
  <c r="J291" i="14"/>
  <c r="I291" i="14"/>
  <c r="H291" i="14"/>
  <c r="G291" i="14"/>
  <c r="F291" i="14"/>
  <c r="E291" i="14"/>
  <c r="D291" i="14"/>
  <c r="C291" i="14"/>
  <c r="B291" i="14"/>
  <c r="A291" i="14" s="1"/>
  <c r="P290" i="14"/>
  <c r="O290" i="14"/>
  <c r="N290" i="14"/>
  <c r="M290" i="14"/>
  <c r="L290" i="14"/>
  <c r="K290" i="14"/>
  <c r="J290" i="14"/>
  <c r="I290" i="14"/>
  <c r="H290" i="14"/>
  <c r="G290" i="14"/>
  <c r="F290" i="14"/>
  <c r="E290" i="14"/>
  <c r="D290" i="14"/>
  <c r="C290" i="14"/>
  <c r="B290" i="14"/>
  <c r="A290" i="14" s="1"/>
  <c r="P289" i="14"/>
  <c r="O289" i="14"/>
  <c r="N289" i="14"/>
  <c r="M289" i="14"/>
  <c r="L289" i="14"/>
  <c r="K289" i="14"/>
  <c r="J289" i="14"/>
  <c r="I289" i="14"/>
  <c r="H289" i="14"/>
  <c r="G289" i="14"/>
  <c r="F289" i="14"/>
  <c r="E289" i="14"/>
  <c r="D289" i="14"/>
  <c r="C289" i="14"/>
  <c r="B289" i="14"/>
  <c r="A289" i="14" s="1"/>
  <c r="P288" i="14"/>
  <c r="O288" i="14"/>
  <c r="N288" i="14"/>
  <c r="M288" i="14"/>
  <c r="L288" i="14"/>
  <c r="K288" i="14"/>
  <c r="J288" i="14"/>
  <c r="I288" i="14"/>
  <c r="H288" i="14"/>
  <c r="G288" i="14"/>
  <c r="F288" i="14"/>
  <c r="E288" i="14"/>
  <c r="D288" i="14"/>
  <c r="C288" i="14"/>
  <c r="B288" i="14"/>
  <c r="A288" i="14" s="1"/>
  <c r="P287" i="14"/>
  <c r="O287" i="14"/>
  <c r="N287" i="14"/>
  <c r="M287" i="14"/>
  <c r="L287" i="14"/>
  <c r="K287" i="14"/>
  <c r="J287" i="14"/>
  <c r="I287" i="14"/>
  <c r="H287" i="14"/>
  <c r="G287" i="14"/>
  <c r="F287" i="14"/>
  <c r="E287" i="14"/>
  <c r="D287" i="14"/>
  <c r="C287" i="14"/>
  <c r="B287" i="14"/>
  <c r="A287" i="14" s="1"/>
  <c r="P286" i="14"/>
  <c r="O286" i="14"/>
  <c r="N286" i="14"/>
  <c r="M286" i="14"/>
  <c r="L286" i="14"/>
  <c r="K286" i="14"/>
  <c r="J286" i="14"/>
  <c r="I286" i="14"/>
  <c r="H286" i="14"/>
  <c r="G286" i="14"/>
  <c r="F286" i="14"/>
  <c r="E286" i="14"/>
  <c r="D286" i="14"/>
  <c r="C286" i="14"/>
  <c r="B286" i="14"/>
  <c r="A286" i="14" s="1"/>
  <c r="P285" i="14"/>
  <c r="O285" i="14"/>
  <c r="N285" i="14"/>
  <c r="M285" i="14"/>
  <c r="L285" i="14"/>
  <c r="K285" i="14"/>
  <c r="J285" i="14"/>
  <c r="I285" i="14"/>
  <c r="H285" i="14"/>
  <c r="G285" i="14"/>
  <c r="F285" i="14"/>
  <c r="E285" i="14"/>
  <c r="D285" i="14"/>
  <c r="C285" i="14"/>
  <c r="B285" i="14"/>
  <c r="A285" i="14" s="1"/>
  <c r="P284" i="14"/>
  <c r="O284" i="14"/>
  <c r="N284" i="14"/>
  <c r="M284" i="14"/>
  <c r="L284" i="14"/>
  <c r="K284" i="14"/>
  <c r="J284" i="14"/>
  <c r="I284" i="14"/>
  <c r="H284" i="14"/>
  <c r="G284" i="14"/>
  <c r="F284" i="14"/>
  <c r="E284" i="14"/>
  <c r="D284" i="14"/>
  <c r="C284" i="14"/>
  <c r="B284" i="14"/>
  <c r="A284" i="14" s="1"/>
  <c r="P283" i="14"/>
  <c r="O283" i="14"/>
  <c r="N283" i="14"/>
  <c r="M283" i="14"/>
  <c r="L283" i="14"/>
  <c r="K283" i="14"/>
  <c r="J283" i="14"/>
  <c r="I283" i="14"/>
  <c r="H283" i="14"/>
  <c r="G283" i="14"/>
  <c r="F283" i="14"/>
  <c r="E283" i="14"/>
  <c r="D283" i="14"/>
  <c r="C283" i="14"/>
  <c r="B283" i="14"/>
  <c r="A283" i="14" s="1"/>
  <c r="P282" i="14"/>
  <c r="O282" i="14"/>
  <c r="N282" i="14"/>
  <c r="M282" i="14"/>
  <c r="L282" i="14"/>
  <c r="K282" i="14"/>
  <c r="J282" i="14"/>
  <c r="I282" i="14"/>
  <c r="H282" i="14"/>
  <c r="G282" i="14"/>
  <c r="F282" i="14"/>
  <c r="E282" i="14"/>
  <c r="D282" i="14"/>
  <c r="C282" i="14"/>
  <c r="B282" i="14"/>
  <c r="A282" i="14" s="1"/>
  <c r="P281" i="14"/>
  <c r="O281" i="14"/>
  <c r="N281" i="14"/>
  <c r="M281" i="14"/>
  <c r="L281" i="14"/>
  <c r="K281" i="14"/>
  <c r="J281" i="14"/>
  <c r="I281" i="14"/>
  <c r="H281" i="14"/>
  <c r="G281" i="14"/>
  <c r="F281" i="14"/>
  <c r="E281" i="14"/>
  <c r="D281" i="14"/>
  <c r="C281" i="14"/>
  <c r="B281" i="14"/>
  <c r="A281" i="14" s="1"/>
  <c r="P280" i="14"/>
  <c r="O280" i="14"/>
  <c r="N280" i="14"/>
  <c r="M280" i="14"/>
  <c r="L280" i="14"/>
  <c r="K280" i="14"/>
  <c r="J280" i="14"/>
  <c r="I280" i="14"/>
  <c r="H280" i="14"/>
  <c r="G280" i="14"/>
  <c r="F280" i="14"/>
  <c r="E280" i="14"/>
  <c r="D280" i="14"/>
  <c r="C280" i="14"/>
  <c r="B280" i="14"/>
  <c r="A280" i="14" s="1"/>
  <c r="P279" i="14"/>
  <c r="O279" i="14"/>
  <c r="N279" i="14"/>
  <c r="M279" i="14"/>
  <c r="L279" i="14"/>
  <c r="K279" i="14"/>
  <c r="J279" i="14"/>
  <c r="I279" i="14"/>
  <c r="H279" i="14"/>
  <c r="G279" i="14"/>
  <c r="F279" i="14"/>
  <c r="E279" i="14"/>
  <c r="D279" i="14"/>
  <c r="C279" i="14"/>
  <c r="B279" i="14"/>
  <c r="A279" i="14" s="1"/>
  <c r="P278" i="14"/>
  <c r="O278" i="14"/>
  <c r="N278" i="14"/>
  <c r="M278" i="14"/>
  <c r="L278" i="14"/>
  <c r="K278" i="14"/>
  <c r="J278" i="14"/>
  <c r="I278" i="14"/>
  <c r="H278" i="14"/>
  <c r="G278" i="14"/>
  <c r="F278" i="14"/>
  <c r="E278" i="14"/>
  <c r="D278" i="14"/>
  <c r="C278" i="14"/>
  <c r="B278" i="14"/>
  <c r="A278" i="14" s="1"/>
  <c r="P277" i="14"/>
  <c r="O277" i="14"/>
  <c r="N277" i="14"/>
  <c r="M277" i="14"/>
  <c r="L277" i="14"/>
  <c r="K277" i="14"/>
  <c r="J277" i="14"/>
  <c r="I277" i="14"/>
  <c r="H277" i="14"/>
  <c r="G277" i="14"/>
  <c r="F277" i="14"/>
  <c r="E277" i="14"/>
  <c r="D277" i="14"/>
  <c r="C277" i="14"/>
  <c r="B277" i="14"/>
  <c r="A277" i="14" s="1"/>
  <c r="P276" i="14"/>
  <c r="O276" i="14"/>
  <c r="N276" i="14"/>
  <c r="M276" i="14"/>
  <c r="L276" i="14"/>
  <c r="K276" i="14"/>
  <c r="J276" i="14"/>
  <c r="I276" i="14"/>
  <c r="H276" i="14"/>
  <c r="G276" i="14"/>
  <c r="F276" i="14"/>
  <c r="E276" i="14"/>
  <c r="D276" i="14"/>
  <c r="C276" i="14"/>
  <c r="B276" i="14"/>
  <c r="A276" i="14" s="1"/>
  <c r="P275" i="14"/>
  <c r="O275" i="14"/>
  <c r="N275" i="14"/>
  <c r="M275" i="14"/>
  <c r="L275" i="14"/>
  <c r="K275" i="14"/>
  <c r="J275" i="14"/>
  <c r="I275" i="14"/>
  <c r="H275" i="14"/>
  <c r="G275" i="14"/>
  <c r="F275" i="14"/>
  <c r="E275" i="14"/>
  <c r="D275" i="14"/>
  <c r="C275" i="14"/>
  <c r="B275" i="14"/>
  <c r="A275" i="14" s="1"/>
  <c r="P274" i="14"/>
  <c r="O274" i="14"/>
  <c r="N274" i="14"/>
  <c r="M274" i="14"/>
  <c r="L274" i="14"/>
  <c r="K274" i="14"/>
  <c r="J274" i="14"/>
  <c r="I274" i="14"/>
  <c r="H274" i="14"/>
  <c r="G274" i="14"/>
  <c r="F274" i="14"/>
  <c r="E274" i="14"/>
  <c r="D274" i="14"/>
  <c r="C274" i="14"/>
  <c r="B274" i="14"/>
  <c r="A274" i="14" s="1"/>
  <c r="P273" i="14"/>
  <c r="O273" i="14"/>
  <c r="N273" i="14"/>
  <c r="M273" i="14"/>
  <c r="L273" i="14"/>
  <c r="K273" i="14"/>
  <c r="J273" i="14"/>
  <c r="I273" i="14"/>
  <c r="H273" i="14"/>
  <c r="G273" i="14"/>
  <c r="F273" i="14"/>
  <c r="E273" i="14"/>
  <c r="D273" i="14"/>
  <c r="C273" i="14"/>
  <c r="B273" i="14"/>
  <c r="A273" i="14" s="1"/>
  <c r="P272" i="14"/>
  <c r="O272" i="14"/>
  <c r="N272" i="14"/>
  <c r="M272" i="14"/>
  <c r="L272" i="14"/>
  <c r="K272" i="14"/>
  <c r="J272" i="14"/>
  <c r="I272" i="14"/>
  <c r="H272" i="14"/>
  <c r="G272" i="14"/>
  <c r="F272" i="14"/>
  <c r="E272" i="14"/>
  <c r="D272" i="14"/>
  <c r="C272" i="14"/>
  <c r="B272" i="14"/>
  <c r="A272" i="14" s="1"/>
  <c r="P271" i="14"/>
  <c r="O271" i="14"/>
  <c r="N271" i="14"/>
  <c r="M271" i="14"/>
  <c r="L271" i="14"/>
  <c r="K271" i="14"/>
  <c r="J271" i="14"/>
  <c r="I271" i="14"/>
  <c r="H271" i="14"/>
  <c r="G271" i="14"/>
  <c r="F271" i="14"/>
  <c r="E271" i="14"/>
  <c r="D271" i="14"/>
  <c r="C271" i="14"/>
  <c r="B271" i="14"/>
  <c r="A271" i="14" s="1"/>
  <c r="P270" i="14"/>
  <c r="O270" i="14"/>
  <c r="N270" i="14"/>
  <c r="M270" i="14"/>
  <c r="L270" i="14"/>
  <c r="K270" i="14"/>
  <c r="J270" i="14"/>
  <c r="I270" i="14"/>
  <c r="H270" i="14"/>
  <c r="G270" i="14"/>
  <c r="F270" i="14"/>
  <c r="E270" i="14"/>
  <c r="D270" i="14"/>
  <c r="C270" i="14"/>
  <c r="B270" i="14"/>
  <c r="A270" i="14" s="1"/>
  <c r="P269" i="14"/>
  <c r="O269" i="14"/>
  <c r="N269" i="14"/>
  <c r="M269" i="14"/>
  <c r="L269" i="14"/>
  <c r="K269" i="14"/>
  <c r="J269" i="14"/>
  <c r="I269" i="14"/>
  <c r="H269" i="14"/>
  <c r="G269" i="14"/>
  <c r="F269" i="14"/>
  <c r="E269" i="14"/>
  <c r="D269" i="14"/>
  <c r="C269" i="14"/>
  <c r="B269" i="14"/>
  <c r="A269" i="14" s="1"/>
  <c r="P268" i="14"/>
  <c r="O268" i="14"/>
  <c r="N268" i="14"/>
  <c r="M268" i="14"/>
  <c r="L268" i="14"/>
  <c r="K268" i="14"/>
  <c r="J268" i="14"/>
  <c r="I268" i="14"/>
  <c r="H268" i="14"/>
  <c r="G268" i="14"/>
  <c r="F268" i="14"/>
  <c r="E268" i="14"/>
  <c r="D268" i="14"/>
  <c r="C268" i="14"/>
  <c r="B268" i="14"/>
  <c r="A268" i="14" s="1"/>
  <c r="P267" i="14"/>
  <c r="O267" i="14"/>
  <c r="N267" i="14"/>
  <c r="M267" i="14"/>
  <c r="L267" i="14"/>
  <c r="K267" i="14"/>
  <c r="J267" i="14"/>
  <c r="I267" i="14"/>
  <c r="H267" i="14"/>
  <c r="G267" i="14"/>
  <c r="F267" i="14"/>
  <c r="E267" i="14"/>
  <c r="D267" i="14"/>
  <c r="C267" i="14"/>
  <c r="B267" i="14"/>
  <c r="A267" i="14" s="1"/>
  <c r="P266" i="14"/>
  <c r="O266" i="14"/>
  <c r="N266" i="14"/>
  <c r="M266" i="14"/>
  <c r="L266" i="14"/>
  <c r="K266" i="14"/>
  <c r="J266" i="14"/>
  <c r="I266" i="14"/>
  <c r="H266" i="14"/>
  <c r="G266" i="14"/>
  <c r="F266" i="14"/>
  <c r="E266" i="14"/>
  <c r="D266" i="14"/>
  <c r="C266" i="14"/>
  <c r="B266" i="14"/>
  <c r="A266" i="14" s="1"/>
  <c r="P265" i="14"/>
  <c r="O265" i="14"/>
  <c r="N265" i="14"/>
  <c r="M265" i="14"/>
  <c r="L265" i="14"/>
  <c r="K265" i="14"/>
  <c r="J265" i="14"/>
  <c r="I265" i="14"/>
  <c r="H265" i="14"/>
  <c r="G265" i="14"/>
  <c r="F265" i="14"/>
  <c r="E265" i="14"/>
  <c r="D265" i="14"/>
  <c r="C265" i="14"/>
  <c r="B265" i="14"/>
  <c r="A265" i="14" s="1"/>
  <c r="P264" i="14"/>
  <c r="O264" i="14"/>
  <c r="N264" i="14"/>
  <c r="M264" i="14"/>
  <c r="L264" i="14"/>
  <c r="K264" i="14"/>
  <c r="J264" i="14"/>
  <c r="I264" i="14"/>
  <c r="H264" i="14"/>
  <c r="G264" i="14"/>
  <c r="F264" i="14"/>
  <c r="E264" i="14"/>
  <c r="D264" i="14"/>
  <c r="C264" i="14"/>
  <c r="B264" i="14"/>
  <c r="A264" i="14" s="1"/>
  <c r="P263" i="14"/>
  <c r="O263" i="14"/>
  <c r="N263" i="14"/>
  <c r="M263" i="14"/>
  <c r="L263" i="14"/>
  <c r="K263" i="14"/>
  <c r="J263" i="14"/>
  <c r="I263" i="14"/>
  <c r="H263" i="14"/>
  <c r="G263" i="14"/>
  <c r="F263" i="14"/>
  <c r="E263" i="14"/>
  <c r="D263" i="14"/>
  <c r="C263" i="14"/>
  <c r="B263" i="14"/>
  <c r="A263" i="14" s="1"/>
  <c r="P262" i="14"/>
  <c r="O262" i="14"/>
  <c r="N262" i="14"/>
  <c r="M262" i="14"/>
  <c r="L262" i="14"/>
  <c r="K262" i="14"/>
  <c r="J262" i="14"/>
  <c r="I262" i="14"/>
  <c r="H262" i="14"/>
  <c r="G262" i="14"/>
  <c r="F262" i="14"/>
  <c r="E262" i="14"/>
  <c r="D262" i="14"/>
  <c r="C262" i="14"/>
  <c r="B262" i="14"/>
  <c r="A262" i="14" s="1"/>
  <c r="P261" i="14"/>
  <c r="O261" i="14"/>
  <c r="N261" i="14"/>
  <c r="M261" i="14"/>
  <c r="L261" i="14"/>
  <c r="K261" i="14"/>
  <c r="J261" i="14"/>
  <c r="I261" i="14"/>
  <c r="H261" i="14"/>
  <c r="G261" i="14"/>
  <c r="F261" i="14"/>
  <c r="E261" i="14"/>
  <c r="D261" i="14"/>
  <c r="C261" i="14"/>
  <c r="B261" i="14"/>
  <c r="A261" i="14" s="1"/>
  <c r="P260" i="14"/>
  <c r="O260" i="14"/>
  <c r="N260" i="14"/>
  <c r="M260" i="14"/>
  <c r="L260" i="14"/>
  <c r="K260" i="14"/>
  <c r="J260" i="14"/>
  <c r="I260" i="14"/>
  <c r="H260" i="14"/>
  <c r="G260" i="14"/>
  <c r="F260" i="14"/>
  <c r="E260" i="14"/>
  <c r="D260" i="14"/>
  <c r="C260" i="14"/>
  <c r="B260" i="14"/>
  <c r="A260" i="14" s="1"/>
  <c r="P259" i="14"/>
  <c r="O259" i="14"/>
  <c r="N259" i="14"/>
  <c r="M259" i="14"/>
  <c r="L259" i="14"/>
  <c r="K259" i="14"/>
  <c r="J259" i="14"/>
  <c r="I259" i="14"/>
  <c r="H259" i="14"/>
  <c r="G259" i="14"/>
  <c r="F259" i="14"/>
  <c r="E259" i="14"/>
  <c r="D259" i="14"/>
  <c r="C259" i="14"/>
  <c r="B259" i="14"/>
  <c r="A259" i="14" s="1"/>
  <c r="P258" i="14"/>
  <c r="O258" i="14"/>
  <c r="N258" i="14"/>
  <c r="M258" i="14"/>
  <c r="L258" i="14"/>
  <c r="K258" i="14"/>
  <c r="J258" i="14"/>
  <c r="I258" i="14"/>
  <c r="H258" i="14"/>
  <c r="G258" i="14"/>
  <c r="F258" i="14"/>
  <c r="E258" i="14"/>
  <c r="D258" i="14"/>
  <c r="C258" i="14"/>
  <c r="B258" i="14"/>
  <c r="A258" i="14" s="1"/>
  <c r="P257" i="14"/>
  <c r="O257" i="14"/>
  <c r="N257" i="14"/>
  <c r="M257" i="14"/>
  <c r="L257" i="14"/>
  <c r="K257" i="14"/>
  <c r="J257" i="14"/>
  <c r="I257" i="14"/>
  <c r="H257" i="14"/>
  <c r="G257" i="14"/>
  <c r="F257" i="14"/>
  <c r="E257" i="14"/>
  <c r="D257" i="14"/>
  <c r="C257" i="14"/>
  <c r="B257" i="14"/>
  <c r="A257" i="14" s="1"/>
  <c r="P256" i="14"/>
  <c r="O256" i="14"/>
  <c r="N256" i="14"/>
  <c r="M256" i="14"/>
  <c r="L256" i="14"/>
  <c r="K256" i="14"/>
  <c r="J256" i="14"/>
  <c r="I256" i="14"/>
  <c r="H256" i="14"/>
  <c r="G256" i="14"/>
  <c r="F256" i="14"/>
  <c r="E256" i="14"/>
  <c r="D256" i="14"/>
  <c r="C256" i="14"/>
  <c r="B256" i="14"/>
  <c r="A256" i="14" s="1"/>
  <c r="P255" i="14"/>
  <c r="O255" i="14"/>
  <c r="N255" i="14"/>
  <c r="M255" i="14"/>
  <c r="L255" i="14"/>
  <c r="K255" i="14"/>
  <c r="J255" i="14"/>
  <c r="I255" i="14"/>
  <c r="H255" i="14"/>
  <c r="G255" i="14"/>
  <c r="F255" i="14"/>
  <c r="E255" i="14"/>
  <c r="D255" i="14"/>
  <c r="C255" i="14"/>
  <c r="B255" i="14"/>
  <c r="A255" i="14" s="1"/>
  <c r="P254" i="14"/>
  <c r="O254" i="14"/>
  <c r="N254" i="14"/>
  <c r="M254" i="14"/>
  <c r="L254" i="14"/>
  <c r="K254" i="14"/>
  <c r="J254" i="14"/>
  <c r="I254" i="14"/>
  <c r="H254" i="14"/>
  <c r="G254" i="14"/>
  <c r="F254" i="14"/>
  <c r="E254" i="14"/>
  <c r="D254" i="14"/>
  <c r="C254" i="14"/>
  <c r="B254" i="14"/>
  <c r="A254" i="14" s="1"/>
  <c r="P253" i="14"/>
  <c r="O253" i="14"/>
  <c r="N253" i="14"/>
  <c r="M253" i="14"/>
  <c r="L253" i="14"/>
  <c r="K253" i="14"/>
  <c r="J253" i="14"/>
  <c r="I253" i="14"/>
  <c r="H253" i="14"/>
  <c r="G253" i="14"/>
  <c r="F253" i="14"/>
  <c r="E253" i="14"/>
  <c r="D253" i="14"/>
  <c r="C253" i="14"/>
  <c r="B253" i="14"/>
  <c r="A253" i="14" s="1"/>
  <c r="P252" i="14"/>
  <c r="O252" i="14"/>
  <c r="N252" i="14"/>
  <c r="M252" i="14"/>
  <c r="L252" i="14"/>
  <c r="K252" i="14"/>
  <c r="J252" i="14"/>
  <c r="I252" i="14"/>
  <c r="H252" i="14"/>
  <c r="G252" i="14"/>
  <c r="F252" i="14"/>
  <c r="E252" i="14"/>
  <c r="D252" i="14"/>
  <c r="C252" i="14"/>
  <c r="B252" i="14"/>
  <c r="A252" i="14" s="1"/>
  <c r="P251" i="14"/>
  <c r="O251" i="14"/>
  <c r="N251" i="14"/>
  <c r="M251" i="14"/>
  <c r="L251" i="14"/>
  <c r="K251" i="14"/>
  <c r="J251" i="14"/>
  <c r="I251" i="14"/>
  <c r="H251" i="14"/>
  <c r="G251" i="14"/>
  <c r="F251" i="14"/>
  <c r="E251" i="14"/>
  <c r="D251" i="14"/>
  <c r="C251" i="14"/>
  <c r="B251" i="14"/>
  <c r="A251" i="14" s="1"/>
  <c r="P250" i="14"/>
  <c r="O250" i="14"/>
  <c r="N250" i="14"/>
  <c r="M250" i="14"/>
  <c r="L250" i="14"/>
  <c r="K250" i="14"/>
  <c r="J250" i="14"/>
  <c r="I250" i="14"/>
  <c r="H250" i="14"/>
  <c r="G250" i="14"/>
  <c r="F250" i="14"/>
  <c r="E250" i="14"/>
  <c r="D250" i="14"/>
  <c r="C250" i="14"/>
  <c r="B250" i="14"/>
  <c r="A250" i="14" s="1"/>
  <c r="P249" i="14"/>
  <c r="O249" i="14"/>
  <c r="N249" i="14"/>
  <c r="M249" i="14"/>
  <c r="L249" i="14"/>
  <c r="K249" i="14"/>
  <c r="J249" i="14"/>
  <c r="I249" i="14"/>
  <c r="H249" i="14"/>
  <c r="G249" i="14"/>
  <c r="F249" i="14"/>
  <c r="E249" i="14"/>
  <c r="D249" i="14"/>
  <c r="C249" i="14"/>
  <c r="B249" i="14"/>
  <c r="A249" i="14" s="1"/>
  <c r="P248" i="14"/>
  <c r="O248" i="14"/>
  <c r="N248" i="14"/>
  <c r="M248" i="14"/>
  <c r="L248" i="14"/>
  <c r="K248" i="14"/>
  <c r="J248" i="14"/>
  <c r="I248" i="14"/>
  <c r="H248" i="14"/>
  <c r="G248" i="14"/>
  <c r="F248" i="14"/>
  <c r="E248" i="14"/>
  <c r="D248" i="14"/>
  <c r="C248" i="14"/>
  <c r="B248" i="14"/>
  <c r="A248" i="14" s="1"/>
  <c r="P247" i="14"/>
  <c r="O247" i="14"/>
  <c r="N247" i="14"/>
  <c r="M247" i="14"/>
  <c r="L247" i="14"/>
  <c r="K247" i="14"/>
  <c r="J247" i="14"/>
  <c r="I247" i="14"/>
  <c r="H247" i="14"/>
  <c r="G247" i="14"/>
  <c r="F247" i="14"/>
  <c r="E247" i="14"/>
  <c r="D247" i="14"/>
  <c r="C247" i="14"/>
  <c r="B247" i="14"/>
  <c r="A247" i="14" s="1"/>
  <c r="P246" i="14"/>
  <c r="O246" i="14"/>
  <c r="N246" i="14"/>
  <c r="M246" i="14"/>
  <c r="L246" i="14"/>
  <c r="K246" i="14"/>
  <c r="J246" i="14"/>
  <c r="I246" i="14"/>
  <c r="H246" i="14"/>
  <c r="G246" i="14"/>
  <c r="F246" i="14"/>
  <c r="E246" i="14"/>
  <c r="D246" i="14"/>
  <c r="C246" i="14"/>
  <c r="B246" i="14"/>
  <c r="A246" i="14" s="1"/>
  <c r="P245" i="14"/>
  <c r="O245" i="14"/>
  <c r="N245" i="14"/>
  <c r="M245" i="14"/>
  <c r="L245" i="14"/>
  <c r="K245" i="14"/>
  <c r="J245" i="14"/>
  <c r="I245" i="14"/>
  <c r="H245" i="14"/>
  <c r="G245" i="14"/>
  <c r="F245" i="14"/>
  <c r="E245" i="14"/>
  <c r="D245" i="14"/>
  <c r="C245" i="14"/>
  <c r="B245" i="14"/>
  <c r="A245" i="14" s="1"/>
  <c r="P244" i="14"/>
  <c r="O244" i="14"/>
  <c r="N244" i="14"/>
  <c r="M244" i="14"/>
  <c r="L244" i="14"/>
  <c r="K244" i="14"/>
  <c r="J244" i="14"/>
  <c r="I244" i="14"/>
  <c r="H244" i="14"/>
  <c r="G244" i="14"/>
  <c r="F244" i="14"/>
  <c r="E244" i="14"/>
  <c r="D244" i="14"/>
  <c r="C244" i="14"/>
  <c r="B244" i="14"/>
  <c r="A244" i="14" s="1"/>
  <c r="P243" i="14"/>
  <c r="O243" i="14"/>
  <c r="N243" i="14"/>
  <c r="M243" i="14"/>
  <c r="L243" i="14"/>
  <c r="K243" i="14"/>
  <c r="J243" i="14"/>
  <c r="I243" i="14"/>
  <c r="H243" i="14"/>
  <c r="G243" i="14"/>
  <c r="F243" i="14"/>
  <c r="E243" i="14"/>
  <c r="D243" i="14"/>
  <c r="C243" i="14"/>
  <c r="B243" i="14"/>
  <c r="A243" i="14" s="1"/>
  <c r="P242" i="14"/>
  <c r="O242" i="14"/>
  <c r="N242" i="14"/>
  <c r="M242" i="14"/>
  <c r="L242" i="14"/>
  <c r="K242" i="14"/>
  <c r="J242" i="14"/>
  <c r="I242" i="14"/>
  <c r="H242" i="14"/>
  <c r="G242" i="14"/>
  <c r="F242" i="14"/>
  <c r="E242" i="14"/>
  <c r="D242" i="14"/>
  <c r="C242" i="14"/>
  <c r="B242" i="14"/>
  <c r="A242" i="14" s="1"/>
  <c r="P241" i="14"/>
  <c r="O241" i="14"/>
  <c r="N241" i="14"/>
  <c r="M241" i="14"/>
  <c r="L241" i="14"/>
  <c r="K241" i="14"/>
  <c r="J241" i="14"/>
  <c r="I241" i="14"/>
  <c r="H241" i="14"/>
  <c r="G241" i="14"/>
  <c r="F241" i="14"/>
  <c r="E241" i="14"/>
  <c r="D241" i="14"/>
  <c r="C241" i="14"/>
  <c r="B241" i="14"/>
  <c r="A241" i="14" s="1"/>
  <c r="P240" i="14"/>
  <c r="O240" i="14"/>
  <c r="N240" i="14"/>
  <c r="M240" i="14"/>
  <c r="L240" i="14"/>
  <c r="K240" i="14"/>
  <c r="J240" i="14"/>
  <c r="I240" i="14"/>
  <c r="H240" i="14"/>
  <c r="G240" i="14"/>
  <c r="F240" i="14"/>
  <c r="E240" i="14"/>
  <c r="D240" i="14"/>
  <c r="C240" i="14"/>
  <c r="B240" i="14"/>
  <c r="A240" i="14" s="1"/>
  <c r="P239" i="14"/>
  <c r="O239" i="14"/>
  <c r="N239" i="14"/>
  <c r="M239" i="14"/>
  <c r="L239" i="14"/>
  <c r="K239" i="14"/>
  <c r="J239" i="14"/>
  <c r="I239" i="14"/>
  <c r="H239" i="14"/>
  <c r="G239" i="14"/>
  <c r="F239" i="14"/>
  <c r="E239" i="14"/>
  <c r="D239" i="14"/>
  <c r="C239" i="14"/>
  <c r="B239" i="14"/>
  <c r="A239" i="14" s="1"/>
  <c r="P238" i="14"/>
  <c r="O238" i="14"/>
  <c r="N238" i="14"/>
  <c r="M238" i="14"/>
  <c r="L238" i="14"/>
  <c r="K238" i="14"/>
  <c r="J238" i="14"/>
  <c r="I238" i="14"/>
  <c r="H238" i="14"/>
  <c r="G238" i="14"/>
  <c r="F238" i="14"/>
  <c r="E238" i="14"/>
  <c r="D238" i="14"/>
  <c r="C238" i="14"/>
  <c r="B238" i="14"/>
  <c r="A238" i="14" s="1"/>
  <c r="P237" i="14"/>
  <c r="O237" i="14"/>
  <c r="N237" i="14"/>
  <c r="M237" i="14"/>
  <c r="L237" i="14"/>
  <c r="K237" i="14"/>
  <c r="J237" i="14"/>
  <c r="I237" i="14"/>
  <c r="H237" i="14"/>
  <c r="G237" i="14"/>
  <c r="F237" i="14"/>
  <c r="E237" i="14"/>
  <c r="D237" i="14"/>
  <c r="C237" i="14"/>
  <c r="B237" i="14"/>
  <c r="A237" i="14" s="1"/>
  <c r="P236" i="14"/>
  <c r="O236" i="14"/>
  <c r="N236" i="14"/>
  <c r="M236" i="14"/>
  <c r="L236" i="14"/>
  <c r="K236" i="14"/>
  <c r="J236" i="14"/>
  <c r="I236" i="14"/>
  <c r="H236" i="14"/>
  <c r="G236" i="14"/>
  <c r="F236" i="14"/>
  <c r="E236" i="14"/>
  <c r="D236" i="14"/>
  <c r="C236" i="14"/>
  <c r="B236" i="14"/>
  <c r="A236" i="14" s="1"/>
  <c r="P235" i="14"/>
  <c r="O235" i="14"/>
  <c r="N235" i="14"/>
  <c r="M235" i="14"/>
  <c r="L235" i="14"/>
  <c r="K235" i="14"/>
  <c r="J235" i="14"/>
  <c r="I235" i="14"/>
  <c r="H235" i="14"/>
  <c r="G235" i="14"/>
  <c r="F235" i="14"/>
  <c r="E235" i="14"/>
  <c r="D235" i="14"/>
  <c r="C235" i="14"/>
  <c r="B235" i="14"/>
  <c r="A235" i="14" s="1"/>
  <c r="P234" i="14"/>
  <c r="O234" i="14"/>
  <c r="N234" i="14"/>
  <c r="M234" i="14"/>
  <c r="L234" i="14"/>
  <c r="K234" i="14"/>
  <c r="J234" i="14"/>
  <c r="I234" i="14"/>
  <c r="H234" i="14"/>
  <c r="G234" i="14"/>
  <c r="F234" i="14"/>
  <c r="E234" i="14"/>
  <c r="D234" i="14"/>
  <c r="C234" i="14"/>
  <c r="B234" i="14"/>
  <c r="A234" i="14" s="1"/>
  <c r="P233" i="14"/>
  <c r="O233" i="14"/>
  <c r="N233" i="14"/>
  <c r="M233" i="14"/>
  <c r="L233" i="14"/>
  <c r="K233" i="14"/>
  <c r="J233" i="14"/>
  <c r="I233" i="14"/>
  <c r="H233" i="14"/>
  <c r="G233" i="14"/>
  <c r="F233" i="14"/>
  <c r="E233" i="14"/>
  <c r="D233" i="14"/>
  <c r="C233" i="14"/>
  <c r="B233" i="14"/>
  <c r="A233" i="14" s="1"/>
  <c r="P232" i="14"/>
  <c r="O232" i="14"/>
  <c r="N232" i="14"/>
  <c r="M232" i="14"/>
  <c r="L232" i="14"/>
  <c r="K232" i="14"/>
  <c r="J232" i="14"/>
  <c r="I232" i="14"/>
  <c r="H232" i="14"/>
  <c r="G232" i="14"/>
  <c r="F232" i="14"/>
  <c r="E232" i="14"/>
  <c r="D232" i="14"/>
  <c r="C232" i="14"/>
  <c r="B232" i="14"/>
  <c r="A232" i="14" s="1"/>
  <c r="P231" i="14"/>
  <c r="O231" i="14"/>
  <c r="N231" i="14"/>
  <c r="M231" i="14"/>
  <c r="L231" i="14"/>
  <c r="K231" i="14"/>
  <c r="J231" i="14"/>
  <c r="I231" i="14"/>
  <c r="H231" i="14"/>
  <c r="G231" i="14"/>
  <c r="F231" i="14"/>
  <c r="E231" i="14"/>
  <c r="D231" i="14"/>
  <c r="C231" i="14"/>
  <c r="B231" i="14"/>
  <c r="A231" i="14" s="1"/>
  <c r="P230" i="14"/>
  <c r="O230" i="14"/>
  <c r="N230" i="14"/>
  <c r="M230" i="14"/>
  <c r="L230" i="14"/>
  <c r="K230" i="14"/>
  <c r="J230" i="14"/>
  <c r="I230" i="14"/>
  <c r="H230" i="14"/>
  <c r="G230" i="14"/>
  <c r="F230" i="14"/>
  <c r="E230" i="14"/>
  <c r="D230" i="14"/>
  <c r="C230" i="14"/>
  <c r="B230" i="14"/>
  <c r="A230" i="14" s="1"/>
  <c r="P229" i="14"/>
  <c r="O229" i="14"/>
  <c r="N229" i="14"/>
  <c r="M229" i="14"/>
  <c r="L229" i="14"/>
  <c r="K229" i="14"/>
  <c r="J229" i="14"/>
  <c r="I229" i="14"/>
  <c r="H229" i="14"/>
  <c r="G229" i="14"/>
  <c r="F229" i="14"/>
  <c r="E229" i="14"/>
  <c r="D229" i="14"/>
  <c r="C229" i="14"/>
  <c r="B229" i="14"/>
  <c r="A229" i="14" s="1"/>
  <c r="P228" i="14"/>
  <c r="O228" i="14"/>
  <c r="N228" i="14"/>
  <c r="M228" i="14"/>
  <c r="L228" i="14"/>
  <c r="K228" i="14"/>
  <c r="J228" i="14"/>
  <c r="I228" i="14"/>
  <c r="H228" i="14"/>
  <c r="G228" i="14"/>
  <c r="F228" i="14"/>
  <c r="E228" i="14"/>
  <c r="D228" i="14"/>
  <c r="C228" i="14"/>
  <c r="B228" i="14"/>
  <c r="A228" i="14" s="1"/>
  <c r="P227" i="14"/>
  <c r="O227" i="14"/>
  <c r="N227" i="14"/>
  <c r="M227" i="14"/>
  <c r="L227" i="14"/>
  <c r="K227" i="14"/>
  <c r="J227" i="14"/>
  <c r="I227" i="14"/>
  <c r="H227" i="14"/>
  <c r="G227" i="14"/>
  <c r="F227" i="14"/>
  <c r="E227" i="14"/>
  <c r="D227" i="14"/>
  <c r="C227" i="14"/>
  <c r="B227" i="14"/>
  <c r="A227" i="14" s="1"/>
  <c r="P226" i="14"/>
  <c r="O226" i="14"/>
  <c r="N226" i="14"/>
  <c r="M226" i="14"/>
  <c r="L226" i="14"/>
  <c r="K226" i="14"/>
  <c r="J226" i="14"/>
  <c r="I226" i="14"/>
  <c r="H226" i="14"/>
  <c r="G226" i="14"/>
  <c r="F226" i="14"/>
  <c r="E226" i="14"/>
  <c r="D226" i="14"/>
  <c r="C226" i="14"/>
  <c r="B226" i="14"/>
  <c r="A226" i="14" s="1"/>
  <c r="P225" i="14"/>
  <c r="O225" i="14"/>
  <c r="N225" i="14"/>
  <c r="M225" i="14"/>
  <c r="L225" i="14"/>
  <c r="K225" i="14"/>
  <c r="J225" i="14"/>
  <c r="I225" i="14"/>
  <c r="H225" i="14"/>
  <c r="G225" i="14"/>
  <c r="F225" i="14"/>
  <c r="E225" i="14"/>
  <c r="D225" i="14"/>
  <c r="C225" i="14"/>
  <c r="B225" i="14"/>
  <c r="A225" i="14" s="1"/>
  <c r="P224" i="14"/>
  <c r="O224" i="14"/>
  <c r="N224" i="14"/>
  <c r="M224" i="14"/>
  <c r="L224" i="14"/>
  <c r="K224" i="14"/>
  <c r="J224" i="14"/>
  <c r="I224" i="14"/>
  <c r="H224" i="14"/>
  <c r="G224" i="14"/>
  <c r="F224" i="14"/>
  <c r="E224" i="14"/>
  <c r="D224" i="14"/>
  <c r="C224" i="14"/>
  <c r="B224" i="14"/>
  <c r="A224" i="14" s="1"/>
  <c r="P223" i="14"/>
  <c r="O223" i="14"/>
  <c r="N223" i="14"/>
  <c r="M223" i="14"/>
  <c r="L223" i="14"/>
  <c r="K223" i="14"/>
  <c r="J223" i="14"/>
  <c r="I223" i="14"/>
  <c r="H223" i="14"/>
  <c r="G223" i="14"/>
  <c r="F223" i="14"/>
  <c r="E223" i="14"/>
  <c r="D223" i="14"/>
  <c r="C223" i="14"/>
  <c r="B223" i="14"/>
  <c r="A223" i="14" s="1"/>
  <c r="P222" i="14"/>
  <c r="O222" i="14"/>
  <c r="N222" i="14"/>
  <c r="M222" i="14"/>
  <c r="L222" i="14"/>
  <c r="K222" i="14"/>
  <c r="J222" i="14"/>
  <c r="I222" i="14"/>
  <c r="H222" i="14"/>
  <c r="G222" i="14"/>
  <c r="F222" i="14"/>
  <c r="E222" i="14"/>
  <c r="D222" i="14"/>
  <c r="C222" i="14"/>
  <c r="B222" i="14"/>
  <c r="A222" i="14" s="1"/>
  <c r="P221" i="14"/>
  <c r="O221" i="14"/>
  <c r="N221" i="14"/>
  <c r="M221" i="14"/>
  <c r="L221" i="14"/>
  <c r="K221" i="14"/>
  <c r="J221" i="14"/>
  <c r="I221" i="14"/>
  <c r="H221" i="14"/>
  <c r="G221" i="14"/>
  <c r="F221" i="14"/>
  <c r="E221" i="14"/>
  <c r="D221" i="14"/>
  <c r="C221" i="14"/>
  <c r="B221" i="14"/>
  <c r="A221" i="14" s="1"/>
  <c r="P220" i="14"/>
  <c r="O220" i="14"/>
  <c r="N220" i="14"/>
  <c r="M220" i="14"/>
  <c r="L220" i="14"/>
  <c r="K220" i="14"/>
  <c r="J220" i="14"/>
  <c r="I220" i="14"/>
  <c r="H220" i="14"/>
  <c r="G220" i="14"/>
  <c r="F220" i="14"/>
  <c r="E220" i="14"/>
  <c r="D220" i="14"/>
  <c r="C220" i="14"/>
  <c r="B220" i="14"/>
  <c r="A220" i="14" s="1"/>
  <c r="P219" i="14"/>
  <c r="O219" i="14"/>
  <c r="N219" i="14"/>
  <c r="M219" i="14"/>
  <c r="L219" i="14"/>
  <c r="K219" i="14"/>
  <c r="J219" i="14"/>
  <c r="I219" i="14"/>
  <c r="H219" i="14"/>
  <c r="G219" i="14"/>
  <c r="F219" i="14"/>
  <c r="E219" i="14"/>
  <c r="D219" i="14"/>
  <c r="C219" i="14"/>
  <c r="B219" i="14"/>
  <c r="A219" i="14" s="1"/>
  <c r="P218" i="14"/>
  <c r="O218" i="14"/>
  <c r="N218" i="14"/>
  <c r="M218" i="14"/>
  <c r="L218" i="14"/>
  <c r="K218" i="14"/>
  <c r="J218" i="14"/>
  <c r="I218" i="14"/>
  <c r="H218" i="14"/>
  <c r="G218" i="14"/>
  <c r="F218" i="14"/>
  <c r="E218" i="14"/>
  <c r="D218" i="14"/>
  <c r="C218" i="14"/>
  <c r="B218" i="14"/>
  <c r="A218" i="14" s="1"/>
  <c r="P217" i="14"/>
  <c r="O217" i="14"/>
  <c r="N217" i="14"/>
  <c r="M217" i="14"/>
  <c r="L217" i="14"/>
  <c r="K217" i="14"/>
  <c r="J217" i="14"/>
  <c r="I217" i="14"/>
  <c r="H217" i="14"/>
  <c r="G217" i="14"/>
  <c r="F217" i="14"/>
  <c r="E217" i="14"/>
  <c r="D217" i="14"/>
  <c r="C217" i="14"/>
  <c r="B217" i="14"/>
  <c r="A217" i="14" s="1"/>
  <c r="P216" i="14"/>
  <c r="O216" i="14"/>
  <c r="N216" i="14"/>
  <c r="M216" i="14"/>
  <c r="L216" i="14"/>
  <c r="K216" i="14"/>
  <c r="J216" i="14"/>
  <c r="I216" i="14"/>
  <c r="H216" i="14"/>
  <c r="G216" i="14"/>
  <c r="F216" i="14"/>
  <c r="E216" i="14"/>
  <c r="D216" i="14"/>
  <c r="C216" i="14"/>
  <c r="B216" i="14"/>
  <c r="A216" i="14" s="1"/>
  <c r="P215" i="14"/>
  <c r="O215" i="14"/>
  <c r="N215" i="14"/>
  <c r="M215" i="14"/>
  <c r="L215" i="14"/>
  <c r="K215" i="14"/>
  <c r="J215" i="14"/>
  <c r="I215" i="14"/>
  <c r="H215" i="14"/>
  <c r="G215" i="14"/>
  <c r="F215" i="14"/>
  <c r="E215" i="14"/>
  <c r="D215" i="14"/>
  <c r="C215" i="14"/>
  <c r="B215" i="14"/>
  <c r="A215" i="14" s="1"/>
  <c r="P214" i="14"/>
  <c r="O214" i="14"/>
  <c r="N214" i="14"/>
  <c r="M214" i="14"/>
  <c r="L214" i="14"/>
  <c r="K214" i="14"/>
  <c r="J214" i="14"/>
  <c r="I214" i="14"/>
  <c r="H214" i="14"/>
  <c r="G214" i="14"/>
  <c r="F214" i="14"/>
  <c r="E214" i="14"/>
  <c r="D214" i="14"/>
  <c r="C214" i="14"/>
  <c r="B214" i="14"/>
  <c r="A214" i="14" s="1"/>
  <c r="P213" i="14"/>
  <c r="O213" i="14"/>
  <c r="N213" i="14"/>
  <c r="M213" i="14"/>
  <c r="L213" i="14"/>
  <c r="K213" i="14"/>
  <c r="J213" i="14"/>
  <c r="I213" i="14"/>
  <c r="H213" i="14"/>
  <c r="G213" i="14"/>
  <c r="F213" i="14"/>
  <c r="E213" i="14"/>
  <c r="D213" i="14"/>
  <c r="C213" i="14"/>
  <c r="B213" i="14"/>
  <c r="A213" i="14" s="1"/>
  <c r="P212" i="14"/>
  <c r="O212" i="14"/>
  <c r="N212" i="14"/>
  <c r="M212" i="14"/>
  <c r="L212" i="14"/>
  <c r="K212" i="14"/>
  <c r="J212" i="14"/>
  <c r="I212" i="14"/>
  <c r="H212" i="14"/>
  <c r="G212" i="14"/>
  <c r="F212" i="14"/>
  <c r="E212" i="14"/>
  <c r="D212" i="14"/>
  <c r="C212" i="14"/>
  <c r="B212" i="14"/>
  <c r="A212" i="14" s="1"/>
  <c r="P211" i="14"/>
  <c r="O211" i="14"/>
  <c r="N211" i="14"/>
  <c r="M211" i="14"/>
  <c r="L211" i="14"/>
  <c r="K211" i="14"/>
  <c r="J211" i="14"/>
  <c r="I211" i="14"/>
  <c r="H211" i="14"/>
  <c r="G211" i="14"/>
  <c r="F211" i="14"/>
  <c r="E211" i="14"/>
  <c r="D211" i="14"/>
  <c r="C211" i="14"/>
  <c r="B211" i="14"/>
  <c r="A211" i="14" s="1"/>
  <c r="P210" i="14"/>
  <c r="O210" i="14"/>
  <c r="N210" i="14"/>
  <c r="M210" i="14"/>
  <c r="L210" i="14"/>
  <c r="K210" i="14"/>
  <c r="J210" i="14"/>
  <c r="I210" i="14"/>
  <c r="H210" i="14"/>
  <c r="G210" i="14"/>
  <c r="F210" i="14"/>
  <c r="E210" i="14"/>
  <c r="D210" i="14"/>
  <c r="C210" i="14"/>
  <c r="B210" i="14"/>
  <c r="A210" i="14" s="1"/>
  <c r="P209" i="14"/>
  <c r="O209" i="14"/>
  <c r="N209" i="14"/>
  <c r="M209" i="14"/>
  <c r="L209" i="14"/>
  <c r="K209" i="14"/>
  <c r="J209" i="14"/>
  <c r="I209" i="14"/>
  <c r="H209" i="14"/>
  <c r="G209" i="14"/>
  <c r="F209" i="14"/>
  <c r="E209" i="14"/>
  <c r="D209" i="14"/>
  <c r="C209" i="14"/>
  <c r="B209" i="14"/>
  <c r="A209" i="14" s="1"/>
  <c r="P208" i="14"/>
  <c r="O208" i="14"/>
  <c r="N208" i="14"/>
  <c r="M208" i="14"/>
  <c r="L208" i="14"/>
  <c r="K208" i="14"/>
  <c r="J208" i="14"/>
  <c r="I208" i="14"/>
  <c r="H208" i="14"/>
  <c r="G208" i="14"/>
  <c r="F208" i="14"/>
  <c r="E208" i="14"/>
  <c r="D208" i="14"/>
  <c r="C208" i="14"/>
  <c r="B208" i="14"/>
  <c r="A208" i="14" s="1"/>
  <c r="P207" i="14"/>
  <c r="O207" i="14"/>
  <c r="N207" i="14"/>
  <c r="M207" i="14"/>
  <c r="L207" i="14"/>
  <c r="K207" i="14"/>
  <c r="J207" i="14"/>
  <c r="I207" i="14"/>
  <c r="H207" i="14"/>
  <c r="G207" i="14"/>
  <c r="F207" i="14"/>
  <c r="E207" i="14"/>
  <c r="D207" i="14"/>
  <c r="C207" i="14"/>
  <c r="B207" i="14"/>
  <c r="A207" i="14" s="1"/>
  <c r="P206" i="14"/>
  <c r="O206" i="14"/>
  <c r="N206" i="14"/>
  <c r="M206" i="14"/>
  <c r="L206" i="14"/>
  <c r="K206" i="14"/>
  <c r="J206" i="14"/>
  <c r="I206" i="14"/>
  <c r="H206" i="14"/>
  <c r="G206" i="14"/>
  <c r="F206" i="14"/>
  <c r="E206" i="14"/>
  <c r="D206" i="14"/>
  <c r="C206" i="14"/>
  <c r="B206" i="14"/>
  <c r="A206" i="14" s="1"/>
  <c r="P205" i="14"/>
  <c r="O205" i="14"/>
  <c r="N205" i="14"/>
  <c r="M205" i="14"/>
  <c r="L205" i="14"/>
  <c r="K205" i="14"/>
  <c r="J205" i="14"/>
  <c r="I205" i="14"/>
  <c r="H205" i="14"/>
  <c r="G205" i="14"/>
  <c r="F205" i="14"/>
  <c r="E205" i="14"/>
  <c r="D205" i="14"/>
  <c r="C205" i="14"/>
  <c r="B205" i="14"/>
  <c r="A205" i="14" s="1"/>
  <c r="P204" i="14"/>
  <c r="O204" i="14"/>
  <c r="N204" i="14"/>
  <c r="M204" i="14"/>
  <c r="L204" i="14"/>
  <c r="K204" i="14"/>
  <c r="J204" i="14"/>
  <c r="I204" i="14"/>
  <c r="H204" i="14"/>
  <c r="G204" i="14"/>
  <c r="F204" i="14"/>
  <c r="E204" i="14"/>
  <c r="D204" i="14"/>
  <c r="C204" i="14"/>
  <c r="B204" i="14"/>
  <c r="A204" i="14" s="1"/>
  <c r="P203" i="14"/>
  <c r="O203" i="14"/>
  <c r="N203" i="14"/>
  <c r="M203" i="14"/>
  <c r="L203" i="14"/>
  <c r="K203" i="14"/>
  <c r="J203" i="14"/>
  <c r="I203" i="14"/>
  <c r="H203" i="14"/>
  <c r="G203" i="14"/>
  <c r="F203" i="14"/>
  <c r="E203" i="14"/>
  <c r="D203" i="14"/>
  <c r="C203" i="14"/>
  <c r="B203" i="14"/>
  <c r="A203" i="14" s="1"/>
  <c r="P202" i="14"/>
  <c r="O202" i="14"/>
  <c r="N202" i="14"/>
  <c r="M202" i="14"/>
  <c r="L202" i="14"/>
  <c r="K202" i="14"/>
  <c r="J202" i="14"/>
  <c r="I202" i="14"/>
  <c r="H202" i="14"/>
  <c r="G202" i="14"/>
  <c r="F202" i="14"/>
  <c r="E202" i="14"/>
  <c r="D202" i="14"/>
  <c r="C202" i="14"/>
  <c r="B202" i="14"/>
  <c r="A202" i="14" s="1"/>
  <c r="P201" i="14"/>
  <c r="O201" i="14"/>
  <c r="N201" i="14"/>
  <c r="M201" i="14"/>
  <c r="L201" i="14"/>
  <c r="K201" i="14"/>
  <c r="J201" i="14"/>
  <c r="I201" i="14"/>
  <c r="H201" i="14"/>
  <c r="G201" i="14"/>
  <c r="F201" i="14"/>
  <c r="E201" i="14"/>
  <c r="D201" i="14"/>
  <c r="C201" i="14"/>
  <c r="B201" i="14"/>
  <c r="A201" i="14" s="1"/>
  <c r="P200" i="14"/>
  <c r="O200" i="14"/>
  <c r="N200" i="14"/>
  <c r="M200" i="14"/>
  <c r="L200" i="14"/>
  <c r="K200" i="14"/>
  <c r="J200" i="14"/>
  <c r="I200" i="14"/>
  <c r="H200" i="14"/>
  <c r="G200" i="14"/>
  <c r="F200" i="14"/>
  <c r="E200" i="14"/>
  <c r="D200" i="14"/>
  <c r="C200" i="14"/>
  <c r="B200" i="14"/>
  <c r="A200" i="14" s="1"/>
  <c r="P199" i="14"/>
  <c r="O199" i="14"/>
  <c r="N199" i="14"/>
  <c r="M199" i="14"/>
  <c r="L199" i="14"/>
  <c r="K199" i="14"/>
  <c r="J199" i="14"/>
  <c r="I199" i="14"/>
  <c r="H199" i="14"/>
  <c r="G199" i="14"/>
  <c r="F199" i="14"/>
  <c r="E199" i="14"/>
  <c r="D199" i="14"/>
  <c r="C199" i="14"/>
  <c r="B199" i="14"/>
  <c r="A199" i="14" s="1"/>
  <c r="P198" i="14"/>
  <c r="O198" i="14"/>
  <c r="N198" i="14"/>
  <c r="M198" i="14"/>
  <c r="L198" i="14"/>
  <c r="K198" i="14"/>
  <c r="J198" i="14"/>
  <c r="I198" i="14"/>
  <c r="H198" i="14"/>
  <c r="G198" i="14"/>
  <c r="F198" i="14"/>
  <c r="E198" i="14"/>
  <c r="D198" i="14"/>
  <c r="C198" i="14"/>
  <c r="B198" i="14"/>
  <c r="A198" i="14" s="1"/>
  <c r="P197" i="14"/>
  <c r="O197" i="14"/>
  <c r="N197" i="14"/>
  <c r="M197" i="14"/>
  <c r="L197" i="14"/>
  <c r="K197" i="14"/>
  <c r="J197" i="14"/>
  <c r="I197" i="14"/>
  <c r="H197" i="14"/>
  <c r="G197" i="14"/>
  <c r="F197" i="14"/>
  <c r="E197" i="14"/>
  <c r="D197" i="14"/>
  <c r="C197" i="14"/>
  <c r="B197" i="14"/>
  <c r="A197" i="14" s="1"/>
  <c r="P196" i="14"/>
  <c r="O196" i="14"/>
  <c r="N196" i="14"/>
  <c r="M196" i="14"/>
  <c r="L196" i="14"/>
  <c r="K196" i="14"/>
  <c r="J196" i="14"/>
  <c r="I196" i="14"/>
  <c r="H196" i="14"/>
  <c r="G196" i="14"/>
  <c r="F196" i="14"/>
  <c r="E196" i="14"/>
  <c r="D196" i="14"/>
  <c r="C196" i="14"/>
  <c r="B196" i="14"/>
  <c r="A196" i="14" s="1"/>
  <c r="P195" i="14"/>
  <c r="O195" i="14"/>
  <c r="N195" i="14"/>
  <c r="M195" i="14"/>
  <c r="L195" i="14"/>
  <c r="K195" i="14"/>
  <c r="J195" i="14"/>
  <c r="I195" i="14"/>
  <c r="H195" i="14"/>
  <c r="G195" i="14"/>
  <c r="F195" i="14"/>
  <c r="E195" i="14"/>
  <c r="D195" i="14"/>
  <c r="C195" i="14"/>
  <c r="B195" i="14"/>
  <c r="A195" i="14" s="1"/>
  <c r="P194" i="14"/>
  <c r="O194" i="14"/>
  <c r="N194" i="14"/>
  <c r="M194" i="14"/>
  <c r="L194" i="14"/>
  <c r="K194" i="14"/>
  <c r="J194" i="14"/>
  <c r="I194" i="14"/>
  <c r="H194" i="14"/>
  <c r="G194" i="14"/>
  <c r="F194" i="14"/>
  <c r="E194" i="14"/>
  <c r="D194" i="14"/>
  <c r="C194" i="14"/>
  <c r="B194" i="14"/>
  <c r="A194" i="14" s="1"/>
  <c r="P193" i="14"/>
  <c r="O193" i="14"/>
  <c r="N193" i="14"/>
  <c r="M193" i="14"/>
  <c r="L193" i="14"/>
  <c r="K193" i="14"/>
  <c r="J193" i="14"/>
  <c r="I193" i="14"/>
  <c r="H193" i="14"/>
  <c r="G193" i="14"/>
  <c r="F193" i="14"/>
  <c r="E193" i="14"/>
  <c r="D193" i="14"/>
  <c r="C193" i="14"/>
  <c r="B193" i="14"/>
  <c r="A193" i="14" s="1"/>
  <c r="P192" i="14"/>
  <c r="O192" i="14"/>
  <c r="N192" i="14"/>
  <c r="M192" i="14"/>
  <c r="L192" i="14"/>
  <c r="K192" i="14"/>
  <c r="J192" i="14"/>
  <c r="I192" i="14"/>
  <c r="H192" i="14"/>
  <c r="G192" i="14"/>
  <c r="F192" i="14"/>
  <c r="E192" i="14"/>
  <c r="D192" i="14"/>
  <c r="C192" i="14"/>
  <c r="B192" i="14"/>
  <c r="A192" i="14" s="1"/>
  <c r="P191" i="14"/>
  <c r="O191" i="14"/>
  <c r="N191" i="14"/>
  <c r="M191" i="14"/>
  <c r="L191" i="14"/>
  <c r="K191" i="14"/>
  <c r="J191" i="14"/>
  <c r="I191" i="14"/>
  <c r="H191" i="14"/>
  <c r="G191" i="14"/>
  <c r="F191" i="14"/>
  <c r="E191" i="14"/>
  <c r="D191" i="14"/>
  <c r="C191" i="14"/>
  <c r="B191" i="14"/>
  <c r="A191" i="14" s="1"/>
  <c r="P190" i="14"/>
  <c r="O190" i="14"/>
  <c r="N190" i="14"/>
  <c r="M190" i="14"/>
  <c r="L190" i="14"/>
  <c r="K190" i="14"/>
  <c r="J190" i="14"/>
  <c r="I190" i="14"/>
  <c r="H190" i="14"/>
  <c r="G190" i="14"/>
  <c r="F190" i="14"/>
  <c r="E190" i="14"/>
  <c r="D190" i="14"/>
  <c r="C190" i="14"/>
  <c r="B190" i="14"/>
  <c r="A190" i="14" s="1"/>
  <c r="P189" i="14"/>
  <c r="O189" i="14"/>
  <c r="N189" i="14"/>
  <c r="M189" i="14"/>
  <c r="L189" i="14"/>
  <c r="K189" i="14"/>
  <c r="J189" i="14"/>
  <c r="I189" i="14"/>
  <c r="H189" i="14"/>
  <c r="G189" i="14"/>
  <c r="F189" i="14"/>
  <c r="E189" i="14"/>
  <c r="D189" i="14"/>
  <c r="C189" i="14"/>
  <c r="B189" i="14"/>
  <c r="A189" i="14" s="1"/>
  <c r="P188" i="14"/>
  <c r="O188" i="14"/>
  <c r="N188" i="14"/>
  <c r="M188" i="14"/>
  <c r="L188" i="14"/>
  <c r="K188" i="14"/>
  <c r="J188" i="14"/>
  <c r="I188" i="14"/>
  <c r="H188" i="14"/>
  <c r="G188" i="14"/>
  <c r="F188" i="14"/>
  <c r="E188" i="14"/>
  <c r="D188" i="14"/>
  <c r="C188" i="14"/>
  <c r="B188" i="14"/>
  <c r="A188" i="14" s="1"/>
  <c r="P187" i="14"/>
  <c r="O187" i="14"/>
  <c r="N187" i="14"/>
  <c r="M187" i="14"/>
  <c r="L187" i="14"/>
  <c r="K187" i="14"/>
  <c r="J187" i="14"/>
  <c r="I187" i="14"/>
  <c r="H187" i="14"/>
  <c r="G187" i="14"/>
  <c r="F187" i="14"/>
  <c r="E187" i="14"/>
  <c r="D187" i="14"/>
  <c r="C187" i="14"/>
  <c r="B187" i="14"/>
  <c r="A187" i="14" s="1"/>
  <c r="P186" i="14"/>
  <c r="O186" i="14"/>
  <c r="N186" i="14"/>
  <c r="M186" i="14"/>
  <c r="L186" i="14"/>
  <c r="K186" i="14"/>
  <c r="J186" i="14"/>
  <c r="I186" i="14"/>
  <c r="H186" i="14"/>
  <c r="G186" i="14"/>
  <c r="F186" i="14"/>
  <c r="E186" i="14"/>
  <c r="D186" i="14"/>
  <c r="C186" i="14"/>
  <c r="B186" i="14"/>
  <c r="A186" i="14" s="1"/>
  <c r="P185" i="14"/>
  <c r="O185" i="14"/>
  <c r="N185" i="14"/>
  <c r="M185" i="14"/>
  <c r="L185" i="14"/>
  <c r="K185" i="14"/>
  <c r="J185" i="14"/>
  <c r="I185" i="14"/>
  <c r="H185" i="14"/>
  <c r="G185" i="14"/>
  <c r="F185" i="14"/>
  <c r="E185" i="14"/>
  <c r="D185" i="14"/>
  <c r="C185" i="14"/>
  <c r="B185" i="14"/>
  <c r="A185" i="14" s="1"/>
  <c r="P184" i="14"/>
  <c r="O184" i="14"/>
  <c r="N184" i="14"/>
  <c r="M184" i="14"/>
  <c r="L184" i="14"/>
  <c r="K184" i="14"/>
  <c r="J184" i="14"/>
  <c r="I184" i="14"/>
  <c r="H184" i="14"/>
  <c r="G184" i="14"/>
  <c r="F184" i="14"/>
  <c r="E184" i="14"/>
  <c r="D184" i="14"/>
  <c r="C184" i="14"/>
  <c r="B184" i="14"/>
  <c r="A184" i="14" s="1"/>
  <c r="P183" i="14"/>
  <c r="O183" i="14"/>
  <c r="N183" i="14"/>
  <c r="M183" i="14"/>
  <c r="L183" i="14"/>
  <c r="K183" i="14"/>
  <c r="J183" i="14"/>
  <c r="I183" i="14"/>
  <c r="H183" i="14"/>
  <c r="G183" i="14"/>
  <c r="F183" i="14"/>
  <c r="E183" i="14"/>
  <c r="D183" i="14"/>
  <c r="C183" i="14"/>
  <c r="B183" i="14"/>
  <c r="A183" i="14" s="1"/>
  <c r="P182" i="14"/>
  <c r="O182" i="14"/>
  <c r="N182" i="14"/>
  <c r="M182" i="14"/>
  <c r="L182" i="14"/>
  <c r="K182" i="14"/>
  <c r="J182" i="14"/>
  <c r="I182" i="14"/>
  <c r="H182" i="14"/>
  <c r="G182" i="14"/>
  <c r="F182" i="14"/>
  <c r="E182" i="14"/>
  <c r="D182" i="14"/>
  <c r="C182" i="14"/>
  <c r="B182" i="14"/>
  <c r="A182" i="14" s="1"/>
  <c r="P181" i="14"/>
  <c r="O181" i="14"/>
  <c r="N181" i="14"/>
  <c r="M181" i="14"/>
  <c r="L181" i="14"/>
  <c r="K181" i="14"/>
  <c r="J181" i="14"/>
  <c r="I181" i="14"/>
  <c r="H181" i="14"/>
  <c r="G181" i="14"/>
  <c r="F181" i="14"/>
  <c r="E181" i="14"/>
  <c r="D181" i="14"/>
  <c r="C181" i="14"/>
  <c r="B181" i="14"/>
  <c r="A181" i="14" s="1"/>
  <c r="P180" i="14"/>
  <c r="O180" i="14"/>
  <c r="N180" i="14"/>
  <c r="M180" i="14"/>
  <c r="L180" i="14"/>
  <c r="K180" i="14"/>
  <c r="J180" i="14"/>
  <c r="I180" i="14"/>
  <c r="H180" i="14"/>
  <c r="G180" i="14"/>
  <c r="F180" i="14"/>
  <c r="E180" i="14"/>
  <c r="D180" i="14"/>
  <c r="C180" i="14"/>
  <c r="B180" i="14"/>
  <c r="A180" i="14" s="1"/>
  <c r="P179" i="14"/>
  <c r="O179" i="14"/>
  <c r="N179" i="14"/>
  <c r="M179" i="14"/>
  <c r="L179" i="14"/>
  <c r="K179" i="14"/>
  <c r="J179" i="14"/>
  <c r="I179" i="14"/>
  <c r="H179" i="14"/>
  <c r="G179" i="14"/>
  <c r="F179" i="14"/>
  <c r="E179" i="14"/>
  <c r="D179" i="14"/>
  <c r="C179" i="14"/>
  <c r="B179" i="14"/>
  <c r="A179" i="14" s="1"/>
  <c r="P178" i="14"/>
  <c r="O178" i="14"/>
  <c r="N178" i="14"/>
  <c r="M178" i="14"/>
  <c r="L178" i="14"/>
  <c r="K178" i="14"/>
  <c r="J178" i="14"/>
  <c r="I178" i="14"/>
  <c r="H178" i="14"/>
  <c r="G178" i="14"/>
  <c r="F178" i="14"/>
  <c r="E178" i="14"/>
  <c r="D178" i="14"/>
  <c r="C178" i="14"/>
  <c r="B178" i="14"/>
  <c r="A178" i="14" s="1"/>
  <c r="P177" i="14"/>
  <c r="O177" i="14"/>
  <c r="N177" i="14"/>
  <c r="M177" i="14"/>
  <c r="L177" i="14"/>
  <c r="K177" i="14"/>
  <c r="J177" i="14"/>
  <c r="I177" i="14"/>
  <c r="H177" i="14"/>
  <c r="G177" i="14"/>
  <c r="F177" i="14"/>
  <c r="E177" i="14"/>
  <c r="D177" i="14"/>
  <c r="C177" i="14"/>
  <c r="B177" i="14"/>
  <c r="A177" i="14" s="1"/>
  <c r="P176" i="14"/>
  <c r="O176" i="14"/>
  <c r="N176" i="14"/>
  <c r="M176" i="14"/>
  <c r="L176" i="14"/>
  <c r="K176" i="14"/>
  <c r="J176" i="14"/>
  <c r="I176" i="14"/>
  <c r="H176" i="14"/>
  <c r="G176" i="14"/>
  <c r="F176" i="14"/>
  <c r="E176" i="14"/>
  <c r="D176" i="14"/>
  <c r="C176" i="14"/>
  <c r="B176" i="14"/>
  <c r="A176" i="14" s="1"/>
  <c r="P175" i="14"/>
  <c r="O175" i="14"/>
  <c r="N175" i="14"/>
  <c r="M175" i="14"/>
  <c r="L175" i="14"/>
  <c r="K175" i="14"/>
  <c r="J175" i="14"/>
  <c r="I175" i="14"/>
  <c r="H175" i="14"/>
  <c r="G175" i="14"/>
  <c r="F175" i="14"/>
  <c r="E175" i="14"/>
  <c r="D175" i="14"/>
  <c r="C175" i="14"/>
  <c r="B175" i="14"/>
  <c r="A175" i="14" s="1"/>
  <c r="P174" i="14"/>
  <c r="O174" i="14"/>
  <c r="N174" i="14"/>
  <c r="M174" i="14"/>
  <c r="L174" i="14"/>
  <c r="K174" i="14"/>
  <c r="J174" i="14"/>
  <c r="I174" i="14"/>
  <c r="H174" i="14"/>
  <c r="G174" i="14"/>
  <c r="F174" i="14"/>
  <c r="E174" i="14"/>
  <c r="D174" i="14"/>
  <c r="C174" i="14"/>
  <c r="B174" i="14"/>
  <c r="A174" i="14" s="1"/>
  <c r="P173" i="14"/>
  <c r="O173" i="14"/>
  <c r="N173" i="14"/>
  <c r="M173" i="14"/>
  <c r="L173" i="14"/>
  <c r="K173" i="14"/>
  <c r="J173" i="14"/>
  <c r="I173" i="14"/>
  <c r="H173" i="14"/>
  <c r="G173" i="14"/>
  <c r="F173" i="14"/>
  <c r="E173" i="14"/>
  <c r="D173" i="14"/>
  <c r="C173" i="14"/>
  <c r="B173" i="14"/>
  <c r="A173" i="14" s="1"/>
  <c r="P172" i="14"/>
  <c r="O172" i="14"/>
  <c r="N172" i="14"/>
  <c r="M172" i="14"/>
  <c r="L172" i="14"/>
  <c r="K172" i="14"/>
  <c r="J172" i="14"/>
  <c r="I172" i="14"/>
  <c r="H172" i="14"/>
  <c r="G172" i="14"/>
  <c r="F172" i="14"/>
  <c r="E172" i="14"/>
  <c r="D172" i="14"/>
  <c r="C172" i="14"/>
  <c r="B172" i="14"/>
  <c r="A172" i="14" s="1"/>
  <c r="P171" i="14"/>
  <c r="O171" i="14"/>
  <c r="N171" i="14"/>
  <c r="M171" i="14"/>
  <c r="L171" i="14"/>
  <c r="K171" i="14"/>
  <c r="J171" i="14"/>
  <c r="I171" i="14"/>
  <c r="H171" i="14"/>
  <c r="G171" i="14"/>
  <c r="F171" i="14"/>
  <c r="E171" i="14"/>
  <c r="D171" i="14"/>
  <c r="C171" i="14"/>
  <c r="B171" i="14"/>
  <c r="A171" i="14" s="1"/>
  <c r="P170" i="14"/>
  <c r="O170" i="14"/>
  <c r="N170" i="14"/>
  <c r="M170" i="14"/>
  <c r="L170" i="14"/>
  <c r="K170" i="14"/>
  <c r="J170" i="14"/>
  <c r="I170" i="14"/>
  <c r="H170" i="14"/>
  <c r="G170" i="14"/>
  <c r="F170" i="14"/>
  <c r="E170" i="14"/>
  <c r="D170" i="14"/>
  <c r="C170" i="14"/>
  <c r="B170" i="14"/>
  <c r="A170" i="14" s="1"/>
  <c r="P169" i="14"/>
  <c r="O169" i="14"/>
  <c r="N169" i="14"/>
  <c r="M169" i="14"/>
  <c r="L169" i="14"/>
  <c r="K169" i="14"/>
  <c r="J169" i="14"/>
  <c r="I169" i="14"/>
  <c r="H169" i="14"/>
  <c r="G169" i="14"/>
  <c r="F169" i="14"/>
  <c r="E169" i="14"/>
  <c r="D169" i="14"/>
  <c r="C169" i="14"/>
  <c r="B169" i="14"/>
  <c r="A169" i="14" s="1"/>
  <c r="P168" i="14"/>
  <c r="O168" i="14"/>
  <c r="N168" i="14"/>
  <c r="M168" i="14"/>
  <c r="L168" i="14"/>
  <c r="K168" i="14"/>
  <c r="J168" i="14"/>
  <c r="I168" i="14"/>
  <c r="H168" i="14"/>
  <c r="G168" i="14"/>
  <c r="F168" i="14"/>
  <c r="E168" i="14"/>
  <c r="D168" i="14"/>
  <c r="C168" i="14"/>
  <c r="B168" i="14"/>
  <c r="A168" i="14" s="1"/>
  <c r="P167" i="14"/>
  <c r="O167" i="14"/>
  <c r="N167" i="14"/>
  <c r="M167" i="14"/>
  <c r="L167" i="14"/>
  <c r="K167" i="14"/>
  <c r="J167" i="14"/>
  <c r="I167" i="14"/>
  <c r="H167" i="14"/>
  <c r="G167" i="14"/>
  <c r="F167" i="14"/>
  <c r="E167" i="14"/>
  <c r="D167" i="14"/>
  <c r="C167" i="14"/>
  <c r="B167" i="14"/>
  <c r="A167" i="14" s="1"/>
  <c r="P166" i="14"/>
  <c r="O166" i="14"/>
  <c r="N166" i="14"/>
  <c r="M166" i="14"/>
  <c r="L166" i="14"/>
  <c r="K166" i="14"/>
  <c r="J166" i="14"/>
  <c r="I166" i="14"/>
  <c r="H166" i="14"/>
  <c r="G166" i="14"/>
  <c r="F166" i="14"/>
  <c r="E166" i="14"/>
  <c r="D166" i="14"/>
  <c r="C166" i="14"/>
  <c r="B166" i="14"/>
  <c r="A166" i="14" s="1"/>
  <c r="P165" i="14"/>
  <c r="O165" i="14"/>
  <c r="N165" i="14"/>
  <c r="M165" i="14"/>
  <c r="L165" i="14"/>
  <c r="K165" i="14"/>
  <c r="J165" i="14"/>
  <c r="I165" i="14"/>
  <c r="H165" i="14"/>
  <c r="G165" i="14"/>
  <c r="F165" i="14"/>
  <c r="E165" i="14"/>
  <c r="D165" i="14"/>
  <c r="C165" i="14"/>
  <c r="B165" i="14"/>
  <c r="A165" i="14" s="1"/>
  <c r="P164" i="14"/>
  <c r="O164" i="14"/>
  <c r="N164" i="14"/>
  <c r="M164" i="14"/>
  <c r="L164" i="14"/>
  <c r="K164" i="14"/>
  <c r="J164" i="14"/>
  <c r="I164" i="14"/>
  <c r="H164" i="14"/>
  <c r="G164" i="14"/>
  <c r="F164" i="14"/>
  <c r="E164" i="14"/>
  <c r="D164" i="14"/>
  <c r="C164" i="14"/>
  <c r="B164" i="14"/>
  <c r="A164" i="14" s="1"/>
  <c r="P163" i="14"/>
  <c r="O163" i="14"/>
  <c r="N163" i="14"/>
  <c r="M163" i="14"/>
  <c r="L163" i="14"/>
  <c r="K163" i="14"/>
  <c r="J163" i="14"/>
  <c r="I163" i="14"/>
  <c r="H163" i="14"/>
  <c r="G163" i="14"/>
  <c r="F163" i="14"/>
  <c r="E163" i="14"/>
  <c r="D163" i="14"/>
  <c r="C163" i="14"/>
  <c r="B163" i="14"/>
  <c r="A163" i="14" s="1"/>
  <c r="P162" i="14"/>
  <c r="O162" i="14"/>
  <c r="N162" i="14"/>
  <c r="M162" i="14"/>
  <c r="L162" i="14"/>
  <c r="K162" i="14"/>
  <c r="J162" i="14"/>
  <c r="I162" i="14"/>
  <c r="H162" i="14"/>
  <c r="G162" i="14"/>
  <c r="F162" i="14"/>
  <c r="E162" i="14"/>
  <c r="D162" i="14"/>
  <c r="C162" i="14"/>
  <c r="B162" i="14"/>
  <c r="A162" i="14" s="1"/>
  <c r="P161" i="14"/>
  <c r="O161" i="14"/>
  <c r="N161" i="14"/>
  <c r="M161" i="14"/>
  <c r="L161" i="14"/>
  <c r="K161" i="14"/>
  <c r="J161" i="14"/>
  <c r="I161" i="14"/>
  <c r="H161" i="14"/>
  <c r="G161" i="14"/>
  <c r="F161" i="14"/>
  <c r="E161" i="14"/>
  <c r="D161" i="14"/>
  <c r="C161" i="14"/>
  <c r="B161" i="14"/>
  <c r="A161" i="14" s="1"/>
  <c r="P160" i="14"/>
  <c r="O160" i="14"/>
  <c r="N160" i="14"/>
  <c r="M160" i="14"/>
  <c r="L160" i="14"/>
  <c r="K160" i="14"/>
  <c r="J160" i="14"/>
  <c r="I160" i="14"/>
  <c r="H160" i="14"/>
  <c r="G160" i="14"/>
  <c r="F160" i="14"/>
  <c r="E160" i="14"/>
  <c r="D160" i="14"/>
  <c r="C160" i="14"/>
  <c r="B160" i="14"/>
  <c r="A160" i="14" s="1"/>
  <c r="P159" i="14"/>
  <c r="O159" i="14"/>
  <c r="N159" i="14"/>
  <c r="M159" i="14"/>
  <c r="L159" i="14"/>
  <c r="K159" i="14"/>
  <c r="J159" i="14"/>
  <c r="I159" i="14"/>
  <c r="H159" i="14"/>
  <c r="G159" i="14"/>
  <c r="F159" i="14"/>
  <c r="E159" i="14"/>
  <c r="D159" i="14"/>
  <c r="C159" i="14"/>
  <c r="B159" i="14"/>
  <c r="A159" i="14" s="1"/>
  <c r="P158" i="14"/>
  <c r="O158" i="14"/>
  <c r="N158" i="14"/>
  <c r="M158" i="14"/>
  <c r="L158" i="14"/>
  <c r="K158" i="14"/>
  <c r="J158" i="14"/>
  <c r="I158" i="14"/>
  <c r="H158" i="14"/>
  <c r="G158" i="14"/>
  <c r="F158" i="14"/>
  <c r="E158" i="14"/>
  <c r="D158" i="14"/>
  <c r="C158" i="14"/>
  <c r="B158" i="14"/>
  <c r="A158" i="14" s="1"/>
  <c r="P157" i="14"/>
  <c r="O157" i="14"/>
  <c r="N157" i="14"/>
  <c r="M157" i="14"/>
  <c r="L157" i="14"/>
  <c r="K157" i="14"/>
  <c r="J157" i="14"/>
  <c r="I157" i="14"/>
  <c r="H157" i="14"/>
  <c r="G157" i="14"/>
  <c r="F157" i="14"/>
  <c r="E157" i="14"/>
  <c r="D157" i="14"/>
  <c r="C157" i="14"/>
  <c r="B157" i="14"/>
  <c r="A157" i="14" s="1"/>
  <c r="P156" i="14"/>
  <c r="O156" i="14"/>
  <c r="N156" i="14"/>
  <c r="M156" i="14"/>
  <c r="L156" i="14"/>
  <c r="K156" i="14"/>
  <c r="J156" i="14"/>
  <c r="I156" i="14"/>
  <c r="H156" i="14"/>
  <c r="G156" i="14"/>
  <c r="F156" i="14"/>
  <c r="E156" i="14"/>
  <c r="D156" i="14"/>
  <c r="C156" i="14"/>
  <c r="B156" i="14"/>
  <c r="A156" i="14" s="1"/>
  <c r="P155" i="14"/>
  <c r="O155" i="14"/>
  <c r="N155" i="14"/>
  <c r="M155" i="14"/>
  <c r="L155" i="14"/>
  <c r="K155" i="14"/>
  <c r="J155" i="14"/>
  <c r="I155" i="14"/>
  <c r="H155" i="14"/>
  <c r="G155" i="14"/>
  <c r="F155" i="14"/>
  <c r="E155" i="14"/>
  <c r="D155" i="14"/>
  <c r="C155" i="14"/>
  <c r="B155" i="14"/>
  <c r="A155" i="14" s="1"/>
  <c r="P154" i="14"/>
  <c r="O154" i="14"/>
  <c r="N154" i="14"/>
  <c r="M154" i="14"/>
  <c r="L154" i="14"/>
  <c r="K154" i="14"/>
  <c r="J154" i="14"/>
  <c r="I154" i="14"/>
  <c r="H154" i="14"/>
  <c r="G154" i="14"/>
  <c r="F154" i="14"/>
  <c r="E154" i="14"/>
  <c r="D154" i="14"/>
  <c r="C154" i="14"/>
  <c r="B154" i="14"/>
  <c r="A154" i="14" s="1"/>
  <c r="P153" i="14"/>
  <c r="O153" i="14"/>
  <c r="N153" i="14"/>
  <c r="M153" i="14"/>
  <c r="L153" i="14"/>
  <c r="K153" i="14"/>
  <c r="J153" i="14"/>
  <c r="I153" i="14"/>
  <c r="H153" i="14"/>
  <c r="G153" i="14"/>
  <c r="F153" i="14"/>
  <c r="E153" i="14"/>
  <c r="D153" i="14"/>
  <c r="C153" i="14"/>
  <c r="B153" i="14"/>
  <c r="A153" i="14" s="1"/>
  <c r="P152" i="14"/>
  <c r="O152" i="14"/>
  <c r="N152" i="14"/>
  <c r="M152" i="14"/>
  <c r="L152" i="14"/>
  <c r="K152" i="14"/>
  <c r="J152" i="14"/>
  <c r="I152" i="14"/>
  <c r="H152" i="14"/>
  <c r="G152" i="14"/>
  <c r="F152" i="14"/>
  <c r="E152" i="14"/>
  <c r="D152" i="14"/>
  <c r="C152" i="14"/>
  <c r="B152" i="14"/>
  <c r="A152" i="14" s="1"/>
  <c r="P151" i="14"/>
  <c r="O151" i="14"/>
  <c r="N151" i="14"/>
  <c r="M151" i="14"/>
  <c r="L151" i="14"/>
  <c r="K151" i="14"/>
  <c r="J151" i="14"/>
  <c r="I151" i="14"/>
  <c r="H151" i="14"/>
  <c r="G151" i="14"/>
  <c r="F151" i="14"/>
  <c r="E151" i="14"/>
  <c r="D151" i="14"/>
  <c r="C151" i="14"/>
  <c r="B151" i="14"/>
  <c r="A151" i="14" s="1"/>
  <c r="P150" i="14"/>
  <c r="O150" i="14"/>
  <c r="N150" i="14"/>
  <c r="M150" i="14"/>
  <c r="L150" i="14"/>
  <c r="K150" i="14"/>
  <c r="J150" i="14"/>
  <c r="I150" i="14"/>
  <c r="H150" i="14"/>
  <c r="G150" i="14"/>
  <c r="F150" i="14"/>
  <c r="E150" i="14"/>
  <c r="D150" i="14"/>
  <c r="C150" i="14"/>
  <c r="B150" i="14"/>
  <c r="A150" i="14" s="1"/>
  <c r="P149" i="14"/>
  <c r="O149" i="14"/>
  <c r="N149" i="14"/>
  <c r="M149" i="14"/>
  <c r="L149" i="14"/>
  <c r="K149" i="14"/>
  <c r="J149" i="14"/>
  <c r="I149" i="14"/>
  <c r="H149" i="14"/>
  <c r="G149" i="14"/>
  <c r="F149" i="14"/>
  <c r="E149" i="14"/>
  <c r="D149" i="14"/>
  <c r="C149" i="14"/>
  <c r="B149" i="14"/>
  <c r="A149" i="14" s="1"/>
  <c r="P148" i="14"/>
  <c r="O148" i="14"/>
  <c r="N148" i="14"/>
  <c r="M148" i="14"/>
  <c r="L148" i="14"/>
  <c r="K148" i="14"/>
  <c r="J148" i="14"/>
  <c r="I148" i="14"/>
  <c r="H148" i="14"/>
  <c r="G148" i="14"/>
  <c r="F148" i="14"/>
  <c r="E148" i="14"/>
  <c r="D148" i="14"/>
  <c r="C148" i="14"/>
  <c r="B148" i="14"/>
  <c r="A148" i="14" s="1"/>
  <c r="P147" i="14"/>
  <c r="O147" i="14"/>
  <c r="N147" i="14"/>
  <c r="M147" i="14"/>
  <c r="L147" i="14"/>
  <c r="K147" i="14"/>
  <c r="J147" i="14"/>
  <c r="I147" i="14"/>
  <c r="H147" i="14"/>
  <c r="G147" i="14"/>
  <c r="F147" i="14"/>
  <c r="E147" i="14"/>
  <c r="D147" i="14"/>
  <c r="C147" i="14"/>
  <c r="B147" i="14"/>
  <c r="A147" i="14" s="1"/>
  <c r="P146" i="14"/>
  <c r="O146" i="14"/>
  <c r="N146" i="14"/>
  <c r="M146" i="14"/>
  <c r="L146" i="14"/>
  <c r="K146" i="14"/>
  <c r="J146" i="14"/>
  <c r="I146" i="14"/>
  <c r="H146" i="14"/>
  <c r="G146" i="14"/>
  <c r="F146" i="14"/>
  <c r="E146" i="14"/>
  <c r="D146" i="14"/>
  <c r="C146" i="14"/>
  <c r="B146" i="14"/>
  <c r="A146" i="14" s="1"/>
  <c r="P145" i="14"/>
  <c r="O145" i="14"/>
  <c r="N145" i="14"/>
  <c r="M145" i="14"/>
  <c r="L145" i="14"/>
  <c r="K145" i="14"/>
  <c r="J145" i="14"/>
  <c r="I145" i="14"/>
  <c r="H145" i="14"/>
  <c r="G145" i="14"/>
  <c r="F145" i="14"/>
  <c r="E145" i="14"/>
  <c r="D145" i="14"/>
  <c r="C145" i="14"/>
  <c r="B145" i="14"/>
  <c r="A145" i="14" s="1"/>
  <c r="P144" i="14"/>
  <c r="O144" i="14"/>
  <c r="N144" i="14"/>
  <c r="M144" i="14"/>
  <c r="L144" i="14"/>
  <c r="K144" i="14"/>
  <c r="J144" i="14"/>
  <c r="I144" i="14"/>
  <c r="H144" i="14"/>
  <c r="G144" i="14"/>
  <c r="F144" i="14"/>
  <c r="E144" i="14"/>
  <c r="D144" i="14"/>
  <c r="C144" i="14"/>
  <c r="B144" i="14"/>
  <c r="A144" i="14" s="1"/>
  <c r="P143" i="14"/>
  <c r="O143" i="14"/>
  <c r="N143" i="14"/>
  <c r="M143" i="14"/>
  <c r="L143" i="14"/>
  <c r="K143" i="14"/>
  <c r="J143" i="14"/>
  <c r="I143" i="14"/>
  <c r="H143" i="14"/>
  <c r="G143" i="14"/>
  <c r="F143" i="14"/>
  <c r="E143" i="14"/>
  <c r="D143" i="14"/>
  <c r="C143" i="14"/>
  <c r="B143" i="14"/>
  <c r="A143" i="14" s="1"/>
  <c r="P142" i="14"/>
  <c r="O142" i="14"/>
  <c r="N142" i="14"/>
  <c r="M142" i="14"/>
  <c r="L142" i="14"/>
  <c r="K142" i="14"/>
  <c r="J142" i="14"/>
  <c r="I142" i="14"/>
  <c r="H142" i="14"/>
  <c r="G142" i="14"/>
  <c r="F142" i="14"/>
  <c r="E142" i="14"/>
  <c r="D142" i="14"/>
  <c r="C142" i="14"/>
  <c r="B142" i="14"/>
  <c r="A142" i="14" s="1"/>
  <c r="P141" i="14"/>
  <c r="O141" i="14"/>
  <c r="N141" i="14"/>
  <c r="M141" i="14"/>
  <c r="L141" i="14"/>
  <c r="K141" i="14"/>
  <c r="J141" i="14"/>
  <c r="I141" i="14"/>
  <c r="H141" i="14"/>
  <c r="G141" i="14"/>
  <c r="F141" i="14"/>
  <c r="E141" i="14"/>
  <c r="D141" i="14"/>
  <c r="C141" i="14"/>
  <c r="B141" i="14"/>
  <c r="A141" i="14" s="1"/>
  <c r="P140" i="14"/>
  <c r="O140" i="14"/>
  <c r="N140" i="14"/>
  <c r="M140" i="14"/>
  <c r="L140" i="14"/>
  <c r="K140" i="14"/>
  <c r="J140" i="14"/>
  <c r="I140" i="14"/>
  <c r="H140" i="14"/>
  <c r="G140" i="14"/>
  <c r="F140" i="14"/>
  <c r="E140" i="14"/>
  <c r="D140" i="14"/>
  <c r="C140" i="14"/>
  <c r="B140" i="14"/>
  <c r="A140" i="14" s="1"/>
  <c r="P139" i="14"/>
  <c r="O139" i="14"/>
  <c r="N139" i="14"/>
  <c r="M139" i="14"/>
  <c r="L139" i="14"/>
  <c r="K139" i="14"/>
  <c r="J139" i="14"/>
  <c r="I139" i="14"/>
  <c r="H139" i="14"/>
  <c r="G139" i="14"/>
  <c r="F139" i="14"/>
  <c r="E139" i="14"/>
  <c r="D139" i="14"/>
  <c r="C139" i="14"/>
  <c r="B139" i="14"/>
  <c r="A139" i="14" s="1"/>
  <c r="P138" i="14"/>
  <c r="O138" i="14"/>
  <c r="N138" i="14"/>
  <c r="M138" i="14"/>
  <c r="L138" i="14"/>
  <c r="K138" i="14"/>
  <c r="J138" i="14"/>
  <c r="I138" i="14"/>
  <c r="H138" i="14"/>
  <c r="G138" i="14"/>
  <c r="F138" i="14"/>
  <c r="E138" i="14"/>
  <c r="D138" i="14"/>
  <c r="C138" i="14"/>
  <c r="B138" i="14"/>
  <c r="A138" i="14" s="1"/>
  <c r="P137" i="14"/>
  <c r="O137" i="14"/>
  <c r="N137" i="14"/>
  <c r="M137" i="14"/>
  <c r="L137" i="14"/>
  <c r="K137" i="14"/>
  <c r="J137" i="14"/>
  <c r="I137" i="14"/>
  <c r="H137" i="14"/>
  <c r="G137" i="14"/>
  <c r="F137" i="14"/>
  <c r="E137" i="14"/>
  <c r="D137" i="14"/>
  <c r="C137" i="14"/>
  <c r="B137" i="14"/>
  <c r="A137" i="14" s="1"/>
  <c r="P136" i="14"/>
  <c r="O136" i="14"/>
  <c r="N136" i="14"/>
  <c r="M136" i="14"/>
  <c r="L136" i="14"/>
  <c r="K136" i="14"/>
  <c r="J136" i="14"/>
  <c r="I136" i="14"/>
  <c r="H136" i="14"/>
  <c r="G136" i="14"/>
  <c r="F136" i="14"/>
  <c r="E136" i="14"/>
  <c r="D136" i="14"/>
  <c r="C136" i="14"/>
  <c r="B136" i="14"/>
  <c r="A136" i="14" s="1"/>
  <c r="P135" i="14"/>
  <c r="O135" i="14"/>
  <c r="N135" i="14"/>
  <c r="M135" i="14"/>
  <c r="L135" i="14"/>
  <c r="K135" i="14"/>
  <c r="J135" i="14"/>
  <c r="I135" i="14"/>
  <c r="H135" i="14"/>
  <c r="G135" i="14"/>
  <c r="F135" i="14"/>
  <c r="E135" i="14"/>
  <c r="D135" i="14"/>
  <c r="C135" i="14"/>
  <c r="B135" i="14"/>
  <c r="A135" i="14" s="1"/>
  <c r="P134" i="14"/>
  <c r="O134" i="14"/>
  <c r="N134" i="14"/>
  <c r="M134" i="14"/>
  <c r="L134" i="14"/>
  <c r="K134" i="14"/>
  <c r="J134" i="14"/>
  <c r="I134" i="14"/>
  <c r="H134" i="14"/>
  <c r="G134" i="14"/>
  <c r="F134" i="14"/>
  <c r="E134" i="14"/>
  <c r="D134" i="14"/>
  <c r="C134" i="14"/>
  <c r="B134" i="14"/>
  <c r="A134" i="14" s="1"/>
  <c r="P133" i="14"/>
  <c r="O133" i="14"/>
  <c r="N133" i="14"/>
  <c r="M133" i="14"/>
  <c r="L133" i="14"/>
  <c r="K133" i="14"/>
  <c r="J133" i="14"/>
  <c r="I133" i="14"/>
  <c r="H133" i="14"/>
  <c r="G133" i="14"/>
  <c r="F133" i="14"/>
  <c r="E133" i="14"/>
  <c r="D133" i="14"/>
  <c r="C133" i="14"/>
  <c r="B133" i="14"/>
  <c r="A133" i="14" s="1"/>
  <c r="P132" i="14"/>
  <c r="O132" i="14"/>
  <c r="N132" i="14"/>
  <c r="M132" i="14"/>
  <c r="L132" i="14"/>
  <c r="K132" i="14"/>
  <c r="J132" i="14"/>
  <c r="I132" i="14"/>
  <c r="H132" i="14"/>
  <c r="G132" i="14"/>
  <c r="F132" i="14"/>
  <c r="E132" i="14"/>
  <c r="D132" i="14"/>
  <c r="C132" i="14"/>
  <c r="B132" i="14"/>
  <c r="A132" i="14" s="1"/>
  <c r="P131" i="14"/>
  <c r="O131" i="14"/>
  <c r="N131" i="14"/>
  <c r="M131" i="14"/>
  <c r="L131" i="14"/>
  <c r="K131" i="14"/>
  <c r="J131" i="14"/>
  <c r="I131" i="14"/>
  <c r="H131" i="14"/>
  <c r="G131" i="14"/>
  <c r="F131" i="14"/>
  <c r="E131" i="14"/>
  <c r="D131" i="14"/>
  <c r="C131" i="14"/>
  <c r="B131" i="14"/>
  <c r="A131" i="14" s="1"/>
  <c r="P130" i="14"/>
  <c r="O130" i="14"/>
  <c r="N130" i="14"/>
  <c r="M130" i="14"/>
  <c r="L130" i="14"/>
  <c r="K130" i="14"/>
  <c r="J130" i="14"/>
  <c r="I130" i="14"/>
  <c r="H130" i="14"/>
  <c r="G130" i="14"/>
  <c r="F130" i="14"/>
  <c r="E130" i="14"/>
  <c r="D130" i="14"/>
  <c r="C130" i="14"/>
  <c r="B130" i="14"/>
  <c r="A130" i="14" s="1"/>
  <c r="P129" i="14"/>
  <c r="O129" i="14"/>
  <c r="N129" i="14"/>
  <c r="M129" i="14"/>
  <c r="L129" i="14"/>
  <c r="K129" i="14"/>
  <c r="J129" i="14"/>
  <c r="I129" i="14"/>
  <c r="H129" i="14"/>
  <c r="G129" i="14"/>
  <c r="F129" i="14"/>
  <c r="E129" i="14"/>
  <c r="D129" i="14"/>
  <c r="C129" i="14"/>
  <c r="B129" i="14"/>
  <c r="A129" i="14" s="1"/>
  <c r="P128" i="14"/>
  <c r="O128" i="14"/>
  <c r="N128" i="14"/>
  <c r="M128" i="14"/>
  <c r="L128" i="14"/>
  <c r="K128" i="14"/>
  <c r="J128" i="14"/>
  <c r="I128" i="14"/>
  <c r="H128" i="14"/>
  <c r="G128" i="14"/>
  <c r="F128" i="14"/>
  <c r="E128" i="14"/>
  <c r="D128" i="14"/>
  <c r="C128" i="14"/>
  <c r="B128" i="14"/>
  <c r="A128" i="14" s="1"/>
  <c r="P127" i="14"/>
  <c r="O127" i="14"/>
  <c r="N127" i="14"/>
  <c r="M127" i="14"/>
  <c r="L127" i="14"/>
  <c r="K127" i="14"/>
  <c r="J127" i="14"/>
  <c r="I127" i="14"/>
  <c r="H127" i="14"/>
  <c r="G127" i="14"/>
  <c r="F127" i="14"/>
  <c r="E127" i="14"/>
  <c r="D127" i="14"/>
  <c r="C127" i="14"/>
  <c r="B127" i="14"/>
  <c r="A127" i="14" s="1"/>
  <c r="P126" i="14"/>
  <c r="O126" i="14"/>
  <c r="N126" i="14"/>
  <c r="M126" i="14"/>
  <c r="L126" i="14"/>
  <c r="K126" i="14"/>
  <c r="J126" i="14"/>
  <c r="I126" i="14"/>
  <c r="H126" i="14"/>
  <c r="G126" i="14"/>
  <c r="F126" i="14"/>
  <c r="E126" i="14"/>
  <c r="D126" i="14"/>
  <c r="C126" i="14"/>
  <c r="B126" i="14"/>
  <c r="A126" i="14" s="1"/>
  <c r="P125" i="14"/>
  <c r="O125" i="14"/>
  <c r="N125" i="14"/>
  <c r="M125" i="14"/>
  <c r="L125" i="14"/>
  <c r="K125" i="14"/>
  <c r="J125" i="14"/>
  <c r="I125" i="14"/>
  <c r="H125" i="14"/>
  <c r="G125" i="14"/>
  <c r="F125" i="14"/>
  <c r="E125" i="14"/>
  <c r="D125" i="14"/>
  <c r="C125" i="14"/>
  <c r="B125" i="14"/>
  <c r="A125" i="14" s="1"/>
  <c r="P124" i="14"/>
  <c r="O124" i="14"/>
  <c r="N124" i="14"/>
  <c r="M124" i="14"/>
  <c r="L124" i="14"/>
  <c r="K124" i="14"/>
  <c r="J124" i="14"/>
  <c r="I124" i="14"/>
  <c r="H124" i="14"/>
  <c r="G124" i="14"/>
  <c r="F124" i="14"/>
  <c r="E124" i="14"/>
  <c r="D124" i="14"/>
  <c r="C124" i="14"/>
  <c r="B124" i="14"/>
  <c r="A124" i="14" s="1"/>
  <c r="P123" i="14"/>
  <c r="O123" i="14"/>
  <c r="N123" i="14"/>
  <c r="M123" i="14"/>
  <c r="L123" i="14"/>
  <c r="K123" i="14"/>
  <c r="J123" i="14"/>
  <c r="I123" i="14"/>
  <c r="H123" i="14"/>
  <c r="G123" i="14"/>
  <c r="F123" i="14"/>
  <c r="E123" i="14"/>
  <c r="D123" i="14"/>
  <c r="C123" i="14"/>
  <c r="B123" i="14"/>
  <c r="A123" i="14" s="1"/>
  <c r="P122" i="14"/>
  <c r="O122" i="14"/>
  <c r="N122" i="14"/>
  <c r="M122" i="14"/>
  <c r="L122" i="14"/>
  <c r="K122" i="14"/>
  <c r="J122" i="14"/>
  <c r="I122" i="14"/>
  <c r="H122" i="14"/>
  <c r="G122" i="14"/>
  <c r="F122" i="14"/>
  <c r="E122" i="14"/>
  <c r="D122" i="14"/>
  <c r="C122" i="14"/>
  <c r="B122" i="14"/>
  <c r="A122" i="14" s="1"/>
  <c r="P121" i="14"/>
  <c r="O121" i="14"/>
  <c r="N121" i="14"/>
  <c r="M121" i="14"/>
  <c r="L121" i="14"/>
  <c r="K121" i="14"/>
  <c r="J121" i="14"/>
  <c r="I121" i="14"/>
  <c r="H121" i="14"/>
  <c r="G121" i="14"/>
  <c r="F121" i="14"/>
  <c r="E121" i="14"/>
  <c r="D121" i="14"/>
  <c r="C121" i="14"/>
  <c r="B121" i="14"/>
  <c r="A121" i="14" s="1"/>
  <c r="P120" i="14"/>
  <c r="O120" i="14"/>
  <c r="N120" i="14"/>
  <c r="M120" i="14"/>
  <c r="L120" i="14"/>
  <c r="K120" i="14"/>
  <c r="J120" i="14"/>
  <c r="I120" i="14"/>
  <c r="H120" i="14"/>
  <c r="G120" i="14"/>
  <c r="F120" i="14"/>
  <c r="E120" i="14"/>
  <c r="D120" i="14"/>
  <c r="C120" i="14"/>
  <c r="B120" i="14"/>
  <c r="A120" i="14" s="1"/>
  <c r="P119" i="14"/>
  <c r="O119" i="14"/>
  <c r="N119" i="14"/>
  <c r="M119" i="14"/>
  <c r="L119" i="14"/>
  <c r="K119" i="14"/>
  <c r="J119" i="14"/>
  <c r="I119" i="14"/>
  <c r="H119" i="14"/>
  <c r="G119" i="14"/>
  <c r="F119" i="14"/>
  <c r="E119" i="14"/>
  <c r="D119" i="14"/>
  <c r="C119" i="14"/>
  <c r="B119" i="14"/>
  <c r="A119" i="14" s="1"/>
  <c r="P118" i="14"/>
  <c r="O118" i="14"/>
  <c r="N118" i="14"/>
  <c r="M118" i="14"/>
  <c r="L118" i="14"/>
  <c r="K118" i="14"/>
  <c r="J118" i="14"/>
  <c r="I118" i="14"/>
  <c r="H118" i="14"/>
  <c r="G118" i="14"/>
  <c r="F118" i="14"/>
  <c r="E118" i="14"/>
  <c r="D118" i="14"/>
  <c r="C118" i="14"/>
  <c r="B118" i="14"/>
  <c r="A118" i="14" s="1"/>
  <c r="P117" i="14"/>
  <c r="O117" i="14"/>
  <c r="N117" i="14"/>
  <c r="M117" i="14"/>
  <c r="L117" i="14"/>
  <c r="K117" i="14"/>
  <c r="J117" i="14"/>
  <c r="I117" i="14"/>
  <c r="H117" i="14"/>
  <c r="G117" i="14"/>
  <c r="F117" i="14"/>
  <c r="E117" i="14"/>
  <c r="D117" i="14"/>
  <c r="C117" i="14"/>
  <c r="B117" i="14"/>
  <c r="A117" i="14" s="1"/>
  <c r="P116" i="14"/>
  <c r="O116" i="14"/>
  <c r="N116" i="14"/>
  <c r="M116" i="14"/>
  <c r="L116" i="14"/>
  <c r="K116" i="14"/>
  <c r="J116" i="14"/>
  <c r="I116" i="14"/>
  <c r="H116" i="14"/>
  <c r="G116" i="14"/>
  <c r="F116" i="14"/>
  <c r="E116" i="14"/>
  <c r="D116" i="14"/>
  <c r="C116" i="14"/>
  <c r="B116" i="14"/>
  <c r="A116" i="14" s="1"/>
  <c r="P115" i="14"/>
  <c r="O115" i="14"/>
  <c r="N115" i="14"/>
  <c r="M115" i="14"/>
  <c r="L115" i="14"/>
  <c r="K115" i="14"/>
  <c r="J115" i="14"/>
  <c r="I115" i="14"/>
  <c r="H115" i="14"/>
  <c r="G115" i="14"/>
  <c r="F115" i="14"/>
  <c r="E115" i="14"/>
  <c r="D115" i="14"/>
  <c r="C115" i="14"/>
  <c r="B115" i="14"/>
  <c r="A115" i="14" s="1"/>
  <c r="P114" i="14"/>
  <c r="O114" i="14"/>
  <c r="N114" i="14"/>
  <c r="M114" i="14"/>
  <c r="L114" i="14"/>
  <c r="K114" i="14"/>
  <c r="J114" i="14"/>
  <c r="I114" i="14"/>
  <c r="H114" i="14"/>
  <c r="G114" i="14"/>
  <c r="F114" i="14"/>
  <c r="E114" i="14"/>
  <c r="D114" i="14"/>
  <c r="C114" i="14"/>
  <c r="B114" i="14"/>
  <c r="A114" i="14" s="1"/>
  <c r="P113" i="14"/>
  <c r="O113" i="14"/>
  <c r="N113" i="14"/>
  <c r="M113" i="14"/>
  <c r="L113" i="14"/>
  <c r="K113" i="14"/>
  <c r="J113" i="14"/>
  <c r="I113" i="14"/>
  <c r="H113" i="14"/>
  <c r="G113" i="14"/>
  <c r="F113" i="14"/>
  <c r="E113" i="14"/>
  <c r="D113" i="14"/>
  <c r="C113" i="14"/>
  <c r="B113" i="14"/>
  <c r="A113" i="14" s="1"/>
  <c r="P112" i="14"/>
  <c r="O112" i="14"/>
  <c r="N112" i="14"/>
  <c r="M112" i="14"/>
  <c r="L112" i="14"/>
  <c r="K112" i="14"/>
  <c r="J112" i="14"/>
  <c r="I112" i="14"/>
  <c r="H112" i="14"/>
  <c r="G112" i="14"/>
  <c r="F112" i="14"/>
  <c r="E112" i="14"/>
  <c r="D112" i="14"/>
  <c r="C112" i="14"/>
  <c r="B112" i="14"/>
  <c r="A112" i="14" s="1"/>
  <c r="P111" i="14"/>
  <c r="O111" i="14"/>
  <c r="N111" i="14"/>
  <c r="M111" i="14"/>
  <c r="L111" i="14"/>
  <c r="K111" i="14"/>
  <c r="J111" i="14"/>
  <c r="I111" i="14"/>
  <c r="H111" i="14"/>
  <c r="G111" i="14"/>
  <c r="F111" i="14"/>
  <c r="E111" i="14"/>
  <c r="D111" i="14"/>
  <c r="C111" i="14"/>
  <c r="B111" i="14"/>
  <c r="A111" i="14" s="1"/>
  <c r="P110" i="14"/>
  <c r="O110" i="14"/>
  <c r="N110" i="14"/>
  <c r="M110" i="14"/>
  <c r="L110" i="14"/>
  <c r="K110" i="14"/>
  <c r="J110" i="14"/>
  <c r="I110" i="14"/>
  <c r="H110" i="14"/>
  <c r="G110" i="14"/>
  <c r="F110" i="14"/>
  <c r="E110" i="14"/>
  <c r="D110" i="14"/>
  <c r="C110" i="14"/>
  <c r="B110" i="14"/>
  <c r="A110" i="14" s="1"/>
  <c r="P109" i="14"/>
  <c r="O109" i="14"/>
  <c r="N109" i="14"/>
  <c r="M109" i="14"/>
  <c r="L109" i="14"/>
  <c r="K109" i="14"/>
  <c r="J109" i="14"/>
  <c r="I109" i="14"/>
  <c r="H109" i="14"/>
  <c r="G109" i="14"/>
  <c r="F109" i="14"/>
  <c r="E109" i="14"/>
  <c r="D109" i="14"/>
  <c r="C109" i="14"/>
  <c r="B109" i="14"/>
  <c r="A109" i="14" s="1"/>
  <c r="P108" i="14"/>
  <c r="O108" i="14"/>
  <c r="N108" i="14"/>
  <c r="M108" i="14"/>
  <c r="L108" i="14"/>
  <c r="K108" i="14"/>
  <c r="J108" i="14"/>
  <c r="I108" i="14"/>
  <c r="H108" i="14"/>
  <c r="G108" i="14"/>
  <c r="F108" i="14"/>
  <c r="E108" i="14"/>
  <c r="D108" i="14"/>
  <c r="C108" i="14"/>
  <c r="B108" i="14"/>
  <c r="A108" i="14" s="1"/>
  <c r="P107" i="14"/>
  <c r="O107" i="14"/>
  <c r="N107" i="14"/>
  <c r="M107" i="14"/>
  <c r="L107" i="14"/>
  <c r="K107" i="14"/>
  <c r="J107" i="14"/>
  <c r="I107" i="14"/>
  <c r="H107" i="14"/>
  <c r="G107" i="14"/>
  <c r="F107" i="14"/>
  <c r="E107" i="14"/>
  <c r="D107" i="14"/>
  <c r="C107" i="14"/>
  <c r="B107" i="14"/>
  <c r="A107" i="14" s="1"/>
  <c r="P106" i="14"/>
  <c r="O106" i="14"/>
  <c r="N106" i="14"/>
  <c r="M106" i="14"/>
  <c r="L106" i="14"/>
  <c r="K106" i="14"/>
  <c r="J106" i="14"/>
  <c r="I106" i="14"/>
  <c r="H106" i="14"/>
  <c r="G106" i="14"/>
  <c r="F106" i="14"/>
  <c r="E106" i="14"/>
  <c r="D106" i="14"/>
  <c r="C106" i="14"/>
  <c r="B106" i="14"/>
  <c r="A106" i="14" s="1"/>
  <c r="P105" i="14"/>
  <c r="O105" i="14"/>
  <c r="N105" i="14"/>
  <c r="M105" i="14"/>
  <c r="L105" i="14"/>
  <c r="K105" i="14"/>
  <c r="J105" i="14"/>
  <c r="I105" i="14"/>
  <c r="H105" i="14"/>
  <c r="G105" i="14"/>
  <c r="F105" i="14"/>
  <c r="E105" i="14"/>
  <c r="D105" i="14"/>
  <c r="C105" i="14"/>
  <c r="B105" i="14"/>
  <c r="A105" i="14" s="1"/>
  <c r="P104" i="14"/>
  <c r="O104" i="14"/>
  <c r="N104" i="14"/>
  <c r="M104" i="14"/>
  <c r="L104" i="14"/>
  <c r="K104" i="14"/>
  <c r="J104" i="14"/>
  <c r="I104" i="14"/>
  <c r="H104" i="14"/>
  <c r="G104" i="14"/>
  <c r="F104" i="14"/>
  <c r="E104" i="14"/>
  <c r="D104" i="14"/>
  <c r="C104" i="14"/>
  <c r="B104" i="14"/>
  <c r="A104" i="14" s="1"/>
  <c r="P103" i="14"/>
  <c r="O103" i="14"/>
  <c r="N103" i="14"/>
  <c r="M103" i="14"/>
  <c r="L103" i="14"/>
  <c r="K103" i="14"/>
  <c r="J103" i="14"/>
  <c r="I103" i="14"/>
  <c r="H103" i="14"/>
  <c r="G103" i="14"/>
  <c r="F103" i="14"/>
  <c r="E103" i="14"/>
  <c r="D103" i="14"/>
  <c r="C103" i="14"/>
  <c r="B103" i="14"/>
  <c r="A103" i="14" s="1"/>
  <c r="P102" i="14"/>
  <c r="O102" i="14"/>
  <c r="N102" i="14"/>
  <c r="M102" i="14"/>
  <c r="L102" i="14"/>
  <c r="K102" i="14"/>
  <c r="J102" i="14"/>
  <c r="I102" i="14"/>
  <c r="H102" i="14"/>
  <c r="G102" i="14"/>
  <c r="F102" i="14"/>
  <c r="E102" i="14"/>
  <c r="D102" i="14"/>
  <c r="C102" i="14"/>
  <c r="B102" i="14"/>
  <c r="A102" i="14" s="1"/>
  <c r="P101" i="14"/>
  <c r="O101" i="14"/>
  <c r="N101" i="14"/>
  <c r="M101" i="14"/>
  <c r="L101" i="14"/>
  <c r="K101" i="14"/>
  <c r="J101" i="14"/>
  <c r="I101" i="14"/>
  <c r="H101" i="14"/>
  <c r="G101" i="14"/>
  <c r="F101" i="14"/>
  <c r="E101" i="14"/>
  <c r="D101" i="14"/>
  <c r="C101" i="14"/>
  <c r="B101" i="14"/>
  <c r="A101" i="14" s="1"/>
  <c r="P100" i="14"/>
  <c r="O100" i="14"/>
  <c r="N100" i="14"/>
  <c r="M100" i="14"/>
  <c r="L100" i="14"/>
  <c r="K100" i="14"/>
  <c r="J100" i="14"/>
  <c r="I100" i="14"/>
  <c r="H100" i="14"/>
  <c r="G100" i="14"/>
  <c r="F100" i="14"/>
  <c r="E100" i="14"/>
  <c r="D100" i="14"/>
  <c r="C100" i="14"/>
  <c r="B100" i="14"/>
  <c r="A100" i="14" s="1"/>
  <c r="P99" i="14"/>
  <c r="O99" i="14"/>
  <c r="N99" i="14"/>
  <c r="M99" i="14"/>
  <c r="L99" i="14"/>
  <c r="K99" i="14"/>
  <c r="J99" i="14"/>
  <c r="I99" i="14"/>
  <c r="H99" i="14"/>
  <c r="G99" i="14"/>
  <c r="F99" i="14"/>
  <c r="E99" i="14"/>
  <c r="D99" i="14"/>
  <c r="C99" i="14"/>
  <c r="B99" i="14"/>
  <c r="A99" i="14" s="1"/>
  <c r="P98" i="14"/>
  <c r="O98" i="14"/>
  <c r="N98" i="14"/>
  <c r="M98" i="14"/>
  <c r="L98" i="14"/>
  <c r="K98" i="14"/>
  <c r="J98" i="14"/>
  <c r="I98" i="14"/>
  <c r="H98" i="14"/>
  <c r="G98" i="14"/>
  <c r="F98" i="14"/>
  <c r="E98" i="14"/>
  <c r="D98" i="14"/>
  <c r="C98" i="14"/>
  <c r="B98" i="14"/>
  <c r="A98" i="14" s="1"/>
  <c r="P97" i="14"/>
  <c r="O97" i="14"/>
  <c r="N97" i="14"/>
  <c r="M97" i="14"/>
  <c r="L97" i="14"/>
  <c r="K97" i="14"/>
  <c r="J97" i="14"/>
  <c r="I97" i="14"/>
  <c r="H97" i="14"/>
  <c r="G97" i="14"/>
  <c r="F97" i="14"/>
  <c r="E97" i="14"/>
  <c r="D97" i="14"/>
  <c r="C97" i="14"/>
  <c r="B97" i="14"/>
  <c r="A97" i="14" s="1"/>
  <c r="P96" i="14"/>
  <c r="O96" i="14"/>
  <c r="N96" i="14"/>
  <c r="M96" i="14"/>
  <c r="L96" i="14"/>
  <c r="K96" i="14"/>
  <c r="J96" i="14"/>
  <c r="I96" i="14"/>
  <c r="H96" i="14"/>
  <c r="G96" i="14"/>
  <c r="F96" i="14"/>
  <c r="E96" i="14"/>
  <c r="D96" i="14"/>
  <c r="C96" i="14"/>
  <c r="B96" i="14"/>
  <c r="A96" i="14" s="1"/>
  <c r="P95" i="14"/>
  <c r="O95" i="14"/>
  <c r="N95" i="14"/>
  <c r="M95" i="14"/>
  <c r="L95" i="14"/>
  <c r="K95" i="14"/>
  <c r="J95" i="14"/>
  <c r="I95" i="14"/>
  <c r="H95" i="14"/>
  <c r="G95" i="14"/>
  <c r="F95" i="14"/>
  <c r="E95" i="14"/>
  <c r="D95" i="14"/>
  <c r="C95" i="14"/>
  <c r="B95" i="14"/>
  <c r="A95" i="14" s="1"/>
  <c r="P94" i="14"/>
  <c r="O94" i="14"/>
  <c r="N94" i="14"/>
  <c r="M94" i="14"/>
  <c r="L94" i="14"/>
  <c r="K94" i="14"/>
  <c r="J94" i="14"/>
  <c r="I94" i="14"/>
  <c r="H94" i="14"/>
  <c r="G94" i="14"/>
  <c r="F94" i="14"/>
  <c r="E94" i="14"/>
  <c r="D94" i="14"/>
  <c r="C94" i="14"/>
  <c r="B94" i="14"/>
  <c r="A94" i="14" s="1"/>
  <c r="P93" i="14"/>
  <c r="O93" i="14"/>
  <c r="N93" i="14"/>
  <c r="M93" i="14"/>
  <c r="L93" i="14"/>
  <c r="K93" i="14"/>
  <c r="J93" i="14"/>
  <c r="I93" i="14"/>
  <c r="H93" i="14"/>
  <c r="G93" i="14"/>
  <c r="F93" i="14"/>
  <c r="E93" i="14"/>
  <c r="D93" i="14"/>
  <c r="C93" i="14"/>
  <c r="B93" i="14"/>
  <c r="A93" i="14" s="1"/>
  <c r="P92" i="14"/>
  <c r="O92" i="14"/>
  <c r="N92" i="14"/>
  <c r="M92" i="14"/>
  <c r="L92" i="14"/>
  <c r="K92" i="14"/>
  <c r="J92" i="14"/>
  <c r="I92" i="14"/>
  <c r="H92" i="14"/>
  <c r="G92" i="14"/>
  <c r="F92" i="14"/>
  <c r="E92" i="14"/>
  <c r="D92" i="14"/>
  <c r="C92" i="14"/>
  <c r="B92" i="14"/>
  <c r="A92" i="14" s="1"/>
  <c r="P91" i="14"/>
  <c r="O91" i="14"/>
  <c r="N91" i="14"/>
  <c r="M91" i="14"/>
  <c r="L91" i="14"/>
  <c r="K91" i="14"/>
  <c r="J91" i="14"/>
  <c r="I91" i="14"/>
  <c r="H91" i="14"/>
  <c r="G91" i="14"/>
  <c r="F91" i="14"/>
  <c r="E91" i="14"/>
  <c r="D91" i="14"/>
  <c r="C91" i="14"/>
  <c r="B91" i="14"/>
  <c r="A91" i="14" s="1"/>
  <c r="P90" i="14"/>
  <c r="O90" i="14"/>
  <c r="N90" i="14"/>
  <c r="M90" i="14"/>
  <c r="L90" i="14"/>
  <c r="K90" i="14"/>
  <c r="J90" i="14"/>
  <c r="I90" i="14"/>
  <c r="H90" i="14"/>
  <c r="G90" i="14"/>
  <c r="F90" i="14"/>
  <c r="E90" i="14"/>
  <c r="D90" i="14"/>
  <c r="C90" i="14"/>
  <c r="B90" i="14"/>
  <c r="A90" i="14" s="1"/>
  <c r="P89" i="14"/>
  <c r="O89" i="14"/>
  <c r="N89" i="14"/>
  <c r="M89" i="14"/>
  <c r="L89" i="14"/>
  <c r="K89" i="14"/>
  <c r="J89" i="14"/>
  <c r="I89" i="14"/>
  <c r="H89" i="14"/>
  <c r="G89" i="14"/>
  <c r="F89" i="14"/>
  <c r="E89" i="14"/>
  <c r="D89" i="14"/>
  <c r="C89" i="14"/>
  <c r="B89" i="14"/>
  <c r="A89" i="14" s="1"/>
  <c r="P88" i="14"/>
  <c r="O88" i="14"/>
  <c r="N88" i="14"/>
  <c r="M88" i="14"/>
  <c r="L88" i="14"/>
  <c r="K88" i="14"/>
  <c r="J88" i="14"/>
  <c r="I88" i="14"/>
  <c r="H88" i="14"/>
  <c r="G88" i="14"/>
  <c r="F88" i="14"/>
  <c r="E88" i="14"/>
  <c r="D88" i="14"/>
  <c r="C88" i="14"/>
  <c r="B88" i="14"/>
  <c r="A88" i="14" s="1"/>
  <c r="P87" i="14"/>
  <c r="O87" i="14"/>
  <c r="N87" i="14"/>
  <c r="M87" i="14"/>
  <c r="L87" i="14"/>
  <c r="K87" i="14"/>
  <c r="J87" i="14"/>
  <c r="I87" i="14"/>
  <c r="H87" i="14"/>
  <c r="G87" i="14"/>
  <c r="F87" i="14"/>
  <c r="E87" i="14"/>
  <c r="D87" i="14"/>
  <c r="C87" i="14"/>
  <c r="B87" i="14"/>
  <c r="A87" i="14" s="1"/>
  <c r="P86" i="14"/>
  <c r="O86" i="14"/>
  <c r="N86" i="14"/>
  <c r="M86" i="14"/>
  <c r="L86" i="14"/>
  <c r="K86" i="14"/>
  <c r="J86" i="14"/>
  <c r="I86" i="14"/>
  <c r="H86" i="14"/>
  <c r="G86" i="14"/>
  <c r="F86" i="14"/>
  <c r="E86" i="14"/>
  <c r="D86" i="14"/>
  <c r="C86" i="14"/>
  <c r="B86" i="14"/>
  <c r="A86" i="14" s="1"/>
  <c r="P85" i="14"/>
  <c r="O85" i="14"/>
  <c r="N85" i="14"/>
  <c r="M85" i="14"/>
  <c r="L85" i="14"/>
  <c r="K85" i="14"/>
  <c r="J85" i="14"/>
  <c r="I85" i="14"/>
  <c r="H85" i="14"/>
  <c r="G85" i="14"/>
  <c r="F85" i="14"/>
  <c r="E85" i="14"/>
  <c r="D85" i="14"/>
  <c r="C85" i="14"/>
  <c r="B85" i="14"/>
  <c r="A85" i="14" s="1"/>
  <c r="P84" i="14"/>
  <c r="O84" i="14"/>
  <c r="N84" i="14"/>
  <c r="M84" i="14"/>
  <c r="L84" i="14"/>
  <c r="K84" i="14"/>
  <c r="J84" i="14"/>
  <c r="I84" i="14"/>
  <c r="H84" i="14"/>
  <c r="G84" i="14"/>
  <c r="F84" i="14"/>
  <c r="E84" i="14"/>
  <c r="D84" i="14"/>
  <c r="C84" i="14"/>
  <c r="B84" i="14"/>
  <c r="A84" i="14" s="1"/>
  <c r="P83" i="14"/>
  <c r="O83" i="14"/>
  <c r="N83" i="14"/>
  <c r="M83" i="14"/>
  <c r="L83" i="14"/>
  <c r="K83" i="14"/>
  <c r="J83" i="14"/>
  <c r="I83" i="14"/>
  <c r="H83" i="14"/>
  <c r="G83" i="14"/>
  <c r="F83" i="14"/>
  <c r="E83" i="14"/>
  <c r="D83" i="14"/>
  <c r="C83" i="14"/>
  <c r="B83" i="14"/>
  <c r="A83" i="14" s="1"/>
  <c r="P82" i="14"/>
  <c r="O82" i="14"/>
  <c r="N82" i="14"/>
  <c r="M82" i="14"/>
  <c r="L82" i="14"/>
  <c r="K82" i="14"/>
  <c r="J82" i="14"/>
  <c r="I82" i="14"/>
  <c r="H82" i="14"/>
  <c r="G82" i="14"/>
  <c r="F82" i="14"/>
  <c r="E82" i="14"/>
  <c r="D82" i="14"/>
  <c r="C82" i="14"/>
  <c r="B82" i="14"/>
  <c r="A82" i="14" s="1"/>
  <c r="P81" i="14"/>
  <c r="O81" i="14"/>
  <c r="N81" i="14"/>
  <c r="M81" i="14"/>
  <c r="L81" i="14"/>
  <c r="K81" i="14"/>
  <c r="J81" i="14"/>
  <c r="I81" i="14"/>
  <c r="H81" i="14"/>
  <c r="G81" i="14"/>
  <c r="F81" i="14"/>
  <c r="E81" i="14"/>
  <c r="D81" i="14"/>
  <c r="C81" i="14"/>
  <c r="B81" i="14"/>
  <c r="A81" i="14" s="1"/>
  <c r="P80" i="14"/>
  <c r="O80" i="14"/>
  <c r="N80" i="14"/>
  <c r="M80" i="14"/>
  <c r="L80" i="14"/>
  <c r="K80" i="14"/>
  <c r="J80" i="14"/>
  <c r="I80" i="14"/>
  <c r="H80" i="14"/>
  <c r="G80" i="14"/>
  <c r="F80" i="14"/>
  <c r="E80" i="14"/>
  <c r="D80" i="14"/>
  <c r="C80" i="14"/>
  <c r="B80" i="14"/>
  <c r="A80" i="14" s="1"/>
  <c r="P79" i="14"/>
  <c r="O79" i="14"/>
  <c r="N79" i="14"/>
  <c r="M79" i="14"/>
  <c r="L79" i="14"/>
  <c r="K79" i="14"/>
  <c r="J79" i="14"/>
  <c r="I79" i="14"/>
  <c r="H79" i="14"/>
  <c r="G79" i="14"/>
  <c r="F79" i="14"/>
  <c r="E79" i="14"/>
  <c r="D79" i="14"/>
  <c r="C79" i="14"/>
  <c r="B79" i="14"/>
  <c r="A79" i="14" s="1"/>
  <c r="P78" i="14"/>
  <c r="O78" i="14"/>
  <c r="N78" i="14"/>
  <c r="M78" i="14"/>
  <c r="L78" i="14"/>
  <c r="K78" i="14"/>
  <c r="J78" i="14"/>
  <c r="I78" i="14"/>
  <c r="H78" i="14"/>
  <c r="G78" i="14"/>
  <c r="F78" i="14"/>
  <c r="E78" i="14"/>
  <c r="D78" i="14"/>
  <c r="C78" i="14"/>
  <c r="B78" i="14"/>
  <c r="A78" i="14" s="1"/>
  <c r="P77" i="14"/>
  <c r="O77" i="14"/>
  <c r="N77" i="14"/>
  <c r="M77" i="14"/>
  <c r="L77" i="14"/>
  <c r="K77" i="14"/>
  <c r="J77" i="14"/>
  <c r="I77" i="14"/>
  <c r="H77" i="14"/>
  <c r="G77" i="14"/>
  <c r="F77" i="14"/>
  <c r="E77" i="14"/>
  <c r="D77" i="14"/>
  <c r="C77" i="14"/>
  <c r="B77" i="14"/>
  <c r="A77" i="14" s="1"/>
  <c r="P76" i="14"/>
  <c r="O76" i="14"/>
  <c r="N76" i="14"/>
  <c r="M76" i="14"/>
  <c r="L76" i="14"/>
  <c r="K76" i="14"/>
  <c r="J76" i="14"/>
  <c r="I76" i="14"/>
  <c r="H76" i="14"/>
  <c r="G76" i="14"/>
  <c r="F76" i="14"/>
  <c r="E76" i="14"/>
  <c r="D76" i="14"/>
  <c r="C76" i="14"/>
  <c r="B76" i="14"/>
  <c r="A76" i="14" s="1"/>
  <c r="P75" i="14"/>
  <c r="O75" i="14"/>
  <c r="N75" i="14"/>
  <c r="M75" i="14"/>
  <c r="L75" i="14"/>
  <c r="K75" i="14"/>
  <c r="J75" i="14"/>
  <c r="I75" i="14"/>
  <c r="H75" i="14"/>
  <c r="G75" i="14"/>
  <c r="F75" i="14"/>
  <c r="E75" i="14"/>
  <c r="D75" i="14"/>
  <c r="C75" i="14"/>
  <c r="B75" i="14"/>
  <c r="A75" i="14" s="1"/>
  <c r="P74" i="14"/>
  <c r="O74" i="14"/>
  <c r="N74" i="14"/>
  <c r="M74" i="14"/>
  <c r="L74" i="14"/>
  <c r="K74" i="14"/>
  <c r="J74" i="14"/>
  <c r="I74" i="14"/>
  <c r="H74" i="14"/>
  <c r="G74" i="14"/>
  <c r="F74" i="14"/>
  <c r="E74" i="14"/>
  <c r="D74" i="14"/>
  <c r="C74" i="14"/>
  <c r="B74" i="14"/>
  <c r="A74" i="14" s="1"/>
  <c r="P73" i="14"/>
  <c r="O73" i="14"/>
  <c r="N73" i="14"/>
  <c r="M73" i="14"/>
  <c r="L73" i="14"/>
  <c r="K73" i="14"/>
  <c r="J73" i="14"/>
  <c r="I73" i="14"/>
  <c r="H73" i="14"/>
  <c r="G73" i="14"/>
  <c r="F73" i="14"/>
  <c r="E73" i="14"/>
  <c r="D73" i="14"/>
  <c r="C73" i="14"/>
  <c r="B73" i="14"/>
  <c r="A73" i="14" s="1"/>
  <c r="P72" i="14"/>
  <c r="O72" i="14"/>
  <c r="N72" i="14"/>
  <c r="M72" i="14"/>
  <c r="L72" i="14"/>
  <c r="K72" i="14"/>
  <c r="J72" i="14"/>
  <c r="I72" i="14"/>
  <c r="H72" i="14"/>
  <c r="G72" i="14"/>
  <c r="F72" i="14"/>
  <c r="E72" i="14"/>
  <c r="D72" i="14"/>
  <c r="C72" i="14"/>
  <c r="B72" i="14"/>
  <c r="A72" i="14" s="1"/>
  <c r="P71" i="14"/>
  <c r="O71" i="14"/>
  <c r="N71" i="14"/>
  <c r="M71" i="14"/>
  <c r="L71" i="14"/>
  <c r="K71" i="14"/>
  <c r="J71" i="14"/>
  <c r="I71" i="14"/>
  <c r="H71" i="14"/>
  <c r="G71" i="14"/>
  <c r="F71" i="14"/>
  <c r="E71" i="14"/>
  <c r="D71" i="14"/>
  <c r="C71" i="14"/>
  <c r="B71" i="14"/>
  <c r="A71" i="14" s="1"/>
  <c r="P70" i="14"/>
  <c r="O70" i="14"/>
  <c r="N70" i="14"/>
  <c r="M70" i="14"/>
  <c r="L70" i="14"/>
  <c r="K70" i="14"/>
  <c r="J70" i="14"/>
  <c r="I70" i="14"/>
  <c r="H70" i="14"/>
  <c r="G70" i="14"/>
  <c r="F70" i="14"/>
  <c r="E70" i="14"/>
  <c r="D70" i="14"/>
  <c r="C70" i="14"/>
  <c r="B70" i="14"/>
  <c r="A70" i="14" s="1"/>
  <c r="P69" i="14"/>
  <c r="O69" i="14"/>
  <c r="N69" i="14"/>
  <c r="M69" i="14"/>
  <c r="L69" i="14"/>
  <c r="K69" i="14"/>
  <c r="J69" i="14"/>
  <c r="I69" i="14"/>
  <c r="H69" i="14"/>
  <c r="G69" i="14"/>
  <c r="F69" i="14"/>
  <c r="E69" i="14"/>
  <c r="D69" i="14"/>
  <c r="C69" i="14"/>
  <c r="B69" i="14"/>
  <c r="A69" i="14" s="1"/>
  <c r="P68" i="14"/>
  <c r="O68" i="14"/>
  <c r="N68" i="14"/>
  <c r="M68" i="14"/>
  <c r="L68" i="14"/>
  <c r="K68" i="14"/>
  <c r="J68" i="14"/>
  <c r="I68" i="14"/>
  <c r="H68" i="14"/>
  <c r="G68" i="14"/>
  <c r="F68" i="14"/>
  <c r="E68" i="14"/>
  <c r="D68" i="14"/>
  <c r="C68" i="14"/>
  <c r="B68" i="14"/>
  <c r="A68" i="14" s="1"/>
  <c r="P67" i="14"/>
  <c r="O67" i="14"/>
  <c r="N67" i="14"/>
  <c r="M67" i="14"/>
  <c r="L67" i="14"/>
  <c r="K67" i="14"/>
  <c r="J67" i="14"/>
  <c r="I67" i="14"/>
  <c r="H67" i="14"/>
  <c r="G67" i="14"/>
  <c r="F67" i="14"/>
  <c r="E67" i="14"/>
  <c r="D67" i="14"/>
  <c r="C67" i="14"/>
  <c r="B67" i="14"/>
  <c r="A67" i="14" s="1"/>
  <c r="P66" i="14"/>
  <c r="O66" i="14"/>
  <c r="N66" i="14"/>
  <c r="M66" i="14"/>
  <c r="L66" i="14"/>
  <c r="K66" i="14"/>
  <c r="J66" i="14"/>
  <c r="I66" i="14"/>
  <c r="H66" i="14"/>
  <c r="G66" i="14"/>
  <c r="F66" i="14"/>
  <c r="E66" i="14"/>
  <c r="D66" i="14"/>
  <c r="C66" i="14"/>
  <c r="B66" i="14"/>
  <c r="A66" i="14" s="1"/>
  <c r="P65" i="14"/>
  <c r="O65" i="14"/>
  <c r="N65" i="14"/>
  <c r="M65" i="14"/>
  <c r="L65" i="14"/>
  <c r="K65" i="14"/>
  <c r="J65" i="14"/>
  <c r="I65" i="14"/>
  <c r="H65" i="14"/>
  <c r="G65" i="14"/>
  <c r="F65" i="14"/>
  <c r="E65" i="14"/>
  <c r="D65" i="14"/>
  <c r="C65" i="14"/>
  <c r="B65" i="14"/>
  <c r="A65" i="14" s="1"/>
  <c r="P64" i="14"/>
  <c r="O64" i="14"/>
  <c r="N64" i="14"/>
  <c r="M64" i="14"/>
  <c r="L64" i="14"/>
  <c r="K64" i="14"/>
  <c r="J64" i="14"/>
  <c r="I64" i="14"/>
  <c r="H64" i="14"/>
  <c r="G64" i="14"/>
  <c r="F64" i="14"/>
  <c r="E64" i="14"/>
  <c r="D64" i="14"/>
  <c r="C64" i="14"/>
  <c r="B64" i="14"/>
  <c r="A64" i="14" s="1"/>
  <c r="P63" i="14"/>
  <c r="O63" i="14"/>
  <c r="N63" i="14"/>
  <c r="M63" i="14"/>
  <c r="L63" i="14"/>
  <c r="K63" i="14"/>
  <c r="J63" i="14"/>
  <c r="I63" i="14"/>
  <c r="H63" i="14"/>
  <c r="G63" i="14"/>
  <c r="F63" i="14"/>
  <c r="E63" i="14"/>
  <c r="D63" i="14"/>
  <c r="C63" i="14"/>
  <c r="B63" i="14"/>
  <c r="A63" i="14" s="1"/>
  <c r="P62" i="14"/>
  <c r="O62" i="14"/>
  <c r="N62" i="14"/>
  <c r="M62" i="14"/>
  <c r="L62" i="14"/>
  <c r="K62" i="14"/>
  <c r="J62" i="14"/>
  <c r="I62" i="14"/>
  <c r="H62" i="14"/>
  <c r="G62" i="14"/>
  <c r="F62" i="14"/>
  <c r="E62" i="14"/>
  <c r="D62" i="14"/>
  <c r="C62" i="14"/>
  <c r="B62" i="14"/>
  <c r="A62" i="14" s="1"/>
  <c r="P61" i="14"/>
  <c r="O61" i="14"/>
  <c r="N61" i="14"/>
  <c r="M61" i="14"/>
  <c r="L61" i="14"/>
  <c r="K61" i="14"/>
  <c r="J61" i="14"/>
  <c r="I61" i="14"/>
  <c r="H61" i="14"/>
  <c r="G61" i="14"/>
  <c r="F61" i="14"/>
  <c r="E61" i="14"/>
  <c r="D61" i="14"/>
  <c r="C61" i="14"/>
  <c r="B61" i="14"/>
  <c r="A61" i="14" s="1"/>
  <c r="P60" i="14"/>
  <c r="O60" i="14"/>
  <c r="N60" i="14"/>
  <c r="M60" i="14"/>
  <c r="L60" i="14"/>
  <c r="K60" i="14"/>
  <c r="J60" i="14"/>
  <c r="I60" i="14"/>
  <c r="H60" i="14"/>
  <c r="G60" i="14"/>
  <c r="F60" i="14"/>
  <c r="E60" i="14"/>
  <c r="D60" i="14"/>
  <c r="C60" i="14"/>
  <c r="B60" i="14"/>
  <c r="A60" i="14" s="1"/>
  <c r="P59" i="14"/>
  <c r="O59" i="14"/>
  <c r="N59" i="14"/>
  <c r="M59" i="14"/>
  <c r="L59" i="14"/>
  <c r="K59" i="14"/>
  <c r="J59" i="14"/>
  <c r="I59" i="14"/>
  <c r="H59" i="14"/>
  <c r="G59" i="14"/>
  <c r="F59" i="14"/>
  <c r="E59" i="14"/>
  <c r="D59" i="14"/>
  <c r="C59" i="14"/>
  <c r="B59" i="14"/>
  <c r="A59" i="14" s="1"/>
  <c r="P58" i="14"/>
  <c r="O58" i="14"/>
  <c r="N58" i="14"/>
  <c r="M58" i="14"/>
  <c r="L58" i="14"/>
  <c r="K58" i="14"/>
  <c r="J58" i="14"/>
  <c r="I58" i="14"/>
  <c r="H58" i="14"/>
  <c r="G58" i="14"/>
  <c r="F58" i="14"/>
  <c r="E58" i="14"/>
  <c r="D58" i="14"/>
  <c r="C58" i="14"/>
  <c r="B58" i="14"/>
  <c r="A58" i="14" s="1"/>
  <c r="P57" i="14"/>
  <c r="O57" i="14"/>
  <c r="N57" i="14"/>
  <c r="M57" i="14"/>
  <c r="L57" i="14"/>
  <c r="K57" i="14"/>
  <c r="J57" i="14"/>
  <c r="I57" i="14"/>
  <c r="H57" i="14"/>
  <c r="G57" i="14"/>
  <c r="F57" i="14"/>
  <c r="E57" i="14"/>
  <c r="D57" i="14"/>
  <c r="C57" i="14"/>
  <c r="B57" i="14"/>
  <c r="A57" i="14" s="1"/>
  <c r="P56" i="14"/>
  <c r="O56" i="14"/>
  <c r="N56" i="14"/>
  <c r="M56" i="14"/>
  <c r="L56" i="14"/>
  <c r="K56" i="14"/>
  <c r="J56" i="14"/>
  <c r="I56" i="14"/>
  <c r="H56" i="14"/>
  <c r="G56" i="14"/>
  <c r="F56" i="14"/>
  <c r="E56" i="14"/>
  <c r="D56" i="14"/>
  <c r="C56" i="14"/>
  <c r="A56" i="14"/>
  <c r="P55" i="14"/>
  <c r="O55" i="14"/>
  <c r="N55" i="14"/>
  <c r="M55" i="14"/>
  <c r="L55" i="14"/>
  <c r="K55" i="14"/>
  <c r="J55" i="14"/>
  <c r="I55" i="14"/>
  <c r="H55" i="14"/>
  <c r="G55" i="14"/>
  <c r="F55" i="14"/>
  <c r="E55" i="14"/>
  <c r="D55" i="14"/>
  <c r="C55" i="14"/>
  <c r="A55" i="14"/>
  <c r="P54" i="14"/>
  <c r="O54" i="14"/>
  <c r="N54" i="14"/>
  <c r="M54" i="14"/>
  <c r="L54" i="14"/>
  <c r="K54" i="14"/>
  <c r="J54" i="14"/>
  <c r="I54" i="14"/>
  <c r="H54" i="14"/>
  <c r="G54" i="14"/>
  <c r="F54" i="14"/>
  <c r="E54" i="14"/>
  <c r="D54" i="14"/>
  <c r="C54" i="14"/>
  <c r="A54" i="14"/>
  <c r="P53" i="14"/>
  <c r="O53" i="14"/>
  <c r="N53" i="14"/>
  <c r="M53" i="14"/>
  <c r="L53" i="14"/>
  <c r="K53" i="14"/>
  <c r="J53" i="14"/>
  <c r="I53" i="14"/>
  <c r="H53" i="14"/>
  <c r="G53" i="14"/>
  <c r="F53" i="14"/>
  <c r="E53" i="14"/>
  <c r="D53" i="14"/>
  <c r="C53" i="14"/>
  <c r="A53" i="14"/>
  <c r="P52" i="14"/>
  <c r="O52" i="14"/>
  <c r="N52" i="14"/>
  <c r="M52" i="14"/>
  <c r="L52" i="14"/>
  <c r="K52" i="14"/>
  <c r="J52" i="14"/>
  <c r="I52" i="14"/>
  <c r="H52" i="14"/>
  <c r="G52" i="14"/>
  <c r="F52" i="14"/>
  <c r="E52" i="14"/>
  <c r="D52" i="14"/>
  <c r="C52" i="14"/>
  <c r="A52" i="14"/>
  <c r="P51" i="14"/>
  <c r="O51" i="14"/>
  <c r="N51" i="14"/>
  <c r="M51" i="14"/>
  <c r="L51" i="14"/>
  <c r="K51" i="14"/>
  <c r="J51" i="14"/>
  <c r="I51" i="14"/>
  <c r="H51" i="14"/>
  <c r="G51" i="14"/>
  <c r="F51" i="14"/>
  <c r="E51" i="14"/>
  <c r="D51" i="14"/>
  <c r="C51" i="14"/>
  <c r="A51" i="14"/>
  <c r="P50" i="14"/>
  <c r="O50" i="14"/>
  <c r="N50" i="14"/>
  <c r="M50" i="14"/>
  <c r="L50" i="14"/>
  <c r="K50" i="14"/>
  <c r="J50" i="14"/>
  <c r="I50" i="14"/>
  <c r="H50" i="14"/>
  <c r="G50" i="14"/>
  <c r="F50" i="14"/>
  <c r="E50" i="14"/>
  <c r="D50" i="14"/>
  <c r="C50" i="14"/>
  <c r="A50" i="14"/>
  <c r="P49" i="14"/>
  <c r="O49" i="14"/>
  <c r="N49" i="14"/>
  <c r="M49" i="14"/>
  <c r="L49" i="14"/>
  <c r="K49" i="14"/>
  <c r="J49" i="14"/>
  <c r="I49" i="14"/>
  <c r="H49" i="14"/>
  <c r="G49" i="14"/>
  <c r="F49" i="14"/>
  <c r="E49" i="14"/>
  <c r="D49" i="14"/>
  <c r="C49" i="14"/>
  <c r="A49" i="14"/>
  <c r="P48" i="14"/>
  <c r="O48" i="14"/>
  <c r="N48" i="14"/>
  <c r="M48" i="14"/>
  <c r="L48" i="14"/>
  <c r="K48" i="14"/>
  <c r="J48" i="14"/>
  <c r="I48" i="14"/>
  <c r="H48" i="14"/>
  <c r="G48" i="14"/>
  <c r="F48" i="14"/>
  <c r="E48" i="14"/>
  <c r="D48" i="14"/>
  <c r="C48" i="14"/>
  <c r="A48" i="14"/>
  <c r="P47" i="14"/>
  <c r="O47" i="14"/>
  <c r="N47" i="14"/>
  <c r="M47" i="14"/>
  <c r="L47" i="14"/>
  <c r="K47" i="14"/>
  <c r="J47" i="14"/>
  <c r="I47" i="14"/>
  <c r="H47" i="14"/>
  <c r="G47" i="14"/>
  <c r="F47" i="14"/>
  <c r="E47" i="14"/>
  <c r="D47" i="14"/>
  <c r="C47" i="14"/>
  <c r="A47" i="14"/>
  <c r="P46" i="14"/>
  <c r="O46" i="14"/>
  <c r="N46" i="14"/>
  <c r="M46" i="14"/>
  <c r="L46" i="14"/>
  <c r="K46" i="14"/>
  <c r="J46" i="14"/>
  <c r="I46" i="14"/>
  <c r="H46" i="14"/>
  <c r="G46" i="14"/>
  <c r="F46" i="14"/>
  <c r="E46" i="14"/>
  <c r="D46" i="14"/>
  <c r="C46" i="14"/>
  <c r="A46" i="14"/>
  <c r="P45" i="14"/>
  <c r="O45" i="14"/>
  <c r="N45" i="14"/>
  <c r="M45" i="14"/>
  <c r="L45" i="14"/>
  <c r="K45" i="14"/>
  <c r="J45" i="14"/>
  <c r="I45" i="14"/>
  <c r="H45" i="14"/>
  <c r="G45" i="14"/>
  <c r="F45" i="14"/>
  <c r="E45" i="14"/>
  <c r="D45" i="14"/>
  <c r="C45" i="14"/>
  <c r="A45" i="14"/>
  <c r="P44" i="14"/>
  <c r="O44" i="14"/>
  <c r="N44" i="14"/>
  <c r="M44" i="14"/>
  <c r="L44" i="14"/>
  <c r="K44" i="14"/>
  <c r="J44" i="14"/>
  <c r="I44" i="14"/>
  <c r="H44" i="14"/>
  <c r="G44" i="14"/>
  <c r="F44" i="14"/>
  <c r="E44" i="14"/>
  <c r="D44" i="14"/>
  <c r="C44" i="14"/>
  <c r="A44" i="14"/>
  <c r="P43" i="14"/>
  <c r="O43" i="14"/>
  <c r="N43" i="14"/>
  <c r="M43" i="14"/>
  <c r="L43" i="14"/>
  <c r="K43" i="14"/>
  <c r="J43" i="14"/>
  <c r="I43" i="14"/>
  <c r="H43" i="14"/>
  <c r="G43" i="14"/>
  <c r="F43" i="14"/>
  <c r="E43" i="14"/>
  <c r="D43" i="14"/>
  <c r="C43" i="14"/>
  <c r="A43" i="14"/>
  <c r="P42" i="14"/>
  <c r="O42" i="14"/>
  <c r="N42" i="14"/>
  <c r="M42" i="14"/>
  <c r="L42" i="14"/>
  <c r="K42" i="14"/>
  <c r="J42" i="14"/>
  <c r="I42" i="14"/>
  <c r="H42" i="14"/>
  <c r="G42" i="14"/>
  <c r="F42" i="14"/>
  <c r="E42" i="14"/>
  <c r="D42" i="14"/>
  <c r="C42" i="14"/>
  <c r="A42" i="14"/>
  <c r="P41" i="14"/>
  <c r="O41" i="14"/>
  <c r="N41" i="14"/>
  <c r="M41" i="14"/>
  <c r="L41" i="14"/>
  <c r="K41" i="14"/>
  <c r="J41" i="14"/>
  <c r="I41" i="14"/>
  <c r="H41" i="14"/>
  <c r="G41" i="14"/>
  <c r="F41" i="14"/>
  <c r="E41" i="14"/>
  <c r="D41" i="14"/>
  <c r="C41" i="14"/>
  <c r="A41" i="14"/>
  <c r="P40" i="14"/>
  <c r="O40" i="14"/>
  <c r="N40" i="14"/>
  <c r="M40" i="14"/>
  <c r="L40" i="14"/>
  <c r="K40" i="14"/>
  <c r="J40" i="14"/>
  <c r="I40" i="14"/>
  <c r="H40" i="14"/>
  <c r="G40" i="14"/>
  <c r="F40" i="14"/>
  <c r="E40" i="14"/>
  <c r="D40" i="14"/>
  <c r="C40" i="14"/>
  <c r="A40" i="14"/>
  <c r="P39" i="14"/>
  <c r="O39" i="14"/>
  <c r="N39" i="14"/>
  <c r="M39" i="14"/>
  <c r="L39" i="14"/>
  <c r="K39" i="14"/>
  <c r="J39" i="14"/>
  <c r="I39" i="14"/>
  <c r="H39" i="14"/>
  <c r="G39" i="14"/>
  <c r="F39" i="14"/>
  <c r="E39" i="14"/>
  <c r="D39" i="14"/>
  <c r="C39" i="14"/>
  <c r="A39" i="14"/>
  <c r="P38" i="14"/>
  <c r="O38" i="14"/>
  <c r="N38" i="14"/>
  <c r="M38" i="14"/>
  <c r="L38" i="14"/>
  <c r="K38" i="14"/>
  <c r="J38" i="14"/>
  <c r="I38" i="14"/>
  <c r="H38" i="14"/>
  <c r="G38" i="14"/>
  <c r="F38" i="14"/>
  <c r="E38" i="14"/>
  <c r="D38" i="14"/>
  <c r="C38" i="14"/>
  <c r="A38" i="14"/>
  <c r="P37" i="14"/>
  <c r="O37" i="14"/>
  <c r="N37" i="14"/>
  <c r="M37" i="14"/>
  <c r="L37" i="14"/>
  <c r="K37" i="14"/>
  <c r="J37" i="14"/>
  <c r="I37" i="14"/>
  <c r="H37" i="14"/>
  <c r="G37" i="14"/>
  <c r="F37" i="14"/>
  <c r="E37" i="14"/>
  <c r="D37" i="14"/>
  <c r="C37" i="14"/>
  <c r="A37" i="14"/>
  <c r="P36" i="14"/>
  <c r="O36" i="14"/>
  <c r="N36" i="14"/>
  <c r="M36" i="14"/>
  <c r="L36" i="14"/>
  <c r="K36" i="14"/>
  <c r="J36" i="14"/>
  <c r="I36" i="14"/>
  <c r="H36" i="14"/>
  <c r="G36" i="14"/>
  <c r="F36" i="14"/>
  <c r="E36" i="14"/>
  <c r="D36" i="14"/>
  <c r="C36" i="14"/>
  <c r="A36" i="14"/>
  <c r="P35" i="14"/>
  <c r="O35" i="14"/>
  <c r="N35" i="14"/>
  <c r="M35" i="14"/>
  <c r="L35" i="14"/>
  <c r="K35" i="14"/>
  <c r="J35" i="14"/>
  <c r="I35" i="14"/>
  <c r="H35" i="14"/>
  <c r="G35" i="14"/>
  <c r="F35" i="14"/>
  <c r="E35" i="14"/>
  <c r="D35" i="14"/>
  <c r="C35" i="14"/>
  <c r="A35" i="14"/>
  <c r="P34" i="14"/>
  <c r="O34" i="14"/>
  <c r="N34" i="14"/>
  <c r="M34" i="14"/>
  <c r="L34" i="14"/>
  <c r="K34" i="14"/>
  <c r="J34" i="14"/>
  <c r="I34" i="14"/>
  <c r="H34" i="14"/>
  <c r="G34" i="14"/>
  <c r="F34" i="14"/>
  <c r="E34" i="14"/>
  <c r="D34" i="14"/>
  <c r="C34" i="14"/>
  <c r="A34" i="14"/>
  <c r="P33" i="14"/>
  <c r="O33" i="14"/>
  <c r="N33" i="14"/>
  <c r="M33" i="14"/>
  <c r="L33" i="14"/>
  <c r="K33" i="14"/>
  <c r="J33" i="14"/>
  <c r="I33" i="14"/>
  <c r="H33" i="14"/>
  <c r="G33" i="14"/>
  <c r="F33" i="14"/>
  <c r="E33" i="14"/>
  <c r="D33" i="14"/>
  <c r="C33" i="14"/>
  <c r="A33" i="14"/>
  <c r="P32" i="14"/>
  <c r="O32" i="14"/>
  <c r="N32" i="14"/>
  <c r="M32" i="14"/>
  <c r="L32" i="14"/>
  <c r="K32" i="14"/>
  <c r="J32" i="14"/>
  <c r="I32" i="14"/>
  <c r="H32" i="14"/>
  <c r="G32" i="14"/>
  <c r="F32" i="14"/>
  <c r="E32" i="14"/>
  <c r="D32" i="14"/>
  <c r="C32" i="14"/>
  <c r="A32" i="14"/>
  <c r="P31" i="14"/>
  <c r="O31" i="14"/>
  <c r="N31" i="14"/>
  <c r="M31" i="14"/>
  <c r="L31" i="14"/>
  <c r="K31" i="14"/>
  <c r="J31" i="14"/>
  <c r="I31" i="14"/>
  <c r="H31" i="14"/>
  <c r="G31" i="14"/>
  <c r="F31" i="14"/>
  <c r="E31" i="14"/>
  <c r="D31" i="14"/>
  <c r="C31" i="14"/>
  <c r="A31" i="14"/>
  <c r="P30" i="14"/>
  <c r="O30" i="14"/>
  <c r="N30" i="14"/>
  <c r="M30" i="14"/>
  <c r="L30" i="14"/>
  <c r="K30" i="14"/>
  <c r="J30" i="14"/>
  <c r="I30" i="14"/>
  <c r="H30" i="14"/>
  <c r="G30" i="14"/>
  <c r="F30" i="14"/>
  <c r="E30" i="14"/>
  <c r="D30" i="14"/>
  <c r="C30" i="14"/>
  <c r="A30" i="14"/>
  <c r="P29" i="14"/>
  <c r="O29" i="14"/>
  <c r="N29" i="14"/>
  <c r="M29" i="14"/>
  <c r="L29" i="14"/>
  <c r="K29" i="14"/>
  <c r="J29" i="14"/>
  <c r="I29" i="14"/>
  <c r="H29" i="14"/>
  <c r="G29" i="14"/>
  <c r="F29" i="14"/>
  <c r="E29" i="14"/>
  <c r="D29" i="14"/>
  <c r="C29" i="14"/>
  <c r="A29" i="14"/>
  <c r="P28" i="14"/>
  <c r="O28" i="14"/>
  <c r="N28" i="14"/>
  <c r="M28" i="14"/>
  <c r="L28" i="14"/>
  <c r="K28" i="14"/>
  <c r="J28" i="14"/>
  <c r="I28" i="14"/>
  <c r="H28" i="14"/>
  <c r="G28" i="14"/>
  <c r="F28" i="14"/>
  <c r="E28" i="14"/>
  <c r="D28" i="14"/>
  <c r="C28" i="14"/>
  <c r="A28" i="14"/>
  <c r="P27" i="14"/>
  <c r="O27" i="14"/>
  <c r="N27" i="14"/>
  <c r="M27" i="14"/>
  <c r="L27" i="14"/>
  <c r="K27" i="14"/>
  <c r="J27" i="14"/>
  <c r="I27" i="14"/>
  <c r="H27" i="14"/>
  <c r="G27" i="14"/>
  <c r="F27" i="14"/>
  <c r="E27" i="14"/>
  <c r="D27" i="14"/>
  <c r="C27" i="14"/>
  <c r="A27" i="14"/>
  <c r="P26" i="14"/>
  <c r="O26" i="14"/>
  <c r="N26" i="14"/>
  <c r="M26" i="14"/>
  <c r="L26" i="14"/>
  <c r="K26" i="14"/>
  <c r="J26" i="14"/>
  <c r="I26" i="14"/>
  <c r="H26" i="14"/>
  <c r="G26" i="14"/>
  <c r="F26" i="14"/>
  <c r="E26" i="14"/>
  <c r="D26" i="14"/>
  <c r="C26" i="14"/>
  <c r="A26" i="14"/>
  <c r="P25" i="14"/>
  <c r="O25" i="14"/>
  <c r="N25" i="14"/>
  <c r="M25" i="14"/>
  <c r="L25" i="14"/>
  <c r="K25" i="14"/>
  <c r="J25" i="14"/>
  <c r="I25" i="14"/>
  <c r="H25" i="14"/>
  <c r="G25" i="14"/>
  <c r="F25" i="14"/>
  <c r="E25" i="14"/>
  <c r="D25" i="14"/>
  <c r="C25" i="14"/>
  <c r="A25" i="14"/>
  <c r="P24" i="14"/>
  <c r="O24" i="14"/>
  <c r="N24" i="14"/>
  <c r="M24" i="14"/>
  <c r="L24" i="14"/>
  <c r="K24" i="14"/>
  <c r="J24" i="14"/>
  <c r="I24" i="14"/>
  <c r="H24" i="14"/>
  <c r="G24" i="14"/>
  <c r="F24" i="14"/>
  <c r="E24" i="14"/>
  <c r="D24" i="14"/>
  <c r="C24" i="14"/>
  <c r="A24" i="14"/>
  <c r="P23" i="14"/>
  <c r="O23" i="14"/>
  <c r="N23" i="14"/>
  <c r="M23" i="14"/>
  <c r="L23" i="14"/>
  <c r="K23" i="14"/>
  <c r="J23" i="14"/>
  <c r="I23" i="14"/>
  <c r="H23" i="14"/>
  <c r="G23" i="14"/>
  <c r="F23" i="14"/>
  <c r="E23" i="14"/>
  <c r="D23" i="14"/>
  <c r="C23" i="14"/>
  <c r="A23" i="14"/>
  <c r="P22" i="14"/>
  <c r="O22" i="14"/>
  <c r="N22" i="14"/>
  <c r="M22" i="14"/>
  <c r="L22" i="14"/>
  <c r="K22" i="14"/>
  <c r="J22" i="14"/>
  <c r="I22" i="14"/>
  <c r="H22" i="14"/>
  <c r="G22" i="14"/>
  <c r="F22" i="14"/>
  <c r="E22" i="14"/>
  <c r="D22" i="14"/>
  <c r="C22" i="14"/>
  <c r="A22" i="14"/>
  <c r="P21" i="14"/>
  <c r="O21" i="14"/>
  <c r="N21" i="14"/>
  <c r="M21" i="14"/>
  <c r="L21" i="14"/>
  <c r="K21" i="14"/>
  <c r="J21" i="14"/>
  <c r="I21" i="14"/>
  <c r="H21" i="14"/>
  <c r="G21" i="14"/>
  <c r="F21" i="14"/>
  <c r="E21" i="14"/>
  <c r="D21" i="14"/>
  <c r="C21" i="14"/>
  <c r="A21" i="14"/>
  <c r="P20" i="14"/>
  <c r="O20" i="14"/>
  <c r="N20" i="14"/>
  <c r="M20" i="14"/>
  <c r="L20" i="14"/>
  <c r="K20" i="14"/>
  <c r="J20" i="14"/>
  <c r="I20" i="14"/>
  <c r="H20" i="14"/>
  <c r="G20" i="14"/>
  <c r="F20" i="14"/>
  <c r="E20" i="14"/>
  <c r="D20" i="14"/>
  <c r="C20" i="14"/>
  <c r="A20" i="14"/>
  <c r="P19" i="14"/>
  <c r="O19" i="14"/>
  <c r="N19" i="14"/>
  <c r="M19" i="14"/>
  <c r="L19" i="14"/>
  <c r="K19" i="14"/>
  <c r="J19" i="14"/>
  <c r="I19" i="14"/>
  <c r="H19" i="14"/>
  <c r="G19" i="14"/>
  <c r="F19" i="14"/>
  <c r="E19" i="14"/>
  <c r="D19" i="14"/>
  <c r="C19" i="14"/>
  <c r="A19" i="14"/>
  <c r="P18" i="14"/>
  <c r="O18" i="14"/>
  <c r="N18" i="14"/>
  <c r="M18" i="14"/>
  <c r="L18" i="14"/>
  <c r="K18" i="14"/>
  <c r="J18" i="14"/>
  <c r="I18" i="14"/>
  <c r="H18" i="14"/>
  <c r="G18" i="14"/>
  <c r="F18" i="14"/>
  <c r="E18" i="14"/>
  <c r="D18" i="14"/>
  <c r="C18" i="14"/>
  <c r="A18" i="14"/>
  <c r="P17" i="14"/>
  <c r="O17" i="14"/>
  <c r="N17" i="14"/>
  <c r="M17" i="14"/>
  <c r="L17" i="14"/>
  <c r="K17" i="14"/>
  <c r="J17" i="14"/>
  <c r="I17" i="14"/>
  <c r="H17" i="14"/>
  <c r="G17" i="14"/>
  <c r="F17" i="14"/>
  <c r="E17" i="14"/>
  <c r="D17" i="14"/>
  <c r="C17" i="14"/>
  <c r="A17" i="14"/>
  <c r="P16" i="14"/>
  <c r="O16" i="14"/>
  <c r="N16" i="14"/>
  <c r="M16" i="14"/>
  <c r="L16" i="14"/>
  <c r="K16" i="14"/>
  <c r="J16" i="14"/>
  <c r="I16" i="14"/>
  <c r="H16" i="14"/>
  <c r="G16" i="14"/>
  <c r="F16" i="14"/>
  <c r="E16" i="14"/>
  <c r="D16" i="14"/>
  <c r="C16" i="14"/>
  <c r="A16" i="14"/>
  <c r="P15" i="14"/>
  <c r="O15" i="14"/>
  <c r="N15" i="14"/>
  <c r="M15" i="14"/>
  <c r="L15" i="14"/>
  <c r="K15" i="14"/>
  <c r="J15" i="14"/>
  <c r="I15" i="14"/>
  <c r="H15" i="14"/>
  <c r="G15" i="14"/>
  <c r="F15" i="14"/>
  <c r="E15" i="14"/>
  <c r="D15" i="14"/>
  <c r="C15" i="14"/>
  <c r="A15" i="14"/>
  <c r="P14" i="14"/>
  <c r="O14" i="14"/>
  <c r="N14" i="14"/>
  <c r="M14" i="14"/>
  <c r="L14" i="14"/>
  <c r="K14" i="14"/>
  <c r="J14" i="14"/>
  <c r="I14" i="14"/>
  <c r="H14" i="14"/>
  <c r="G14" i="14"/>
  <c r="F14" i="14"/>
  <c r="E14" i="14"/>
  <c r="D14" i="14"/>
  <c r="C14" i="14"/>
  <c r="B14" i="14"/>
  <c r="A14" i="14" s="1"/>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B109" i="8" s="1"/>
  <c r="D109" i="8" s="1"/>
  <c r="J25" i="5"/>
  <c r="B107" i="8" s="1"/>
  <c r="D107" i="8" s="1"/>
  <c r="D25" i="5"/>
  <c r="B101" i="8" s="1"/>
  <c r="D101" i="8" s="1"/>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B104" i="8" s="1"/>
  <c r="D104" i="8" s="1"/>
  <c r="K25" i="5"/>
  <c r="B108" i="8" s="1"/>
  <c r="D108" i="8" s="1"/>
  <c r="M25" i="5"/>
  <c r="B110" i="8" s="1"/>
  <c r="D110" i="8" s="1"/>
  <c r="N25" i="5"/>
  <c r="B111" i="8" s="1"/>
  <c r="D111" i="8" s="1"/>
  <c r="E25" i="5"/>
  <c r="B102" i="8" s="1"/>
  <c r="D102" i="8" s="1"/>
  <c r="F25" i="5"/>
  <c r="B103" i="8" s="1"/>
  <c r="D103" i="8" s="1"/>
  <c r="S20" i="4"/>
  <c r="B86" i="8"/>
  <c r="D86" i="8" s="1"/>
  <c r="B92" i="8"/>
  <c r="D92" i="8" s="1"/>
  <c r="B87" i="8"/>
  <c r="D87" i="8" s="1"/>
  <c r="B95" i="8"/>
  <c r="D95" i="8" s="1"/>
  <c r="S12" i="4"/>
  <c r="B82" i="8"/>
  <c r="D82" i="8" s="1"/>
  <c r="B88" i="8"/>
  <c r="D88" i="8" s="1"/>
  <c r="B96" i="8"/>
  <c r="D96" i="8" s="1"/>
  <c r="B94" i="8"/>
  <c r="D94" i="8" s="1"/>
  <c r="S18" i="4"/>
  <c r="S16" i="4"/>
  <c r="S13" i="4"/>
  <c r="R25" i="4"/>
  <c r="B83" i="8"/>
  <c r="D83" i="8" s="1"/>
  <c r="B93" i="8"/>
  <c r="D93" i="8" s="1"/>
  <c r="B91" i="8"/>
  <c r="D91" i="8" s="1"/>
  <c r="B99" i="8"/>
  <c r="D99" i="8" s="1"/>
  <c r="H25" i="5"/>
  <c r="B105" i="8" s="1"/>
  <c r="D105" i="8" s="1"/>
  <c r="B76" i="8"/>
  <c r="D76" i="8" s="1"/>
  <c r="B84" i="8"/>
  <c r="D84" i="8" s="1"/>
  <c r="I25" i="5"/>
  <c r="B106" i="8" s="1"/>
  <c r="D106" i="8" s="1"/>
  <c r="B77" i="8"/>
  <c r="D77" i="8" s="1"/>
  <c r="B85" i="8"/>
  <c r="D85" i="8" s="1"/>
  <c r="B72" i="8"/>
  <c r="D72" i="8" s="1"/>
  <c r="B80" i="8"/>
  <c r="D80" i="8" s="1"/>
  <c r="C25" i="5"/>
  <c r="B100" i="8" s="1"/>
  <c r="D100" i="8" s="1"/>
  <c r="B73" i="8"/>
  <c r="D73" i="8" s="1"/>
  <c r="B74" i="8"/>
  <c r="D74" i="8" s="1"/>
  <c r="B75" i="8"/>
  <c r="D75" i="8" s="1"/>
  <c r="B81" i="8"/>
  <c r="D81" i="8" s="1"/>
  <c r="S14" i="4"/>
  <c r="S15" i="4"/>
  <c r="R28" i="4"/>
  <c r="R23" i="4"/>
  <c r="R24" i="4"/>
  <c r="R29" i="4"/>
  <c r="S19" i="4"/>
  <c r="R30" i="4"/>
  <c r="S22" i="4"/>
  <c r="R26" i="4"/>
  <c r="C2" i="14"/>
  <c r="C1" i="14"/>
  <c r="B78" i="8"/>
  <c r="D78" i="8" s="1"/>
  <c r="B79" i="8"/>
  <c r="D79" i="8" s="1"/>
  <c r="M6" i="1"/>
  <c r="B90" i="8"/>
  <c r="D90" i="8" s="1"/>
  <c r="B98" i="8"/>
  <c r="D98" i="8" s="1"/>
  <c r="B89" i="8"/>
  <c r="D89" i="8" s="1"/>
  <c r="B97" i="8"/>
  <c r="D97" i="8" s="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A28" i="4" l="1"/>
  <c r="A16" i="4"/>
  <c r="A26" i="4"/>
  <c r="A14" i="4"/>
  <c r="A30" i="4"/>
  <c r="A18" i="4"/>
  <c r="A17" i="4"/>
  <c r="A29" i="4"/>
  <c r="A15" i="4"/>
  <c r="A27" i="4"/>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I31" i="1" l="1"/>
  <c r="I30" i="1"/>
  <c r="I27" i="1" s="1"/>
  <c r="O31" i="1"/>
  <c r="O30" i="1"/>
  <c r="O27" i="1" s="1"/>
  <c r="L31" i="1"/>
  <c r="L30" i="1"/>
  <c r="H30" i="1"/>
  <c r="H31" i="1"/>
  <c r="A23" i="4"/>
  <c r="A11" i="4"/>
  <c r="A24" i="4"/>
  <c r="A12" i="4"/>
  <c r="M31" i="1"/>
  <c r="M30" i="1"/>
  <c r="E30" i="1"/>
  <c r="E27" i="1" s="1"/>
  <c r="E31" i="1"/>
  <c r="E36" i="1"/>
  <c r="K36" i="1" s="1"/>
  <c r="A10" i="4"/>
  <c r="A22" i="4"/>
  <c r="J30" i="1"/>
  <c r="J27" i="1" s="1"/>
  <c r="J31" i="1"/>
  <c r="F31" i="1"/>
  <c r="F30" i="1"/>
  <c r="B37" i="1"/>
  <c r="F38" i="1" s="1"/>
  <c r="F36" i="1"/>
  <c r="L36" i="1" s="1"/>
  <c r="K31" i="1"/>
  <c r="K30" i="1"/>
  <c r="A25" i="4"/>
  <c r="A13" i="4"/>
  <c r="D36" i="1"/>
  <c r="J36" i="1" s="1"/>
  <c r="D30" i="1"/>
  <c r="D27" i="1" s="1"/>
  <c r="D31" i="1"/>
  <c r="N31" i="1"/>
  <c r="N30" i="1"/>
  <c r="C36" i="1"/>
  <c r="I36" i="1" s="1"/>
  <c r="C31" i="1"/>
  <c r="C30" i="1"/>
  <c r="B31" i="1"/>
  <c r="B36" i="1"/>
  <c r="H36" i="1" s="1"/>
  <c r="J35" i="1" s="1"/>
  <c r="F39" i="1" s="1"/>
  <c r="B30" i="1"/>
  <c r="G31" i="1"/>
  <c r="G30" i="1"/>
  <c r="G27" i="1" s="1"/>
  <c r="AR16" i="1"/>
  <c r="AE17" i="1"/>
  <c r="AZ19" i="1"/>
  <c r="AP14" i="1"/>
  <c r="AW16" i="1"/>
  <c r="AP12" i="1"/>
  <c r="U20" i="1"/>
  <c r="AG12" i="1"/>
  <c r="Y23" i="1"/>
  <c r="AD17" i="1"/>
  <c r="AD15" i="1"/>
  <c r="AF22" i="1"/>
  <c r="AW23" i="1"/>
  <c r="AC14" i="1"/>
  <c r="AV24" i="1"/>
  <c r="AI15" i="1"/>
  <c r="BA24" i="1"/>
  <c r="AV16" i="1"/>
  <c r="AQ11" i="1"/>
  <c r="AI22" i="1"/>
  <c r="Z13" i="1"/>
  <c r="AR14" i="1"/>
  <c r="AT18" i="1"/>
  <c r="AF13" i="1"/>
  <c r="AY17" i="1"/>
  <c r="AU21" i="1"/>
  <c r="AE18" i="1"/>
  <c r="W23" i="1"/>
  <c r="AH22" i="1"/>
  <c r="AI17" i="1"/>
  <c r="BA13" i="1"/>
  <c r="AO25" i="1"/>
  <c r="AX20" i="1"/>
  <c r="Y19" i="1"/>
  <c r="AE21" i="1"/>
  <c r="V10" i="1"/>
  <c r="W12" i="1"/>
  <c r="Y10" i="1"/>
  <c r="AT20" i="1"/>
  <c r="AH12" i="1"/>
  <c r="AQ17" i="1"/>
  <c r="AS12" i="1"/>
  <c r="Y22" i="1"/>
  <c r="AY20" i="1"/>
  <c r="Z19" i="1"/>
  <c r="V11" i="1"/>
  <c r="V25" i="1"/>
  <c r="AC19" i="1"/>
  <c r="AR11" i="1"/>
  <c r="AF23" i="1"/>
  <c r="AT13" i="1"/>
  <c r="Z21" i="1"/>
  <c r="AI23" i="1"/>
  <c r="AA13" i="1"/>
  <c r="AO24" i="1"/>
  <c r="AZ25" i="1"/>
  <c r="AF21" i="1"/>
  <c r="AI12" i="1"/>
  <c r="AW22" i="1"/>
  <c r="AC11" i="1"/>
  <c r="Z15" i="1"/>
  <c r="AS23" i="1"/>
  <c r="AE23" i="1"/>
  <c r="AP19" i="1"/>
  <c r="AC25" i="1"/>
  <c r="Z24" i="1"/>
  <c r="AH10" i="1"/>
  <c r="AV15" i="1"/>
  <c r="AO21" i="1"/>
  <c r="AV11" i="1"/>
  <c r="AD13" i="1"/>
  <c r="AZ22" i="1"/>
  <c r="AG14" i="1"/>
  <c r="AZ20" i="1"/>
  <c r="X15" i="1"/>
  <c r="AT12" i="1"/>
  <c r="W19" i="1"/>
  <c r="Z20" i="1"/>
  <c r="AR10" i="1"/>
  <c r="V21" i="1"/>
  <c r="AC16" i="1"/>
  <c r="AO13" i="1"/>
  <c r="AI19" i="1"/>
  <c r="Y18" i="1"/>
  <c r="AQ14" i="1"/>
  <c r="AV21" i="1"/>
  <c r="AO10" i="1"/>
  <c r="AZ12" i="1"/>
  <c r="AQ23" i="1"/>
  <c r="W22" i="1"/>
  <c r="AU25" i="1"/>
  <c r="AO19" i="1"/>
  <c r="AB17" i="1"/>
  <c r="AG20" i="1"/>
  <c r="AS19" i="1"/>
  <c r="AH24" i="1"/>
  <c r="AW18" i="1"/>
  <c r="AS24" i="1"/>
  <c r="X21" i="1"/>
  <c r="V22" i="1"/>
  <c r="AX24" i="1"/>
  <c r="AQ12" i="1"/>
  <c r="AX17" i="1"/>
  <c r="AE10" i="1"/>
  <c r="AW21" i="1"/>
  <c r="AS25" i="1"/>
  <c r="AC23" i="1"/>
  <c r="AC24" i="1"/>
  <c r="AH21" i="1"/>
  <c r="V20" i="1"/>
  <c r="AZ18" i="1"/>
  <c r="AW25" i="1"/>
  <c r="AE19" i="1"/>
  <c r="AI10" i="1"/>
  <c r="AI13" i="1"/>
  <c r="AA19" i="1"/>
  <c r="AO12" i="1"/>
  <c r="AY21" i="1"/>
  <c r="AV23" i="1"/>
  <c r="AR23" i="1"/>
  <c r="AT14" i="1"/>
  <c r="U12" i="1"/>
  <c r="AA10" i="1"/>
  <c r="AS13" i="1"/>
  <c r="W11" i="1"/>
  <c r="W20" i="1"/>
  <c r="AX23" i="1"/>
  <c r="BA19" i="1"/>
  <c r="AQ15" i="1"/>
  <c r="AV14" i="1"/>
  <c r="U23" i="1"/>
  <c r="AC15" i="1"/>
  <c r="V13" i="1"/>
  <c r="AX16" i="1"/>
  <c r="AE13" i="1"/>
  <c r="AP21" i="1"/>
  <c r="AX19" i="1"/>
  <c r="Y20" i="1"/>
  <c r="AW14" i="1"/>
  <c r="AR18" i="1"/>
  <c r="AZ23" i="1"/>
  <c r="AR20" i="1"/>
  <c r="AT21" i="1"/>
  <c r="AV13" i="1"/>
  <c r="AE24" i="1"/>
  <c r="AO18" i="1"/>
  <c r="AB15" i="1"/>
  <c r="AX11" i="1"/>
  <c r="AG11" i="1"/>
  <c r="AI11" i="1"/>
  <c r="AB19" i="1"/>
  <c r="AF11" i="1"/>
  <c r="AX22" i="1"/>
  <c r="AD25" i="1"/>
  <c r="AG16" i="1"/>
  <c r="AY22" i="1"/>
  <c r="AG19" i="1"/>
  <c r="AY18" i="1"/>
  <c r="AI14" i="1"/>
  <c r="AV17" i="1"/>
  <c r="AF16" i="1"/>
  <c r="AZ21" i="1"/>
  <c r="AA21" i="1"/>
  <c r="BA12" i="1"/>
  <c r="AI25" i="1"/>
  <c r="AX13" i="1"/>
  <c r="AF20" i="1"/>
  <c r="X23" i="1"/>
  <c r="AX10" i="1"/>
  <c r="AA25" i="1"/>
  <c r="AS14" i="1"/>
  <c r="X25" i="1"/>
  <c r="X24" i="1"/>
  <c r="V14" i="1"/>
  <c r="AQ19" i="1"/>
  <c r="AQ13" i="1"/>
  <c r="U15" i="1"/>
  <c r="BA16" i="1"/>
  <c r="U10" i="1"/>
  <c r="X18" i="1"/>
  <c r="AH23" i="1"/>
  <c r="AB25" i="1"/>
  <c r="X12" i="1"/>
  <c r="AI18" i="1"/>
  <c r="AA14" i="1"/>
  <c r="AZ17" i="1"/>
  <c r="AR13" i="1"/>
  <c r="U21" i="1"/>
  <c r="AU12" i="1"/>
  <c r="AD11" i="1"/>
  <c r="AW19" i="1"/>
  <c r="AY10" i="1"/>
  <c r="AH15" i="1"/>
  <c r="AO22" i="1"/>
  <c r="W25" i="1"/>
  <c r="AU11" i="1"/>
  <c r="AV18" i="1"/>
  <c r="AQ18" i="1"/>
  <c r="AF12" i="1"/>
  <c r="AB21" i="1"/>
  <c r="AC18" i="1"/>
  <c r="AH11" i="1"/>
  <c r="AO16" i="1"/>
  <c r="AH14" i="1"/>
  <c r="AY19" i="1"/>
  <c r="AF10" i="1"/>
  <c r="Y12" i="1"/>
  <c r="AU14" i="1"/>
  <c r="AF19" i="1"/>
  <c r="AS17" i="1"/>
  <c r="AZ10" i="1"/>
  <c r="AH19" i="1"/>
  <c r="AZ11" i="1"/>
  <c r="Y11" i="1"/>
  <c r="Z25" i="1"/>
  <c r="AV19" i="1"/>
  <c r="AG25" i="1"/>
  <c r="AW10" i="1"/>
  <c r="W13" i="1"/>
  <c r="Z10" i="1"/>
  <c r="AY24" i="1"/>
  <c r="AQ21" i="1"/>
  <c r="AT10" i="1"/>
  <c r="BA17" i="1"/>
  <c r="U22" i="1"/>
  <c r="AF24" i="1"/>
  <c r="AA24" i="1"/>
  <c r="AC20" i="1"/>
  <c r="AT22" i="1"/>
  <c r="W17" i="1"/>
  <c r="AQ10" i="1"/>
  <c r="AT19" i="1"/>
  <c r="AT25" i="1"/>
  <c r="BA15" i="1"/>
  <c r="W10" i="1"/>
  <c r="AU15" i="1"/>
  <c r="AQ22" i="1"/>
  <c r="AG23" i="1"/>
  <c r="AT15" i="1"/>
  <c r="W21" i="1"/>
  <c r="AV10" i="1"/>
  <c r="Y14" i="1"/>
  <c r="W15" i="1"/>
  <c r="AX25" i="1"/>
  <c r="AP23" i="1"/>
  <c r="AV20" i="1"/>
  <c r="AI16" i="1"/>
  <c r="AQ20" i="1"/>
  <c r="AW12" i="1"/>
  <c r="AY14" i="1"/>
  <c r="U17" i="1"/>
  <c r="AV22" i="1"/>
  <c r="AZ15" i="1"/>
  <c r="AD23" i="1"/>
  <c r="U19" i="1"/>
  <c r="AG21" i="1"/>
  <c r="AD19" i="1"/>
  <c r="AR15" i="1"/>
  <c r="BA21" i="1"/>
  <c r="U24" i="1"/>
  <c r="Y15" i="1"/>
  <c r="AB24" i="1"/>
  <c r="AA17" i="1"/>
  <c r="V19" i="1"/>
  <c r="AC21" i="1"/>
  <c r="AB11" i="1"/>
  <c r="AU20" i="1"/>
  <c r="BA22" i="1"/>
  <c r="BA23" i="1"/>
  <c r="AE15" i="1"/>
  <c r="AB14" i="1"/>
  <c r="AE14" i="1"/>
  <c r="AA12" i="1"/>
  <c r="AF14" i="1"/>
  <c r="AT24" i="1"/>
  <c r="AC13" i="1"/>
  <c r="AY25" i="1"/>
  <c r="Z16" i="1"/>
  <c r="AZ14" i="1"/>
  <c r="AY11" i="1"/>
  <c r="AU18" i="1"/>
  <c r="AI20" i="1"/>
  <c r="AV25" i="1"/>
  <c r="BA14" i="1"/>
  <c r="AR17" i="1"/>
  <c r="V24" i="1"/>
  <c r="AS21" i="1"/>
  <c r="AG24" i="1"/>
  <c r="X19" i="1"/>
  <c r="U18" i="1"/>
  <c r="AG13" i="1"/>
  <c r="AY13" i="1"/>
  <c r="AD14" i="1"/>
  <c r="AQ25" i="1"/>
  <c r="AH16" i="1"/>
  <c r="U14" i="1"/>
  <c r="AG15" i="1"/>
  <c r="AS10" i="1"/>
  <c r="AC10" i="1"/>
  <c r="Y25" i="1"/>
  <c r="V16" i="1"/>
  <c r="AA15" i="1"/>
  <c r="AZ16" i="1"/>
  <c r="AX14" i="1"/>
  <c r="Z22" i="1"/>
  <c r="AF17" i="1"/>
  <c r="AA20" i="1"/>
  <c r="AZ24" i="1"/>
  <c r="AO14" i="1"/>
  <c r="AT17" i="1"/>
  <c r="AE22" i="1"/>
  <c r="AH20" i="1"/>
  <c r="AS22" i="1"/>
  <c r="AP22" i="1"/>
  <c r="AS18" i="1"/>
  <c r="AS20" i="1"/>
  <c r="AR22" i="1"/>
  <c r="AF25" i="1"/>
  <c r="BA11" i="1"/>
  <c r="AB16" i="1"/>
  <c r="AE20" i="1"/>
  <c r="X22" i="1"/>
  <c r="AD10" i="1"/>
  <c r="AO17" i="1"/>
  <c r="AW24" i="1"/>
  <c r="W24" i="1"/>
  <c r="AC22" i="1"/>
  <c r="AD18" i="1"/>
  <c r="AB10" i="1"/>
  <c r="X13" i="1"/>
  <c r="AA18" i="1"/>
  <c r="AU22" i="1"/>
  <c r="AS15" i="1"/>
  <c r="AR25" i="1"/>
  <c r="AR24" i="1"/>
  <c r="AU10" i="1"/>
  <c r="AC12" i="1"/>
  <c r="AI21" i="1"/>
  <c r="V23" i="1"/>
  <c r="BA18" i="1"/>
  <c r="AP24" i="1"/>
  <c r="X17" i="1"/>
  <c r="AP15" i="1"/>
  <c r="AH17" i="1"/>
  <c r="AQ16" i="1"/>
  <c r="W16" i="1"/>
  <c r="U13" i="1"/>
  <c r="AP25" i="1"/>
  <c r="AD16" i="1"/>
  <c r="AR21" i="1"/>
  <c r="AG22" i="1"/>
  <c r="AA11" i="1"/>
  <c r="U11" i="1"/>
  <c r="AP20" i="1"/>
  <c r="AY23" i="1"/>
  <c r="AD12" i="1"/>
  <c r="AO23" i="1"/>
  <c r="X16" i="1"/>
  <c r="Y24" i="1"/>
  <c r="Y17" i="1"/>
  <c r="BA25" i="1"/>
  <c r="AB18" i="1"/>
  <c r="AD22" i="1"/>
  <c r="AP10" i="1"/>
  <c r="W14" i="1"/>
  <c r="AW15" i="1"/>
  <c r="AP13" i="1"/>
  <c r="AP11" i="1"/>
  <c r="AB12" i="1"/>
  <c r="AR12" i="1"/>
  <c r="X20" i="1"/>
  <c r="AS16" i="1"/>
  <c r="AG17" i="1"/>
  <c r="AA22" i="1"/>
  <c r="AH13" i="1"/>
  <c r="AR19" i="1"/>
  <c r="Z17" i="1"/>
  <c r="AY12" i="1"/>
  <c r="AA23" i="1"/>
  <c r="AX21" i="1"/>
  <c r="V18" i="1"/>
  <c r="AW20" i="1"/>
  <c r="AO20" i="1"/>
  <c r="AU17" i="1"/>
  <c r="AG18" i="1"/>
  <c r="AU13" i="1"/>
  <c r="AB20" i="1"/>
  <c r="AY16" i="1"/>
  <c r="AX18" i="1"/>
  <c r="Y21" i="1"/>
  <c r="X11" i="1"/>
  <c r="AP18" i="1"/>
  <c r="AT11" i="1"/>
  <c r="X14" i="1"/>
  <c r="AP17" i="1"/>
  <c r="BA20" i="1"/>
  <c r="Y16" i="1"/>
  <c r="AS11" i="1"/>
  <c r="AD20" i="1"/>
  <c r="AD21" i="1"/>
  <c r="AO15" i="1"/>
  <c r="AX12" i="1"/>
  <c r="AY15" i="1"/>
  <c r="AZ13" i="1"/>
  <c r="Z14" i="1"/>
  <c r="BA10" i="1"/>
  <c r="AE25" i="1"/>
  <c r="AT23" i="1"/>
  <c r="AE16" i="1"/>
  <c r="AA16" i="1"/>
  <c r="AG10" i="1"/>
  <c r="AV12" i="1"/>
  <c r="AC17" i="1"/>
  <c r="Z11" i="1"/>
  <c r="U25" i="1"/>
  <c r="AH25" i="1"/>
  <c r="X10" i="1"/>
  <c r="AU19" i="1"/>
  <c r="AW11" i="1"/>
  <c r="Z18" i="1"/>
  <c r="AU23" i="1"/>
  <c r="AU24" i="1"/>
  <c r="AD24" i="1"/>
  <c r="V12" i="1"/>
  <c r="AU16" i="1"/>
  <c r="U16" i="1"/>
  <c r="AW17" i="1"/>
  <c r="AO11" i="1"/>
  <c r="AT16" i="1"/>
  <c r="Y13" i="1"/>
  <c r="AE11" i="1"/>
  <c r="AQ24" i="1"/>
  <c r="AB23" i="1"/>
  <c r="AP16" i="1"/>
  <c r="AB22" i="1"/>
  <c r="AB13" i="1"/>
  <c r="AE12" i="1"/>
  <c r="Z23" i="1"/>
  <c r="AF18" i="1"/>
  <c r="V15" i="1"/>
  <c r="AF15" i="1"/>
  <c r="AH18" i="1"/>
  <c r="V17" i="1"/>
  <c r="AI24" i="1"/>
  <c r="W18" i="1"/>
  <c r="Z12" i="1"/>
  <c r="AX15" i="1"/>
  <c r="AW13" i="1"/>
  <c r="X31" i="1" l="1"/>
  <c r="X30" i="1"/>
  <c r="X27" i="1" s="1"/>
  <c r="AG30" i="1"/>
  <c r="AG27" i="1" s="1"/>
  <c r="AG31" i="1"/>
  <c r="P97" i="8" s="1"/>
  <c r="FM3" i="23" s="1"/>
  <c r="BA30" i="1"/>
  <c r="BA27" i="1" s="1"/>
  <c r="BA31" i="1"/>
  <c r="AP31" i="1"/>
  <c r="AP30" i="1"/>
  <c r="AP27" i="1" s="1"/>
  <c r="N100" i="8" s="1"/>
  <c r="FZ3" i="23" s="1"/>
  <c r="AU31" i="1"/>
  <c r="AU30" i="1"/>
  <c r="AB31" i="1"/>
  <c r="AB30" i="1"/>
  <c r="AB27" i="1" s="1"/>
  <c r="AB29" i="1" s="1"/>
  <c r="AD31" i="1"/>
  <c r="AD30" i="1"/>
  <c r="AD27" i="1" s="1"/>
  <c r="AC30" i="1"/>
  <c r="AC31" i="1"/>
  <c r="P93" i="8" s="1"/>
  <c r="ES3" i="23" s="1"/>
  <c r="AS30" i="1"/>
  <c r="AS27" i="1" s="1"/>
  <c r="AS31" i="1"/>
  <c r="AV30" i="1"/>
  <c r="AV27" i="1" s="1"/>
  <c r="AV31" i="1"/>
  <c r="N47" i="26" s="1"/>
  <c r="W30" i="1"/>
  <c r="W27" i="1" s="1"/>
  <c r="W31" i="1"/>
  <c r="AQ31" i="1"/>
  <c r="AQ30" i="1"/>
  <c r="AQ27" i="1" s="1"/>
  <c r="N101" i="8" s="1"/>
  <c r="GE3" i="23" s="1"/>
  <c r="AT31" i="1"/>
  <c r="AT30" i="1"/>
  <c r="Z31" i="1"/>
  <c r="Z30" i="1"/>
  <c r="Z27" i="1" s="1"/>
  <c r="Z28" i="1" s="1"/>
  <c r="AW30" i="1"/>
  <c r="AW27" i="1" s="1"/>
  <c r="AW31" i="1"/>
  <c r="AZ30" i="1"/>
  <c r="AZ31" i="1"/>
  <c r="P110" i="8" s="1"/>
  <c r="HZ3" i="23" s="1"/>
  <c r="AF31" i="1"/>
  <c r="AF30" i="1"/>
  <c r="AY31" i="1"/>
  <c r="AY30" i="1"/>
  <c r="AY27" i="1" s="1"/>
  <c r="AY28" i="1" s="1"/>
  <c r="AX30" i="1"/>
  <c r="AX27" i="1" s="1"/>
  <c r="AX31" i="1"/>
  <c r="AA30" i="1"/>
  <c r="AA31" i="1"/>
  <c r="F52" i="26" s="1"/>
  <c r="AI30" i="1"/>
  <c r="AI31" i="1"/>
  <c r="AE31" i="1"/>
  <c r="AE30" i="1"/>
  <c r="AE27" i="1" s="1"/>
  <c r="AR30" i="1"/>
  <c r="AR27" i="1" s="1"/>
  <c r="AR31" i="1"/>
  <c r="AH30" i="1"/>
  <c r="AH27" i="1" s="1"/>
  <c r="AH31" i="1"/>
  <c r="P98" i="8" s="1"/>
  <c r="FR3" i="23" s="1"/>
  <c r="Y31" i="1"/>
  <c r="Y30" i="1"/>
  <c r="Y27" i="1" s="1"/>
  <c r="V31" i="1"/>
  <c r="V30" i="1"/>
  <c r="V27" i="1" s="1"/>
  <c r="U34" i="1" s="1"/>
  <c r="I25" i="4"/>
  <c r="K25" i="4" s="1"/>
  <c r="F25" i="4"/>
  <c r="H25" i="4" s="1"/>
  <c r="L25" i="4"/>
  <c r="N25" i="4" s="1"/>
  <c r="C25" i="4"/>
  <c r="E25" i="4" s="1"/>
  <c r="F40" i="1"/>
  <c r="B38" i="1" s="1"/>
  <c r="B45" i="1" s="1"/>
  <c r="B40" i="1" s="1"/>
  <c r="K33" i="1" s="1"/>
  <c r="J29" i="1"/>
  <c r="J28" i="1"/>
  <c r="N80" i="8"/>
  <c r="CD3" i="23" s="1"/>
  <c r="D41" i="26"/>
  <c r="R13" i="8"/>
  <c r="N49" i="26"/>
  <c r="P108" i="8"/>
  <c r="HP3" i="23" s="1"/>
  <c r="M27" i="1"/>
  <c r="M29" i="1" s="1"/>
  <c r="AF27" i="1"/>
  <c r="AF29" i="1" s="1"/>
  <c r="L11" i="4"/>
  <c r="N11" i="4" s="1"/>
  <c r="I11" i="4"/>
  <c r="K11" i="4" s="1"/>
  <c r="F11" i="4"/>
  <c r="H11" i="4" s="1"/>
  <c r="C11" i="4"/>
  <c r="E11" i="4" s="1"/>
  <c r="P111" i="8"/>
  <c r="IE3" i="23" s="1"/>
  <c r="N52" i="26"/>
  <c r="L27" i="1"/>
  <c r="L29" i="1" s="1"/>
  <c r="N48" i="26"/>
  <c r="P107" i="8"/>
  <c r="HK3" i="23" s="1"/>
  <c r="AD29" i="1"/>
  <c r="L35" i="26"/>
  <c r="R27" i="8"/>
  <c r="AD28" i="1"/>
  <c r="N94" i="8"/>
  <c r="EV3" i="23" s="1"/>
  <c r="O94" i="8"/>
  <c r="EW3" i="23" s="1"/>
  <c r="I29" i="1"/>
  <c r="I28" i="1"/>
  <c r="D40" i="26"/>
  <c r="N79" i="8"/>
  <c r="BY3" i="23" s="1"/>
  <c r="AU27" i="1"/>
  <c r="AU29" i="1" s="1"/>
  <c r="B27" i="1"/>
  <c r="F34" i="26"/>
  <c r="P73" i="8"/>
  <c r="AW3" i="23" s="1"/>
  <c r="P87" i="8"/>
  <c r="DO3" i="23" s="1"/>
  <c r="F48" i="26"/>
  <c r="F38" i="26"/>
  <c r="P77" i="8"/>
  <c r="BQ3" i="23" s="1"/>
  <c r="W29" i="1"/>
  <c r="W28" i="1"/>
  <c r="D48" i="26"/>
  <c r="N87" i="8"/>
  <c r="DM3" i="23" s="1"/>
  <c r="K27" i="1"/>
  <c r="K29" i="1" s="1"/>
  <c r="F27" i="1"/>
  <c r="F29" i="1" s="1"/>
  <c r="Y29" i="1"/>
  <c r="D50" i="26"/>
  <c r="N89" i="8"/>
  <c r="DW3" i="23" s="1"/>
  <c r="Y28" i="1"/>
  <c r="F22" i="4"/>
  <c r="H22" i="4" s="1"/>
  <c r="L22" i="4"/>
  <c r="N22" i="4" s="1"/>
  <c r="C22" i="4"/>
  <c r="E22" i="4" s="1"/>
  <c r="I22" i="4"/>
  <c r="K22" i="4" s="1"/>
  <c r="P83" i="8"/>
  <c r="CU3" i="23" s="1"/>
  <c r="F44" i="26"/>
  <c r="P109" i="8"/>
  <c r="HU3" i="23" s="1"/>
  <c r="N50" i="26"/>
  <c r="AC27" i="1"/>
  <c r="AC29" i="1" s="1"/>
  <c r="N37" i="26"/>
  <c r="P96" i="8"/>
  <c r="FH3" i="23" s="1"/>
  <c r="I23" i="4"/>
  <c r="K23" i="4" s="1"/>
  <c r="F23" i="4"/>
  <c r="H23" i="4" s="1"/>
  <c r="C23" i="4"/>
  <c r="E23" i="4" s="1"/>
  <c r="L23" i="4"/>
  <c r="N23" i="4" s="1"/>
  <c r="BA29" i="1"/>
  <c r="L52" i="26"/>
  <c r="N111" i="8"/>
  <c r="IC3" i="23" s="1"/>
  <c r="BA28" i="1"/>
  <c r="F43" i="26"/>
  <c r="P82" i="8"/>
  <c r="CP3" i="23" s="1"/>
  <c r="AW29" i="1"/>
  <c r="N107" i="8"/>
  <c r="HI3" i="23" s="1"/>
  <c r="L48" i="26"/>
  <c r="AW28" i="1"/>
  <c r="N35" i="26"/>
  <c r="P94" i="8"/>
  <c r="EX3" i="23" s="1"/>
  <c r="N36" i="26"/>
  <c r="P95" i="8"/>
  <c r="FC3" i="23" s="1"/>
  <c r="F40" i="26"/>
  <c r="P79" i="8"/>
  <c r="CA3" i="23" s="1"/>
  <c r="P105" i="8"/>
  <c r="HA3" i="23" s="1"/>
  <c r="N46" i="26"/>
  <c r="G29" i="1"/>
  <c r="D38" i="26"/>
  <c r="G28" i="1"/>
  <c r="N77" i="8"/>
  <c r="BO3" i="23" s="1"/>
  <c r="P72" i="8"/>
  <c r="AR3" i="23" s="1"/>
  <c r="F33" i="26"/>
  <c r="N27" i="1"/>
  <c r="N29" i="1" s="1"/>
  <c r="F35" i="26"/>
  <c r="P74" i="8"/>
  <c r="BB3" i="23" s="1"/>
  <c r="AV29" i="1"/>
  <c r="AV28" i="1"/>
  <c r="L47" i="26"/>
  <c r="N106" i="8"/>
  <c r="HD3" i="23" s="1"/>
  <c r="P81" i="8"/>
  <c r="CK3" i="23" s="1"/>
  <c r="F42" i="26"/>
  <c r="P76" i="8"/>
  <c r="BL3" i="23" s="1"/>
  <c r="F37" i="26"/>
  <c r="AG29" i="1"/>
  <c r="N97" i="8"/>
  <c r="FK3" i="23" s="1"/>
  <c r="L38" i="26"/>
  <c r="AG28" i="1"/>
  <c r="F50" i="26"/>
  <c r="P89" i="8"/>
  <c r="DY3" i="23" s="1"/>
  <c r="I10" i="4"/>
  <c r="K10" i="4" s="1"/>
  <c r="L10" i="4"/>
  <c r="N10" i="4" s="1"/>
  <c r="F10" i="4"/>
  <c r="H10" i="4" s="1"/>
  <c r="C10" i="4"/>
  <c r="E10" i="4" s="1"/>
  <c r="F36" i="26"/>
  <c r="P75" i="8"/>
  <c r="BG3" i="23" s="1"/>
  <c r="N44" i="26"/>
  <c r="P103" i="8"/>
  <c r="GQ3" i="23" s="1"/>
  <c r="N43" i="26"/>
  <c r="P102" i="8"/>
  <c r="GL3" i="23" s="1"/>
  <c r="F12" i="4"/>
  <c r="H12" i="4" s="1"/>
  <c r="C12" i="4"/>
  <c r="E12" i="4" s="1"/>
  <c r="L12" i="4"/>
  <c r="N12" i="4" s="1"/>
  <c r="I12" i="4"/>
  <c r="K12" i="4" s="1"/>
  <c r="F39" i="26"/>
  <c r="P78" i="8"/>
  <c r="BV3" i="23" s="1"/>
  <c r="O29" i="1"/>
  <c r="O28" i="1"/>
  <c r="D46" i="26"/>
  <c r="N85" i="8"/>
  <c r="DC3" i="23" s="1"/>
  <c r="P99" i="8"/>
  <c r="FW3" i="23" s="1"/>
  <c r="N40" i="26"/>
  <c r="AT27" i="1"/>
  <c r="AT29" i="1" s="1"/>
  <c r="X29" i="1"/>
  <c r="X28" i="1"/>
  <c r="N88" i="8"/>
  <c r="DR3" i="23" s="1"/>
  <c r="D49" i="26"/>
  <c r="AA27" i="1"/>
  <c r="AA29" i="1" s="1"/>
  <c r="P101" i="8"/>
  <c r="GG3" i="23" s="1"/>
  <c r="N42" i="26"/>
  <c r="C27" i="1"/>
  <c r="P84" i="8"/>
  <c r="CZ3" i="23" s="1"/>
  <c r="F45" i="26"/>
  <c r="D29" i="1"/>
  <c r="N74" i="8"/>
  <c r="AZ3" i="23" s="1"/>
  <c r="R7" i="8"/>
  <c r="D35" i="26"/>
  <c r="D28" i="1"/>
  <c r="F13" i="4"/>
  <c r="H13" i="4" s="1"/>
  <c r="L13" i="4"/>
  <c r="N13" i="4" s="1"/>
  <c r="C13" i="4"/>
  <c r="E13" i="4" s="1"/>
  <c r="I13" i="4"/>
  <c r="K13" i="4" s="1"/>
  <c r="P80" i="8"/>
  <c r="CF3" i="23" s="1"/>
  <c r="F41" i="26"/>
  <c r="F47" i="26"/>
  <c r="P86" i="8"/>
  <c r="DJ3" i="23" s="1"/>
  <c r="AX29" i="1"/>
  <c r="L49" i="26"/>
  <c r="N108" i="8"/>
  <c r="HN3" i="23" s="1"/>
  <c r="AX28" i="1"/>
  <c r="N41" i="26"/>
  <c r="P100" i="8"/>
  <c r="GB3" i="23" s="1"/>
  <c r="E29" i="1"/>
  <c r="N75" i="8"/>
  <c r="BE3" i="23" s="1"/>
  <c r="D36" i="26"/>
  <c r="E28" i="1"/>
  <c r="AH29" i="1"/>
  <c r="N98" i="8"/>
  <c r="FP3" i="23" s="1"/>
  <c r="AH28" i="1"/>
  <c r="R31" i="8"/>
  <c r="L39" i="26"/>
  <c r="AS29" i="1"/>
  <c r="AS28" i="1"/>
  <c r="L44" i="26"/>
  <c r="N103" i="8"/>
  <c r="GO3" i="23" s="1"/>
  <c r="AR29" i="1"/>
  <c r="N102" i="8"/>
  <c r="GJ3" i="23" s="1"/>
  <c r="AR28" i="1"/>
  <c r="L43" i="26"/>
  <c r="F24" i="4"/>
  <c r="H24" i="4" s="1"/>
  <c r="I24" i="4"/>
  <c r="K24" i="4" s="1"/>
  <c r="C24" i="4"/>
  <c r="E24" i="4" s="1"/>
  <c r="L24" i="4"/>
  <c r="N24" i="4" s="1"/>
  <c r="H27" i="1"/>
  <c r="AZ27" i="1"/>
  <c r="AZ29" i="1" s="1"/>
  <c r="F46" i="26"/>
  <c r="P85" i="8"/>
  <c r="DE3" i="23" s="1"/>
  <c r="F51" i="26"/>
  <c r="P90" i="8"/>
  <c r="ED3" i="23" s="1"/>
  <c r="AI27" i="1"/>
  <c r="AI29" i="1" s="1"/>
  <c r="N33" i="26"/>
  <c r="P92" i="8"/>
  <c r="EN3" i="23" s="1"/>
  <c r="P104" i="8"/>
  <c r="GV3" i="23" s="1"/>
  <c r="N45" i="26"/>
  <c r="P88" i="8"/>
  <c r="DT3" i="23" s="1"/>
  <c r="F49" i="26"/>
  <c r="N34" i="26" l="1"/>
  <c r="N38" i="26"/>
  <c r="AY29" i="1"/>
  <c r="N90" i="8"/>
  <c r="EB3" i="23" s="1"/>
  <c r="AQ29" i="1"/>
  <c r="P106" i="8"/>
  <c r="HF3" i="23" s="1"/>
  <c r="AP28" i="1"/>
  <c r="V28" i="1"/>
  <c r="Z29" i="1"/>
  <c r="O90" i="8" s="1"/>
  <c r="EC3" i="23" s="1"/>
  <c r="L42" i="26"/>
  <c r="P91" i="8"/>
  <c r="EI3" i="23" s="1"/>
  <c r="L50" i="26"/>
  <c r="AO34" i="1"/>
  <c r="D47" i="26"/>
  <c r="V29" i="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M44" i="26"/>
  <c r="O103" i="8"/>
  <c r="GP3" i="23" s="1"/>
  <c r="T1" i="4"/>
  <c r="R1" i="4" s="1"/>
  <c r="E19" i="4"/>
  <c r="U4" i="4"/>
  <c r="R8" i="4" s="1"/>
  <c r="O25" i="4" s="1"/>
  <c r="D42" i="26"/>
  <c r="N81" i="8"/>
  <c r="CI3" i="23" s="1"/>
  <c r="K28" i="1"/>
  <c r="L36" i="26"/>
  <c r="N95" i="8"/>
  <c r="FA3" i="23" s="1"/>
  <c r="R28" i="8"/>
  <c r="AE28" i="1"/>
  <c r="N78" i="8"/>
  <c r="BT3" i="23" s="1"/>
  <c r="D39" i="26"/>
  <c r="H28" i="1"/>
  <c r="R11" i="8"/>
  <c r="H29" i="1"/>
  <c r="O98" i="8"/>
  <c r="FQ3" i="23" s="1"/>
  <c r="M39" i="26"/>
  <c r="M49" i="26"/>
  <c r="O108" i="8"/>
  <c r="HO3" i="23" s="1"/>
  <c r="AT28" i="1"/>
  <c r="L45" i="26"/>
  <c r="N104" i="8"/>
  <c r="GT3" i="23" s="1"/>
  <c r="U1" i="4"/>
  <c r="R2" i="4" s="1"/>
  <c r="O11" i="4" s="1"/>
  <c r="O77" i="8"/>
  <c r="BP3" i="23" s="1"/>
  <c r="E38" i="26"/>
  <c r="R10" i="8"/>
  <c r="M52" i="26"/>
  <c r="O111" i="8"/>
  <c r="ID3" i="23" s="1"/>
  <c r="L34" i="26"/>
  <c r="N93" i="8"/>
  <c r="EQ3" i="23" s="1"/>
  <c r="AC28" i="1"/>
  <c r="R26" i="8"/>
  <c r="U3" i="4"/>
  <c r="R6" i="4" s="1"/>
  <c r="O23" i="4" s="1"/>
  <c r="O76" i="8"/>
  <c r="BK3" i="23" s="1"/>
  <c r="E37" i="26"/>
  <c r="R9" i="8"/>
  <c r="N105" i="8"/>
  <c r="GY3" i="23" s="1"/>
  <c r="AU28" i="1"/>
  <c r="L46" i="26"/>
  <c r="O82" i="8"/>
  <c r="CO3" i="23" s="1"/>
  <c r="E43" i="26"/>
  <c r="R15" i="8"/>
  <c r="O96" i="8"/>
  <c r="FG3" i="23" s="1"/>
  <c r="M37" i="26"/>
  <c r="O109" i="8"/>
  <c r="HT3" i="23" s="1"/>
  <c r="M50" i="26"/>
  <c r="O86" i="8"/>
  <c r="DI3" i="23" s="1"/>
  <c r="U33" i="1"/>
  <c r="E47" i="26"/>
  <c r="L40" i="26"/>
  <c r="AI28" i="1"/>
  <c r="N99" i="8"/>
  <c r="FU3" i="23" s="1"/>
  <c r="R8" i="8"/>
  <c r="O75" i="8"/>
  <c r="BF3" i="23" s="1"/>
  <c r="E36" i="26"/>
  <c r="O74" i="8"/>
  <c r="BA3" i="23" s="1"/>
  <c r="E35" i="26"/>
  <c r="R6" i="8"/>
  <c r="D34" i="26"/>
  <c r="N73" i="8"/>
  <c r="AU3" i="23" s="1"/>
  <c r="C28" i="1"/>
  <c r="D52" i="26"/>
  <c r="N91" i="8"/>
  <c r="EG3" i="23" s="1"/>
  <c r="AA28" i="1"/>
  <c r="R24" i="8"/>
  <c r="M33" i="26"/>
  <c r="O92" i="8"/>
  <c r="EM3" i="23" s="1"/>
  <c r="E51" i="26"/>
  <c r="U2" i="4"/>
  <c r="R4" i="4" s="1"/>
  <c r="O13" i="4" s="1"/>
  <c r="N19" i="4"/>
  <c r="R30" i="8"/>
  <c r="M38" i="26"/>
  <c r="O97" i="8"/>
  <c r="FL3" i="23" s="1"/>
  <c r="M42" i="26"/>
  <c r="O101" i="8"/>
  <c r="GF3" i="23" s="1"/>
  <c r="R40" i="8"/>
  <c r="M48" i="26"/>
  <c r="O107" i="8"/>
  <c r="HJ3" i="23" s="1"/>
  <c r="T4" i="4"/>
  <c r="R7" i="4" s="1"/>
  <c r="O24" i="4" s="1"/>
  <c r="E50" i="26"/>
  <c r="O89" i="8"/>
  <c r="DX3" i="23" s="1"/>
  <c r="R22" i="8"/>
  <c r="F28" i="1"/>
  <c r="D37" i="26"/>
  <c r="N76" i="8"/>
  <c r="BJ3" i="23" s="1"/>
  <c r="O79" i="8"/>
  <c r="BZ3" i="23" s="1"/>
  <c r="E40" i="26"/>
  <c r="M35" i="26"/>
  <c r="D43" i="26"/>
  <c r="N82" i="8"/>
  <c r="CN3" i="23" s="1"/>
  <c r="L28" i="1"/>
  <c r="L37" i="26"/>
  <c r="AF28" i="1"/>
  <c r="N96" i="8"/>
  <c r="FF3" i="23" s="1"/>
  <c r="R29" i="8"/>
  <c r="O80" i="8"/>
  <c r="CE3" i="23" s="1"/>
  <c r="E41" i="26"/>
  <c r="R35" i="8"/>
  <c r="O102" i="8"/>
  <c r="GK3" i="23" s="1"/>
  <c r="M43" i="26"/>
  <c r="E49" i="26"/>
  <c r="O88" i="8"/>
  <c r="DS3" i="23" s="1"/>
  <c r="AB28" i="1"/>
  <c r="L33" i="26"/>
  <c r="N92" i="8"/>
  <c r="EL3" i="23" s="1"/>
  <c r="O85" i="8"/>
  <c r="DD3" i="23" s="1"/>
  <c r="R18" i="8"/>
  <c r="E46" i="26"/>
  <c r="T2" i="4"/>
  <c r="R3" i="4" s="1"/>
  <c r="O12" i="4" s="1"/>
  <c r="K19" i="4"/>
  <c r="O106" i="8"/>
  <c r="HE3" i="23" s="1"/>
  <c r="M47" i="26"/>
  <c r="N84" i="8"/>
  <c r="CX3" i="23" s="1"/>
  <c r="D45" i="26"/>
  <c r="N28" i="1"/>
  <c r="T3" i="4"/>
  <c r="R5" i="4" s="1"/>
  <c r="O22" i="4" s="1"/>
  <c r="R14" i="8"/>
  <c r="O81" i="8"/>
  <c r="CJ3" i="23" s="1"/>
  <c r="E42" i="26"/>
  <c r="O87" i="8"/>
  <c r="DN3" i="23" s="1"/>
  <c r="E48" i="26"/>
  <c r="A34" i="1"/>
  <c r="N72" i="8"/>
  <c r="AP3" i="23" s="1"/>
  <c r="D33" i="26"/>
  <c r="B28" i="1"/>
  <c r="AE29" i="1"/>
  <c r="J51" i="1" s="1" a="1"/>
  <c r="J51" i="1" s="1"/>
  <c r="N83" i="8"/>
  <c r="CS3" i="23" s="1"/>
  <c r="M28" i="1"/>
  <c r="D44" i="26"/>
  <c r="N26" i="26"/>
  <c r="AF2" i="23"/>
  <c r="J65" i="1" l="1" a="1"/>
  <c r="J65" i="1" s="1"/>
  <c r="M41" i="26"/>
  <c r="O100" i="8"/>
  <c r="GA3" i="23" s="1"/>
  <c r="AO33" i="1"/>
  <c r="O72" i="8"/>
  <c r="AQ3" i="23" s="1"/>
  <c r="J37" i="1" a="1"/>
  <c r="J37" i="1" s="1"/>
  <c r="O73" i="8"/>
  <c r="AV3" i="23" s="1"/>
  <c r="A33" i="1"/>
  <c r="F34" i="1" s="1"/>
  <c r="E33" i="26"/>
  <c r="S5" i="8"/>
  <c r="O10" i="4"/>
  <c r="F32" i="8"/>
  <c r="G6" i="4"/>
  <c r="M36" i="26"/>
  <c r="O95" i="8"/>
  <c r="FB3" i="23" s="1"/>
  <c r="J34" i="1"/>
  <c r="K34" i="1"/>
  <c r="E39" i="26"/>
  <c r="O78" i="8"/>
  <c r="BU3" i="23" s="1"/>
  <c r="H33" i="1"/>
  <c r="D33" i="1" l="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<sst xmlns="http://schemas.openxmlformats.org/spreadsheetml/2006/main" count="22033" uniqueCount="5913">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</sst>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6"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13" borderId="0" xfId="0" applyFont="1" applyFill="1" applyAlignment="1">
      <alignment horizontal="center"/>
    </xf>
    <xf numFmtId="0" fontId="44" fillId="0" borderId="0" xfId="0" applyFont="1" applyAlignment="1">
      <alignment horizontal="center"/>
    </xf>
    <xf numFmtId="0" fontId="120" fillId="0" borderId="0" xfId="0" applyFont="1" applyAlignment="1">
      <alignment horizontal="left" vertical="top" wrapText="1"/>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2"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 activePane="bottomLeft" state="frozen"/>
      <selection pane="bottomLeft" activeCell="L22" sqref="L22"/>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80" t="s">
        <v>66</v>
      </c>
      <c r="D1" s="581"/>
      <c r="E1" s="581"/>
      <c r="F1" s="581"/>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2" t="s">
        <v>133</v>
      </c>
      <c r="K3" s="583"/>
      <c r="L3" s="584"/>
      <c r="M3" s="213"/>
      <c r="N3" s="601" t="s">
        <v>122</v>
      </c>
      <c r="O3" s="601"/>
      <c r="P3" s="601"/>
      <c r="Q3" s="601"/>
      <c r="R3" s="601"/>
      <c r="S3" s="601"/>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7" t="s">
        <v>4</v>
      </c>
      <c r="K4" s="588"/>
      <c r="L4" s="223">
        <f ca="1">IF(ISERROR(Access_Data!$D$33),0,Access_Data!$D$33)</f>
        <v>0</v>
      </c>
      <c r="M4" s="213"/>
      <c r="N4" s="224" t="s">
        <v>121</v>
      </c>
      <c r="O4" s="225" t="s">
        <v>120</v>
      </c>
      <c r="P4" s="585" t="s">
        <v>131</v>
      </c>
      <c r="Q4" s="586"/>
      <c r="R4" s="226" t="s">
        <v>215</v>
      </c>
      <c r="S4" s="226" t="s">
        <v>219</v>
      </c>
      <c r="T4" s="219"/>
      <c r="U4" s="505"/>
      <c r="V4" s="505"/>
      <c r="W4" s="505"/>
      <c r="X4" s="505"/>
      <c r="Y4" s="505"/>
      <c r="Z4" s="505"/>
      <c r="AA4" s="505"/>
      <c r="AB4" s="505"/>
      <c r="AC4" s="222"/>
    </row>
    <row r="5" spans="1:29" x14ac:dyDescent="0.2">
      <c r="A5" s="215"/>
      <c r="B5" s="220"/>
      <c r="C5" s="221" t="s">
        <v>56</v>
      </c>
      <c r="D5" s="558"/>
      <c r="E5" s="559"/>
      <c r="F5" s="559"/>
      <c r="G5" s="559"/>
      <c r="H5" s="560"/>
      <c r="I5" s="227"/>
      <c r="J5" s="587" t="s">
        <v>5</v>
      </c>
      <c r="K5" s="588"/>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4"/>
      <c r="E6" s="605"/>
      <c r="F6" s="605"/>
      <c r="G6" s="605"/>
      <c r="H6" s="606"/>
      <c r="I6" s="227"/>
      <c r="J6" s="587" t="s">
        <v>132</v>
      </c>
      <c r="K6" s="588"/>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9"/>
      <c r="L13" s="600"/>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2" t="str">
        <f>IF(MONTH(D13-D12)=1,D9&amp;TEXT(D12,"mmddyy"),CONCATENATE(D9&amp;"_"&amp;TEXT(D12,"mmyy")))</f>
        <v>010000</v>
      </c>
      <c r="E14" s="603"/>
      <c r="F14" s="213"/>
      <c r="G14" s="218" t="str">
        <f>IF(Access_Data!$D$52=1,"!!!!! OVEN OVERSHOT IN POINTS 29-40","")</f>
        <v/>
      </c>
      <c r="H14" s="213"/>
      <c r="I14" s="213"/>
      <c r="J14" s="248" t="s">
        <v>211</v>
      </c>
      <c r="K14" s="593"/>
      <c r="L14" s="594"/>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91"/>
      <c r="L15" s="592"/>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610" t="s">
        <v>256</v>
      </c>
      <c r="K16" s="611"/>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610" t="s">
        <v>257</v>
      </c>
      <c r="K17" s="611"/>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9" t="str">
        <f>IF(K15="Salt",0, IF(OR(K15="Hot",K15="SIM Load Hot"),IF(OR(D26="",D28=""),"N/A",IF(ISBLANK(D26),"N/A",D28-D26)),"N/A"))</f>
        <v>N/A</v>
      </c>
      <c r="H19" s="590"/>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5" t="str">
        <f>IF(I94=TRUE,"SAT Tolerance (per AMS2750):","SAT Tolerance (per BAC5621):")</f>
        <v>SAT Tolerance (per AMS2750):</v>
      </c>
      <c r="C20" s="596"/>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7" t="s">
        <v>5322</v>
      </c>
      <c r="C24" s="598"/>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616" t="str">
        <f>IF(ISBLANK(D6),"",IF('Header Info'!CB2="x","CHECK INSTRUMENT CAL DATES!!!!             CHECK INSTRUMENT CAL DATES!!!!",""))</f>
        <v/>
      </c>
      <c r="I27" s="617"/>
      <c r="J27" s="617"/>
      <c r="K27" s="61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616"/>
      <c r="I28" s="617"/>
      <c r="J28" s="617"/>
      <c r="K28" s="61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2" t="s">
        <v>65</v>
      </c>
      <c r="C34" s="583"/>
      <c r="D34" s="583"/>
      <c r="E34" s="583"/>
      <c r="F34" s="583"/>
      <c r="G34" s="583"/>
      <c r="H34" s="583"/>
      <c r="I34" s="583"/>
      <c r="J34" s="583"/>
      <c r="K34" s="583"/>
      <c r="L34" s="584"/>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607" t="s">
        <v>48</v>
      </c>
      <c r="E46" s="608"/>
      <c r="F46" s="608"/>
      <c r="G46" s="608"/>
      <c r="H46" s="608"/>
      <c r="I46" s="609"/>
      <c r="J46" s="434"/>
      <c r="K46" s="434"/>
      <c r="L46" s="434"/>
      <c r="M46" s="561" t="s">
        <v>3905</v>
      </c>
      <c r="N46" s="562"/>
      <c r="O46" s="563"/>
      <c r="P46" s="564"/>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614" t="s">
        <v>3908</v>
      </c>
      <c r="Q47" s="614"/>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615" t="s">
        <v>3910</v>
      </c>
      <c r="N48" s="615"/>
      <c r="O48" s="461"/>
      <c r="P48" s="577" t="s">
        <v>5711</v>
      </c>
      <c r="Q48" s="578"/>
      <c r="R48" s="579"/>
      <c r="S48" s="511"/>
      <c r="T48" s="515"/>
      <c r="U48" s="577" t="s">
        <v>5714</v>
      </c>
      <c r="V48" s="578"/>
      <c r="W48" s="57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65" t="s">
        <v>5716</v>
      </c>
      <c r="Q49" s="566"/>
      <c r="R49" s="567"/>
      <c r="S49" s="535"/>
      <c r="T49" s="517"/>
      <c r="U49" s="565" t="s">
        <v>5715</v>
      </c>
      <c r="V49" s="566"/>
      <c r="W49" s="567"/>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68" t="s">
        <v>3913</v>
      </c>
      <c r="Q50" s="569"/>
      <c r="R50" s="570"/>
      <c r="S50" s="514"/>
      <c r="T50" s="518"/>
      <c r="U50" s="568" t="s">
        <v>3913</v>
      </c>
      <c r="V50" s="569"/>
      <c r="W50" s="570"/>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65" t="s">
        <v>5712</v>
      </c>
      <c r="Q51" s="566"/>
      <c r="R51" s="567"/>
      <c r="S51" s="535"/>
      <c r="T51" s="520"/>
      <c r="U51" s="565" t="s">
        <v>5717</v>
      </c>
      <c r="V51" s="566"/>
      <c r="W51" s="567"/>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68" t="s">
        <v>3913</v>
      </c>
      <c r="Q52" s="569"/>
      <c r="R52" s="570"/>
      <c r="S52" s="514"/>
      <c r="T52" s="519"/>
      <c r="U52" s="568" t="s">
        <v>3913</v>
      </c>
      <c r="V52" s="569"/>
      <c r="W52" s="570"/>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571" t="s">
        <v>5713</v>
      </c>
      <c r="Q53" s="572"/>
      <c r="R53" s="573"/>
      <c r="S53" s="536"/>
      <c r="T53" s="516"/>
      <c r="U53" s="571" t="s">
        <v>5718</v>
      </c>
      <c r="V53" s="572"/>
      <c r="W53" s="573"/>
      <c r="X53" s="463"/>
    </row>
    <row r="54" spans="1:24" x14ac:dyDescent="0.2">
      <c r="A54" s="215"/>
      <c r="B54" s="296"/>
      <c r="C54" s="443" t="s">
        <v>113</v>
      </c>
      <c r="D54" s="362"/>
      <c r="E54" s="362"/>
      <c r="F54" s="362"/>
      <c r="G54" s="362"/>
      <c r="H54" s="362"/>
      <c r="I54" s="362"/>
      <c r="J54" s="354"/>
      <c r="K54" s="489"/>
      <c r="L54" s="490"/>
      <c r="M54" s="491" t="s">
        <v>5114</v>
      </c>
      <c r="N54" s="500" t="s">
        <v>5118</v>
      </c>
      <c r="O54" s="271"/>
      <c r="P54" s="574"/>
      <c r="Q54" s="575"/>
      <c r="R54" s="576"/>
      <c r="S54" s="513"/>
      <c r="T54" s="510"/>
      <c r="U54" s="574"/>
      <c r="V54" s="575"/>
      <c r="W54" s="576"/>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607" t="s">
        <v>249</v>
      </c>
      <c r="D58" s="608"/>
      <c r="E58" s="608"/>
      <c r="F58" s="608"/>
      <c r="G58" s="608"/>
      <c r="H58" s="608"/>
      <c r="I58" s="608"/>
      <c r="J58" s="608"/>
      <c r="K58" s="612"/>
      <c r="L58" s="613"/>
      <c r="M58" s="382"/>
      <c r="N58" s="382"/>
      <c r="O58" s="382"/>
      <c r="P58" s="382"/>
      <c r="Q58" s="382"/>
      <c r="R58" s="435"/>
      <c r="S58" s="435"/>
      <c r="T58" s="435"/>
      <c r="U58" s="435"/>
    </row>
    <row r="59" spans="1:24" x14ac:dyDescent="0.2">
      <c r="A59" s="215"/>
      <c r="B59" s="294"/>
      <c r="C59" s="607" t="s">
        <v>254</v>
      </c>
      <c r="D59" s="608"/>
      <c r="E59" s="608"/>
      <c r="F59" s="608"/>
      <c r="G59" s="608"/>
      <c r="H59" s="608"/>
      <c r="I59" s="608"/>
      <c r="J59" s="608"/>
      <c r="K59" s="608"/>
      <c r="L59" s="609"/>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f>TUS_Worksheet!C$13</f>
        <v/>
      </c>
      <c r="C72" s="328">
        <v>1</v>
      </c>
      <c r="D72" s="329" t="str">
        <f>IF(B72="","",C72)</f>
        <v/>
      </c>
      <c r="E72" s="329"/>
      <c r="F72" s="329"/>
      <c r="G72" s="329"/>
      <c r="H72" s="329"/>
      <c r="I72" s="329"/>
      <c r="J72" s="329"/>
      <c r="K72" s="329"/>
      <c r="L72" s="329"/>
      <c r="M72" s="329"/>
      <c r="N72" s="330">
        <f ca="1">IF(Access_Data!B$27="",0,Access_Data!B$27)</f>
        <v>0</v>
      </c>
      <c r="O72" s="330">
        <f ca="1">IF(Access_Data!$B$29="",0,Access_Data!$B$29)</f>
        <v>0</v>
      </c>
      <c r="P72" s="330" t="str">
        <f ca="1">IF(ISERROR(Access_Data!$B$31),0,Access_Data!$B$31)</f>
        <v/>
      </c>
      <c r="Q72" s="329"/>
    </row>
    <row r="73" spans="1:17" x14ac:dyDescent="0.2">
      <c r="A73" s="326"/>
      <c r="B73" s="327" t="str">
        <f>TUS_Worksheet!D$13</f>
        <v/>
      </c>
      <c r="C73" s="328">
        <v>2</v>
      </c>
      <c r="D73" s="329" t="str">
        <f t="shared" ref="D73:D111" si="2">IF(B73="","",C73)</f>
        <v/>
      </c>
      <c r="E73" s="329"/>
      <c r="F73" s="329"/>
      <c r="G73" s="329"/>
      <c r="H73" s="329"/>
      <c r="I73" s="329"/>
      <c r="J73" s="329"/>
      <c r="K73" s="329"/>
      <c r="L73" s="329"/>
      <c r="M73" s="329"/>
      <c r="N73" s="330">
        <f ca="1">IF(Access_Data!C$27="",0,Access_Data!C$27)</f>
        <v>0</v>
      </c>
      <c r="O73" s="330">
        <f ca="1">IF(Access_Data!$C$29="",0,Access_Data!$C$29)</f>
        <v>0</v>
      </c>
      <c r="P73" s="330" t="str">
        <f ca="1">IF(ISERROR(Access_Data!$C$31),0,Access_Data!$C$31)</f>
        <v/>
      </c>
      <c r="Q73" s="329"/>
    </row>
    <row r="74" spans="1:17" x14ac:dyDescent="0.2">
      <c r="A74" s="326"/>
      <c r="B74" s="327" t="str">
        <f>TUS_Worksheet!E$13</f>
        <v/>
      </c>
      <c r="C74" s="328">
        <v>3</v>
      </c>
      <c r="D74" s="329" t="str">
        <f t="shared" si="2"/>
        <v/>
      </c>
      <c r="E74" s="329"/>
      <c r="F74" s="329"/>
      <c r="G74" s="329"/>
      <c r="H74" s="329"/>
      <c r="I74" s="329"/>
      <c r="J74" s="329"/>
      <c r="K74" s="329"/>
      <c r="L74" s="329"/>
      <c r="M74" s="329"/>
      <c r="N74" s="330">
        <f ca="1">IF(Access_Data!D$27="",0,Access_Data!D$27)</f>
        <v>0</v>
      </c>
      <c r="O74" s="330">
        <f ca="1">IF(Access_Data!$D$29="",0,Access_Data!$D$29)</f>
        <v>0</v>
      </c>
      <c r="P74" s="330" t="str">
        <f ca="1">IF(ISERROR(Access_Data!$D$31),0,Access_Data!$D$31)</f>
        <v/>
      </c>
      <c r="Q74" s="329"/>
    </row>
    <row r="75" spans="1:17" x14ac:dyDescent="0.2">
      <c r="A75" s="326"/>
      <c r="B75" s="327" t="str">
        <f>TUS_Worksheet!F$13</f>
        <v/>
      </c>
      <c r="C75" s="328">
        <v>4</v>
      </c>
      <c r="D75" s="329" t="str">
        <f t="shared" si="2"/>
        <v/>
      </c>
      <c r="E75" s="329"/>
      <c r="F75" s="329"/>
      <c r="G75" s="329"/>
      <c r="H75" s="329"/>
      <c r="I75" s="329"/>
      <c r="J75" s="329"/>
      <c r="K75" s="329"/>
      <c r="L75" s="329"/>
      <c r="M75" s="329"/>
      <c r="N75" s="330">
        <f ca="1">IF(Access_Data!E$27="",0,Access_Data!E$27)</f>
        <v>0</v>
      </c>
      <c r="O75" s="330">
        <f ca="1">IF(Access_Data!$E$29="",0,Access_Data!$E$29)</f>
        <v>0</v>
      </c>
      <c r="P75" s="330" t="str">
        <f ca="1">IF(ISERROR(Access_Data!$E$31),0,Access_Data!$E$31)</f>
        <v/>
      </c>
      <c r="Q75" s="329"/>
    </row>
    <row r="76" spans="1:17" x14ac:dyDescent="0.2">
      <c r="A76" s="326"/>
      <c r="B76" s="327" t="str">
        <f>TUS_Worksheet!G$13</f>
        <v/>
      </c>
      <c r="C76" s="328">
        <v>5</v>
      </c>
      <c r="D76" s="329" t="str">
        <f t="shared" si="2"/>
        <v/>
      </c>
      <c r="E76" s="329"/>
      <c r="F76" s="329"/>
      <c r="G76" s="329"/>
      <c r="H76" s="329"/>
      <c r="I76" s="329"/>
      <c r="J76" s="329"/>
      <c r="K76" s="329"/>
      <c r="L76" s="329"/>
      <c r="M76" s="329"/>
      <c r="N76" s="330">
        <f ca="1">IF(Access_Data!F$27="",0,Access_Data!F$27)</f>
        <v>0</v>
      </c>
      <c r="O76" s="330">
        <f ca="1">IF(Access_Data!$F$29="",0,Access_Data!$F$29)</f>
        <v>0</v>
      </c>
      <c r="P76" s="330" t="str">
        <f ca="1">IF(ISERROR(Access_Data!$F$31),0,Access_Data!$F$31)</f>
        <v/>
      </c>
      <c r="Q76" s="329"/>
    </row>
    <row r="77" spans="1:17" x14ac:dyDescent="0.2">
      <c r="A77" s="326"/>
      <c r="B77" s="327" t="str">
        <f>TUS_Worksheet!H$13</f>
        <v/>
      </c>
      <c r="C77" s="328">
        <v>6</v>
      </c>
      <c r="D77" s="329" t="str">
        <f t="shared" si="2"/>
        <v/>
      </c>
      <c r="E77" s="329"/>
      <c r="F77" s="329"/>
      <c r="G77" s="329"/>
      <c r="H77" s="329"/>
      <c r="I77" s="329"/>
      <c r="J77" s="329"/>
      <c r="K77" s="329"/>
      <c r="L77" s="329"/>
      <c r="M77" s="329"/>
      <c r="N77" s="330">
        <f ca="1">IF(Access_Data!G$27="",0,Access_Data!G$27)</f>
        <v>0</v>
      </c>
      <c r="O77" s="330">
        <f ca="1">IF(Access_Data!$G$29="",0,Access_Data!$G$29)</f>
        <v>0</v>
      </c>
      <c r="P77" s="330" t="str">
        <f ca="1">IF(ISERROR(Access_Data!$G$31),0,Access_Data!$G$31)</f>
        <v/>
      </c>
      <c r="Q77" s="329"/>
    </row>
    <row r="78" spans="1:17" x14ac:dyDescent="0.2">
      <c r="A78" s="326"/>
      <c r="B78" s="327" t="str">
        <f>TUS_Worksheet!I$13</f>
        <v/>
      </c>
      <c r="C78" s="328">
        <v>7</v>
      </c>
      <c r="D78" s="329" t="str">
        <f t="shared" si="2"/>
        <v/>
      </c>
      <c r="E78" s="329"/>
      <c r="F78" s="329"/>
      <c r="G78" s="329"/>
      <c r="H78" s="329"/>
      <c r="I78" s="329"/>
      <c r="J78" s="329"/>
      <c r="K78" s="329"/>
      <c r="L78" s="329"/>
      <c r="M78" s="329"/>
      <c r="N78" s="330">
        <f ca="1">IF(Access_Data!H$27="",0,Access_Data!H$27)</f>
        <v>0</v>
      </c>
      <c r="O78" s="330">
        <f ca="1">IF(Access_Data!$H$29="",0,Access_Data!$H$29)</f>
        <v>0</v>
      </c>
      <c r="P78" s="330" t="str">
        <f ca="1">IF(ISERROR(Access_Data!$H$31),0,Access_Data!$H$31)</f>
        <v/>
      </c>
      <c r="Q78" s="329"/>
    </row>
    <row r="79" spans="1:17" x14ac:dyDescent="0.2">
      <c r="A79" s="326"/>
      <c r="B79" s="327" t="str">
        <f>TUS_Worksheet!J$13</f>
        <v/>
      </c>
      <c r="C79" s="328">
        <v>8</v>
      </c>
      <c r="D79" s="329" t="str">
        <f t="shared" si="2"/>
        <v/>
      </c>
      <c r="E79" s="329"/>
      <c r="F79" s="329"/>
      <c r="G79" s="329"/>
      <c r="H79" s="329"/>
      <c r="I79" s="329"/>
      <c r="J79" s="329"/>
      <c r="K79" s="329"/>
      <c r="L79" s="329"/>
      <c r="M79" s="329"/>
      <c r="N79" s="330">
        <f ca="1">IF(Access_Data!I$27="",0,Access_Data!I$27)</f>
        <v>0</v>
      </c>
      <c r="O79" s="330">
        <f ca="1">IF(Access_Data!$I$29="",0,Access_Data!$I$29)</f>
        <v>0</v>
      </c>
      <c r="P79" s="330" t="str">
        <f ca="1">IF(ISERROR(Access_Data!$I$31),0,Access_Data!$I$31)</f>
        <v/>
      </c>
      <c r="Q79" s="329"/>
    </row>
    <row r="80" spans="1:17" x14ac:dyDescent="0.2">
      <c r="A80" s="326"/>
      <c r="B80" s="327" t="str">
        <f>TUS_Worksheet!K$13</f>
        <v/>
      </c>
      <c r="C80" s="328">
        <v>9</v>
      </c>
      <c r="D80" s="329" t="str">
        <f t="shared" si="2"/>
        <v/>
      </c>
      <c r="E80" s="329"/>
      <c r="F80" s="329"/>
      <c r="G80" s="329"/>
      <c r="H80" s="329"/>
      <c r="I80" s="329"/>
      <c r="J80" s="329"/>
      <c r="K80" s="329"/>
      <c r="L80" s="329"/>
      <c r="M80" s="329"/>
      <c r="N80" s="330">
        <f ca="1">IF(Access_Data!J$27="",0,Access_Data!J$27)</f>
        <v>0</v>
      </c>
      <c r="O80" s="330">
        <f ca="1">IF(Access_Data!$J$29="",0,Access_Data!$J$29)</f>
        <v>0</v>
      </c>
      <c r="P80" s="330" t="str">
        <f ca="1">IF(ISERROR(Access_Data!$J$31),0,Access_Data!$J$31)</f>
        <v/>
      </c>
      <c r="Q80" s="329"/>
    </row>
    <row r="81" spans="1:17" x14ac:dyDescent="0.2">
      <c r="A81" s="326"/>
      <c r="B81" s="327" t="str">
        <f>TUS_Worksheet!L$13</f>
        <v/>
      </c>
      <c r="C81" s="328">
        <v>10</v>
      </c>
      <c r="D81" s="329" t="str">
        <f t="shared" si="2"/>
        <v/>
      </c>
      <c r="E81" s="329"/>
      <c r="F81" s="329"/>
      <c r="G81" s="329"/>
      <c r="H81" s="329"/>
      <c r="I81" s="329"/>
      <c r="J81" s="329"/>
      <c r="K81" s="329"/>
      <c r="L81" s="329"/>
      <c r="M81" s="329"/>
      <c r="N81" s="330">
        <f ca="1">IF(Access_Data!K$27="",0,Access_Data!K$27)</f>
        <v>0</v>
      </c>
      <c r="O81" s="330">
        <f ca="1">IF(Access_Data!$K$29="",0,Access_Data!$K$29)</f>
        <v>0</v>
      </c>
      <c r="P81" s="330" t="str">
        <f ca="1">IF(ISERROR(Access_Data!$K$31),0,Access_Data!$K$31)</f>
        <v/>
      </c>
      <c r="Q81" s="329"/>
    </row>
    <row r="82" spans="1:17" x14ac:dyDescent="0.2">
      <c r="A82" s="326"/>
      <c r="B82" s="327" t="str">
        <f>TUS_Worksheet!M$13</f>
        <v/>
      </c>
      <c r="C82" s="328">
        <v>11</v>
      </c>
      <c r="D82" s="329" t="str">
        <f t="shared" si="2"/>
        <v/>
      </c>
      <c r="E82" s="329"/>
      <c r="F82" s="329"/>
      <c r="G82" s="329"/>
      <c r="H82" s="329"/>
      <c r="I82" s="329"/>
      <c r="J82" s="329"/>
      <c r="K82" s="329"/>
      <c r="L82" s="329"/>
      <c r="M82" s="329"/>
      <c r="N82" s="330">
        <f ca="1">IF(Access_Data!L$27="",0,Access_Data!L$27)</f>
        <v>0</v>
      </c>
      <c r="O82" s="330">
        <f ca="1">IF(Access_Data!$L$29="",0,Access_Data!$L$29)</f>
        <v>0</v>
      </c>
      <c r="P82" s="330" t="str">
        <f ca="1">IF(ISERROR(Access_Data!$L$31),0,Access_Data!$L$31)</f>
        <v/>
      </c>
      <c r="Q82" s="329"/>
    </row>
    <row r="83" spans="1:17" x14ac:dyDescent="0.2">
      <c r="A83" s="326"/>
      <c r="B83" s="327" t="str">
        <f>TUS_Worksheet!N$13</f>
        <v/>
      </c>
      <c r="C83" s="328">
        <v>12</v>
      </c>
      <c r="D83" s="329" t="str">
        <f t="shared" si="2"/>
        <v/>
      </c>
      <c r="E83" s="336"/>
      <c r="F83" s="337"/>
      <c r="G83" s="338"/>
      <c r="H83" s="339"/>
      <c r="I83" s="336"/>
      <c r="J83" s="337"/>
      <c r="K83" s="338"/>
      <c r="L83" s="339"/>
      <c r="M83" s="329"/>
      <c r="N83" s="330">
        <f ca="1">IF(Access_Data!M$27="",0,Access_Data!M$27)</f>
        <v>0</v>
      </c>
      <c r="O83" s="330">
        <f ca="1">IF(Access_Data!$M$29="",0,Access_Data!$M$29)</f>
        <v>0</v>
      </c>
      <c r="P83" s="330" t="str">
        <f ca="1">IF(ISERROR(Access_Data!$M$31),0,Access_Data!$M$31)</f>
        <v/>
      </c>
      <c r="Q83" s="329"/>
    </row>
    <row r="84" spans="1:17" x14ac:dyDescent="0.2">
      <c r="A84" s="326"/>
      <c r="B84" s="327" t="str">
        <f>TUS_Worksheet!O$13</f>
        <v/>
      </c>
      <c r="C84" s="328">
        <v>13</v>
      </c>
      <c r="D84" s="329" t="str">
        <f t="shared" si="2"/>
        <v/>
      </c>
      <c r="E84" s="341"/>
      <c r="F84" s="345" t="s">
        <v>234</v>
      </c>
      <c r="G84" s="346"/>
      <c r="H84" s="347"/>
      <c r="I84" s="348"/>
      <c r="J84" s="337"/>
      <c r="K84" s="338"/>
      <c r="L84" s="339"/>
      <c r="M84" s="329"/>
      <c r="N84" s="330">
        <f ca="1">IF(Access_Data!N$27="",0,Access_Data!N$27)</f>
        <v>0</v>
      </c>
      <c r="O84" s="330">
        <f ca="1">IF(Access_Data!$N$29="",0,Access_Data!$N$29)</f>
        <v>0</v>
      </c>
      <c r="P84" s="330" t="str">
        <f ca="1">IF(ISERROR(Access_Data!$N$31),0,Access_Data!$N$31)</f>
        <v/>
      </c>
      <c r="Q84" s="329"/>
    </row>
    <row r="85" spans="1:17" x14ac:dyDescent="0.2">
      <c r="A85" s="326"/>
      <c r="B85" s="327" t="str">
        <f>TUS_Worksheet!P$13</f>
        <v/>
      </c>
      <c r="C85" s="328">
        <v>14</v>
      </c>
      <c r="D85" s="329" t="str">
        <f t="shared" si="2"/>
        <v/>
      </c>
      <c r="E85" s="341"/>
      <c r="F85" s="345" t="s">
        <v>235</v>
      </c>
      <c r="G85" s="346" t="s">
        <v>233</v>
      </c>
      <c r="H85" s="347" t="s">
        <v>232</v>
      </c>
      <c r="I85" s="348"/>
      <c r="J85" s="337"/>
      <c r="K85" s="338"/>
      <c r="L85" s="339"/>
      <c r="M85" s="329"/>
      <c r="N85" s="330">
        <f ca="1">IF(Access_Data!O$27="",0,Access_Data!O$27)</f>
        <v>0</v>
      </c>
      <c r="O85" s="330">
        <f ca="1">IF(Access_Data!$O$29="",0,Access_Data!$O$29)</f>
        <v>0</v>
      </c>
      <c r="P85" s="330" t="str">
        <f ca="1">IF(ISERROR(Access_Data!$O$31),0,Access_Data!$O$31)</f>
        <v/>
      </c>
      <c r="Q85" s="329"/>
    </row>
    <row r="86" spans="1:17" x14ac:dyDescent="0.2">
      <c r="A86" s="326"/>
      <c r="B86" s="327" t="str">
        <f>TUS_Worksheet!C$19</f>
        <v/>
      </c>
      <c r="C86" s="328">
        <v>15</v>
      </c>
      <c r="D86" s="329" t="str">
        <f t="shared" si="2"/>
        <v/>
      </c>
      <c r="E86" s="341"/>
      <c r="F86" s="345">
        <v>1</v>
      </c>
      <c r="G86" s="346">
        <v>5</v>
      </c>
      <c r="H86" s="477">
        <f>MAX(I86:J86)</f>
        <v>2</v>
      </c>
      <c r="I86" s="348">
        <f>D16*0.002</f>
        <v>0</v>
      </c>
      <c r="J86" s="476">
        <v>2</v>
      </c>
      <c r="K86" s="338"/>
      <c r="L86" s="339"/>
      <c r="M86" s="329"/>
      <c r="N86" s="330" t="e">
        <f ca="1">IF(Access_Data!V$27="",0,Access_Data!V$27)</f>
        <v>#N/A</v>
      </c>
      <c r="O86" s="330" t="e">
        <f ca="1">IF(Access_Data!$V$29="",0,Access_Data!$V$29)</f>
        <v>#N/A</v>
      </c>
      <c r="P86" s="330">
        <f ca="1">IF(ISERROR(Access_Data!$V$31),0,Access_Data!$V$31)</f>
        <v>0</v>
      </c>
      <c r="Q86" s="329"/>
    </row>
    <row r="87" spans="1:17" x14ac:dyDescent="0.2">
      <c r="A87" s="326"/>
      <c r="B87" s="327" t="str">
        <f>TUS_Worksheet!D$19</f>
        <v/>
      </c>
      <c r="C87" s="328">
        <v>16</v>
      </c>
      <c r="D87" s="329" t="str">
        <f t="shared" si="2"/>
        <v/>
      </c>
      <c r="E87" s="341"/>
      <c r="F87" s="345">
        <v>2</v>
      </c>
      <c r="G87" s="346">
        <v>10</v>
      </c>
      <c r="H87" s="477">
        <f t="shared" ref="H87:H91" si="3">MAX(I87:J87)</f>
        <v>3</v>
      </c>
      <c r="I87" s="348">
        <f>D16*0.003</f>
        <v>0</v>
      </c>
      <c r="J87" s="476">
        <v>3</v>
      </c>
      <c r="K87" s="338"/>
      <c r="L87" s="339"/>
      <c r="M87" s="329"/>
      <c r="N87" s="330" t="e">
        <f ca="1">IF(Access_Data!W$27="",0,Access_Data!W$27)</f>
        <v>#N/A</v>
      </c>
      <c r="O87" s="330" t="e">
        <f ca="1">IF(Access_Data!$W$29="",0,Access_Data!$W$29)</f>
        <v>#N/A</v>
      </c>
      <c r="P87" s="330">
        <f ca="1">IF(ISERROR(Access_Data!$W$31),0,Access_Data!$W$31)</f>
        <v>0</v>
      </c>
      <c r="Q87" s="329"/>
    </row>
    <row r="88" spans="1:17" x14ac:dyDescent="0.2">
      <c r="A88" s="326"/>
      <c r="B88" s="327" t="str">
        <f>TUS_Worksheet!E$19</f>
        <v/>
      </c>
      <c r="C88" s="328">
        <v>17</v>
      </c>
      <c r="D88" s="329" t="str">
        <f t="shared" si="2"/>
        <v/>
      </c>
      <c r="E88" s="341"/>
      <c r="F88" s="345">
        <v>3</v>
      </c>
      <c r="G88" s="346">
        <v>15</v>
      </c>
      <c r="H88" s="477">
        <f t="shared" si="3"/>
        <v>4</v>
      </c>
      <c r="I88" s="348">
        <f>D16*0.004</f>
        <v>0</v>
      </c>
      <c r="J88" s="476">
        <v>4</v>
      </c>
      <c r="K88" s="338"/>
      <c r="L88" s="339"/>
      <c r="M88" s="329"/>
      <c r="N88" s="330" t="e">
        <f ca="1">IF(Access_Data!X$27="",0,Access_Data!X$27)</f>
        <v>#N/A</v>
      </c>
      <c r="O88" s="330" t="e">
        <f ca="1">IF(Access_Data!$X$29="",0,Access_Data!$X$29)</f>
        <v>#N/A</v>
      </c>
      <c r="P88" s="330">
        <f ca="1">IF(ISERROR(Access_Data!$X$31),0,Access_Data!$X$31)</f>
        <v>0</v>
      </c>
      <c r="Q88" s="329"/>
    </row>
    <row r="89" spans="1:17" x14ac:dyDescent="0.2">
      <c r="A89" s="326"/>
      <c r="B89" s="327" t="str">
        <f>TUS_Worksheet!F$19</f>
        <v/>
      </c>
      <c r="C89" s="328">
        <v>18</v>
      </c>
      <c r="D89" s="329" t="str">
        <f t="shared" si="2"/>
        <v/>
      </c>
      <c r="E89" s="341"/>
      <c r="F89" s="345">
        <v>4</v>
      </c>
      <c r="G89" s="346">
        <v>20</v>
      </c>
      <c r="H89" s="477">
        <f t="shared" si="3"/>
        <v>4</v>
      </c>
      <c r="I89" s="348">
        <f>D16*0.004</f>
        <v>0</v>
      </c>
      <c r="J89" s="476">
        <v>4</v>
      </c>
      <c r="K89" s="338"/>
      <c r="L89" s="339"/>
      <c r="M89" s="329"/>
      <c r="N89" s="330" t="e">
        <f ca="1">IF(Access_Data!Y$27="",0,Access_Data!Y$27)</f>
        <v>#N/A</v>
      </c>
      <c r="O89" s="330" t="e">
        <f ca="1">IF(Access_Data!$Y$29="",0,Access_Data!$Y$29)</f>
        <v>#N/A</v>
      </c>
      <c r="P89" s="330">
        <f ca="1">IF(ISERROR(Access_Data!$Y$31),0,Access_Data!$Y$31)</f>
        <v>0</v>
      </c>
      <c r="Q89" s="329"/>
    </row>
    <row r="90" spans="1:17" x14ac:dyDescent="0.2">
      <c r="A90" s="326"/>
      <c r="B90" s="327" t="str">
        <f>TUS_Worksheet!G$19</f>
        <v/>
      </c>
      <c r="C90" s="328">
        <v>19</v>
      </c>
      <c r="D90" s="329" t="str">
        <f t="shared" si="2"/>
        <v/>
      </c>
      <c r="E90" s="341"/>
      <c r="F90" s="345">
        <v>5</v>
      </c>
      <c r="G90" s="346">
        <v>25</v>
      </c>
      <c r="H90" s="477">
        <f t="shared" si="3"/>
        <v>5</v>
      </c>
      <c r="I90" s="348">
        <f>D16*0.005</f>
        <v>0</v>
      </c>
      <c r="J90" s="476">
        <v>5</v>
      </c>
      <c r="K90" s="338"/>
      <c r="L90" s="339"/>
      <c r="M90" s="329"/>
      <c r="N90" s="330" t="e">
        <f ca="1">IF(Access_Data!Z$27="",0,Access_Data!Z$27)</f>
        <v>#N/A</v>
      </c>
      <c r="O90" s="330" t="e">
        <f ca="1">IF(Access_Data!$Z$29="",0,Access_Data!$Z$29)</f>
        <v>#N/A</v>
      </c>
      <c r="P90" s="330">
        <f ca="1">IF(ISERROR(Access_Data!$Z$31),0,Access_Data!$Z$31)</f>
        <v>0</v>
      </c>
      <c r="Q90" s="329"/>
    </row>
    <row r="91" spans="1:17" x14ac:dyDescent="0.2">
      <c r="A91" s="326"/>
      <c r="B91" s="327" t="str">
        <f>TUS_Worksheet!H$19</f>
        <v/>
      </c>
      <c r="C91" s="328">
        <v>20</v>
      </c>
      <c r="D91" s="329" t="str">
        <f t="shared" si="2"/>
        <v/>
      </c>
      <c r="E91" s="341"/>
      <c r="F91" s="345">
        <v>6</v>
      </c>
      <c r="G91" s="346">
        <v>50</v>
      </c>
      <c r="H91" s="477">
        <f t="shared" si="3"/>
        <v>10</v>
      </c>
      <c r="I91" s="348">
        <f>D16*0.01</f>
        <v>0</v>
      </c>
      <c r="J91" s="476">
        <v>10</v>
      </c>
      <c r="K91" s="338"/>
      <c r="L91" s="339"/>
      <c r="M91" s="329"/>
      <c r="N91" s="330" t="e">
        <f ca="1">IF(Access_Data!AA$27="",0,Access_Data!AA$27)</f>
        <v>#N/A</v>
      </c>
      <c r="O91" s="330" t="e">
        <f ca="1">IF(Access_Data!$AA$29="",0,Access_Data!$AA$29)</f>
        <v>#N/A</v>
      </c>
      <c r="P91" s="330">
        <f ca="1">IF(ISERROR(Access_Data!$AA$31),0,Access_Data!$AA$31)</f>
        <v>0</v>
      </c>
      <c r="Q91" s="329"/>
    </row>
    <row r="92" spans="1:17" x14ac:dyDescent="0.2">
      <c r="A92" s="326"/>
      <c r="B92" s="327" t="str">
        <f>TUS_Worksheet!I$19</f>
        <v/>
      </c>
      <c r="C92" s="328">
        <v>21</v>
      </c>
      <c r="D92" s="329" t="str">
        <f t="shared" si="2"/>
        <v/>
      </c>
      <c r="E92" s="341"/>
      <c r="F92" s="345"/>
      <c r="G92" s="346"/>
      <c r="H92" s="347"/>
      <c r="I92" s="348"/>
      <c r="J92" s="337"/>
      <c r="K92" s="338"/>
      <c r="L92" s="339"/>
      <c r="M92" s="329"/>
      <c r="N92" s="330" t="e">
        <f ca="1">IF(Access_Data!AB$27="",0,Access_Data!AB$27)</f>
        <v>#N/A</v>
      </c>
      <c r="O92" s="330" t="e">
        <f ca="1">IF(Access_Data!$AB$29="",0,Access_Data!$AB$29)</f>
        <v>#N/A</v>
      </c>
      <c r="P92" s="330">
        <f ca="1">IF(ISERROR(Access_Data!$AB$31),0,Access_Data!$AB$31)</f>
        <v>0</v>
      </c>
      <c r="Q92" s="329"/>
    </row>
    <row r="93" spans="1:17" x14ac:dyDescent="0.2">
      <c r="A93" s="326"/>
      <c r="B93" s="327" t="str">
        <f>TUS_Worksheet!J$19</f>
        <v/>
      </c>
      <c r="C93" s="328">
        <v>22</v>
      </c>
      <c r="D93" s="329" t="str">
        <f t="shared" si="2"/>
        <v/>
      </c>
      <c r="E93" s="341"/>
      <c r="F93" s="345" t="s">
        <v>1922</v>
      </c>
      <c r="G93" s="346" t="e">
        <f>VLOOKUP(D19,G86:H91,2,FALSE)</f>
        <v>#N/A</v>
      </c>
      <c r="H93" s="347" t="s">
        <v>1923</v>
      </c>
      <c r="I93" s="348"/>
      <c r="J93" s="337"/>
      <c r="K93" s="338"/>
      <c r="L93" s="339"/>
      <c r="M93" s="329"/>
      <c r="N93" s="330" t="e">
        <f ca="1">IF(Access_Data!AC$27="",0,Access_Data!AC$27)</f>
        <v>#N/A</v>
      </c>
      <c r="O93" s="330" t="e">
        <f ca="1">IF(Access_Data!$AC$29="",0,Access_Data!$AC$29)</f>
        <v>#N/A</v>
      </c>
      <c r="P93" s="330">
        <f ca="1">IF(ISERROR(Access_Data!$AC$31),0,Access_Data!$AC$31)</f>
        <v>0</v>
      </c>
      <c r="Q93" s="329"/>
    </row>
    <row r="94" spans="1:17" x14ac:dyDescent="0.2">
      <c r="A94" s="326"/>
      <c r="B94" s="327" t="str">
        <f>TUS_Worksheet!K$19</f>
        <v/>
      </c>
      <c r="C94" s="328">
        <v>23</v>
      </c>
      <c r="D94" s="329" t="str">
        <f t="shared" si="2"/>
        <v/>
      </c>
      <c r="E94" s="341"/>
      <c r="F94" s="342"/>
      <c r="G94" s="343" t="e">
        <f>CONCATENATE(F93,G93,H93)</f>
        <v>#N/A</v>
      </c>
      <c r="H94" s="344"/>
      <c r="I94" s="341" t="b">
        <v>1</v>
      </c>
      <c r="J94" s="337"/>
      <c r="K94" s="338"/>
      <c r="L94" s="339"/>
      <c r="M94" s="329"/>
      <c r="N94" s="330" t="e">
        <f ca="1">IF(Access_Data!AD$27="",0,Access_Data!AD$27)</f>
        <v>#N/A</v>
      </c>
      <c r="O94" s="330" t="e">
        <f ca="1">IF(Access_Data!$AD27="",0,Access_Data!$AD$29)</f>
        <v>#N/A</v>
      </c>
      <c r="P94" s="330">
        <f ca="1">IF(ISERROR(Access_Data!$AD31),0,Access_Data!$AD$31)</f>
        <v>0</v>
      </c>
      <c r="Q94" s="329"/>
    </row>
    <row r="95" spans="1:17" x14ac:dyDescent="0.2">
      <c r="A95" s="326"/>
      <c r="B95" s="327" t="str">
        <f>TUS_Worksheet!L$19</f>
        <v/>
      </c>
      <c r="C95" s="328">
        <v>24</v>
      </c>
      <c r="D95" s="329" t="str">
        <f t="shared" si="2"/>
        <v/>
      </c>
      <c r="E95" s="336"/>
      <c r="F95" s="337"/>
      <c r="G95" s="338" t="e">
        <f>ROUNDDOWN(G93,2-(1+INT(LOG10(ABS(G93)))))</f>
        <v>#N/A</v>
      </c>
      <c r="H95" s="339"/>
      <c r="I95" s="336"/>
      <c r="J95" s="337"/>
      <c r="K95" s="338"/>
      <c r="L95" s="339"/>
      <c r="M95" s="329"/>
      <c r="N95" s="330" t="e">
        <f ca="1">IF(Access_Data!AE$27="",0,Access_Data!AE$27)</f>
        <v>#N/A</v>
      </c>
      <c r="O95" s="330" t="e">
        <f ca="1">IF(Access_Data!$AE$29="",0,Access_Data!$AE$29)</f>
        <v>#N/A</v>
      </c>
      <c r="P95" s="330">
        <f ca="1">IF(ISERROR(Access_Data!$AE$31),0,Access_Data!$AE$31)</f>
        <v>0</v>
      </c>
      <c r="Q95" s="329"/>
    </row>
    <row r="96" spans="1:17" x14ac:dyDescent="0.2">
      <c r="A96" s="326"/>
      <c r="B96" s="327" t="str">
        <f>TUS_Worksheet!M$19</f>
        <v/>
      </c>
      <c r="C96" s="328">
        <v>25</v>
      </c>
      <c r="D96" s="329" t="str">
        <f t="shared" si="2"/>
        <v/>
      </c>
      <c r="E96" s="326"/>
      <c r="F96" s="327"/>
      <c r="G96" s="328"/>
      <c r="H96" s="329"/>
      <c r="I96" s="326"/>
      <c r="J96" s="327"/>
      <c r="K96" s="328"/>
      <c r="L96" s="329"/>
      <c r="M96" s="329"/>
      <c r="N96" s="330" t="e">
        <f ca="1">IF(Access_Data!AF$27="",0,Access_Data!AF$27)</f>
        <v>#N/A</v>
      </c>
      <c r="O96" s="330" t="e">
        <f ca="1">IF(Access_Data!$AF$29="",0,Access_Data!$AF$29)</f>
        <v>#N/A</v>
      </c>
      <c r="P96" s="330">
        <f ca="1">IF(ISERROR(Access_Data!$AF$31),0,Access_Data!$AF$31)</f>
        <v>0</v>
      </c>
      <c r="Q96" s="329"/>
    </row>
    <row r="97" spans="1:17" x14ac:dyDescent="0.2">
      <c r="A97" s="326"/>
      <c r="B97" s="327" t="str">
        <f>TUS_Worksheet!N$19</f>
        <v/>
      </c>
      <c r="C97" s="328">
        <v>26</v>
      </c>
      <c r="D97" s="329" t="str">
        <f t="shared" si="2"/>
        <v/>
      </c>
      <c r="E97" s="326"/>
      <c r="F97" s="327"/>
      <c r="G97" s="328"/>
      <c r="H97" s="329"/>
      <c r="I97" s="326"/>
      <c r="J97" s="327"/>
      <c r="K97" s="328"/>
      <c r="L97" s="329"/>
      <c r="M97" s="329"/>
      <c r="N97" s="330" t="e">
        <f ca="1">IF(Access_Data!AG$27="",0,Access_Data!AG$27)</f>
        <v>#N/A</v>
      </c>
      <c r="O97" s="330" t="e">
        <f ca="1">IF(Access_Data!$AG$29="",0,Access_Data!$AG$29)</f>
        <v>#N/A</v>
      </c>
      <c r="P97" s="330">
        <f ca="1">IF(ISERROR(Access_Data!$AG$31),0,Access_Data!$AG$31)</f>
        <v>0</v>
      </c>
      <c r="Q97" s="329"/>
    </row>
    <row r="98" spans="1:17" x14ac:dyDescent="0.2">
      <c r="A98" s="326"/>
      <c r="B98" s="327" t="str">
        <f>TUS_Worksheet!O$19</f>
        <v/>
      </c>
      <c r="C98" s="328">
        <v>27</v>
      </c>
      <c r="D98" s="329" t="str">
        <f t="shared" si="2"/>
        <v/>
      </c>
      <c r="E98" s="329"/>
      <c r="F98" s="329"/>
      <c r="G98" s="329"/>
      <c r="H98" s="329"/>
      <c r="I98" s="329"/>
      <c r="J98" s="329"/>
      <c r="K98" s="329"/>
      <c r="L98" s="329"/>
      <c r="M98" s="329"/>
      <c r="N98" s="330" t="e">
        <f ca="1">IF(Access_Data!AH$27="",0,Access_Data!AH$27)</f>
        <v>#N/A</v>
      </c>
      <c r="O98" s="330" t="e">
        <f ca="1">IF(Access_Data!$AH$29="",0,Access_Data!$AH$29)</f>
        <v>#N/A</v>
      </c>
      <c r="P98" s="330">
        <f ca="1">IF(ISERROR(Access_Data!$AH$31),0,Access_Data!$AH$31)</f>
        <v>0</v>
      </c>
      <c r="Q98" s="329"/>
    </row>
    <row r="99" spans="1:17" x14ac:dyDescent="0.2">
      <c r="A99" s="326"/>
      <c r="B99" s="327" t="str">
        <f>TUS_Worksheet!P$19</f>
        <v/>
      </c>
      <c r="C99" s="328">
        <v>28</v>
      </c>
      <c r="D99" s="329" t="str">
        <f t="shared" si="2"/>
        <v/>
      </c>
      <c r="E99" s="329"/>
      <c r="F99" s="329"/>
      <c r="G99" s="329"/>
      <c r="H99" s="329"/>
      <c r="I99" s="329"/>
      <c r="J99" s="329"/>
      <c r="K99" s="329"/>
      <c r="L99" s="329"/>
      <c r="M99" s="329"/>
      <c r="N99" s="330" t="e">
        <f ca="1">IF(Access_Data!AI$27="",0,Access_Data!AI$27)</f>
        <v>#N/A</v>
      </c>
      <c r="O99" s="330" t="e">
        <f ca="1">IF(Access_Data!$AI$29="",0,Access_Data!$AI$29)</f>
        <v>#N/A</v>
      </c>
      <c r="P99" s="330">
        <f ca="1">IF(ISERROR(Access_Data!$AI$31),0,Access_Data!$AI$31)</f>
        <v>0</v>
      </c>
      <c r="Q99" s="329"/>
    </row>
    <row r="100" spans="1:17" x14ac:dyDescent="0.2">
      <c r="A100" s="326"/>
      <c r="B100" s="327" t="str">
        <f>TUS_Worksheet!C$25</f>
        <v/>
      </c>
      <c r="C100" s="328">
        <v>29</v>
      </c>
      <c r="D100" s="329" t="str">
        <f t="shared" si="2"/>
        <v/>
      </c>
      <c r="E100" s="329"/>
      <c r="F100" s="329"/>
      <c r="G100" s="329"/>
      <c r="H100" s="329"/>
      <c r="I100" s="329"/>
      <c r="J100" s="329"/>
      <c r="K100" s="329"/>
      <c r="L100" s="329"/>
      <c r="M100" s="329"/>
      <c r="N100" s="330" t="e">
        <f ca="1">IF(Access_Data!AP$27="",0,Access_Data!AP$27)</f>
        <v>#N/A</v>
      </c>
      <c r="O100" s="330" t="e">
        <f ca="1">IF(Access_Data!$AP$29="",0,Access_Data!$AP$29)</f>
        <v>#N/A</v>
      </c>
      <c r="P100" s="330">
        <f ca="1">IF(ISERROR(Access_Data!$AP$31),0,Access_Data!$AP$31)</f>
        <v>0</v>
      </c>
      <c r="Q100" s="329"/>
    </row>
    <row r="101" spans="1:17" x14ac:dyDescent="0.2">
      <c r="A101" s="326"/>
      <c r="B101" s="327" t="str">
        <f>TUS_Worksheet!D$25</f>
        <v/>
      </c>
      <c r="C101" s="328">
        <v>30</v>
      </c>
      <c r="D101" s="329" t="str">
        <f t="shared" si="2"/>
        <v/>
      </c>
      <c r="E101" s="329"/>
      <c r="F101" s="329"/>
      <c r="G101" s="329"/>
      <c r="H101" s="329"/>
      <c r="I101" s="329"/>
      <c r="J101" s="329"/>
      <c r="K101" s="329"/>
      <c r="L101" s="329"/>
      <c r="M101" s="329"/>
      <c r="N101" s="330" t="e">
        <f ca="1">IF(Access_Data!AQ$27="",0,Access_Data!AQ$27)</f>
        <v>#N/A</v>
      </c>
      <c r="O101" s="330" t="e">
        <f ca="1">IF(Access_Data!$AQ$29="",0,Access_Data!$AQ$29)</f>
        <v>#N/A</v>
      </c>
      <c r="P101" s="330">
        <f ca="1">IF(ISERROR(Access_Data!$AQ$31),0,Access_Data!$AQ$31)</f>
        <v>0</v>
      </c>
      <c r="Q101" s="329"/>
    </row>
    <row r="102" spans="1:17" x14ac:dyDescent="0.2">
      <c r="A102" s="326"/>
      <c r="B102" s="327" t="str">
        <f>TUS_Worksheet!E$25</f>
        <v/>
      </c>
      <c r="C102" s="328">
        <v>31</v>
      </c>
      <c r="D102" s="329" t="str">
        <f t="shared" si="2"/>
        <v/>
      </c>
      <c r="E102" s="329"/>
      <c r="F102" s="329"/>
      <c r="G102" s="329"/>
      <c r="H102" s="329"/>
      <c r="I102" s="329"/>
      <c r="J102" s="329"/>
      <c r="K102" s="329"/>
      <c r="L102" s="329"/>
      <c r="M102" s="329"/>
      <c r="N102" s="330" t="e">
        <f ca="1">IF(Access_Data!AR$27="",0,Access_Data!AR$27)</f>
        <v>#N/A</v>
      </c>
      <c r="O102" s="330" t="e">
        <f ca="1">IF(Access_Data!$AR$29="",0,Access_Data!$AR$29)</f>
        <v>#N/A</v>
      </c>
      <c r="P102" s="330">
        <f ca="1">IF(ISERROR(Access_Data!$AR$31),0,Access_Data!$AR$31)</f>
        <v>0</v>
      </c>
      <c r="Q102" s="329"/>
    </row>
    <row r="103" spans="1:17" x14ac:dyDescent="0.2">
      <c r="A103" s="326"/>
      <c r="B103" s="327" t="str">
        <f>TUS_Worksheet!F$25</f>
        <v/>
      </c>
      <c r="C103" s="328">
        <v>32</v>
      </c>
      <c r="D103" s="329" t="str">
        <f t="shared" si="2"/>
        <v/>
      </c>
      <c r="E103" s="329"/>
      <c r="F103" s="329"/>
      <c r="G103" s="329"/>
      <c r="H103" s="329"/>
      <c r="I103" s="329"/>
      <c r="J103" s="329"/>
      <c r="K103" s="329"/>
      <c r="L103" s="329"/>
      <c r="M103" s="329"/>
      <c r="N103" s="330" t="e">
        <f ca="1">IF(Access_Data!AS$27="",0,Access_Data!AS$27)</f>
        <v>#N/A</v>
      </c>
      <c r="O103" s="330" t="e">
        <f ca="1">IF(Access_Data!$AS$29="",0,Access_Data!$AS$29)</f>
        <v>#N/A</v>
      </c>
      <c r="P103" s="330">
        <f ca="1">IF(ISERROR(Access_Data!$AS$31),0,Access_Data!$AS$31)</f>
        <v>0</v>
      </c>
      <c r="Q103" s="329"/>
    </row>
    <row r="104" spans="1:17" x14ac:dyDescent="0.2">
      <c r="A104" s="326"/>
      <c r="B104" s="327" t="str">
        <f>TUS_Worksheet!G$25</f>
        <v/>
      </c>
      <c r="C104" s="328">
        <v>33</v>
      </c>
      <c r="D104" s="329" t="str">
        <f t="shared" si="2"/>
        <v/>
      </c>
      <c r="E104" s="329"/>
      <c r="F104" s="329"/>
      <c r="G104" s="329"/>
      <c r="H104" s="329"/>
      <c r="I104" s="329"/>
      <c r="J104" s="329"/>
      <c r="K104" s="329"/>
      <c r="L104" s="329"/>
      <c r="M104" s="329"/>
      <c r="N104" s="330" t="e">
        <f ca="1">IF(Access_Data!AT$27="",0,Access_Data!AT$27)</f>
        <v>#N/A</v>
      </c>
      <c r="O104" s="330" t="e">
        <f ca="1">IF(Access_Data!$AT$29="",0,Access_Data!$AT$29)</f>
        <v>#N/A</v>
      </c>
      <c r="P104" s="330">
        <f ca="1">IF(ISERROR(Access_Data!$AT$31),0,Access_Data!$AT$31)</f>
        <v>0</v>
      </c>
      <c r="Q104" s="329"/>
    </row>
    <row r="105" spans="1:17" x14ac:dyDescent="0.2">
      <c r="A105" s="326"/>
      <c r="B105" s="327" t="str">
        <f>TUS_Worksheet!H$25</f>
        <v/>
      </c>
      <c r="C105" s="328">
        <v>34</v>
      </c>
      <c r="D105" s="329" t="str">
        <f t="shared" si="2"/>
        <v/>
      </c>
      <c r="E105" s="329"/>
      <c r="F105" s="329"/>
      <c r="G105" s="329"/>
      <c r="H105" s="329"/>
      <c r="I105" s="329"/>
      <c r="J105" s="329"/>
      <c r="K105" s="329"/>
      <c r="L105" s="329"/>
      <c r="M105" s="329"/>
      <c r="N105" s="330" t="e">
        <f ca="1">IF(Access_Data!AU$27="",0,Access_Data!AU$27)</f>
        <v>#N/A</v>
      </c>
      <c r="O105" s="330" t="e">
        <f ca="1">IF(Access_Data!$AU$29="",0,Access_Data!$AU$29)</f>
        <v>#N/A</v>
      </c>
      <c r="P105" s="330">
        <f ca="1">IF(ISERROR(Access_Data!$AU$31),0,Access_Data!$AU$31)</f>
        <v>0</v>
      </c>
      <c r="Q105" s="329"/>
    </row>
    <row r="106" spans="1:17" x14ac:dyDescent="0.2">
      <c r="A106" s="326"/>
      <c r="B106" s="327" t="str">
        <f>TUS_Worksheet!I$25</f>
        <v/>
      </c>
      <c r="C106" s="328">
        <v>35</v>
      </c>
      <c r="D106" s="329" t="str">
        <f t="shared" si="2"/>
        <v/>
      </c>
      <c r="E106" s="329"/>
      <c r="F106" s="329"/>
      <c r="G106" s="329"/>
      <c r="H106" s="329"/>
      <c r="I106" s="329"/>
      <c r="J106" s="329"/>
      <c r="K106" s="329"/>
      <c r="L106" s="329"/>
      <c r="M106" s="329"/>
      <c r="N106" s="330" t="e">
        <f ca="1">IF(Access_Data!AV$27="",0,Access_Data!AV$27)</f>
        <v>#N/A</v>
      </c>
      <c r="O106" s="330" t="e">
        <f ca="1">IF(Access_Data!$AV$29="",0,Access_Data!$AV$29)</f>
        <v>#N/A</v>
      </c>
      <c r="P106" s="330">
        <f ca="1">IF(ISERROR(Access_Data!$AV$31),0,Access_Data!$AV$31)</f>
        <v>0</v>
      </c>
      <c r="Q106" s="329"/>
    </row>
    <row r="107" spans="1:17" x14ac:dyDescent="0.2">
      <c r="A107" s="326"/>
      <c r="B107" s="327" t="str">
        <f>TUS_Worksheet!J$25</f>
        <v/>
      </c>
      <c r="C107" s="328">
        <v>36</v>
      </c>
      <c r="D107" s="329" t="str">
        <f t="shared" si="2"/>
        <v/>
      </c>
      <c r="E107" s="329"/>
      <c r="F107" s="329"/>
      <c r="G107" s="329"/>
      <c r="H107" s="329"/>
      <c r="I107" s="329"/>
      <c r="J107" s="329"/>
      <c r="K107" s="329"/>
      <c r="L107" s="329"/>
      <c r="M107" s="329"/>
      <c r="N107" s="330" t="e">
        <f ca="1">IF(Access_Data!AW$27="",0,Access_Data!AW$27)</f>
        <v>#N/A</v>
      </c>
      <c r="O107" s="330" t="e">
        <f ca="1">IF(Access_Data!$AW$29="",0,Access_Data!$AW$29)</f>
        <v>#N/A</v>
      </c>
      <c r="P107" s="330">
        <f ca="1">IF(ISERROR(Access_Data!$AW$31),0,Access_Data!$AW$31)</f>
        <v>0</v>
      </c>
      <c r="Q107" s="329"/>
    </row>
    <row r="108" spans="1:17" x14ac:dyDescent="0.2">
      <c r="A108" s="326"/>
      <c r="B108" s="327" t="str">
        <f>TUS_Worksheet!K$25</f>
        <v/>
      </c>
      <c r="C108" s="328">
        <v>37</v>
      </c>
      <c r="D108" s="329" t="str">
        <f t="shared" si="2"/>
        <v/>
      </c>
      <c r="E108" s="329"/>
      <c r="F108" s="329"/>
      <c r="G108" s="329"/>
      <c r="H108" s="329"/>
      <c r="I108" s="329"/>
      <c r="J108" s="329"/>
      <c r="K108" s="329"/>
      <c r="L108" s="329"/>
      <c r="M108" s="329"/>
      <c r="N108" s="330" t="e">
        <f ca="1">IF(Access_Data!AX$27="",0,Access_Data!AX$27)</f>
        <v>#N/A</v>
      </c>
      <c r="O108" s="330" t="e">
        <f ca="1">IF(Access_Data!$AX$29="",0,Access_Data!$AX$29)</f>
        <v>#N/A</v>
      </c>
      <c r="P108" s="330">
        <f ca="1">IF(ISERROR(Access_Data!$AX$31),0,Access_Data!$AX$31)</f>
        <v>0</v>
      </c>
      <c r="Q108" s="329"/>
    </row>
    <row r="109" spans="1:17" x14ac:dyDescent="0.2">
      <c r="A109" s="326"/>
      <c r="B109" s="327" t="str">
        <f>TUS_Worksheet!L$25</f>
        <v/>
      </c>
      <c r="C109" s="328">
        <v>38</v>
      </c>
      <c r="D109" s="329" t="str">
        <f t="shared" si="2"/>
        <v/>
      </c>
      <c r="E109" s="329"/>
      <c r="F109" s="329"/>
      <c r="G109" s="329"/>
      <c r="H109" s="329"/>
      <c r="I109" s="329"/>
      <c r="J109" s="329"/>
      <c r="K109" s="329"/>
      <c r="L109" s="329"/>
      <c r="M109" s="329"/>
      <c r="N109" s="330" t="e">
        <f ca="1">IF(Access_Data!AY$27="",0,Access_Data!AY$27)</f>
        <v>#N/A</v>
      </c>
      <c r="O109" s="330" t="e">
        <f ca="1">IF(Access_Data!$AY$29="",0,Access_Data!$AY$29)</f>
        <v>#N/A</v>
      </c>
      <c r="P109" s="330">
        <f ca="1">IF(ISERROR(Access_Data!$AY$31),0,Access_Data!$AY$31)</f>
        <v>0</v>
      </c>
      <c r="Q109" s="329"/>
    </row>
    <row r="110" spans="1:17" x14ac:dyDescent="0.2">
      <c r="A110" s="326"/>
      <c r="B110" s="327" t="str">
        <f>TUS_Worksheet!M$25</f>
        <v/>
      </c>
      <c r="C110" s="328">
        <v>39</v>
      </c>
      <c r="D110" s="329" t="str">
        <f t="shared" si="2"/>
        <v/>
      </c>
      <c r="E110" s="329"/>
      <c r="F110" s="329"/>
      <c r="G110" s="329"/>
      <c r="H110" s="329"/>
      <c r="I110" s="329"/>
      <c r="J110" s="329"/>
      <c r="K110" s="329"/>
      <c r="L110" s="329"/>
      <c r="M110" s="329"/>
      <c r="N110" s="330" t="e">
        <f ca="1">IF(Access_Data!AZ$27="",0,Access_Data!AZ$27)</f>
        <v>#N/A</v>
      </c>
      <c r="O110" s="330" t="e">
        <f ca="1">IF(Access_Data!$AZ$29="",0,Access_Data!$AZ$29)</f>
        <v>#N/A</v>
      </c>
      <c r="P110" s="330">
        <f ca="1">IF(ISERROR(Access_Data!$AZ$31),0,Access_Data!$AZ$31)</f>
        <v>0</v>
      </c>
      <c r="Q110" s="329"/>
    </row>
    <row r="111" spans="1:17" x14ac:dyDescent="0.2">
      <c r="A111" s="326"/>
      <c r="B111" s="327" t="str">
        <f>TUS_Worksheet!N$25</f>
        <v/>
      </c>
      <c r="C111" s="328">
        <v>40</v>
      </c>
      <c r="D111" s="329" t="str">
        <f t="shared" si="2"/>
        <v/>
      </c>
      <c r="E111" s="329"/>
      <c r="F111" s="329"/>
      <c r="G111" s="329"/>
      <c r="H111" s="329"/>
      <c r="I111" s="329"/>
      <c r="J111" s="329"/>
      <c r="K111" s="329"/>
      <c r="L111" s="329"/>
      <c r="M111" s="329"/>
      <c r="N111" s="330" t="e">
        <f ca="1">IF(Access_Data!BA$27="",0,Access_Data!BA$27)</f>
        <v>#N/A</v>
      </c>
      <c r="O111" s="330" t="e">
        <f ca="1">IF(Access_Data!$BA$29="",0,Access_Data!$BA$29)</f>
        <v>#N/A</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U1" sqref="U1"/>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J15" sqref="J15"/>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13" zoomScale="70" zoomScaleNormal="100" zoomScaleSheetLayoutView="70" workbookViewId="0">
      <selection activeCell="I33" sqref="I33:I5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36" t="s">
        <v>190</v>
      </c>
      <c r="E1" s="636"/>
      <c r="F1" s="636"/>
      <c r="G1" s="636"/>
      <c r="H1" s="636"/>
      <c r="I1" s="636"/>
      <c r="J1" s="636"/>
      <c r="K1" s="636"/>
      <c r="L1" s="636"/>
      <c r="M1" s="636"/>
    </row>
    <row r="2" spans="1:18" ht="23.25" customHeight="1" x14ac:dyDescent="0.3">
      <c r="C2" s="420"/>
      <c r="D2" s="420" t="s">
        <v>2256</v>
      </c>
      <c r="E2" s="420"/>
      <c r="F2" s="420"/>
      <c r="G2" s="420"/>
      <c r="H2" s="420"/>
      <c r="I2" s="420"/>
      <c r="J2" s="420"/>
      <c r="K2" s="420"/>
      <c r="L2" s="420"/>
      <c r="M2" s="420"/>
    </row>
    <row r="3" spans="1:18" ht="23.25" x14ac:dyDescent="0.35">
      <c r="C3" s="637"/>
      <c r="D3" s="637"/>
      <c r="E3" s="637"/>
      <c r="F3" s="637"/>
      <c r="G3" s="637"/>
      <c r="H3" s="637"/>
      <c r="I3" s="637"/>
      <c r="J3" s="637"/>
      <c r="K3" s="637"/>
      <c r="L3" s="637"/>
      <c r="M3" s="637"/>
    </row>
    <row r="4" spans="1:18" ht="23.25" x14ac:dyDescent="0.35">
      <c r="C4" s="404"/>
      <c r="D4" s="404"/>
      <c r="E4" s="404"/>
      <c r="F4" s="404"/>
      <c r="G4" s="404"/>
      <c r="H4" s="404"/>
      <c r="I4" s="404"/>
      <c r="J4" s="404"/>
      <c r="K4" s="404"/>
      <c r="L4" s="404"/>
      <c r="M4" s="404"/>
    </row>
    <row r="5" spans="1:18" ht="23.25" x14ac:dyDescent="0.35">
      <c r="C5" s="654" t="s">
        <v>18</v>
      </c>
      <c r="D5" s="654"/>
      <c r="E5" s="654"/>
      <c r="F5" s="654"/>
      <c r="G5" s="654"/>
      <c r="H5" s="654"/>
      <c r="I5" s="654"/>
      <c r="J5" s="654"/>
      <c r="K5" s="654"/>
      <c r="L5" s="654"/>
      <c r="M5" s="654"/>
    </row>
    <row r="6" spans="1:18" ht="23.25" x14ac:dyDescent="0.35">
      <c r="C6" s="405"/>
      <c r="D6" s="405"/>
      <c r="E6" s="621" t="str">
        <f>IF(Main!K14="","",CONCATENATE("Report Number: ",Main!K14,Main!D24))</f>
        <v/>
      </c>
      <c r="F6" s="621"/>
      <c r="G6" s="621"/>
      <c r="H6" s="621"/>
      <c r="I6" s="621"/>
      <c r="J6" s="621"/>
      <c r="K6" s="621"/>
      <c r="L6" s="405"/>
      <c r="M6" s="405"/>
    </row>
    <row r="7" spans="1:18" ht="18.75" customHeight="1" x14ac:dyDescent="0.3">
      <c r="G7" s="633"/>
      <c r="H7" s="633"/>
      <c r="I7" s="377"/>
      <c r="R7" t="str">
        <f>CONCATENATE("Page ",Main!L9," of ",Main!L10)</f>
        <v xml:space="preserve">Page  of </v>
      </c>
    </row>
    <row r="8" spans="1:18" ht="18" customHeight="1" x14ac:dyDescent="0.25">
      <c r="G8" s="649"/>
      <c r="H8" s="649"/>
      <c r="J8" s="118"/>
      <c r="K8" s="406" t="s">
        <v>2253</v>
      </c>
      <c r="L8" s="401" t="e">
        <f>'Header Info'!AX2</f>
        <v>#N/A</v>
      </c>
      <c r="M8" s="401"/>
      <c r="N8" s="401"/>
      <c r="O8" s="401"/>
    </row>
    <row r="9" spans="1:18" ht="18" customHeight="1" x14ac:dyDescent="0.25">
      <c r="A9" s="406" t="s">
        <v>2205</v>
      </c>
      <c r="B9" s="38">
        <f>Main!D5</f>
        <v>0</v>
      </c>
      <c r="J9" s="118"/>
      <c r="K9" s="406" t="s">
        <v>2254</v>
      </c>
      <c r="L9" s="634" t="e">
        <f>'Header Info'!AY2</f>
        <v>#N/A</v>
      </c>
      <c r="M9" s="634"/>
      <c r="N9" s="634"/>
      <c r="O9" s="634"/>
    </row>
    <row r="10" spans="1:18" ht="18" customHeight="1" x14ac:dyDescent="0.25">
      <c r="A10" s="130"/>
      <c r="B10" s="401" t="e">
        <f>IF('Header Info'!AU2=0,"",'Header Info'!AU2)</f>
        <v>#N/A</v>
      </c>
      <c r="J10" s="118"/>
      <c r="K10" s="406"/>
      <c r="L10" s="634"/>
      <c r="M10" s="634"/>
      <c r="N10" s="634"/>
      <c r="O10" s="634"/>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1" t="e">
        <f>'Header Info'!BC2</f>
        <v>#N/A</v>
      </c>
      <c r="C16" s="651"/>
      <c r="D16" s="651"/>
      <c r="E16" s="651"/>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0" t="e">
        <f>'Header Info'!BE2</f>
        <v>#N/A</v>
      </c>
      <c r="C18" s="640"/>
      <c r="D18" s="640"/>
      <c r="E18" s="640"/>
      <c r="G18" s="406" t="s">
        <v>2215</v>
      </c>
      <c r="H18" s="410" t="e">
        <f>'Header Info'!BJ2</f>
        <v>#N/A</v>
      </c>
      <c r="M18" s="406" t="s">
        <v>2219</v>
      </c>
      <c r="N18" s="410" t="str">
        <f>Main!G18</f>
        <v>ACCEPTED</v>
      </c>
      <c r="O18" s="385"/>
    </row>
    <row r="19" spans="1:19" ht="18" customHeight="1" x14ac:dyDescent="0.25">
      <c r="A19" s="396"/>
      <c r="B19" s="641"/>
      <c r="C19" s="641"/>
      <c r="D19" s="641"/>
      <c r="E19" s="641"/>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2" t="e">
        <f>'Header Info'!BL2</f>
        <v>#N/A</v>
      </c>
      <c r="C21" s="652"/>
      <c r="D21" s="652"/>
      <c r="E21" s="652"/>
      <c r="F21" s="397" t="s">
        <v>2226</v>
      </c>
      <c r="G21" s="652" t="e">
        <f>'Header Info'!BM2</f>
        <v>#N/A</v>
      </c>
      <c r="H21" s="652"/>
      <c r="I21" s="652"/>
      <c r="J21" s="397" t="s">
        <v>2227</v>
      </c>
      <c r="K21" s="409" t="e">
        <f>'Header Info'!BN2</f>
        <v>#N/A</v>
      </c>
      <c r="L21" s="383"/>
      <c r="M21" s="397" t="s">
        <v>2228</v>
      </c>
      <c r="N21" s="422" t="e">
        <f>Main!G27</f>
        <v>#N/A</v>
      </c>
      <c r="O21" s="384"/>
    </row>
    <row r="22" spans="1:19" ht="18" customHeight="1" x14ac:dyDescent="0.25">
      <c r="A22" s="415" t="s">
        <v>2225</v>
      </c>
      <c r="B22" s="653" t="e">
        <f>'Header Info'!BO2</f>
        <v>#N/A</v>
      </c>
      <c r="C22" s="653"/>
      <c r="D22" s="653"/>
      <c r="E22" s="653"/>
      <c r="F22" s="398" t="s">
        <v>2226</v>
      </c>
      <c r="G22" s="653" t="e">
        <f>'Header Info'!BP2</f>
        <v>#N/A</v>
      </c>
      <c r="H22" s="653"/>
      <c r="I22" s="653"/>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#VALUE!</v>
      </c>
      <c r="O26" s="385"/>
    </row>
    <row r="27" spans="1:19" ht="18" customHeight="1" x14ac:dyDescent="0.2">
      <c r="A27" s="416"/>
      <c r="B27" s="386"/>
      <c r="C27" s="650" t="s">
        <v>2238</v>
      </c>
      <c r="D27" s="650"/>
      <c r="E27" s="650"/>
      <c r="F27" s="650"/>
      <c r="G27" s="650"/>
      <c r="H27" s="650"/>
      <c r="I27" s="650"/>
      <c r="J27" s="650"/>
      <c r="K27" s="650"/>
      <c r="L27" s="650"/>
      <c r="M27" s="650"/>
      <c r="N27" s="386"/>
      <c r="O27" s="387"/>
    </row>
    <row r="28" spans="1:19" ht="8.1" customHeight="1" x14ac:dyDescent="0.2"/>
    <row r="29" spans="1:19" ht="18" customHeight="1" x14ac:dyDescent="0.2">
      <c r="A29" s="646" t="s">
        <v>2185</v>
      </c>
      <c r="B29" s="647"/>
      <c r="C29" s="648"/>
      <c r="D29" s="646" t="s">
        <v>2239</v>
      </c>
      <c r="E29" s="647"/>
      <c r="F29" s="647"/>
      <c r="G29" s="648"/>
      <c r="H29" s="646" t="s">
        <v>2186</v>
      </c>
      <c r="I29" s="647"/>
      <c r="J29" s="647"/>
      <c r="K29" s="648"/>
      <c r="L29" s="646" t="s">
        <v>1760</v>
      </c>
      <c r="M29" s="647"/>
      <c r="N29" s="647"/>
      <c r="O29" s="648"/>
    </row>
    <row r="30" spans="1:19" ht="18" customHeight="1" x14ac:dyDescent="0.2">
      <c r="A30" s="402"/>
      <c r="B30" s="392" t="e">
        <f>'Header Info'!BS2</f>
        <v>#N/A</v>
      </c>
      <c r="C30" s="403"/>
      <c r="D30" s="643" t="str">
        <f>CONCATENATE(Main!D22,"°F"," / ",Main!D23,"% RH")</f>
        <v>°F / % RH</v>
      </c>
      <c r="E30" s="644"/>
      <c r="F30" s="644"/>
      <c r="G30" s="645"/>
      <c r="H30" s="643" t="e">
        <f>'Header Info'!BT2</f>
        <v>#N/A</v>
      </c>
      <c r="I30" s="644"/>
      <c r="J30" s="644"/>
      <c r="K30" s="645"/>
      <c r="L30" s="643" t="e">
        <f>'Header Info'!BU2</f>
        <v>#N/A</v>
      </c>
      <c r="M30" s="644"/>
      <c r="N30" s="644"/>
      <c r="O30" s="645"/>
    </row>
    <row r="31" spans="1:19" ht="18" customHeight="1" x14ac:dyDescent="0.2"/>
    <row r="32" spans="1:19" ht="18" customHeight="1" x14ac:dyDescent="0.25">
      <c r="A32" s="425" t="s">
        <v>2240</v>
      </c>
      <c r="B32" s="635" t="s">
        <v>2241</v>
      </c>
      <c r="C32" s="635"/>
      <c r="D32" s="425" t="s">
        <v>2162</v>
      </c>
      <c r="E32" s="425" t="s">
        <v>2161</v>
      </c>
      <c r="F32" s="425" t="s">
        <v>2242</v>
      </c>
      <c r="G32" s="118"/>
      <c r="H32" s="118"/>
      <c r="I32" s="425" t="s">
        <v>2240</v>
      </c>
      <c r="J32" s="635" t="s">
        <v>2241</v>
      </c>
      <c r="K32" s="635"/>
      <c r="L32" s="425" t="s">
        <v>2162</v>
      </c>
      <c r="M32" s="425" t="s">
        <v>2161</v>
      </c>
      <c r="N32" s="425" t="s">
        <v>2242</v>
      </c>
    </row>
    <row r="33" spans="1:14" ht="18" customHeight="1" x14ac:dyDescent="0.2">
      <c r="A33" s="426" t="str">
        <f>IF(B33="","",1)</f>
        <v/>
      </c>
      <c r="B33" s="633" t="str">
        <f>IF(Main!O5="","",Main!O5)</f>
        <v/>
      </c>
      <c r="C33" s="633"/>
      <c r="D33" s="427" t="str">
        <f ca="1">IF(Access_Data!B27="","",Access_Data!B27)</f>
        <v/>
      </c>
      <c r="E33" s="427" t="str">
        <f ca="1">IF(Access_Data!B29="","",Access_Data!B29)</f>
        <v/>
      </c>
      <c r="F33" s="427" t="str">
        <f ca="1">IF(Access_Data!B31="","",Access_Data!B31)</f>
        <v/>
      </c>
      <c r="G33" s="118"/>
      <c r="H33" s="118"/>
      <c r="I33" s="426" t="str">
        <f>IF(J33="","",21)</f>
        <v/>
      </c>
      <c r="J33" s="633" t="str">
        <f>IF(Main!O25="","",Main!O25)</f>
        <v/>
      </c>
      <c r="K33" s="633"/>
      <c r="L33" s="427" t="e">
        <f ca="1">IF(Access_Data!AB27="","",Access_Data!AB27)</f>
        <v>#N/A</v>
      </c>
      <c r="M33" s="427" t="e">
        <f ca="1">IF(Access_Data!AB29="","",Access_Data!AB29)</f>
        <v>#N/A</v>
      </c>
      <c r="N33" s="427" t="e">
        <f ca="1">IF(Access_Data!AB31="","",Access_Data!AB31)</f>
        <v>#N/A</v>
      </c>
    </row>
    <row r="34" spans="1:14" ht="18" customHeight="1" x14ac:dyDescent="0.2">
      <c r="A34" s="426" t="str">
        <f>IF(B34="","",2)</f>
        <v/>
      </c>
      <c r="B34" s="633" t="str">
        <f>IF(Main!O6="","",Main!O6)</f>
        <v/>
      </c>
      <c r="C34" s="633"/>
      <c r="D34" s="427" t="str">
        <f ca="1">IF(Access_Data!C27="","",Access_Data!C27)</f>
        <v/>
      </c>
      <c r="E34" s="427" t="str">
        <f ca="1">IF(Access_Data!C29="","",Access_Data!C29)</f>
        <v/>
      </c>
      <c r="F34" s="427" t="str">
        <f ca="1">IF(Access_Data!C31="","",Access_Data!C31)</f>
        <v/>
      </c>
      <c r="G34" s="118"/>
      <c r="H34" s="118"/>
      <c r="I34" s="426" t="str">
        <f>IF(J34="","",22)</f>
        <v/>
      </c>
      <c r="J34" s="633" t="str">
        <f>IF(Main!O26="","",Main!O26)</f>
        <v/>
      </c>
      <c r="K34" s="633"/>
      <c r="L34" s="427" t="e">
        <f ca="1">IF(Access_Data!AC27="","",Access_Data!AC27)</f>
        <v>#N/A</v>
      </c>
      <c r="M34" s="427" t="e">
        <f ca="1">IF(Access_Data!AC29="","",Access_Data!AC29)</f>
        <v>#N/A</v>
      </c>
      <c r="N34" s="427" t="e">
        <f ca="1">IF(Access_Data!AC31="","",Access_Data!AC31)</f>
        <v>#N/A</v>
      </c>
    </row>
    <row r="35" spans="1:14" ht="18" customHeight="1" x14ac:dyDescent="0.2">
      <c r="A35" s="426" t="str">
        <f>IF(B35="","",3)</f>
        <v/>
      </c>
      <c r="B35" s="633" t="str">
        <f>IF(Main!O7="","",Main!O7)</f>
        <v/>
      </c>
      <c r="C35" s="633"/>
      <c r="D35" s="427" t="str">
        <f ca="1">IF(Access_Data!D27="","",Access_Data!D27)</f>
        <v/>
      </c>
      <c r="E35" s="427" t="str">
        <f ca="1">IF(Access_Data!D29="","",Access_Data!D29)</f>
        <v/>
      </c>
      <c r="F35" s="427" t="str">
        <f ca="1">IF(Access_Data!D31="","",Access_Data!D31)</f>
        <v/>
      </c>
      <c r="G35" s="118"/>
      <c r="H35" s="118"/>
      <c r="I35" s="426" t="str">
        <f>IF(J35="","",23)</f>
        <v/>
      </c>
      <c r="J35" s="633" t="str">
        <f>IF(Main!O27="","",Main!O27)</f>
        <v/>
      </c>
      <c r="K35" s="633"/>
      <c r="L35" s="427" t="e">
        <f ca="1">IF(Access_Data!AD27="","",Access_Data!AD27)</f>
        <v>#N/A</v>
      </c>
      <c r="M35" s="427" t="e">
        <f ca="1">IF(Access_Data!AD29="","",Access_Data!AD29)</f>
        <v>#N/A</v>
      </c>
      <c r="N35" s="427" t="e">
        <f ca="1">IF(Access_Data!AD31="","",Access_Data!AD31)</f>
        <v>#N/A</v>
      </c>
    </row>
    <row r="36" spans="1:14" ht="18" customHeight="1" x14ac:dyDescent="0.2">
      <c r="A36" s="426" t="str">
        <f>IF(B36="","",4)</f>
        <v/>
      </c>
      <c r="B36" s="633" t="str">
        <f>IF(Main!O8="","",Main!O8)</f>
        <v/>
      </c>
      <c r="C36" s="633"/>
      <c r="D36" s="427" t="str">
        <f ca="1">IF(Access_Data!E27="","",Access_Data!E27)</f>
        <v/>
      </c>
      <c r="E36" s="427" t="str">
        <f ca="1">IF(Access_Data!E29="","",Access_Data!E29)</f>
        <v/>
      </c>
      <c r="F36" s="427" t="str">
        <f ca="1">IF(Access_Data!E31="","",Access_Data!E31)</f>
        <v/>
      </c>
      <c r="G36" s="118"/>
      <c r="H36" s="118"/>
      <c r="I36" s="426" t="str">
        <f>IF(J36="","",24)</f>
        <v/>
      </c>
      <c r="J36" s="633" t="str">
        <f>IF(Main!O28="","",Main!O28)</f>
        <v/>
      </c>
      <c r="K36" s="633"/>
      <c r="L36" s="427" t="e">
        <f ca="1">IF(Access_Data!AE27="","",Access_Data!AE27)</f>
        <v>#N/A</v>
      </c>
      <c r="M36" s="427" t="e">
        <f ca="1">IF(Access_Data!AE29="","",Access_Data!AE29)</f>
        <v>#N/A</v>
      </c>
      <c r="N36" s="427" t="e">
        <f ca="1">IF(Access_Data!AE31="","",Access_Data!AE31)</f>
        <v>#N/A</v>
      </c>
    </row>
    <row r="37" spans="1:14" ht="18" customHeight="1" x14ac:dyDescent="0.2">
      <c r="A37" s="426" t="str">
        <f>IF(B37="","",5)</f>
        <v/>
      </c>
      <c r="B37" s="633" t="str">
        <f>IF(Main!O9="","",Main!O9)</f>
        <v/>
      </c>
      <c r="C37" s="633"/>
      <c r="D37" s="427" t="str">
        <f ca="1">IF(Access_Data!F27="","",Access_Data!F27)</f>
        <v/>
      </c>
      <c r="E37" s="427" t="str">
        <f ca="1">IF(Access_Data!F29="","",Access_Data!F29)</f>
        <v/>
      </c>
      <c r="F37" s="427" t="str">
        <f ca="1">IF(Access_Data!F31="","",Access_Data!F31)</f>
        <v/>
      </c>
      <c r="G37" s="118"/>
      <c r="H37" s="118"/>
      <c r="I37" s="426" t="str">
        <f>IF(J37="","",25)</f>
        <v/>
      </c>
      <c r="J37" s="633" t="str">
        <f>IF(Main!O29="","",Main!O29)</f>
        <v/>
      </c>
      <c r="K37" s="633"/>
      <c r="L37" s="427" t="e">
        <f ca="1">IF(Access_Data!AF27="","",Access_Data!AF27)</f>
        <v>#N/A</v>
      </c>
      <c r="M37" s="427" t="e">
        <f ca="1">IF(Access_Data!AF29="","",Access_Data!AF29)</f>
        <v>#N/A</v>
      </c>
      <c r="N37" s="427" t="e">
        <f ca="1">IF(Access_Data!AF31="","",Access_Data!AF31)</f>
        <v>#N/A</v>
      </c>
    </row>
    <row r="38" spans="1:14" ht="18" customHeight="1" x14ac:dyDescent="0.2">
      <c r="A38" s="426" t="str">
        <f>IF(B38="","",6)</f>
        <v/>
      </c>
      <c r="B38" s="633" t="str">
        <f>IF(Main!O10="","",Main!O10)</f>
        <v/>
      </c>
      <c r="C38" s="633"/>
      <c r="D38" s="427" t="str">
        <f ca="1">IF(Access_Data!G27="","",Access_Data!G27)</f>
        <v/>
      </c>
      <c r="E38" s="427" t="str">
        <f ca="1">IF(Access_Data!G29="","",Access_Data!G29)</f>
        <v/>
      </c>
      <c r="F38" s="427" t="str">
        <f ca="1">IF(Access_Data!G31="","",Access_Data!G31)</f>
        <v/>
      </c>
      <c r="G38" s="118"/>
      <c r="H38" s="118"/>
      <c r="I38" s="426" t="str">
        <f>IF(J38="","",26)</f>
        <v/>
      </c>
      <c r="J38" s="633" t="str">
        <f>IF(Main!O30="","",Main!O30)</f>
        <v/>
      </c>
      <c r="K38" s="633"/>
      <c r="L38" s="427" t="e">
        <f ca="1">IF(Access_Data!AG27="","",Access_Data!AG27)</f>
        <v>#N/A</v>
      </c>
      <c r="M38" s="427" t="e">
        <f ca="1">IF(Access_Data!AG29="","",Access_Data!AG29)</f>
        <v>#N/A</v>
      </c>
      <c r="N38" s="427" t="e">
        <f ca="1">IF(Access_Data!AG31="","",Access_Data!AG31)</f>
        <v>#N/A</v>
      </c>
    </row>
    <row r="39" spans="1:14" ht="18" customHeight="1" x14ac:dyDescent="0.2">
      <c r="A39" s="426" t="str">
        <f>IF(B39="","",7)</f>
        <v/>
      </c>
      <c r="B39" s="633" t="str">
        <f>IF(Main!O11="","",Main!O11)</f>
        <v/>
      </c>
      <c r="C39" s="633"/>
      <c r="D39" s="427" t="str">
        <f ca="1">IF(Access_Data!H27="","",Access_Data!H27)</f>
        <v/>
      </c>
      <c r="E39" s="427" t="str">
        <f ca="1">IF(Access_Data!H29="","",Access_Data!H29)</f>
        <v/>
      </c>
      <c r="F39" s="427" t="str">
        <f ca="1">IF(Access_Data!H31="","",Access_Data!H31)</f>
        <v/>
      </c>
      <c r="G39" s="118"/>
      <c r="H39" s="118"/>
      <c r="I39" s="426" t="str">
        <f>IF(J39="","",27)</f>
        <v/>
      </c>
      <c r="J39" s="633" t="str">
        <f>IF(Main!O31="","",Main!O31)</f>
        <v/>
      </c>
      <c r="K39" s="633"/>
      <c r="L39" s="427" t="e">
        <f ca="1">IF(Access_Data!AH27="","",Access_Data!AH27)</f>
        <v>#N/A</v>
      </c>
      <c r="M39" s="427" t="e">
        <f ca="1">IF(Access_Data!AH29="","",Access_Data!AH29)</f>
        <v>#N/A</v>
      </c>
      <c r="N39" s="427" t="e">
        <f ca="1">IF(Access_Data!AH31="","",Access_Data!AH31)</f>
        <v>#N/A</v>
      </c>
    </row>
    <row r="40" spans="1:14" ht="18" customHeight="1" x14ac:dyDescent="0.2">
      <c r="A40" s="426" t="str">
        <f>IF(B40="","",8)</f>
        <v/>
      </c>
      <c r="B40" s="633" t="str">
        <f>IF(Main!O12="","",Main!O12)</f>
        <v/>
      </c>
      <c r="C40" s="633"/>
      <c r="D40" s="427" t="str">
        <f ca="1">IF(Access_Data!I27="","",Access_Data!I27)</f>
        <v/>
      </c>
      <c r="E40" s="427" t="str">
        <f ca="1">IF(Access_Data!I29="","",Access_Data!I29)</f>
        <v/>
      </c>
      <c r="F40" s="427" t="str">
        <f ca="1">IF(Access_Data!I31="","",Access_Data!I31)</f>
        <v/>
      </c>
      <c r="G40" s="118"/>
      <c r="H40" s="118"/>
      <c r="I40" s="426" t="str">
        <f>IF(J40="","",28)</f>
        <v/>
      </c>
      <c r="J40" s="633" t="str">
        <f>IF(Main!O32="","",Main!O32)</f>
        <v/>
      </c>
      <c r="K40" s="633"/>
      <c r="L40" s="427" t="e">
        <f ca="1">IF(Access_Data!AI27="","",Access_Data!AI27)</f>
        <v>#N/A</v>
      </c>
      <c r="M40" s="427" t="e">
        <f ca="1">IF(Access_Data!AI29="","",Access_Data!AI29)</f>
        <v>#N/A</v>
      </c>
      <c r="N40" s="427" t="e">
        <f ca="1">IF(Access_Data!AI31="","",Access_Data!AI31)</f>
        <v>#N/A</v>
      </c>
    </row>
    <row r="41" spans="1:14" ht="18" customHeight="1" x14ac:dyDescent="0.2">
      <c r="A41" s="426" t="str">
        <f>IF(B41="","",9)</f>
        <v/>
      </c>
      <c r="B41" s="633" t="str">
        <f>IF(Main!O13="","",Main!O13)</f>
        <v/>
      </c>
      <c r="C41" s="633"/>
      <c r="D41" s="427" t="str">
        <f ca="1">IF(Access_Data!J27="","",Access_Data!J27)</f>
        <v/>
      </c>
      <c r="E41" s="427" t="str">
        <f ca="1">IF(Access_Data!J29="","",Access_Data!J29)</f>
        <v/>
      </c>
      <c r="F41" s="427" t="str">
        <f ca="1">IF(Access_Data!J31="","",Access_Data!J31)</f>
        <v/>
      </c>
      <c r="G41" s="118"/>
      <c r="H41" s="118"/>
      <c r="I41" s="426" t="str">
        <f>IF(J41="","",29)</f>
        <v/>
      </c>
      <c r="J41" s="633" t="str">
        <f>IF(Main!O33="","",Main!O33)</f>
        <v/>
      </c>
      <c r="K41" s="633"/>
      <c r="L41" s="427" t="e">
        <f ca="1">IF(Access_Data!AP27="","",Access_Data!AP27)</f>
        <v>#N/A</v>
      </c>
      <c r="M41" s="427" t="e">
        <f ca="1">IF(Access_Data!AP29="","",Access_Data!AP29)</f>
        <v>#N/A</v>
      </c>
      <c r="N41" s="427" t="e">
        <f ca="1">IF(Access_Data!AP31="","",Access_Data!AP31)</f>
        <v>#N/A</v>
      </c>
    </row>
    <row r="42" spans="1:14" ht="18" customHeight="1" x14ac:dyDescent="0.2">
      <c r="A42" s="426" t="str">
        <f>IF(B42="","",10)</f>
        <v/>
      </c>
      <c r="B42" s="633" t="str">
        <f>IF(Main!O14="","",Main!O14)</f>
        <v/>
      </c>
      <c r="C42" s="633"/>
      <c r="D42" s="427" t="str">
        <f ca="1">IF(Access_Data!K27="","",Access_Data!K27)</f>
        <v/>
      </c>
      <c r="E42" s="427" t="str">
        <f ca="1">IF(Access_Data!K29="","",Access_Data!K29)</f>
        <v/>
      </c>
      <c r="F42" s="427" t="str">
        <f ca="1">IF(Access_Data!K31="","",Access_Data!K31)</f>
        <v/>
      </c>
      <c r="G42" s="118"/>
      <c r="H42" s="118"/>
      <c r="I42" s="426" t="str">
        <f>IF(J42="","",30)</f>
        <v/>
      </c>
      <c r="J42" s="633" t="str">
        <f>IF(Main!O34="","",Main!O34)</f>
        <v/>
      </c>
      <c r="K42" s="633"/>
      <c r="L42" s="427" t="e">
        <f ca="1">IF(Access_Data!AQ27="","",Access_Data!AQ27)</f>
        <v>#N/A</v>
      </c>
      <c r="M42" s="427" t="e">
        <f ca="1">IF(Access_Data!AQ29="","",Access_Data!AQ29)</f>
        <v>#N/A</v>
      </c>
      <c r="N42" s="427" t="e">
        <f ca="1">IF(Access_Data!AQ31="","",Access_Data!AQ31)</f>
        <v>#N/A</v>
      </c>
    </row>
    <row r="43" spans="1:14" ht="18" customHeight="1" x14ac:dyDescent="0.2">
      <c r="A43" s="426" t="str">
        <f>IF(B43="","",11)</f>
        <v/>
      </c>
      <c r="B43" s="633" t="str">
        <f>IF(Main!O15="","",Main!O15)</f>
        <v/>
      </c>
      <c r="C43" s="633"/>
      <c r="D43" s="427" t="str">
        <f ca="1">IF(Access_Data!L27="","",Access_Data!L27)</f>
        <v/>
      </c>
      <c r="E43" s="427" t="str">
        <f ca="1">IF(Access_Data!L29="","",Access_Data!L29)</f>
        <v/>
      </c>
      <c r="F43" s="427" t="str">
        <f ca="1">IF(Access_Data!L31="","",Access_Data!L31)</f>
        <v/>
      </c>
      <c r="G43" s="118"/>
      <c r="H43" s="118"/>
      <c r="I43" s="426" t="str">
        <f>IF(J43="","",31)</f>
        <v/>
      </c>
      <c r="J43" s="633" t="str">
        <f>IF(Main!O35="","",Main!O35)</f>
        <v/>
      </c>
      <c r="K43" s="633"/>
      <c r="L43" s="427" t="e">
        <f ca="1">IF(Access_Data!AR27="","",Access_Data!AR27)</f>
        <v>#N/A</v>
      </c>
      <c r="M43" s="427" t="e">
        <f ca="1">IF(Access_Data!AR29="","",Access_Data!AR29)</f>
        <v>#N/A</v>
      </c>
      <c r="N43" s="427" t="e">
        <f ca="1">IF(Access_Data!AR31="","",Access_Data!AR31)</f>
        <v>#N/A</v>
      </c>
    </row>
    <row r="44" spans="1:14" ht="18" customHeight="1" x14ac:dyDescent="0.2">
      <c r="A44" s="426" t="str">
        <f>IF(B44="","",12)</f>
        <v/>
      </c>
      <c r="B44" s="633" t="str">
        <f>IF(Main!O16="","",Main!O16)</f>
        <v/>
      </c>
      <c r="C44" s="633"/>
      <c r="D44" s="427" t="str">
        <f ca="1">IF(Access_Data!M27="","",Access_Data!M27)</f>
        <v/>
      </c>
      <c r="E44" s="427" t="str">
        <f ca="1">IF(Access_Data!M29="","",Access_Data!M29)</f>
        <v/>
      </c>
      <c r="F44" s="427" t="str">
        <f ca="1">IF(Access_Data!M31="","",Access_Data!M31)</f>
        <v/>
      </c>
      <c r="G44" s="118"/>
      <c r="H44" s="118"/>
      <c r="I44" s="426" t="str">
        <f>IF(J44="","",32)</f>
        <v/>
      </c>
      <c r="J44" s="633" t="str">
        <f>IF(Main!O36="","",Main!O36)</f>
        <v/>
      </c>
      <c r="K44" s="633"/>
      <c r="L44" s="427" t="e">
        <f ca="1">IF(Access_Data!AS27="","",Access_Data!AS27)</f>
        <v>#N/A</v>
      </c>
      <c r="M44" s="427" t="e">
        <f ca="1">IF(Access_Data!AS29="","",Access_Data!AS29)</f>
        <v>#N/A</v>
      </c>
      <c r="N44" s="427" t="e">
        <f ca="1">IF(Access_Data!AS31="","",Access_Data!AS31)</f>
        <v>#N/A</v>
      </c>
    </row>
    <row r="45" spans="1:14" ht="18" customHeight="1" x14ac:dyDescent="0.2">
      <c r="A45" s="426" t="str">
        <f>IF(B45="","",13)</f>
        <v/>
      </c>
      <c r="B45" s="633" t="str">
        <f>IF(Main!O17="","",Main!O17)</f>
        <v/>
      </c>
      <c r="C45" s="633"/>
      <c r="D45" s="427" t="str">
        <f ca="1">IF(Access_Data!N27="","",Access_Data!N27)</f>
        <v/>
      </c>
      <c r="E45" s="427" t="str">
        <f ca="1">IF(Access_Data!N29="","",Access_Data!N29)</f>
        <v/>
      </c>
      <c r="F45" s="427" t="str">
        <f ca="1">IF(Access_Data!N31="","",Access_Data!N31)</f>
        <v/>
      </c>
      <c r="G45" s="118"/>
      <c r="H45" s="118"/>
      <c r="I45" s="426" t="str">
        <f>IF(J45="","",33)</f>
        <v/>
      </c>
      <c r="J45" s="633" t="str">
        <f>IF(Main!O37="","",Main!O37)</f>
        <v/>
      </c>
      <c r="K45" s="633"/>
      <c r="L45" s="427" t="e">
        <f ca="1">IF(Access_Data!AT27="","",Access_Data!AT27)</f>
        <v>#N/A</v>
      </c>
      <c r="M45" s="427" t="e">
        <f ca="1">IF(Access_Data!AT29="","",Access_Data!AT29)</f>
        <v>#N/A</v>
      </c>
      <c r="N45" s="427" t="e">
        <f ca="1">IF(Access_Data!AT31="","",Access_Data!AT31)</f>
        <v>#N/A</v>
      </c>
    </row>
    <row r="46" spans="1:14" ht="18" customHeight="1" x14ac:dyDescent="0.2">
      <c r="A46" s="426" t="str">
        <f>IF(B46="","",14)</f>
        <v/>
      </c>
      <c r="B46" s="633" t="str">
        <f>IF(Main!O18="","",Main!O18)</f>
        <v/>
      </c>
      <c r="C46" s="633"/>
      <c r="D46" s="427" t="str">
        <f ca="1">IF(Access_Data!O27="","",Access_Data!O27)</f>
        <v/>
      </c>
      <c r="E46" s="427" t="str">
        <f ca="1">IF(Access_Data!O29="","",Access_Data!O29)</f>
        <v/>
      </c>
      <c r="F46" s="427" t="str">
        <f ca="1">IF(Access_Data!O31="","",Access_Data!O31)</f>
        <v/>
      </c>
      <c r="G46" s="118"/>
      <c r="H46" s="118"/>
      <c r="I46" s="426" t="str">
        <f>IF(J46="","",34)</f>
        <v/>
      </c>
      <c r="J46" s="633" t="str">
        <f>IF(Main!O38="","",Main!O38)</f>
        <v/>
      </c>
      <c r="K46" s="633"/>
      <c r="L46" s="427" t="e">
        <f ca="1">IF(Access_Data!AU27="","",Access_Data!AU27)</f>
        <v>#N/A</v>
      </c>
      <c r="M46" s="427" t="e">
        <f ca="1">IF(Access_Data!AU29="","",Access_Data!AU29)</f>
        <v>#N/A</v>
      </c>
      <c r="N46" s="427" t="e">
        <f ca="1">IF(Access_Data!AU31="","",Access_Data!AU31)</f>
        <v>#N/A</v>
      </c>
    </row>
    <row r="47" spans="1:14" ht="18" customHeight="1" x14ac:dyDescent="0.2">
      <c r="A47" s="426" t="str">
        <f>IF(B47="","",15)</f>
        <v/>
      </c>
      <c r="B47" s="633" t="str">
        <f>IF(Main!O19="","",Main!O19)</f>
        <v/>
      </c>
      <c r="C47" s="633"/>
      <c r="D47" s="427" t="e">
        <f ca="1">IF(Access_Data!V27="","",Access_Data!V27)</f>
        <v>#N/A</v>
      </c>
      <c r="E47" s="427" t="e">
        <f ca="1">IF(Access_Data!V29="","",Access_Data!V29)</f>
        <v>#N/A</v>
      </c>
      <c r="F47" s="427" t="e">
        <f ca="1">IF(Access_Data!V31="","",Access_Data!V31)</f>
        <v>#N/A</v>
      </c>
      <c r="G47" s="118"/>
      <c r="H47" s="118"/>
      <c r="I47" s="426" t="str">
        <f>IF(J47="","",35)</f>
        <v/>
      </c>
      <c r="J47" s="633" t="str">
        <f>IF(Main!O39="","",Main!O39)</f>
        <v/>
      </c>
      <c r="K47" s="633"/>
      <c r="L47" s="427" t="e">
        <f ca="1">IF(Access_Data!AV27="","",Access_Data!AV27)</f>
        <v>#N/A</v>
      </c>
      <c r="M47" s="427" t="e">
        <f ca="1">IF(Access_Data!AV29="","",Access_Data!AV29)</f>
        <v>#N/A</v>
      </c>
      <c r="N47" s="427" t="e">
        <f ca="1">IF(Access_Data!AV31="","",Access_Data!AV31)</f>
        <v>#N/A</v>
      </c>
    </row>
    <row r="48" spans="1:14" ht="18" customHeight="1" x14ac:dyDescent="0.2">
      <c r="A48" s="426" t="str">
        <f>IF(B48="","",16)</f>
        <v/>
      </c>
      <c r="B48" s="633" t="str">
        <f>IF(Main!O20="","",Main!O20)</f>
        <v/>
      </c>
      <c r="C48" s="633"/>
      <c r="D48" s="427" t="e">
        <f ca="1">IF(Access_Data!W27="","",Access_Data!W27)</f>
        <v>#N/A</v>
      </c>
      <c r="E48" s="427" t="e">
        <f ca="1">IF(Access_Data!W29="","",Access_Data!W29)</f>
        <v>#N/A</v>
      </c>
      <c r="F48" s="427" t="e">
        <f ca="1">IF(Access_Data!W31="","",Access_Data!W31)</f>
        <v>#N/A</v>
      </c>
      <c r="G48" s="118"/>
      <c r="H48" s="118"/>
      <c r="I48" s="426" t="str">
        <f>IF(J48="","",36)</f>
        <v/>
      </c>
      <c r="J48" s="633" t="str">
        <f>IF(Main!O40="","",Main!O40)</f>
        <v/>
      </c>
      <c r="K48" s="633"/>
      <c r="L48" s="427" t="e">
        <f ca="1">IF(Access_Data!AW27="","",Access_Data!AW27)</f>
        <v>#N/A</v>
      </c>
      <c r="M48" s="427" t="e">
        <f ca="1">IF(Access_Data!AW29="","",Access_Data!AW29)</f>
        <v>#N/A</v>
      </c>
      <c r="N48" s="427" t="e">
        <f ca="1">IF(Access_Data!AW31="","",Access_Data!AW31)</f>
        <v>#N/A</v>
      </c>
    </row>
    <row r="49" spans="1:23" ht="18" customHeight="1" x14ac:dyDescent="0.2">
      <c r="A49" s="426" t="str">
        <f>IF(B49="","",17)</f>
        <v/>
      </c>
      <c r="B49" s="633" t="str">
        <f>IF(Main!O21="","",Main!O21)</f>
        <v/>
      </c>
      <c r="C49" s="633"/>
      <c r="D49" s="427" t="e">
        <f ca="1">IF(Access_Data!X27="","",Access_Data!X27)</f>
        <v>#N/A</v>
      </c>
      <c r="E49" s="427" t="e">
        <f ca="1">IF(Access_Data!X29="","",Access_Data!X29)</f>
        <v>#N/A</v>
      </c>
      <c r="F49" s="427" t="e">
        <f ca="1">IF(Access_Data!X31="","",Access_Data!X31)</f>
        <v>#N/A</v>
      </c>
      <c r="G49" s="118"/>
      <c r="H49" s="118"/>
      <c r="I49" s="426" t="str">
        <f>IF(J49="","",37)</f>
        <v/>
      </c>
      <c r="J49" s="633" t="str">
        <f>IF(Main!O41="","",Main!O41)</f>
        <v/>
      </c>
      <c r="K49" s="633"/>
      <c r="L49" s="427" t="e">
        <f ca="1">IF(Access_Data!AX27="","",Access_Data!AX27)</f>
        <v>#N/A</v>
      </c>
      <c r="M49" s="427" t="e">
        <f ca="1">IF(Access_Data!AX29="","",Access_Data!AX29)</f>
        <v>#N/A</v>
      </c>
      <c r="N49" s="427" t="e">
        <f ca="1">IF(Access_Data!AX31="","",Access_Data!AX31)</f>
        <v>#N/A</v>
      </c>
    </row>
    <row r="50" spans="1:23" ht="18" customHeight="1" x14ac:dyDescent="0.2">
      <c r="A50" s="426" t="str">
        <f>IF(B50="","",18)</f>
        <v/>
      </c>
      <c r="B50" s="633" t="str">
        <f>IF(Main!O22="","",Main!O22)</f>
        <v/>
      </c>
      <c r="C50" s="633"/>
      <c r="D50" s="427" t="e">
        <f ca="1">IF(Access_Data!Y27="","",Access_Data!Y27)</f>
        <v>#N/A</v>
      </c>
      <c r="E50" s="427" t="e">
        <f ca="1">IF(Access_Data!Y29="","",Access_Data!Y29)</f>
        <v>#N/A</v>
      </c>
      <c r="F50" s="427" t="e">
        <f ca="1">IF(Access_Data!Y31="","",Access_Data!Y31)</f>
        <v>#N/A</v>
      </c>
      <c r="G50" s="118"/>
      <c r="H50" s="118"/>
      <c r="I50" s="426" t="str">
        <f>IF(J50="","",38)</f>
        <v/>
      </c>
      <c r="J50" s="633" t="str">
        <f>IF(Main!O42="","",Main!O42)</f>
        <v/>
      </c>
      <c r="K50" s="633"/>
      <c r="L50" s="427" t="e">
        <f ca="1">IF(Access_Data!AY27="","",Access_Data!AY27)</f>
        <v>#N/A</v>
      </c>
      <c r="M50" s="427" t="e">
        <f ca="1">IF(Access_Data!AY29="","",Access_Data!AY29)</f>
        <v>#N/A</v>
      </c>
      <c r="N50" s="427" t="e">
        <f ca="1">IF(Access_Data!AY31="","",Access_Data!AY31)</f>
        <v>#N/A</v>
      </c>
    </row>
    <row r="51" spans="1:23" ht="18" customHeight="1" x14ac:dyDescent="0.2">
      <c r="A51" s="426" t="str">
        <f>IF(B51="","",19)</f>
        <v/>
      </c>
      <c r="B51" s="633" t="str">
        <f>IF(Main!O23="","",Main!O23)</f>
        <v/>
      </c>
      <c r="C51" s="633"/>
      <c r="D51" s="427" t="e">
        <f ca="1">IF(Access_Data!Z27="","",Access_Data!X27)</f>
        <v>#N/A</v>
      </c>
      <c r="E51" s="427" t="e">
        <f ca="1">IF(Access_Data!Z29="","",Access_Data!Z29)</f>
        <v>#N/A</v>
      </c>
      <c r="F51" s="427" t="e">
        <f ca="1">IF(Access_Data!Z31="","",Access_Data!Z31)</f>
        <v>#N/A</v>
      </c>
      <c r="G51" s="118"/>
      <c r="H51" s="118"/>
      <c r="I51" s="426" t="str">
        <f>IF(J51="","",39)</f>
        <v/>
      </c>
      <c r="J51" s="633" t="str">
        <f>IF(Main!O43="","",Main!O43)</f>
        <v/>
      </c>
      <c r="K51" s="633"/>
      <c r="L51" s="427" t="e">
        <f ca="1">IF(Access_Data!AZ27="","",Access_Data!AZ27)</f>
        <v>#N/A</v>
      </c>
      <c r="M51" s="427" t="e">
        <f ca="1">IF(Access_Data!AZ29="","",Access_Data!AZ29)</f>
        <v>#N/A</v>
      </c>
      <c r="N51" s="427" t="e">
        <f ca="1">IF(Access_Data!AZ31="","",Access_Data!AZ31)</f>
        <v>#N/A</v>
      </c>
    </row>
    <row r="52" spans="1:23" ht="18" customHeight="1" x14ac:dyDescent="0.2">
      <c r="A52" s="426" t="str">
        <f>IF(B52="","",20)</f>
        <v/>
      </c>
      <c r="B52" s="633" t="str">
        <f>IF(Main!O24="","",Main!O24)</f>
        <v/>
      </c>
      <c r="C52" s="633"/>
      <c r="D52" s="427" t="e">
        <f ca="1">IF(Access_Data!AA27="","",Access_Data!AA27)</f>
        <v>#N/A</v>
      </c>
      <c r="E52" s="427" t="e">
        <f ca="1">IF(Access_Data!AA29="","",Access_Data!AA29)</f>
        <v>#N/A</v>
      </c>
      <c r="F52" s="427" t="e">
        <f ca="1">IF(Access_Data!AA31="","",Access_Data!AA31)</f>
        <v>#N/A</v>
      </c>
      <c r="G52" s="118"/>
      <c r="H52" s="118"/>
      <c r="I52" s="426" t="str">
        <f>IF(J52="","",40)</f>
        <v/>
      </c>
      <c r="J52" s="633" t="str">
        <f>IF(Main!O44="","",Main!O44)</f>
        <v/>
      </c>
      <c r="K52" s="633"/>
      <c r="L52" s="427" t="e">
        <f ca="1">IF(Access_Data!BA27="","",Access_Data!BA27)</f>
        <v>#N/A</v>
      </c>
      <c r="M52" s="427" t="e">
        <f ca="1">IF(Access_Data!BA29="","",Access_Data!BA29)</f>
        <v>#N/A</v>
      </c>
      <c r="N52" s="427" t="e">
        <f ca="1">IF(Access_Data!BA31="","",Access_Data!BA31)</f>
        <v>#N/A</v>
      </c>
    </row>
    <row r="53" spans="1:23" ht="18" customHeight="1" x14ac:dyDescent="0.2">
      <c r="B53" s="639" t="s">
        <v>2243</v>
      </c>
      <c r="C53" s="639"/>
      <c r="D53" s="639"/>
      <c r="E53" s="639"/>
      <c r="F53" s="639"/>
      <c r="G53" s="639"/>
      <c r="H53" s="639"/>
      <c r="I53" s="639"/>
      <c r="J53" s="639"/>
      <c r="K53" s="639"/>
      <c r="L53" s="639"/>
      <c r="M53" s="639"/>
      <c r="N53" s="639"/>
    </row>
    <row r="54" spans="1:23" ht="18" customHeight="1" x14ac:dyDescent="0.25">
      <c r="A54" s="428" t="s">
        <v>2244</v>
      </c>
      <c r="B54" s="634" t="e">
        <f>CONCATENATE(Main!G23,"  ",'Header Info'!BR2,Main!U25)</f>
        <v>#N/A</v>
      </c>
      <c r="C54" s="634"/>
      <c r="D54" s="634"/>
      <c r="E54" s="634"/>
      <c r="F54" s="634"/>
      <c r="G54" s="634"/>
      <c r="H54" s="634"/>
      <c r="I54" s="634"/>
      <c r="J54" s="634"/>
      <c r="K54" s="634"/>
      <c r="L54" s="634"/>
      <c r="M54" s="634"/>
      <c r="N54" s="634"/>
      <c r="O54" s="634"/>
    </row>
    <row r="55" spans="1:23" ht="18" customHeight="1" x14ac:dyDescent="0.25">
      <c r="A55" s="115"/>
      <c r="B55" s="634"/>
      <c r="C55" s="634"/>
      <c r="D55" s="634"/>
      <c r="E55" s="634"/>
      <c r="F55" s="634"/>
      <c r="G55" s="634"/>
      <c r="H55" s="634"/>
      <c r="I55" s="634"/>
      <c r="J55" s="634"/>
      <c r="K55" s="634"/>
      <c r="L55" s="634"/>
      <c r="M55" s="634"/>
      <c r="N55" s="634"/>
      <c r="O55" s="634"/>
    </row>
    <row r="56" spans="1:23" ht="18" customHeight="1" x14ac:dyDescent="0.25">
      <c r="A56" s="115"/>
      <c r="B56" s="634"/>
      <c r="C56" s="634"/>
      <c r="D56" s="634"/>
      <c r="E56" s="634"/>
      <c r="F56" s="634"/>
      <c r="G56" s="634"/>
      <c r="H56" s="634"/>
      <c r="I56" s="634"/>
      <c r="J56" s="634"/>
      <c r="K56" s="634"/>
      <c r="L56" s="634"/>
      <c r="M56" s="634"/>
      <c r="N56" s="634"/>
      <c r="O56" s="634"/>
    </row>
    <row r="57" spans="1:23" ht="18" customHeight="1" x14ac:dyDescent="0.25">
      <c r="A57" s="115"/>
      <c r="B57" s="634"/>
      <c r="C57" s="634"/>
      <c r="D57" s="634"/>
      <c r="E57" s="634"/>
      <c r="F57" s="634"/>
      <c r="G57" s="634"/>
      <c r="H57" s="634"/>
      <c r="I57" s="634"/>
      <c r="J57" s="634"/>
      <c r="K57" s="634"/>
      <c r="L57" s="634"/>
      <c r="M57" s="634"/>
      <c r="N57" s="634"/>
      <c r="O57" s="634"/>
    </row>
    <row r="58" spans="1:23" ht="18" customHeight="1" x14ac:dyDescent="0.25">
      <c r="A58" s="115"/>
      <c r="B58" s="634"/>
      <c r="C58" s="634"/>
      <c r="D58" s="634"/>
      <c r="E58" s="634"/>
      <c r="F58" s="634"/>
      <c r="G58" s="634"/>
      <c r="H58" s="634"/>
      <c r="I58" s="634"/>
      <c r="J58" s="634"/>
      <c r="K58" s="634"/>
      <c r="L58" s="634"/>
      <c r="M58" s="634"/>
      <c r="N58" s="634"/>
      <c r="O58" s="634"/>
    </row>
    <row r="59" spans="1:23" ht="18" customHeight="1" x14ac:dyDescent="0.25">
      <c r="A59" s="115"/>
      <c r="B59" s="634"/>
      <c r="C59" s="634"/>
      <c r="D59" s="634"/>
      <c r="E59" s="634"/>
      <c r="F59" s="634"/>
      <c r="G59" s="634"/>
      <c r="H59" s="634"/>
      <c r="I59" s="634"/>
      <c r="J59" s="634"/>
      <c r="K59" s="634"/>
      <c r="L59" s="634"/>
      <c r="M59" s="634"/>
      <c r="N59" s="634"/>
      <c r="O59" s="634"/>
    </row>
    <row r="60" spans="1:23" ht="18" customHeight="1" x14ac:dyDescent="0.2">
      <c r="A60" s="638" t="s">
        <v>2252</v>
      </c>
      <c r="B60" s="638"/>
      <c r="C60" s="638"/>
      <c r="D60" s="638"/>
      <c r="E60" s="638"/>
      <c r="F60" s="638"/>
      <c r="G60" s="638"/>
      <c r="H60" s="638"/>
      <c r="I60" s="638"/>
      <c r="J60" s="638"/>
      <c r="K60" s="638"/>
      <c r="L60" s="638"/>
      <c r="M60" s="638"/>
      <c r="N60" s="638"/>
      <c r="O60" s="638"/>
    </row>
    <row r="61" spans="1:23" ht="18" customHeight="1" x14ac:dyDescent="0.2">
      <c r="A61" s="642" t="s">
        <v>2245</v>
      </c>
      <c r="B61" s="642"/>
      <c r="C61" s="642"/>
      <c r="D61" s="642"/>
      <c r="E61" s="642"/>
      <c r="F61" s="632" t="s">
        <v>2246</v>
      </c>
      <c r="G61" s="632"/>
      <c r="H61" s="632"/>
      <c r="I61" s="632" t="s">
        <v>2247</v>
      </c>
      <c r="J61" s="632"/>
      <c r="K61" s="632" t="s">
        <v>2248</v>
      </c>
      <c r="L61" s="632"/>
      <c r="M61" s="632" t="s">
        <v>2249</v>
      </c>
      <c r="N61" s="632"/>
      <c r="O61" s="632"/>
    </row>
    <row r="62" spans="1:23" ht="18" customHeight="1" x14ac:dyDescent="0.2">
      <c r="A62" s="622" t="str">
        <f t="shared" ref="A62:A68" si="0">IF(Q62="","",CONCATENATE(T62," - ",R62))</f>
        <v/>
      </c>
      <c r="B62" s="623"/>
      <c r="C62" s="623"/>
      <c r="D62" s="623"/>
      <c r="E62" s="624"/>
      <c r="F62" s="622" t="str">
        <f t="shared" ref="F62:F68" si="1">IF(Q62="","",W62)</f>
        <v/>
      </c>
      <c r="G62" s="623"/>
      <c r="H62" s="624"/>
      <c r="I62" s="628" t="str">
        <f>IF(Q62="","",Main!D12)</f>
        <v/>
      </c>
      <c r="J62" s="629"/>
      <c r="K62" s="628" t="str">
        <f>IF(Q62="","",Main!D13)</f>
        <v/>
      </c>
      <c r="L62" s="629"/>
      <c r="M62" s="656" t="str">
        <f>IF(Q62="","",REPLACE(Main!D14,3,1,""))</f>
        <v/>
      </c>
      <c r="N62" s="657"/>
      <c r="O62" s="658"/>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5" t="str">
        <f t="shared" si="0"/>
        <v/>
      </c>
      <c r="B63" s="626"/>
      <c r="C63" s="626"/>
      <c r="D63" s="626"/>
      <c r="E63" s="627"/>
      <c r="F63" s="625" t="str">
        <f t="shared" si="1"/>
        <v/>
      </c>
      <c r="G63" s="626"/>
      <c r="H63" s="627"/>
      <c r="I63" s="630" t="str">
        <f>IF(Q63="","",Main!D49)</f>
        <v/>
      </c>
      <c r="J63" s="631"/>
      <c r="K63" s="630" t="str">
        <f>IF(Q63="","",Main!D50)</f>
        <v/>
      </c>
      <c r="L63" s="631"/>
      <c r="M63" s="625" t="str">
        <f>IF(Q63="","",Main!D54)</f>
        <v/>
      </c>
      <c r="N63" s="626"/>
      <c r="O63" s="627"/>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5" t="str">
        <f t="shared" si="0"/>
        <v/>
      </c>
      <c r="B64" s="626"/>
      <c r="C64" s="626"/>
      <c r="D64" s="626"/>
      <c r="E64" s="627"/>
      <c r="F64" s="625" t="str">
        <f t="shared" si="1"/>
        <v/>
      </c>
      <c r="G64" s="626"/>
      <c r="H64" s="627"/>
      <c r="I64" s="630" t="str">
        <f>IF(Q64="","",Main!E49)</f>
        <v/>
      </c>
      <c r="J64" s="631"/>
      <c r="K64" s="630" t="str">
        <f>IF(Q64="","",Main!E50)</f>
        <v/>
      </c>
      <c r="L64" s="631"/>
      <c r="M64" s="625" t="str">
        <f>IF(Q64="","",Main!E54)</f>
        <v/>
      </c>
      <c r="N64" s="626"/>
      <c r="O64" s="627"/>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5" t="str">
        <f t="shared" si="0"/>
        <v/>
      </c>
      <c r="B65" s="626"/>
      <c r="C65" s="626"/>
      <c r="D65" s="626"/>
      <c r="E65" s="627"/>
      <c r="F65" s="625" t="str">
        <f t="shared" si="1"/>
        <v/>
      </c>
      <c r="G65" s="626"/>
      <c r="H65" s="627"/>
      <c r="I65" s="630" t="str">
        <f>IF(Q65="","",Main!F49)</f>
        <v/>
      </c>
      <c r="J65" s="631"/>
      <c r="K65" s="630" t="str">
        <f>IF(Q65="","",Main!F50)</f>
        <v/>
      </c>
      <c r="L65" s="631"/>
      <c r="M65" s="625" t="str">
        <f>IF(Q65="","",Main!F54)</f>
        <v/>
      </c>
      <c r="N65" s="626"/>
      <c r="O65" s="627"/>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5" t="str">
        <f t="shared" si="0"/>
        <v/>
      </c>
      <c r="B66" s="626"/>
      <c r="C66" s="626"/>
      <c r="D66" s="626"/>
      <c r="E66" s="627"/>
      <c r="F66" s="625" t="str">
        <f t="shared" si="1"/>
        <v/>
      </c>
      <c r="G66" s="626"/>
      <c r="H66" s="627"/>
      <c r="I66" s="630" t="str">
        <f>IF(Q66="","",Main!G49)</f>
        <v/>
      </c>
      <c r="J66" s="631"/>
      <c r="K66" s="630" t="str">
        <f>IF(Q66="","",Main!G50)</f>
        <v/>
      </c>
      <c r="L66" s="631"/>
      <c r="M66" s="625" t="str">
        <f>IF(Q66="","",Main!G54)</f>
        <v/>
      </c>
      <c r="N66" s="626"/>
      <c r="O66" s="627"/>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5" t="str">
        <f t="shared" si="0"/>
        <v/>
      </c>
      <c r="B67" s="626"/>
      <c r="C67" s="626"/>
      <c r="D67" s="626"/>
      <c r="E67" s="627"/>
      <c r="F67" s="625" t="str">
        <f t="shared" si="1"/>
        <v/>
      </c>
      <c r="G67" s="626"/>
      <c r="H67" s="627"/>
      <c r="I67" s="630" t="str">
        <f>IF(Q67="","",Main!H49)</f>
        <v/>
      </c>
      <c r="J67" s="631"/>
      <c r="K67" s="630" t="str">
        <f>IF(Q67="","",Main!H50)</f>
        <v/>
      </c>
      <c r="L67" s="631"/>
      <c r="M67" s="625" t="str">
        <f>IF(Q67="","",Main!H54)</f>
        <v/>
      </c>
      <c r="N67" s="626"/>
      <c r="O67" s="627"/>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5" t="str">
        <f t="shared" si="0"/>
        <v/>
      </c>
      <c r="B68" s="626"/>
      <c r="C68" s="626"/>
      <c r="D68" s="626"/>
      <c r="E68" s="627"/>
      <c r="F68" s="625" t="str">
        <f t="shared" si="1"/>
        <v/>
      </c>
      <c r="G68" s="626"/>
      <c r="H68" s="627"/>
      <c r="I68" s="630" t="str">
        <f>IF(Q68="","",Main!I49)</f>
        <v/>
      </c>
      <c r="J68" s="631"/>
      <c r="K68" s="630" t="str">
        <f>IF(Q68="","",Main!I50)</f>
        <v/>
      </c>
      <c r="L68" s="631"/>
      <c r="M68" s="625" t="str">
        <f>IF(Q68="","",Main!I54)</f>
        <v/>
      </c>
      <c r="N68" s="626"/>
      <c r="O68" s="627"/>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43" t="str">
        <f>IF(T69="","",CONCATENATE(T69," - ",R69))</f>
        <v/>
      </c>
      <c r="B69" s="644"/>
      <c r="C69" s="644"/>
      <c r="D69" s="644"/>
      <c r="E69" s="645"/>
      <c r="F69" s="643" t="str">
        <f>IF(W69="","",W69)</f>
        <v/>
      </c>
      <c r="G69" s="644"/>
      <c r="H69" s="645"/>
      <c r="I69" s="659"/>
      <c r="J69" s="660"/>
      <c r="K69" s="659"/>
      <c r="L69" s="660"/>
      <c r="M69" s="643"/>
      <c r="N69" s="644"/>
      <c r="O69" s="645"/>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55" t="s">
        <v>5231</v>
      </c>
      <c r="B71" s="655"/>
      <c r="C71" s="655"/>
      <c r="D71" s="655"/>
      <c r="E71" s="655"/>
      <c r="F71" s="655"/>
      <c r="G71" s="655"/>
      <c r="H71" s="655"/>
      <c r="I71" s="655"/>
      <c r="J71" s="655"/>
      <c r="K71" s="655"/>
      <c r="L71" s="655"/>
      <c r="M71" s="655"/>
      <c r="N71" s="655"/>
      <c r="O71" s="655"/>
    </row>
    <row r="72" spans="1:23" ht="18" customHeight="1" x14ac:dyDescent="0.2">
      <c r="A72" s="655"/>
      <c r="B72" s="655"/>
      <c r="C72" s="655"/>
      <c r="D72" s="655"/>
      <c r="E72" s="655"/>
      <c r="F72" s="655"/>
      <c r="G72" s="655"/>
      <c r="H72" s="655"/>
      <c r="I72" s="655"/>
      <c r="J72" s="655"/>
      <c r="K72" s="655"/>
      <c r="L72" s="655"/>
      <c r="M72" s="655"/>
      <c r="N72" s="655"/>
      <c r="O72" s="655"/>
    </row>
    <row r="73" spans="1:23" ht="18" customHeight="1" x14ac:dyDescent="0.2">
      <c r="A73" s="655"/>
      <c r="B73" s="655"/>
      <c r="C73" s="655"/>
      <c r="D73" s="655"/>
      <c r="E73" s="655"/>
      <c r="F73" s="655"/>
      <c r="G73" s="655"/>
      <c r="H73" s="655"/>
      <c r="I73" s="655"/>
      <c r="J73" s="655"/>
      <c r="K73" s="655"/>
      <c r="L73" s="655"/>
      <c r="M73" s="655"/>
      <c r="N73" s="655"/>
      <c r="O73" s="65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abSelected="1" topLeftCell="A21" zoomScaleNormal="100" workbookViewId="0">
      <selection activeCell="A28" sqref="A28"/>
    </sheetView>
  </sheetViews>
  <sheetFormatPr defaultColWidth="6.7109375" defaultRowHeight="12.75" x14ac:dyDescent="0.2"/>
  <cols>
    <col min="1" max="1" width="11.5703125" style="58"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str" cm="1">
        <f t="array" ref="A14:A903">TEXT(B14:B903, "h:mm")</f>
        <v/>
      </c>
      <c r="B14" s="144" t="str" cm="1">
        <f t="array" ref="B14:B903">IFERROR(TIMEVALUE(DaqBook_RAW_Data!A4:A893),"")</f>
        <v/>
      </c>
      <c r="C14" s="167" t="str" cm="1">
        <f t="array" ref="C14:P903">IF(DaqBook_RAW_Data!B4:O893="", "", DaqBook_RAW_Data!B4:O893)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8" s="96" customFormat="1" x14ac:dyDescent="0.2">
      <c r="A15" s="145" t="str">
        <v/>
      </c>
      <c r="B15" s="144" t="str">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8" s="96" customFormat="1" x14ac:dyDescent="0.2">
      <c r="A16" s="145" t="str">
        <v/>
      </c>
      <c r="B16" s="144" t="str">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str">
        <v/>
      </c>
      <c r="B17" s="144" t="str">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str">
        <v/>
      </c>
      <c r="B18" s="144" t="str">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str">
        <v/>
      </c>
      <c r="B19" s="144" t="str">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str">
        <v/>
      </c>
      <c r="B20" s="144" t="str">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str">
        <v/>
      </c>
      <c r="B21" s="144" t="str">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str">
        <v/>
      </c>
      <c r="B22" s="144" t="str">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str">
        <v/>
      </c>
      <c r="B23" s="144" t="str">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str">
        <v/>
      </c>
      <c r="B24" s="144" t="str">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str">
        <v/>
      </c>
      <c r="B25" s="144" t="str">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str">
        <v/>
      </c>
      <c r="B26" s="144" t="str">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str">
        <v/>
      </c>
      <c r="B27" s="144" t="str">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str">
        <v/>
      </c>
      <c r="B28" s="144" t="str">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str">
        <v/>
      </c>
      <c r="B29" s="144" t="str">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str">
        <v/>
      </c>
      <c r="B30" s="144" t="str">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str">
        <v/>
      </c>
      <c r="B31" s="144" t="str">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str">
        <v/>
      </c>
      <c r="B32" s="144" t="str">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str">
        <v/>
      </c>
      <c r="B33" s="144" t="str">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str">
        <v/>
      </c>
      <c r="B34" s="144" t="str">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str">
        <v/>
      </c>
      <c r="B35" s="144" t="str">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str">
        <v/>
      </c>
      <c r="B36" s="144" t="str">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str">
        <v/>
      </c>
      <c r="B37" s="144" t="str">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str">
        <v/>
      </c>
      <c r="B38" s="144" t="str">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str">
        <v/>
      </c>
      <c r="B39" s="144" t="str">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str">
        <v/>
      </c>
      <c r="B40" s="144" t="str">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str">
        <v/>
      </c>
      <c r="B41" s="144" t="str">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str">
        <v/>
      </c>
      <c r="B42" s="144" t="str">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str">
        <v/>
      </c>
      <c r="B43" s="144" t="str">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str">
        <v/>
      </c>
      <c r="B44" s="144" t="str">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str">
        <v/>
      </c>
      <c r="B45" s="144" t="str">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str">
        <v/>
      </c>
      <c r="B46" s="144" t="str">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str">
        <v/>
      </c>
      <c r="B47" s="144" t="str">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str">
        <v/>
      </c>
      <c r="B48" s="144" t="str">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str">
        <v/>
      </c>
      <c r="B49" s="144" t="str">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str">
        <v/>
      </c>
      <c r="B50" s="144" t="str">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str">
        <v/>
      </c>
      <c r="B51" s="144" t="str">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str">
        <v/>
      </c>
      <c r="B52" s="144" t="str">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str">
        <v/>
      </c>
      <c r="B53" s="144" t="str">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str">
        <v/>
      </c>
      <c r="B54" s="144" t="str">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str">
        <v/>
      </c>
      <c r="B55" s="144" t="str">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str">
        <v/>
      </c>
      <c r="B56" s="144" t="str">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str">
        <v/>
      </c>
      <c r="B57" s="144" t="str">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str">
        <v/>
      </c>
      <c r="B58" s="144" t="str">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str">
        <v/>
      </c>
      <c r="B59" s="144" t="str">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str">
        <v/>
      </c>
      <c r="B60" s="144" t="str">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str">
        <v/>
      </c>
      <c r="B61" s="144" t="str">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str">
        <v/>
      </c>
      <c r="B62" s="144" t="str">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str">
        <v/>
      </c>
      <c r="B63" s="144" t="str">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str">
        <v/>
      </c>
      <c r="B64" s="144" t="str">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str">
        <v/>
      </c>
      <c r="B65" s="144" t="str">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100" customFormat="1" x14ac:dyDescent="0.2">
      <c r="A66" s="99" t="str">
        <v/>
      </c>
      <c r="B66" s="144" t="str">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100" customFormat="1" x14ac:dyDescent="0.2">
      <c r="A67" s="99" t="str">
        <v/>
      </c>
      <c r="B67" s="144" t="str">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100" customFormat="1" x14ac:dyDescent="0.2">
      <c r="A68" s="99" t="str">
        <v/>
      </c>
      <c r="B68" s="144" t="str">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100" customFormat="1" x14ac:dyDescent="0.2">
      <c r="A69" s="99" t="str">
        <v/>
      </c>
      <c r="B69" s="144" t="str">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100" customFormat="1" x14ac:dyDescent="0.2">
      <c r="A70" s="99" t="str">
        <v/>
      </c>
      <c r="B70" s="144" t="str">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100" customFormat="1" x14ac:dyDescent="0.2">
      <c r="A71" s="99" t="str">
        <v/>
      </c>
      <c r="B71" s="144" t="str">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100" customFormat="1" x14ac:dyDescent="0.2">
      <c r="A72" s="99" t="str">
        <v/>
      </c>
      <c r="B72" s="144" t="str">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100" customFormat="1" x14ac:dyDescent="0.2">
      <c r="A73" s="99" t="str">
        <v/>
      </c>
      <c r="B73" s="144" t="str">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100" customFormat="1" x14ac:dyDescent="0.2">
      <c r="A74" s="99" t="str">
        <v/>
      </c>
      <c r="B74" s="144" t="str">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100" customFormat="1" x14ac:dyDescent="0.2">
      <c r="A75" s="99" t="str">
        <v/>
      </c>
      <c r="B75" s="144" t="str">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100" customFormat="1" x14ac:dyDescent="0.2">
      <c r="A76" s="101" t="str">
        <v/>
      </c>
      <c r="B76" s="144" t="str">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100" customFormat="1" x14ac:dyDescent="0.2">
      <c r="A77" s="101" t="str">
        <v/>
      </c>
      <c r="B77" s="144" t="str">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100" customFormat="1" x14ac:dyDescent="0.2">
      <c r="A78" s="101" t="str">
        <v/>
      </c>
      <c r="B78" s="144" t="str">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100" customFormat="1" x14ac:dyDescent="0.2">
      <c r="A79" s="101" t="str">
        <v/>
      </c>
      <c r="B79" s="144" t="str">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100" customFormat="1" x14ac:dyDescent="0.2">
      <c r="A80" s="101" t="str">
        <v/>
      </c>
      <c r="B80" s="144" t="str">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100" customFormat="1" x14ac:dyDescent="0.2">
      <c r="A81" s="101" t="str">
        <v/>
      </c>
      <c r="B81" s="144" t="str">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6" customFormat="1" x14ac:dyDescent="0.2">
      <c r="A82" s="95" t="str">
        <v/>
      </c>
      <c r="B82" s="144" t="str">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6" customFormat="1" x14ac:dyDescent="0.2">
      <c r="A83" s="95" t="str">
        <v/>
      </c>
      <c r="B83" s="144" t="str">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95" t="str">
        <v/>
      </c>
      <c r="B84" s="144" t="str">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95" t="str">
        <v/>
      </c>
      <c r="B85" s="144" t="str">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95" t="str">
        <v/>
      </c>
      <c r="B86" s="144" t="str">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95" t="str">
        <v/>
      </c>
      <c r="B87" s="144" t="str">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95" t="str">
        <v/>
      </c>
      <c r="B88" s="144" t="str">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95" t="str">
        <v/>
      </c>
      <c r="B89" s="144" t="str">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95" t="str">
        <v/>
      </c>
      <c r="B90" s="144" t="str">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95" t="str">
        <v/>
      </c>
      <c r="B91" s="144" t="str">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95" t="str">
        <v/>
      </c>
      <c r="B92" s="144" t="str">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str">
        <v/>
      </c>
      <c r="B93" s="144" t="str">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str">
        <v/>
      </c>
      <c r="B94" s="144" t="str">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str">
        <v/>
      </c>
      <c r="B95" s="144" t="str">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str">
        <v/>
      </c>
      <c r="B96" s="144" t="str">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str">
        <v/>
      </c>
      <c r="B97" s="144" t="str">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str">
        <v/>
      </c>
      <c r="B98" s="144" t="str">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str">
        <v/>
      </c>
      <c r="B99" s="144" t="str">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str">
        <v/>
      </c>
      <c r="B100" s="144" t="str">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str">
        <v/>
      </c>
      <c r="B101" s="144" t="str">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str">
        <v/>
      </c>
      <c r="B102" s="144" t="str">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str">
        <v/>
      </c>
      <c r="B103" s="144" t="str">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str">
        <v/>
      </c>
      <c r="B104" s="144" t="str">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str">
        <v/>
      </c>
      <c r="B105" s="144" t="str">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str">
        <v/>
      </c>
      <c r="B106" s="144" t="str">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str">
        <v/>
      </c>
      <c r="B107" s="144" t="str">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str">
        <v/>
      </c>
      <c r="B108" s="144" t="str">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str">
        <v/>
      </c>
      <c r="B109" s="144" t="str">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str">
        <v/>
      </c>
      <c r="B110" s="144" t="str">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str">
        <v/>
      </c>
      <c r="B111" s="144" t="str">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str">
        <v/>
      </c>
      <c r="B112" s="144" t="str">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str">
        <v/>
      </c>
      <c r="B113" s="144" t="str">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str">
        <v/>
      </c>
      <c r="B114" s="144" t="str">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str">
        <v/>
      </c>
      <c r="B115" s="144" t="str">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str">
        <v/>
      </c>
      <c r="B116" s="144" t="str">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str">
        <v/>
      </c>
      <c r="B117" s="144" t="str">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str">
        <v/>
      </c>
      <c r="B118" s="144" t="str">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str">
        <v/>
      </c>
      <c r="B119" s="144" t="str">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str">
        <v/>
      </c>
      <c r="B120" s="144" t="str">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str">
        <v/>
      </c>
      <c r="B121" s="144" t="str">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str">
        <v/>
      </c>
      <c r="B122" s="144" t="str">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str">
        <v/>
      </c>
      <c r="B123" s="144" t="str">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str">
        <v/>
      </c>
      <c r="B124" s="144" t="str">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str">
        <v/>
      </c>
      <c r="B125" s="144" t="str">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str">
        <v/>
      </c>
      <c r="B126" s="144" t="str">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str">
        <v/>
      </c>
      <c r="B127" s="144" t="str">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str">
        <v/>
      </c>
      <c r="B128" s="144" t="str">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str">
        <v/>
      </c>
      <c r="B129" s="144" t="str">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str">
        <v/>
      </c>
      <c r="B130" s="144" t="str">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str">
        <v/>
      </c>
      <c r="B131" s="144" t="str">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str">
        <v/>
      </c>
      <c r="B132" s="144" t="str">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str">
        <v/>
      </c>
      <c r="B133" s="144" t="str">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str">
        <v/>
      </c>
      <c r="B134" s="144" t="str">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str">
        <v/>
      </c>
      <c r="B135" s="144" t="str">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str">
        <v/>
      </c>
      <c r="B136" s="144" t="str">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str">
        <v/>
      </c>
      <c r="B137" s="144" t="str">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str">
        <v/>
      </c>
      <c r="B138" s="144" t="str">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str">
        <v/>
      </c>
      <c r="B139" s="144" t="str">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str">
        <v/>
      </c>
      <c r="B140" s="144" t="str">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str">
        <v/>
      </c>
      <c r="B141" s="144" t="str">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str">
        <v/>
      </c>
      <c r="B142" s="144" t="str">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str">
        <v/>
      </c>
      <c r="B143" s="144" t="str">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str">
        <v/>
      </c>
      <c r="B144" s="144" t="str">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str">
        <v/>
      </c>
      <c r="B145" s="144" t="str">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str">
        <v/>
      </c>
      <c r="B146" s="144" t="str">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str">
        <v/>
      </c>
      <c r="B147" s="144" t="str">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str">
        <v/>
      </c>
      <c r="B148" s="144" t="str">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str">
        <v/>
      </c>
      <c r="B149" s="144" t="str">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str">
        <v/>
      </c>
      <c r="B150" s="144" t="str">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str">
        <v/>
      </c>
      <c r="B151" s="144" t="str">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str">
        <v/>
      </c>
      <c r="B152" s="144" t="str">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str">
        <v/>
      </c>
      <c r="B153" s="144" t="str">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str">
        <v/>
      </c>
      <c r="B154" s="144" t="str">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str">
        <v/>
      </c>
      <c r="B155" s="144" t="str">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str">
        <v/>
      </c>
      <c r="B156" s="144" t="str">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str">
        <v/>
      </c>
      <c r="B157" s="144" t="str">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str">
        <v/>
      </c>
      <c r="B158" s="144" t="str">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str">
        <v/>
      </c>
      <c r="B159" s="144" t="str">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str">
        <v/>
      </c>
      <c r="B160" s="144" t="str">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str">
        <v/>
      </c>
      <c r="B161" s="144" t="str">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str">
        <v/>
      </c>
      <c r="B162" s="144" t="str">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str">
        <v/>
      </c>
      <c r="B163" s="144" t="str">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str">
        <v/>
      </c>
      <c r="B164" s="144" t="str">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str">
        <v/>
      </c>
      <c r="B165" s="144" t="str">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str">
        <v/>
      </c>
      <c r="B166" s="144" t="str">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str">
        <v/>
      </c>
      <c r="B167" s="144" t="str">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str">
        <v/>
      </c>
      <c r="B168" s="144" t="str">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str">
        <v/>
      </c>
      <c r="B169" s="144" t="str">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str">
        <v/>
      </c>
      <c r="B170" s="144" t="str">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str">
        <v/>
      </c>
      <c r="B171" s="144" t="str">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str">
        <v/>
      </c>
      <c r="B172" s="144" t="str">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str">
        <v/>
      </c>
      <c r="B173" s="144" t="str">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str">
        <v/>
      </c>
      <c r="B174" s="144" t="str">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str">
        <v/>
      </c>
      <c r="B175" s="144" t="str">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str">
        <v/>
      </c>
      <c r="B176" s="144" t="str">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str">
        <v/>
      </c>
      <c r="B177" s="144" t="str">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str">
        <v/>
      </c>
      <c r="B178" s="144" t="str">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str">
        <v/>
      </c>
      <c r="B179" s="144" t="str">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str">
        <v/>
      </c>
      <c r="B180" s="144" t="str">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str">
        <v/>
      </c>
      <c r="B181" s="144" t="str">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str">
        <v/>
      </c>
      <c r="B182" s="144" t="str">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str">
        <v/>
      </c>
      <c r="B183" s="144" t="str">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str">
        <v/>
      </c>
      <c r="B184" s="144" t="str">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str">
        <v/>
      </c>
      <c r="B185" s="144" t="str">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str">
        <v/>
      </c>
      <c r="B186" s="144" t="str">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str">
        <v/>
      </c>
      <c r="B187" s="144" t="str">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str">
        <v/>
      </c>
      <c r="B188" s="144" t="str">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str">
        <v/>
      </c>
      <c r="B189" s="144" t="str">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str">
        <v/>
      </c>
      <c r="B190" s="144" t="str">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str">
        <v/>
      </c>
      <c r="B191" s="144" t="str">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str">
        <v/>
      </c>
      <c r="B192" s="144" t="str">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str">
        <v/>
      </c>
      <c r="B193" s="144" t="str">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str">
        <v/>
      </c>
      <c r="B194" s="144" t="str">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str">
        <v/>
      </c>
      <c r="B195" s="144" t="str">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str">
        <v/>
      </c>
      <c r="B196" s="144" t="str">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str">
        <v/>
      </c>
      <c r="B197" s="144" t="str">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str">
        <v/>
      </c>
      <c r="B198" s="144" t="str">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str">
        <v/>
      </c>
      <c r="B199" s="144" t="str">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str">
        <v/>
      </c>
      <c r="B200" s="144" t="str">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str">
        <v/>
      </c>
      <c r="B201" s="144" t="str">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str">
        <v/>
      </c>
      <c r="B202" s="144" t="str">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str">
        <v/>
      </c>
      <c r="B203" s="144" t="str">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str">
        <v/>
      </c>
      <c r="B204" s="144" t="str">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str">
        <v/>
      </c>
      <c r="B205" s="144" t="str">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str">
        <v/>
      </c>
      <c r="B206" s="144" t="str">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str">
        <v/>
      </c>
      <c r="B207" s="144" t="str">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str">
        <v/>
      </c>
      <c r="B208" s="144" t="str">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str">
        <v/>
      </c>
      <c r="B209" s="144" t="str">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str">
        <v/>
      </c>
      <c r="B210" s="144" t="str">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str">
        <v/>
      </c>
      <c r="B211" s="144" t="str">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str">
        <v/>
      </c>
      <c r="B212" s="144" t="str">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str">
        <v/>
      </c>
      <c r="B213" s="144" t="str">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str">
        <v/>
      </c>
      <c r="B214" s="144" t="str">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str">
        <v/>
      </c>
      <c r="B215" s="144" t="str">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str">
        <v/>
      </c>
      <c r="B216" s="144" t="str">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str">
        <v/>
      </c>
      <c r="B217" s="144" t="str">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str">
        <v/>
      </c>
      <c r="B218" s="144" t="str">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str">
        <v/>
      </c>
      <c r="B219" s="144" t="str">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str">
        <v/>
      </c>
      <c r="B220" s="144" t="str">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str">
        <v/>
      </c>
      <c r="B221" s="144" t="str">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str">
        <v/>
      </c>
      <c r="B222" s="144" t="str">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str">
        <v/>
      </c>
      <c r="B223" s="144" t="str">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str">
        <v/>
      </c>
      <c r="B224" s="144" t="str">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str">
        <v/>
      </c>
      <c r="B225" s="144" t="str">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str">
        <v/>
      </c>
      <c r="B226" s="144" t="str">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str">
        <v/>
      </c>
      <c r="B227" s="144" t="str">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str">
        <v/>
      </c>
      <c r="B228" s="144" t="str">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str">
        <v/>
      </c>
      <c r="B229" s="144" t="str">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str">
        <v/>
      </c>
      <c r="B230" s="144" t="str">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str">
        <v/>
      </c>
      <c r="B231" s="144" t="str">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str">
        <v/>
      </c>
      <c r="B232" s="144" t="str">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str">
        <v/>
      </c>
      <c r="B233" s="144" t="str">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str">
        <v/>
      </c>
      <c r="B234" s="144" t="str">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str">
        <v/>
      </c>
      <c r="B235" s="144" t="str">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str">
        <v/>
      </c>
      <c r="B236" s="144" t="str">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str">
        <v/>
      </c>
      <c r="B237" s="144" t="str">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str">
        <v/>
      </c>
      <c r="B238" s="144" t="str">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str">
        <v/>
      </c>
      <c r="B239" s="144" t="str">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str">
        <v/>
      </c>
      <c r="B240" s="144" t="str">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str">
        <v/>
      </c>
      <c r="B241" s="144" t="str">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str">
        <v/>
      </c>
      <c r="B242" s="144" t="str">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str">
        <v/>
      </c>
      <c r="B243" s="144" t="str">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str">
        <v/>
      </c>
      <c r="B244" s="144" t="str">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str">
        <v/>
      </c>
      <c r="B245" s="144" t="str">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str">
        <v/>
      </c>
      <c r="B246" s="144" t="str">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str">
        <v/>
      </c>
      <c r="B247" s="144" t="str">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str">
        <v/>
      </c>
      <c r="B248" s="144" t="str">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str">
        <v/>
      </c>
      <c r="B249" s="144" t="str">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str">
        <v/>
      </c>
      <c r="B250" s="144" t="str">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str">
        <v/>
      </c>
      <c r="B251" s="144" t="str">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str">
        <v/>
      </c>
      <c r="B252" s="144" t="str">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str">
        <v/>
      </c>
      <c r="B253" s="144" t="str">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str">
        <v/>
      </c>
      <c r="B254" s="144" t="str">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str">
        <v/>
      </c>
      <c r="B255" s="144" t="str">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str">
        <v/>
      </c>
      <c r="B256" s="144" t="str">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str">
        <v/>
      </c>
      <c r="B257" s="144" t="str">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str">
        <v/>
      </c>
      <c r="B258" s="144" t="str">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str">
        <v/>
      </c>
      <c r="B259" s="144" t="str">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str">
        <v/>
      </c>
      <c r="B260" s="144" t="str">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str">
        <v/>
      </c>
      <c r="B261" s="144" t="str">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str">
        <v/>
      </c>
      <c r="B262" s="144" t="str">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str">
        <v/>
      </c>
      <c r="B263" s="144" t="str">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str">
        <v/>
      </c>
      <c r="B264" s="144" t="str">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str">
        <v/>
      </c>
      <c r="B265" s="144" t="str">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str">
        <v/>
      </c>
      <c r="B266" s="144" t="str">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str">
        <v/>
      </c>
      <c r="B267" s="144" t="str">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str">
        <v/>
      </c>
      <c r="B268" s="144" t="str">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str">
        <v/>
      </c>
      <c r="B269" s="144" t="str">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str">
        <v/>
      </c>
      <c r="B270" s="144" t="str">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str">
        <v/>
      </c>
      <c r="B271" s="144" t="str">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str">
        <v/>
      </c>
      <c r="B272" s="144" t="str">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str">
        <v/>
      </c>
      <c r="B273" s="144" t="str">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str">
        <v/>
      </c>
      <c r="B274" s="144" t="str">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str">
        <v/>
      </c>
      <c r="B275" s="144" t="str">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str">
        <v/>
      </c>
      <c r="B276" s="144" t="str">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str">
        <v/>
      </c>
      <c r="B277" s="144" t="str">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str">
        <v/>
      </c>
      <c r="B278" s="144" t="str">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str">
        <v/>
      </c>
      <c r="B279" s="144" t="str">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str">
        <v/>
      </c>
      <c r="B280" s="144" t="str">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str">
        <v/>
      </c>
      <c r="B281" s="144" t="str">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str">
        <v/>
      </c>
      <c r="B282" s="144" t="str">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str">
        <v/>
      </c>
      <c r="B283" s="144" t="str">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str">
        <v/>
      </c>
      <c r="B284" s="144" t="str">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str">
        <v/>
      </c>
      <c r="B285" s="144" t="str">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str">
        <v/>
      </c>
      <c r="B286" s="144" t="str">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str">
        <v/>
      </c>
      <c r="B287" s="144" t="str">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str">
        <v/>
      </c>
      <c r="B288" s="144" t="str">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str">
        <v/>
      </c>
      <c r="B289" s="144" t="str">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str">
        <v/>
      </c>
      <c r="B290" s="144" t="str">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str">
        <v/>
      </c>
      <c r="B291" s="144" t="str">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str">
        <v/>
      </c>
      <c r="B292" s="144" t="str">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str">
        <v/>
      </c>
      <c r="B293" s="144" t="str">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str">
        <v/>
      </c>
      <c r="B294" s="144" t="str">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str">
        <v/>
      </c>
      <c r="B295" s="144" t="str">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str">
        <v/>
      </c>
      <c r="B296" s="144" t="str">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str">
        <v/>
      </c>
      <c r="B297" s="144" t="str">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str">
        <v/>
      </c>
      <c r="B298" s="144" t="str">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str">
        <v/>
      </c>
      <c r="B299" s="144" t="str">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str">
        <v/>
      </c>
      <c r="B300" s="144" t="str">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str">
        <v/>
      </c>
      <c r="B301" s="144" t="str">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str">
        <v/>
      </c>
      <c r="B302" s="144" t="str">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str">
        <v/>
      </c>
      <c r="B303" s="144" t="str">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str">
        <v/>
      </c>
      <c r="B304" s="144" t="str">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str">
        <v/>
      </c>
      <c r="B305" s="144" t="str">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str">
        <v/>
      </c>
      <c r="B306" s="144" t="str">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str">
        <v/>
      </c>
      <c r="B307" s="144" t="str">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str">
        <v/>
      </c>
      <c r="B308" s="144" t="str">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str">
        <v/>
      </c>
      <c r="B309" s="144" t="str">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str">
        <v/>
      </c>
      <c r="B310" s="144" t="str">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str">
        <v/>
      </c>
      <c r="B311" s="144" t="str">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str">
        <v/>
      </c>
      <c r="B312" s="144" t="str">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str">
        <v/>
      </c>
      <c r="B313" s="144" t="str">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str">
        <v/>
      </c>
      <c r="B314" s="144" t="str">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str">
        <v/>
      </c>
      <c r="B315" s="144" t="str">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str">
        <v/>
      </c>
      <c r="B316" s="144" t="str">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str">
        <v/>
      </c>
      <c r="B317" s="144" t="str">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str">
        <v/>
      </c>
      <c r="B318" s="144" t="str">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str">
        <v/>
      </c>
      <c r="B319" s="144" t="str">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str">
        <v/>
      </c>
      <c r="B320" s="144" t="str">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str">
        <v/>
      </c>
      <c r="B321" s="144" t="str">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str">
        <v/>
      </c>
      <c r="B322" s="144" t="str">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str">
        <v/>
      </c>
      <c r="B323" s="144" t="str">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str">
        <v/>
      </c>
      <c r="B324" s="144" t="str">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str">
        <v/>
      </c>
      <c r="B325" s="144" t="str">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str">
        <v/>
      </c>
      <c r="B326" s="144" t="str">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str">
        <v/>
      </c>
      <c r="B327" s="144" t="str">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str">
        <v/>
      </c>
      <c r="B328" s="144" t="str">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str">
        <v/>
      </c>
      <c r="B329" s="144" t="str">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str">
        <v/>
      </c>
      <c r="B330" s="144" t="str">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str">
        <v/>
      </c>
      <c r="B331" s="144" t="str">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str">
        <v/>
      </c>
      <c r="B332" s="144" t="str">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str">
        <v/>
      </c>
      <c r="B333" s="144" t="str">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str">
        <v/>
      </c>
      <c r="B334" s="144" t="str">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str">
        <v/>
      </c>
      <c r="B335" s="144" t="str">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str">
        <v/>
      </c>
      <c r="B336" s="144" t="str">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str">
        <v/>
      </c>
      <c r="B337" s="144" t="str">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str">
        <v/>
      </c>
      <c r="B338" s="144" t="str">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str">
        <v/>
      </c>
      <c r="B339" s="144" t="str">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str">
        <v/>
      </c>
      <c r="B340" s="144" t="str">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str">
        <v/>
      </c>
      <c r="B341" s="144" t="str">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str">
        <v/>
      </c>
      <c r="B342" s="144" t="str">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str">
        <v/>
      </c>
      <c r="B343" s="144" t="str">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str">
        <v/>
      </c>
      <c r="B344" s="144" t="str">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str">
        <v/>
      </c>
      <c r="B345" s="144" t="str">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str">
        <v/>
      </c>
      <c r="B346" s="144" t="str">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str">
        <v/>
      </c>
      <c r="B347" s="144" t="str">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str">
        <v/>
      </c>
      <c r="B348" s="144" t="str">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str">
        <v/>
      </c>
      <c r="B349" s="144" t="str">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str">
        <v/>
      </c>
      <c r="B350" s="144" t="str">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str">
        <v/>
      </c>
      <c r="B351" s="144" t="str">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str">
        <v/>
      </c>
      <c r="B352" s="144" t="str">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str">
        <v/>
      </c>
      <c r="B353" s="144" t="str">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str">
        <v/>
      </c>
      <c r="B354" s="144" t="str">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str">
        <v/>
      </c>
      <c r="B355" s="144" t="str">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str">
        <v/>
      </c>
      <c r="B356" s="144" t="str">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str">
        <v/>
      </c>
      <c r="B357" s="144" t="str">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str">
        <v/>
      </c>
      <c r="B358" s="144" t="str">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str">
        <v/>
      </c>
      <c r="B359" s="144" t="str">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str">
        <v/>
      </c>
      <c r="B360" s="144" t="str">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str">
        <v/>
      </c>
      <c r="B361" s="144" t="str">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str">
        <v/>
      </c>
      <c r="B362" s="144" t="str">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str">
        <v/>
      </c>
      <c r="B363" s="144" t="str">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str">
        <v/>
      </c>
      <c r="B364" s="144" t="str">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str">
        <v/>
      </c>
      <c r="B365" s="144" t="str">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str">
        <v/>
      </c>
      <c r="B366" s="144" t="str">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str">
        <v/>
      </c>
      <c r="B367" s="144" t="str">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str">
        <v/>
      </c>
      <c r="B368" s="144" t="str">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str">
        <v/>
      </c>
      <c r="B369" s="144" t="str">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str">
        <v/>
      </c>
      <c r="B370" s="144" t="str">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str">
        <v/>
      </c>
      <c r="B371" s="144" t="str">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str">
        <v/>
      </c>
      <c r="B372" s="144" t="str">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str">
        <v/>
      </c>
      <c r="B373" s="144" t="str">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str">
        <v/>
      </c>
      <c r="B374" s="144" t="str">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str">
        <v/>
      </c>
      <c r="B375" s="144" t="str">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str">
        <v/>
      </c>
      <c r="B376" s="144" t="str">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str">
        <v/>
      </c>
      <c r="B377" s="144" t="str">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str">
        <v/>
      </c>
      <c r="B378" s="144" t="str">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str">
        <v/>
      </c>
      <c r="B379" s="144" t="str">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str">
        <v/>
      </c>
      <c r="B380" s="144" t="str">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str">
        <v/>
      </c>
      <c r="B381" s="144" t="str">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str">
        <v/>
      </c>
      <c r="B382" s="144" t="str">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str">
        <v/>
      </c>
      <c r="B383" s="144" t="str">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str">
        <v/>
      </c>
      <c r="B384" s="144" t="str">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str">
        <v/>
      </c>
      <c r="B385" s="144" t="str">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str">
        <v/>
      </c>
      <c r="B386" s="144" t="str">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str">
        <v/>
      </c>
      <c r="B387" s="144" t="str">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str">
        <v/>
      </c>
      <c r="B388" s="144" t="str">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str">
        <v/>
      </c>
      <c r="B389" s="144" t="str">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str">
        <v/>
      </c>
      <c r="B390" s="144" t="str">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str">
        <v/>
      </c>
      <c r="B391" s="144" t="str">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str">
        <v/>
      </c>
      <c r="B392" s="144" t="str">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str">
        <v/>
      </c>
      <c r="B393" s="144" t="str">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str">
        <v/>
      </c>
      <c r="B394" s="144" t="str">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str">
        <v/>
      </c>
      <c r="B395" s="144" t="str">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str">
        <v/>
      </c>
      <c r="B396" s="144" t="str">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str">
        <v/>
      </c>
      <c r="B397" s="144" t="str">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str">
        <v/>
      </c>
      <c r="B398" s="144" t="str">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str">
        <v/>
      </c>
      <c r="B399" s="144" t="str">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str">
        <v/>
      </c>
      <c r="B400" s="144" t="str">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str">
        <v/>
      </c>
      <c r="B401" s="144" t="str">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str">
        <v/>
      </c>
      <c r="B402" s="144" t="str">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str">
        <v/>
      </c>
      <c r="B403" s="144" t="str">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str">
        <v/>
      </c>
      <c r="B404" s="144" t="str">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str">
        <v/>
      </c>
      <c r="B405" s="144" t="str">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str">
        <v/>
      </c>
      <c r="B406" s="144" t="str">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str">
        <v/>
      </c>
      <c r="B407" s="144" t="str">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str">
        <v/>
      </c>
      <c r="B408" s="144" t="str">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str">
        <v/>
      </c>
      <c r="B409" s="144" t="str">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str">
        <v/>
      </c>
      <c r="B410" s="144" t="str">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str">
        <v/>
      </c>
      <c r="B411" s="144" t="str">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str">
        <v/>
      </c>
      <c r="B412" s="144" t="str">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str">
        <v/>
      </c>
      <c r="B413" s="144" t="str">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str">
        <v/>
      </c>
      <c r="B414" s="144" t="str">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str">
        <v/>
      </c>
      <c r="B415" s="144" t="str">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str">
        <v/>
      </c>
      <c r="B416" s="144" t="str">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str">
        <v/>
      </c>
      <c r="B417" s="144" t="str">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str">
        <v/>
      </c>
      <c r="B418" s="144" t="str">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str">
        <v/>
      </c>
      <c r="B419" s="144" t="str">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str">
        <v/>
      </c>
      <c r="B420" s="144" t="str">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str">
        <v/>
      </c>
      <c r="B421" s="144" t="str">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str">
        <v/>
      </c>
      <c r="B422" s="144" t="str">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str">
        <v/>
      </c>
      <c r="B423" s="144" t="str">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str">
        <v/>
      </c>
      <c r="B424" s="144" t="str">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str">
        <v/>
      </c>
      <c r="B425" s="144" t="str">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str">
        <v/>
      </c>
      <c r="B426" s="144" t="str">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str">
        <v/>
      </c>
      <c r="B427" s="144" t="str">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str">
        <v/>
      </c>
      <c r="B428" s="144" t="str">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str">
        <v/>
      </c>
      <c r="B429" s="144" t="str">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str">
        <v/>
      </c>
      <c r="B430" s="144" t="str">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str">
        <v/>
      </c>
      <c r="B431" s="144" t="str">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str">
        <v/>
      </c>
      <c r="B432" s="144" t="str">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str">
        <v/>
      </c>
      <c r="B433" s="144" t="str">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str">
        <v/>
      </c>
      <c r="B434" s="144" t="str">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str">
        <v/>
      </c>
      <c r="B435" s="144" t="str">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str">
        <v/>
      </c>
      <c r="B436" s="144" t="str">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str">
        <v/>
      </c>
      <c r="B437" s="144" t="str">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str">
        <v/>
      </c>
      <c r="B438" s="144" t="str">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str">
        <v/>
      </c>
      <c r="B439" s="144" t="str">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str">
        <v/>
      </c>
      <c r="B440" s="144" t="str">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str">
        <v/>
      </c>
      <c r="B441" s="144" t="str">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str">
        <v/>
      </c>
      <c r="B442" s="144" t="str">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str">
        <v/>
      </c>
      <c r="B443" s="144" t="str">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str">
        <v/>
      </c>
      <c r="B444" s="144" t="str">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str">
        <v/>
      </c>
      <c r="B445" s="144" t="str">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str">
        <v/>
      </c>
      <c r="B446" s="144" t="str">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str">
        <v/>
      </c>
      <c r="B447" s="144" t="str">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str">
        <v/>
      </c>
      <c r="B448" s="144" t="str">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str">
        <v/>
      </c>
      <c r="B449" s="144" t="str">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str">
        <v/>
      </c>
      <c r="B450" s="144" t="str">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str">
        <v/>
      </c>
      <c r="B451" s="144" t="str">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str">
        <v/>
      </c>
      <c r="B452" s="144" t="str">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str">
        <v/>
      </c>
      <c r="B453" s="144" t="str">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str">
        <v/>
      </c>
      <c r="B454" s="144" t="str">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str">
        <v/>
      </c>
      <c r="B455" s="144" t="str">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str">
        <v/>
      </c>
      <c r="B456" s="144" t="str">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str">
        <v/>
      </c>
      <c r="B457" s="144" t="str">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str">
        <v/>
      </c>
      <c r="B458" s="144" t="str">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str">
        <v/>
      </c>
      <c r="B459" s="144" t="str">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str">
        <v/>
      </c>
      <c r="B460" s="144" t="str">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str">
        <v/>
      </c>
      <c r="B461" s="144" t="str">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str">
        <v/>
      </c>
      <c r="B462" s="144" t="str">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str">
        <v/>
      </c>
      <c r="B463" s="144" t="str">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str">
        <v/>
      </c>
      <c r="B464" s="144" t="str">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str">
        <v/>
      </c>
      <c r="B465" s="144" t="str">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str">
        <v/>
      </c>
      <c r="B466" s="144" t="str">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str">
        <v/>
      </c>
      <c r="B467" s="144" t="str">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str">
        <v/>
      </c>
      <c r="B468" s="144" t="str">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str">
        <v/>
      </c>
      <c r="B469" s="144" t="str">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str">
        <v/>
      </c>
      <c r="B470" s="144" t="str">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str">
        <v/>
      </c>
      <c r="B471" s="144" t="str">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str">
        <v/>
      </c>
      <c r="B472" s="144" t="str">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str">
        <v/>
      </c>
      <c r="B473" s="144" t="str">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str">
        <v/>
      </c>
      <c r="B474" s="144" t="str">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str">
        <v/>
      </c>
      <c r="B475" s="144" t="str">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str">
        <v/>
      </c>
      <c r="B476" s="144" t="str">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str">
        <v/>
      </c>
      <c r="B477" s="144" t="str">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str">
        <v/>
      </c>
      <c r="B478" s="144" t="str">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str">
        <v/>
      </c>
      <c r="B479" s="144" t="str">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str">
        <v/>
      </c>
      <c r="B480" s="144" t="str">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str">
        <v/>
      </c>
      <c r="B481" s="144" t="str">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str">
        <v/>
      </c>
      <c r="B482" s="144" t="str">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str">
        <v/>
      </c>
      <c r="B483" s="144" t="str">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str">
        <v/>
      </c>
      <c r="B484" s="144" t="str">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str">
        <v/>
      </c>
      <c r="B485" s="144" t="str">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str">
        <v/>
      </c>
      <c r="B486" s="144" t="str">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str">
        <v/>
      </c>
      <c r="B487" s="144" t="str">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str">
        <v/>
      </c>
      <c r="B488" s="144" t="str">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str">
        <v/>
      </c>
      <c r="B489" s="144" t="str">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str">
        <v/>
      </c>
      <c r="B490" s="144" t="str">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str">
        <v/>
      </c>
      <c r="B491" s="144" t="str">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str">
        <v/>
      </c>
      <c r="B492" s="144" t="str">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str">
        <v/>
      </c>
      <c r="B493" s="144" t="str">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str">
        <v/>
      </c>
      <c r="B494" s="144" t="str">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str">
        <v/>
      </c>
      <c r="B495" s="144" t="str">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str">
        <v/>
      </c>
      <c r="B496" s="144" t="str">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str">
        <v/>
      </c>
      <c r="B497" s="144" t="str">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str">
        <v/>
      </c>
      <c r="B498" s="144" t="str">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str">
        <v/>
      </c>
      <c r="B499" s="144" t="str">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str">
        <v/>
      </c>
      <c r="B500" s="144" t="str">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str">
        <v/>
      </c>
      <c r="B501" s="144" t="str">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4" t="str">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4" t="str">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4" t="str">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4" t="str">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4" t="str">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4" t="str">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4" t="str">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4" t="str">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4" t="str">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4" t="str">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4" t="str">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4" t="str">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4" t="str">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4" t="str">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4" t="str">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4" t="str">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4" t="str">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4" t="str">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4" t="str">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4" t="str">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4" t="str">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4" t="str">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4" t="str">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4" t="str">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4" t="str">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4" t="str">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4" t="str">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4" t="str">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4" t="str">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4" t="str">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4" t="str">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4" t="str">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4" t="str">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4" t="str">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4" t="str">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4" t="str">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4" t="str">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4" t="str">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4" t="str">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4" t="str">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4" t="str">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4" t="str">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4" t="str">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4" t="str">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4" t="str">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4" t="str">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4" t="str">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4" t="str">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4" t="str">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4" t="str">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4" t="str">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4" t="str">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4" t="str">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4" t="str">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4" t="str">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4" t="str">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4" t="str">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4" t="str">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4" t="str">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4" t="str">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4" t="str">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4" t="str">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4" t="str">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4" t="str">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4" t="str">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4" t="str">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4" t="str">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4" t="str">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4" t="str">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4" t="str">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4" t="str">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4" t="str">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4" t="str">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4" t="str">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4" t="str">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4" t="str">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4" t="str">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4" t="str">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4" t="str">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4" t="str">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4" t="str">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4" t="str">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4" t="str">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4" t="str">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4" t="str">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4" t="str">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4" t="str">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4" t="str">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4" t="str">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4" t="str">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4" t="str">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4" t="str">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4" t="str">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4" t="str">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4" t="str">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4" t="str">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4" t="str">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4" t="str">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4" t="str">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4" t="str">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4" t="str">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4" t="str">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4" t="str">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4" t="str">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4" t="str">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4" t="str">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4" t="str">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4" t="str">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4" t="str">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4" t="str">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4" t="str">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4" t="str">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4" t="str">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4" t="str">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4" t="str">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4" t="str">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4" t="str">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4" t="str">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4" t="str">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4" t="str">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4" t="str">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4" t="str">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4" t="str">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4" t="str">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4" t="str">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4" t="str">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4" t="str">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4" t="str">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4" t="str">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4" t="str">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4" t="str">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4" t="str">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4" t="str">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4" t="str">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4" t="str">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4" t="str">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4" t="str">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4" t="str">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4" t="str">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4" t="str">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4" t="str">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4" t="str">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4" t="str">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4" t="str">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4" t="str">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4" t="str">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4" t="str">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4" t="str">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4" t="str">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4" t="str">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4" t="str">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4" t="str">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4" t="str">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4" t="str">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4" t="str">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4" t="str">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4" t="str">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4" t="str">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4" t="str">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4" t="str">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4" t="str">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4" t="str">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4" t="str">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4" t="str">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4" t="str">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4" t="str">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4" t="str">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4" t="str">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4" t="str">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4" t="str">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4" t="str">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4" t="str">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4" t="str">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4" t="str">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4" t="str">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4" t="str">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4" t="str">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4" t="str">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4" t="str">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4" t="str">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4" t="str">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4" t="str">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4" t="str">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4" t="str">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4" t="str">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4" t="str">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4" t="str">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4" t="str">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4" t="str">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4" t="str">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4" t="str">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4" t="str">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4" t="str">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4" t="str">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4" t="str">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4" t="str">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4" t="str">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4" t="str">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4" t="str">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4" t="str">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4" t="str">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4" t="str">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4" t="str">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4" t="str">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4" t="str">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4" t="str">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4" t="str">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4" t="str">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4" t="str">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4" t="str">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4" t="str">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4" t="str">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4" t="str">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4" t="str">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4" t="str">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4" t="str">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4" t="str">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4" t="str">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4" t="str">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4" t="str">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4" t="str">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4" t="str">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4" t="str">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4" t="str">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4" t="str">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4" t="str">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4" t="str">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4" t="str">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4" t="str">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4" t="str">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4" t="str">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4" t="str">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4" t="str">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4" t="str">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4" t="str">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4" t="str">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4" t="str">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4" t="str">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4" t="str">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4" t="str">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4" t="str">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4" t="str">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4" t="str">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4" t="str">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4" t="str">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4" t="str">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4" t="str">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4" t="str">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4" t="str">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4" t="str">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4" t="str">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4" t="str">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4" t="str">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4" t="str">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4" t="str">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4" t="str">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4" t="str">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4" t="str">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4" t="str">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4" t="str">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4" t="str">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4" t="str">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4" t="str">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4" t="str">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4" t="str">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4" t="str">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4" t="str">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4" t="str">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4" t="str">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4" t="str">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4" t="str">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4" t="str">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4" t="str">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4" t="str">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4" t="str">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4" t="str">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4" t="str">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4" t="str">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4" t="str">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4" t="str">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4" t="str">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4" t="str">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4" t="str">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4" t="str">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4" t="str">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4" t="str">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4" t="str">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4" t="str">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4" t="str">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4" t="str">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4" t="str">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4" t="str">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4" t="str">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4" t="str">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4" t="str">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4" t="str">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4" t="str">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4" t="str">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4" t="str">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4" t="str">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4" t="str">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4" t="str">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4" t="str">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4" t="str">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4" t="str">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4" t="str">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4" t="str">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4" t="str">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4" t="str">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4" t="str">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4" t="str">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4" t="str">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4" t="str">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4" t="str">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4" t="str">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4" t="str">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4" t="str">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4" t="str">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4" t="str">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4" t="str">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4" t="str">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4" t="str">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4" t="str">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4" t="str">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4" t="str">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4" t="str">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4" t="str">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4" t="str">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4" t="str">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4" t="str">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4" t="str">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4" t="str">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4" t="str">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4" t="str">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4" t="str">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4" t="str">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4" t="str">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4" t="str">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4" t="str">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4" t="str">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4" t="str">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4" t="str">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4" t="str">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4" t="str">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4" t="str">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4" t="str">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4" t="str">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4" t="str">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4" t="str">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4" t="str">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4" t="str">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4" t="str">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4" t="str">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4" t="str">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4" t="str">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4" t="str">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4" t="str">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4" t="str">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4" t="str">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4" t="str">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4" t="str">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4" t="str">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4" t="str">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4" t="str">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4" t="str">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4" t="str">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4" t="str">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4" t="str">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4" t="str">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4" t="str">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4" t="str">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4" t="str">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4" t="str">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4" t="str">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4" t="str">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4" t="str">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4" t="str">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4" t="str">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4" t="str">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4" t="str">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4" t="str">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4" t="str">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4" t="str">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4" t="str">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4" t="str">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4" t="str">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4" t="str">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4" t="str">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4" t="str">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4" t="str">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4" t="str">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4" t="str">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4" t="str">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4" t="str">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4" t="str">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4" t="str">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4" t="str">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4" t="str">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4" t="str">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4" t="str">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4" t="str">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4" t="str">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e">
        <f>HOUR(B14)&amp;":"&amp;MINUTE(B14)</f>
        <v>#VALUE!</v>
      </c>
      <c r="B14" s="144" t="str">
        <f>IF(ISBLANK(DaqBook_RAW_Data!Q4),IF(DaqBook_RAW_Data!A4="","",TIMEVALUE(DaqBook_RAW_Data!A4)),TIMEVALUE(DaqBook_RAW_Data!Q4))</f>
        <v/>
      </c>
      <c r="C14" s="167" t="str">
        <f>IF(ISBLANK(DaqBook_RAW_Data!R4),"",DaqBook_RAW_Data!R4)</f>
        <v/>
      </c>
      <c r="D14" s="167" t="str">
        <f>IF(ISBLANK(DaqBook_RAW_Data!S4),"",DaqBook_RAW_Data!S4)</f>
        <v/>
      </c>
      <c r="E14" s="167" t="str">
        <f>IF(ISBLANK(DaqBook_RAW_Data!T4),"",DaqBook_RAW_Data!T4)</f>
        <v/>
      </c>
      <c r="F14" s="167" t="str">
        <f>IF(ISBLANK(DaqBook_RAW_Data!U4),"",DaqBook_RAW_Data!U4)</f>
        <v/>
      </c>
      <c r="G14" s="167" t="str">
        <f>IF(ISBLANK(DaqBook_RAW_Data!V4),"",DaqBook_RAW_Data!V4)</f>
        <v/>
      </c>
      <c r="H14" s="167" t="str">
        <f>IF(ISBLANK(DaqBook_RAW_Data!W4),"",DaqBook_RAW_Data!W4)</f>
        <v/>
      </c>
      <c r="I14" s="167" t="str">
        <f>IF(ISBLANK(DaqBook_RAW_Data!X4),"",DaqBook_RAW_Data!X4)</f>
        <v/>
      </c>
      <c r="J14" s="167" t="str">
        <f>IF(ISBLANK(DaqBook_RAW_Data!Y4),"",DaqBook_RAW_Data!Y4)</f>
        <v/>
      </c>
      <c r="K14" s="167" t="str">
        <f>IF(ISBLANK(DaqBook_RAW_Data!Z4),"",DaqBook_RAW_Data!Z4)</f>
        <v/>
      </c>
      <c r="L14" s="167" t="str">
        <f>IF(ISBLANK(DaqBook_RAW_Data!AA4),"",DaqBook_RAW_Data!AA4)</f>
        <v/>
      </c>
      <c r="M14" s="167" t="str">
        <f>IF(ISBLANK(DaqBook_RAW_Data!AB4),"",DaqBook_RAW_Data!AB4)</f>
        <v/>
      </c>
      <c r="N14" s="167" t="str">
        <f>IF(ISBLANK(DaqBook_RAW_Data!AC4),"",DaqBook_RAW_Data!AC4)</f>
        <v/>
      </c>
      <c r="O14" s="167" t="str">
        <f>IF(ISBLANK(DaqBook_RAW_Data!AD4),"",DaqBook_RAW_Data!AD4)</f>
        <v/>
      </c>
      <c r="P14" s="167" t="str">
        <f>IF(ISBLANK(DaqBook_RAW_Data!AE4),"",DaqBook_RAW_Data!AE4)</f>
        <v/>
      </c>
    </row>
    <row r="15" spans="1:16" s="96" customFormat="1" x14ac:dyDescent="0.2">
      <c r="A15" s="145" t="e">
        <f t="shared" ref="A15:A78" si="0">HOUR(B15)&amp;":"&amp;MINUTE(B15)</f>
        <v>#VALUE!</v>
      </c>
      <c r="B15" s="144" t="str">
        <f>IF(ISBLANK(DaqBook_RAW_Data!Q5),IF(DaqBook_RAW_Data!A5="","",TIMEVALUE(DaqBook_RAW_Data!A5)),TIMEVALUE(DaqBook_RAW_Data!Q5))</f>
        <v/>
      </c>
      <c r="C15" s="167" t="str">
        <f>IF(ISBLANK(DaqBook_RAW_Data!R5),"",DaqBook_RAW_Data!R5)</f>
        <v/>
      </c>
      <c r="D15" s="167" t="str">
        <f>IF(ISBLANK(DaqBook_RAW_Data!S5),"",DaqBook_RAW_Data!S5)</f>
        <v/>
      </c>
      <c r="E15" s="167" t="str">
        <f>IF(ISBLANK(DaqBook_RAW_Data!T5),"",DaqBook_RAW_Data!T5)</f>
        <v/>
      </c>
      <c r="F15" s="167" t="str">
        <f>IF(ISBLANK(DaqBook_RAW_Data!U5),"",DaqBook_RAW_Data!U5)</f>
        <v/>
      </c>
      <c r="G15" s="167" t="str">
        <f>IF(ISBLANK(DaqBook_RAW_Data!V5),"",DaqBook_RAW_Data!V5)</f>
        <v/>
      </c>
      <c r="H15" s="167" t="str">
        <f>IF(ISBLANK(DaqBook_RAW_Data!W5),"",DaqBook_RAW_Data!W5)</f>
        <v/>
      </c>
      <c r="I15" s="167" t="str">
        <f>IF(ISBLANK(DaqBook_RAW_Data!X5),"",DaqBook_RAW_Data!X5)</f>
        <v/>
      </c>
      <c r="J15" s="167" t="str">
        <f>IF(ISBLANK(DaqBook_RAW_Data!Y5),"",DaqBook_RAW_Data!Y5)</f>
        <v/>
      </c>
      <c r="K15" s="167" t="str">
        <f>IF(ISBLANK(DaqBook_RAW_Data!Z5),"",DaqBook_RAW_Data!Z5)</f>
        <v/>
      </c>
      <c r="L15" s="167" t="str">
        <f>IF(ISBLANK(DaqBook_RAW_Data!AA5),"",DaqBook_RAW_Data!AA5)</f>
        <v/>
      </c>
      <c r="M15" s="167" t="str">
        <f>IF(ISBLANK(DaqBook_RAW_Data!AB5),"",DaqBook_RAW_Data!AB5)</f>
        <v/>
      </c>
      <c r="N15" s="167" t="str">
        <f>IF(ISBLANK(DaqBook_RAW_Data!AC5),"",DaqBook_RAW_Data!AC5)</f>
        <v/>
      </c>
      <c r="O15" s="167" t="str">
        <f>IF(ISBLANK(DaqBook_RAW_Data!AD5),"",DaqBook_RAW_Data!AD5)</f>
        <v/>
      </c>
      <c r="P15" s="167" t="str">
        <f>IF(ISBLANK(DaqBook_RAW_Data!AE5),"",DaqBook_RAW_Data!AE5)</f>
        <v/>
      </c>
    </row>
    <row r="16" spans="1:16" s="96" customFormat="1" x14ac:dyDescent="0.2">
      <c r="A16" s="145" t="e">
        <f t="shared" si="0"/>
        <v>#VALUE!</v>
      </c>
      <c r="B16" s="144" t="str">
        <f>IF(ISBLANK(DaqBook_RAW_Data!Q6),IF(DaqBook_RAW_Data!A6="","",TIMEVALUE(DaqBook_RAW_Data!A6)),TIMEVALUE(DaqBook_RAW_Data!Q6))</f>
        <v/>
      </c>
      <c r="C16" s="167" t="str">
        <f>IF(ISBLANK(DaqBook_RAW_Data!R6),"",DaqBook_RAW_Data!R6)</f>
        <v/>
      </c>
      <c r="D16" s="167" t="str">
        <f>IF(ISBLANK(DaqBook_RAW_Data!S6),"",DaqBook_RAW_Data!S6)</f>
        <v/>
      </c>
      <c r="E16" s="167" t="str">
        <f>IF(ISBLANK(DaqBook_RAW_Data!T6),"",DaqBook_RAW_Data!T6)</f>
        <v/>
      </c>
      <c r="F16" s="167" t="str">
        <f>IF(ISBLANK(DaqBook_RAW_Data!U6),"",DaqBook_RAW_Data!U6)</f>
        <v/>
      </c>
      <c r="G16" s="167" t="str">
        <f>IF(ISBLANK(DaqBook_RAW_Data!V6),"",DaqBook_RAW_Data!V6)</f>
        <v/>
      </c>
      <c r="H16" s="167" t="str">
        <f>IF(ISBLANK(DaqBook_RAW_Data!W6),"",DaqBook_RAW_Data!W6)</f>
        <v/>
      </c>
      <c r="I16" s="167" t="str">
        <f>IF(ISBLANK(DaqBook_RAW_Data!X6),"",DaqBook_RAW_Data!X6)</f>
        <v/>
      </c>
      <c r="J16" s="167" t="str">
        <f>IF(ISBLANK(DaqBook_RAW_Data!Y6),"",DaqBook_RAW_Data!Y6)</f>
        <v/>
      </c>
      <c r="K16" s="167" t="str">
        <f>IF(ISBLANK(DaqBook_RAW_Data!Z6),"",DaqBook_RAW_Data!Z6)</f>
        <v/>
      </c>
      <c r="L16" s="167" t="str">
        <f>IF(ISBLANK(DaqBook_RAW_Data!AA6),"",DaqBook_RAW_Data!AA6)</f>
        <v/>
      </c>
      <c r="M16" s="167" t="str">
        <f>IF(ISBLANK(DaqBook_RAW_Data!AB6),"",DaqBook_RAW_Data!AB6)</f>
        <v/>
      </c>
      <c r="N16" s="167" t="str">
        <f>IF(ISBLANK(DaqBook_RAW_Data!AC6),"",DaqBook_RAW_Data!AC6)</f>
        <v/>
      </c>
      <c r="O16" s="167" t="str">
        <f>IF(ISBLANK(DaqBook_RAW_Data!AD6),"",DaqBook_RAW_Data!AD6)</f>
        <v/>
      </c>
      <c r="P16" s="167" t="str">
        <f>IF(ISBLANK(DaqBook_RAW_Data!AE6),"",DaqBook_RAW_Data!AE6)</f>
        <v/>
      </c>
    </row>
    <row r="17" spans="1:17" s="96" customFormat="1" x14ac:dyDescent="0.2">
      <c r="A17" s="145" t="e">
        <f t="shared" si="0"/>
        <v>#VALUE!</v>
      </c>
      <c r="B17" s="144" t="str">
        <f>IF(ISBLANK(DaqBook_RAW_Data!Q7),IF(DaqBook_RAW_Data!A7="","",TIMEVALUE(DaqBook_RAW_Data!A7)),TIMEVALUE(DaqBook_RAW_Data!Q7))</f>
        <v/>
      </c>
      <c r="C17" s="167" t="str">
        <f>IF(ISBLANK(DaqBook_RAW_Data!R7),"",DaqBook_RAW_Data!R7)</f>
        <v/>
      </c>
      <c r="D17" s="167" t="str">
        <f>IF(ISBLANK(DaqBook_RAW_Data!S7),"",DaqBook_RAW_Data!S7)</f>
        <v/>
      </c>
      <c r="E17" s="167" t="str">
        <f>IF(ISBLANK(DaqBook_RAW_Data!T7),"",DaqBook_RAW_Data!T7)</f>
        <v/>
      </c>
      <c r="F17" s="167" t="str">
        <f>IF(ISBLANK(DaqBook_RAW_Data!U7),"",DaqBook_RAW_Data!U7)</f>
        <v/>
      </c>
      <c r="G17" s="167" t="str">
        <f>IF(ISBLANK(DaqBook_RAW_Data!V7),"",DaqBook_RAW_Data!V7)</f>
        <v/>
      </c>
      <c r="H17" s="167" t="str">
        <f>IF(ISBLANK(DaqBook_RAW_Data!W7),"",DaqBook_RAW_Data!W7)</f>
        <v/>
      </c>
      <c r="I17" s="167" t="str">
        <f>IF(ISBLANK(DaqBook_RAW_Data!X7),"",DaqBook_RAW_Data!X7)</f>
        <v/>
      </c>
      <c r="J17" s="167" t="str">
        <f>IF(ISBLANK(DaqBook_RAW_Data!Y7),"",DaqBook_RAW_Data!Y7)</f>
        <v/>
      </c>
      <c r="K17" s="167" t="str">
        <f>IF(ISBLANK(DaqBook_RAW_Data!Z7),"",DaqBook_RAW_Data!Z7)</f>
        <v/>
      </c>
      <c r="L17" s="167" t="str">
        <f>IF(ISBLANK(DaqBook_RAW_Data!AA7),"",DaqBook_RAW_Data!AA7)</f>
        <v/>
      </c>
      <c r="M17" s="167" t="str">
        <f>IF(ISBLANK(DaqBook_RAW_Data!AB7),"",DaqBook_RAW_Data!AB7)</f>
        <v/>
      </c>
      <c r="N17" s="167" t="str">
        <f>IF(ISBLANK(DaqBook_RAW_Data!AC7),"",DaqBook_RAW_Data!AC7)</f>
        <v/>
      </c>
      <c r="O17" s="167" t="str">
        <f>IF(ISBLANK(DaqBook_RAW_Data!AD7),"",DaqBook_RAW_Data!AD7)</f>
        <v/>
      </c>
      <c r="P17" s="167" t="str">
        <f>IF(ISBLANK(DaqBook_RAW_Data!AE7),"",DaqBook_RAW_Data!AE7)</f>
        <v/>
      </c>
    </row>
    <row r="18" spans="1:17" s="96" customFormat="1" x14ac:dyDescent="0.2">
      <c r="A18" s="145" t="e">
        <f t="shared" si="0"/>
        <v>#VALUE!</v>
      </c>
      <c r="B18" s="144" t="str">
        <f>IF(ISBLANK(DaqBook_RAW_Data!Q8),IF(DaqBook_RAW_Data!A8="","",TIMEVALUE(DaqBook_RAW_Data!A8)),TIMEVALUE(DaqBook_RAW_Data!Q8))</f>
        <v/>
      </c>
      <c r="C18" s="167" t="str">
        <f>IF(ISBLANK(DaqBook_RAW_Data!R8),"",DaqBook_RAW_Data!R8)</f>
        <v/>
      </c>
      <c r="D18" s="167" t="str">
        <f>IF(ISBLANK(DaqBook_RAW_Data!S8),"",DaqBook_RAW_Data!S8)</f>
        <v/>
      </c>
      <c r="E18" s="167" t="str">
        <f>IF(ISBLANK(DaqBook_RAW_Data!T8),"",DaqBook_RAW_Data!T8)</f>
        <v/>
      </c>
      <c r="F18" s="167" t="str">
        <f>IF(ISBLANK(DaqBook_RAW_Data!U8),"",DaqBook_RAW_Data!U8)</f>
        <v/>
      </c>
      <c r="G18" s="167" t="str">
        <f>IF(ISBLANK(DaqBook_RAW_Data!V8),"",DaqBook_RAW_Data!V8)</f>
        <v/>
      </c>
      <c r="H18" s="167" t="str">
        <f>IF(ISBLANK(DaqBook_RAW_Data!W8),"",DaqBook_RAW_Data!W8)</f>
        <v/>
      </c>
      <c r="I18" s="167" t="str">
        <f>IF(ISBLANK(DaqBook_RAW_Data!X8),"",DaqBook_RAW_Data!X8)</f>
        <v/>
      </c>
      <c r="J18" s="167" t="str">
        <f>IF(ISBLANK(DaqBook_RAW_Data!Y8),"",DaqBook_RAW_Data!Y8)</f>
        <v/>
      </c>
      <c r="K18" s="167" t="str">
        <f>IF(ISBLANK(DaqBook_RAW_Data!Z8),"",DaqBook_RAW_Data!Z8)</f>
        <v/>
      </c>
      <c r="L18" s="167" t="str">
        <f>IF(ISBLANK(DaqBook_RAW_Data!AA8),"",DaqBook_RAW_Data!AA8)</f>
        <v/>
      </c>
      <c r="M18" s="167" t="str">
        <f>IF(ISBLANK(DaqBook_RAW_Data!AB8),"",DaqBook_RAW_Data!AB8)</f>
        <v/>
      </c>
      <c r="N18" s="167" t="str">
        <f>IF(ISBLANK(DaqBook_RAW_Data!AC8),"",DaqBook_RAW_Data!AC8)</f>
        <v/>
      </c>
      <c r="O18" s="167" t="str">
        <f>IF(ISBLANK(DaqBook_RAW_Data!AD8),"",DaqBook_RAW_Data!AD8)</f>
        <v/>
      </c>
      <c r="P18" s="167" t="str">
        <f>IF(ISBLANK(DaqBook_RAW_Data!AE8),"",DaqBook_RAW_Data!AE8)</f>
        <v/>
      </c>
    </row>
    <row r="19" spans="1:17" s="96" customFormat="1" x14ac:dyDescent="0.2">
      <c r="A19" s="145" t="e">
        <f t="shared" si="0"/>
        <v>#VALUE!</v>
      </c>
      <c r="B19" s="144" t="str">
        <f>IF(ISBLANK(DaqBook_RAW_Data!Q9),IF(DaqBook_RAW_Data!A9="","",TIMEVALUE(DaqBook_RAW_Data!A9)),TIMEVALUE(DaqBook_RAW_Data!Q9))</f>
        <v/>
      </c>
      <c r="C19" s="167" t="str">
        <f>IF(ISBLANK(DaqBook_RAW_Data!R9),"",DaqBook_RAW_Data!R9)</f>
        <v/>
      </c>
      <c r="D19" s="167" t="str">
        <f>IF(ISBLANK(DaqBook_RAW_Data!S9),"",DaqBook_RAW_Data!S9)</f>
        <v/>
      </c>
      <c r="E19" s="167" t="str">
        <f>IF(ISBLANK(DaqBook_RAW_Data!T9),"",DaqBook_RAW_Data!T9)</f>
        <v/>
      </c>
      <c r="F19" s="167" t="str">
        <f>IF(ISBLANK(DaqBook_RAW_Data!U9),"",DaqBook_RAW_Data!U9)</f>
        <v/>
      </c>
      <c r="G19" s="167" t="str">
        <f>IF(ISBLANK(DaqBook_RAW_Data!V9),"",DaqBook_RAW_Data!V9)</f>
        <v/>
      </c>
      <c r="H19" s="167" t="str">
        <f>IF(ISBLANK(DaqBook_RAW_Data!W9),"",DaqBook_RAW_Data!W9)</f>
        <v/>
      </c>
      <c r="I19" s="167" t="str">
        <f>IF(ISBLANK(DaqBook_RAW_Data!X9),"",DaqBook_RAW_Data!X9)</f>
        <v/>
      </c>
      <c r="J19" s="167" t="str">
        <f>IF(ISBLANK(DaqBook_RAW_Data!Y9),"",DaqBook_RAW_Data!Y9)</f>
        <v/>
      </c>
      <c r="K19" s="167" t="str">
        <f>IF(ISBLANK(DaqBook_RAW_Data!Z9),"",DaqBook_RAW_Data!Z9)</f>
        <v/>
      </c>
      <c r="L19" s="167" t="str">
        <f>IF(ISBLANK(DaqBook_RAW_Data!AA9),"",DaqBook_RAW_Data!AA9)</f>
        <v/>
      </c>
      <c r="M19" s="167" t="str">
        <f>IF(ISBLANK(DaqBook_RAW_Data!AB9),"",DaqBook_RAW_Data!AB9)</f>
        <v/>
      </c>
      <c r="N19" s="167" t="str">
        <f>IF(ISBLANK(DaqBook_RAW_Data!AC9),"",DaqBook_RAW_Data!AC9)</f>
        <v/>
      </c>
      <c r="O19" s="167" t="str">
        <f>IF(ISBLANK(DaqBook_RAW_Data!AD9),"",DaqBook_RAW_Data!AD9)</f>
        <v/>
      </c>
      <c r="P19" s="167" t="str">
        <f>IF(ISBLANK(DaqBook_RAW_Data!AE9),"",DaqBook_RAW_Data!AE9)</f>
        <v/>
      </c>
    </row>
    <row r="20" spans="1:17" s="96" customFormat="1" x14ac:dyDescent="0.2">
      <c r="A20" s="145" t="e">
        <f t="shared" si="0"/>
        <v>#VALUE!</v>
      </c>
      <c r="B20" s="144" t="str">
        <f>IF(ISBLANK(DaqBook_RAW_Data!Q10),IF(DaqBook_RAW_Data!A10="","",TIMEVALUE(DaqBook_RAW_Data!A10)),TIMEVALUE(DaqBook_RAW_Data!Q10))</f>
        <v/>
      </c>
      <c r="C20" s="167" t="str">
        <f>IF(ISBLANK(DaqBook_RAW_Data!R10),"",DaqBook_RAW_Data!R10)</f>
        <v/>
      </c>
      <c r="D20" s="167" t="str">
        <f>IF(ISBLANK(DaqBook_RAW_Data!S10),"",DaqBook_RAW_Data!S10)</f>
        <v/>
      </c>
      <c r="E20" s="167" t="str">
        <f>IF(ISBLANK(DaqBook_RAW_Data!T10),"",DaqBook_RAW_Data!T10)</f>
        <v/>
      </c>
      <c r="F20" s="167" t="str">
        <f>IF(ISBLANK(DaqBook_RAW_Data!U10),"",DaqBook_RAW_Data!U10)</f>
        <v/>
      </c>
      <c r="G20" s="167" t="str">
        <f>IF(ISBLANK(DaqBook_RAW_Data!V10),"",DaqBook_RAW_Data!V10)</f>
        <v/>
      </c>
      <c r="H20" s="167" t="str">
        <f>IF(ISBLANK(DaqBook_RAW_Data!W10),"",DaqBook_RAW_Data!W10)</f>
        <v/>
      </c>
      <c r="I20" s="167" t="str">
        <f>IF(ISBLANK(DaqBook_RAW_Data!X10),"",DaqBook_RAW_Data!X10)</f>
        <v/>
      </c>
      <c r="J20" s="167" t="str">
        <f>IF(ISBLANK(DaqBook_RAW_Data!Y10),"",DaqBook_RAW_Data!Y10)</f>
        <v/>
      </c>
      <c r="K20" s="167" t="str">
        <f>IF(ISBLANK(DaqBook_RAW_Data!Z10),"",DaqBook_RAW_Data!Z10)</f>
        <v/>
      </c>
      <c r="L20" s="167" t="str">
        <f>IF(ISBLANK(DaqBook_RAW_Data!AA10),"",DaqBook_RAW_Data!AA10)</f>
        <v/>
      </c>
      <c r="M20" s="167" t="str">
        <f>IF(ISBLANK(DaqBook_RAW_Data!AB10),"",DaqBook_RAW_Data!AB10)</f>
        <v/>
      </c>
      <c r="N20" s="167" t="str">
        <f>IF(ISBLANK(DaqBook_RAW_Data!AC10),"",DaqBook_RAW_Data!AC10)</f>
        <v/>
      </c>
      <c r="O20" s="167" t="str">
        <f>IF(ISBLANK(DaqBook_RAW_Data!AD10),"",DaqBook_RAW_Data!AD10)</f>
        <v/>
      </c>
      <c r="P20" s="167" t="str">
        <f>IF(ISBLANK(DaqBook_RAW_Data!AE10),"",DaqBook_RAW_Data!AE10)</f>
        <v/>
      </c>
    </row>
    <row r="21" spans="1:17" s="96" customFormat="1" x14ac:dyDescent="0.2">
      <c r="A21" s="145" t="e">
        <f t="shared" si="0"/>
        <v>#VALUE!</v>
      </c>
      <c r="B21" s="144" t="str">
        <f>IF(ISBLANK(DaqBook_RAW_Data!Q11),IF(DaqBook_RAW_Data!A11="","",TIMEVALUE(DaqBook_RAW_Data!A11)),TIMEVALUE(DaqBook_RAW_Data!Q11))</f>
        <v/>
      </c>
      <c r="C21" s="167" t="str">
        <f>IF(ISBLANK(DaqBook_RAW_Data!R11),"",DaqBook_RAW_Data!R11)</f>
        <v/>
      </c>
      <c r="D21" s="167" t="str">
        <f>IF(ISBLANK(DaqBook_RAW_Data!S11),"",DaqBook_RAW_Data!S11)</f>
        <v/>
      </c>
      <c r="E21" s="167" t="str">
        <f>IF(ISBLANK(DaqBook_RAW_Data!T11),"",DaqBook_RAW_Data!T11)</f>
        <v/>
      </c>
      <c r="F21" s="167" t="str">
        <f>IF(ISBLANK(DaqBook_RAW_Data!U11),"",DaqBook_RAW_Data!U11)</f>
        <v/>
      </c>
      <c r="G21" s="167" t="str">
        <f>IF(ISBLANK(DaqBook_RAW_Data!V11),"",DaqBook_RAW_Data!V11)</f>
        <v/>
      </c>
      <c r="H21" s="167" t="str">
        <f>IF(ISBLANK(DaqBook_RAW_Data!W11),"",DaqBook_RAW_Data!W11)</f>
        <v/>
      </c>
      <c r="I21" s="167" t="str">
        <f>IF(ISBLANK(DaqBook_RAW_Data!X11),"",DaqBook_RAW_Data!X11)</f>
        <v/>
      </c>
      <c r="J21" s="167" t="str">
        <f>IF(ISBLANK(DaqBook_RAW_Data!Y11),"",DaqBook_RAW_Data!Y11)</f>
        <v/>
      </c>
      <c r="K21" s="167" t="str">
        <f>IF(ISBLANK(DaqBook_RAW_Data!Z11),"",DaqBook_RAW_Data!Z11)</f>
        <v/>
      </c>
      <c r="L21" s="167" t="str">
        <f>IF(ISBLANK(DaqBook_RAW_Data!AA11),"",DaqBook_RAW_Data!AA11)</f>
        <v/>
      </c>
      <c r="M21" s="167" t="str">
        <f>IF(ISBLANK(DaqBook_RAW_Data!AB11),"",DaqBook_RAW_Data!AB11)</f>
        <v/>
      </c>
      <c r="N21" s="167" t="str">
        <f>IF(ISBLANK(DaqBook_RAW_Data!AC11),"",DaqBook_RAW_Data!AC11)</f>
        <v/>
      </c>
      <c r="O21" s="167" t="str">
        <f>IF(ISBLANK(DaqBook_RAW_Data!AD11),"",DaqBook_RAW_Data!AD11)</f>
        <v/>
      </c>
      <c r="P21" s="167" t="str">
        <f>IF(ISBLANK(DaqBook_RAW_Data!AE11),"",DaqBook_RAW_Data!AE11)</f>
        <v/>
      </c>
    </row>
    <row r="22" spans="1:17" s="96" customFormat="1" x14ac:dyDescent="0.2">
      <c r="A22" s="145" t="e">
        <f t="shared" si="0"/>
        <v>#VALUE!</v>
      </c>
      <c r="B22" s="144" t="str">
        <f>IF(ISBLANK(DaqBook_RAW_Data!Q12),IF(DaqBook_RAW_Data!A12="","",TIMEVALUE(DaqBook_RAW_Data!A12)),TIMEVALUE(DaqBook_RAW_Data!Q12))</f>
        <v/>
      </c>
      <c r="C22" s="167" t="str">
        <f>IF(ISBLANK(DaqBook_RAW_Data!R12),"",DaqBook_RAW_Data!R12)</f>
        <v/>
      </c>
      <c r="D22" s="167" t="str">
        <f>IF(ISBLANK(DaqBook_RAW_Data!S12),"",DaqBook_RAW_Data!S12)</f>
        <v/>
      </c>
      <c r="E22" s="167" t="str">
        <f>IF(ISBLANK(DaqBook_RAW_Data!T12),"",DaqBook_RAW_Data!T12)</f>
        <v/>
      </c>
      <c r="F22" s="167" t="str">
        <f>IF(ISBLANK(DaqBook_RAW_Data!U12),"",DaqBook_RAW_Data!U12)</f>
        <v/>
      </c>
      <c r="G22" s="167" t="str">
        <f>IF(ISBLANK(DaqBook_RAW_Data!V12),"",DaqBook_RAW_Data!V12)</f>
        <v/>
      </c>
      <c r="H22" s="167" t="str">
        <f>IF(ISBLANK(DaqBook_RAW_Data!W12),"",DaqBook_RAW_Data!W12)</f>
        <v/>
      </c>
      <c r="I22" s="167" t="str">
        <f>IF(ISBLANK(DaqBook_RAW_Data!X12),"",DaqBook_RAW_Data!X12)</f>
        <v/>
      </c>
      <c r="J22" s="167" t="str">
        <f>IF(ISBLANK(DaqBook_RAW_Data!Y12),"",DaqBook_RAW_Data!Y12)</f>
        <v/>
      </c>
      <c r="K22" s="167" t="str">
        <f>IF(ISBLANK(DaqBook_RAW_Data!Z12),"",DaqBook_RAW_Data!Z12)</f>
        <v/>
      </c>
      <c r="L22" s="167" t="str">
        <f>IF(ISBLANK(DaqBook_RAW_Data!AA12),"",DaqBook_RAW_Data!AA12)</f>
        <v/>
      </c>
      <c r="M22" s="167" t="str">
        <f>IF(ISBLANK(DaqBook_RAW_Data!AB12),"",DaqBook_RAW_Data!AB12)</f>
        <v/>
      </c>
      <c r="N22" s="167" t="str">
        <f>IF(ISBLANK(DaqBook_RAW_Data!AC12),"",DaqBook_RAW_Data!AC12)</f>
        <v/>
      </c>
      <c r="O22" s="167" t="str">
        <f>IF(ISBLANK(DaqBook_RAW_Data!AD12),"",DaqBook_RAW_Data!AD12)</f>
        <v/>
      </c>
      <c r="P22" s="167" t="str">
        <f>IF(ISBLANK(DaqBook_RAW_Data!AE12),"",DaqBook_RAW_Data!AE12)</f>
        <v/>
      </c>
    </row>
    <row r="23" spans="1:17" s="96" customFormat="1" x14ac:dyDescent="0.2">
      <c r="A23" s="145" t="e">
        <f t="shared" si="0"/>
        <v>#VALUE!</v>
      </c>
      <c r="B23" s="144" t="str">
        <f>IF(ISBLANK(DaqBook_RAW_Data!Q13),IF(DaqBook_RAW_Data!A13="","",TIMEVALUE(DaqBook_RAW_Data!A13)),TIMEVALUE(DaqBook_RAW_Data!Q13))</f>
        <v/>
      </c>
      <c r="C23" s="167" t="str">
        <f>IF(ISBLANK(DaqBook_RAW_Data!R13),"",DaqBook_RAW_Data!R13)</f>
        <v/>
      </c>
      <c r="D23" s="167" t="str">
        <f>IF(ISBLANK(DaqBook_RAW_Data!S13),"",DaqBook_RAW_Data!S13)</f>
        <v/>
      </c>
      <c r="E23" s="167" t="str">
        <f>IF(ISBLANK(DaqBook_RAW_Data!T13),"",DaqBook_RAW_Data!T13)</f>
        <v/>
      </c>
      <c r="F23" s="167" t="str">
        <f>IF(ISBLANK(DaqBook_RAW_Data!U13),"",DaqBook_RAW_Data!U13)</f>
        <v/>
      </c>
      <c r="G23" s="167" t="str">
        <f>IF(ISBLANK(DaqBook_RAW_Data!V13),"",DaqBook_RAW_Data!V13)</f>
        <v/>
      </c>
      <c r="H23" s="167" t="str">
        <f>IF(ISBLANK(DaqBook_RAW_Data!W13),"",DaqBook_RAW_Data!W13)</f>
        <v/>
      </c>
      <c r="I23" s="167" t="str">
        <f>IF(ISBLANK(DaqBook_RAW_Data!X13),"",DaqBook_RAW_Data!X13)</f>
        <v/>
      </c>
      <c r="J23" s="167" t="str">
        <f>IF(ISBLANK(DaqBook_RAW_Data!Y13),"",DaqBook_RAW_Data!Y13)</f>
        <v/>
      </c>
      <c r="K23" s="167" t="str">
        <f>IF(ISBLANK(DaqBook_RAW_Data!Z13),"",DaqBook_RAW_Data!Z13)</f>
        <v/>
      </c>
      <c r="L23" s="167" t="str">
        <f>IF(ISBLANK(DaqBook_RAW_Data!AA13),"",DaqBook_RAW_Data!AA13)</f>
        <v/>
      </c>
      <c r="M23" s="167" t="str">
        <f>IF(ISBLANK(DaqBook_RAW_Data!AB13),"",DaqBook_RAW_Data!AB13)</f>
        <v/>
      </c>
      <c r="N23" s="167" t="str">
        <f>IF(ISBLANK(DaqBook_RAW_Data!AC13),"",DaqBook_RAW_Data!AC13)</f>
        <v/>
      </c>
      <c r="O23" s="167" t="str">
        <f>IF(ISBLANK(DaqBook_RAW_Data!AD13),"",DaqBook_RAW_Data!AD13)</f>
        <v/>
      </c>
      <c r="P23" s="167" t="str">
        <f>IF(ISBLANK(DaqBook_RAW_Data!AE13),"",DaqBook_RAW_Data!AE13)</f>
        <v/>
      </c>
    </row>
    <row r="24" spans="1:17" s="96" customFormat="1" x14ac:dyDescent="0.2">
      <c r="A24" s="145" t="e">
        <f t="shared" si="0"/>
        <v>#VALUE!</v>
      </c>
      <c r="B24" s="144" t="str">
        <f>IF(ISBLANK(DaqBook_RAW_Data!Q14),IF(DaqBook_RAW_Data!A14="","",TIMEVALUE(DaqBook_RAW_Data!A14)),TIMEVALUE(DaqBook_RAW_Data!Q14))</f>
        <v/>
      </c>
      <c r="C24" s="167" t="str">
        <f>IF(ISBLANK(DaqBook_RAW_Data!R14),"",DaqBook_RAW_Data!R14)</f>
        <v/>
      </c>
      <c r="D24" s="167" t="str">
        <f>IF(ISBLANK(DaqBook_RAW_Data!S14),"",DaqBook_RAW_Data!S14)</f>
        <v/>
      </c>
      <c r="E24" s="167" t="str">
        <f>IF(ISBLANK(DaqBook_RAW_Data!T14),"",DaqBook_RAW_Data!T14)</f>
        <v/>
      </c>
      <c r="F24" s="167" t="str">
        <f>IF(ISBLANK(DaqBook_RAW_Data!U14),"",DaqBook_RAW_Data!U14)</f>
        <v/>
      </c>
      <c r="G24" s="167" t="str">
        <f>IF(ISBLANK(DaqBook_RAW_Data!V14),"",DaqBook_RAW_Data!V14)</f>
        <v/>
      </c>
      <c r="H24" s="167" t="str">
        <f>IF(ISBLANK(DaqBook_RAW_Data!W14),"",DaqBook_RAW_Data!W14)</f>
        <v/>
      </c>
      <c r="I24" s="167" t="str">
        <f>IF(ISBLANK(DaqBook_RAW_Data!X14),"",DaqBook_RAW_Data!X14)</f>
        <v/>
      </c>
      <c r="J24" s="167" t="str">
        <f>IF(ISBLANK(DaqBook_RAW_Data!Y14),"",DaqBook_RAW_Data!Y14)</f>
        <v/>
      </c>
      <c r="K24" s="167" t="str">
        <f>IF(ISBLANK(DaqBook_RAW_Data!Z14),"",DaqBook_RAW_Data!Z14)</f>
        <v/>
      </c>
      <c r="L24" s="167" t="str">
        <f>IF(ISBLANK(DaqBook_RAW_Data!AA14),"",DaqBook_RAW_Data!AA14)</f>
        <v/>
      </c>
      <c r="M24" s="167" t="str">
        <f>IF(ISBLANK(DaqBook_RAW_Data!AB14),"",DaqBook_RAW_Data!AB14)</f>
        <v/>
      </c>
      <c r="N24" s="167" t="str">
        <f>IF(ISBLANK(DaqBook_RAW_Data!AC14),"",DaqBook_RAW_Data!AC14)</f>
        <v/>
      </c>
      <c r="O24" s="167" t="str">
        <f>IF(ISBLANK(DaqBook_RAW_Data!AD14),"",DaqBook_RAW_Data!AD14)</f>
        <v/>
      </c>
      <c r="P24" s="167" t="str">
        <f>IF(ISBLANK(DaqBook_RAW_Data!AE14),"",DaqBook_RAW_Data!AE14)</f>
        <v/>
      </c>
    </row>
    <row r="25" spans="1:17" s="96" customFormat="1" x14ac:dyDescent="0.2">
      <c r="A25" s="145" t="e">
        <f t="shared" si="0"/>
        <v>#VALUE!</v>
      </c>
      <c r="B25" s="144" t="str">
        <f>IF(ISBLANK(DaqBook_RAW_Data!Q15),IF(DaqBook_RAW_Data!A15="","",TIMEVALUE(DaqBook_RAW_Data!A15)),TIMEVALUE(DaqBook_RAW_Data!Q15))</f>
        <v/>
      </c>
      <c r="C25" s="167" t="str">
        <f>IF(ISBLANK(DaqBook_RAW_Data!R15),"",DaqBook_RAW_Data!R15)</f>
        <v/>
      </c>
      <c r="D25" s="167" t="str">
        <f>IF(ISBLANK(DaqBook_RAW_Data!S15),"",DaqBook_RAW_Data!S15)</f>
        <v/>
      </c>
      <c r="E25" s="167" t="str">
        <f>IF(ISBLANK(DaqBook_RAW_Data!T15),"",DaqBook_RAW_Data!T15)</f>
        <v/>
      </c>
      <c r="F25" s="167" t="str">
        <f>IF(ISBLANK(DaqBook_RAW_Data!U15),"",DaqBook_RAW_Data!U15)</f>
        <v/>
      </c>
      <c r="G25" s="167" t="str">
        <f>IF(ISBLANK(DaqBook_RAW_Data!V15),"",DaqBook_RAW_Data!V15)</f>
        <v/>
      </c>
      <c r="H25" s="167" t="str">
        <f>IF(ISBLANK(DaqBook_RAW_Data!W15),"",DaqBook_RAW_Data!W15)</f>
        <v/>
      </c>
      <c r="I25" s="167" t="str">
        <f>IF(ISBLANK(DaqBook_RAW_Data!X15),"",DaqBook_RAW_Data!X15)</f>
        <v/>
      </c>
      <c r="J25" s="167" t="str">
        <f>IF(ISBLANK(DaqBook_RAW_Data!Y15),"",DaqBook_RAW_Data!Y15)</f>
        <v/>
      </c>
      <c r="K25" s="167" t="str">
        <f>IF(ISBLANK(DaqBook_RAW_Data!Z15),"",DaqBook_RAW_Data!Z15)</f>
        <v/>
      </c>
      <c r="L25" s="167" t="str">
        <f>IF(ISBLANK(DaqBook_RAW_Data!AA15),"",DaqBook_RAW_Data!AA15)</f>
        <v/>
      </c>
      <c r="M25" s="167" t="str">
        <f>IF(ISBLANK(DaqBook_RAW_Data!AB15),"",DaqBook_RAW_Data!AB15)</f>
        <v/>
      </c>
      <c r="N25" s="167" t="str">
        <f>IF(ISBLANK(DaqBook_RAW_Data!AC15),"",DaqBook_RAW_Data!AC15)</f>
        <v/>
      </c>
      <c r="O25" s="167" t="str">
        <f>IF(ISBLANK(DaqBook_RAW_Data!AD15),"",DaqBook_RAW_Data!AD15)</f>
        <v/>
      </c>
      <c r="P25" s="167" t="str">
        <f>IF(ISBLANK(DaqBook_RAW_Data!AE15),"",DaqBook_RAW_Data!AE15)</f>
        <v/>
      </c>
    </row>
    <row r="26" spans="1:17" s="96" customFormat="1" x14ac:dyDescent="0.2">
      <c r="A26" s="145" t="e">
        <f t="shared" si="0"/>
        <v>#VALUE!</v>
      </c>
      <c r="B26" s="144" t="str">
        <f>IF(ISBLANK(DaqBook_RAW_Data!Q16),IF(DaqBook_RAW_Data!A16="","",TIMEVALUE(DaqBook_RAW_Data!A16)),TIMEVALUE(DaqBook_RAW_Data!Q16))</f>
        <v/>
      </c>
      <c r="C26" s="167" t="str">
        <f>IF(ISBLANK(DaqBook_RAW_Data!R16),"",DaqBook_RAW_Data!R16)</f>
        <v/>
      </c>
      <c r="D26" s="167" t="str">
        <f>IF(ISBLANK(DaqBook_RAW_Data!S16),"",DaqBook_RAW_Data!S16)</f>
        <v/>
      </c>
      <c r="E26" s="167" t="str">
        <f>IF(ISBLANK(DaqBook_RAW_Data!T16),"",DaqBook_RAW_Data!T16)</f>
        <v/>
      </c>
      <c r="F26" s="167" t="str">
        <f>IF(ISBLANK(DaqBook_RAW_Data!U16),"",DaqBook_RAW_Data!U16)</f>
        <v/>
      </c>
      <c r="G26" s="167" t="str">
        <f>IF(ISBLANK(DaqBook_RAW_Data!V16),"",DaqBook_RAW_Data!V16)</f>
        <v/>
      </c>
      <c r="H26" s="167" t="str">
        <f>IF(ISBLANK(DaqBook_RAW_Data!W16),"",DaqBook_RAW_Data!W16)</f>
        <v/>
      </c>
      <c r="I26" s="167" t="str">
        <f>IF(ISBLANK(DaqBook_RAW_Data!X16),"",DaqBook_RAW_Data!X16)</f>
        <v/>
      </c>
      <c r="J26" s="167" t="str">
        <f>IF(ISBLANK(DaqBook_RAW_Data!Y16),"",DaqBook_RAW_Data!Y16)</f>
        <v/>
      </c>
      <c r="K26" s="167" t="str">
        <f>IF(ISBLANK(DaqBook_RAW_Data!Z16),"",DaqBook_RAW_Data!Z16)</f>
        <v/>
      </c>
      <c r="L26" s="167" t="str">
        <f>IF(ISBLANK(DaqBook_RAW_Data!AA16),"",DaqBook_RAW_Data!AA16)</f>
        <v/>
      </c>
      <c r="M26" s="167" t="str">
        <f>IF(ISBLANK(DaqBook_RAW_Data!AB16),"",DaqBook_RAW_Data!AB16)</f>
        <v/>
      </c>
      <c r="N26" s="167" t="str">
        <f>IF(ISBLANK(DaqBook_RAW_Data!AC16),"",DaqBook_RAW_Data!AC16)</f>
        <v/>
      </c>
      <c r="O26" s="167" t="str">
        <f>IF(ISBLANK(DaqBook_RAW_Data!AD16),"",DaqBook_RAW_Data!AD16)</f>
        <v/>
      </c>
      <c r="P26" s="167" t="str">
        <f>IF(ISBLANK(DaqBook_RAW_Data!AE16),"",DaqBook_RAW_Data!AE16)</f>
        <v/>
      </c>
    </row>
    <row r="27" spans="1:17" s="96" customFormat="1" x14ac:dyDescent="0.2">
      <c r="A27" s="145" t="e">
        <f t="shared" si="0"/>
        <v>#VALUE!</v>
      </c>
      <c r="B27" s="144" t="str">
        <f>IF(ISBLANK(DaqBook_RAW_Data!Q17),IF(DaqBook_RAW_Data!A17="","",TIMEVALUE(DaqBook_RAW_Data!A17)),TIMEVALUE(DaqBook_RAW_Data!Q17))</f>
        <v/>
      </c>
      <c r="C27" s="167" t="str">
        <f>IF(ISBLANK(DaqBook_RAW_Data!R17),"",DaqBook_RAW_Data!R17)</f>
        <v/>
      </c>
      <c r="D27" s="167" t="str">
        <f>IF(ISBLANK(DaqBook_RAW_Data!S17),"",DaqBook_RAW_Data!S17)</f>
        <v/>
      </c>
      <c r="E27" s="167" t="str">
        <f>IF(ISBLANK(DaqBook_RAW_Data!T17),"",DaqBook_RAW_Data!T17)</f>
        <v/>
      </c>
      <c r="F27" s="167" t="str">
        <f>IF(ISBLANK(DaqBook_RAW_Data!U17),"",DaqBook_RAW_Data!U17)</f>
        <v/>
      </c>
      <c r="G27" s="167" t="str">
        <f>IF(ISBLANK(DaqBook_RAW_Data!V17),"",DaqBook_RAW_Data!V17)</f>
        <v/>
      </c>
      <c r="H27" s="167" t="str">
        <f>IF(ISBLANK(DaqBook_RAW_Data!W17),"",DaqBook_RAW_Data!W17)</f>
        <v/>
      </c>
      <c r="I27" s="167" t="str">
        <f>IF(ISBLANK(DaqBook_RAW_Data!X17),"",DaqBook_RAW_Data!X17)</f>
        <v/>
      </c>
      <c r="J27" s="167" t="str">
        <f>IF(ISBLANK(DaqBook_RAW_Data!Y17),"",DaqBook_RAW_Data!Y17)</f>
        <v/>
      </c>
      <c r="K27" s="167" t="str">
        <f>IF(ISBLANK(DaqBook_RAW_Data!Z17),"",DaqBook_RAW_Data!Z17)</f>
        <v/>
      </c>
      <c r="L27" s="167" t="str">
        <f>IF(ISBLANK(DaqBook_RAW_Data!AA17),"",DaqBook_RAW_Data!AA17)</f>
        <v/>
      </c>
      <c r="M27" s="167" t="str">
        <f>IF(ISBLANK(DaqBook_RAW_Data!AB17),"",DaqBook_RAW_Data!AB17)</f>
        <v/>
      </c>
      <c r="N27" s="167" t="str">
        <f>IF(ISBLANK(DaqBook_RAW_Data!AC17),"",DaqBook_RAW_Data!AC17)</f>
        <v/>
      </c>
      <c r="O27" s="167" t="str">
        <f>IF(ISBLANK(DaqBook_RAW_Data!AD17),"",DaqBook_RAW_Data!AD17)</f>
        <v/>
      </c>
      <c r="P27" s="167" t="str">
        <f>IF(ISBLANK(DaqBook_RAW_Data!AE17),"",DaqBook_RAW_Data!AE17)</f>
        <v/>
      </c>
      <c r="Q27" s="146"/>
    </row>
    <row r="28" spans="1:17" s="96" customFormat="1" x14ac:dyDescent="0.2">
      <c r="A28" s="145" t="e">
        <f t="shared" si="0"/>
        <v>#VALUE!</v>
      </c>
      <c r="B28" s="144" t="str">
        <f>IF(ISBLANK(DaqBook_RAW_Data!Q18),IF(DaqBook_RAW_Data!A18="","",TIMEVALUE(DaqBook_RAW_Data!A18)),TIMEVALUE(DaqBook_RAW_Data!Q18))</f>
        <v/>
      </c>
      <c r="C28" s="167" t="str">
        <f>IF(ISBLANK(DaqBook_RAW_Data!R18),"",DaqBook_RAW_Data!R18)</f>
        <v/>
      </c>
      <c r="D28" s="167" t="str">
        <f>IF(ISBLANK(DaqBook_RAW_Data!S18),"",DaqBook_RAW_Data!S18)</f>
        <v/>
      </c>
      <c r="E28" s="167" t="str">
        <f>IF(ISBLANK(DaqBook_RAW_Data!T18),"",DaqBook_RAW_Data!T18)</f>
        <v/>
      </c>
      <c r="F28" s="167" t="str">
        <f>IF(ISBLANK(DaqBook_RAW_Data!U18),"",DaqBook_RAW_Data!U18)</f>
        <v/>
      </c>
      <c r="G28" s="167" t="str">
        <f>IF(ISBLANK(DaqBook_RAW_Data!V18),"",DaqBook_RAW_Data!V18)</f>
        <v/>
      </c>
      <c r="H28" s="167" t="str">
        <f>IF(ISBLANK(DaqBook_RAW_Data!W18),"",DaqBook_RAW_Data!W18)</f>
        <v/>
      </c>
      <c r="I28" s="167" t="str">
        <f>IF(ISBLANK(DaqBook_RAW_Data!X18),"",DaqBook_RAW_Data!X18)</f>
        <v/>
      </c>
      <c r="J28" s="167" t="str">
        <f>IF(ISBLANK(DaqBook_RAW_Data!Y18),"",DaqBook_RAW_Data!Y18)</f>
        <v/>
      </c>
      <c r="K28" s="167" t="str">
        <f>IF(ISBLANK(DaqBook_RAW_Data!Z18),"",DaqBook_RAW_Data!Z18)</f>
        <v/>
      </c>
      <c r="L28" s="167" t="str">
        <f>IF(ISBLANK(DaqBook_RAW_Data!AA18),"",DaqBook_RAW_Data!AA18)</f>
        <v/>
      </c>
      <c r="M28" s="167" t="str">
        <f>IF(ISBLANK(DaqBook_RAW_Data!AB18),"",DaqBook_RAW_Data!AB18)</f>
        <v/>
      </c>
      <c r="N28" s="167" t="str">
        <f>IF(ISBLANK(DaqBook_RAW_Data!AC18),"",DaqBook_RAW_Data!AC18)</f>
        <v/>
      </c>
      <c r="O28" s="167" t="str">
        <f>IF(ISBLANK(DaqBook_RAW_Data!AD18),"",DaqBook_RAW_Data!AD18)</f>
        <v/>
      </c>
      <c r="P28" s="167" t="str">
        <f>IF(ISBLANK(DaqBook_RAW_Data!AE18),"",DaqBook_RAW_Data!AE18)</f>
        <v/>
      </c>
    </row>
    <row r="29" spans="1:17" s="96" customFormat="1" x14ac:dyDescent="0.2">
      <c r="A29" s="145" t="e">
        <f t="shared" si="0"/>
        <v>#VALUE!</v>
      </c>
      <c r="B29" s="144" t="str">
        <f>IF(ISBLANK(DaqBook_RAW_Data!Q19),IF(DaqBook_RAW_Data!A19="","",TIMEVALUE(DaqBook_RAW_Data!A19)),TIMEVALUE(DaqBook_RAW_Data!Q19))</f>
        <v/>
      </c>
      <c r="C29" s="167" t="str">
        <f>IF(ISBLANK(DaqBook_RAW_Data!R19),"",DaqBook_RAW_Data!R19)</f>
        <v/>
      </c>
      <c r="D29" s="167" t="str">
        <f>IF(ISBLANK(DaqBook_RAW_Data!S19),"",DaqBook_RAW_Data!S19)</f>
        <v/>
      </c>
      <c r="E29" s="167" t="str">
        <f>IF(ISBLANK(DaqBook_RAW_Data!T19),"",DaqBook_RAW_Data!T19)</f>
        <v/>
      </c>
      <c r="F29" s="167" t="str">
        <f>IF(ISBLANK(DaqBook_RAW_Data!U19),"",DaqBook_RAW_Data!U19)</f>
        <v/>
      </c>
      <c r="G29" s="167" t="str">
        <f>IF(ISBLANK(DaqBook_RAW_Data!V19),"",DaqBook_RAW_Data!V19)</f>
        <v/>
      </c>
      <c r="H29" s="167" t="str">
        <f>IF(ISBLANK(DaqBook_RAW_Data!W19),"",DaqBook_RAW_Data!W19)</f>
        <v/>
      </c>
      <c r="I29" s="167" t="str">
        <f>IF(ISBLANK(DaqBook_RAW_Data!X19),"",DaqBook_RAW_Data!X19)</f>
        <v/>
      </c>
      <c r="J29" s="167" t="str">
        <f>IF(ISBLANK(DaqBook_RAW_Data!Y19),"",DaqBook_RAW_Data!Y19)</f>
        <v/>
      </c>
      <c r="K29" s="167" t="str">
        <f>IF(ISBLANK(DaqBook_RAW_Data!Z19),"",DaqBook_RAW_Data!Z19)</f>
        <v/>
      </c>
      <c r="L29" s="167" t="str">
        <f>IF(ISBLANK(DaqBook_RAW_Data!AA19),"",DaqBook_RAW_Data!AA19)</f>
        <v/>
      </c>
      <c r="M29" s="167" t="str">
        <f>IF(ISBLANK(DaqBook_RAW_Data!AB19),"",DaqBook_RAW_Data!AB19)</f>
        <v/>
      </c>
      <c r="N29" s="167" t="str">
        <f>IF(ISBLANK(DaqBook_RAW_Data!AC19),"",DaqBook_RAW_Data!AC19)</f>
        <v/>
      </c>
      <c r="O29" s="167" t="str">
        <f>IF(ISBLANK(DaqBook_RAW_Data!AD19),"",DaqBook_RAW_Data!AD19)</f>
        <v/>
      </c>
      <c r="P29" s="167" t="str">
        <f>IF(ISBLANK(DaqBook_RAW_Data!AE19),"",DaqBook_RAW_Data!AE19)</f>
        <v/>
      </c>
    </row>
    <row r="30" spans="1:17" s="96" customFormat="1" x14ac:dyDescent="0.2">
      <c r="A30" s="145" t="e">
        <f t="shared" si="0"/>
        <v>#VALUE!</v>
      </c>
      <c r="B30" s="144" t="str">
        <f>IF(ISBLANK(DaqBook_RAW_Data!Q20),IF(DaqBook_RAW_Data!A20="","",TIMEVALUE(DaqBook_RAW_Data!A20)),TIMEVALUE(DaqBook_RAW_Data!Q20))</f>
        <v/>
      </c>
      <c r="C30" s="167" t="str">
        <f>IF(ISBLANK(DaqBook_RAW_Data!R20),"",DaqBook_RAW_Data!R20)</f>
        <v/>
      </c>
      <c r="D30" s="167" t="str">
        <f>IF(ISBLANK(DaqBook_RAW_Data!S20),"",DaqBook_RAW_Data!S20)</f>
        <v/>
      </c>
      <c r="E30" s="167" t="str">
        <f>IF(ISBLANK(DaqBook_RAW_Data!T20),"",DaqBook_RAW_Data!T20)</f>
        <v/>
      </c>
      <c r="F30" s="167" t="str">
        <f>IF(ISBLANK(DaqBook_RAW_Data!U20),"",DaqBook_RAW_Data!U20)</f>
        <v/>
      </c>
      <c r="G30" s="167" t="str">
        <f>IF(ISBLANK(DaqBook_RAW_Data!V20),"",DaqBook_RAW_Data!V20)</f>
        <v/>
      </c>
      <c r="H30" s="167" t="str">
        <f>IF(ISBLANK(DaqBook_RAW_Data!W20),"",DaqBook_RAW_Data!W20)</f>
        <v/>
      </c>
      <c r="I30" s="167" t="str">
        <f>IF(ISBLANK(DaqBook_RAW_Data!X20),"",DaqBook_RAW_Data!X20)</f>
        <v/>
      </c>
      <c r="J30" s="167" t="str">
        <f>IF(ISBLANK(DaqBook_RAW_Data!Y20),"",DaqBook_RAW_Data!Y20)</f>
        <v/>
      </c>
      <c r="K30" s="167" t="str">
        <f>IF(ISBLANK(DaqBook_RAW_Data!Z20),"",DaqBook_RAW_Data!Z20)</f>
        <v/>
      </c>
      <c r="L30" s="167" t="str">
        <f>IF(ISBLANK(DaqBook_RAW_Data!AA20),"",DaqBook_RAW_Data!AA20)</f>
        <v/>
      </c>
      <c r="M30" s="167" t="str">
        <f>IF(ISBLANK(DaqBook_RAW_Data!AB20),"",DaqBook_RAW_Data!AB20)</f>
        <v/>
      </c>
      <c r="N30" s="167" t="str">
        <f>IF(ISBLANK(DaqBook_RAW_Data!AC20),"",DaqBook_RAW_Data!AC20)</f>
        <v/>
      </c>
      <c r="O30" s="167" t="str">
        <f>IF(ISBLANK(DaqBook_RAW_Data!AD20),"",DaqBook_RAW_Data!AD20)</f>
        <v/>
      </c>
      <c r="P30" s="167" t="str">
        <f>IF(ISBLANK(DaqBook_RAW_Data!AE20),"",DaqBook_RAW_Data!AE20)</f>
        <v/>
      </c>
    </row>
    <row r="31" spans="1:17" s="96" customFormat="1" x14ac:dyDescent="0.2">
      <c r="A31" s="145" t="e">
        <f t="shared" si="0"/>
        <v>#VALUE!</v>
      </c>
      <c r="B31" s="144" t="str">
        <f>IF(ISBLANK(DaqBook_RAW_Data!Q21),IF(DaqBook_RAW_Data!A21="","",TIMEVALUE(DaqBook_RAW_Data!A21)),TIMEVALUE(DaqBook_RAW_Data!Q21))</f>
        <v/>
      </c>
      <c r="C31" s="167" t="str">
        <f>IF(ISBLANK(DaqBook_RAW_Data!R21),"",DaqBook_RAW_Data!R21)</f>
        <v/>
      </c>
      <c r="D31" s="167" t="str">
        <f>IF(ISBLANK(DaqBook_RAW_Data!S21),"",DaqBook_RAW_Data!S21)</f>
        <v/>
      </c>
      <c r="E31" s="167" t="str">
        <f>IF(ISBLANK(DaqBook_RAW_Data!T21),"",DaqBook_RAW_Data!T21)</f>
        <v/>
      </c>
      <c r="F31" s="167" t="str">
        <f>IF(ISBLANK(DaqBook_RAW_Data!U21),"",DaqBook_RAW_Data!U21)</f>
        <v/>
      </c>
      <c r="G31" s="167" t="str">
        <f>IF(ISBLANK(DaqBook_RAW_Data!V21),"",DaqBook_RAW_Data!V21)</f>
        <v/>
      </c>
      <c r="H31" s="167" t="str">
        <f>IF(ISBLANK(DaqBook_RAW_Data!W21),"",DaqBook_RAW_Data!W21)</f>
        <v/>
      </c>
      <c r="I31" s="167" t="str">
        <f>IF(ISBLANK(DaqBook_RAW_Data!X21),"",DaqBook_RAW_Data!X21)</f>
        <v/>
      </c>
      <c r="J31" s="167" t="str">
        <f>IF(ISBLANK(DaqBook_RAW_Data!Y21),"",DaqBook_RAW_Data!Y21)</f>
        <v/>
      </c>
      <c r="K31" s="167" t="str">
        <f>IF(ISBLANK(DaqBook_RAW_Data!Z21),"",DaqBook_RAW_Data!Z21)</f>
        <v/>
      </c>
      <c r="L31" s="167" t="str">
        <f>IF(ISBLANK(DaqBook_RAW_Data!AA21),"",DaqBook_RAW_Data!AA21)</f>
        <v/>
      </c>
      <c r="M31" s="167" t="str">
        <f>IF(ISBLANK(DaqBook_RAW_Data!AB21),"",DaqBook_RAW_Data!AB21)</f>
        <v/>
      </c>
      <c r="N31" s="167" t="str">
        <f>IF(ISBLANK(DaqBook_RAW_Data!AC21),"",DaqBook_RAW_Data!AC21)</f>
        <v/>
      </c>
      <c r="O31" s="167" t="str">
        <f>IF(ISBLANK(DaqBook_RAW_Data!AD21),"",DaqBook_RAW_Data!AD21)</f>
        <v/>
      </c>
      <c r="P31" s="167" t="str">
        <f>IF(ISBLANK(DaqBook_RAW_Data!AE21),"",DaqBook_RAW_Data!AE21)</f>
        <v/>
      </c>
    </row>
    <row r="32" spans="1:17" s="96" customFormat="1" x14ac:dyDescent="0.2">
      <c r="A32" s="145" t="e">
        <f t="shared" si="0"/>
        <v>#VALUE!</v>
      </c>
      <c r="B32" s="144" t="str">
        <f>IF(ISBLANK(DaqBook_RAW_Data!Q22),IF(DaqBook_RAW_Data!A22="","",TIMEVALUE(DaqBook_RAW_Data!A22)),TIMEVALUE(DaqBook_RAW_Data!Q22))</f>
        <v/>
      </c>
      <c r="C32" s="167" t="str">
        <f>IF(ISBLANK(DaqBook_RAW_Data!R22),"",DaqBook_RAW_Data!R22)</f>
        <v/>
      </c>
      <c r="D32" s="167" t="str">
        <f>IF(ISBLANK(DaqBook_RAW_Data!S22),"",DaqBook_RAW_Data!S22)</f>
        <v/>
      </c>
      <c r="E32" s="167" t="str">
        <f>IF(ISBLANK(DaqBook_RAW_Data!T22),"",DaqBook_RAW_Data!T22)</f>
        <v/>
      </c>
      <c r="F32" s="167" t="str">
        <f>IF(ISBLANK(DaqBook_RAW_Data!U22),"",DaqBook_RAW_Data!U22)</f>
        <v/>
      </c>
      <c r="G32" s="167" t="str">
        <f>IF(ISBLANK(DaqBook_RAW_Data!V22),"",DaqBook_RAW_Data!V22)</f>
        <v/>
      </c>
      <c r="H32" s="167" t="str">
        <f>IF(ISBLANK(DaqBook_RAW_Data!W22),"",DaqBook_RAW_Data!W22)</f>
        <v/>
      </c>
      <c r="I32" s="167" t="str">
        <f>IF(ISBLANK(DaqBook_RAW_Data!X22),"",DaqBook_RAW_Data!X22)</f>
        <v/>
      </c>
      <c r="J32" s="167" t="str">
        <f>IF(ISBLANK(DaqBook_RAW_Data!Y22),"",DaqBook_RAW_Data!Y22)</f>
        <v/>
      </c>
      <c r="K32" s="167" t="str">
        <f>IF(ISBLANK(DaqBook_RAW_Data!Z22),"",DaqBook_RAW_Data!Z22)</f>
        <v/>
      </c>
      <c r="L32" s="167" t="str">
        <f>IF(ISBLANK(DaqBook_RAW_Data!AA22),"",DaqBook_RAW_Data!AA22)</f>
        <v/>
      </c>
      <c r="M32" s="167" t="str">
        <f>IF(ISBLANK(DaqBook_RAW_Data!AB22),"",DaqBook_RAW_Data!AB22)</f>
        <v/>
      </c>
      <c r="N32" s="167" t="str">
        <f>IF(ISBLANK(DaqBook_RAW_Data!AC22),"",DaqBook_RAW_Data!AC22)</f>
        <v/>
      </c>
      <c r="O32" s="167" t="str">
        <f>IF(ISBLANK(DaqBook_RAW_Data!AD22),"",DaqBook_RAW_Data!AD22)</f>
        <v/>
      </c>
      <c r="P32" s="167" t="str">
        <f>IF(ISBLANK(DaqBook_RAW_Data!AE22),"",DaqBook_RAW_Data!AE22)</f>
        <v/>
      </c>
    </row>
    <row r="33" spans="1:16" s="96" customFormat="1" x14ac:dyDescent="0.2">
      <c r="A33" s="145" t="e">
        <f t="shared" si="0"/>
        <v>#VALUE!</v>
      </c>
      <c r="B33" s="144" t="str">
        <f>IF(ISBLANK(DaqBook_RAW_Data!Q23),IF(DaqBook_RAW_Data!A23="","",TIMEVALUE(DaqBook_RAW_Data!A23)),TIMEVALUE(DaqBook_RAW_Data!Q23))</f>
        <v/>
      </c>
      <c r="C33" s="167" t="str">
        <f>IF(ISBLANK(DaqBook_RAW_Data!R23),"",DaqBook_RAW_Data!R23)</f>
        <v/>
      </c>
      <c r="D33" s="167" t="str">
        <f>IF(ISBLANK(DaqBook_RAW_Data!S23),"",DaqBook_RAW_Data!S23)</f>
        <v/>
      </c>
      <c r="E33" s="167" t="str">
        <f>IF(ISBLANK(DaqBook_RAW_Data!T23),"",DaqBook_RAW_Data!T23)</f>
        <v/>
      </c>
      <c r="F33" s="167" t="str">
        <f>IF(ISBLANK(DaqBook_RAW_Data!U23),"",DaqBook_RAW_Data!U23)</f>
        <v/>
      </c>
      <c r="G33" s="167" t="str">
        <f>IF(ISBLANK(DaqBook_RAW_Data!V23),"",DaqBook_RAW_Data!V23)</f>
        <v/>
      </c>
      <c r="H33" s="167" t="str">
        <f>IF(ISBLANK(DaqBook_RAW_Data!W23),"",DaqBook_RAW_Data!W23)</f>
        <v/>
      </c>
      <c r="I33" s="167" t="str">
        <f>IF(ISBLANK(DaqBook_RAW_Data!X23),"",DaqBook_RAW_Data!X23)</f>
        <v/>
      </c>
      <c r="J33" s="167" t="str">
        <f>IF(ISBLANK(DaqBook_RAW_Data!Y23),"",DaqBook_RAW_Data!Y23)</f>
        <v/>
      </c>
      <c r="K33" s="167" t="str">
        <f>IF(ISBLANK(DaqBook_RAW_Data!Z23),"",DaqBook_RAW_Data!Z23)</f>
        <v/>
      </c>
      <c r="L33" s="167" t="str">
        <f>IF(ISBLANK(DaqBook_RAW_Data!AA23),"",DaqBook_RAW_Data!AA23)</f>
        <v/>
      </c>
      <c r="M33" s="167" t="str">
        <f>IF(ISBLANK(DaqBook_RAW_Data!AB23),"",DaqBook_RAW_Data!AB23)</f>
        <v/>
      </c>
      <c r="N33" s="167" t="str">
        <f>IF(ISBLANK(DaqBook_RAW_Data!AC23),"",DaqBook_RAW_Data!AC23)</f>
        <v/>
      </c>
      <c r="O33" s="167" t="str">
        <f>IF(ISBLANK(DaqBook_RAW_Data!AD23),"",DaqBook_RAW_Data!AD23)</f>
        <v/>
      </c>
      <c r="P33" s="167" t="str">
        <f>IF(ISBLANK(DaqBook_RAW_Data!AE23),"",DaqBook_RAW_Data!AE23)</f>
        <v/>
      </c>
    </row>
    <row r="34" spans="1:16" s="96" customFormat="1" x14ac:dyDescent="0.2">
      <c r="A34" s="145" t="e">
        <f t="shared" si="0"/>
        <v>#VALUE!</v>
      </c>
      <c r="B34" s="144" t="str">
        <f>IF(ISBLANK(DaqBook_RAW_Data!Q24),IF(DaqBook_RAW_Data!A24="","",TIMEVALUE(DaqBook_RAW_Data!A24)),TIMEVALUE(DaqBook_RAW_Data!Q24))</f>
        <v/>
      </c>
      <c r="C34" s="167" t="str">
        <f>IF(ISBLANK(DaqBook_RAW_Data!R24),"",DaqBook_RAW_Data!R24)</f>
        <v/>
      </c>
      <c r="D34" s="167" t="str">
        <f>IF(ISBLANK(DaqBook_RAW_Data!S24),"",DaqBook_RAW_Data!S24)</f>
        <v/>
      </c>
      <c r="E34" s="167" t="str">
        <f>IF(ISBLANK(DaqBook_RAW_Data!T24),"",DaqBook_RAW_Data!T24)</f>
        <v/>
      </c>
      <c r="F34" s="167" t="str">
        <f>IF(ISBLANK(DaqBook_RAW_Data!U24),"",DaqBook_RAW_Data!U24)</f>
        <v/>
      </c>
      <c r="G34" s="167" t="str">
        <f>IF(ISBLANK(DaqBook_RAW_Data!V24),"",DaqBook_RAW_Data!V24)</f>
        <v/>
      </c>
      <c r="H34" s="167" t="str">
        <f>IF(ISBLANK(DaqBook_RAW_Data!W24),"",DaqBook_RAW_Data!W24)</f>
        <v/>
      </c>
      <c r="I34" s="167" t="str">
        <f>IF(ISBLANK(DaqBook_RAW_Data!X24),"",DaqBook_RAW_Data!X24)</f>
        <v/>
      </c>
      <c r="J34" s="167" t="str">
        <f>IF(ISBLANK(DaqBook_RAW_Data!Y24),"",DaqBook_RAW_Data!Y24)</f>
        <v/>
      </c>
      <c r="K34" s="167" t="str">
        <f>IF(ISBLANK(DaqBook_RAW_Data!Z24),"",DaqBook_RAW_Data!Z24)</f>
        <v/>
      </c>
      <c r="L34" s="167" t="str">
        <f>IF(ISBLANK(DaqBook_RAW_Data!AA24),"",DaqBook_RAW_Data!AA24)</f>
        <v/>
      </c>
      <c r="M34" s="167" t="str">
        <f>IF(ISBLANK(DaqBook_RAW_Data!AB24),"",DaqBook_RAW_Data!AB24)</f>
        <v/>
      </c>
      <c r="N34" s="167" t="str">
        <f>IF(ISBLANK(DaqBook_RAW_Data!AC24),"",DaqBook_RAW_Data!AC24)</f>
        <v/>
      </c>
      <c r="O34" s="167" t="str">
        <f>IF(ISBLANK(DaqBook_RAW_Data!AD24),"",DaqBook_RAW_Data!AD24)</f>
        <v/>
      </c>
      <c r="P34" s="167" t="str">
        <f>IF(ISBLANK(DaqBook_RAW_Data!AE24),"",DaqBook_RAW_Data!AE24)</f>
        <v/>
      </c>
    </row>
    <row r="35" spans="1:16" s="96" customFormat="1" x14ac:dyDescent="0.2">
      <c r="A35" s="145" t="e">
        <f t="shared" si="0"/>
        <v>#VALUE!</v>
      </c>
      <c r="B35" s="144" t="str">
        <f>IF(ISBLANK(DaqBook_RAW_Data!Q25),IF(DaqBook_RAW_Data!A25="","",TIMEVALUE(DaqBook_RAW_Data!A25)),TIMEVALUE(DaqBook_RAW_Data!Q25))</f>
        <v/>
      </c>
      <c r="C35" s="167" t="str">
        <f>IF(ISBLANK(DaqBook_RAW_Data!R25),"",DaqBook_RAW_Data!R25)</f>
        <v/>
      </c>
      <c r="D35" s="167" t="str">
        <f>IF(ISBLANK(DaqBook_RAW_Data!S25),"",DaqBook_RAW_Data!S25)</f>
        <v/>
      </c>
      <c r="E35" s="167" t="str">
        <f>IF(ISBLANK(DaqBook_RAW_Data!T25),"",DaqBook_RAW_Data!T25)</f>
        <v/>
      </c>
      <c r="F35" s="167" t="str">
        <f>IF(ISBLANK(DaqBook_RAW_Data!U25),"",DaqBook_RAW_Data!U25)</f>
        <v/>
      </c>
      <c r="G35" s="167" t="str">
        <f>IF(ISBLANK(DaqBook_RAW_Data!V25),"",DaqBook_RAW_Data!V25)</f>
        <v/>
      </c>
      <c r="H35" s="167" t="str">
        <f>IF(ISBLANK(DaqBook_RAW_Data!W25),"",DaqBook_RAW_Data!W25)</f>
        <v/>
      </c>
      <c r="I35" s="167" t="str">
        <f>IF(ISBLANK(DaqBook_RAW_Data!X25),"",DaqBook_RAW_Data!X25)</f>
        <v/>
      </c>
      <c r="J35" s="167" t="str">
        <f>IF(ISBLANK(DaqBook_RAW_Data!Y25),"",DaqBook_RAW_Data!Y25)</f>
        <v/>
      </c>
      <c r="K35" s="167" t="str">
        <f>IF(ISBLANK(DaqBook_RAW_Data!Z25),"",DaqBook_RAW_Data!Z25)</f>
        <v/>
      </c>
      <c r="L35" s="167" t="str">
        <f>IF(ISBLANK(DaqBook_RAW_Data!AA25),"",DaqBook_RAW_Data!AA25)</f>
        <v/>
      </c>
      <c r="M35" s="167" t="str">
        <f>IF(ISBLANK(DaqBook_RAW_Data!AB25),"",DaqBook_RAW_Data!AB25)</f>
        <v/>
      </c>
      <c r="N35" s="167" t="str">
        <f>IF(ISBLANK(DaqBook_RAW_Data!AC25),"",DaqBook_RAW_Data!AC25)</f>
        <v/>
      </c>
      <c r="O35" s="167" t="str">
        <f>IF(ISBLANK(DaqBook_RAW_Data!AD25),"",DaqBook_RAW_Data!AD25)</f>
        <v/>
      </c>
      <c r="P35" s="167" t="str">
        <f>IF(ISBLANK(DaqBook_RAW_Data!AE25),"",DaqBook_RAW_Data!AE25)</f>
        <v/>
      </c>
    </row>
    <row r="36" spans="1:16" s="96" customFormat="1" x14ac:dyDescent="0.2">
      <c r="A36" s="145" t="e">
        <f t="shared" si="0"/>
        <v>#VALUE!</v>
      </c>
      <c r="B36" s="144" t="str">
        <f>IF(ISBLANK(DaqBook_RAW_Data!Q26),IF(DaqBook_RAW_Data!A26="","",TIMEVALUE(DaqBook_RAW_Data!A26)),TIMEVALUE(DaqBook_RAW_Data!Q26))</f>
        <v/>
      </c>
      <c r="C36" s="167" t="str">
        <f>IF(ISBLANK(DaqBook_RAW_Data!R26),"",DaqBook_RAW_Data!R26)</f>
        <v/>
      </c>
      <c r="D36" s="167" t="str">
        <f>IF(ISBLANK(DaqBook_RAW_Data!S26),"",DaqBook_RAW_Data!S26)</f>
        <v/>
      </c>
      <c r="E36" s="167" t="str">
        <f>IF(ISBLANK(DaqBook_RAW_Data!T26),"",DaqBook_RAW_Data!T26)</f>
        <v/>
      </c>
      <c r="F36" s="167" t="str">
        <f>IF(ISBLANK(DaqBook_RAW_Data!U26),"",DaqBook_RAW_Data!U26)</f>
        <v/>
      </c>
      <c r="G36" s="167" t="str">
        <f>IF(ISBLANK(DaqBook_RAW_Data!V26),"",DaqBook_RAW_Data!V26)</f>
        <v/>
      </c>
      <c r="H36" s="167" t="str">
        <f>IF(ISBLANK(DaqBook_RAW_Data!W26),"",DaqBook_RAW_Data!W26)</f>
        <v/>
      </c>
      <c r="I36" s="167" t="str">
        <f>IF(ISBLANK(DaqBook_RAW_Data!X26),"",DaqBook_RAW_Data!X26)</f>
        <v/>
      </c>
      <c r="J36" s="167" t="str">
        <f>IF(ISBLANK(DaqBook_RAW_Data!Y26),"",DaqBook_RAW_Data!Y26)</f>
        <v/>
      </c>
      <c r="K36" s="167" t="str">
        <f>IF(ISBLANK(DaqBook_RAW_Data!Z26),"",DaqBook_RAW_Data!Z26)</f>
        <v/>
      </c>
      <c r="L36" s="167" t="str">
        <f>IF(ISBLANK(DaqBook_RAW_Data!AA26),"",DaqBook_RAW_Data!AA26)</f>
        <v/>
      </c>
      <c r="M36" s="167" t="str">
        <f>IF(ISBLANK(DaqBook_RAW_Data!AB26),"",DaqBook_RAW_Data!AB26)</f>
        <v/>
      </c>
      <c r="N36" s="167" t="str">
        <f>IF(ISBLANK(DaqBook_RAW_Data!AC26),"",DaqBook_RAW_Data!AC26)</f>
        <v/>
      </c>
      <c r="O36" s="167" t="str">
        <f>IF(ISBLANK(DaqBook_RAW_Data!AD26),"",DaqBook_RAW_Data!AD26)</f>
        <v/>
      </c>
      <c r="P36" s="167" t="str">
        <f>IF(ISBLANK(DaqBook_RAW_Data!AE26),"",DaqBook_RAW_Data!AE26)</f>
        <v/>
      </c>
    </row>
    <row r="37" spans="1:16" s="96" customFormat="1" x14ac:dyDescent="0.2">
      <c r="A37" s="145" t="e">
        <f t="shared" si="0"/>
        <v>#VALUE!</v>
      </c>
      <c r="B37" s="144" t="str">
        <f>IF(ISBLANK(DaqBook_RAW_Data!Q27),IF(DaqBook_RAW_Data!A27="","",TIMEVALUE(DaqBook_RAW_Data!A27)),TIMEVALUE(DaqBook_RAW_Data!Q27))</f>
        <v/>
      </c>
      <c r="C37" s="167" t="str">
        <f>IF(ISBLANK(DaqBook_RAW_Data!R27),"",DaqBook_RAW_Data!R27)</f>
        <v/>
      </c>
      <c r="D37" s="167" t="str">
        <f>IF(ISBLANK(DaqBook_RAW_Data!S27),"",DaqBook_RAW_Data!S27)</f>
        <v/>
      </c>
      <c r="E37" s="167" t="str">
        <f>IF(ISBLANK(DaqBook_RAW_Data!T27),"",DaqBook_RAW_Data!T27)</f>
        <v/>
      </c>
      <c r="F37" s="167" t="str">
        <f>IF(ISBLANK(DaqBook_RAW_Data!U27),"",DaqBook_RAW_Data!U27)</f>
        <v/>
      </c>
      <c r="G37" s="167" t="str">
        <f>IF(ISBLANK(DaqBook_RAW_Data!V27),"",DaqBook_RAW_Data!V27)</f>
        <v/>
      </c>
      <c r="H37" s="167" t="str">
        <f>IF(ISBLANK(DaqBook_RAW_Data!W27),"",DaqBook_RAW_Data!W27)</f>
        <v/>
      </c>
      <c r="I37" s="167" t="str">
        <f>IF(ISBLANK(DaqBook_RAW_Data!X27),"",DaqBook_RAW_Data!X27)</f>
        <v/>
      </c>
      <c r="J37" s="167" t="str">
        <f>IF(ISBLANK(DaqBook_RAW_Data!Y27),"",DaqBook_RAW_Data!Y27)</f>
        <v/>
      </c>
      <c r="K37" s="167" t="str">
        <f>IF(ISBLANK(DaqBook_RAW_Data!Z27),"",DaqBook_RAW_Data!Z27)</f>
        <v/>
      </c>
      <c r="L37" s="167" t="str">
        <f>IF(ISBLANK(DaqBook_RAW_Data!AA27),"",DaqBook_RAW_Data!AA27)</f>
        <v/>
      </c>
      <c r="M37" s="167" t="str">
        <f>IF(ISBLANK(DaqBook_RAW_Data!AB27),"",DaqBook_RAW_Data!AB27)</f>
        <v/>
      </c>
      <c r="N37" s="167" t="str">
        <f>IF(ISBLANK(DaqBook_RAW_Data!AC27),"",DaqBook_RAW_Data!AC27)</f>
        <v/>
      </c>
      <c r="O37" s="167" t="str">
        <f>IF(ISBLANK(DaqBook_RAW_Data!AD27),"",DaqBook_RAW_Data!AD27)</f>
        <v/>
      </c>
      <c r="P37" s="167" t="str">
        <f>IF(ISBLANK(DaqBook_RAW_Data!AE27),"",DaqBook_RAW_Data!AE27)</f>
        <v/>
      </c>
    </row>
    <row r="38" spans="1:16" s="96" customFormat="1" x14ac:dyDescent="0.2">
      <c r="A38" s="145" t="e">
        <f t="shared" si="0"/>
        <v>#VALUE!</v>
      </c>
      <c r="B38" s="144" t="str">
        <f>IF(ISBLANK(DaqBook_RAW_Data!Q28),IF(DaqBook_RAW_Data!A28="","",TIMEVALUE(DaqBook_RAW_Data!A28)),TIMEVALUE(DaqBook_RAW_Data!Q28))</f>
        <v/>
      </c>
      <c r="C38" s="167" t="str">
        <f>IF(ISBLANK(DaqBook_RAW_Data!R28),"",DaqBook_RAW_Data!R28)</f>
        <v/>
      </c>
      <c r="D38" s="167" t="str">
        <f>IF(ISBLANK(DaqBook_RAW_Data!S28),"",DaqBook_RAW_Data!S28)</f>
        <v/>
      </c>
      <c r="E38" s="167" t="str">
        <f>IF(ISBLANK(DaqBook_RAW_Data!T28),"",DaqBook_RAW_Data!T28)</f>
        <v/>
      </c>
      <c r="F38" s="167" t="str">
        <f>IF(ISBLANK(DaqBook_RAW_Data!U28),"",DaqBook_RAW_Data!U28)</f>
        <v/>
      </c>
      <c r="G38" s="167" t="str">
        <f>IF(ISBLANK(DaqBook_RAW_Data!V28),"",DaqBook_RAW_Data!V28)</f>
        <v/>
      </c>
      <c r="H38" s="167" t="str">
        <f>IF(ISBLANK(DaqBook_RAW_Data!W28),"",DaqBook_RAW_Data!W28)</f>
        <v/>
      </c>
      <c r="I38" s="167" t="str">
        <f>IF(ISBLANK(DaqBook_RAW_Data!X28),"",DaqBook_RAW_Data!X28)</f>
        <v/>
      </c>
      <c r="J38" s="167" t="str">
        <f>IF(ISBLANK(DaqBook_RAW_Data!Y28),"",DaqBook_RAW_Data!Y28)</f>
        <v/>
      </c>
      <c r="K38" s="167" t="str">
        <f>IF(ISBLANK(DaqBook_RAW_Data!Z28),"",DaqBook_RAW_Data!Z28)</f>
        <v/>
      </c>
      <c r="L38" s="167" t="str">
        <f>IF(ISBLANK(DaqBook_RAW_Data!AA28),"",DaqBook_RAW_Data!AA28)</f>
        <v/>
      </c>
      <c r="M38" s="167" t="str">
        <f>IF(ISBLANK(DaqBook_RAW_Data!AB28),"",DaqBook_RAW_Data!AB28)</f>
        <v/>
      </c>
      <c r="N38" s="167" t="str">
        <f>IF(ISBLANK(DaqBook_RAW_Data!AC28),"",DaqBook_RAW_Data!AC28)</f>
        <v/>
      </c>
      <c r="O38" s="167" t="str">
        <f>IF(ISBLANK(DaqBook_RAW_Data!AD28),"",DaqBook_RAW_Data!AD28)</f>
        <v/>
      </c>
      <c r="P38" s="167" t="str">
        <f>IF(ISBLANK(DaqBook_RAW_Data!AE28),"",DaqBook_RAW_Data!AE28)</f>
        <v/>
      </c>
    </row>
    <row r="39" spans="1:16" s="96" customFormat="1" x14ac:dyDescent="0.2">
      <c r="A39" s="145" t="e">
        <f t="shared" si="0"/>
        <v>#VALUE!</v>
      </c>
      <c r="B39" s="144" t="str">
        <f>IF(ISBLANK(DaqBook_RAW_Data!Q29),IF(DaqBook_RAW_Data!A29="","",TIMEVALUE(DaqBook_RAW_Data!A29)),TIMEVALUE(DaqBook_RAW_Data!Q29))</f>
        <v/>
      </c>
      <c r="C39" s="167" t="str">
        <f>IF(ISBLANK(DaqBook_RAW_Data!R29),"",DaqBook_RAW_Data!R29)</f>
        <v/>
      </c>
      <c r="D39" s="167" t="str">
        <f>IF(ISBLANK(DaqBook_RAW_Data!S29),"",DaqBook_RAW_Data!S29)</f>
        <v/>
      </c>
      <c r="E39" s="167" t="str">
        <f>IF(ISBLANK(DaqBook_RAW_Data!T29),"",DaqBook_RAW_Data!T29)</f>
        <v/>
      </c>
      <c r="F39" s="167" t="str">
        <f>IF(ISBLANK(DaqBook_RAW_Data!U29),"",DaqBook_RAW_Data!U29)</f>
        <v/>
      </c>
      <c r="G39" s="167" t="str">
        <f>IF(ISBLANK(DaqBook_RAW_Data!V29),"",DaqBook_RAW_Data!V29)</f>
        <v/>
      </c>
      <c r="H39" s="167" t="str">
        <f>IF(ISBLANK(DaqBook_RAW_Data!W29),"",DaqBook_RAW_Data!W29)</f>
        <v/>
      </c>
      <c r="I39" s="167" t="str">
        <f>IF(ISBLANK(DaqBook_RAW_Data!X29),"",DaqBook_RAW_Data!X29)</f>
        <v/>
      </c>
      <c r="J39" s="167" t="str">
        <f>IF(ISBLANK(DaqBook_RAW_Data!Y29),"",DaqBook_RAW_Data!Y29)</f>
        <v/>
      </c>
      <c r="K39" s="167" t="str">
        <f>IF(ISBLANK(DaqBook_RAW_Data!Z29),"",DaqBook_RAW_Data!Z29)</f>
        <v/>
      </c>
      <c r="L39" s="167" t="str">
        <f>IF(ISBLANK(DaqBook_RAW_Data!AA29),"",DaqBook_RAW_Data!AA29)</f>
        <v/>
      </c>
      <c r="M39" s="167" t="str">
        <f>IF(ISBLANK(DaqBook_RAW_Data!AB29),"",DaqBook_RAW_Data!AB29)</f>
        <v/>
      </c>
      <c r="N39" s="167" t="str">
        <f>IF(ISBLANK(DaqBook_RAW_Data!AC29),"",DaqBook_RAW_Data!AC29)</f>
        <v/>
      </c>
      <c r="O39" s="167" t="str">
        <f>IF(ISBLANK(DaqBook_RAW_Data!AD29),"",DaqBook_RAW_Data!AD29)</f>
        <v/>
      </c>
      <c r="P39" s="167" t="str">
        <f>IF(ISBLANK(DaqBook_RAW_Data!AE29),"",DaqBook_RAW_Data!AE29)</f>
        <v/>
      </c>
    </row>
    <row r="40" spans="1:16" s="96" customFormat="1" x14ac:dyDescent="0.2">
      <c r="A40" s="145" t="e">
        <f t="shared" si="0"/>
        <v>#VALUE!</v>
      </c>
      <c r="B40" s="144" t="str">
        <f>IF(ISBLANK(DaqBook_RAW_Data!Q30),IF(DaqBook_RAW_Data!A30="","",TIMEVALUE(DaqBook_RAW_Data!A30)),TIMEVALUE(DaqBook_RAW_Data!Q30))</f>
        <v/>
      </c>
      <c r="C40" s="167" t="str">
        <f>IF(ISBLANK(DaqBook_RAW_Data!R30),"",DaqBook_RAW_Data!R30)</f>
        <v/>
      </c>
      <c r="D40" s="167" t="str">
        <f>IF(ISBLANK(DaqBook_RAW_Data!S30),"",DaqBook_RAW_Data!S30)</f>
        <v/>
      </c>
      <c r="E40" s="167" t="str">
        <f>IF(ISBLANK(DaqBook_RAW_Data!T30),"",DaqBook_RAW_Data!T30)</f>
        <v/>
      </c>
      <c r="F40" s="167" t="str">
        <f>IF(ISBLANK(DaqBook_RAW_Data!U30),"",DaqBook_RAW_Data!U30)</f>
        <v/>
      </c>
      <c r="G40" s="167" t="str">
        <f>IF(ISBLANK(DaqBook_RAW_Data!V30),"",DaqBook_RAW_Data!V30)</f>
        <v/>
      </c>
      <c r="H40" s="167" t="str">
        <f>IF(ISBLANK(DaqBook_RAW_Data!W30),"",DaqBook_RAW_Data!W30)</f>
        <v/>
      </c>
      <c r="I40" s="167" t="str">
        <f>IF(ISBLANK(DaqBook_RAW_Data!X30),"",DaqBook_RAW_Data!X30)</f>
        <v/>
      </c>
      <c r="J40" s="167" t="str">
        <f>IF(ISBLANK(DaqBook_RAW_Data!Y30),"",DaqBook_RAW_Data!Y30)</f>
        <v/>
      </c>
      <c r="K40" s="167" t="str">
        <f>IF(ISBLANK(DaqBook_RAW_Data!Z30),"",DaqBook_RAW_Data!Z30)</f>
        <v/>
      </c>
      <c r="L40" s="167" t="str">
        <f>IF(ISBLANK(DaqBook_RAW_Data!AA30),"",DaqBook_RAW_Data!AA30)</f>
        <v/>
      </c>
      <c r="M40" s="167" t="str">
        <f>IF(ISBLANK(DaqBook_RAW_Data!AB30),"",DaqBook_RAW_Data!AB30)</f>
        <v/>
      </c>
      <c r="N40" s="167" t="str">
        <f>IF(ISBLANK(DaqBook_RAW_Data!AC30),"",DaqBook_RAW_Data!AC30)</f>
        <v/>
      </c>
      <c r="O40" s="167" t="str">
        <f>IF(ISBLANK(DaqBook_RAW_Data!AD30),"",DaqBook_RAW_Data!AD30)</f>
        <v/>
      </c>
      <c r="P40" s="167" t="str">
        <f>IF(ISBLANK(DaqBook_RAW_Data!AE30),"",DaqBook_RAW_Data!AE30)</f>
        <v/>
      </c>
    </row>
    <row r="41" spans="1:16" s="96" customFormat="1" x14ac:dyDescent="0.2">
      <c r="A41" s="145" t="e">
        <f t="shared" si="0"/>
        <v>#VALUE!</v>
      </c>
      <c r="B41" s="144" t="str">
        <f>IF(ISBLANK(DaqBook_RAW_Data!Q31),IF(DaqBook_RAW_Data!A31="","",TIMEVALUE(DaqBook_RAW_Data!A31)),TIMEVALUE(DaqBook_RAW_Data!Q31))</f>
        <v/>
      </c>
      <c r="C41" s="167" t="str">
        <f>IF(ISBLANK(DaqBook_RAW_Data!R31),"",DaqBook_RAW_Data!R31)</f>
        <v/>
      </c>
      <c r="D41" s="167" t="str">
        <f>IF(ISBLANK(DaqBook_RAW_Data!S31),"",DaqBook_RAW_Data!S31)</f>
        <v/>
      </c>
      <c r="E41" s="167" t="str">
        <f>IF(ISBLANK(DaqBook_RAW_Data!T31),"",DaqBook_RAW_Data!T31)</f>
        <v/>
      </c>
      <c r="F41" s="167" t="str">
        <f>IF(ISBLANK(DaqBook_RAW_Data!U31),"",DaqBook_RAW_Data!U31)</f>
        <v/>
      </c>
      <c r="G41" s="167" t="str">
        <f>IF(ISBLANK(DaqBook_RAW_Data!V31),"",DaqBook_RAW_Data!V31)</f>
        <v/>
      </c>
      <c r="H41" s="167" t="str">
        <f>IF(ISBLANK(DaqBook_RAW_Data!W31),"",DaqBook_RAW_Data!W31)</f>
        <v/>
      </c>
      <c r="I41" s="167" t="str">
        <f>IF(ISBLANK(DaqBook_RAW_Data!X31),"",DaqBook_RAW_Data!X31)</f>
        <v/>
      </c>
      <c r="J41" s="167" t="str">
        <f>IF(ISBLANK(DaqBook_RAW_Data!Y31),"",DaqBook_RAW_Data!Y31)</f>
        <v/>
      </c>
      <c r="K41" s="167" t="str">
        <f>IF(ISBLANK(DaqBook_RAW_Data!Z31),"",DaqBook_RAW_Data!Z31)</f>
        <v/>
      </c>
      <c r="L41" s="167" t="str">
        <f>IF(ISBLANK(DaqBook_RAW_Data!AA31),"",DaqBook_RAW_Data!AA31)</f>
        <v/>
      </c>
      <c r="M41" s="167" t="str">
        <f>IF(ISBLANK(DaqBook_RAW_Data!AB31),"",DaqBook_RAW_Data!AB31)</f>
        <v/>
      </c>
      <c r="N41" s="167" t="str">
        <f>IF(ISBLANK(DaqBook_RAW_Data!AC31),"",DaqBook_RAW_Data!AC31)</f>
        <v/>
      </c>
      <c r="O41" s="167" t="str">
        <f>IF(ISBLANK(DaqBook_RAW_Data!AD31),"",DaqBook_RAW_Data!AD31)</f>
        <v/>
      </c>
      <c r="P41" s="167" t="str">
        <f>IF(ISBLANK(DaqBook_RAW_Data!AE31),"",DaqBook_RAW_Data!AE31)</f>
        <v/>
      </c>
    </row>
    <row r="42" spans="1:16" s="96" customFormat="1" x14ac:dyDescent="0.2">
      <c r="A42" s="145" t="e">
        <f t="shared" si="0"/>
        <v>#VALUE!</v>
      </c>
      <c r="B42" s="144" t="str">
        <f>IF(ISBLANK(DaqBook_RAW_Data!Q32),IF(DaqBook_RAW_Data!A32="","",TIMEVALUE(DaqBook_RAW_Data!A32)),TIMEVALUE(DaqBook_RAW_Data!Q32))</f>
        <v/>
      </c>
      <c r="C42" s="167" t="str">
        <f>IF(ISBLANK(DaqBook_RAW_Data!R32),"",DaqBook_RAW_Data!R32)</f>
        <v/>
      </c>
      <c r="D42" s="167" t="str">
        <f>IF(ISBLANK(DaqBook_RAW_Data!S32),"",DaqBook_RAW_Data!S32)</f>
        <v/>
      </c>
      <c r="E42" s="167" t="str">
        <f>IF(ISBLANK(DaqBook_RAW_Data!T32),"",DaqBook_RAW_Data!T32)</f>
        <v/>
      </c>
      <c r="F42" s="167" t="str">
        <f>IF(ISBLANK(DaqBook_RAW_Data!U32),"",DaqBook_RAW_Data!U32)</f>
        <v/>
      </c>
      <c r="G42" s="167" t="str">
        <f>IF(ISBLANK(DaqBook_RAW_Data!V32),"",DaqBook_RAW_Data!V32)</f>
        <v/>
      </c>
      <c r="H42" s="167" t="str">
        <f>IF(ISBLANK(DaqBook_RAW_Data!W32),"",DaqBook_RAW_Data!W32)</f>
        <v/>
      </c>
      <c r="I42" s="167" t="str">
        <f>IF(ISBLANK(DaqBook_RAW_Data!X32),"",DaqBook_RAW_Data!X32)</f>
        <v/>
      </c>
      <c r="J42" s="167" t="str">
        <f>IF(ISBLANK(DaqBook_RAW_Data!Y32),"",DaqBook_RAW_Data!Y32)</f>
        <v/>
      </c>
      <c r="K42" s="167" t="str">
        <f>IF(ISBLANK(DaqBook_RAW_Data!Z32),"",DaqBook_RAW_Data!Z32)</f>
        <v/>
      </c>
      <c r="L42" s="167" t="str">
        <f>IF(ISBLANK(DaqBook_RAW_Data!AA32),"",DaqBook_RAW_Data!AA32)</f>
        <v/>
      </c>
      <c r="M42" s="167" t="str">
        <f>IF(ISBLANK(DaqBook_RAW_Data!AB32),"",DaqBook_RAW_Data!AB32)</f>
        <v/>
      </c>
      <c r="N42" s="167" t="str">
        <f>IF(ISBLANK(DaqBook_RAW_Data!AC32),"",DaqBook_RAW_Data!AC32)</f>
        <v/>
      </c>
      <c r="O42" s="167" t="str">
        <f>IF(ISBLANK(DaqBook_RAW_Data!AD32),"",DaqBook_RAW_Data!AD32)</f>
        <v/>
      </c>
      <c r="P42" s="167" t="str">
        <f>IF(ISBLANK(DaqBook_RAW_Data!AE32),"",DaqBook_RAW_Data!AE32)</f>
        <v/>
      </c>
    </row>
    <row r="43" spans="1:16" s="96" customFormat="1" x14ac:dyDescent="0.2">
      <c r="A43" s="145" t="e">
        <f t="shared" si="0"/>
        <v>#VALUE!</v>
      </c>
      <c r="B43" s="144" t="str">
        <f>IF(ISBLANK(DaqBook_RAW_Data!Q33),IF(DaqBook_RAW_Data!A33="","",TIMEVALUE(DaqBook_RAW_Data!A33)),TIMEVALUE(DaqBook_RAW_Data!Q33))</f>
        <v/>
      </c>
      <c r="C43" s="167" t="str">
        <f>IF(ISBLANK(DaqBook_RAW_Data!R33),"",DaqBook_RAW_Data!R33)</f>
        <v/>
      </c>
      <c r="D43" s="167" t="str">
        <f>IF(ISBLANK(DaqBook_RAW_Data!S33),"",DaqBook_RAW_Data!S33)</f>
        <v/>
      </c>
      <c r="E43" s="167" t="str">
        <f>IF(ISBLANK(DaqBook_RAW_Data!T33),"",DaqBook_RAW_Data!T33)</f>
        <v/>
      </c>
      <c r="F43" s="167" t="str">
        <f>IF(ISBLANK(DaqBook_RAW_Data!U33),"",DaqBook_RAW_Data!U33)</f>
        <v/>
      </c>
      <c r="G43" s="167" t="str">
        <f>IF(ISBLANK(DaqBook_RAW_Data!V33),"",DaqBook_RAW_Data!V33)</f>
        <v/>
      </c>
      <c r="H43" s="167" t="str">
        <f>IF(ISBLANK(DaqBook_RAW_Data!W33),"",DaqBook_RAW_Data!W33)</f>
        <v/>
      </c>
      <c r="I43" s="167" t="str">
        <f>IF(ISBLANK(DaqBook_RAW_Data!X33),"",DaqBook_RAW_Data!X33)</f>
        <v/>
      </c>
      <c r="J43" s="167" t="str">
        <f>IF(ISBLANK(DaqBook_RAW_Data!Y33),"",DaqBook_RAW_Data!Y33)</f>
        <v/>
      </c>
      <c r="K43" s="167" t="str">
        <f>IF(ISBLANK(DaqBook_RAW_Data!Z33),"",DaqBook_RAW_Data!Z33)</f>
        <v/>
      </c>
      <c r="L43" s="167" t="str">
        <f>IF(ISBLANK(DaqBook_RAW_Data!AA33),"",DaqBook_RAW_Data!AA33)</f>
        <v/>
      </c>
      <c r="M43" s="167" t="str">
        <f>IF(ISBLANK(DaqBook_RAW_Data!AB33),"",DaqBook_RAW_Data!AB33)</f>
        <v/>
      </c>
      <c r="N43" s="167" t="str">
        <f>IF(ISBLANK(DaqBook_RAW_Data!AC33),"",DaqBook_RAW_Data!AC33)</f>
        <v/>
      </c>
      <c r="O43" s="167" t="str">
        <f>IF(ISBLANK(DaqBook_RAW_Data!AD33),"",DaqBook_RAW_Data!AD33)</f>
        <v/>
      </c>
      <c r="P43" s="167" t="str">
        <f>IF(ISBLANK(DaqBook_RAW_Data!AE33),"",DaqBook_RAW_Data!AE33)</f>
        <v/>
      </c>
    </row>
    <row r="44" spans="1:16" s="96" customFormat="1" x14ac:dyDescent="0.2">
      <c r="A44" s="145" t="e">
        <f t="shared" si="0"/>
        <v>#VALUE!</v>
      </c>
      <c r="B44" s="144" t="str">
        <f>IF(ISBLANK(DaqBook_RAW_Data!Q34),IF(DaqBook_RAW_Data!A34="","",TIMEVALUE(DaqBook_RAW_Data!A34)),TIMEVALUE(DaqBook_RAW_Data!Q34))</f>
        <v/>
      </c>
      <c r="C44" s="167" t="str">
        <f>IF(ISBLANK(DaqBook_RAW_Data!R34),"",DaqBook_RAW_Data!R34)</f>
        <v/>
      </c>
      <c r="D44" s="167" t="str">
        <f>IF(ISBLANK(DaqBook_RAW_Data!S34),"",DaqBook_RAW_Data!S34)</f>
        <v/>
      </c>
      <c r="E44" s="167" t="str">
        <f>IF(ISBLANK(DaqBook_RAW_Data!T34),"",DaqBook_RAW_Data!T34)</f>
        <v/>
      </c>
      <c r="F44" s="167" t="str">
        <f>IF(ISBLANK(DaqBook_RAW_Data!U34),"",DaqBook_RAW_Data!U34)</f>
        <v/>
      </c>
      <c r="G44" s="167" t="str">
        <f>IF(ISBLANK(DaqBook_RAW_Data!V34),"",DaqBook_RAW_Data!V34)</f>
        <v/>
      </c>
      <c r="H44" s="167" t="str">
        <f>IF(ISBLANK(DaqBook_RAW_Data!W34),"",DaqBook_RAW_Data!W34)</f>
        <v/>
      </c>
      <c r="I44" s="167" t="str">
        <f>IF(ISBLANK(DaqBook_RAW_Data!X34),"",DaqBook_RAW_Data!X34)</f>
        <v/>
      </c>
      <c r="J44" s="167" t="str">
        <f>IF(ISBLANK(DaqBook_RAW_Data!Y34),"",DaqBook_RAW_Data!Y34)</f>
        <v/>
      </c>
      <c r="K44" s="167" t="str">
        <f>IF(ISBLANK(DaqBook_RAW_Data!Z34),"",DaqBook_RAW_Data!Z34)</f>
        <v/>
      </c>
      <c r="L44" s="167" t="str">
        <f>IF(ISBLANK(DaqBook_RAW_Data!AA34),"",DaqBook_RAW_Data!AA34)</f>
        <v/>
      </c>
      <c r="M44" s="167" t="str">
        <f>IF(ISBLANK(DaqBook_RAW_Data!AB34),"",DaqBook_RAW_Data!AB34)</f>
        <v/>
      </c>
      <c r="N44" s="167" t="str">
        <f>IF(ISBLANK(DaqBook_RAW_Data!AC34),"",DaqBook_RAW_Data!AC34)</f>
        <v/>
      </c>
      <c r="O44" s="167" t="str">
        <f>IF(ISBLANK(DaqBook_RAW_Data!AD34),"",DaqBook_RAW_Data!AD34)</f>
        <v/>
      </c>
      <c r="P44" s="167" t="str">
        <f>IF(ISBLANK(DaqBook_RAW_Data!AE34),"",DaqBook_RAW_Data!AE34)</f>
        <v/>
      </c>
    </row>
    <row r="45" spans="1:16" s="96" customFormat="1" x14ac:dyDescent="0.2">
      <c r="A45" s="145" t="e">
        <f t="shared" si="0"/>
        <v>#VALUE!</v>
      </c>
      <c r="B45" s="144" t="str">
        <f>IF(ISBLANK(DaqBook_RAW_Data!Q35),IF(DaqBook_RAW_Data!A35="","",TIMEVALUE(DaqBook_RAW_Data!A35)),TIMEVALUE(DaqBook_RAW_Data!Q35))</f>
        <v/>
      </c>
      <c r="C45" s="167" t="str">
        <f>IF(ISBLANK(DaqBook_RAW_Data!R35),"",DaqBook_RAW_Data!R35)</f>
        <v/>
      </c>
      <c r="D45" s="167" t="str">
        <f>IF(ISBLANK(DaqBook_RAW_Data!S35),"",DaqBook_RAW_Data!S35)</f>
        <v/>
      </c>
      <c r="E45" s="167" t="str">
        <f>IF(ISBLANK(DaqBook_RAW_Data!T35),"",DaqBook_RAW_Data!T35)</f>
        <v/>
      </c>
      <c r="F45" s="167" t="str">
        <f>IF(ISBLANK(DaqBook_RAW_Data!U35),"",DaqBook_RAW_Data!U35)</f>
        <v/>
      </c>
      <c r="G45" s="167" t="str">
        <f>IF(ISBLANK(DaqBook_RAW_Data!V35),"",DaqBook_RAW_Data!V35)</f>
        <v/>
      </c>
      <c r="H45" s="167" t="str">
        <f>IF(ISBLANK(DaqBook_RAW_Data!W35),"",DaqBook_RAW_Data!W35)</f>
        <v/>
      </c>
      <c r="I45" s="167" t="str">
        <f>IF(ISBLANK(DaqBook_RAW_Data!X35),"",DaqBook_RAW_Data!X35)</f>
        <v/>
      </c>
      <c r="J45" s="167" t="str">
        <f>IF(ISBLANK(DaqBook_RAW_Data!Y35),"",DaqBook_RAW_Data!Y35)</f>
        <v/>
      </c>
      <c r="K45" s="167" t="str">
        <f>IF(ISBLANK(DaqBook_RAW_Data!Z35),"",DaqBook_RAW_Data!Z35)</f>
        <v/>
      </c>
      <c r="L45" s="167" t="str">
        <f>IF(ISBLANK(DaqBook_RAW_Data!AA35),"",DaqBook_RAW_Data!AA35)</f>
        <v/>
      </c>
      <c r="M45" s="167" t="str">
        <f>IF(ISBLANK(DaqBook_RAW_Data!AB35),"",DaqBook_RAW_Data!AB35)</f>
        <v/>
      </c>
      <c r="N45" s="167" t="str">
        <f>IF(ISBLANK(DaqBook_RAW_Data!AC35),"",DaqBook_RAW_Data!AC35)</f>
        <v/>
      </c>
      <c r="O45" s="167" t="str">
        <f>IF(ISBLANK(DaqBook_RAW_Data!AD35),"",DaqBook_RAW_Data!AD35)</f>
        <v/>
      </c>
      <c r="P45" s="167" t="str">
        <f>IF(ISBLANK(DaqBook_RAW_Data!AE35),"",DaqBook_RAW_Data!AE35)</f>
        <v/>
      </c>
    </row>
    <row r="46" spans="1:16" s="96" customFormat="1" x14ac:dyDescent="0.2">
      <c r="A46" s="145" t="e">
        <f t="shared" si="0"/>
        <v>#VALUE!</v>
      </c>
      <c r="B46" s="144" t="str">
        <f>IF(ISBLANK(DaqBook_RAW_Data!Q36),IF(DaqBook_RAW_Data!A36="","",TIMEVALUE(DaqBook_RAW_Data!A36)),TIMEVALUE(DaqBook_RAW_Data!Q36))</f>
        <v/>
      </c>
      <c r="C46" s="167" t="str">
        <f>IF(ISBLANK(DaqBook_RAW_Data!R36),"",DaqBook_RAW_Data!R36)</f>
        <v/>
      </c>
      <c r="D46" s="167" t="str">
        <f>IF(ISBLANK(DaqBook_RAW_Data!S36),"",DaqBook_RAW_Data!S36)</f>
        <v/>
      </c>
      <c r="E46" s="167" t="str">
        <f>IF(ISBLANK(DaqBook_RAW_Data!T36),"",DaqBook_RAW_Data!T36)</f>
        <v/>
      </c>
      <c r="F46" s="167" t="str">
        <f>IF(ISBLANK(DaqBook_RAW_Data!U36),"",DaqBook_RAW_Data!U36)</f>
        <v/>
      </c>
      <c r="G46" s="167" t="str">
        <f>IF(ISBLANK(DaqBook_RAW_Data!V36),"",DaqBook_RAW_Data!V36)</f>
        <v/>
      </c>
      <c r="H46" s="167" t="str">
        <f>IF(ISBLANK(DaqBook_RAW_Data!W36),"",DaqBook_RAW_Data!W36)</f>
        <v/>
      </c>
      <c r="I46" s="167" t="str">
        <f>IF(ISBLANK(DaqBook_RAW_Data!X36),"",DaqBook_RAW_Data!X36)</f>
        <v/>
      </c>
      <c r="J46" s="167" t="str">
        <f>IF(ISBLANK(DaqBook_RAW_Data!Y36),"",DaqBook_RAW_Data!Y36)</f>
        <v/>
      </c>
      <c r="K46" s="167" t="str">
        <f>IF(ISBLANK(DaqBook_RAW_Data!Z36),"",DaqBook_RAW_Data!Z36)</f>
        <v/>
      </c>
      <c r="L46" s="167" t="str">
        <f>IF(ISBLANK(DaqBook_RAW_Data!AA36),"",DaqBook_RAW_Data!AA36)</f>
        <v/>
      </c>
      <c r="M46" s="167" t="str">
        <f>IF(ISBLANK(DaqBook_RAW_Data!AB36),"",DaqBook_RAW_Data!AB36)</f>
        <v/>
      </c>
      <c r="N46" s="167" t="str">
        <f>IF(ISBLANK(DaqBook_RAW_Data!AC36),"",DaqBook_RAW_Data!AC36)</f>
        <v/>
      </c>
      <c r="O46" s="167" t="str">
        <f>IF(ISBLANK(DaqBook_RAW_Data!AD36),"",DaqBook_RAW_Data!AD36)</f>
        <v/>
      </c>
      <c r="P46" s="167" t="str">
        <f>IF(ISBLANK(DaqBook_RAW_Data!AE36),"",DaqBook_RAW_Data!AE36)</f>
        <v/>
      </c>
    </row>
    <row r="47" spans="1:16" s="96" customFormat="1" x14ac:dyDescent="0.2">
      <c r="A47" s="145" t="e">
        <f t="shared" si="0"/>
        <v>#VALUE!</v>
      </c>
      <c r="B47" s="144" t="str">
        <f>IF(ISBLANK(DaqBook_RAW_Data!Q37),IF(DaqBook_RAW_Data!A37="","",TIMEVALUE(DaqBook_RAW_Data!A37)),TIMEVALUE(DaqBook_RAW_Data!Q37))</f>
        <v/>
      </c>
      <c r="C47" s="167" t="str">
        <f>IF(ISBLANK(DaqBook_RAW_Data!R37),"",DaqBook_RAW_Data!R37)</f>
        <v/>
      </c>
      <c r="D47" s="167" t="str">
        <f>IF(ISBLANK(DaqBook_RAW_Data!S37),"",DaqBook_RAW_Data!S37)</f>
        <v/>
      </c>
      <c r="E47" s="167" t="str">
        <f>IF(ISBLANK(DaqBook_RAW_Data!T37),"",DaqBook_RAW_Data!T37)</f>
        <v/>
      </c>
      <c r="F47" s="167" t="str">
        <f>IF(ISBLANK(DaqBook_RAW_Data!U37),"",DaqBook_RAW_Data!U37)</f>
        <v/>
      </c>
      <c r="G47" s="167" t="str">
        <f>IF(ISBLANK(DaqBook_RAW_Data!V37),"",DaqBook_RAW_Data!V37)</f>
        <v/>
      </c>
      <c r="H47" s="167" t="str">
        <f>IF(ISBLANK(DaqBook_RAW_Data!W37),"",DaqBook_RAW_Data!W37)</f>
        <v/>
      </c>
      <c r="I47" s="167" t="str">
        <f>IF(ISBLANK(DaqBook_RAW_Data!X37),"",DaqBook_RAW_Data!X37)</f>
        <v/>
      </c>
      <c r="J47" s="167" t="str">
        <f>IF(ISBLANK(DaqBook_RAW_Data!Y37),"",DaqBook_RAW_Data!Y37)</f>
        <v/>
      </c>
      <c r="K47" s="167" t="str">
        <f>IF(ISBLANK(DaqBook_RAW_Data!Z37),"",DaqBook_RAW_Data!Z37)</f>
        <v/>
      </c>
      <c r="L47" s="167" t="str">
        <f>IF(ISBLANK(DaqBook_RAW_Data!AA37),"",DaqBook_RAW_Data!AA37)</f>
        <v/>
      </c>
      <c r="M47" s="167" t="str">
        <f>IF(ISBLANK(DaqBook_RAW_Data!AB37),"",DaqBook_RAW_Data!AB37)</f>
        <v/>
      </c>
      <c r="N47" s="167" t="str">
        <f>IF(ISBLANK(DaqBook_RAW_Data!AC37),"",DaqBook_RAW_Data!AC37)</f>
        <v/>
      </c>
      <c r="O47" s="167" t="str">
        <f>IF(ISBLANK(DaqBook_RAW_Data!AD37),"",DaqBook_RAW_Data!AD37)</f>
        <v/>
      </c>
      <c r="P47" s="167" t="str">
        <f>IF(ISBLANK(DaqBook_RAW_Data!AE37),"",DaqBook_RAW_Data!AE37)</f>
        <v/>
      </c>
    </row>
    <row r="48" spans="1:16" s="96" customFormat="1" x14ac:dyDescent="0.2">
      <c r="A48" s="145" t="e">
        <f t="shared" si="0"/>
        <v>#VALUE!</v>
      </c>
      <c r="B48" s="144" t="str">
        <f>IF(ISBLANK(DaqBook_RAW_Data!Q38),IF(DaqBook_RAW_Data!A38="","",TIMEVALUE(DaqBook_RAW_Data!A38)),TIMEVALUE(DaqBook_RAW_Data!Q38))</f>
        <v/>
      </c>
      <c r="C48" s="167" t="str">
        <f>IF(ISBLANK(DaqBook_RAW_Data!R38),"",DaqBook_RAW_Data!R38)</f>
        <v/>
      </c>
      <c r="D48" s="167" t="str">
        <f>IF(ISBLANK(DaqBook_RAW_Data!S38),"",DaqBook_RAW_Data!S38)</f>
        <v/>
      </c>
      <c r="E48" s="167" t="str">
        <f>IF(ISBLANK(DaqBook_RAW_Data!T38),"",DaqBook_RAW_Data!T38)</f>
        <v/>
      </c>
      <c r="F48" s="167" t="str">
        <f>IF(ISBLANK(DaqBook_RAW_Data!U38),"",DaqBook_RAW_Data!U38)</f>
        <v/>
      </c>
      <c r="G48" s="167" t="str">
        <f>IF(ISBLANK(DaqBook_RAW_Data!V38),"",DaqBook_RAW_Data!V38)</f>
        <v/>
      </c>
      <c r="H48" s="167" t="str">
        <f>IF(ISBLANK(DaqBook_RAW_Data!W38),"",DaqBook_RAW_Data!W38)</f>
        <v/>
      </c>
      <c r="I48" s="167" t="str">
        <f>IF(ISBLANK(DaqBook_RAW_Data!X38),"",DaqBook_RAW_Data!X38)</f>
        <v/>
      </c>
      <c r="J48" s="167" t="str">
        <f>IF(ISBLANK(DaqBook_RAW_Data!Y38),"",DaqBook_RAW_Data!Y38)</f>
        <v/>
      </c>
      <c r="K48" s="167" t="str">
        <f>IF(ISBLANK(DaqBook_RAW_Data!Z38),"",DaqBook_RAW_Data!Z38)</f>
        <v/>
      </c>
      <c r="L48" s="167" t="str">
        <f>IF(ISBLANK(DaqBook_RAW_Data!AA38),"",DaqBook_RAW_Data!AA38)</f>
        <v/>
      </c>
      <c r="M48" s="167" t="str">
        <f>IF(ISBLANK(DaqBook_RAW_Data!AB38),"",DaqBook_RAW_Data!AB38)</f>
        <v/>
      </c>
      <c r="N48" s="167" t="str">
        <f>IF(ISBLANK(DaqBook_RAW_Data!AC38),"",DaqBook_RAW_Data!AC38)</f>
        <v/>
      </c>
      <c r="O48" s="167" t="str">
        <f>IF(ISBLANK(DaqBook_RAW_Data!AD38),"",DaqBook_RAW_Data!AD38)</f>
        <v/>
      </c>
      <c r="P48" s="167" t="str">
        <f>IF(ISBLANK(DaqBook_RAW_Data!AE38),"",DaqBook_RAW_Data!AE38)</f>
        <v/>
      </c>
    </row>
    <row r="49" spans="1:16" s="96" customFormat="1" x14ac:dyDescent="0.2">
      <c r="A49" s="145" t="e">
        <f t="shared" si="0"/>
        <v>#VALUE!</v>
      </c>
      <c r="B49" s="144" t="str">
        <f>IF(ISBLANK(DaqBook_RAW_Data!Q39),IF(DaqBook_RAW_Data!A39="","",TIMEVALUE(DaqBook_RAW_Data!A39)),TIMEVALUE(DaqBook_RAW_Data!Q39))</f>
        <v/>
      </c>
      <c r="C49" s="167" t="str">
        <f>IF(ISBLANK(DaqBook_RAW_Data!R39),"",DaqBook_RAW_Data!R39)</f>
        <v/>
      </c>
      <c r="D49" s="167" t="str">
        <f>IF(ISBLANK(DaqBook_RAW_Data!S39),"",DaqBook_RAW_Data!S39)</f>
        <v/>
      </c>
      <c r="E49" s="167" t="str">
        <f>IF(ISBLANK(DaqBook_RAW_Data!T39),"",DaqBook_RAW_Data!T39)</f>
        <v/>
      </c>
      <c r="F49" s="167" t="str">
        <f>IF(ISBLANK(DaqBook_RAW_Data!U39),"",DaqBook_RAW_Data!U39)</f>
        <v/>
      </c>
      <c r="G49" s="167" t="str">
        <f>IF(ISBLANK(DaqBook_RAW_Data!V39),"",DaqBook_RAW_Data!V39)</f>
        <v/>
      </c>
      <c r="H49" s="167" t="str">
        <f>IF(ISBLANK(DaqBook_RAW_Data!W39),"",DaqBook_RAW_Data!W39)</f>
        <v/>
      </c>
      <c r="I49" s="167" t="str">
        <f>IF(ISBLANK(DaqBook_RAW_Data!X39),"",DaqBook_RAW_Data!X39)</f>
        <v/>
      </c>
      <c r="J49" s="167" t="str">
        <f>IF(ISBLANK(DaqBook_RAW_Data!Y39),"",DaqBook_RAW_Data!Y39)</f>
        <v/>
      </c>
      <c r="K49" s="167" t="str">
        <f>IF(ISBLANK(DaqBook_RAW_Data!Z39),"",DaqBook_RAW_Data!Z39)</f>
        <v/>
      </c>
      <c r="L49" s="167" t="str">
        <f>IF(ISBLANK(DaqBook_RAW_Data!AA39),"",DaqBook_RAW_Data!AA39)</f>
        <v/>
      </c>
      <c r="M49" s="167" t="str">
        <f>IF(ISBLANK(DaqBook_RAW_Data!AB39),"",DaqBook_RAW_Data!AB39)</f>
        <v/>
      </c>
      <c r="N49" s="167" t="str">
        <f>IF(ISBLANK(DaqBook_RAW_Data!AC39),"",DaqBook_RAW_Data!AC39)</f>
        <v/>
      </c>
      <c r="O49" s="167" t="str">
        <f>IF(ISBLANK(DaqBook_RAW_Data!AD39),"",DaqBook_RAW_Data!AD39)</f>
        <v/>
      </c>
      <c r="P49" s="167" t="str">
        <f>IF(ISBLANK(DaqBook_RAW_Data!AE39),"",DaqBook_RAW_Data!AE39)</f>
        <v/>
      </c>
    </row>
    <row r="50" spans="1:16" s="96" customFormat="1" x14ac:dyDescent="0.2">
      <c r="A50" s="145" t="e">
        <f t="shared" si="0"/>
        <v>#VALUE!</v>
      </c>
      <c r="B50" s="144" t="str">
        <f>IF(ISBLANK(DaqBook_RAW_Data!Q40),IF(DaqBook_RAW_Data!A40="","",TIMEVALUE(DaqBook_RAW_Data!A40)),TIMEVALUE(DaqBook_RAW_Data!Q40))</f>
        <v/>
      </c>
      <c r="C50" s="167" t="str">
        <f>IF(ISBLANK(DaqBook_RAW_Data!R40),"",DaqBook_RAW_Data!R40)</f>
        <v/>
      </c>
      <c r="D50" s="167" t="str">
        <f>IF(ISBLANK(DaqBook_RAW_Data!S40),"",DaqBook_RAW_Data!S40)</f>
        <v/>
      </c>
      <c r="E50" s="167" t="str">
        <f>IF(ISBLANK(DaqBook_RAW_Data!T40),"",DaqBook_RAW_Data!T40)</f>
        <v/>
      </c>
      <c r="F50" s="167" t="str">
        <f>IF(ISBLANK(DaqBook_RAW_Data!U40),"",DaqBook_RAW_Data!U40)</f>
        <v/>
      </c>
      <c r="G50" s="167" t="str">
        <f>IF(ISBLANK(DaqBook_RAW_Data!V40),"",DaqBook_RAW_Data!V40)</f>
        <v/>
      </c>
      <c r="H50" s="167" t="str">
        <f>IF(ISBLANK(DaqBook_RAW_Data!W40),"",DaqBook_RAW_Data!W40)</f>
        <v/>
      </c>
      <c r="I50" s="167" t="str">
        <f>IF(ISBLANK(DaqBook_RAW_Data!X40),"",DaqBook_RAW_Data!X40)</f>
        <v/>
      </c>
      <c r="J50" s="167" t="str">
        <f>IF(ISBLANK(DaqBook_RAW_Data!Y40),"",DaqBook_RAW_Data!Y40)</f>
        <v/>
      </c>
      <c r="K50" s="167" t="str">
        <f>IF(ISBLANK(DaqBook_RAW_Data!Z40),"",DaqBook_RAW_Data!Z40)</f>
        <v/>
      </c>
      <c r="L50" s="167" t="str">
        <f>IF(ISBLANK(DaqBook_RAW_Data!AA40),"",DaqBook_RAW_Data!AA40)</f>
        <v/>
      </c>
      <c r="M50" s="167" t="str">
        <f>IF(ISBLANK(DaqBook_RAW_Data!AB40),"",DaqBook_RAW_Data!AB40)</f>
        <v/>
      </c>
      <c r="N50" s="167" t="str">
        <f>IF(ISBLANK(DaqBook_RAW_Data!AC40),"",DaqBook_RAW_Data!AC40)</f>
        <v/>
      </c>
      <c r="O50" s="167" t="str">
        <f>IF(ISBLANK(DaqBook_RAW_Data!AD40),"",DaqBook_RAW_Data!AD40)</f>
        <v/>
      </c>
      <c r="P50" s="167" t="str">
        <f>IF(ISBLANK(DaqBook_RAW_Data!AE40),"",DaqBook_RAW_Data!AE40)</f>
        <v/>
      </c>
    </row>
    <row r="51" spans="1:16" s="96" customFormat="1" x14ac:dyDescent="0.2">
      <c r="A51" s="145" t="e">
        <f t="shared" si="0"/>
        <v>#VALUE!</v>
      </c>
      <c r="B51" s="144" t="str">
        <f>IF(ISBLANK(DaqBook_RAW_Data!Q41),IF(DaqBook_RAW_Data!A41="","",TIMEVALUE(DaqBook_RAW_Data!A41)),TIMEVALUE(DaqBook_RAW_Data!Q41))</f>
        <v/>
      </c>
      <c r="C51" s="167" t="str">
        <f>IF(ISBLANK(DaqBook_RAW_Data!R41),"",DaqBook_RAW_Data!R41)</f>
        <v/>
      </c>
      <c r="D51" s="167" t="str">
        <f>IF(ISBLANK(DaqBook_RAW_Data!S41),"",DaqBook_RAW_Data!S41)</f>
        <v/>
      </c>
      <c r="E51" s="167" t="str">
        <f>IF(ISBLANK(DaqBook_RAW_Data!T41),"",DaqBook_RAW_Data!T41)</f>
        <v/>
      </c>
      <c r="F51" s="167" t="str">
        <f>IF(ISBLANK(DaqBook_RAW_Data!U41),"",DaqBook_RAW_Data!U41)</f>
        <v/>
      </c>
      <c r="G51" s="167" t="str">
        <f>IF(ISBLANK(DaqBook_RAW_Data!V41),"",DaqBook_RAW_Data!V41)</f>
        <v/>
      </c>
      <c r="H51" s="167" t="str">
        <f>IF(ISBLANK(DaqBook_RAW_Data!W41),"",DaqBook_RAW_Data!W41)</f>
        <v/>
      </c>
      <c r="I51" s="167" t="str">
        <f>IF(ISBLANK(DaqBook_RAW_Data!X41),"",DaqBook_RAW_Data!X41)</f>
        <v/>
      </c>
      <c r="J51" s="167" t="str">
        <f>IF(ISBLANK(DaqBook_RAW_Data!Y41),"",DaqBook_RAW_Data!Y41)</f>
        <v/>
      </c>
      <c r="K51" s="167" t="str">
        <f>IF(ISBLANK(DaqBook_RAW_Data!Z41),"",DaqBook_RAW_Data!Z41)</f>
        <v/>
      </c>
      <c r="L51" s="167" t="str">
        <f>IF(ISBLANK(DaqBook_RAW_Data!AA41),"",DaqBook_RAW_Data!AA41)</f>
        <v/>
      </c>
      <c r="M51" s="167" t="str">
        <f>IF(ISBLANK(DaqBook_RAW_Data!AB41),"",DaqBook_RAW_Data!AB41)</f>
        <v/>
      </c>
      <c r="N51" s="167" t="str">
        <f>IF(ISBLANK(DaqBook_RAW_Data!AC41),"",DaqBook_RAW_Data!AC41)</f>
        <v/>
      </c>
      <c r="O51" s="167" t="str">
        <f>IF(ISBLANK(DaqBook_RAW_Data!AD41),"",DaqBook_RAW_Data!AD41)</f>
        <v/>
      </c>
      <c r="P51" s="167" t="str">
        <f>IF(ISBLANK(DaqBook_RAW_Data!AE41),"",DaqBook_RAW_Data!AE41)</f>
        <v/>
      </c>
    </row>
    <row r="52" spans="1:16" s="96" customFormat="1" x14ac:dyDescent="0.2">
      <c r="A52" s="145" t="e">
        <f t="shared" si="0"/>
        <v>#VALUE!</v>
      </c>
      <c r="B52" s="144" t="str">
        <f>IF(ISBLANK(DaqBook_RAW_Data!Q42),IF(DaqBook_RAW_Data!A42="","",TIMEVALUE(DaqBook_RAW_Data!A42)),TIMEVALUE(DaqBook_RAW_Data!Q42))</f>
        <v/>
      </c>
      <c r="C52" s="167" t="str">
        <f>IF(ISBLANK(DaqBook_RAW_Data!R42),"",DaqBook_RAW_Data!R42)</f>
        <v/>
      </c>
      <c r="D52" s="167" t="str">
        <f>IF(ISBLANK(DaqBook_RAW_Data!S42),"",DaqBook_RAW_Data!S42)</f>
        <v/>
      </c>
      <c r="E52" s="167" t="str">
        <f>IF(ISBLANK(DaqBook_RAW_Data!T42),"",DaqBook_RAW_Data!T42)</f>
        <v/>
      </c>
      <c r="F52" s="167" t="str">
        <f>IF(ISBLANK(DaqBook_RAW_Data!U42),"",DaqBook_RAW_Data!U42)</f>
        <v/>
      </c>
      <c r="G52" s="167" t="str">
        <f>IF(ISBLANK(DaqBook_RAW_Data!V42),"",DaqBook_RAW_Data!V42)</f>
        <v/>
      </c>
      <c r="H52" s="167" t="str">
        <f>IF(ISBLANK(DaqBook_RAW_Data!W42),"",DaqBook_RAW_Data!W42)</f>
        <v/>
      </c>
      <c r="I52" s="167" t="str">
        <f>IF(ISBLANK(DaqBook_RAW_Data!X42),"",DaqBook_RAW_Data!X42)</f>
        <v/>
      </c>
      <c r="J52" s="167" t="str">
        <f>IF(ISBLANK(DaqBook_RAW_Data!Y42),"",DaqBook_RAW_Data!Y42)</f>
        <v/>
      </c>
      <c r="K52" s="167" t="str">
        <f>IF(ISBLANK(DaqBook_RAW_Data!Z42),"",DaqBook_RAW_Data!Z42)</f>
        <v/>
      </c>
      <c r="L52" s="167" t="str">
        <f>IF(ISBLANK(DaqBook_RAW_Data!AA42),"",DaqBook_RAW_Data!AA42)</f>
        <v/>
      </c>
      <c r="M52" s="167" t="str">
        <f>IF(ISBLANK(DaqBook_RAW_Data!AB42),"",DaqBook_RAW_Data!AB42)</f>
        <v/>
      </c>
      <c r="N52" s="167" t="str">
        <f>IF(ISBLANK(DaqBook_RAW_Data!AC42),"",DaqBook_RAW_Data!AC42)</f>
        <v/>
      </c>
      <c r="O52" s="167" t="str">
        <f>IF(ISBLANK(DaqBook_RAW_Data!AD42),"",DaqBook_RAW_Data!AD42)</f>
        <v/>
      </c>
      <c r="P52" s="167" t="str">
        <f>IF(ISBLANK(DaqBook_RAW_Data!AE42),"",DaqBook_RAW_Data!AE42)</f>
        <v/>
      </c>
    </row>
    <row r="53" spans="1:16" s="96" customFormat="1" x14ac:dyDescent="0.2">
      <c r="A53" s="145" t="e">
        <f t="shared" si="0"/>
        <v>#VALUE!</v>
      </c>
      <c r="B53" s="144" t="str">
        <f>IF(ISBLANK(DaqBook_RAW_Data!Q43),IF(DaqBook_RAW_Data!A43="","",TIMEVALUE(DaqBook_RAW_Data!A43)),TIMEVALUE(DaqBook_RAW_Data!Q43))</f>
        <v/>
      </c>
      <c r="C53" s="167" t="str">
        <f>IF(ISBLANK(DaqBook_RAW_Data!R43),"",DaqBook_RAW_Data!R43)</f>
        <v/>
      </c>
      <c r="D53" s="167" t="str">
        <f>IF(ISBLANK(DaqBook_RAW_Data!S43),"",DaqBook_RAW_Data!S43)</f>
        <v/>
      </c>
      <c r="E53" s="167" t="str">
        <f>IF(ISBLANK(DaqBook_RAW_Data!T43),"",DaqBook_RAW_Data!T43)</f>
        <v/>
      </c>
      <c r="F53" s="167" t="str">
        <f>IF(ISBLANK(DaqBook_RAW_Data!U43),"",DaqBook_RAW_Data!U43)</f>
        <v/>
      </c>
      <c r="G53" s="167" t="str">
        <f>IF(ISBLANK(DaqBook_RAW_Data!V43),"",DaqBook_RAW_Data!V43)</f>
        <v/>
      </c>
      <c r="H53" s="167" t="str">
        <f>IF(ISBLANK(DaqBook_RAW_Data!W43),"",DaqBook_RAW_Data!W43)</f>
        <v/>
      </c>
      <c r="I53" s="167" t="str">
        <f>IF(ISBLANK(DaqBook_RAW_Data!X43),"",DaqBook_RAW_Data!X43)</f>
        <v/>
      </c>
      <c r="J53" s="167" t="str">
        <f>IF(ISBLANK(DaqBook_RAW_Data!Y43),"",DaqBook_RAW_Data!Y43)</f>
        <v/>
      </c>
      <c r="K53" s="167" t="str">
        <f>IF(ISBLANK(DaqBook_RAW_Data!Z43),"",DaqBook_RAW_Data!Z43)</f>
        <v/>
      </c>
      <c r="L53" s="167" t="str">
        <f>IF(ISBLANK(DaqBook_RAW_Data!AA43),"",DaqBook_RAW_Data!AA43)</f>
        <v/>
      </c>
      <c r="M53" s="167" t="str">
        <f>IF(ISBLANK(DaqBook_RAW_Data!AB43),"",DaqBook_RAW_Data!AB43)</f>
        <v/>
      </c>
      <c r="N53" s="167" t="str">
        <f>IF(ISBLANK(DaqBook_RAW_Data!AC43),"",DaqBook_RAW_Data!AC43)</f>
        <v/>
      </c>
      <c r="O53" s="167" t="str">
        <f>IF(ISBLANK(DaqBook_RAW_Data!AD43),"",DaqBook_RAW_Data!AD43)</f>
        <v/>
      </c>
      <c r="P53" s="167" t="str">
        <f>IF(ISBLANK(DaqBook_RAW_Data!AE43),"",DaqBook_RAW_Data!AE43)</f>
        <v/>
      </c>
    </row>
    <row r="54" spans="1:16" s="96" customFormat="1" x14ac:dyDescent="0.2">
      <c r="A54" s="145" t="e">
        <f t="shared" si="0"/>
        <v>#VALUE!</v>
      </c>
      <c r="B54" s="144" t="str">
        <f>IF(ISBLANK(DaqBook_RAW_Data!Q44),IF(DaqBook_RAW_Data!A44="","",TIMEVALUE(DaqBook_RAW_Data!A44)),TIMEVALUE(DaqBook_RAW_Data!Q44))</f>
        <v/>
      </c>
      <c r="C54" s="167" t="str">
        <f>IF(ISBLANK(DaqBook_RAW_Data!R44),"",DaqBook_RAW_Data!R44)</f>
        <v/>
      </c>
      <c r="D54" s="167" t="str">
        <f>IF(ISBLANK(DaqBook_RAW_Data!S44),"",DaqBook_RAW_Data!S44)</f>
        <v/>
      </c>
      <c r="E54" s="167" t="str">
        <f>IF(ISBLANK(DaqBook_RAW_Data!T44),"",DaqBook_RAW_Data!T44)</f>
        <v/>
      </c>
      <c r="F54" s="167" t="str">
        <f>IF(ISBLANK(DaqBook_RAW_Data!U44),"",DaqBook_RAW_Data!U44)</f>
        <v/>
      </c>
      <c r="G54" s="167" t="str">
        <f>IF(ISBLANK(DaqBook_RAW_Data!V44),"",DaqBook_RAW_Data!V44)</f>
        <v/>
      </c>
      <c r="H54" s="167" t="str">
        <f>IF(ISBLANK(DaqBook_RAW_Data!W44),"",DaqBook_RAW_Data!W44)</f>
        <v/>
      </c>
      <c r="I54" s="167" t="str">
        <f>IF(ISBLANK(DaqBook_RAW_Data!X44),"",DaqBook_RAW_Data!X44)</f>
        <v/>
      </c>
      <c r="J54" s="167" t="str">
        <f>IF(ISBLANK(DaqBook_RAW_Data!Y44),"",DaqBook_RAW_Data!Y44)</f>
        <v/>
      </c>
      <c r="K54" s="167" t="str">
        <f>IF(ISBLANK(DaqBook_RAW_Data!Z44),"",DaqBook_RAW_Data!Z44)</f>
        <v/>
      </c>
      <c r="L54" s="167" t="str">
        <f>IF(ISBLANK(DaqBook_RAW_Data!AA44),"",DaqBook_RAW_Data!AA44)</f>
        <v/>
      </c>
      <c r="M54" s="167" t="str">
        <f>IF(ISBLANK(DaqBook_RAW_Data!AB44),"",DaqBook_RAW_Data!AB44)</f>
        <v/>
      </c>
      <c r="N54" s="167" t="str">
        <f>IF(ISBLANK(DaqBook_RAW_Data!AC44),"",DaqBook_RAW_Data!AC44)</f>
        <v/>
      </c>
      <c r="O54" s="167" t="str">
        <f>IF(ISBLANK(DaqBook_RAW_Data!AD44),"",DaqBook_RAW_Data!AD44)</f>
        <v/>
      </c>
      <c r="P54" s="167" t="str">
        <f>IF(ISBLANK(DaqBook_RAW_Data!AE44),"",DaqBook_RAW_Data!AE44)</f>
        <v/>
      </c>
    </row>
    <row r="55" spans="1:16" s="96" customFormat="1" x14ac:dyDescent="0.2">
      <c r="A55" s="145" t="e">
        <f t="shared" si="0"/>
        <v>#VALUE!</v>
      </c>
      <c r="B55" s="144" t="str">
        <f>IF(ISBLANK(DaqBook_RAW_Data!Q45),IF(DaqBook_RAW_Data!A45="","",TIMEVALUE(DaqBook_RAW_Data!A45)),TIMEVALUE(DaqBook_RAW_Data!Q45))</f>
        <v/>
      </c>
      <c r="C55" s="167" t="str">
        <f>IF(ISBLANK(DaqBook_RAW_Data!R45),"",DaqBook_RAW_Data!R45)</f>
        <v/>
      </c>
      <c r="D55" s="167" t="str">
        <f>IF(ISBLANK(DaqBook_RAW_Data!S45),"",DaqBook_RAW_Data!S45)</f>
        <v/>
      </c>
      <c r="E55" s="167" t="str">
        <f>IF(ISBLANK(DaqBook_RAW_Data!T45),"",DaqBook_RAW_Data!T45)</f>
        <v/>
      </c>
      <c r="F55" s="167" t="str">
        <f>IF(ISBLANK(DaqBook_RAW_Data!U45),"",DaqBook_RAW_Data!U45)</f>
        <v/>
      </c>
      <c r="G55" s="167" t="str">
        <f>IF(ISBLANK(DaqBook_RAW_Data!V45),"",DaqBook_RAW_Data!V45)</f>
        <v/>
      </c>
      <c r="H55" s="167" t="str">
        <f>IF(ISBLANK(DaqBook_RAW_Data!W45),"",DaqBook_RAW_Data!W45)</f>
        <v/>
      </c>
      <c r="I55" s="167" t="str">
        <f>IF(ISBLANK(DaqBook_RAW_Data!X45),"",DaqBook_RAW_Data!X45)</f>
        <v/>
      </c>
      <c r="J55" s="167" t="str">
        <f>IF(ISBLANK(DaqBook_RAW_Data!Y45),"",DaqBook_RAW_Data!Y45)</f>
        <v/>
      </c>
      <c r="K55" s="167" t="str">
        <f>IF(ISBLANK(DaqBook_RAW_Data!Z45),"",DaqBook_RAW_Data!Z45)</f>
        <v/>
      </c>
      <c r="L55" s="167" t="str">
        <f>IF(ISBLANK(DaqBook_RAW_Data!AA45),"",DaqBook_RAW_Data!AA45)</f>
        <v/>
      </c>
      <c r="M55" s="167" t="str">
        <f>IF(ISBLANK(DaqBook_RAW_Data!AB45),"",DaqBook_RAW_Data!AB45)</f>
        <v/>
      </c>
      <c r="N55" s="167" t="str">
        <f>IF(ISBLANK(DaqBook_RAW_Data!AC45),"",DaqBook_RAW_Data!AC45)</f>
        <v/>
      </c>
      <c r="O55" s="167" t="str">
        <f>IF(ISBLANK(DaqBook_RAW_Data!AD45),"",DaqBook_RAW_Data!AD45)</f>
        <v/>
      </c>
      <c r="P55" s="167" t="str">
        <f>IF(ISBLANK(DaqBook_RAW_Data!AE45),"",DaqBook_RAW_Data!AE45)</f>
        <v/>
      </c>
    </row>
    <row r="56" spans="1:16" s="96" customFormat="1" x14ac:dyDescent="0.2">
      <c r="A56" s="145" t="e">
        <f t="shared" si="0"/>
        <v>#VALUE!</v>
      </c>
      <c r="B56" s="144" t="str">
        <f>IF(ISBLANK(DaqBook_RAW_Data!Q46),IF(DaqBook_RAW_Data!A46="","",TIMEVALUE(DaqBook_RAW_Data!A46)),TIMEVALUE(DaqBook_RAW_Data!Q46))</f>
        <v/>
      </c>
      <c r="C56" s="167" t="str">
        <f>IF(ISBLANK(DaqBook_RAW_Data!R46),"",DaqBook_RAW_Data!R46)</f>
        <v/>
      </c>
      <c r="D56" s="167" t="str">
        <f>IF(ISBLANK(DaqBook_RAW_Data!S46),"",DaqBook_RAW_Data!S46)</f>
        <v/>
      </c>
      <c r="E56" s="167" t="str">
        <f>IF(ISBLANK(DaqBook_RAW_Data!T46),"",DaqBook_RAW_Data!T46)</f>
        <v/>
      </c>
      <c r="F56" s="167" t="str">
        <f>IF(ISBLANK(DaqBook_RAW_Data!U46),"",DaqBook_RAW_Data!U46)</f>
        <v/>
      </c>
      <c r="G56" s="167" t="str">
        <f>IF(ISBLANK(DaqBook_RAW_Data!V46),"",DaqBook_RAW_Data!V46)</f>
        <v/>
      </c>
      <c r="H56" s="167" t="str">
        <f>IF(ISBLANK(DaqBook_RAW_Data!W46),"",DaqBook_RAW_Data!W46)</f>
        <v/>
      </c>
      <c r="I56" s="167" t="str">
        <f>IF(ISBLANK(DaqBook_RAW_Data!X46),"",DaqBook_RAW_Data!X46)</f>
        <v/>
      </c>
      <c r="J56" s="167" t="str">
        <f>IF(ISBLANK(DaqBook_RAW_Data!Y46),"",DaqBook_RAW_Data!Y46)</f>
        <v/>
      </c>
      <c r="K56" s="167" t="str">
        <f>IF(ISBLANK(DaqBook_RAW_Data!Z46),"",DaqBook_RAW_Data!Z46)</f>
        <v/>
      </c>
      <c r="L56" s="167" t="str">
        <f>IF(ISBLANK(DaqBook_RAW_Data!AA46),"",DaqBook_RAW_Data!AA46)</f>
        <v/>
      </c>
      <c r="M56" s="167" t="str">
        <f>IF(ISBLANK(DaqBook_RAW_Data!AB46),"",DaqBook_RAW_Data!AB46)</f>
        <v/>
      </c>
      <c r="N56" s="167" t="str">
        <f>IF(ISBLANK(DaqBook_RAW_Data!AC46),"",DaqBook_RAW_Data!AC46)</f>
        <v/>
      </c>
      <c r="O56" s="167" t="str">
        <f>IF(ISBLANK(DaqBook_RAW_Data!AD46),"",DaqBook_RAW_Data!AD46)</f>
        <v/>
      </c>
      <c r="P56" s="167" t="str">
        <f>IF(ISBLANK(DaqBook_RAW_Data!AE46),"",DaqBook_RAW_Data!AE46)</f>
        <v/>
      </c>
    </row>
    <row r="57" spans="1:16" s="96" customFormat="1" x14ac:dyDescent="0.2">
      <c r="A57" s="145" t="e">
        <f t="shared" si="0"/>
        <v>#VALUE!</v>
      </c>
      <c r="B57" s="144" t="str">
        <f>IF(ISBLANK(DaqBook_RAW_Data!Q47),IF(DaqBook_RAW_Data!A47="","",TIMEVALUE(DaqBook_RAW_Data!A47)),TIMEVALUE(DaqBook_RAW_Data!Q47))</f>
        <v/>
      </c>
      <c r="C57" s="167" t="str">
        <f>IF(ISBLANK(DaqBook_RAW_Data!R47),"",DaqBook_RAW_Data!R47)</f>
        <v/>
      </c>
      <c r="D57" s="167" t="str">
        <f>IF(ISBLANK(DaqBook_RAW_Data!S47),"",DaqBook_RAW_Data!S47)</f>
        <v/>
      </c>
      <c r="E57" s="167" t="str">
        <f>IF(ISBLANK(DaqBook_RAW_Data!T47),"",DaqBook_RAW_Data!T47)</f>
        <v/>
      </c>
      <c r="F57" s="167" t="str">
        <f>IF(ISBLANK(DaqBook_RAW_Data!U47),"",DaqBook_RAW_Data!U47)</f>
        <v/>
      </c>
      <c r="G57" s="167" t="str">
        <f>IF(ISBLANK(DaqBook_RAW_Data!V47),"",DaqBook_RAW_Data!V47)</f>
        <v/>
      </c>
      <c r="H57" s="167" t="str">
        <f>IF(ISBLANK(DaqBook_RAW_Data!W47),"",DaqBook_RAW_Data!W47)</f>
        <v/>
      </c>
      <c r="I57" s="167" t="str">
        <f>IF(ISBLANK(DaqBook_RAW_Data!X47),"",DaqBook_RAW_Data!X47)</f>
        <v/>
      </c>
      <c r="J57" s="167" t="str">
        <f>IF(ISBLANK(DaqBook_RAW_Data!Y47),"",DaqBook_RAW_Data!Y47)</f>
        <v/>
      </c>
      <c r="K57" s="167" t="str">
        <f>IF(ISBLANK(DaqBook_RAW_Data!Z47),"",DaqBook_RAW_Data!Z47)</f>
        <v/>
      </c>
      <c r="L57" s="167" t="str">
        <f>IF(ISBLANK(DaqBook_RAW_Data!AA47),"",DaqBook_RAW_Data!AA47)</f>
        <v/>
      </c>
      <c r="M57" s="167" t="str">
        <f>IF(ISBLANK(DaqBook_RAW_Data!AB47),"",DaqBook_RAW_Data!AB47)</f>
        <v/>
      </c>
      <c r="N57" s="167" t="str">
        <f>IF(ISBLANK(DaqBook_RAW_Data!AC47),"",DaqBook_RAW_Data!AC47)</f>
        <v/>
      </c>
      <c r="O57" s="167" t="str">
        <f>IF(ISBLANK(DaqBook_RAW_Data!AD47),"",DaqBook_RAW_Data!AD47)</f>
        <v/>
      </c>
      <c r="P57" s="167" t="str">
        <f>IF(ISBLANK(DaqBook_RAW_Data!AE47),"",DaqBook_RAW_Data!AE47)</f>
        <v/>
      </c>
    </row>
    <row r="58" spans="1:16" s="96" customFormat="1" x14ac:dyDescent="0.2">
      <c r="A58" s="145" t="e">
        <f t="shared" si="0"/>
        <v>#VALUE!</v>
      </c>
      <c r="B58" s="144" t="str">
        <f>IF(ISBLANK(DaqBook_RAW_Data!Q48),IF(DaqBook_RAW_Data!A48="","",TIMEVALUE(DaqBook_RAW_Data!A48)),TIMEVALUE(DaqBook_RAW_Data!Q48))</f>
        <v/>
      </c>
      <c r="C58" s="167" t="str">
        <f>IF(ISBLANK(DaqBook_RAW_Data!R48),"",DaqBook_RAW_Data!R48)</f>
        <v/>
      </c>
      <c r="D58" s="167" t="str">
        <f>IF(ISBLANK(DaqBook_RAW_Data!S48),"",DaqBook_RAW_Data!S48)</f>
        <v/>
      </c>
      <c r="E58" s="167" t="str">
        <f>IF(ISBLANK(DaqBook_RAW_Data!T48),"",DaqBook_RAW_Data!T48)</f>
        <v/>
      </c>
      <c r="F58" s="167" t="str">
        <f>IF(ISBLANK(DaqBook_RAW_Data!U48),"",DaqBook_RAW_Data!U48)</f>
        <v/>
      </c>
      <c r="G58" s="167" t="str">
        <f>IF(ISBLANK(DaqBook_RAW_Data!V48),"",DaqBook_RAW_Data!V48)</f>
        <v/>
      </c>
      <c r="H58" s="167" t="str">
        <f>IF(ISBLANK(DaqBook_RAW_Data!W48),"",DaqBook_RAW_Data!W48)</f>
        <v/>
      </c>
      <c r="I58" s="167" t="str">
        <f>IF(ISBLANK(DaqBook_RAW_Data!X48),"",DaqBook_RAW_Data!X48)</f>
        <v/>
      </c>
      <c r="J58" s="167" t="str">
        <f>IF(ISBLANK(DaqBook_RAW_Data!Y48),"",DaqBook_RAW_Data!Y48)</f>
        <v/>
      </c>
      <c r="K58" s="167" t="str">
        <f>IF(ISBLANK(DaqBook_RAW_Data!Z48),"",DaqBook_RAW_Data!Z48)</f>
        <v/>
      </c>
      <c r="L58" s="167" t="str">
        <f>IF(ISBLANK(DaqBook_RAW_Data!AA48),"",DaqBook_RAW_Data!AA48)</f>
        <v/>
      </c>
      <c r="M58" s="167" t="str">
        <f>IF(ISBLANK(DaqBook_RAW_Data!AB48),"",DaqBook_RAW_Data!AB48)</f>
        <v/>
      </c>
      <c r="N58" s="167" t="str">
        <f>IF(ISBLANK(DaqBook_RAW_Data!AC48),"",DaqBook_RAW_Data!AC48)</f>
        <v/>
      </c>
      <c r="O58" s="167" t="str">
        <f>IF(ISBLANK(DaqBook_RAW_Data!AD48),"",DaqBook_RAW_Data!AD48)</f>
        <v/>
      </c>
      <c r="P58" s="167" t="str">
        <f>IF(ISBLANK(DaqBook_RAW_Data!AE48),"",DaqBook_RAW_Data!AE48)</f>
        <v/>
      </c>
    </row>
    <row r="59" spans="1:16" s="96" customFormat="1" x14ac:dyDescent="0.2">
      <c r="A59" s="145" t="e">
        <f t="shared" si="0"/>
        <v>#VALUE!</v>
      </c>
      <c r="B59" s="144" t="str">
        <f>IF(ISBLANK(DaqBook_RAW_Data!Q49),IF(DaqBook_RAW_Data!A49="","",TIMEVALUE(DaqBook_RAW_Data!A49)),TIMEVALUE(DaqBook_RAW_Data!Q49))</f>
        <v/>
      </c>
      <c r="C59" s="167" t="str">
        <f>IF(ISBLANK(DaqBook_RAW_Data!R49),"",DaqBook_RAW_Data!R49)</f>
        <v/>
      </c>
      <c r="D59" s="167" t="str">
        <f>IF(ISBLANK(DaqBook_RAW_Data!S49),"",DaqBook_RAW_Data!S49)</f>
        <v/>
      </c>
      <c r="E59" s="167" t="str">
        <f>IF(ISBLANK(DaqBook_RAW_Data!T49),"",DaqBook_RAW_Data!T49)</f>
        <v/>
      </c>
      <c r="F59" s="167" t="str">
        <f>IF(ISBLANK(DaqBook_RAW_Data!U49),"",DaqBook_RAW_Data!U49)</f>
        <v/>
      </c>
      <c r="G59" s="167" t="str">
        <f>IF(ISBLANK(DaqBook_RAW_Data!V49),"",DaqBook_RAW_Data!V49)</f>
        <v/>
      </c>
      <c r="H59" s="167" t="str">
        <f>IF(ISBLANK(DaqBook_RAW_Data!W49),"",DaqBook_RAW_Data!W49)</f>
        <v/>
      </c>
      <c r="I59" s="167" t="str">
        <f>IF(ISBLANK(DaqBook_RAW_Data!X49),"",DaqBook_RAW_Data!X49)</f>
        <v/>
      </c>
      <c r="J59" s="167" t="str">
        <f>IF(ISBLANK(DaqBook_RAW_Data!Y49),"",DaqBook_RAW_Data!Y49)</f>
        <v/>
      </c>
      <c r="K59" s="167" t="str">
        <f>IF(ISBLANK(DaqBook_RAW_Data!Z49),"",DaqBook_RAW_Data!Z49)</f>
        <v/>
      </c>
      <c r="L59" s="167" t="str">
        <f>IF(ISBLANK(DaqBook_RAW_Data!AA49),"",DaqBook_RAW_Data!AA49)</f>
        <v/>
      </c>
      <c r="M59" s="167" t="str">
        <f>IF(ISBLANK(DaqBook_RAW_Data!AB49),"",DaqBook_RAW_Data!AB49)</f>
        <v/>
      </c>
      <c r="N59" s="167" t="str">
        <f>IF(ISBLANK(DaqBook_RAW_Data!AC49),"",DaqBook_RAW_Data!AC49)</f>
        <v/>
      </c>
      <c r="O59" s="167" t="str">
        <f>IF(ISBLANK(DaqBook_RAW_Data!AD49),"",DaqBook_RAW_Data!AD49)</f>
        <v/>
      </c>
      <c r="P59" s="167" t="str">
        <f>IF(ISBLANK(DaqBook_RAW_Data!AE49),"",DaqBook_RAW_Data!AE49)</f>
        <v/>
      </c>
    </row>
    <row r="60" spans="1:16" s="96" customFormat="1" x14ac:dyDescent="0.2">
      <c r="A60" s="145" t="e">
        <f t="shared" si="0"/>
        <v>#VALUE!</v>
      </c>
      <c r="B60" s="144" t="str">
        <f>IF(ISBLANK(DaqBook_RAW_Data!Q50),IF(DaqBook_RAW_Data!A50="","",TIMEVALUE(DaqBook_RAW_Data!A50)),TIMEVALUE(DaqBook_RAW_Data!Q50))</f>
        <v/>
      </c>
      <c r="C60" s="167" t="str">
        <f>IF(ISBLANK(DaqBook_RAW_Data!R50),"",DaqBook_RAW_Data!R50)</f>
        <v/>
      </c>
      <c r="D60" s="167" t="str">
        <f>IF(ISBLANK(DaqBook_RAW_Data!S50),"",DaqBook_RAW_Data!S50)</f>
        <v/>
      </c>
      <c r="E60" s="167" t="str">
        <f>IF(ISBLANK(DaqBook_RAW_Data!T50),"",DaqBook_RAW_Data!T50)</f>
        <v/>
      </c>
      <c r="F60" s="167" t="str">
        <f>IF(ISBLANK(DaqBook_RAW_Data!U50),"",DaqBook_RAW_Data!U50)</f>
        <v/>
      </c>
      <c r="G60" s="167" t="str">
        <f>IF(ISBLANK(DaqBook_RAW_Data!V50),"",DaqBook_RAW_Data!V50)</f>
        <v/>
      </c>
      <c r="H60" s="167" t="str">
        <f>IF(ISBLANK(DaqBook_RAW_Data!W50),"",DaqBook_RAW_Data!W50)</f>
        <v/>
      </c>
      <c r="I60" s="167" t="str">
        <f>IF(ISBLANK(DaqBook_RAW_Data!X50),"",DaqBook_RAW_Data!X50)</f>
        <v/>
      </c>
      <c r="J60" s="167" t="str">
        <f>IF(ISBLANK(DaqBook_RAW_Data!Y50),"",DaqBook_RAW_Data!Y50)</f>
        <v/>
      </c>
      <c r="K60" s="167" t="str">
        <f>IF(ISBLANK(DaqBook_RAW_Data!Z50),"",DaqBook_RAW_Data!Z50)</f>
        <v/>
      </c>
      <c r="L60" s="167" t="str">
        <f>IF(ISBLANK(DaqBook_RAW_Data!AA50),"",DaqBook_RAW_Data!AA50)</f>
        <v/>
      </c>
      <c r="M60" s="167" t="str">
        <f>IF(ISBLANK(DaqBook_RAW_Data!AB50),"",DaqBook_RAW_Data!AB50)</f>
        <v/>
      </c>
      <c r="N60" s="167" t="str">
        <f>IF(ISBLANK(DaqBook_RAW_Data!AC50),"",DaqBook_RAW_Data!AC50)</f>
        <v/>
      </c>
      <c r="O60" s="167" t="str">
        <f>IF(ISBLANK(DaqBook_RAW_Data!AD50),"",DaqBook_RAW_Data!AD50)</f>
        <v/>
      </c>
      <c r="P60" s="167" t="str">
        <f>IF(ISBLANK(DaqBook_RAW_Data!AE50),"",DaqBook_RAW_Data!AE50)</f>
        <v/>
      </c>
    </row>
    <row r="61" spans="1:16" s="96" customFormat="1" x14ac:dyDescent="0.2">
      <c r="A61" s="145" t="e">
        <f t="shared" si="0"/>
        <v>#VALUE!</v>
      </c>
      <c r="B61" s="144" t="str">
        <f>IF(ISBLANK(DaqBook_RAW_Data!Q51),IF(DaqBook_RAW_Data!A51="","",TIMEVALUE(DaqBook_RAW_Data!A51)),TIMEVALUE(DaqBook_RAW_Data!Q51))</f>
        <v/>
      </c>
      <c r="C61" s="167" t="str">
        <f>IF(ISBLANK(DaqBook_RAW_Data!R51),"",DaqBook_RAW_Data!R51)</f>
        <v/>
      </c>
      <c r="D61" s="167" t="str">
        <f>IF(ISBLANK(DaqBook_RAW_Data!S51),"",DaqBook_RAW_Data!S51)</f>
        <v/>
      </c>
      <c r="E61" s="167" t="str">
        <f>IF(ISBLANK(DaqBook_RAW_Data!T51),"",DaqBook_RAW_Data!T51)</f>
        <v/>
      </c>
      <c r="F61" s="167" t="str">
        <f>IF(ISBLANK(DaqBook_RAW_Data!U51),"",DaqBook_RAW_Data!U51)</f>
        <v/>
      </c>
      <c r="G61" s="167" t="str">
        <f>IF(ISBLANK(DaqBook_RAW_Data!V51),"",DaqBook_RAW_Data!V51)</f>
        <v/>
      </c>
      <c r="H61" s="167" t="str">
        <f>IF(ISBLANK(DaqBook_RAW_Data!W51),"",DaqBook_RAW_Data!W51)</f>
        <v/>
      </c>
      <c r="I61" s="167" t="str">
        <f>IF(ISBLANK(DaqBook_RAW_Data!X51),"",DaqBook_RAW_Data!X51)</f>
        <v/>
      </c>
      <c r="J61" s="167" t="str">
        <f>IF(ISBLANK(DaqBook_RAW_Data!Y51),"",DaqBook_RAW_Data!Y51)</f>
        <v/>
      </c>
      <c r="K61" s="167" t="str">
        <f>IF(ISBLANK(DaqBook_RAW_Data!Z51),"",DaqBook_RAW_Data!Z51)</f>
        <v/>
      </c>
      <c r="L61" s="167" t="str">
        <f>IF(ISBLANK(DaqBook_RAW_Data!AA51),"",DaqBook_RAW_Data!AA51)</f>
        <v/>
      </c>
      <c r="M61" s="167" t="str">
        <f>IF(ISBLANK(DaqBook_RAW_Data!AB51),"",DaqBook_RAW_Data!AB51)</f>
        <v/>
      </c>
      <c r="N61" s="167" t="str">
        <f>IF(ISBLANK(DaqBook_RAW_Data!AC51),"",DaqBook_RAW_Data!AC51)</f>
        <v/>
      </c>
      <c r="O61" s="167" t="str">
        <f>IF(ISBLANK(DaqBook_RAW_Data!AD51),"",DaqBook_RAW_Data!AD51)</f>
        <v/>
      </c>
      <c r="P61" s="167" t="str">
        <f>IF(ISBLANK(DaqBook_RAW_Data!AE51),"",DaqBook_RAW_Data!AE51)</f>
        <v/>
      </c>
    </row>
    <row r="62" spans="1:16" s="96" customFormat="1" x14ac:dyDescent="0.2">
      <c r="A62" s="145" t="e">
        <f t="shared" si="0"/>
        <v>#VALUE!</v>
      </c>
      <c r="B62" s="144" t="str">
        <f>IF(ISBLANK(DaqBook_RAW_Data!Q52),IF(DaqBook_RAW_Data!A52="","",TIMEVALUE(DaqBook_RAW_Data!A52)),TIMEVALUE(DaqBook_RAW_Data!Q52))</f>
        <v/>
      </c>
      <c r="C62" s="167" t="str">
        <f>IF(ISBLANK(DaqBook_RAW_Data!R52),"",DaqBook_RAW_Data!R52)</f>
        <v/>
      </c>
      <c r="D62" s="167" t="str">
        <f>IF(ISBLANK(DaqBook_RAW_Data!S52),"",DaqBook_RAW_Data!S52)</f>
        <v/>
      </c>
      <c r="E62" s="167" t="str">
        <f>IF(ISBLANK(DaqBook_RAW_Data!T52),"",DaqBook_RAW_Data!T52)</f>
        <v/>
      </c>
      <c r="F62" s="167" t="str">
        <f>IF(ISBLANK(DaqBook_RAW_Data!U52),"",DaqBook_RAW_Data!U52)</f>
        <v/>
      </c>
      <c r="G62" s="167" t="str">
        <f>IF(ISBLANK(DaqBook_RAW_Data!V52),"",DaqBook_RAW_Data!V52)</f>
        <v/>
      </c>
      <c r="H62" s="167" t="str">
        <f>IF(ISBLANK(DaqBook_RAW_Data!W52),"",DaqBook_RAW_Data!W52)</f>
        <v/>
      </c>
      <c r="I62" s="167" t="str">
        <f>IF(ISBLANK(DaqBook_RAW_Data!X52),"",DaqBook_RAW_Data!X52)</f>
        <v/>
      </c>
      <c r="J62" s="167" t="str">
        <f>IF(ISBLANK(DaqBook_RAW_Data!Y52),"",DaqBook_RAW_Data!Y52)</f>
        <v/>
      </c>
      <c r="K62" s="167" t="str">
        <f>IF(ISBLANK(DaqBook_RAW_Data!Z52),"",DaqBook_RAW_Data!Z52)</f>
        <v/>
      </c>
      <c r="L62" s="167" t="str">
        <f>IF(ISBLANK(DaqBook_RAW_Data!AA52),"",DaqBook_RAW_Data!AA52)</f>
        <v/>
      </c>
      <c r="M62" s="167" t="str">
        <f>IF(ISBLANK(DaqBook_RAW_Data!AB52),"",DaqBook_RAW_Data!AB52)</f>
        <v/>
      </c>
      <c r="N62" s="167" t="str">
        <f>IF(ISBLANK(DaqBook_RAW_Data!AC52),"",DaqBook_RAW_Data!AC52)</f>
        <v/>
      </c>
      <c r="O62" s="167" t="str">
        <f>IF(ISBLANK(DaqBook_RAW_Data!AD52),"",DaqBook_RAW_Data!AD52)</f>
        <v/>
      </c>
      <c r="P62" s="167" t="str">
        <f>IF(ISBLANK(DaqBook_RAW_Data!AE52),"",DaqBook_RAW_Data!AE52)</f>
        <v/>
      </c>
    </row>
    <row r="63" spans="1:16" s="96" customFormat="1" x14ac:dyDescent="0.2">
      <c r="A63" s="145" t="e">
        <f t="shared" si="0"/>
        <v>#VALUE!</v>
      </c>
      <c r="B63" s="144" t="str">
        <f>IF(ISBLANK(DaqBook_RAW_Data!Q53),IF(DaqBook_RAW_Data!A53="","",TIMEVALUE(DaqBook_RAW_Data!A53)),TIMEVALUE(DaqBook_RAW_Data!Q53))</f>
        <v/>
      </c>
      <c r="C63" s="167" t="str">
        <f>IF(ISBLANK(DaqBook_RAW_Data!R53),"",DaqBook_RAW_Data!R53)</f>
        <v/>
      </c>
      <c r="D63" s="167" t="str">
        <f>IF(ISBLANK(DaqBook_RAW_Data!S53),"",DaqBook_RAW_Data!S53)</f>
        <v/>
      </c>
      <c r="E63" s="167" t="str">
        <f>IF(ISBLANK(DaqBook_RAW_Data!T53),"",DaqBook_RAW_Data!T53)</f>
        <v/>
      </c>
      <c r="F63" s="167" t="str">
        <f>IF(ISBLANK(DaqBook_RAW_Data!U53),"",DaqBook_RAW_Data!U53)</f>
        <v/>
      </c>
      <c r="G63" s="167" t="str">
        <f>IF(ISBLANK(DaqBook_RAW_Data!V53),"",DaqBook_RAW_Data!V53)</f>
        <v/>
      </c>
      <c r="H63" s="167" t="str">
        <f>IF(ISBLANK(DaqBook_RAW_Data!W53),"",DaqBook_RAW_Data!W53)</f>
        <v/>
      </c>
      <c r="I63" s="167" t="str">
        <f>IF(ISBLANK(DaqBook_RAW_Data!X53),"",DaqBook_RAW_Data!X53)</f>
        <v/>
      </c>
      <c r="J63" s="167" t="str">
        <f>IF(ISBLANK(DaqBook_RAW_Data!Y53),"",DaqBook_RAW_Data!Y53)</f>
        <v/>
      </c>
      <c r="K63" s="167" t="str">
        <f>IF(ISBLANK(DaqBook_RAW_Data!Z53),"",DaqBook_RAW_Data!Z53)</f>
        <v/>
      </c>
      <c r="L63" s="167" t="str">
        <f>IF(ISBLANK(DaqBook_RAW_Data!AA53),"",DaqBook_RAW_Data!AA53)</f>
        <v/>
      </c>
      <c r="M63" s="167" t="str">
        <f>IF(ISBLANK(DaqBook_RAW_Data!AB53),"",DaqBook_RAW_Data!AB53)</f>
        <v/>
      </c>
      <c r="N63" s="167" t="str">
        <f>IF(ISBLANK(DaqBook_RAW_Data!AC53),"",DaqBook_RAW_Data!AC53)</f>
        <v/>
      </c>
      <c r="O63" s="167" t="str">
        <f>IF(ISBLANK(DaqBook_RAW_Data!AD53),"",DaqBook_RAW_Data!AD53)</f>
        <v/>
      </c>
      <c r="P63" s="167" t="str">
        <f>IF(ISBLANK(DaqBook_RAW_Data!AE53),"",DaqBook_RAW_Data!AE53)</f>
        <v/>
      </c>
    </row>
    <row r="64" spans="1:16" s="96" customFormat="1" x14ac:dyDescent="0.2">
      <c r="A64" s="145" t="e">
        <f t="shared" si="0"/>
        <v>#VALUE!</v>
      </c>
      <c r="B64" s="144" t="str">
        <f>IF(ISBLANK(DaqBook_RAW_Data!Q54),IF(DaqBook_RAW_Data!A54="","",TIMEVALUE(DaqBook_RAW_Data!A54)),TIMEVALUE(DaqBook_RAW_Data!Q54))</f>
        <v/>
      </c>
      <c r="C64" s="167" t="str">
        <f>IF(ISBLANK(DaqBook_RAW_Data!R54),"",DaqBook_RAW_Data!R54)</f>
        <v/>
      </c>
      <c r="D64" s="167" t="str">
        <f>IF(ISBLANK(DaqBook_RAW_Data!S54),"",DaqBook_RAW_Data!S54)</f>
        <v/>
      </c>
      <c r="E64" s="167" t="str">
        <f>IF(ISBLANK(DaqBook_RAW_Data!T54),"",DaqBook_RAW_Data!T54)</f>
        <v/>
      </c>
      <c r="F64" s="167" t="str">
        <f>IF(ISBLANK(DaqBook_RAW_Data!U54),"",DaqBook_RAW_Data!U54)</f>
        <v/>
      </c>
      <c r="G64" s="167" t="str">
        <f>IF(ISBLANK(DaqBook_RAW_Data!V54),"",DaqBook_RAW_Data!V54)</f>
        <v/>
      </c>
      <c r="H64" s="167" t="str">
        <f>IF(ISBLANK(DaqBook_RAW_Data!W54),"",DaqBook_RAW_Data!W54)</f>
        <v/>
      </c>
      <c r="I64" s="167" t="str">
        <f>IF(ISBLANK(DaqBook_RAW_Data!X54),"",DaqBook_RAW_Data!X54)</f>
        <v/>
      </c>
      <c r="J64" s="167" t="str">
        <f>IF(ISBLANK(DaqBook_RAW_Data!Y54),"",DaqBook_RAW_Data!Y54)</f>
        <v/>
      </c>
      <c r="K64" s="167" t="str">
        <f>IF(ISBLANK(DaqBook_RAW_Data!Z54),"",DaqBook_RAW_Data!Z54)</f>
        <v/>
      </c>
      <c r="L64" s="167" t="str">
        <f>IF(ISBLANK(DaqBook_RAW_Data!AA54),"",DaqBook_RAW_Data!AA54)</f>
        <v/>
      </c>
      <c r="M64" s="167" t="str">
        <f>IF(ISBLANK(DaqBook_RAW_Data!AB54),"",DaqBook_RAW_Data!AB54)</f>
        <v/>
      </c>
      <c r="N64" s="167" t="str">
        <f>IF(ISBLANK(DaqBook_RAW_Data!AC54),"",DaqBook_RAW_Data!AC54)</f>
        <v/>
      </c>
      <c r="O64" s="167" t="str">
        <f>IF(ISBLANK(DaqBook_RAW_Data!AD54),"",DaqBook_RAW_Data!AD54)</f>
        <v/>
      </c>
      <c r="P64" s="167" t="str">
        <f>IF(ISBLANK(DaqBook_RAW_Data!AE54),"",DaqBook_RAW_Data!AE54)</f>
        <v/>
      </c>
    </row>
    <row r="65" spans="1:16" s="96" customFormat="1" x14ac:dyDescent="0.2">
      <c r="A65" s="145" t="e">
        <f t="shared" si="0"/>
        <v>#VALUE!</v>
      </c>
      <c r="B65" s="144" t="str">
        <f>IF(ISBLANK(DaqBook_RAW_Data!Q55),IF(DaqBook_RAW_Data!A55="","",TIMEVALUE(DaqBook_RAW_Data!A55)),TIMEVALUE(DaqBook_RAW_Data!Q55))</f>
        <v/>
      </c>
      <c r="C65" s="167" t="str">
        <f>IF(ISBLANK(DaqBook_RAW_Data!R55),"",DaqBook_RAW_Data!R55)</f>
        <v/>
      </c>
      <c r="D65" s="167" t="str">
        <f>IF(ISBLANK(DaqBook_RAW_Data!S55),"",DaqBook_RAW_Data!S55)</f>
        <v/>
      </c>
      <c r="E65" s="167" t="str">
        <f>IF(ISBLANK(DaqBook_RAW_Data!T55),"",DaqBook_RAW_Data!T55)</f>
        <v/>
      </c>
      <c r="F65" s="167" t="str">
        <f>IF(ISBLANK(DaqBook_RAW_Data!U55),"",DaqBook_RAW_Data!U55)</f>
        <v/>
      </c>
      <c r="G65" s="167" t="str">
        <f>IF(ISBLANK(DaqBook_RAW_Data!V55),"",DaqBook_RAW_Data!V55)</f>
        <v/>
      </c>
      <c r="H65" s="167" t="str">
        <f>IF(ISBLANK(DaqBook_RAW_Data!W55),"",DaqBook_RAW_Data!W55)</f>
        <v/>
      </c>
      <c r="I65" s="167" t="str">
        <f>IF(ISBLANK(DaqBook_RAW_Data!X55),"",DaqBook_RAW_Data!X55)</f>
        <v/>
      </c>
      <c r="J65" s="167" t="str">
        <f>IF(ISBLANK(DaqBook_RAW_Data!Y55),"",DaqBook_RAW_Data!Y55)</f>
        <v/>
      </c>
      <c r="K65" s="167" t="str">
        <f>IF(ISBLANK(DaqBook_RAW_Data!Z55),"",DaqBook_RAW_Data!Z55)</f>
        <v/>
      </c>
      <c r="L65" s="167" t="str">
        <f>IF(ISBLANK(DaqBook_RAW_Data!AA55),"",DaqBook_RAW_Data!AA55)</f>
        <v/>
      </c>
      <c r="M65" s="167" t="str">
        <f>IF(ISBLANK(DaqBook_RAW_Data!AB55),"",DaqBook_RAW_Data!AB55)</f>
        <v/>
      </c>
      <c r="N65" s="167" t="str">
        <f>IF(ISBLANK(DaqBook_RAW_Data!AC55),"",DaqBook_RAW_Data!AC55)</f>
        <v/>
      </c>
      <c r="O65" s="167" t="str">
        <f>IF(ISBLANK(DaqBook_RAW_Data!AD55),"",DaqBook_RAW_Data!AD55)</f>
        <v/>
      </c>
      <c r="P65" s="167" t="str">
        <f>IF(ISBLANK(DaqBook_RAW_Data!AE55),"",DaqBook_RAW_Data!AE55)</f>
        <v/>
      </c>
    </row>
    <row r="66" spans="1:16" s="96" customFormat="1" x14ac:dyDescent="0.2">
      <c r="A66" s="145" t="e">
        <f t="shared" si="0"/>
        <v>#VALUE!</v>
      </c>
      <c r="B66" s="144" t="str">
        <f>IF(ISBLANK(DaqBook_RAW_Data!Q56),IF(DaqBook_RAW_Data!A56="","",TIMEVALUE(DaqBook_RAW_Data!A56)),TIMEVALUE(DaqBook_RAW_Data!Q56))</f>
        <v/>
      </c>
      <c r="C66" s="167" t="str">
        <f>IF(ISBLANK(DaqBook_RAW_Data!R56),"",DaqBook_RAW_Data!R56)</f>
        <v/>
      </c>
      <c r="D66" s="167" t="str">
        <f>IF(ISBLANK(DaqBook_RAW_Data!S56),"",DaqBook_RAW_Data!S56)</f>
        <v/>
      </c>
      <c r="E66" s="167" t="str">
        <f>IF(ISBLANK(DaqBook_RAW_Data!T56),"",DaqBook_RAW_Data!T56)</f>
        <v/>
      </c>
      <c r="F66" s="167" t="str">
        <f>IF(ISBLANK(DaqBook_RAW_Data!U56),"",DaqBook_RAW_Data!U56)</f>
        <v/>
      </c>
      <c r="G66" s="167" t="str">
        <f>IF(ISBLANK(DaqBook_RAW_Data!V56),"",DaqBook_RAW_Data!V56)</f>
        <v/>
      </c>
      <c r="H66" s="167" t="str">
        <f>IF(ISBLANK(DaqBook_RAW_Data!W56),"",DaqBook_RAW_Data!W56)</f>
        <v/>
      </c>
      <c r="I66" s="167" t="str">
        <f>IF(ISBLANK(DaqBook_RAW_Data!X56),"",DaqBook_RAW_Data!X56)</f>
        <v/>
      </c>
      <c r="J66" s="167" t="str">
        <f>IF(ISBLANK(DaqBook_RAW_Data!Y56),"",DaqBook_RAW_Data!Y56)</f>
        <v/>
      </c>
      <c r="K66" s="167" t="str">
        <f>IF(ISBLANK(DaqBook_RAW_Data!Z56),"",DaqBook_RAW_Data!Z56)</f>
        <v/>
      </c>
      <c r="L66" s="167" t="str">
        <f>IF(ISBLANK(DaqBook_RAW_Data!AA56),"",DaqBook_RAW_Data!AA56)</f>
        <v/>
      </c>
      <c r="M66" s="167" t="str">
        <f>IF(ISBLANK(DaqBook_RAW_Data!AB56),"",DaqBook_RAW_Data!AB56)</f>
        <v/>
      </c>
      <c r="N66" s="167" t="str">
        <f>IF(ISBLANK(DaqBook_RAW_Data!AC56),"",DaqBook_RAW_Data!AC56)</f>
        <v/>
      </c>
      <c r="O66" s="167" t="str">
        <f>IF(ISBLANK(DaqBook_RAW_Data!AD56),"",DaqBook_RAW_Data!AD56)</f>
        <v/>
      </c>
      <c r="P66" s="167" t="str">
        <f>IF(ISBLANK(DaqBook_RAW_Data!AE56),"",DaqBook_RAW_Data!AE56)</f>
        <v/>
      </c>
    </row>
    <row r="67" spans="1:16" s="96" customFormat="1" x14ac:dyDescent="0.2">
      <c r="A67" s="145" t="e">
        <f t="shared" si="0"/>
        <v>#VALUE!</v>
      </c>
      <c r="B67" s="144" t="str">
        <f>IF(ISBLANK(DaqBook_RAW_Data!Q57),IF(DaqBook_RAW_Data!A57="","",TIMEVALUE(DaqBook_RAW_Data!A57)),TIMEVALUE(DaqBook_RAW_Data!Q57))</f>
        <v/>
      </c>
      <c r="C67" s="167" t="str">
        <f>IF(ISBLANK(DaqBook_RAW_Data!R57),"",DaqBook_RAW_Data!R57)</f>
        <v/>
      </c>
      <c r="D67" s="167" t="str">
        <f>IF(ISBLANK(DaqBook_RAW_Data!S57),"",DaqBook_RAW_Data!S57)</f>
        <v/>
      </c>
      <c r="E67" s="167" t="str">
        <f>IF(ISBLANK(DaqBook_RAW_Data!T57),"",DaqBook_RAW_Data!T57)</f>
        <v/>
      </c>
      <c r="F67" s="167" t="str">
        <f>IF(ISBLANK(DaqBook_RAW_Data!U57),"",DaqBook_RAW_Data!U57)</f>
        <v/>
      </c>
      <c r="G67" s="167" t="str">
        <f>IF(ISBLANK(DaqBook_RAW_Data!V57),"",DaqBook_RAW_Data!V57)</f>
        <v/>
      </c>
      <c r="H67" s="167" t="str">
        <f>IF(ISBLANK(DaqBook_RAW_Data!W57),"",DaqBook_RAW_Data!W57)</f>
        <v/>
      </c>
      <c r="I67" s="167" t="str">
        <f>IF(ISBLANK(DaqBook_RAW_Data!X57),"",DaqBook_RAW_Data!X57)</f>
        <v/>
      </c>
      <c r="J67" s="167" t="str">
        <f>IF(ISBLANK(DaqBook_RAW_Data!Y57),"",DaqBook_RAW_Data!Y57)</f>
        <v/>
      </c>
      <c r="K67" s="167" t="str">
        <f>IF(ISBLANK(DaqBook_RAW_Data!Z57),"",DaqBook_RAW_Data!Z57)</f>
        <v/>
      </c>
      <c r="L67" s="167" t="str">
        <f>IF(ISBLANK(DaqBook_RAW_Data!AA57),"",DaqBook_RAW_Data!AA57)</f>
        <v/>
      </c>
      <c r="M67" s="167" t="str">
        <f>IF(ISBLANK(DaqBook_RAW_Data!AB57),"",DaqBook_RAW_Data!AB57)</f>
        <v/>
      </c>
      <c r="N67" s="167" t="str">
        <f>IF(ISBLANK(DaqBook_RAW_Data!AC57),"",DaqBook_RAW_Data!AC57)</f>
        <v/>
      </c>
      <c r="O67" s="167" t="str">
        <f>IF(ISBLANK(DaqBook_RAW_Data!AD57),"",DaqBook_RAW_Data!AD57)</f>
        <v/>
      </c>
      <c r="P67" s="167" t="str">
        <f>IF(ISBLANK(DaqBook_RAW_Data!AE57),"",DaqBook_RAW_Data!AE57)</f>
        <v/>
      </c>
    </row>
    <row r="68" spans="1:16" s="96" customFormat="1" x14ac:dyDescent="0.2">
      <c r="A68" s="145" t="e">
        <f t="shared" si="0"/>
        <v>#VALUE!</v>
      </c>
      <c r="B68" s="144" t="str">
        <f>IF(ISBLANK(DaqBook_RAW_Data!Q58),IF(DaqBook_RAW_Data!A58="","",TIMEVALUE(DaqBook_RAW_Data!A58)),TIMEVALUE(DaqBook_RAW_Data!Q58))</f>
        <v/>
      </c>
      <c r="C68" s="167" t="str">
        <f>IF(ISBLANK(DaqBook_RAW_Data!R58),"",DaqBook_RAW_Data!R58)</f>
        <v/>
      </c>
      <c r="D68" s="167" t="str">
        <f>IF(ISBLANK(DaqBook_RAW_Data!S58),"",DaqBook_RAW_Data!S58)</f>
        <v/>
      </c>
      <c r="E68" s="167" t="str">
        <f>IF(ISBLANK(DaqBook_RAW_Data!T58),"",DaqBook_RAW_Data!T58)</f>
        <v/>
      </c>
      <c r="F68" s="167" t="str">
        <f>IF(ISBLANK(DaqBook_RAW_Data!U58),"",DaqBook_RAW_Data!U58)</f>
        <v/>
      </c>
      <c r="G68" s="167" t="str">
        <f>IF(ISBLANK(DaqBook_RAW_Data!V58),"",DaqBook_RAW_Data!V58)</f>
        <v/>
      </c>
      <c r="H68" s="167" t="str">
        <f>IF(ISBLANK(DaqBook_RAW_Data!W58),"",DaqBook_RAW_Data!W58)</f>
        <v/>
      </c>
      <c r="I68" s="167" t="str">
        <f>IF(ISBLANK(DaqBook_RAW_Data!X58),"",DaqBook_RAW_Data!X58)</f>
        <v/>
      </c>
      <c r="J68" s="167" t="str">
        <f>IF(ISBLANK(DaqBook_RAW_Data!Y58),"",DaqBook_RAW_Data!Y58)</f>
        <v/>
      </c>
      <c r="K68" s="167" t="str">
        <f>IF(ISBLANK(DaqBook_RAW_Data!Z58),"",DaqBook_RAW_Data!Z58)</f>
        <v/>
      </c>
      <c r="L68" s="167" t="str">
        <f>IF(ISBLANK(DaqBook_RAW_Data!AA58),"",DaqBook_RAW_Data!AA58)</f>
        <v/>
      </c>
      <c r="M68" s="167" t="str">
        <f>IF(ISBLANK(DaqBook_RAW_Data!AB58),"",DaqBook_RAW_Data!AB58)</f>
        <v/>
      </c>
      <c r="N68" s="167" t="str">
        <f>IF(ISBLANK(DaqBook_RAW_Data!AC58),"",DaqBook_RAW_Data!AC58)</f>
        <v/>
      </c>
      <c r="O68" s="167" t="str">
        <f>IF(ISBLANK(DaqBook_RAW_Data!AD58),"",DaqBook_RAW_Data!AD58)</f>
        <v/>
      </c>
      <c r="P68" s="167" t="str">
        <f>IF(ISBLANK(DaqBook_RAW_Data!AE58),"",DaqBook_RAW_Data!AE58)</f>
        <v/>
      </c>
    </row>
    <row r="69" spans="1:16" s="96" customFormat="1" x14ac:dyDescent="0.2">
      <c r="A69" s="145" t="e">
        <f t="shared" si="0"/>
        <v>#VALUE!</v>
      </c>
      <c r="B69" s="144" t="str">
        <f>IF(ISBLANK(DaqBook_RAW_Data!Q59),IF(DaqBook_RAW_Data!A59="","",TIMEVALUE(DaqBook_RAW_Data!A59)),TIMEVALUE(DaqBook_RAW_Data!Q59))</f>
        <v/>
      </c>
      <c r="C69" s="167" t="str">
        <f>IF(ISBLANK(DaqBook_RAW_Data!R59),"",DaqBook_RAW_Data!R59)</f>
        <v/>
      </c>
      <c r="D69" s="167" t="str">
        <f>IF(ISBLANK(DaqBook_RAW_Data!S59),"",DaqBook_RAW_Data!S59)</f>
        <v/>
      </c>
      <c r="E69" s="167" t="str">
        <f>IF(ISBLANK(DaqBook_RAW_Data!T59),"",DaqBook_RAW_Data!T59)</f>
        <v/>
      </c>
      <c r="F69" s="167" t="str">
        <f>IF(ISBLANK(DaqBook_RAW_Data!U59),"",DaqBook_RAW_Data!U59)</f>
        <v/>
      </c>
      <c r="G69" s="167" t="str">
        <f>IF(ISBLANK(DaqBook_RAW_Data!V59),"",DaqBook_RAW_Data!V59)</f>
        <v/>
      </c>
      <c r="H69" s="167" t="str">
        <f>IF(ISBLANK(DaqBook_RAW_Data!W59),"",DaqBook_RAW_Data!W59)</f>
        <v/>
      </c>
      <c r="I69" s="167" t="str">
        <f>IF(ISBLANK(DaqBook_RAW_Data!X59),"",DaqBook_RAW_Data!X59)</f>
        <v/>
      </c>
      <c r="J69" s="167" t="str">
        <f>IF(ISBLANK(DaqBook_RAW_Data!Y59),"",DaqBook_RAW_Data!Y59)</f>
        <v/>
      </c>
      <c r="K69" s="167" t="str">
        <f>IF(ISBLANK(DaqBook_RAW_Data!Z59),"",DaqBook_RAW_Data!Z59)</f>
        <v/>
      </c>
      <c r="L69" s="167" t="str">
        <f>IF(ISBLANK(DaqBook_RAW_Data!AA59),"",DaqBook_RAW_Data!AA59)</f>
        <v/>
      </c>
      <c r="M69" s="167" t="str">
        <f>IF(ISBLANK(DaqBook_RAW_Data!AB59),"",DaqBook_RAW_Data!AB59)</f>
        <v/>
      </c>
      <c r="N69" s="167" t="str">
        <f>IF(ISBLANK(DaqBook_RAW_Data!AC59),"",DaqBook_RAW_Data!AC59)</f>
        <v/>
      </c>
      <c r="O69" s="167" t="str">
        <f>IF(ISBLANK(DaqBook_RAW_Data!AD59),"",DaqBook_RAW_Data!AD59)</f>
        <v/>
      </c>
      <c r="P69" s="167" t="str">
        <f>IF(ISBLANK(DaqBook_RAW_Data!AE59),"",DaqBook_RAW_Data!AE59)</f>
        <v/>
      </c>
    </row>
    <row r="70" spans="1:16" s="96" customFormat="1" x14ac:dyDescent="0.2">
      <c r="A70" s="145" t="e">
        <f t="shared" si="0"/>
        <v>#VALUE!</v>
      </c>
      <c r="B70" s="144" t="str">
        <f>IF(ISBLANK(DaqBook_RAW_Data!Q60),IF(DaqBook_RAW_Data!A60="","",TIMEVALUE(DaqBook_RAW_Data!A60)),TIMEVALUE(DaqBook_RAW_Data!Q60))</f>
        <v/>
      </c>
      <c r="C70" s="167" t="str">
        <f>IF(ISBLANK(DaqBook_RAW_Data!R60),"",DaqBook_RAW_Data!R60)</f>
        <v/>
      </c>
      <c r="D70" s="167" t="str">
        <f>IF(ISBLANK(DaqBook_RAW_Data!S60),"",DaqBook_RAW_Data!S60)</f>
        <v/>
      </c>
      <c r="E70" s="167" t="str">
        <f>IF(ISBLANK(DaqBook_RAW_Data!T60),"",DaqBook_RAW_Data!T60)</f>
        <v/>
      </c>
      <c r="F70" s="167" t="str">
        <f>IF(ISBLANK(DaqBook_RAW_Data!U60),"",DaqBook_RAW_Data!U60)</f>
        <v/>
      </c>
      <c r="G70" s="167" t="str">
        <f>IF(ISBLANK(DaqBook_RAW_Data!V60),"",DaqBook_RAW_Data!V60)</f>
        <v/>
      </c>
      <c r="H70" s="167" t="str">
        <f>IF(ISBLANK(DaqBook_RAW_Data!W60),"",DaqBook_RAW_Data!W60)</f>
        <v/>
      </c>
      <c r="I70" s="167" t="str">
        <f>IF(ISBLANK(DaqBook_RAW_Data!X60),"",DaqBook_RAW_Data!X60)</f>
        <v/>
      </c>
      <c r="J70" s="167" t="str">
        <f>IF(ISBLANK(DaqBook_RAW_Data!Y60),"",DaqBook_RAW_Data!Y60)</f>
        <v/>
      </c>
      <c r="K70" s="167" t="str">
        <f>IF(ISBLANK(DaqBook_RAW_Data!Z60),"",DaqBook_RAW_Data!Z60)</f>
        <v/>
      </c>
      <c r="L70" s="167" t="str">
        <f>IF(ISBLANK(DaqBook_RAW_Data!AA60),"",DaqBook_RAW_Data!AA60)</f>
        <v/>
      </c>
      <c r="M70" s="167" t="str">
        <f>IF(ISBLANK(DaqBook_RAW_Data!AB60),"",DaqBook_RAW_Data!AB60)</f>
        <v/>
      </c>
      <c r="N70" s="167" t="str">
        <f>IF(ISBLANK(DaqBook_RAW_Data!AC60),"",DaqBook_RAW_Data!AC60)</f>
        <v/>
      </c>
      <c r="O70" s="167" t="str">
        <f>IF(ISBLANK(DaqBook_RAW_Data!AD60),"",DaqBook_RAW_Data!AD60)</f>
        <v/>
      </c>
      <c r="P70" s="167" t="str">
        <f>IF(ISBLANK(DaqBook_RAW_Data!AE60),"",DaqBook_RAW_Data!AE60)</f>
        <v/>
      </c>
    </row>
    <row r="71" spans="1:16" s="96" customFormat="1" x14ac:dyDescent="0.2">
      <c r="A71" s="145" t="e">
        <f t="shared" si="0"/>
        <v>#VALUE!</v>
      </c>
      <c r="B71" s="144" t="str">
        <f>IF(ISBLANK(DaqBook_RAW_Data!Q61),IF(DaqBook_RAW_Data!A61="","",TIMEVALUE(DaqBook_RAW_Data!A61)),TIMEVALUE(DaqBook_RAW_Data!Q61))</f>
        <v/>
      </c>
      <c r="C71" s="167" t="str">
        <f>IF(ISBLANK(DaqBook_RAW_Data!R61),"",DaqBook_RAW_Data!R61)</f>
        <v/>
      </c>
      <c r="D71" s="167" t="str">
        <f>IF(ISBLANK(DaqBook_RAW_Data!S61),"",DaqBook_RAW_Data!S61)</f>
        <v/>
      </c>
      <c r="E71" s="167" t="str">
        <f>IF(ISBLANK(DaqBook_RAW_Data!T61),"",DaqBook_RAW_Data!T61)</f>
        <v/>
      </c>
      <c r="F71" s="167" t="str">
        <f>IF(ISBLANK(DaqBook_RAW_Data!U61),"",DaqBook_RAW_Data!U61)</f>
        <v/>
      </c>
      <c r="G71" s="167" t="str">
        <f>IF(ISBLANK(DaqBook_RAW_Data!V61),"",DaqBook_RAW_Data!V61)</f>
        <v/>
      </c>
      <c r="H71" s="167" t="str">
        <f>IF(ISBLANK(DaqBook_RAW_Data!W61),"",DaqBook_RAW_Data!W61)</f>
        <v/>
      </c>
      <c r="I71" s="167" t="str">
        <f>IF(ISBLANK(DaqBook_RAW_Data!X61),"",DaqBook_RAW_Data!X61)</f>
        <v/>
      </c>
      <c r="J71" s="167" t="str">
        <f>IF(ISBLANK(DaqBook_RAW_Data!Y61),"",DaqBook_RAW_Data!Y61)</f>
        <v/>
      </c>
      <c r="K71" s="167" t="str">
        <f>IF(ISBLANK(DaqBook_RAW_Data!Z61),"",DaqBook_RAW_Data!Z61)</f>
        <v/>
      </c>
      <c r="L71" s="167" t="str">
        <f>IF(ISBLANK(DaqBook_RAW_Data!AA61),"",DaqBook_RAW_Data!AA61)</f>
        <v/>
      </c>
      <c r="M71" s="167" t="str">
        <f>IF(ISBLANK(DaqBook_RAW_Data!AB61),"",DaqBook_RAW_Data!AB61)</f>
        <v/>
      </c>
      <c r="N71" s="167" t="str">
        <f>IF(ISBLANK(DaqBook_RAW_Data!AC61),"",DaqBook_RAW_Data!AC61)</f>
        <v/>
      </c>
      <c r="O71" s="167" t="str">
        <f>IF(ISBLANK(DaqBook_RAW_Data!AD61),"",DaqBook_RAW_Data!AD61)</f>
        <v/>
      </c>
      <c r="P71" s="167" t="str">
        <f>IF(ISBLANK(DaqBook_RAW_Data!AE61),"",DaqBook_RAW_Data!AE61)</f>
        <v/>
      </c>
    </row>
    <row r="72" spans="1:16" s="96" customFormat="1" x14ac:dyDescent="0.2">
      <c r="A72" s="145" t="e">
        <f t="shared" si="0"/>
        <v>#VALUE!</v>
      </c>
      <c r="B72" s="144" t="str">
        <f>IF(ISBLANK(DaqBook_RAW_Data!Q62),IF(DaqBook_RAW_Data!A62="","",TIMEVALUE(DaqBook_RAW_Data!A62)),TIMEVALUE(DaqBook_RAW_Data!Q62))</f>
        <v/>
      </c>
      <c r="C72" s="167" t="str">
        <f>IF(ISBLANK(DaqBook_RAW_Data!R62),"",DaqBook_RAW_Data!R62)</f>
        <v/>
      </c>
      <c r="D72" s="167" t="str">
        <f>IF(ISBLANK(DaqBook_RAW_Data!S62),"",DaqBook_RAW_Data!S62)</f>
        <v/>
      </c>
      <c r="E72" s="167" t="str">
        <f>IF(ISBLANK(DaqBook_RAW_Data!T62),"",DaqBook_RAW_Data!T62)</f>
        <v/>
      </c>
      <c r="F72" s="167" t="str">
        <f>IF(ISBLANK(DaqBook_RAW_Data!U62),"",DaqBook_RAW_Data!U62)</f>
        <v/>
      </c>
      <c r="G72" s="167" t="str">
        <f>IF(ISBLANK(DaqBook_RAW_Data!V62),"",DaqBook_RAW_Data!V62)</f>
        <v/>
      </c>
      <c r="H72" s="167" t="str">
        <f>IF(ISBLANK(DaqBook_RAW_Data!W62),"",DaqBook_RAW_Data!W62)</f>
        <v/>
      </c>
      <c r="I72" s="167" t="str">
        <f>IF(ISBLANK(DaqBook_RAW_Data!X62),"",DaqBook_RAW_Data!X62)</f>
        <v/>
      </c>
      <c r="J72" s="167" t="str">
        <f>IF(ISBLANK(DaqBook_RAW_Data!Y62),"",DaqBook_RAW_Data!Y62)</f>
        <v/>
      </c>
      <c r="K72" s="167" t="str">
        <f>IF(ISBLANK(DaqBook_RAW_Data!Z62),"",DaqBook_RAW_Data!Z62)</f>
        <v/>
      </c>
      <c r="L72" s="167" t="str">
        <f>IF(ISBLANK(DaqBook_RAW_Data!AA62),"",DaqBook_RAW_Data!AA62)</f>
        <v/>
      </c>
      <c r="M72" s="167" t="str">
        <f>IF(ISBLANK(DaqBook_RAW_Data!AB62),"",DaqBook_RAW_Data!AB62)</f>
        <v/>
      </c>
      <c r="N72" s="167" t="str">
        <f>IF(ISBLANK(DaqBook_RAW_Data!AC62),"",DaqBook_RAW_Data!AC62)</f>
        <v/>
      </c>
      <c r="O72" s="167" t="str">
        <f>IF(ISBLANK(DaqBook_RAW_Data!AD62),"",DaqBook_RAW_Data!AD62)</f>
        <v/>
      </c>
      <c r="P72" s="167" t="str">
        <f>IF(ISBLANK(DaqBook_RAW_Data!AE62),"",DaqBook_RAW_Data!AE62)</f>
        <v/>
      </c>
    </row>
    <row r="73" spans="1:16" s="96" customFormat="1" x14ac:dyDescent="0.2">
      <c r="A73" s="145" t="e">
        <f t="shared" si="0"/>
        <v>#VALUE!</v>
      </c>
      <c r="B73" s="144" t="str">
        <f>IF(ISBLANK(DaqBook_RAW_Data!Q63),IF(DaqBook_RAW_Data!A63="","",TIMEVALUE(DaqBook_RAW_Data!A63)),TIMEVALUE(DaqBook_RAW_Data!Q63))</f>
        <v/>
      </c>
      <c r="C73" s="167" t="str">
        <f>IF(ISBLANK(DaqBook_RAW_Data!R63),"",DaqBook_RAW_Data!R63)</f>
        <v/>
      </c>
      <c r="D73" s="167" t="str">
        <f>IF(ISBLANK(DaqBook_RAW_Data!S63),"",DaqBook_RAW_Data!S63)</f>
        <v/>
      </c>
      <c r="E73" s="167" t="str">
        <f>IF(ISBLANK(DaqBook_RAW_Data!T63),"",DaqBook_RAW_Data!T63)</f>
        <v/>
      </c>
      <c r="F73" s="167" t="str">
        <f>IF(ISBLANK(DaqBook_RAW_Data!U63),"",DaqBook_RAW_Data!U63)</f>
        <v/>
      </c>
      <c r="G73" s="167" t="str">
        <f>IF(ISBLANK(DaqBook_RAW_Data!V63),"",DaqBook_RAW_Data!V63)</f>
        <v/>
      </c>
      <c r="H73" s="167" t="str">
        <f>IF(ISBLANK(DaqBook_RAW_Data!W63),"",DaqBook_RAW_Data!W63)</f>
        <v/>
      </c>
      <c r="I73" s="167" t="str">
        <f>IF(ISBLANK(DaqBook_RAW_Data!X63),"",DaqBook_RAW_Data!X63)</f>
        <v/>
      </c>
      <c r="J73" s="167" t="str">
        <f>IF(ISBLANK(DaqBook_RAW_Data!Y63),"",DaqBook_RAW_Data!Y63)</f>
        <v/>
      </c>
      <c r="K73" s="167" t="str">
        <f>IF(ISBLANK(DaqBook_RAW_Data!Z63),"",DaqBook_RAW_Data!Z63)</f>
        <v/>
      </c>
      <c r="L73" s="167" t="str">
        <f>IF(ISBLANK(DaqBook_RAW_Data!AA63),"",DaqBook_RAW_Data!AA63)</f>
        <v/>
      </c>
      <c r="M73" s="167" t="str">
        <f>IF(ISBLANK(DaqBook_RAW_Data!AB63),"",DaqBook_RAW_Data!AB63)</f>
        <v/>
      </c>
      <c r="N73" s="167" t="str">
        <f>IF(ISBLANK(DaqBook_RAW_Data!AC63),"",DaqBook_RAW_Data!AC63)</f>
        <v/>
      </c>
      <c r="O73" s="167" t="str">
        <f>IF(ISBLANK(DaqBook_RAW_Data!AD63),"",DaqBook_RAW_Data!AD63)</f>
        <v/>
      </c>
      <c r="P73" s="167" t="str">
        <f>IF(ISBLANK(DaqBook_RAW_Data!AE63),"",DaqBook_RAW_Data!AE63)</f>
        <v/>
      </c>
    </row>
    <row r="74" spans="1:16" s="96" customFormat="1" x14ac:dyDescent="0.2">
      <c r="A74" s="145" t="e">
        <f t="shared" si="0"/>
        <v>#VALUE!</v>
      </c>
      <c r="B74" s="144" t="str">
        <f>IF(ISBLANK(DaqBook_RAW_Data!Q64),IF(DaqBook_RAW_Data!A64="","",TIMEVALUE(DaqBook_RAW_Data!A64)),TIMEVALUE(DaqBook_RAW_Data!Q64))</f>
        <v/>
      </c>
      <c r="C74" s="167" t="str">
        <f>IF(ISBLANK(DaqBook_RAW_Data!R64),"",DaqBook_RAW_Data!R64)</f>
        <v/>
      </c>
      <c r="D74" s="167" t="str">
        <f>IF(ISBLANK(DaqBook_RAW_Data!S64),"",DaqBook_RAW_Data!S64)</f>
        <v/>
      </c>
      <c r="E74" s="167" t="str">
        <f>IF(ISBLANK(DaqBook_RAW_Data!T64),"",DaqBook_RAW_Data!T64)</f>
        <v/>
      </c>
      <c r="F74" s="167" t="str">
        <f>IF(ISBLANK(DaqBook_RAW_Data!U64),"",DaqBook_RAW_Data!U64)</f>
        <v/>
      </c>
      <c r="G74" s="167" t="str">
        <f>IF(ISBLANK(DaqBook_RAW_Data!V64),"",DaqBook_RAW_Data!V64)</f>
        <v/>
      </c>
      <c r="H74" s="167" t="str">
        <f>IF(ISBLANK(DaqBook_RAW_Data!W64),"",DaqBook_RAW_Data!W64)</f>
        <v/>
      </c>
      <c r="I74" s="167" t="str">
        <f>IF(ISBLANK(DaqBook_RAW_Data!X64),"",DaqBook_RAW_Data!X64)</f>
        <v/>
      </c>
      <c r="J74" s="167" t="str">
        <f>IF(ISBLANK(DaqBook_RAW_Data!Y64),"",DaqBook_RAW_Data!Y64)</f>
        <v/>
      </c>
      <c r="K74" s="167" t="str">
        <f>IF(ISBLANK(DaqBook_RAW_Data!Z64),"",DaqBook_RAW_Data!Z64)</f>
        <v/>
      </c>
      <c r="L74" s="167" t="str">
        <f>IF(ISBLANK(DaqBook_RAW_Data!AA64),"",DaqBook_RAW_Data!AA64)</f>
        <v/>
      </c>
      <c r="M74" s="167" t="str">
        <f>IF(ISBLANK(DaqBook_RAW_Data!AB64),"",DaqBook_RAW_Data!AB64)</f>
        <v/>
      </c>
      <c r="N74" s="167" t="str">
        <f>IF(ISBLANK(DaqBook_RAW_Data!AC64),"",DaqBook_RAW_Data!AC64)</f>
        <v/>
      </c>
      <c r="O74" s="167" t="str">
        <f>IF(ISBLANK(DaqBook_RAW_Data!AD64),"",DaqBook_RAW_Data!AD64)</f>
        <v/>
      </c>
      <c r="P74" s="167" t="str">
        <f>IF(ISBLANK(DaqBook_RAW_Data!AE64),"",DaqBook_RAW_Data!AE64)</f>
        <v/>
      </c>
    </row>
    <row r="75" spans="1:16" s="96" customFormat="1" x14ac:dyDescent="0.2">
      <c r="A75" s="145" t="e">
        <f t="shared" si="0"/>
        <v>#VALUE!</v>
      </c>
      <c r="B75" s="144" t="str">
        <f>IF(ISBLANK(DaqBook_RAW_Data!Q65),IF(DaqBook_RAW_Data!A65="","",TIMEVALUE(DaqBook_RAW_Data!A65)),TIMEVALUE(DaqBook_RAW_Data!Q65))</f>
        <v/>
      </c>
      <c r="C75" s="167" t="str">
        <f>IF(ISBLANK(DaqBook_RAW_Data!R65),"",DaqBook_RAW_Data!R65)</f>
        <v/>
      </c>
      <c r="D75" s="167" t="str">
        <f>IF(ISBLANK(DaqBook_RAW_Data!S65),"",DaqBook_RAW_Data!S65)</f>
        <v/>
      </c>
      <c r="E75" s="167" t="str">
        <f>IF(ISBLANK(DaqBook_RAW_Data!T65),"",DaqBook_RAW_Data!T65)</f>
        <v/>
      </c>
      <c r="F75" s="167" t="str">
        <f>IF(ISBLANK(DaqBook_RAW_Data!U65),"",DaqBook_RAW_Data!U65)</f>
        <v/>
      </c>
      <c r="G75" s="167" t="str">
        <f>IF(ISBLANK(DaqBook_RAW_Data!V65),"",DaqBook_RAW_Data!V65)</f>
        <v/>
      </c>
      <c r="H75" s="167" t="str">
        <f>IF(ISBLANK(DaqBook_RAW_Data!W65),"",DaqBook_RAW_Data!W65)</f>
        <v/>
      </c>
      <c r="I75" s="167" t="str">
        <f>IF(ISBLANK(DaqBook_RAW_Data!X65),"",DaqBook_RAW_Data!X65)</f>
        <v/>
      </c>
      <c r="J75" s="167" t="str">
        <f>IF(ISBLANK(DaqBook_RAW_Data!Y65),"",DaqBook_RAW_Data!Y65)</f>
        <v/>
      </c>
      <c r="K75" s="167" t="str">
        <f>IF(ISBLANK(DaqBook_RAW_Data!Z65),"",DaqBook_RAW_Data!Z65)</f>
        <v/>
      </c>
      <c r="L75" s="167" t="str">
        <f>IF(ISBLANK(DaqBook_RAW_Data!AA65),"",DaqBook_RAW_Data!AA65)</f>
        <v/>
      </c>
      <c r="M75" s="167" t="str">
        <f>IF(ISBLANK(DaqBook_RAW_Data!AB65),"",DaqBook_RAW_Data!AB65)</f>
        <v/>
      </c>
      <c r="N75" s="167" t="str">
        <f>IF(ISBLANK(DaqBook_RAW_Data!AC65),"",DaqBook_RAW_Data!AC65)</f>
        <v/>
      </c>
      <c r="O75" s="167" t="str">
        <f>IF(ISBLANK(DaqBook_RAW_Data!AD65),"",DaqBook_RAW_Data!AD65)</f>
        <v/>
      </c>
      <c r="P75" s="167" t="str">
        <f>IF(ISBLANK(DaqBook_RAW_Data!AE65),"",DaqBook_RAW_Data!AE65)</f>
        <v/>
      </c>
    </row>
    <row r="76" spans="1:16" s="96" customFormat="1" x14ac:dyDescent="0.2">
      <c r="A76" s="145" t="e">
        <f t="shared" si="0"/>
        <v>#VALUE!</v>
      </c>
      <c r="B76" s="144" t="str">
        <f>IF(ISBLANK(DaqBook_RAW_Data!Q66),IF(DaqBook_RAW_Data!A66="","",TIMEVALUE(DaqBook_RAW_Data!A66)),TIMEVALUE(DaqBook_RAW_Data!Q66))</f>
        <v/>
      </c>
      <c r="C76" s="167" t="str">
        <f>IF(ISBLANK(DaqBook_RAW_Data!R66),"",DaqBook_RAW_Data!R66)</f>
        <v/>
      </c>
      <c r="D76" s="167" t="str">
        <f>IF(ISBLANK(DaqBook_RAW_Data!S66),"",DaqBook_RAW_Data!S66)</f>
        <v/>
      </c>
      <c r="E76" s="167" t="str">
        <f>IF(ISBLANK(DaqBook_RAW_Data!T66),"",DaqBook_RAW_Data!T66)</f>
        <v/>
      </c>
      <c r="F76" s="167" t="str">
        <f>IF(ISBLANK(DaqBook_RAW_Data!U66),"",DaqBook_RAW_Data!U66)</f>
        <v/>
      </c>
      <c r="G76" s="167" t="str">
        <f>IF(ISBLANK(DaqBook_RAW_Data!V66),"",DaqBook_RAW_Data!V66)</f>
        <v/>
      </c>
      <c r="H76" s="167" t="str">
        <f>IF(ISBLANK(DaqBook_RAW_Data!W66),"",DaqBook_RAW_Data!W66)</f>
        <v/>
      </c>
      <c r="I76" s="167" t="str">
        <f>IF(ISBLANK(DaqBook_RAW_Data!X66),"",DaqBook_RAW_Data!X66)</f>
        <v/>
      </c>
      <c r="J76" s="167" t="str">
        <f>IF(ISBLANK(DaqBook_RAW_Data!Y66),"",DaqBook_RAW_Data!Y66)</f>
        <v/>
      </c>
      <c r="K76" s="167" t="str">
        <f>IF(ISBLANK(DaqBook_RAW_Data!Z66),"",DaqBook_RAW_Data!Z66)</f>
        <v/>
      </c>
      <c r="L76" s="167" t="str">
        <f>IF(ISBLANK(DaqBook_RAW_Data!AA66),"",DaqBook_RAW_Data!AA66)</f>
        <v/>
      </c>
      <c r="M76" s="167" t="str">
        <f>IF(ISBLANK(DaqBook_RAW_Data!AB66),"",DaqBook_RAW_Data!AB66)</f>
        <v/>
      </c>
      <c r="N76" s="167" t="str">
        <f>IF(ISBLANK(DaqBook_RAW_Data!AC66),"",DaqBook_RAW_Data!AC66)</f>
        <v/>
      </c>
      <c r="O76" s="167" t="str">
        <f>IF(ISBLANK(DaqBook_RAW_Data!AD66),"",DaqBook_RAW_Data!AD66)</f>
        <v/>
      </c>
      <c r="P76" s="167" t="str">
        <f>IF(ISBLANK(DaqBook_RAW_Data!AE66),"",DaqBook_RAW_Data!AE66)</f>
        <v/>
      </c>
    </row>
    <row r="77" spans="1:16" s="96" customFormat="1" x14ac:dyDescent="0.2">
      <c r="A77" s="145" t="e">
        <f t="shared" si="0"/>
        <v>#VALUE!</v>
      </c>
      <c r="B77" s="144" t="str">
        <f>IF(ISBLANK(DaqBook_RAW_Data!Q67),IF(DaqBook_RAW_Data!A67="","",TIMEVALUE(DaqBook_RAW_Data!A67)),TIMEVALUE(DaqBook_RAW_Data!Q67))</f>
        <v/>
      </c>
      <c r="C77" s="167" t="str">
        <f>IF(ISBLANK(DaqBook_RAW_Data!R67),"",DaqBook_RAW_Data!R67)</f>
        <v/>
      </c>
      <c r="D77" s="167" t="str">
        <f>IF(ISBLANK(DaqBook_RAW_Data!S67),"",DaqBook_RAW_Data!S67)</f>
        <v/>
      </c>
      <c r="E77" s="167" t="str">
        <f>IF(ISBLANK(DaqBook_RAW_Data!T67),"",DaqBook_RAW_Data!T67)</f>
        <v/>
      </c>
      <c r="F77" s="167" t="str">
        <f>IF(ISBLANK(DaqBook_RAW_Data!U67),"",DaqBook_RAW_Data!U67)</f>
        <v/>
      </c>
      <c r="G77" s="167" t="str">
        <f>IF(ISBLANK(DaqBook_RAW_Data!V67),"",DaqBook_RAW_Data!V67)</f>
        <v/>
      </c>
      <c r="H77" s="167" t="str">
        <f>IF(ISBLANK(DaqBook_RAW_Data!W67),"",DaqBook_RAW_Data!W67)</f>
        <v/>
      </c>
      <c r="I77" s="167" t="str">
        <f>IF(ISBLANK(DaqBook_RAW_Data!X67),"",DaqBook_RAW_Data!X67)</f>
        <v/>
      </c>
      <c r="J77" s="167" t="str">
        <f>IF(ISBLANK(DaqBook_RAW_Data!Y67),"",DaqBook_RAW_Data!Y67)</f>
        <v/>
      </c>
      <c r="K77" s="167" t="str">
        <f>IF(ISBLANK(DaqBook_RAW_Data!Z67),"",DaqBook_RAW_Data!Z67)</f>
        <v/>
      </c>
      <c r="L77" s="167" t="str">
        <f>IF(ISBLANK(DaqBook_RAW_Data!AA67),"",DaqBook_RAW_Data!AA67)</f>
        <v/>
      </c>
      <c r="M77" s="167" t="str">
        <f>IF(ISBLANK(DaqBook_RAW_Data!AB67),"",DaqBook_RAW_Data!AB67)</f>
        <v/>
      </c>
      <c r="N77" s="167" t="str">
        <f>IF(ISBLANK(DaqBook_RAW_Data!AC67),"",DaqBook_RAW_Data!AC67)</f>
        <v/>
      </c>
      <c r="O77" s="167" t="str">
        <f>IF(ISBLANK(DaqBook_RAW_Data!AD67),"",DaqBook_RAW_Data!AD67)</f>
        <v/>
      </c>
      <c r="P77" s="167" t="str">
        <f>IF(ISBLANK(DaqBook_RAW_Data!AE67),"",DaqBook_RAW_Data!AE67)</f>
        <v/>
      </c>
    </row>
    <row r="78" spans="1:16" s="96" customFormat="1" x14ac:dyDescent="0.2">
      <c r="A78" s="145" t="e">
        <f t="shared" si="0"/>
        <v>#VALUE!</v>
      </c>
      <c r="B78" s="144" t="str">
        <f>IF(ISBLANK(DaqBook_RAW_Data!Q68),IF(DaqBook_RAW_Data!A68="","",TIMEVALUE(DaqBook_RAW_Data!A68)),TIMEVALUE(DaqBook_RAW_Data!Q68))</f>
        <v/>
      </c>
      <c r="C78" s="167" t="str">
        <f>IF(ISBLANK(DaqBook_RAW_Data!R68),"",DaqBook_RAW_Data!R68)</f>
        <v/>
      </c>
      <c r="D78" s="167" t="str">
        <f>IF(ISBLANK(DaqBook_RAW_Data!S68),"",DaqBook_RAW_Data!S68)</f>
        <v/>
      </c>
      <c r="E78" s="167" t="str">
        <f>IF(ISBLANK(DaqBook_RAW_Data!T68),"",DaqBook_RAW_Data!T68)</f>
        <v/>
      </c>
      <c r="F78" s="167" t="str">
        <f>IF(ISBLANK(DaqBook_RAW_Data!U68),"",DaqBook_RAW_Data!U68)</f>
        <v/>
      </c>
      <c r="G78" s="167" t="str">
        <f>IF(ISBLANK(DaqBook_RAW_Data!V68),"",DaqBook_RAW_Data!V68)</f>
        <v/>
      </c>
      <c r="H78" s="167" t="str">
        <f>IF(ISBLANK(DaqBook_RAW_Data!W68),"",DaqBook_RAW_Data!W68)</f>
        <v/>
      </c>
      <c r="I78" s="167" t="str">
        <f>IF(ISBLANK(DaqBook_RAW_Data!X68),"",DaqBook_RAW_Data!X68)</f>
        <v/>
      </c>
      <c r="J78" s="167" t="str">
        <f>IF(ISBLANK(DaqBook_RAW_Data!Y68),"",DaqBook_RAW_Data!Y68)</f>
        <v/>
      </c>
      <c r="K78" s="167" t="str">
        <f>IF(ISBLANK(DaqBook_RAW_Data!Z68),"",DaqBook_RAW_Data!Z68)</f>
        <v/>
      </c>
      <c r="L78" s="167" t="str">
        <f>IF(ISBLANK(DaqBook_RAW_Data!AA68),"",DaqBook_RAW_Data!AA68)</f>
        <v/>
      </c>
      <c r="M78" s="167" t="str">
        <f>IF(ISBLANK(DaqBook_RAW_Data!AB68),"",DaqBook_RAW_Data!AB68)</f>
        <v/>
      </c>
      <c r="N78" s="167" t="str">
        <f>IF(ISBLANK(DaqBook_RAW_Data!AC68),"",DaqBook_RAW_Data!AC68)</f>
        <v/>
      </c>
      <c r="O78" s="167" t="str">
        <f>IF(ISBLANK(DaqBook_RAW_Data!AD68),"",DaqBook_RAW_Data!AD68)</f>
        <v/>
      </c>
      <c r="P78" s="167" t="str">
        <f>IF(ISBLANK(DaqBook_RAW_Data!AE68),"",DaqBook_RAW_Data!AE68)</f>
        <v/>
      </c>
    </row>
    <row r="79" spans="1:16" s="98" customFormat="1" x14ac:dyDescent="0.2">
      <c r="A79" s="97" t="e">
        <f t="shared" ref="A79:A142" si="1">HOUR(B79)&amp;":"&amp;MINUTE(B79)</f>
        <v>#VALUE!</v>
      </c>
      <c r="B79" s="144" t="str">
        <f>IF(ISBLANK(DaqBook_RAW_Data!Q69),IF(DaqBook_RAW_Data!A69="","",TIMEVALUE(DaqBook_RAW_Data!A69)),TIMEVALUE(DaqBook_RAW_Data!Q69))</f>
        <v/>
      </c>
      <c r="C79" s="167" t="str">
        <f>IF(ISBLANK(DaqBook_RAW_Data!R69),"",DaqBook_RAW_Data!R69)</f>
        <v/>
      </c>
      <c r="D79" s="167" t="str">
        <f>IF(ISBLANK(DaqBook_RAW_Data!S69),"",DaqBook_RAW_Data!S69)</f>
        <v/>
      </c>
      <c r="E79" s="167" t="str">
        <f>IF(ISBLANK(DaqBook_RAW_Data!T69),"",DaqBook_RAW_Data!T69)</f>
        <v/>
      </c>
      <c r="F79" s="167" t="str">
        <f>IF(ISBLANK(DaqBook_RAW_Data!U69),"",DaqBook_RAW_Data!U69)</f>
        <v/>
      </c>
      <c r="G79" s="167" t="str">
        <f>IF(ISBLANK(DaqBook_RAW_Data!V69),"",DaqBook_RAW_Data!V69)</f>
        <v/>
      </c>
      <c r="H79" s="167" t="str">
        <f>IF(ISBLANK(DaqBook_RAW_Data!W69),"",DaqBook_RAW_Data!W69)</f>
        <v/>
      </c>
      <c r="I79" s="167" t="str">
        <f>IF(ISBLANK(DaqBook_RAW_Data!X69),"",DaqBook_RAW_Data!X69)</f>
        <v/>
      </c>
      <c r="J79" s="167" t="str">
        <f>IF(ISBLANK(DaqBook_RAW_Data!Y69),"",DaqBook_RAW_Data!Y69)</f>
        <v/>
      </c>
      <c r="K79" s="167" t="str">
        <f>IF(ISBLANK(DaqBook_RAW_Data!Z69),"",DaqBook_RAW_Data!Z69)</f>
        <v/>
      </c>
      <c r="L79" s="167" t="str">
        <f>IF(ISBLANK(DaqBook_RAW_Data!AA69),"",DaqBook_RAW_Data!AA69)</f>
        <v/>
      </c>
      <c r="M79" s="167" t="str">
        <f>IF(ISBLANK(DaqBook_RAW_Data!AB69),"",DaqBook_RAW_Data!AB69)</f>
        <v/>
      </c>
      <c r="N79" s="167" t="str">
        <f>IF(ISBLANK(DaqBook_RAW_Data!AC69),"",DaqBook_RAW_Data!AC69)</f>
        <v/>
      </c>
      <c r="O79" s="167" t="str">
        <f>IF(ISBLANK(DaqBook_RAW_Data!AD69),"",DaqBook_RAW_Data!AD69)</f>
        <v/>
      </c>
      <c r="P79" s="167" t="str">
        <f>IF(ISBLANK(DaqBook_RAW_Data!AE69),"",DaqBook_RAW_Data!AE69)</f>
        <v/>
      </c>
    </row>
    <row r="80" spans="1:16" s="98" customFormat="1" x14ac:dyDescent="0.2">
      <c r="A80" s="97" t="e">
        <f t="shared" si="1"/>
        <v>#VALUE!</v>
      </c>
      <c r="B80" s="144" t="str">
        <f>IF(ISBLANK(DaqBook_RAW_Data!Q70),IF(DaqBook_RAW_Data!A70="","",TIMEVALUE(DaqBook_RAW_Data!A70)),TIMEVALUE(DaqBook_RAW_Data!Q70))</f>
        <v/>
      </c>
      <c r="C80" s="167" t="str">
        <f>IF(ISBLANK(DaqBook_RAW_Data!R70),"",DaqBook_RAW_Data!R70)</f>
        <v/>
      </c>
      <c r="D80" s="167" t="str">
        <f>IF(ISBLANK(DaqBook_RAW_Data!S70),"",DaqBook_RAW_Data!S70)</f>
        <v/>
      </c>
      <c r="E80" s="167" t="str">
        <f>IF(ISBLANK(DaqBook_RAW_Data!T70),"",DaqBook_RAW_Data!T70)</f>
        <v/>
      </c>
      <c r="F80" s="167" t="str">
        <f>IF(ISBLANK(DaqBook_RAW_Data!U70),"",DaqBook_RAW_Data!U70)</f>
        <v/>
      </c>
      <c r="G80" s="167" t="str">
        <f>IF(ISBLANK(DaqBook_RAW_Data!V70),"",DaqBook_RAW_Data!V70)</f>
        <v/>
      </c>
      <c r="H80" s="167" t="str">
        <f>IF(ISBLANK(DaqBook_RAW_Data!W70),"",DaqBook_RAW_Data!W70)</f>
        <v/>
      </c>
      <c r="I80" s="167" t="str">
        <f>IF(ISBLANK(DaqBook_RAW_Data!X70),"",DaqBook_RAW_Data!X70)</f>
        <v/>
      </c>
      <c r="J80" s="167" t="str">
        <f>IF(ISBLANK(DaqBook_RAW_Data!Y70),"",DaqBook_RAW_Data!Y70)</f>
        <v/>
      </c>
      <c r="K80" s="167" t="str">
        <f>IF(ISBLANK(DaqBook_RAW_Data!Z70),"",DaqBook_RAW_Data!Z70)</f>
        <v/>
      </c>
      <c r="L80" s="167" t="str">
        <f>IF(ISBLANK(DaqBook_RAW_Data!AA70),"",DaqBook_RAW_Data!AA70)</f>
        <v/>
      </c>
      <c r="M80" s="167" t="str">
        <f>IF(ISBLANK(DaqBook_RAW_Data!AB70),"",DaqBook_RAW_Data!AB70)</f>
        <v/>
      </c>
      <c r="N80" s="167" t="str">
        <f>IF(ISBLANK(DaqBook_RAW_Data!AC70),"",DaqBook_RAW_Data!AC70)</f>
        <v/>
      </c>
      <c r="O80" s="167" t="str">
        <f>IF(ISBLANK(DaqBook_RAW_Data!AD70),"",DaqBook_RAW_Data!AD70)</f>
        <v/>
      </c>
      <c r="P80" s="167" t="str">
        <f>IF(ISBLANK(DaqBook_RAW_Data!AE70),"",DaqBook_RAW_Data!AE70)</f>
        <v/>
      </c>
    </row>
    <row r="81" spans="1:16" s="98" customFormat="1" x14ac:dyDescent="0.2">
      <c r="A81" s="97" t="e">
        <f t="shared" si="1"/>
        <v>#VALUE!</v>
      </c>
      <c r="B81" s="144" t="str">
        <f>IF(ISBLANK(DaqBook_RAW_Data!Q71),IF(DaqBook_RAW_Data!A71="","",TIMEVALUE(DaqBook_RAW_Data!A71)),TIMEVALUE(DaqBook_RAW_Data!Q71))</f>
        <v/>
      </c>
      <c r="C81" s="167" t="str">
        <f>IF(ISBLANK(DaqBook_RAW_Data!R71),"",DaqBook_RAW_Data!R71)</f>
        <v/>
      </c>
      <c r="D81" s="167" t="str">
        <f>IF(ISBLANK(DaqBook_RAW_Data!S71),"",DaqBook_RAW_Data!S71)</f>
        <v/>
      </c>
      <c r="E81" s="167" t="str">
        <f>IF(ISBLANK(DaqBook_RAW_Data!T71),"",DaqBook_RAW_Data!T71)</f>
        <v/>
      </c>
      <c r="F81" s="167" t="str">
        <f>IF(ISBLANK(DaqBook_RAW_Data!U71),"",DaqBook_RAW_Data!U71)</f>
        <v/>
      </c>
      <c r="G81" s="167" t="str">
        <f>IF(ISBLANK(DaqBook_RAW_Data!V71),"",DaqBook_RAW_Data!V71)</f>
        <v/>
      </c>
      <c r="H81" s="167" t="str">
        <f>IF(ISBLANK(DaqBook_RAW_Data!W71),"",DaqBook_RAW_Data!W71)</f>
        <v/>
      </c>
      <c r="I81" s="167" t="str">
        <f>IF(ISBLANK(DaqBook_RAW_Data!X71),"",DaqBook_RAW_Data!X71)</f>
        <v/>
      </c>
      <c r="J81" s="167" t="str">
        <f>IF(ISBLANK(DaqBook_RAW_Data!Y71),"",DaqBook_RAW_Data!Y71)</f>
        <v/>
      </c>
      <c r="K81" s="167" t="str">
        <f>IF(ISBLANK(DaqBook_RAW_Data!Z71),"",DaqBook_RAW_Data!Z71)</f>
        <v/>
      </c>
      <c r="L81" s="167" t="str">
        <f>IF(ISBLANK(DaqBook_RAW_Data!AA71),"",DaqBook_RAW_Data!AA71)</f>
        <v/>
      </c>
      <c r="M81" s="167" t="str">
        <f>IF(ISBLANK(DaqBook_RAW_Data!AB71),"",DaqBook_RAW_Data!AB71)</f>
        <v/>
      </c>
      <c r="N81" s="167" t="str">
        <f>IF(ISBLANK(DaqBook_RAW_Data!AC71),"",DaqBook_RAW_Data!AC71)</f>
        <v/>
      </c>
      <c r="O81" s="167" t="str">
        <f>IF(ISBLANK(DaqBook_RAW_Data!AD71),"",DaqBook_RAW_Data!AD71)</f>
        <v/>
      </c>
      <c r="P81" s="167" t="str">
        <f>IF(ISBLANK(DaqBook_RAW_Data!AE71),"",DaqBook_RAW_Data!AE71)</f>
        <v/>
      </c>
    </row>
    <row r="82" spans="1:16" s="98" customFormat="1" x14ac:dyDescent="0.2">
      <c r="A82" s="97" t="e">
        <f t="shared" si="1"/>
        <v>#VALUE!</v>
      </c>
      <c r="B82" s="144" t="str">
        <f>IF(ISBLANK(DaqBook_RAW_Data!Q72),IF(DaqBook_RAW_Data!A72="","",TIMEVALUE(DaqBook_RAW_Data!A72)),TIMEVALUE(DaqBook_RAW_Data!Q72))</f>
        <v/>
      </c>
      <c r="C82" s="167" t="str">
        <f>IF(ISBLANK(DaqBook_RAW_Data!R72),"",DaqBook_RAW_Data!R72)</f>
        <v/>
      </c>
      <c r="D82" s="167" t="str">
        <f>IF(ISBLANK(DaqBook_RAW_Data!S72),"",DaqBook_RAW_Data!S72)</f>
        <v/>
      </c>
      <c r="E82" s="167" t="str">
        <f>IF(ISBLANK(DaqBook_RAW_Data!T72),"",DaqBook_RAW_Data!T72)</f>
        <v/>
      </c>
      <c r="F82" s="167" t="str">
        <f>IF(ISBLANK(DaqBook_RAW_Data!U72),"",DaqBook_RAW_Data!U72)</f>
        <v/>
      </c>
      <c r="G82" s="167" t="str">
        <f>IF(ISBLANK(DaqBook_RAW_Data!V72),"",DaqBook_RAW_Data!V72)</f>
        <v/>
      </c>
      <c r="H82" s="167" t="str">
        <f>IF(ISBLANK(DaqBook_RAW_Data!W72),"",DaqBook_RAW_Data!W72)</f>
        <v/>
      </c>
      <c r="I82" s="167" t="str">
        <f>IF(ISBLANK(DaqBook_RAW_Data!X72),"",DaqBook_RAW_Data!X72)</f>
        <v/>
      </c>
      <c r="J82" s="167" t="str">
        <f>IF(ISBLANK(DaqBook_RAW_Data!Y72),"",DaqBook_RAW_Data!Y72)</f>
        <v/>
      </c>
      <c r="K82" s="167" t="str">
        <f>IF(ISBLANK(DaqBook_RAW_Data!Z72),"",DaqBook_RAW_Data!Z72)</f>
        <v/>
      </c>
      <c r="L82" s="167" t="str">
        <f>IF(ISBLANK(DaqBook_RAW_Data!AA72),"",DaqBook_RAW_Data!AA72)</f>
        <v/>
      </c>
      <c r="M82" s="167" t="str">
        <f>IF(ISBLANK(DaqBook_RAW_Data!AB72),"",DaqBook_RAW_Data!AB72)</f>
        <v/>
      </c>
      <c r="N82" s="167" t="str">
        <f>IF(ISBLANK(DaqBook_RAW_Data!AC72),"",DaqBook_RAW_Data!AC72)</f>
        <v/>
      </c>
      <c r="O82" s="167" t="str">
        <f>IF(ISBLANK(DaqBook_RAW_Data!AD72),"",DaqBook_RAW_Data!AD72)</f>
        <v/>
      </c>
      <c r="P82" s="167" t="str">
        <f>IF(ISBLANK(DaqBook_RAW_Data!AE72),"",DaqBook_RAW_Data!AE72)</f>
        <v/>
      </c>
    </row>
    <row r="83" spans="1:16" s="98" customFormat="1" x14ac:dyDescent="0.2">
      <c r="A83" s="97" t="e">
        <f t="shared" si="1"/>
        <v>#VALUE!</v>
      </c>
      <c r="B83" s="144" t="str">
        <f>IF(ISBLANK(DaqBook_RAW_Data!Q73),IF(DaqBook_RAW_Data!A73="","",TIMEVALUE(DaqBook_RAW_Data!A73)),TIMEVALUE(DaqBook_RAW_Data!Q73))</f>
        <v/>
      </c>
      <c r="C83" s="167" t="str">
        <f>IF(ISBLANK(DaqBook_RAW_Data!R73),"",DaqBook_RAW_Data!R73)</f>
        <v/>
      </c>
      <c r="D83" s="167" t="str">
        <f>IF(ISBLANK(DaqBook_RAW_Data!S73),"",DaqBook_RAW_Data!S73)</f>
        <v/>
      </c>
      <c r="E83" s="167" t="str">
        <f>IF(ISBLANK(DaqBook_RAW_Data!T73),"",DaqBook_RAW_Data!T73)</f>
        <v/>
      </c>
      <c r="F83" s="167" t="str">
        <f>IF(ISBLANK(DaqBook_RAW_Data!U73),"",DaqBook_RAW_Data!U73)</f>
        <v/>
      </c>
      <c r="G83" s="167" t="str">
        <f>IF(ISBLANK(DaqBook_RAW_Data!V73),"",DaqBook_RAW_Data!V73)</f>
        <v/>
      </c>
      <c r="H83" s="167" t="str">
        <f>IF(ISBLANK(DaqBook_RAW_Data!W73),"",DaqBook_RAW_Data!W73)</f>
        <v/>
      </c>
      <c r="I83" s="167" t="str">
        <f>IF(ISBLANK(DaqBook_RAW_Data!X73),"",DaqBook_RAW_Data!X73)</f>
        <v/>
      </c>
      <c r="J83" s="167" t="str">
        <f>IF(ISBLANK(DaqBook_RAW_Data!Y73),"",DaqBook_RAW_Data!Y73)</f>
        <v/>
      </c>
      <c r="K83" s="167" t="str">
        <f>IF(ISBLANK(DaqBook_RAW_Data!Z73),"",DaqBook_RAW_Data!Z73)</f>
        <v/>
      </c>
      <c r="L83" s="167" t="str">
        <f>IF(ISBLANK(DaqBook_RAW_Data!AA73),"",DaqBook_RAW_Data!AA73)</f>
        <v/>
      </c>
      <c r="M83" s="167" t="str">
        <f>IF(ISBLANK(DaqBook_RAW_Data!AB73),"",DaqBook_RAW_Data!AB73)</f>
        <v/>
      </c>
      <c r="N83" s="167" t="str">
        <f>IF(ISBLANK(DaqBook_RAW_Data!AC73),"",DaqBook_RAW_Data!AC73)</f>
        <v/>
      </c>
      <c r="O83" s="167" t="str">
        <f>IF(ISBLANK(DaqBook_RAW_Data!AD73),"",DaqBook_RAW_Data!AD73)</f>
        <v/>
      </c>
      <c r="P83" s="167" t="str">
        <f>IF(ISBLANK(DaqBook_RAW_Data!AE73),"",DaqBook_RAW_Data!AE73)</f>
        <v/>
      </c>
    </row>
    <row r="84" spans="1:16" s="96" customFormat="1" x14ac:dyDescent="0.2">
      <c r="A84" s="145" t="e">
        <f t="shared" si="1"/>
        <v>#VALUE!</v>
      </c>
      <c r="B84" s="144" t="str">
        <f>IF(ISBLANK(DaqBook_RAW_Data!Q74),IF(DaqBook_RAW_Data!A74="","",TIMEVALUE(DaqBook_RAW_Data!A74)),TIMEVALUE(DaqBook_RAW_Data!Q74))</f>
        <v/>
      </c>
      <c r="C84" s="167" t="str">
        <f>IF(ISBLANK(DaqBook_RAW_Data!R74),"",DaqBook_RAW_Data!R74)</f>
        <v/>
      </c>
      <c r="D84" s="167" t="str">
        <f>IF(ISBLANK(DaqBook_RAW_Data!S74),"",DaqBook_RAW_Data!S74)</f>
        <v/>
      </c>
      <c r="E84" s="167" t="str">
        <f>IF(ISBLANK(DaqBook_RAW_Data!T74),"",DaqBook_RAW_Data!T74)</f>
        <v/>
      </c>
      <c r="F84" s="167" t="str">
        <f>IF(ISBLANK(DaqBook_RAW_Data!U74),"",DaqBook_RAW_Data!U74)</f>
        <v/>
      </c>
      <c r="G84" s="167" t="str">
        <f>IF(ISBLANK(DaqBook_RAW_Data!V74),"",DaqBook_RAW_Data!V74)</f>
        <v/>
      </c>
      <c r="H84" s="167" t="str">
        <f>IF(ISBLANK(DaqBook_RAW_Data!W74),"",DaqBook_RAW_Data!W74)</f>
        <v/>
      </c>
      <c r="I84" s="167" t="str">
        <f>IF(ISBLANK(DaqBook_RAW_Data!X74),"",DaqBook_RAW_Data!X74)</f>
        <v/>
      </c>
      <c r="J84" s="167" t="str">
        <f>IF(ISBLANK(DaqBook_RAW_Data!Y74),"",DaqBook_RAW_Data!Y74)</f>
        <v/>
      </c>
      <c r="K84" s="167" t="str">
        <f>IF(ISBLANK(DaqBook_RAW_Data!Z74),"",DaqBook_RAW_Data!Z74)</f>
        <v/>
      </c>
      <c r="L84" s="167" t="str">
        <f>IF(ISBLANK(DaqBook_RAW_Data!AA74),"",DaqBook_RAW_Data!AA74)</f>
        <v/>
      </c>
      <c r="M84" s="167" t="str">
        <f>IF(ISBLANK(DaqBook_RAW_Data!AB74),"",DaqBook_RAW_Data!AB74)</f>
        <v/>
      </c>
      <c r="N84" s="167" t="str">
        <f>IF(ISBLANK(DaqBook_RAW_Data!AC74),"",DaqBook_RAW_Data!AC74)</f>
        <v/>
      </c>
      <c r="O84" s="167" t="str">
        <f>IF(ISBLANK(DaqBook_RAW_Data!AD74),"",DaqBook_RAW_Data!AD74)</f>
        <v/>
      </c>
      <c r="P84" s="167" t="str">
        <f>IF(ISBLANK(DaqBook_RAW_Data!AE74),"",DaqBook_RAW_Data!AE74)</f>
        <v/>
      </c>
    </row>
    <row r="85" spans="1:16" s="96" customFormat="1" x14ac:dyDescent="0.2">
      <c r="A85" s="145" t="e">
        <f t="shared" si="1"/>
        <v>#VALUE!</v>
      </c>
      <c r="B85" s="144" t="str">
        <f>IF(ISBLANK(DaqBook_RAW_Data!Q75),IF(DaqBook_RAW_Data!A75="","",TIMEVALUE(DaqBook_RAW_Data!A75)),TIMEVALUE(DaqBook_RAW_Data!Q75))</f>
        <v/>
      </c>
      <c r="C85" s="167" t="str">
        <f>IF(ISBLANK(DaqBook_RAW_Data!R75),"",DaqBook_RAW_Data!R75)</f>
        <v/>
      </c>
      <c r="D85" s="167" t="str">
        <f>IF(ISBLANK(DaqBook_RAW_Data!S75),"",DaqBook_RAW_Data!S75)</f>
        <v/>
      </c>
      <c r="E85" s="167" t="str">
        <f>IF(ISBLANK(DaqBook_RAW_Data!T75),"",DaqBook_RAW_Data!T75)</f>
        <v/>
      </c>
      <c r="F85" s="167" t="str">
        <f>IF(ISBLANK(DaqBook_RAW_Data!U75),"",DaqBook_RAW_Data!U75)</f>
        <v/>
      </c>
      <c r="G85" s="167" t="str">
        <f>IF(ISBLANK(DaqBook_RAW_Data!V75),"",DaqBook_RAW_Data!V75)</f>
        <v/>
      </c>
      <c r="H85" s="167" t="str">
        <f>IF(ISBLANK(DaqBook_RAW_Data!W75),"",DaqBook_RAW_Data!W75)</f>
        <v/>
      </c>
      <c r="I85" s="167" t="str">
        <f>IF(ISBLANK(DaqBook_RAW_Data!X75),"",DaqBook_RAW_Data!X75)</f>
        <v/>
      </c>
      <c r="J85" s="167" t="str">
        <f>IF(ISBLANK(DaqBook_RAW_Data!Y75),"",DaqBook_RAW_Data!Y75)</f>
        <v/>
      </c>
      <c r="K85" s="167" t="str">
        <f>IF(ISBLANK(DaqBook_RAW_Data!Z75),"",DaqBook_RAW_Data!Z75)</f>
        <v/>
      </c>
      <c r="L85" s="167" t="str">
        <f>IF(ISBLANK(DaqBook_RAW_Data!AA75),"",DaqBook_RAW_Data!AA75)</f>
        <v/>
      </c>
      <c r="M85" s="167" t="str">
        <f>IF(ISBLANK(DaqBook_RAW_Data!AB75),"",DaqBook_RAW_Data!AB75)</f>
        <v/>
      </c>
      <c r="N85" s="167" t="str">
        <f>IF(ISBLANK(DaqBook_RAW_Data!AC75),"",DaqBook_RAW_Data!AC75)</f>
        <v/>
      </c>
      <c r="O85" s="167" t="str">
        <f>IF(ISBLANK(DaqBook_RAW_Data!AD75),"",DaqBook_RAW_Data!AD75)</f>
        <v/>
      </c>
      <c r="P85" s="167" t="str">
        <f>IF(ISBLANK(DaqBook_RAW_Data!AE75),"",DaqBook_RAW_Data!AE75)</f>
        <v/>
      </c>
    </row>
    <row r="86" spans="1:16" s="96" customFormat="1" x14ac:dyDescent="0.2">
      <c r="A86" s="145" t="e">
        <f t="shared" si="1"/>
        <v>#VALUE!</v>
      </c>
      <c r="B86" s="144" t="str">
        <f>IF(ISBLANK(DaqBook_RAW_Data!Q76),IF(DaqBook_RAW_Data!A76="","",TIMEVALUE(DaqBook_RAW_Data!A76)),TIMEVALUE(DaqBook_RAW_Data!Q76))</f>
        <v/>
      </c>
      <c r="C86" s="167" t="str">
        <f>IF(ISBLANK(DaqBook_RAW_Data!R76),"",DaqBook_RAW_Data!R76)</f>
        <v/>
      </c>
      <c r="D86" s="167" t="str">
        <f>IF(ISBLANK(DaqBook_RAW_Data!S76),"",DaqBook_RAW_Data!S76)</f>
        <v/>
      </c>
      <c r="E86" s="167" t="str">
        <f>IF(ISBLANK(DaqBook_RAW_Data!T76),"",DaqBook_RAW_Data!T76)</f>
        <v/>
      </c>
      <c r="F86" s="167" t="str">
        <f>IF(ISBLANK(DaqBook_RAW_Data!U76),"",DaqBook_RAW_Data!U76)</f>
        <v/>
      </c>
      <c r="G86" s="167" t="str">
        <f>IF(ISBLANK(DaqBook_RAW_Data!V76),"",DaqBook_RAW_Data!V76)</f>
        <v/>
      </c>
      <c r="H86" s="167" t="str">
        <f>IF(ISBLANK(DaqBook_RAW_Data!W76),"",DaqBook_RAW_Data!W76)</f>
        <v/>
      </c>
      <c r="I86" s="167" t="str">
        <f>IF(ISBLANK(DaqBook_RAW_Data!X76),"",DaqBook_RAW_Data!X76)</f>
        <v/>
      </c>
      <c r="J86" s="167" t="str">
        <f>IF(ISBLANK(DaqBook_RAW_Data!Y76),"",DaqBook_RAW_Data!Y76)</f>
        <v/>
      </c>
      <c r="K86" s="167" t="str">
        <f>IF(ISBLANK(DaqBook_RAW_Data!Z76),"",DaqBook_RAW_Data!Z76)</f>
        <v/>
      </c>
      <c r="L86" s="167" t="str">
        <f>IF(ISBLANK(DaqBook_RAW_Data!AA76),"",DaqBook_RAW_Data!AA76)</f>
        <v/>
      </c>
      <c r="M86" s="167" t="str">
        <f>IF(ISBLANK(DaqBook_RAW_Data!AB76),"",DaqBook_RAW_Data!AB76)</f>
        <v/>
      </c>
      <c r="N86" s="167" t="str">
        <f>IF(ISBLANK(DaqBook_RAW_Data!AC76),"",DaqBook_RAW_Data!AC76)</f>
        <v/>
      </c>
      <c r="O86" s="167" t="str">
        <f>IF(ISBLANK(DaqBook_RAW_Data!AD76),"",DaqBook_RAW_Data!AD76)</f>
        <v/>
      </c>
      <c r="P86" s="167" t="str">
        <f>IF(ISBLANK(DaqBook_RAW_Data!AE76),"",DaqBook_RAW_Data!AE76)</f>
        <v/>
      </c>
    </row>
    <row r="87" spans="1:16" s="96" customFormat="1" x14ac:dyDescent="0.2">
      <c r="A87" s="145" t="e">
        <f t="shared" si="1"/>
        <v>#VALUE!</v>
      </c>
      <c r="B87" s="144" t="str">
        <f>IF(ISBLANK(DaqBook_RAW_Data!Q77),IF(DaqBook_RAW_Data!A77="","",TIMEVALUE(DaqBook_RAW_Data!A77)),TIMEVALUE(DaqBook_RAW_Data!Q77))</f>
        <v/>
      </c>
      <c r="C87" s="167" t="str">
        <f>IF(ISBLANK(DaqBook_RAW_Data!R77),"",DaqBook_RAW_Data!R77)</f>
        <v/>
      </c>
      <c r="D87" s="167" t="str">
        <f>IF(ISBLANK(DaqBook_RAW_Data!S77),"",DaqBook_RAW_Data!S77)</f>
        <v/>
      </c>
      <c r="E87" s="167" t="str">
        <f>IF(ISBLANK(DaqBook_RAW_Data!T77),"",DaqBook_RAW_Data!T77)</f>
        <v/>
      </c>
      <c r="F87" s="167" t="str">
        <f>IF(ISBLANK(DaqBook_RAW_Data!U77),"",DaqBook_RAW_Data!U77)</f>
        <v/>
      </c>
      <c r="G87" s="167" t="str">
        <f>IF(ISBLANK(DaqBook_RAW_Data!V77),"",DaqBook_RAW_Data!V77)</f>
        <v/>
      </c>
      <c r="H87" s="167" t="str">
        <f>IF(ISBLANK(DaqBook_RAW_Data!W77),"",DaqBook_RAW_Data!W77)</f>
        <v/>
      </c>
      <c r="I87" s="167" t="str">
        <f>IF(ISBLANK(DaqBook_RAW_Data!X77),"",DaqBook_RAW_Data!X77)</f>
        <v/>
      </c>
      <c r="J87" s="167" t="str">
        <f>IF(ISBLANK(DaqBook_RAW_Data!Y77),"",DaqBook_RAW_Data!Y77)</f>
        <v/>
      </c>
      <c r="K87" s="167" t="str">
        <f>IF(ISBLANK(DaqBook_RAW_Data!Z77),"",DaqBook_RAW_Data!Z77)</f>
        <v/>
      </c>
      <c r="L87" s="167" t="str">
        <f>IF(ISBLANK(DaqBook_RAW_Data!AA77),"",DaqBook_RAW_Data!AA77)</f>
        <v/>
      </c>
      <c r="M87" s="167" t="str">
        <f>IF(ISBLANK(DaqBook_RAW_Data!AB77),"",DaqBook_RAW_Data!AB77)</f>
        <v/>
      </c>
      <c r="N87" s="167" t="str">
        <f>IF(ISBLANK(DaqBook_RAW_Data!AC77),"",DaqBook_RAW_Data!AC77)</f>
        <v/>
      </c>
      <c r="O87" s="167" t="str">
        <f>IF(ISBLANK(DaqBook_RAW_Data!AD77),"",DaqBook_RAW_Data!AD77)</f>
        <v/>
      </c>
      <c r="P87" s="167" t="str">
        <f>IF(ISBLANK(DaqBook_RAW_Data!AE77),"",DaqBook_RAW_Data!AE77)</f>
        <v/>
      </c>
    </row>
    <row r="88" spans="1:16" s="96" customFormat="1" x14ac:dyDescent="0.2">
      <c r="A88" s="145" t="e">
        <f t="shared" si="1"/>
        <v>#VALUE!</v>
      </c>
      <c r="B88" s="144" t="str">
        <f>IF(ISBLANK(DaqBook_RAW_Data!Q78),IF(DaqBook_RAW_Data!A78="","",TIMEVALUE(DaqBook_RAW_Data!A78)),TIMEVALUE(DaqBook_RAW_Data!Q78))</f>
        <v/>
      </c>
      <c r="C88" s="167" t="str">
        <f>IF(ISBLANK(DaqBook_RAW_Data!R78),"",DaqBook_RAW_Data!R78)</f>
        <v/>
      </c>
      <c r="D88" s="167" t="str">
        <f>IF(ISBLANK(DaqBook_RAW_Data!S78),"",DaqBook_RAW_Data!S78)</f>
        <v/>
      </c>
      <c r="E88" s="167" t="str">
        <f>IF(ISBLANK(DaqBook_RAW_Data!T78),"",DaqBook_RAW_Data!T78)</f>
        <v/>
      </c>
      <c r="F88" s="167" t="str">
        <f>IF(ISBLANK(DaqBook_RAW_Data!U78),"",DaqBook_RAW_Data!U78)</f>
        <v/>
      </c>
      <c r="G88" s="167" t="str">
        <f>IF(ISBLANK(DaqBook_RAW_Data!V78),"",DaqBook_RAW_Data!V78)</f>
        <v/>
      </c>
      <c r="H88" s="167" t="str">
        <f>IF(ISBLANK(DaqBook_RAW_Data!W78),"",DaqBook_RAW_Data!W78)</f>
        <v/>
      </c>
      <c r="I88" s="167" t="str">
        <f>IF(ISBLANK(DaqBook_RAW_Data!X78),"",DaqBook_RAW_Data!X78)</f>
        <v/>
      </c>
      <c r="J88" s="167" t="str">
        <f>IF(ISBLANK(DaqBook_RAW_Data!Y78),"",DaqBook_RAW_Data!Y78)</f>
        <v/>
      </c>
      <c r="K88" s="167" t="str">
        <f>IF(ISBLANK(DaqBook_RAW_Data!Z78),"",DaqBook_RAW_Data!Z78)</f>
        <v/>
      </c>
      <c r="L88" s="167" t="str">
        <f>IF(ISBLANK(DaqBook_RAW_Data!AA78),"",DaqBook_RAW_Data!AA78)</f>
        <v/>
      </c>
      <c r="M88" s="167" t="str">
        <f>IF(ISBLANK(DaqBook_RAW_Data!AB78),"",DaqBook_RAW_Data!AB78)</f>
        <v/>
      </c>
      <c r="N88" s="167" t="str">
        <f>IF(ISBLANK(DaqBook_RAW_Data!AC78),"",DaqBook_RAW_Data!AC78)</f>
        <v/>
      </c>
      <c r="O88" s="167" t="str">
        <f>IF(ISBLANK(DaqBook_RAW_Data!AD78),"",DaqBook_RAW_Data!AD78)</f>
        <v/>
      </c>
      <c r="P88" s="167" t="str">
        <f>IF(ISBLANK(DaqBook_RAW_Data!AE78),"",DaqBook_RAW_Data!AE78)</f>
        <v/>
      </c>
    </row>
    <row r="89" spans="1:16" s="96" customFormat="1" x14ac:dyDescent="0.2">
      <c r="A89" s="145" t="e">
        <f t="shared" si="1"/>
        <v>#VALUE!</v>
      </c>
      <c r="B89" s="144" t="str">
        <f>IF(ISBLANK(DaqBook_RAW_Data!Q79),IF(DaqBook_RAW_Data!A79="","",TIMEVALUE(DaqBook_RAW_Data!A79)),TIMEVALUE(DaqBook_RAW_Data!Q79))</f>
        <v/>
      </c>
      <c r="C89" s="167" t="str">
        <f>IF(ISBLANK(DaqBook_RAW_Data!R79),"",DaqBook_RAW_Data!R79)</f>
        <v/>
      </c>
      <c r="D89" s="167" t="str">
        <f>IF(ISBLANK(DaqBook_RAW_Data!S79),"",DaqBook_RAW_Data!S79)</f>
        <v/>
      </c>
      <c r="E89" s="167" t="str">
        <f>IF(ISBLANK(DaqBook_RAW_Data!T79),"",DaqBook_RAW_Data!T79)</f>
        <v/>
      </c>
      <c r="F89" s="167" t="str">
        <f>IF(ISBLANK(DaqBook_RAW_Data!U79),"",DaqBook_RAW_Data!U79)</f>
        <v/>
      </c>
      <c r="G89" s="167" t="str">
        <f>IF(ISBLANK(DaqBook_RAW_Data!V79),"",DaqBook_RAW_Data!V79)</f>
        <v/>
      </c>
      <c r="H89" s="167" t="str">
        <f>IF(ISBLANK(DaqBook_RAW_Data!W79),"",DaqBook_RAW_Data!W79)</f>
        <v/>
      </c>
      <c r="I89" s="167" t="str">
        <f>IF(ISBLANK(DaqBook_RAW_Data!X79),"",DaqBook_RAW_Data!X79)</f>
        <v/>
      </c>
      <c r="J89" s="167" t="str">
        <f>IF(ISBLANK(DaqBook_RAW_Data!Y79),"",DaqBook_RAW_Data!Y79)</f>
        <v/>
      </c>
      <c r="K89" s="167" t="str">
        <f>IF(ISBLANK(DaqBook_RAW_Data!Z79),"",DaqBook_RAW_Data!Z79)</f>
        <v/>
      </c>
      <c r="L89" s="167" t="str">
        <f>IF(ISBLANK(DaqBook_RAW_Data!AA79),"",DaqBook_RAW_Data!AA79)</f>
        <v/>
      </c>
      <c r="M89" s="167" t="str">
        <f>IF(ISBLANK(DaqBook_RAW_Data!AB79),"",DaqBook_RAW_Data!AB79)</f>
        <v/>
      </c>
      <c r="N89" s="167" t="str">
        <f>IF(ISBLANK(DaqBook_RAW_Data!AC79),"",DaqBook_RAW_Data!AC79)</f>
        <v/>
      </c>
      <c r="O89" s="167" t="str">
        <f>IF(ISBLANK(DaqBook_RAW_Data!AD79),"",DaqBook_RAW_Data!AD79)</f>
        <v/>
      </c>
      <c r="P89" s="167" t="str">
        <f>IF(ISBLANK(DaqBook_RAW_Data!AE79),"",DaqBook_RAW_Data!AE79)</f>
        <v/>
      </c>
    </row>
    <row r="90" spans="1:16" s="96" customFormat="1" x14ac:dyDescent="0.2">
      <c r="A90" s="145" t="e">
        <f t="shared" si="1"/>
        <v>#VALUE!</v>
      </c>
      <c r="B90" s="144" t="str">
        <f>IF(ISBLANK(DaqBook_RAW_Data!Q80),IF(DaqBook_RAW_Data!A80="","",TIMEVALUE(DaqBook_RAW_Data!A80)),TIMEVALUE(DaqBook_RAW_Data!Q80))</f>
        <v/>
      </c>
      <c r="C90" s="167" t="str">
        <f>IF(ISBLANK(DaqBook_RAW_Data!R80),"",DaqBook_RAW_Data!R80)</f>
        <v/>
      </c>
      <c r="D90" s="167" t="str">
        <f>IF(ISBLANK(DaqBook_RAW_Data!S80),"",DaqBook_RAW_Data!S80)</f>
        <v/>
      </c>
      <c r="E90" s="167" t="str">
        <f>IF(ISBLANK(DaqBook_RAW_Data!T80),"",DaqBook_RAW_Data!T80)</f>
        <v/>
      </c>
      <c r="F90" s="167" t="str">
        <f>IF(ISBLANK(DaqBook_RAW_Data!U80),"",DaqBook_RAW_Data!U80)</f>
        <v/>
      </c>
      <c r="G90" s="167" t="str">
        <f>IF(ISBLANK(DaqBook_RAW_Data!V80),"",DaqBook_RAW_Data!V80)</f>
        <v/>
      </c>
      <c r="H90" s="167" t="str">
        <f>IF(ISBLANK(DaqBook_RAW_Data!W80),"",DaqBook_RAW_Data!W80)</f>
        <v/>
      </c>
      <c r="I90" s="167" t="str">
        <f>IF(ISBLANK(DaqBook_RAW_Data!X80),"",DaqBook_RAW_Data!X80)</f>
        <v/>
      </c>
      <c r="J90" s="167" t="str">
        <f>IF(ISBLANK(DaqBook_RAW_Data!Y80),"",DaqBook_RAW_Data!Y80)</f>
        <v/>
      </c>
      <c r="K90" s="167" t="str">
        <f>IF(ISBLANK(DaqBook_RAW_Data!Z80),"",DaqBook_RAW_Data!Z80)</f>
        <v/>
      </c>
      <c r="L90" s="167" t="str">
        <f>IF(ISBLANK(DaqBook_RAW_Data!AA80),"",DaqBook_RAW_Data!AA80)</f>
        <v/>
      </c>
      <c r="M90" s="167" t="str">
        <f>IF(ISBLANK(DaqBook_RAW_Data!AB80),"",DaqBook_RAW_Data!AB80)</f>
        <v/>
      </c>
      <c r="N90" s="167" t="str">
        <f>IF(ISBLANK(DaqBook_RAW_Data!AC80),"",DaqBook_RAW_Data!AC80)</f>
        <v/>
      </c>
      <c r="O90" s="167" t="str">
        <f>IF(ISBLANK(DaqBook_RAW_Data!AD80),"",DaqBook_RAW_Data!AD80)</f>
        <v/>
      </c>
      <c r="P90" s="167" t="str">
        <f>IF(ISBLANK(DaqBook_RAW_Data!AE80),"",DaqBook_RAW_Data!AE80)</f>
        <v/>
      </c>
    </row>
    <row r="91" spans="1:16" s="96" customFormat="1" x14ac:dyDescent="0.2">
      <c r="A91" s="145" t="e">
        <f t="shared" si="1"/>
        <v>#VALUE!</v>
      </c>
      <c r="B91" s="144" t="str">
        <f>IF(ISBLANK(DaqBook_RAW_Data!Q81),IF(DaqBook_RAW_Data!A81="","",TIMEVALUE(DaqBook_RAW_Data!A81)),TIMEVALUE(DaqBook_RAW_Data!Q81))</f>
        <v/>
      </c>
      <c r="C91" s="167" t="str">
        <f>IF(ISBLANK(DaqBook_RAW_Data!R81),"",DaqBook_RAW_Data!R81)</f>
        <v/>
      </c>
      <c r="D91" s="167" t="str">
        <f>IF(ISBLANK(DaqBook_RAW_Data!S81),"",DaqBook_RAW_Data!S81)</f>
        <v/>
      </c>
      <c r="E91" s="167" t="str">
        <f>IF(ISBLANK(DaqBook_RAW_Data!T81),"",DaqBook_RAW_Data!T81)</f>
        <v/>
      </c>
      <c r="F91" s="167" t="str">
        <f>IF(ISBLANK(DaqBook_RAW_Data!U81),"",DaqBook_RAW_Data!U81)</f>
        <v/>
      </c>
      <c r="G91" s="167" t="str">
        <f>IF(ISBLANK(DaqBook_RAW_Data!V81),"",DaqBook_RAW_Data!V81)</f>
        <v/>
      </c>
      <c r="H91" s="167" t="str">
        <f>IF(ISBLANK(DaqBook_RAW_Data!W81),"",DaqBook_RAW_Data!W81)</f>
        <v/>
      </c>
      <c r="I91" s="167" t="str">
        <f>IF(ISBLANK(DaqBook_RAW_Data!X81),"",DaqBook_RAW_Data!X81)</f>
        <v/>
      </c>
      <c r="J91" s="167" t="str">
        <f>IF(ISBLANK(DaqBook_RAW_Data!Y81),"",DaqBook_RAW_Data!Y81)</f>
        <v/>
      </c>
      <c r="K91" s="167" t="str">
        <f>IF(ISBLANK(DaqBook_RAW_Data!Z81),"",DaqBook_RAW_Data!Z81)</f>
        <v/>
      </c>
      <c r="L91" s="167" t="str">
        <f>IF(ISBLANK(DaqBook_RAW_Data!AA81),"",DaqBook_RAW_Data!AA81)</f>
        <v/>
      </c>
      <c r="M91" s="167" t="str">
        <f>IF(ISBLANK(DaqBook_RAW_Data!AB81),"",DaqBook_RAW_Data!AB81)</f>
        <v/>
      </c>
      <c r="N91" s="167" t="str">
        <f>IF(ISBLANK(DaqBook_RAW_Data!AC81),"",DaqBook_RAW_Data!AC81)</f>
        <v/>
      </c>
      <c r="O91" s="167" t="str">
        <f>IF(ISBLANK(DaqBook_RAW_Data!AD81),"",DaqBook_RAW_Data!AD81)</f>
        <v/>
      </c>
      <c r="P91" s="167" t="str">
        <f>IF(ISBLANK(DaqBook_RAW_Data!AE81),"",DaqBook_RAW_Data!AE81)</f>
        <v/>
      </c>
    </row>
    <row r="92" spans="1:16" s="96" customFormat="1" x14ac:dyDescent="0.2">
      <c r="A92" s="145" t="e">
        <f t="shared" si="1"/>
        <v>#VALUE!</v>
      </c>
      <c r="B92" s="144" t="str">
        <f>IF(ISBLANK(DaqBook_RAW_Data!Q82),IF(DaqBook_RAW_Data!A82="","",TIMEVALUE(DaqBook_RAW_Data!A82)),TIMEVALUE(DaqBook_RAW_Data!Q82))</f>
        <v/>
      </c>
      <c r="C92" s="167" t="str">
        <f>IF(ISBLANK(DaqBook_RAW_Data!R82),"",DaqBook_RAW_Data!R82)</f>
        <v/>
      </c>
      <c r="D92" s="167" t="str">
        <f>IF(ISBLANK(DaqBook_RAW_Data!S82),"",DaqBook_RAW_Data!S82)</f>
        <v/>
      </c>
      <c r="E92" s="167" t="str">
        <f>IF(ISBLANK(DaqBook_RAW_Data!T82),"",DaqBook_RAW_Data!T82)</f>
        <v/>
      </c>
      <c r="F92" s="167" t="str">
        <f>IF(ISBLANK(DaqBook_RAW_Data!U82),"",DaqBook_RAW_Data!U82)</f>
        <v/>
      </c>
      <c r="G92" s="167" t="str">
        <f>IF(ISBLANK(DaqBook_RAW_Data!V82),"",DaqBook_RAW_Data!V82)</f>
        <v/>
      </c>
      <c r="H92" s="167" t="str">
        <f>IF(ISBLANK(DaqBook_RAW_Data!W82),"",DaqBook_RAW_Data!W82)</f>
        <v/>
      </c>
      <c r="I92" s="167" t="str">
        <f>IF(ISBLANK(DaqBook_RAW_Data!X82),"",DaqBook_RAW_Data!X82)</f>
        <v/>
      </c>
      <c r="J92" s="167" t="str">
        <f>IF(ISBLANK(DaqBook_RAW_Data!Y82),"",DaqBook_RAW_Data!Y82)</f>
        <v/>
      </c>
      <c r="K92" s="167" t="str">
        <f>IF(ISBLANK(DaqBook_RAW_Data!Z82),"",DaqBook_RAW_Data!Z82)</f>
        <v/>
      </c>
      <c r="L92" s="167" t="str">
        <f>IF(ISBLANK(DaqBook_RAW_Data!AA82),"",DaqBook_RAW_Data!AA82)</f>
        <v/>
      </c>
      <c r="M92" s="167" t="str">
        <f>IF(ISBLANK(DaqBook_RAW_Data!AB82),"",DaqBook_RAW_Data!AB82)</f>
        <v/>
      </c>
      <c r="N92" s="167" t="str">
        <f>IF(ISBLANK(DaqBook_RAW_Data!AC82),"",DaqBook_RAW_Data!AC82)</f>
        <v/>
      </c>
      <c r="O92" s="167" t="str">
        <f>IF(ISBLANK(DaqBook_RAW_Data!AD82),"",DaqBook_RAW_Data!AD82)</f>
        <v/>
      </c>
      <c r="P92" s="167" t="str">
        <f>IF(ISBLANK(DaqBook_RAW_Data!AE82),"",DaqBook_RAW_Data!AE82)</f>
        <v/>
      </c>
    </row>
    <row r="93" spans="1:16" s="96" customFormat="1" x14ac:dyDescent="0.2">
      <c r="A93" s="145" t="e">
        <f t="shared" si="1"/>
        <v>#VALUE!</v>
      </c>
      <c r="B93" s="144" t="str">
        <f>IF(ISBLANK(DaqBook_RAW_Data!Q83),IF(DaqBook_RAW_Data!A83="","",TIMEVALUE(DaqBook_RAW_Data!A83)),TIMEVALUE(DaqBook_RAW_Data!Q83))</f>
        <v/>
      </c>
      <c r="C93" s="167" t="str">
        <f>IF(ISBLANK(DaqBook_RAW_Data!R83),"",DaqBook_RAW_Data!R83)</f>
        <v/>
      </c>
      <c r="D93" s="167" t="str">
        <f>IF(ISBLANK(DaqBook_RAW_Data!S83),"",DaqBook_RAW_Data!S83)</f>
        <v/>
      </c>
      <c r="E93" s="167" t="str">
        <f>IF(ISBLANK(DaqBook_RAW_Data!T83),"",DaqBook_RAW_Data!T83)</f>
        <v/>
      </c>
      <c r="F93" s="167" t="str">
        <f>IF(ISBLANK(DaqBook_RAW_Data!U83),"",DaqBook_RAW_Data!U83)</f>
        <v/>
      </c>
      <c r="G93" s="167" t="str">
        <f>IF(ISBLANK(DaqBook_RAW_Data!V83),"",DaqBook_RAW_Data!V83)</f>
        <v/>
      </c>
      <c r="H93" s="167" t="str">
        <f>IF(ISBLANK(DaqBook_RAW_Data!W83),"",DaqBook_RAW_Data!W83)</f>
        <v/>
      </c>
      <c r="I93" s="167" t="str">
        <f>IF(ISBLANK(DaqBook_RAW_Data!X83),"",DaqBook_RAW_Data!X83)</f>
        <v/>
      </c>
      <c r="J93" s="167" t="str">
        <f>IF(ISBLANK(DaqBook_RAW_Data!Y83),"",DaqBook_RAW_Data!Y83)</f>
        <v/>
      </c>
      <c r="K93" s="167" t="str">
        <f>IF(ISBLANK(DaqBook_RAW_Data!Z83),"",DaqBook_RAW_Data!Z83)</f>
        <v/>
      </c>
      <c r="L93" s="167" t="str">
        <f>IF(ISBLANK(DaqBook_RAW_Data!AA83),"",DaqBook_RAW_Data!AA83)</f>
        <v/>
      </c>
      <c r="M93" s="167" t="str">
        <f>IF(ISBLANK(DaqBook_RAW_Data!AB83),"",DaqBook_RAW_Data!AB83)</f>
        <v/>
      </c>
      <c r="N93" s="167" t="str">
        <f>IF(ISBLANK(DaqBook_RAW_Data!AC83),"",DaqBook_RAW_Data!AC83)</f>
        <v/>
      </c>
      <c r="O93" s="167" t="str">
        <f>IF(ISBLANK(DaqBook_RAW_Data!AD83),"",DaqBook_RAW_Data!AD83)</f>
        <v/>
      </c>
      <c r="P93" s="167" t="str">
        <f>IF(ISBLANK(DaqBook_RAW_Data!AE83),"",DaqBook_RAW_Data!AE83)</f>
        <v/>
      </c>
    </row>
    <row r="94" spans="1:16" s="96" customFormat="1" x14ac:dyDescent="0.2">
      <c r="A94" s="145" t="e">
        <f t="shared" si="1"/>
        <v>#VALUE!</v>
      </c>
      <c r="B94" s="144" t="str">
        <f>IF(ISBLANK(DaqBook_RAW_Data!Q84),IF(DaqBook_RAW_Data!A84="","",TIMEVALUE(DaqBook_RAW_Data!A84)),TIMEVALUE(DaqBook_RAW_Data!Q84))</f>
        <v/>
      </c>
      <c r="C94" s="167" t="str">
        <f>IF(ISBLANK(DaqBook_RAW_Data!R84),"",DaqBook_RAW_Data!R84)</f>
        <v/>
      </c>
      <c r="D94" s="167" t="str">
        <f>IF(ISBLANK(DaqBook_RAW_Data!S84),"",DaqBook_RAW_Data!S84)</f>
        <v/>
      </c>
      <c r="E94" s="167" t="str">
        <f>IF(ISBLANK(DaqBook_RAW_Data!T84),"",DaqBook_RAW_Data!T84)</f>
        <v/>
      </c>
      <c r="F94" s="167" t="str">
        <f>IF(ISBLANK(DaqBook_RAW_Data!U84),"",DaqBook_RAW_Data!U84)</f>
        <v/>
      </c>
      <c r="G94" s="167" t="str">
        <f>IF(ISBLANK(DaqBook_RAW_Data!V84),"",DaqBook_RAW_Data!V84)</f>
        <v/>
      </c>
      <c r="H94" s="167" t="str">
        <f>IF(ISBLANK(DaqBook_RAW_Data!W84),"",DaqBook_RAW_Data!W84)</f>
        <v/>
      </c>
      <c r="I94" s="167" t="str">
        <f>IF(ISBLANK(DaqBook_RAW_Data!X84),"",DaqBook_RAW_Data!X84)</f>
        <v/>
      </c>
      <c r="J94" s="167" t="str">
        <f>IF(ISBLANK(DaqBook_RAW_Data!Y84),"",DaqBook_RAW_Data!Y84)</f>
        <v/>
      </c>
      <c r="K94" s="167" t="str">
        <f>IF(ISBLANK(DaqBook_RAW_Data!Z84),"",DaqBook_RAW_Data!Z84)</f>
        <v/>
      </c>
      <c r="L94" s="167" t="str">
        <f>IF(ISBLANK(DaqBook_RAW_Data!AA84),"",DaqBook_RAW_Data!AA84)</f>
        <v/>
      </c>
      <c r="M94" s="167" t="str">
        <f>IF(ISBLANK(DaqBook_RAW_Data!AB84),"",DaqBook_RAW_Data!AB84)</f>
        <v/>
      </c>
      <c r="N94" s="167" t="str">
        <f>IF(ISBLANK(DaqBook_RAW_Data!AC84),"",DaqBook_RAW_Data!AC84)</f>
        <v/>
      </c>
      <c r="O94" s="167" t="str">
        <f>IF(ISBLANK(DaqBook_RAW_Data!AD84),"",DaqBook_RAW_Data!AD84)</f>
        <v/>
      </c>
      <c r="P94" s="167" t="str">
        <f>IF(ISBLANK(DaqBook_RAW_Data!AE84),"",DaqBook_RAW_Data!AE84)</f>
        <v/>
      </c>
    </row>
    <row r="95" spans="1:16" s="96" customFormat="1" x14ac:dyDescent="0.2">
      <c r="A95" s="145" t="e">
        <f t="shared" si="1"/>
        <v>#VALUE!</v>
      </c>
      <c r="B95" s="144" t="str">
        <f>IF(ISBLANK(DaqBook_RAW_Data!Q85),IF(DaqBook_RAW_Data!A85="","",TIMEVALUE(DaqBook_RAW_Data!A85)),TIMEVALUE(DaqBook_RAW_Data!Q85))</f>
        <v/>
      </c>
      <c r="C95" s="167" t="str">
        <f>IF(ISBLANK(DaqBook_RAW_Data!R85),"",DaqBook_RAW_Data!R85)</f>
        <v/>
      </c>
      <c r="D95" s="167" t="str">
        <f>IF(ISBLANK(DaqBook_RAW_Data!S85),"",DaqBook_RAW_Data!S85)</f>
        <v/>
      </c>
      <c r="E95" s="167" t="str">
        <f>IF(ISBLANK(DaqBook_RAW_Data!T85),"",DaqBook_RAW_Data!T85)</f>
        <v/>
      </c>
      <c r="F95" s="167" t="str">
        <f>IF(ISBLANK(DaqBook_RAW_Data!U85),"",DaqBook_RAW_Data!U85)</f>
        <v/>
      </c>
      <c r="G95" s="167" t="str">
        <f>IF(ISBLANK(DaqBook_RAW_Data!V85),"",DaqBook_RAW_Data!V85)</f>
        <v/>
      </c>
      <c r="H95" s="167" t="str">
        <f>IF(ISBLANK(DaqBook_RAW_Data!W85),"",DaqBook_RAW_Data!W85)</f>
        <v/>
      </c>
      <c r="I95" s="167" t="str">
        <f>IF(ISBLANK(DaqBook_RAW_Data!X85),"",DaqBook_RAW_Data!X85)</f>
        <v/>
      </c>
      <c r="J95" s="167" t="str">
        <f>IF(ISBLANK(DaqBook_RAW_Data!Y85),"",DaqBook_RAW_Data!Y85)</f>
        <v/>
      </c>
      <c r="K95" s="167" t="str">
        <f>IF(ISBLANK(DaqBook_RAW_Data!Z85),"",DaqBook_RAW_Data!Z85)</f>
        <v/>
      </c>
      <c r="L95" s="167" t="str">
        <f>IF(ISBLANK(DaqBook_RAW_Data!AA85),"",DaqBook_RAW_Data!AA85)</f>
        <v/>
      </c>
      <c r="M95" s="167" t="str">
        <f>IF(ISBLANK(DaqBook_RAW_Data!AB85),"",DaqBook_RAW_Data!AB85)</f>
        <v/>
      </c>
      <c r="N95" s="167" t="str">
        <f>IF(ISBLANK(DaqBook_RAW_Data!AC85),"",DaqBook_RAW_Data!AC85)</f>
        <v/>
      </c>
      <c r="O95" s="167" t="str">
        <f>IF(ISBLANK(DaqBook_RAW_Data!AD85),"",DaqBook_RAW_Data!AD85)</f>
        <v/>
      </c>
      <c r="P95" s="167" t="str">
        <f>IF(ISBLANK(DaqBook_RAW_Data!AE85),"",DaqBook_RAW_Data!AE85)</f>
        <v/>
      </c>
    </row>
    <row r="96" spans="1:16" s="96" customFormat="1" x14ac:dyDescent="0.2">
      <c r="A96" s="145" t="e">
        <f t="shared" si="1"/>
        <v>#VALUE!</v>
      </c>
      <c r="B96" s="144" t="str">
        <f>IF(ISBLANK(DaqBook_RAW_Data!Q86),IF(DaqBook_RAW_Data!A86="","",TIMEVALUE(DaqBook_RAW_Data!A86)),TIMEVALUE(DaqBook_RAW_Data!Q86))</f>
        <v/>
      </c>
      <c r="C96" s="167" t="str">
        <f>IF(ISBLANK(DaqBook_RAW_Data!R86),"",DaqBook_RAW_Data!R86)</f>
        <v/>
      </c>
      <c r="D96" s="167" t="str">
        <f>IF(ISBLANK(DaqBook_RAW_Data!S86),"",DaqBook_RAW_Data!S86)</f>
        <v/>
      </c>
      <c r="E96" s="167" t="str">
        <f>IF(ISBLANK(DaqBook_RAW_Data!T86),"",DaqBook_RAW_Data!T86)</f>
        <v/>
      </c>
      <c r="F96" s="167" t="str">
        <f>IF(ISBLANK(DaqBook_RAW_Data!U86),"",DaqBook_RAW_Data!U86)</f>
        <v/>
      </c>
      <c r="G96" s="167" t="str">
        <f>IF(ISBLANK(DaqBook_RAW_Data!V86),"",DaqBook_RAW_Data!V86)</f>
        <v/>
      </c>
      <c r="H96" s="167" t="str">
        <f>IF(ISBLANK(DaqBook_RAW_Data!W86),"",DaqBook_RAW_Data!W86)</f>
        <v/>
      </c>
      <c r="I96" s="167" t="str">
        <f>IF(ISBLANK(DaqBook_RAW_Data!X86),"",DaqBook_RAW_Data!X86)</f>
        <v/>
      </c>
      <c r="J96" s="167" t="str">
        <f>IF(ISBLANK(DaqBook_RAW_Data!Y86),"",DaqBook_RAW_Data!Y86)</f>
        <v/>
      </c>
      <c r="K96" s="167" t="str">
        <f>IF(ISBLANK(DaqBook_RAW_Data!Z86),"",DaqBook_RAW_Data!Z86)</f>
        <v/>
      </c>
      <c r="L96" s="167" t="str">
        <f>IF(ISBLANK(DaqBook_RAW_Data!AA86),"",DaqBook_RAW_Data!AA86)</f>
        <v/>
      </c>
      <c r="M96" s="167" t="str">
        <f>IF(ISBLANK(DaqBook_RAW_Data!AB86),"",DaqBook_RAW_Data!AB86)</f>
        <v/>
      </c>
      <c r="N96" s="167" t="str">
        <f>IF(ISBLANK(DaqBook_RAW_Data!AC86),"",DaqBook_RAW_Data!AC86)</f>
        <v/>
      </c>
      <c r="O96" s="167" t="str">
        <f>IF(ISBLANK(DaqBook_RAW_Data!AD86),"",DaqBook_RAW_Data!AD86)</f>
        <v/>
      </c>
      <c r="P96" s="167" t="str">
        <f>IF(ISBLANK(DaqBook_RAW_Data!AE86),"",DaqBook_RAW_Data!AE86)</f>
        <v/>
      </c>
    </row>
    <row r="97" spans="1:16" s="96" customFormat="1" x14ac:dyDescent="0.2">
      <c r="A97" s="145" t="e">
        <f t="shared" si="1"/>
        <v>#VALUE!</v>
      </c>
      <c r="B97" s="144" t="str">
        <f>IF(ISBLANK(DaqBook_RAW_Data!Q87),IF(DaqBook_RAW_Data!A87="","",TIMEVALUE(DaqBook_RAW_Data!A87)),TIMEVALUE(DaqBook_RAW_Data!Q87))</f>
        <v/>
      </c>
      <c r="C97" s="167" t="str">
        <f>IF(ISBLANK(DaqBook_RAW_Data!R87),"",DaqBook_RAW_Data!R87)</f>
        <v/>
      </c>
      <c r="D97" s="167" t="str">
        <f>IF(ISBLANK(DaqBook_RAW_Data!S87),"",DaqBook_RAW_Data!S87)</f>
        <v/>
      </c>
      <c r="E97" s="167" t="str">
        <f>IF(ISBLANK(DaqBook_RAW_Data!T87),"",DaqBook_RAW_Data!T87)</f>
        <v/>
      </c>
      <c r="F97" s="167" t="str">
        <f>IF(ISBLANK(DaqBook_RAW_Data!U87),"",DaqBook_RAW_Data!U87)</f>
        <v/>
      </c>
      <c r="G97" s="167" t="str">
        <f>IF(ISBLANK(DaqBook_RAW_Data!V87),"",DaqBook_RAW_Data!V87)</f>
        <v/>
      </c>
      <c r="H97" s="167" t="str">
        <f>IF(ISBLANK(DaqBook_RAW_Data!W87),"",DaqBook_RAW_Data!W87)</f>
        <v/>
      </c>
      <c r="I97" s="167" t="str">
        <f>IF(ISBLANK(DaqBook_RAW_Data!X87),"",DaqBook_RAW_Data!X87)</f>
        <v/>
      </c>
      <c r="J97" s="167" t="str">
        <f>IF(ISBLANK(DaqBook_RAW_Data!Y87),"",DaqBook_RAW_Data!Y87)</f>
        <v/>
      </c>
      <c r="K97" s="167" t="str">
        <f>IF(ISBLANK(DaqBook_RAW_Data!Z87),"",DaqBook_RAW_Data!Z87)</f>
        <v/>
      </c>
      <c r="L97" s="167" t="str">
        <f>IF(ISBLANK(DaqBook_RAW_Data!AA87),"",DaqBook_RAW_Data!AA87)</f>
        <v/>
      </c>
      <c r="M97" s="167" t="str">
        <f>IF(ISBLANK(DaqBook_RAW_Data!AB87),"",DaqBook_RAW_Data!AB87)</f>
        <v/>
      </c>
      <c r="N97" s="167" t="str">
        <f>IF(ISBLANK(DaqBook_RAW_Data!AC87),"",DaqBook_RAW_Data!AC87)</f>
        <v/>
      </c>
      <c r="O97" s="167" t="str">
        <f>IF(ISBLANK(DaqBook_RAW_Data!AD87),"",DaqBook_RAW_Data!AD87)</f>
        <v/>
      </c>
      <c r="P97" s="167" t="str">
        <f>IF(ISBLANK(DaqBook_RAW_Data!AE87),"",DaqBook_RAW_Data!AE87)</f>
        <v/>
      </c>
    </row>
    <row r="98" spans="1:16" s="96" customFormat="1" x14ac:dyDescent="0.2">
      <c r="A98" s="145" t="e">
        <f t="shared" si="1"/>
        <v>#VALUE!</v>
      </c>
      <c r="B98" s="144" t="str">
        <f>IF(ISBLANK(DaqBook_RAW_Data!Q88),IF(DaqBook_RAW_Data!A88="","",TIMEVALUE(DaqBook_RAW_Data!A88)),TIMEVALUE(DaqBook_RAW_Data!Q88))</f>
        <v/>
      </c>
      <c r="C98" s="167" t="str">
        <f>IF(ISBLANK(DaqBook_RAW_Data!R88),"",DaqBook_RAW_Data!R88)</f>
        <v/>
      </c>
      <c r="D98" s="167" t="str">
        <f>IF(ISBLANK(DaqBook_RAW_Data!S88),"",DaqBook_RAW_Data!S88)</f>
        <v/>
      </c>
      <c r="E98" s="167" t="str">
        <f>IF(ISBLANK(DaqBook_RAW_Data!T88),"",DaqBook_RAW_Data!T88)</f>
        <v/>
      </c>
      <c r="F98" s="167" t="str">
        <f>IF(ISBLANK(DaqBook_RAW_Data!U88),"",DaqBook_RAW_Data!U88)</f>
        <v/>
      </c>
      <c r="G98" s="167" t="str">
        <f>IF(ISBLANK(DaqBook_RAW_Data!V88),"",DaqBook_RAW_Data!V88)</f>
        <v/>
      </c>
      <c r="H98" s="167" t="str">
        <f>IF(ISBLANK(DaqBook_RAW_Data!W88),"",DaqBook_RAW_Data!W88)</f>
        <v/>
      </c>
      <c r="I98" s="167" t="str">
        <f>IF(ISBLANK(DaqBook_RAW_Data!X88),"",DaqBook_RAW_Data!X88)</f>
        <v/>
      </c>
      <c r="J98" s="167" t="str">
        <f>IF(ISBLANK(DaqBook_RAW_Data!Y88),"",DaqBook_RAW_Data!Y88)</f>
        <v/>
      </c>
      <c r="K98" s="167" t="str">
        <f>IF(ISBLANK(DaqBook_RAW_Data!Z88),"",DaqBook_RAW_Data!Z88)</f>
        <v/>
      </c>
      <c r="L98" s="167" t="str">
        <f>IF(ISBLANK(DaqBook_RAW_Data!AA88),"",DaqBook_RAW_Data!AA88)</f>
        <v/>
      </c>
      <c r="M98" s="167" t="str">
        <f>IF(ISBLANK(DaqBook_RAW_Data!AB88),"",DaqBook_RAW_Data!AB88)</f>
        <v/>
      </c>
      <c r="N98" s="167" t="str">
        <f>IF(ISBLANK(DaqBook_RAW_Data!AC88),"",DaqBook_RAW_Data!AC88)</f>
        <v/>
      </c>
      <c r="O98" s="167" t="str">
        <f>IF(ISBLANK(DaqBook_RAW_Data!AD88),"",DaqBook_RAW_Data!AD88)</f>
        <v/>
      </c>
      <c r="P98" s="167" t="str">
        <f>IF(ISBLANK(DaqBook_RAW_Data!AE88),"",DaqBook_RAW_Data!AE88)</f>
        <v/>
      </c>
    </row>
    <row r="99" spans="1:16" s="96" customFormat="1" x14ac:dyDescent="0.2">
      <c r="A99" s="145" t="e">
        <f t="shared" si="1"/>
        <v>#VALUE!</v>
      </c>
      <c r="B99" s="144" t="str">
        <f>IF(ISBLANK(DaqBook_RAW_Data!Q89),IF(DaqBook_RAW_Data!A89="","",TIMEVALUE(DaqBook_RAW_Data!A89)),TIMEVALUE(DaqBook_RAW_Data!Q89))</f>
        <v/>
      </c>
      <c r="C99" s="167" t="str">
        <f>IF(ISBLANK(DaqBook_RAW_Data!R89),"",DaqBook_RAW_Data!R89)</f>
        <v/>
      </c>
      <c r="D99" s="167" t="str">
        <f>IF(ISBLANK(DaqBook_RAW_Data!S89),"",DaqBook_RAW_Data!S89)</f>
        <v/>
      </c>
      <c r="E99" s="167" t="str">
        <f>IF(ISBLANK(DaqBook_RAW_Data!T89),"",DaqBook_RAW_Data!T89)</f>
        <v/>
      </c>
      <c r="F99" s="167" t="str">
        <f>IF(ISBLANK(DaqBook_RAW_Data!U89),"",DaqBook_RAW_Data!U89)</f>
        <v/>
      </c>
      <c r="G99" s="167" t="str">
        <f>IF(ISBLANK(DaqBook_RAW_Data!V89),"",DaqBook_RAW_Data!V89)</f>
        <v/>
      </c>
      <c r="H99" s="167" t="str">
        <f>IF(ISBLANK(DaqBook_RAW_Data!W89),"",DaqBook_RAW_Data!W89)</f>
        <v/>
      </c>
      <c r="I99" s="167" t="str">
        <f>IF(ISBLANK(DaqBook_RAW_Data!X89),"",DaqBook_RAW_Data!X89)</f>
        <v/>
      </c>
      <c r="J99" s="167" t="str">
        <f>IF(ISBLANK(DaqBook_RAW_Data!Y89),"",DaqBook_RAW_Data!Y89)</f>
        <v/>
      </c>
      <c r="K99" s="167" t="str">
        <f>IF(ISBLANK(DaqBook_RAW_Data!Z89),"",DaqBook_RAW_Data!Z89)</f>
        <v/>
      </c>
      <c r="L99" s="167" t="str">
        <f>IF(ISBLANK(DaqBook_RAW_Data!AA89),"",DaqBook_RAW_Data!AA89)</f>
        <v/>
      </c>
      <c r="M99" s="167" t="str">
        <f>IF(ISBLANK(DaqBook_RAW_Data!AB89),"",DaqBook_RAW_Data!AB89)</f>
        <v/>
      </c>
      <c r="N99" s="167" t="str">
        <f>IF(ISBLANK(DaqBook_RAW_Data!AC89),"",DaqBook_RAW_Data!AC89)</f>
        <v/>
      </c>
      <c r="O99" s="167" t="str">
        <f>IF(ISBLANK(DaqBook_RAW_Data!AD89),"",DaqBook_RAW_Data!AD89)</f>
        <v/>
      </c>
      <c r="P99" s="167" t="str">
        <f>IF(ISBLANK(DaqBook_RAW_Data!AE89),"",DaqBook_RAW_Data!AE89)</f>
        <v/>
      </c>
    </row>
    <row r="100" spans="1:16" s="96" customFormat="1" x14ac:dyDescent="0.2">
      <c r="A100" s="145" t="e">
        <f t="shared" si="1"/>
        <v>#VALUE!</v>
      </c>
      <c r="B100" s="144" t="str">
        <f>IF(ISBLANK(DaqBook_RAW_Data!Q90),IF(DaqBook_RAW_Data!A90="","",TIMEVALUE(DaqBook_RAW_Data!A90)),TIMEVALUE(DaqBook_RAW_Data!Q90))</f>
        <v/>
      </c>
      <c r="C100" s="167" t="str">
        <f>IF(ISBLANK(DaqBook_RAW_Data!R90),"",DaqBook_RAW_Data!R90)</f>
        <v/>
      </c>
      <c r="D100" s="167" t="str">
        <f>IF(ISBLANK(DaqBook_RAW_Data!S90),"",DaqBook_RAW_Data!S90)</f>
        <v/>
      </c>
      <c r="E100" s="167" t="str">
        <f>IF(ISBLANK(DaqBook_RAW_Data!T90),"",DaqBook_RAW_Data!T90)</f>
        <v/>
      </c>
      <c r="F100" s="167" t="str">
        <f>IF(ISBLANK(DaqBook_RAW_Data!U90),"",DaqBook_RAW_Data!U90)</f>
        <v/>
      </c>
      <c r="G100" s="167" t="str">
        <f>IF(ISBLANK(DaqBook_RAW_Data!V90),"",DaqBook_RAW_Data!V90)</f>
        <v/>
      </c>
      <c r="H100" s="167" t="str">
        <f>IF(ISBLANK(DaqBook_RAW_Data!W90),"",DaqBook_RAW_Data!W90)</f>
        <v/>
      </c>
      <c r="I100" s="167" t="str">
        <f>IF(ISBLANK(DaqBook_RAW_Data!X90),"",DaqBook_RAW_Data!X90)</f>
        <v/>
      </c>
      <c r="J100" s="167" t="str">
        <f>IF(ISBLANK(DaqBook_RAW_Data!Y90),"",DaqBook_RAW_Data!Y90)</f>
        <v/>
      </c>
      <c r="K100" s="167" t="str">
        <f>IF(ISBLANK(DaqBook_RAW_Data!Z90),"",DaqBook_RAW_Data!Z90)</f>
        <v/>
      </c>
      <c r="L100" s="167" t="str">
        <f>IF(ISBLANK(DaqBook_RAW_Data!AA90),"",DaqBook_RAW_Data!AA90)</f>
        <v/>
      </c>
      <c r="M100" s="167" t="str">
        <f>IF(ISBLANK(DaqBook_RAW_Data!AB90),"",DaqBook_RAW_Data!AB90)</f>
        <v/>
      </c>
      <c r="N100" s="167" t="str">
        <f>IF(ISBLANK(DaqBook_RAW_Data!AC90),"",DaqBook_RAW_Data!AC90)</f>
        <v/>
      </c>
      <c r="O100" s="167" t="str">
        <f>IF(ISBLANK(DaqBook_RAW_Data!AD90),"",DaqBook_RAW_Data!AD90)</f>
        <v/>
      </c>
      <c r="P100" s="167" t="str">
        <f>IF(ISBLANK(DaqBook_RAW_Data!AE90),"",DaqBook_RAW_Data!AE90)</f>
        <v/>
      </c>
    </row>
    <row r="101" spans="1:16" s="96" customFormat="1" x14ac:dyDescent="0.2">
      <c r="A101" s="145" t="e">
        <f t="shared" si="1"/>
        <v>#VALUE!</v>
      </c>
      <c r="B101" s="144" t="str">
        <f>IF(ISBLANK(DaqBook_RAW_Data!Q91),IF(DaqBook_RAW_Data!A91="","",TIMEVALUE(DaqBook_RAW_Data!A91)),TIMEVALUE(DaqBook_RAW_Data!Q91))</f>
        <v/>
      </c>
      <c r="C101" s="167" t="str">
        <f>IF(ISBLANK(DaqBook_RAW_Data!R91),"",DaqBook_RAW_Data!R91)</f>
        <v/>
      </c>
      <c r="D101" s="167" t="str">
        <f>IF(ISBLANK(DaqBook_RAW_Data!S91),"",DaqBook_RAW_Data!S91)</f>
        <v/>
      </c>
      <c r="E101" s="167" t="str">
        <f>IF(ISBLANK(DaqBook_RAW_Data!T91),"",DaqBook_RAW_Data!T91)</f>
        <v/>
      </c>
      <c r="F101" s="167" t="str">
        <f>IF(ISBLANK(DaqBook_RAW_Data!U91),"",DaqBook_RAW_Data!U91)</f>
        <v/>
      </c>
      <c r="G101" s="167" t="str">
        <f>IF(ISBLANK(DaqBook_RAW_Data!V91),"",DaqBook_RAW_Data!V91)</f>
        <v/>
      </c>
      <c r="H101" s="167" t="str">
        <f>IF(ISBLANK(DaqBook_RAW_Data!W91),"",DaqBook_RAW_Data!W91)</f>
        <v/>
      </c>
      <c r="I101" s="167" t="str">
        <f>IF(ISBLANK(DaqBook_RAW_Data!X91),"",DaqBook_RAW_Data!X91)</f>
        <v/>
      </c>
      <c r="J101" s="167" t="str">
        <f>IF(ISBLANK(DaqBook_RAW_Data!Y91),"",DaqBook_RAW_Data!Y91)</f>
        <v/>
      </c>
      <c r="K101" s="167" t="str">
        <f>IF(ISBLANK(DaqBook_RAW_Data!Z91),"",DaqBook_RAW_Data!Z91)</f>
        <v/>
      </c>
      <c r="L101" s="167" t="str">
        <f>IF(ISBLANK(DaqBook_RAW_Data!AA91),"",DaqBook_RAW_Data!AA91)</f>
        <v/>
      </c>
      <c r="M101" s="167" t="str">
        <f>IF(ISBLANK(DaqBook_RAW_Data!AB91),"",DaqBook_RAW_Data!AB91)</f>
        <v/>
      </c>
      <c r="N101" s="167" t="str">
        <f>IF(ISBLANK(DaqBook_RAW_Data!AC91),"",DaqBook_RAW_Data!AC91)</f>
        <v/>
      </c>
      <c r="O101" s="167" t="str">
        <f>IF(ISBLANK(DaqBook_RAW_Data!AD91),"",DaqBook_RAW_Data!AD91)</f>
        <v/>
      </c>
      <c r="P101" s="167" t="str">
        <f>IF(ISBLANK(DaqBook_RAW_Data!AE91),"",DaqBook_RAW_Data!AE91)</f>
        <v/>
      </c>
    </row>
    <row r="102" spans="1:16" s="96" customFormat="1" x14ac:dyDescent="0.2">
      <c r="A102" s="145" t="e">
        <f t="shared" si="1"/>
        <v>#VALUE!</v>
      </c>
      <c r="B102" s="144" t="str">
        <f>IF(ISBLANK(DaqBook_RAW_Data!Q92),IF(DaqBook_RAW_Data!A92="","",TIMEVALUE(DaqBook_RAW_Data!A92)),TIMEVALUE(DaqBook_RAW_Data!Q92))</f>
        <v/>
      </c>
      <c r="C102" s="167" t="str">
        <f>IF(ISBLANK(DaqBook_RAW_Data!R92),"",DaqBook_RAW_Data!R92)</f>
        <v/>
      </c>
      <c r="D102" s="167" t="str">
        <f>IF(ISBLANK(DaqBook_RAW_Data!S92),"",DaqBook_RAW_Data!S92)</f>
        <v/>
      </c>
      <c r="E102" s="167" t="str">
        <f>IF(ISBLANK(DaqBook_RAW_Data!T92),"",DaqBook_RAW_Data!T92)</f>
        <v/>
      </c>
      <c r="F102" s="167" t="str">
        <f>IF(ISBLANK(DaqBook_RAW_Data!U92),"",DaqBook_RAW_Data!U92)</f>
        <v/>
      </c>
      <c r="G102" s="167" t="str">
        <f>IF(ISBLANK(DaqBook_RAW_Data!V92),"",DaqBook_RAW_Data!V92)</f>
        <v/>
      </c>
      <c r="H102" s="167" t="str">
        <f>IF(ISBLANK(DaqBook_RAW_Data!W92),"",DaqBook_RAW_Data!W92)</f>
        <v/>
      </c>
      <c r="I102" s="167" t="str">
        <f>IF(ISBLANK(DaqBook_RAW_Data!X92),"",DaqBook_RAW_Data!X92)</f>
        <v/>
      </c>
      <c r="J102" s="167" t="str">
        <f>IF(ISBLANK(DaqBook_RAW_Data!Y92),"",DaqBook_RAW_Data!Y92)</f>
        <v/>
      </c>
      <c r="K102" s="167" t="str">
        <f>IF(ISBLANK(DaqBook_RAW_Data!Z92),"",DaqBook_RAW_Data!Z92)</f>
        <v/>
      </c>
      <c r="L102" s="167" t="str">
        <f>IF(ISBLANK(DaqBook_RAW_Data!AA92),"",DaqBook_RAW_Data!AA92)</f>
        <v/>
      </c>
      <c r="M102" s="167" t="str">
        <f>IF(ISBLANK(DaqBook_RAW_Data!AB92),"",DaqBook_RAW_Data!AB92)</f>
        <v/>
      </c>
      <c r="N102" s="167" t="str">
        <f>IF(ISBLANK(DaqBook_RAW_Data!AC92),"",DaqBook_RAW_Data!AC92)</f>
        <v/>
      </c>
      <c r="O102" s="167" t="str">
        <f>IF(ISBLANK(DaqBook_RAW_Data!AD92),"",DaqBook_RAW_Data!AD92)</f>
        <v/>
      </c>
      <c r="P102" s="167" t="str">
        <f>IF(ISBLANK(DaqBook_RAW_Data!AE92),"",DaqBook_RAW_Data!AE92)</f>
        <v/>
      </c>
    </row>
    <row r="103" spans="1:16" s="96" customFormat="1" x14ac:dyDescent="0.2">
      <c r="A103" s="145" t="e">
        <f t="shared" si="1"/>
        <v>#VALUE!</v>
      </c>
      <c r="B103" s="144" t="str">
        <f>IF(ISBLANK(DaqBook_RAW_Data!Q93),IF(DaqBook_RAW_Data!A93="","",TIMEVALUE(DaqBook_RAW_Data!A93)),TIMEVALUE(DaqBook_RAW_Data!Q93))</f>
        <v/>
      </c>
      <c r="C103" s="167" t="str">
        <f>IF(ISBLANK(DaqBook_RAW_Data!R93),"",DaqBook_RAW_Data!R93)</f>
        <v/>
      </c>
      <c r="D103" s="167" t="str">
        <f>IF(ISBLANK(DaqBook_RAW_Data!S93),"",DaqBook_RAW_Data!S93)</f>
        <v/>
      </c>
      <c r="E103" s="167" t="str">
        <f>IF(ISBLANK(DaqBook_RAW_Data!T93),"",DaqBook_RAW_Data!T93)</f>
        <v/>
      </c>
      <c r="F103" s="167" t="str">
        <f>IF(ISBLANK(DaqBook_RAW_Data!U93),"",DaqBook_RAW_Data!U93)</f>
        <v/>
      </c>
      <c r="G103" s="167" t="str">
        <f>IF(ISBLANK(DaqBook_RAW_Data!V93),"",DaqBook_RAW_Data!V93)</f>
        <v/>
      </c>
      <c r="H103" s="167" t="str">
        <f>IF(ISBLANK(DaqBook_RAW_Data!W93),"",DaqBook_RAW_Data!W93)</f>
        <v/>
      </c>
      <c r="I103" s="167" t="str">
        <f>IF(ISBLANK(DaqBook_RAW_Data!X93),"",DaqBook_RAW_Data!X93)</f>
        <v/>
      </c>
      <c r="J103" s="167" t="str">
        <f>IF(ISBLANK(DaqBook_RAW_Data!Y93),"",DaqBook_RAW_Data!Y93)</f>
        <v/>
      </c>
      <c r="K103" s="167" t="str">
        <f>IF(ISBLANK(DaqBook_RAW_Data!Z93),"",DaqBook_RAW_Data!Z93)</f>
        <v/>
      </c>
      <c r="L103" s="167" t="str">
        <f>IF(ISBLANK(DaqBook_RAW_Data!AA93),"",DaqBook_RAW_Data!AA93)</f>
        <v/>
      </c>
      <c r="M103" s="167" t="str">
        <f>IF(ISBLANK(DaqBook_RAW_Data!AB93),"",DaqBook_RAW_Data!AB93)</f>
        <v/>
      </c>
      <c r="N103" s="167" t="str">
        <f>IF(ISBLANK(DaqBook_RAW_Data!AC93),"",DaqBook_RAW_Data!AC93)</f>
        <v/>
      </c>
      <c r="O103" s="167" t="str">
        <f>IF(ISBLANK(DaqBook_RAW_Data!AD93),"",DaqBook_RAW_Data!AD93)</f>
        <v/>
      </c>
      <c r="P103" s="167" t="str">
        <f>IF(ISBLANK(DaqBook_RAW_Data!AE93),"",DaqBook_RAW_Data!AE93)</f>
        <v/>
      </c>
    </row>
    <row r="104" spans="1:16" s="96" customFormat="1" x14ac:dyDescent="0.2">
      <c r="A104" s="145" t="e">
        <f t="shared" si="1"/>
        <v>#VALUE!</v>
      </c>
      <c r="B104" s="144" t="str">
        <f>IF(ISBLANK(DaqBook_RAW_Data!Q94),IF(DaqBook_RAW_Data!A94="","",TIMEVALUE(DaqBook_RAW_Data!A94)),TIMEVALUE(DaqBook_RAW_Data!Q94))</f>
        <v/>
      </c>
      <c r="C104" s="167" t="str">
        <f>IF(ISBLANK(DaqBook_RAW_Data!R94),"",DaqBook_RAW_Data!R94)</f>
        <v/>
      </c>
      <c r="D104" s="167" t="str">
        <f>IF(ISBLANK(DaqBook_RAW_Data!S94),"",DaqBook_RAW_Data!S94)</f>
        <v/>
      </c>
      <c r="E104" s="167" t="str">
        <f>IF(ISBLANK(DaqBook_RAW_Data!T94),"",DaqBook_RAW_Data!T94)</f>
        <v/>
      </c>
      <c r="F104" s="167" t="str">
        <f>IF(ISBLANK(DaqBook_RAW_Data!U94),"",DaqBook_RAW_Data!U94)</f>
        <v/>
      </c>
      <c r="G104" s="167" t="str">
        <f>IF(ISBLANK(DaqBook_RAW_Data!V94),"",DaqBook_RAW_Data!V94)</f>
        <v/>
      </c>
      <c r="H104" s="167" t="str">
        <f>IF(ISBLANK(DaqBook_RAW_Data!W94),"",DaqBook_RAW_Data!W94)</f>
        <v/>
      </c>
      <c r="I104" s="167" t="str">
        <f>IF(ISBLANK(DaqBook_RAW_Data!X94),"",DaqBook_RAW_Data!X94)</f>
        <v/>
      </c>
      <c r="J104" s="167" t="str">
        <f>IF(ISBLANK(DaqBook_RAW_Data!Y94),"",DaqBook_RAW_Data!Y94)</f>
        <v/>
      </c>
      <c r="K104" s="167" t="str">
        <f>IF(ISBLANK(DaqBook_RAW_Data!Z94),"",DaqBook_RAW_Data!Z94)</f>
        <v/>
      </c>
      <c r="L104" s="167" t="str">
        <f>IF(ISBLANK(DaqBook_RAW_Data!AA94),"",DaqBook_RAW_Data!AA94)</f>
        <v/>
      </c>
      <c r="M104" s="167" t="str">
        <f>IF(ISBLANK(DaqBook_RAW_Data!AB94),"",DaqBook_RAW_Data!AB94)</f>
        <v/>
      </c>
      <c r="N104" s="167" t="str">
        <f>IF(ISBLANK(DaqBook_RAW_Data!AC94),"",DaqBook_RAW_Data!AC94)</f>
        <v/>
      </c>
      <c r="O104" s="167" t="str">
        <f>IF(ISBLANK(DaqBook_RAW_Data!AD94),"",DaqBook_RAW_Data!AD94)</f>
        <v/>
      </c>
      <c r="P104" s="167" t="str">
        <f>IF(ISBLANK(DaqBook_RAW_Data!AE94),"",DaqBook_RAW_Data!AE94)</f>
        <v/>
      </c>
    </row>
    <row r="105" spans="1:16" s="96" customFormat="1" x14ac:dyDescent="0.2">
      <c r="A105" s="145" t="e">
        <f t="shared" si="1"/>
        <v>#VALUE!</v>
      </c>
      <c r="B105" s="144" t="str">
        <f>IF(ISBLANK(DaqBook_RAW_Data!Q95),IF(DaqBook_RAW_Data!A95="","",TIMEVALUE(DaqBook_RAW_Data!A95)),TIMEVALUE(DaqBook_RAW_Data!Q95))</f>
        <v/>
      </c>
      <c r="C105" s="167" t="str">
        <f>IF(ISBLANK(DaqBook_RAW_Data!R95),"",DaqBook_RAW_Data!R95)</f>
        <v/>
      </c>
      <c r="D105" s="167" t="str">
        <f>IF(ISBLANK(DaqBook_RAW_Data!S95),"",DaqBook_RAW_Data!S95)</f>
        <v/>
      </c>
      <c r="E105" s="167" t="str">
        <f>IF(ISBLANK(DaqBook_RAW_Data!T95),"",DaqBook_RAW_Data!T95)</f>
        <v/>
      </c>
      <c r="F105" s="167" t="str">
        <f>IF(ISBLANK(DaqBook_RAW_Data!U95),"",DaqBook_RAW_Data!U95)</f>
        <v/>
      </c>
      <c r="G105" s="167" t="str">
        <f>IF(ISBLANK(DaqBook_RAW_Data!V95),"",DaqBook_RAW_Data!V95)</f>
        <v/>
      </c>
      <c r="H105" s="167" t="str">
        <f>IF(ISBLANK(DaqBook_RAW_Data!W95),"",DaqBook_RAW_Data!W95)</f>
        <v/>
      </c>
      <c r="I105" s="167" t="str">
        <f>IF(ISBLANK(DaqBook_RAW_Data!X95),"",DaqBook_RAW_Data!X95)</f>
        <v/>
      </c>
      <c r="J105" s="167" t="str">
        <f>IF(ISBLANK(DaqBook_RAW_Data!Y95),"",DaqBook_RAW_Data!Y95)</f>
        <v/>
      </c>
      <c r="K105" s="167" t="str">
        <f>IF(ISBLANK(DaqBook_RAW_Data!Z95),"",DaqBook_RAW_Data!Z95)</f>
        <v/>
      </c>
      <c r="L105" s="167" t="str">
        <f>IF(ISBLANK(DaqBook_RAW_Data!AA95),"",DaqBook_RAW_Data!AA95)</f>
        <v/>
      </c>
      <c r="M105" s="167" t="str">
        <f>IF(ISBLANK(DaqBook_RAW_Data!AB95),"",DaqBook_RAW_Data!AB95)</f>
        <v/>
      </c>
      <c r="N105" s="167" t="str">
        <f>IF(ISBLANK(DaqBook_RAW_Data!AC95),"",DaqBook_RAW_Data!AC95)</f>
        <v/>
      </c>
      <c r="O105" s="167" t="str">
        <f>IF(ISBLANK(DaqBook_RAW_Data!AD95),"",DaqBook_RAW_Data!AD95)</f>
        <v/>
      </c>
      <c r="P105" s="167" t="str">
        <f>IF(ISBLANK(DaqBook_RAW_Data!AE95),"",DaqBook_RAW_Data!AE95)</f>
        <v/>
      </c>
    </row>
    <row r="106" spans="1:16" x14ac:dyDescent="0.2">
      <c r="A106" s="58" t="e">
        <f t="shared" si="1"/>
        <v>#VALUE!</v>
      </c>
      <c r="B106" s="144" t="str">
        <f>IF(ISBLANK(DaqBook_RAW_Data!Q96),IF(DaqBook_RAW_Data!A96="","",TIMEVALUE(DaqBook_RAW_Data!A96)),TIMEVALUE(DaqBook_RAW_Data!Q96))</f>
        <v/>
      </c>
      <c r="C106" s="167" t="str">
        <f>IF(ISBLANK(DaqBook_RAW_Data!R96),"",DaqBook_RAW_Data!R96)</f>
        <v/>
      </c>
      <c r="D106" s="167" t="str">
        <f>IF(ISBLANK(DaqBook_RAW_Data!S96),"",DaqBook_RAW_Data!S96)</f>
        <v/>
      </c>
      <c r="E106" s="167" t="str">
        <f>IF(ISBLANK(DaqBook_RAW_Data!T96),"",DaqBook_RAW_Data!T96)</f>
        <v/>
      </c>
      <c r="F106" s="167" t="str">
        <f>IF(ISBLANK(DaqBook_RAW_Data!U96),"",DaqBook_RAW_Data!U96)</f>
        <v/>
      </c>
      <c r="G106" s="167" t="str">
        <f>IF(ISBLANK(DaqBook_RAW_Data!V96),"",DaqBook_RAW_Data!V96)</f>
        <v/>
      </c>
      <c r="H106" s="167" t="str">
        <f>IF(ISBLANK(DaqBook_RAW_Data!W96),"",DaqBook_RAW_Data!W96)</f>
        <v/>
      </c>
      <c r="I106" s="167" t="str">
        <f>IF(ISBLANK(DaqBook_RAW_Data!X96),"",DaqBook_RAW_Data!X96)</f>
        <v/>
      </c>
      <c r="J106" s="167" t="str">
        <f>IF(ISBLANK(DaqBook_RAW_Data!Y96),"",DaqBook_RAW_Data!Y96)</f>
        <v/>
      </c>
      <c r="K106" s="167" t="str">
        <f>IF(ISBLANK(DaqBook_RAW_Data!Z96),"",DaqBook_RAW_Data!Z96)</f>
        <v/>
      </c>
      <c r="L106" s="167" t="str">
        <f>IF(ISBLANK(DaqBook_RAW_Data!AA96),"",DaqBook_RAW_Data!AA96)</f>
        <v/>
      </c>
      <c r="M106" s="167" t="str">
        <f>IF(ISBLANK(DaqBook_RAW_Data!AB96),"",DaqBook_RAW_Data!AB96)</f>
        <v/>
      </c>
      <c r="N106" s="167" t="str">
        <f>IF(ISBLANK(DaqBook_RAW_Data!AC96),"",DaqBook_RAW_Data!AC96)</f>
        <v/>
      </c>
      <c r="O106" s="167" t="str">
        <f>IF(ISBLANK(DaqBook_RAW_Data!AD96),"",DaqBook_RAW_Data!AD96)</f>
        <v/>
      </c>
      <c r="P106" s="167" t="str">
        <f>IF(ISBLANK(DaqBook_RAW_Data!AE96),"",DaqBook_RAW_Data!AE96)</f>
        <v/>
      </c>
    </row>
    <row r="107" spans="1:16" x14ac:dyDescent="0.2">
      <c r="A107" s="58" t="e">
        <f t="shared" si="1"/>
        <v>#VALUE!</v>
      </c>
      <c r="B107" s="144" t="str">
        <f>IF(ISBLANK(DaqBook_RAW_Data!Q97),IF(DaqBook_RAW_Data!A97="","",TIMEVALUE(DaqBook_RAW_Data!A97)),TIMEVALUE(DaqBook_RAW_Data!Q97))</f>
        <v/>
      </c>
      <c r="C107" s="167" t="str">
        <f>IF(ISBLANK(DaqBook_RAW_Data!R97),"",DaqBook_RAW_Data!R97)</f>
        <v/>
      </c>
      <c r="D107" s="167" t="str">
        <f>IF(ISBLANK(DaqBook_RAW_Data!S97),"",DaqBook_RAW_Data!S97)</f>
        <v/>
      </c>
      <c r="E107" s="167" t="str">
        <f>IF(ISBLANK(DaqBook_RAW_Data!T97),"",DaqBook_RAW_Data!T97)</f>
        <v/>
      </c>
      <c r="F107" s="167" t="str">
        <f>IF(ISBLANK(DaqBook_RAW_Data!U97),"",DaqBook_RAW_Data!U97)</f>
        <v/>
      </c>
      <c r="G107" s="167" t="str">
        <f>IF(ISBLANK(DaqBook_RAW_Data!V97),"",DaqBook_RAW_Data!V97)</f>
        <v/>
      </c>
      <c r="H107" s="167" t="str">
        <f>IF(ISBLANK(DaqBook_RAW_Data!W97),"",DaqBook_RAW_Data!W97)</f>
        <v/>
      </c>
      <c r="I107" s="167" t="str">
        <f>IF(ISBLANK(DaqBook_RAW_Data!X97),"",DaqBook_RAW_Data!X97)</f>
        <v/>
      </c>
      <c r="J107" s="167" t="str">
        <f>IF(ISBLANK(DaqBook_RAW_Data!Y97),"",DaqBook_RAW_Data!Y97)</f>
        <v/>
      </c>
      <c r="K107" s="167" t="str">
        <f>IF(ISBLANK(DaqBook_RAW_Data!Z97),"",DaqBook_RAW_Data!Z97)</f>
        <v/>
      </c>
      <c r="L107" s="167" t="str">
        <f>IF(ISBLANK(DaqBook_RAW_Data!AA97),"",DaqBook_RAW_Data!AA97)</f>
        <v/>
      </c>
      <c r="M107" s="167" t="str">
        <f>IF(ISBLANK(DaqBook_RAW_Data!AB97),"",DaqBook_RAW_Data!AB97)</f>
        <v/>
      </c>
      <c r="N107" s="167" t="str">
        <f>IF(ISBLANK(DaqBook_RAW_Data!AC97),"",DaqBook_RAW_Data!AC97)</f>
        <v/>
      </c>
      <c r="O107" s="167" t="str">
        <f>IF(ISBLANK(DaqBook_RAW_Data!AD97),"",DaqBook_RAW_Data!AD97)</f>
        <v/>
      </c>
      <c r="P107" s="167" t="str">
        <f>IF(ISBLANK(DaqBook_RAW_Data!AE97),"",DaqBook_RAW_Data!AE97)</f>
        <v/>
      </c>
    </row>
    <row r="108" spans="1:16" x14ac:dyDescent="0.2">
      <c r="A108" s="58" t="e">
        <f t="shared" si="1"/>
        <v>#VALUE!</v>
      </c>
      <c r="B108" s="144" t="str">
        <f>IF(ISBLANK(DaqBook_RAW_Data!Q98),IF(DaqBook_RAW_Data!A98="","",TIMEVALUE(DaqBook_RAW_Data!A98)),TIMEVALUE(DaqBook_RAW_Data!Q98))</f>
        <v/>
      </c>
      <c r="C108" s="167" t="str">
        <f>IF(ISBLANK(DaqBook_RAW_Data!R98),"",DaqBook_RAW_Data!R98)</f>
        <v/>
      </c>
      <c r="D108" s="167" t="str">
        <f>IF(ISBLANK(DaqBook_RAW_Data!S98),"",DaqBook_RAW_Data!S98)</f>
        <v/>
      </c>
      <c r="E108" s="167" t="str">
        <f>IF(ISBLANK(DaqBook_RAW_Data!T98),"",DaqBook_RAW_Data!T98)</f>
        <v/>
      </c>
      <c r="F108" s="167" t="str">
        <f>IF(ISBLANK(DaqBook_RAW_Data!U98),"",DaqBook_RAW_Data!U98)</f>
        <v/>
      </c>
      <c r="G108" s="167" t="str">
        <f>IF(ISBLANK(DaqBook_RAW_Data!V98),"",DaqBook_RAW_Data!V98)</f>
        <v/>
      </c>
      <c r="H108" s="167" t="str">
        <f>IF(ISBLANK(DaqBook_RAW_Data!W98),"",DaqBook_RAW_Data!W98)</f>
        <v/>
      </c>
      <c r="I108" s="167" t="str">
        <f>IF(ISBLANK(DaqBook_RAW_Data!X98),"",DaqBook_RAW_Data!X98)</f>
        <v/>
      </c>
      <c r="J108" s="167" t="str">
        <f>IF(ISBLANK(DaqBook_RAW_Data!Y98),"",DaqBook_RAW_Data!Y98)</f>
        <v/>
      </c>
      <c r="K108" s="167" t="str">
        <f>IF(ISBLANK(DaqBook_RAW_Data!Z98),"",DaqBook_RAW_Data!Z98)</f>
        <v/>
      </c>
      <c r="L108" s="167" t="str">
        <f>IF(ISBLANK(DaqBook_RAW_Data!AA98),"",DaqBook_RAW_Data!AA98)</f>
        <v/>
      </c>
      <c r="M108" s="167" t="str">
        <f>IF(ISBLANK(DaqBook_RAW_Data!AB98),"",DaqBook_RAW_Data!AB98)</f>
        <v/>
      </c>
      <c r="N108" s="167" t="str">
        <f>IF(ISBLANK(DaqBook_RAW_Data!AC98),"",DaqBook_RAW_Data!AC98)</f>
        <v/>
      </c>
      <c r="O108" s="167" t="str">
        <f>IF(ISBLANK(DaqBook_RAW_Data!AD98),"",DaqBook_RAW_Data!AD98)</f>
        <v/>
      </c>
      <c r="P108" s="167" t="str">
        <f>IF(ISBLANK(DaqBook_RAW_Data!AE98),"",DaqBook_RAW_Data!AE98)</f>
        <v/>
      </c>
    </row>
    <row r="109" spans="1:16" x14ac:dyDescent="0.2">
      <c r="A109" s="58" t="e">
        <f t="shared" si="1"/>
        <v>#VALUE!</v>
      </c>
      <c r="B109" s="144" t="str">
        <f>IF(ISBLANK(DaqBook_RAW_Data!Q99),IF(DaqBook_RAW_Data!A99="","",TIMEVALUE(DaqBook_RAW_Data!A99)),TIMEVALUE(DaqBook_RAW_Data!Q99))</f>
        <v/>
      </c>
      <c r="C109" s="167" t="str">
        <f>IF(ISBLANK(DaqBook_RAW_Data!R99),"",DaqBook_RAW_Data!R99)</f>
        <v/>
      </c>
      <c r="D109" s="167" t="str">
        <f>IF(ISBLANK(DaqBook_RAW_Data!S99),"",DaqBook_RAW_Data!S99)</f>
        <v/>
      </c>
      <c r="E109" s="167" t="str">
        <f>IF(ISBLANK(DaqBook_RAW_Data!T99),"",DaqBook_RAW_Data!T99)</f>
        <v/>
      </c>
      <c r="F109" s="167" t="str">
        <f>IF(ISBLANK(DaqBook_RAW_Data!U99),"",DaqBook_RAW_Data!U99)</f>
        <v/>
      </c>
      <c r="G109" s="167" t="str">
        <f>IF(ISBLANK(DaqBook_RAW_Data!V99),"",DaqBook_RAW_Data!V99)</f>
        <v/>
      </c>
      <c r="H109" s="167" t="str">
        <f>IF(ISBLANK(DaqBook_RAW_Data!W99),"",DaqBook_RAW_Data!W99)</f>
        <v/>
      </c>
      <c r="I109" s="167" t="str">
        <f>IF(ISBLANK(DaqBook_RAW_Data!X99),"",DaqBook_RAW_Data!X99)</f>
        <v/>
      </c>
      <c r="J109" s="167" t="str">
        <f>IF(ISBLANK(DaqBook_RAW_Data!Y99),"",DaqBook_RAW_Data!Y99)</f>
        <v/>
      </c>
      <c r="K109" s="167" t="str">
        <f>IF(ISBLANK(DaqBook_RAW_Data!Z99),"",DaqBook_RAW_Data!Z99)</f>
        <v/>
      </c>
      <c r="L109" s="167" t="str">
        <f>IF(ISBLANK(DaqBook_RAW_Data!AA99),"",DaqBook_RAW_Data!AA99)</f>
        <v/>
      </c>
      <c r="M109" s="167" t="str">
        <f>IF(ISBLANK(DaqBook_RAW_Data!AB99),"",DaqBook_RAW_Data!AB99)</f>
        <v/>
      </c>
      <c r="N109" s="167" t="str">
        <f>IF(ISBLANK(DaqBook_RAW_Data!AC99),"",DaqBook_RAW_Data!AC99)</f>
        <v/>
      </c>
      <c r="O109" s="167" t="str">
        <f>IF(ISBLANK(DaqBook_RAW_Data!AD99),"",DaqBook_RAW_Data!AD99)</f>
        <v/>
      </c>
      <c r="P109" s="167" t="str">
        <f>IF(ISBLANK(DaqBook_RAW_Data!AE99),"",DaqBook_RAW_Data!AE99)</f>
        <v/>
      </c>
    </row>
    <row r="110" spans="1:16" x14ac:dyDescent="0.2">
      <c r="A110" s="58" t="e">
        <f t="shared" si="1"/>
        <v>#VALUE!</v>
      </c>
      <c r="B110" s="144" t="str">
        <f>IF(ISBLANK(DaqBook_RAW_Data!Q100),IF(DaqBook_RAW_Data!A100="","",TIMEVALUE(DaqBook_RAW_Data!A100)),TIMEVALUE(DaqBook_RAW_Data!Q100))</f>
        <v/>
      </c>
      <c r="C110" s="167" t="str">
        <f>IF(ISBLANK(DaqBook_RAW_Data!R100),"",DaqBook_RAW_Data!R100)</f>
        <v/>
      </c>
      <c r="D110" s="167" t="str">
        <f>IF(ISBLANK(DaqBook_RAW_Data!S100),"",DaqBook_RAW_Data!S100)</f>
        <v/>
      </c>
      <c r="E110" s="167" t="str">
        <f>IF(ISBLANK(DaqBook_RAW_Data!T100),"",DaqBook_RAW_Data!T100)</f>
        <v/>
      </c>
      <c r="F110" s="167" t="str">
        <f>IF(ISBLANK(DaqBook_RAW_Data!U100),"",DaqBook_RAW_Data!U100)</f>
        <v/>
      </c>
      <c r="G110" s="167" t="str">
        <f>IF(ISBLANK(DaqBook_RAW_Data!V100),"",DaqBook_RAW_Data!V100)</f>
        <v/>
      </c>
      <c r="H110" s="167" t="str">
        <f>IF(ISBLANK(DaqBook_RAW_Data!W100),"",DaqBook_RAW_Data!W100)</f>
        <v/>
      </c>
      <c r="I110" s="167" t="str">
        <f>IF(ISBLANK(DaqBook_RAW_Data!X100),"",DaqBook_RAW_Data!X100)</f>
        <v/>
      </c>
      <c r="J110" s="167" t="str">
        <f>IF(ISBLANK(DaqBook_RAW_Data!Y100),"",DaqBook_RAW_Data!Y100)</f>
        <v/>
      </c>
      <c r="K110" s="167" t="str">
        <f>IF(ISBLANK(DaqBook_RAW_Data!Z100),"",DaqBook_RAW_Data!Z100)</f>
        <v/>
      </c>
      <c r="L110" s="167" t="str">
        <f>IF(ISBLANK(DaqBook_RAW_Data!AA100),"",DaqBook_RAW_Data!AA100)</f>
        <v/>
      </c>
      <c r="M110" s="167" t="str">
        <f>IF(ISBLANK(DaqBook_RAW_Data!AB100),"",DaqBook_RAW_Data!AB100)</f>
        <v/>
      </c>
      <c r="N110" s="167" t="str">
        <f>IF(ISBLANK(DaqBook_RAW_Data!AC100),"",DaqBook_RAW_Data!AC100)</f>
        <v/>
      </c>
      <c r="O110" s="167" t="str">
        <f>IF(ISBLANK(DaqBook_RAW_Data!AD100),"",DaqBook_RAW_Data!AD100)</f>
        <v/>
      </c>
      <c r="P110" s="167" t="str">
        <f>IF(ISBLANK(DaqBook_RAW_Data!AE100),"",DaqBook_RAW_Data!AE100)</f>
        <v/>
      </c>
    </row>
    <row r="111" spans="1:16" x14ac:dyDescent="0.2">
      <c r="A111" s="58" t="e">
        <f t="shared" si="1"/>
        <v>#VALUE!</v>
      </c>
      <c r="B111" s="144" t="str">
        <f>IF(ISBLANK(DaqBook_RAW_Data!Q101),IF(DaqBook_RAW_Data!A101="","",TIMEVALUE(DaqBook_RAW_Data!A101)),TIMEVALUE(DaqBook_RAW_Data!Q101))</f>
        <v/>
      </c>
      <c r="C111" s="167" t="str">
        <f>IF(ISBLANK(DaqBook_RAW_Data!R101),"",DaqBook_RAW_Data!R101)</f>
        <v/>
      </c>
      <c r="D111" s="167" t="str">
        <f>IF(ISBLANK(DaqBook_RAW_Data!S101),"",DaqBook_RAW_Data!S101)</f>
        <v/>
      </c>
      <c r="E111" s="167" t="str">
        <f>IF(ISBLANK(DaqBook_RAW_Data!T101),"",DaqBook_RAW_Data!T101)</f>
        <v/>
      </c>
      <c r="F111" s="167" t="str">
        <f>IF(ISBLANK(DaqBook_RAW_Data!U101),"",DaqBook_RAW_Data!U101)</f>
        <v/>
      </c>
      <c r="G111" s="167" t="str">
        <f>IF(ISBLANK(DaqBook_RAW_Data!V101),"",DaqBook_RAW_Data!V101)</f>
        <v/>
      </c>
      <c r="H111" s="167" t="str">
        <f>IF(ISBLANK(DaqBook_RAW_Data!W101),"",DaqBook_RAW_Data!W101)</f>
        <v/>
      </c>
      <c r="I111" s="167" t="str">
        <f>IF(ISBLANK(DaqBook_RAW_Data!X101),"",DaqBook_RAW_Data!X101)</f>
        <v/>
      </c>
      <c r="J111" s="167" t="str">
        <f>IF(ISBLANK(DaqBook_RAW_Data!Y101),"",DaqBook_RAW_Data!Y101)</f>
        <v/>
      </c>
      <c r="K111" s="167" t="str">
        <f>IF(ISBLANK(DaqBook_RAW_Data!Z101),"",DaqBook_RAW_Data!Z101)</f>
        <v/>
      </c>
      <c r="L111" s="167" t="str">
        <f>IF(ISBLANK(DaqBook_RAW_Data!AA101),"",DaqBook_RAW_Data!AA101)</f>
        <v/>
      </c>
      <c r="M111" s="167" t="str">
        <f>IF(ISBLANK(DaqBook_RAW_Data!AB101),"",DaqBook_RAW_Data!AB101)</f>
        <v/>
      </c>
      <c r="N111" s="167" t="str">
        <f>IF(ISBLANK(DaqBook_RAW_Data!AC101),"",DaqBook_RAW_Data!AC101)</f>
        <v/>
      </c>
      <c r="O111" s="167" t="str">
        <f>IF(ISBLANK(DaqBook_RAW_Data!AD101),"",DaqBook_RAW_Data!AD101)</f>
        <v/>
      </c>
      <c r="P111" s="167" t="str">
        <f>IF(ISBLANK(DaqBook_RAW_Data!AE101),"",DaqBook_RAW_Data!AE101)</f>
        <v/>
      </c>
    </row>
    <row r="112" spans="1:16" x14ac:dyDescent="0.2">
      <c r="A112" s="58" t="e">
        <f t="shared" si="1"/>
        <v>#VALUE!</v>
      </c>
      <c r="B112" s="144" t="str">
        <f>IF(ISBLANK(DaqBook_RAW_Data!Q102),IF(DaqBook_RAW_Data!A102="","",TIMEVALUE(DaqBook_RAW_Data!A102)),TIMEVALUE(DaqBook_RAW_Data!Q102))</f>
        <v/>
      </c>
      <c r="C112" s="167" t="str">
        <f>IF(ISBLANK(DaqBook_RAW_Data!R102),"",DaqBook_RAW_Data!R102)</f>
        <v/>
      </c>
      <c r="D112" s="167" t="str">
        <f>IF(ISBLANK(DaqBook_RAW_Data!S102),"",DaqBook_RAW_Data!S102)</f>
        <v/>
      </c>
      <c r="E112" s="167" t="str">
        <f>IF(ISBLANK(DaqBook_RAW_Data!T102),"",DaqBook_RAW_Data!T102)</f>
        <v/>
      </c>
      <c r="F112" s="167" t="str">
        <f>IF(ISBLANK(DaqBook_RAW_Data!U102),"",DaqBook_RAW_Data!U102)</f>
        <v/>
      </c>
      <c r="G112" s="167" t="str">
        <f>IF(ISBLANK(DaqBook_RAW_Data!V102),"",DaqBook_RAW_Data!V102)</f>
        <v/>
      </c>
      <c r="H112" s="167" t="str">
        <f>IF(ISBLANK(DaqBook_RAW_Data!W102),"",DaqBook_RAW_Data!W102)</f>
        <v/>
      </c>
      <c r="I112" s="167" t="str">
        <f>IF(ISBLANK(DaqBook_RAW_Data!X102),"",DaqBook_RAW_Data!X102)</f>
        <v/>
      </c>
      <c r="J112" s="167" t="str">
        <f>IF(ISBLANK(DaqBook_RAW_Data!Y102),"",DaqBook_RAW_Data!Y102)</f>
        <v/>
      </c>
      <c r="K112" s="167" t="str">
        <f>IF(ISBLANK(DaqBook_RAW_Data!Z102),"",DaqBook_RAW_Data!Z102)</f>
        <v/>
      </c>
      <c r="L112" s="167" t="str">
        <f>IF(ISBLANK(DaqBook_RAW_Data!AA102),"",DaqBook_RAW_Data!AA102)</f>
        <v/>
      </c>
      <c r="M112" s="167" t="str">
        <f>IF(ISBLANK(DaqBook_RAW_Data!AB102),"",DaqBook_RAW_Data!AB102)</f>
        <v/>
      </c>
      <c r="N112" s="167" t="str">
        <f>IF(ISBLANK(DaqBook_RAW_Data!AC102),"",DaqBook_RAW_Data!AC102)</f>
        <v/>
      </c>
      <c r="O112" s="167" t="str">
        <f>IF(ISBLANK(DaqBook_RAW_Data!AD102),"",DaqBook_RAW_Data!AD102)</f>
        <v/>
      </c>
      <c r="P112" s="167" t="str">
        <f>IF(ISBLANK(DaqBook_RAW_Data!AE102),"",DaqBook_RAW_Data!AE102)</f>
        <v/>
      </c>
    </row>
    <row r="113" spans="1:16" x14ac:dyDescent="0.2">
      <c r="A113" s="58" t="e">
        <f t="shared" si="1"/>
        <v>#VALUE!</v>
      </c>
      <c r="B113" s="144" t="str">
        <f>IF(ISBLANK(DaqBook_RAW_Data!Q103),IF(DaqBook_RAW_Data!A103="","",TIMEVALUE(DaqBook_RAW_Data!A103)),TIMEVALUE(DaqBook_RAW_Data!Q103))</f>
        <v/>
      </c>
      <c r="C113" s="167" t="str">
        <f>IF(ISBLANK(DaqBook_RAW_Data!R103),"",DaqBook_RAW_Data!R103)</f>
        <v/>
      </c>
      <c r="D113" s="167" t="str">
        <f>IF(ISBLANK(DaqBook_RAW_Data!S103),"",DaqBook_RAW_Data!S103)</f>
        <v/>
      </c>
      <c r="E113" s="167" t="str">
        <f>IF(ISBLANK(DaqBook_RAW_Data!T103),"",DaqBook_RAW_Data!T103)</f>
        <v/>
      </c>
      <c r="F113" s="167" t="str">
        <f>IF(ISBLANK(DaqBook_RAW_Data!U103),"",DaqBook_RAW_Data!U103)</f>
        <v/>
      </c>
      <c r="G113" s="167" t="str">
        <f>IF(ISBLANK(DaqBook_RAW_Data!V103),"",DaqBook_RAW_Data!V103)</f>
        <v/>
      </c>
      <c r="H113" s="167" t="str">
        <f>IF(ISBLANK(DaqBook_RAW_Data!W103),"",DaqBook_RAW_Data!W103)</f>
        <v/>
      </c>
      <c r="I113" s="167" t="str">
        <f>IF(ISBLANK(DaqBook_RAW_Data!X103),"",DaqBook_RAW_Data!X103)</f>
        <v/>
      </c>
      <c r="J113" s="167" t="str">
        <f>IF(ISBLANK(DaqBook_RAW_Data!Y103),"",DaqBook_RAW_Data!Y103)</f>
        <v/>
      </c>
      <c r="K113" s="167" t="str">
        <f>IF(ISBLANK(DaqBook_RAW_Data!Z103),"",DaqBook_RAW_Data!Z103)</f>
        <v/>
      </c>
      <c r="L113" s="167" t="str">
        <f>IF(ISBLANK(DaqBook_RAW_Data!AA103),"",DaqBook_RAW_Data!AA103)</f>
        <v/>
      </c>
      <c r="M113" s="167" t="str">
        <f>IF(ISBLANK(DaqBook_RAW_Data!AB103),"",DaqBook_RAW_Data!AB103)</f>
        <v/>
      </c>
      <c r="N113" s="167" t="str">
        <f>IF(ISBLANK(DaqBook_RAW_Data!AC103),"",DaqBook_RAW_Data!AC103)</f>
        <v/>
      </c>
      <c r="O113" s="167" t="str">
        <f>IF(ISBLANK(DaqBook_RAW_Data!AD103),"",DaqBook_RAW_Data!AD103)</f>
        <v/>
      </c>
      <c r="P113" s="167" t="str">
        <f>IF(ISBLANK(DaqBook_RAW_Data!AE103),"",DaqBook_RAW_Data!AE103)</f>
        <v/>
      </c>
    </row>
    <row r="114" spans="1:16" x14ac:dyDescent="0.2">
      <c r="A114" s="58" t="e">
        <f t="shared" si="1"/>
        <v>#VALUE!</v>
      </c>
      <c r="B114" s="144" t="str">
        <f>IF(ISBLANK(DaqBook_RAW_Data!Q104),IF(DaqBook_RAW_Data!A104="","",TIMEVALUE(DaqBook_RAW_Data!A104)),TIMEVALUE(DaqBook_RAW_Data!Q104))</f>
        <v/>
      </c>
      <c r="C114" s="167" t="str">
        <f>IF(ISBLANK(DaqBook_RAW_Data!R104),"",DaqBook_RAW_Data!R104)</f>
        <v/>
      </c>
      <c r="D114" s="167" t="str">
        <f>IF(ISBLANK(DaqBook_RAW_Data!S104),"",DaqBook_RAW_Data!S104)</f>
        <v/>
      </c>
      <c r="E114" s="167" t="str">
        <f>IF(ISBLANK(DaqBook_RAW_Data!T104),"",DaqBook_RAW_Data!T104)</f>
        <v/>
      </c>
      <c r="F114" s="167" t="str">
        <f>IF(ISBLANK(DaqBook_RAW_Data!U104),"",DaqBook_RAW_Data!U104)</f>
        <v/>
      </c>
      <c r="G114" s="167" t="str">
        <f>IF(ISBLANK(DaqBook_RAW_Data!V104),"",DaqBook_RAW_Data!V104)</f>
        <v/>
      </c>
      <c r="H114" s="167" t="str">
        <f>IF(ISBLANK(DaqBook_RAW_Data!W104),"",DaqBook_RAW_Data!W104)</f>
        <v/>
      </c>
      <c r="I114" s="167" t="str">
        <f>IF(ISBLANK(DaqBook_RAW_Data!X104),"",DaqBook_RAW_Data!X104)</f>
        <v/>
      </c>
      <c r="J114" s="167" t="str">
        <f>IF(ISBLANK(DaqBook_RAW_Data!Y104),"",DaqBook_RAW_Data!Y104)</f>
        <v/>
      </c>
      <c r="K114" s="167" t="str">
        <f>IF(ISBLANK(DaqBook_RAW_Data!Z104),"",DaqBook_RAW_Data!Z104)</f>
        <v/>
      </c>
      <c r="L114" s="167" t="str">
        <f>IF(ISBLANK(DaqBook_RAW_Data!AA104),"",DaqBook_RAW_Data!AA104)</f>
        <v/>
      </c>
      <c r="M114" s="167" t="str">
        <f>IF(ISBLANK(DaqBook_RAW_Data!AB104),"",DaqBook_RAW_Data!AB104)</f>
        <v/>
      </c>
      <c r="N114" s="167" t="str">
        <f>IF(ISBLANK(DaqBook_RAW_Data!AC104),"",DaqBook_RAW_Data!AC104)</f>
        <v/>
      </c>
      <c r="O114" s="167" t="str">
        <f>IF(ISBLANK(DaqBook_RAW_Data!AD104),"",DaqBook_RAW_Data!AD104)</f>
        <v/>
      </c>
      <c r="P114" s="167" t="str">
        <f>IF(ISBLANK(DaqBook_RAW_Data!AE104),"",DaqBook_RAW_Data!AE104)</f>
        <v/>
      </c>
    </row>
    <row r="115" spans="1:16" x14ac:dyDescent="0.2">
      <c r="A115" s="58" t="e">
        <f t="shared" si="1"/>
        <v>#VALUE!</v>
      </c>
      <c r="B115" s="144" t="str">
        <f>IF(ISBLANK(DaqBook_RAW_Data!Q105),IF(DaqBook_RAW_Data!A105="","",TIMEVALUE(DaqBook_RAW_Data!A105)),TIMEVALUE(DaqBook_RAW_Data!Q105))</f>
        <v/>
      </c>
      <c r="C115" s="167" t="str">
        <f>IF(ISBLANK(DaqBook_RAW_Data!R105),"",DaqBook_RAW_Data!R105)</f>
        <v/>
      </c>
      <c r="D115" s="167" t="str">
        <f>IF(ISBLANK(DaqBook_RAW_Data!S105),"",DaqBook_RAW_Data!S105)</f>
        <v/>
      </c>
      <c r="E115" s="167" t="str">
        <f>IF(ISBLANK(DaqBook_RAW_Data!T105),"",DaqBook_RAW_Data!T105)</f>
        <v/>
      </c>
      <c r="F115" s="167" t="str">
        <f>IF(ISBLANK(DaqBook_RAW_Data!U105),"",DaqBook_RAW_Data!U105)</f>
        <v/>
      </c>
      <c r="G115" s="167" t="str">
        <f>IF(ISBLANK(DaqBook_RAW_Data!V105),"",DaqBook_RAW_Data!V105)</f>
        <v/>
      </c>
      <c r="H115" s="167" t="str">
        <f>IF(ISBLANK(DaqBook_RAW_Data!W105),"",DaqBook_RAW_Data!W105)</f>
        <v/>
      </c>
      <c r="I115" s="167" t="str">
        <f>IF(ISBLANK(DaqBook_RAW_Data!X105),"",DaqBook_RAW_Data!X105)</f>
        <v/>
      </c>
      <c r="J115" s="167" t="str">
        <f>IF(ISBLANK(DaqBook_RAW_Data!Y105),"",DaqBook_RAW_Data!Y105)</f>
        <v/>
      </c>
      <c r="K115" s="167" t="str">
        <f>IF(ISBLANK(DaqBook_RAW_Data!Z105),"",DaqBook_RAW_Data!Z105)</f>
        <v/>
      </c>
      <c r="L115" s="167" t="str">
        <f>IF(ISBLANK(DaqBook_RAW_Data!AA105),"",DaqBook_RAW_Data!AA105)</f>
        <v/>
      </c>
      <c r="M115" s="167" t="str">
        <f>IF(ISBLANK(DaqBook_RAW_Data!AB105),"",DaqBook_RAW_Data!AB105)</f>
        <v/>
      </c>
      <c r="N115" s="167" t="str">
        <f>IF(ISBLANK(DaqBook_RAW_Data!AC105),"",DaqBook_RAW_Data!AC105)</f>
        <v/>
      </c>
      <c r="O115" s="167" t="str">
        <f>IF(ISBLANK(DaqBook_RAW_Data!AD105),"",DaqBook_RAW_Data!AD105)</f>
        <v/>
      </c>
      <c r="P115" s="167" t="str">
        <f>IF(ISBLANK(DaqBook_RAW_Data!AE105),"",DaqBook_RAW_Data!AE105)</f>
        <v/>
      </c>
    </row>
    <row r="116" spans="1:16" x14ac:dyDescent="0.2">
      <c r="A116" s="58" t="e">
        <f t="shared" si="1"/>
        <v>#VALUE!</v>
      </c>
      <c r="B116" s="144" t="str">
        <f>IF(ISBLANK(DaqBook_RAW_Data!Q106),IF(DaqBook_RAW_Data!A106="","",TIMEVALUE(DaqBook_RAW_Data!A106)),TIMEVALUE(DaqBook_RAW_Data!Q106))</f>
        <v/>
      </c>
      <c r="C116" s="167" t="str">
        <f>IF(ISBLANK(DaqBook_RAW_Data!R106),"",DaqBook_RAW_Data!R106)</f>
        <v/>
      </c>
      <c r="D116" s="167" t="str">
        <f>IF(ISBLANK(DaqBook_RAW_Data!S106),"",DaqBook_RAW_Data!S106)</f>
        <v/>
      </c>
      <c r="E116" s="167" t="str">
        <f>IF(ISBLANK(DaqBook_RAW_Data!T106),"",DaqBook_RAW_Data!T106)</f>
        <v/>
      </c>
      <c r="F116" s="167" t="str">
        <f>IF(ISBLANK(DaqBook_RAW_Data!U106),"",DaqBook_RAW_Data!U106)</f>
        <v/>
      </c>
      <c r="G116" s="167" t="str">
        <f>IF(ISBLANK(DaqBook_RAW_Data!V106),"",DaqBook_RAW_Data!V106)</f>
        <v/>
      </c>
      <c r="H116" s="167" t="str">
        <f>IF(ISBLANK(DaqBook_RAW_Data!W106),"",DaqBook_RAW_Data!W106)</f>
        <v/>
      </c>
      <c r="I116" s="167" t="str">
        <f>IF(ISBLANK(DaqBook_RAW_Data!X106),"",DaqBook_RAW_Data!X106)</f>
        <v/>
      </c>
      <c r="J116" s="167" t="str">
        <f>IF(ISBLANK(DaqBook_RAW_Data!Y106),"",DaqBook_RAW_Data!Y106)</f>
        <v/>
      </c>
      <c r="K116" s="167" t="str">
        <f>IF(ISBLANK(DaqBook_RAW_Data!Z106),"",DaqBook_RAW_Data!Z106)</f>
        <v/>
      </c>
      <c r="L116" s="167" t="str">
        <f>IF(ISBLANK(DaqBook_RAW_Data!AA106),"",DaqBook_RAW_Data!AA106)</f>
        <v/>
      </c>
      <c r="M116" s="167" t="str">
        <f>IF(ISBLANK(DaqBook_RAW_Data!AB106),"",DaqBook_RAW_Data!AB106)</f>
        <v/>
      </c>
      <c r="N116" s="167" t="str">
        <f>IF(ISBLANK(DaqBook_RAW_Data!AC106),"",DaqBook_RAW_Data!AC106)</f>
        <v/>
      </c>
      <c r="O116" s="167" t="str">
        <f>IF(ISBLANK(DaqBook_RAW_Data!AD106),"",DaqBook_RAW_Data!AD106)</f>
        <v/>
      </c>
      <c r="P116" s="167" t="str">
        <f>IF(ISBLANK(DaqBook_RAW_Data!AE106),"",DaqBook_RAW_Data!AE106)</f>
        <v/>
      </c>
    </row>
    <row r="117" spans="1:16" x14ac:dyDescent="0.2">
      <c r="A117" s="58" t="e">
        <f t="shared" si="1"/>
        <v>#VALUE!</v>
      </c>
      <c r="B117" s="144" t="str">
        <f>IF(ISBLANK(DaqBook_RAW_Data!Q107),IF(DaqBook_RAW_Data!A107="","",TIMEVALUE(DaqBook_RAW_Data!A107)),TIMEVALUE(DaqBook_RAW_Data!Q107))</f>
        <v/>
      </c>
      <c r="C117" s="167" t="str">
        <f>IF(ISBLANK(DaqBook_RAW_Data!R107),"",DaqBook_RAW_Data!R107)</f>
        <v/>
      </c>
      <c r="D117" s="167" t="str">
        <f>IF(ISBLANK(DaqBook_RAW_Data!S107),"",DaqBook_RAW_Data!S107)</f>
        <v/>
      </c>
      <c r="E117" s="167" t="str">
        <f>IF(ISBLANK(DaqBook_RAW_Data!T107),"",DaqBook_RAW_Data!T107)</f>
        <v/>
      </c>
      <c r="F117" s="167" t="str">
        <f>IF(ISBLANK(DaqBook_RAW_Data!U107),"",DaqBook_RAW_Data!U107)</f>
        <v/>
      </c>
      <c r="G117" s="167" t="str">
        <f>IF(ISBLANK(DaqBook_RAW_Data!V107),"",DaqBook_RAW_Data!V107)</f>
        <v/>
      </c>
      <c r="H117" s="167" t="str">
        <f>IF(ISBLANK(DaqBook_RAW_Data!W107),"",DaqBook_RAW_Data!W107)</f>
        <v/>
      </c>
      <c r="I117" s="167" t="str">
        <f>IF(ISBLANK(DaqBook_RAW_Data!X107),"",DaqBook_RAW_Data!X107)</f>
        <v/>
      </c>
      <c r="J117" s="167" t="str">
        <f>IF(ISBLANK(DaqBook_RAW_Data!Y107),"",DaqBook_RAW_Data!Y107)</f>
        <v/>
      </c>
      <c r="K117" s="167" t="str">
        <f>IF(ISBLANK(DaqBook_RAW_Data!Z107),"",DaqBook_RAW_Data!Z107)</f>
        <v/>
      </c>
      <c r="L117" s="167" t="str">
        <f>IF(ISBLANK(DaqBook_RAW_Data!AA107),"",DaqBook_RAW_Data!AA107)</f>
        <v/>
      </c>
      <c r="M117" s="167" t="str">
        <f>IF(ISBLANK(DaqBook_RAW_Data!AB107),"",DaqBook_RAW_Data!AB107)</f>
        <v/>
      </c>
      <c r="N117" s="167" t="str">
        <f>IF(ISBLANK(DaqBook_RAW_Data!AC107),"",DaqBook_RAW_Data!AC107)</f>
        <v/>
      </c>
      <c r="O117" s="167" t="str">
        <f>IF(ISBLANK(DaqBook_RAW_Data!AD107),"",DaqBook_RAW_Data!AD107)</f>
        <v/>
      </c>
      <c r="P117" s="167" t="str">
        <f>IF(ISBLANK(DaqBook_RAW_Data!AE107),"",DaqBook_RAW_Data!AE107)</f>
        <v/>
      </c>
    </row>
    <row r="118" spans="1:16" x14ac:dyDescent="0.2">
      <c r="A118" s="58" t="e">
        <f t="shared" si="1"/>
        <v>#VALUE!</v>
      </c>
      <c r="B118" s="144" t="str">
        <f>IF(ISBLANK(DaqBook_RAW_Data!Q108),IF(DaqBook_RAW_Data!A108="","",TIMEVALUE(DaqBook_RAW_Data!A108)),TIMEVALUE(DaqBook_RAW_Data!Q108))</f>
        <v/>
      </c>
      <c r="C118" s="167" t="str">
        <f>IF(ISBLANK(DaqBook_RAW_Data!R108),"",DaqBook_RAW_Data!R108)</f>
        <v/>
      </c>
      <c r="D118" s="167" t="str">
        <f>IF(ISBLANK(DaqBook_RAW_Data!S108),"",DaqBook_RAW_Data!S108)</f>
        <v/>
      </c>
      <c r="E118" s="167" t="str">
        <f>IF(ISBLANK(DaqBook_RAW_Data!T108),"",DaqBook_RAW_Data!T108)</f>
        <v/>
      </c>
      <c r="F118" s="167" t="str">
        <f>IF(ISBLANK(DaqBook_RAW_Data!U108),"",DaqBook_RAW_Data!U108)</f>
        <v/>
      </c>
      <c r="G118" s="167" t="str">
        <f>IF(ISBLANK(DaqBook_RAW_Data!V108),"",DaqBook_RAW_Data!V108)</f>
        <v/>
      </c>
      <c r="H118" s="167" t="str">
        <f>IF(ISBLANK(DaqBook_RAW_Data!W108),"",DaqBook_RAW_Data!W108)</f>
        <v/>
      </c>
      <c r="I118" s="167" t="str">
        <f>IF(ISBLANK(DaqBook_RAW_Data!X108),"",DaqBook_RAW_Data!X108)</f>
        <v/>
      </c>
      <c r="J118" s="167" t="str">
        <f>IF(ISBLANK(DaqBook_RAW_Data!Y108),"",DaqBook_RAW_Data!Y108)</f>
        <v/>
      </c>
      <c r="K118" s="167" t="str">
        <f>IF(ISBLANK(DaqBook_RAW_Data!Z108),"",DaqBook_RAW_Data!Z108)</f>
        <v/>
      </c>
      <c r="L118" s="167" t="str">
        <f>IF(ISBLANK(DaqBook_RAW_Data!AA108),"",DaqBook_RAW_Data!AA108)</f>
        <v/>
      </c>
      <c r="M118" s="167" t="str">
        <f>IF(ISBLANK(DaqBook_RAW_Data!AB108),"",DaqBook_RAW_Data!AB108)</f>
        <v/>
      </c>
      <c r="N118" s="167" t="str">
        <f>IF(ISBLANK(DaqBook_RAW_Data!AC108),"",DaqBook_RAW_Data!AC108)</f>
        <v/>
      </c>
      <c r="O118" s="167" t="str">
        <f>IF(ISBLANK(DaqBook_RAW_Data!AD108),"",DaqBook_RAW_Data!AD108)</f>
        <v/>
      </c>
      <c r="P118" s="167" t="str">
        <f>IF(ISBLANK(DaqBook_RAW_Data!AE108),"",DaqBook_RAW_Data!AE108)</f>
        <v/>
      </c>
    </row>
    <row r="119" spans="1:16" x14ac:dyDescent="0.2">
      <c r="A119" s="58" t="e">
        <f t="shared" si="1"/>
        <v>#VALUE!</v>
      </c>
      <c r="B119" s="144" t="str">
        <f>IF(ISBLANK(DaqBook_RAW_Data!Q109),IF(DaqBook_RAW_Data!A109="","",TIMEVALUE(DaqBook_RAW_Data!A109)),TIMEVALUE(DaqBook_RAW_Data!Q109))</f>
        <v/>
      </c>
      <c r="C119" s="167" t="str">
        <f>IF(ISBLANK(DaqBook_RAW_Data!R109),"",DaqBook_RAW_Data!R109)</f>
        <v/>
      </c>
      <c r="D119" s="167" t="str">
        <f>IF(ISBLANK(DaqBook_RAW_Data!S109),"",DaqBook_RAW_Data!S109)</f>
        <v/>
      </c>
      <c r="E119" s="167" t="str">
        <f>IF(ISBLANK(DaqBook_RAW_Data!T109),"",DaqBook_RAW_Data!T109)</f>
        <v/>
      </c>
      <c r="F119" s="167" t="str">
        <f>IF(ISBLANK(DaqBook_RAW_Data!U109),"",DaqBook_RAW_Data!U109)</f>
        <v/>
      </c>
      <c r="G119" s="167" t="str">
        <f>IF(ISBLANK(DaqBook_RAW_Data!V109),"",DaqBook_RAW_Data!V109)</f>
        <v/>
      </c>
      <c r="H119" s="167" t="str">
        <f>IF(ISBLANK(DaqBook_RAW_Data!W109),"",DaqBook_RAW_Data!W109)</f>
        <v/>
      </c>
      <c r="I119" s="167" t="str">
        <f>IF(ISBLANK(DaqBook_RAW_Data!X109),"",DaqBook_RAW_Data!X109)</f>
        <v/>
      </c>
      <c r="J119" s="167" t="str">
        <f>IF(ISBLANK(DaqBook_RAW_Data!Y109),"",DaqBook_RAW_Data!Y109)</f>
        <v/>
      </c>
      <c r="K119" s="167" t="str">
        <f>IF(ISBLANK(DaqBook_RAW_Data!Z109),"",DaqBook_RAW_Data!Z109)</f>
        <v/>
      </c>
      <c r="L119" s="167" t="str">
        <f>IF(ISBLANK(DaqBook_RAW_Data!AA109),"",DaqBook_RAW_Data!AA109)</f>
        <v/>
      </c>
      <c r="M119" s="167" t="str">
        <f>IF(ISBLANK(DaqBook_RAW_Data!AB109),"",DaqBook_RAW_Data!AB109)</f>
        <v/>
      </c>
      <c r="N119" s="167" t="str">
        <f>IF(ISBLANK(DaqBook_RAW_Data!AC109),"",DaqBook_RAW_Data!AC109)</f>
        <v/>
      </c>
      <c r="O119" s="167" t="str">
        <f>IF(ISBLANK(DaqBook_RAW_Data!AD109),"",DaqBook_RAW_Data!AD109)</f>
        <v/>
      </c>
      <c r="P119" s="167" t="str">
        <f>IF(ISBLANK(DaqBook_RAW_Data!AE109),"",DaqBook_RAW_Data!AE109)</f>
        <v/>
      </c>
    </row>
    <row r="120" spans="1:16" x14ac:dyDescent="0.2">
      <c r="A120" s="58" t="e">
        <f t="shared" si="1"/>
        <v>#VALUE!</v>
      </c>
      <c r="B120" s="144" t="str">
        <f>IF(ISBLANK(DaqBook_RAW_Data!Q110),IF(DaqBook_RAW_Data!A110="","",TIMEVALUE(DaqBook_RAW_Data!A110)),TIMEVALUE(DaqBook_RAW_Data!Q110))</f>
        <v/>
      </c>
      <c r="C120" s="167" t="str">
        <f>IF(ISBLANK(DaqBook_RAW_Data!R110),"",DaqBook_RAW_Data!R110)</f>
        <v/>
      </c>
      <c r="D120" s="167" t="str">
        <f>IF(ISBLANK(DaqBook_RAW_Data!S110),"",DaqBook_RAW_Data!S110)</f>
        <v/>
      </c>
      <c r="E120" s="167" t="str">
        <f>IF(ISBLANK(DaqBook_RAW_Data!T110),"",DaqBook_RAW_Data!T110)</f>
        <v/>
      </c>
      <c r="F120" s="167" t="str">
        <f>IF(ISBLANK(DaqBook_RAW_Data!U110),"",DaqBook_RAW_Data!U110)</f>
        <v/>
      </c>
      <c r="G120" s="167" t="str">
        <f>IF(ISBLANK(DaqBook_RAW_Data!V110),"",DaqBook_RAW_Data!V110)</f>
        <v/>
      </c>
      <c r="H120" s="167" t="str">
        <f>IF(ISBLANK(DaqBook_RAW_Data!W110),"",DaqBook_RAW_Data!W110)</f>
        <v/>
      </c>
      <c r="I120" s="167" t="str">
        <f>IF(ISBLANK(DaqBook_RAW_Data!X110),"",DaqBook_RAW_Data!X110)</f>
        <v/>
      </c>
      <c r="J120" s="167" t="str">
        <f>IF(ISBLANK(DaqBook_RAW_Data!Y110),"",DaqBook_RAW_Data!Y110)</f>
        <v/>
      </c>
      <c r="K120" s="167" t="str">
        <f>IF(ISBLANK(DaqBook_RAW_Data!Z110),"",DaqBook_RAW_Data!Z110)</f>
        <v/>
      </c>
      <c r="L120" s="167" t="str">
        <f>IF(ISBLANK(DaqBook_RAW_Data!AA110),"",DaqBook_RAW_Data!AA110)</f>
        <v/>
      </c>
      <c r="M120" s="167" t="str">
        <f>IF(ISBLANK(DaqBook_RAW_Data!AB110),"",DaqBook_RAW_Data!AB110)</f>
        <v/>
      </c>
      <c r="N120" s="167" t="str">
        <f>IF(ISBLANK(DaqBook_RAW_Data!AC110),"",DaqBook_RAW_Data!AC110)</f>
        <v/>
      </c>
      <c r="O120" s="167" t="str">
        <f>IF(ISBLANK(DaqBook_RAW_Data!AD110),"",DaqBook_RAW_Data!AD110)</f>
        <v/>
      </c>
      <c r="P120" s="167" t="str">
        <f>IF(ISBLANK(DaqBook_RAW_Data!AE110),"",DaqBook_RAW_Data!AE110)</f>
        <v/>
      </c>
    </row>
    <row r="121" spans="1:16" x14ac:dyDescent="0.2">
      <c r="A121" s="58" t="e">
        <f t="shared" si="1"/>
        <v>#VALUE!</v>
      </c>
      <c r="B121" s="144" t="str">
        <f>IF(ISBLANK(DaqBook_RAW_Data!Q111),IF(DaqBook_RAW_Data!A111="","",TIMEVALUE(DaqBook_RAW_Data!A111)),TIMEVALUE(DaqBook_RAW_Data!Q111))</f>
        <v/>
      </c>
      <c r="C121" s="167" t="str">
        <f>IF(ISBLANK(DaqBook_RAW_Data!R111),"",DaqBook_RAW_Data!R111)</f>
        <v/>
      </c>
      <c r="D121" s="167" t="str">
        <f>IF(ISBLANK(DaqBook_RAW_Data!S111),"",DaqBook_RAW_Data!S111)</f>
        <v/>
      </c>
      <c r="E121" s="167" t="str">
        <f>IF(ISBLANK(DaqBook_RAW_Data!T111),"",DaqBook_RAW_Data!T111)</f>
        <v/>
      </c>
      <c r="F121" s="167" t="str">
        <f>IF(ISBLANK(DaqBook_RAW_Data!U111),"",DaqBook_RAW_Data!U111)</f>
        <v/>
      </c>
      <c r="G121" s="167" t="str">
        <f>IF(ISBLANK(DaqBook_RAW_Data!V111),"",DaqBook_RAW_Data!V111)</f>
        <v/>
      </c>
      <c r="H121" s="167" t="str">
        <f>IF(ISBLANK(DaqBook_RAW_Data!W111),"",DaqBook_RAW_Data!W111)</f>
        <v/>
      </c>
      <c r="I121" s="167" t="str">
        <f>IF(ISBLANK(DaqBook_RAW_Data!X111),"",DaqBook_RAW_Data!X111)</f>
        <v/>
      </c>
      <c r="J121" s="167" t="str">
        <f>IF(ISBLANK(DaqBook_RAW_Data!Y111),"",DaqBook_RAW_Data!Y111)</f>
        <v/>
      </c>
      <c r="K121" s="167" t="str">
        <f>IF(ISBLANK(DaqBook_RAW_Data!Z111),"",DaqBook_RAW_Data!Z111)</f>
        <v/>
      </c>
      <c r="L121" s="167" t="str">
        <f>IF(ISBLANK(DaqBook_RAW_Data!AA111),"",DaqBook_RAW_Data!AA111)</f>
        <v/>
      </c>
      <c r="M121" s="167" t="str">
        <f>IF(ISBLANK(DaqBook_RAW_Data!AB111),"",DaqBook_RAW_Data!AB111)</f>
        <v/>
      </c>
      <c r="N121" s="167" t="str">
        <f>IF(ISBLANK(DaqBook_RAW_Data!AC111),"",DaqBook_RAW_Data!AC111)</f>
        <v/>
      </c>
      <c r="O121" s="167" t="str">
        <f>IF(ISBLANK(DaqBook_RAW_Data!AD111),"",DaqBook_RAW_Data!AD111)</f>
        <v/>
      </c>
      <c r="P121" s="167" t="str">
        <f>IF(ISBLANK(DaqBook_RAW_Data!AE111),"",DaqBook_RAW_Data!AE111)</f>
        <v/>
      </c>
    </row>
    <row r="122" spans="1:16" x14ac:dyDescent="0.2">
      <c r="A122" s="58" t="e">
        <f t="shared" si="1"/>
        <v>#VALUE!</v>
      </c>
      <c r="B122" s="144" t="str">
        <f>IF(ISBLANK(DaqBook_RAW_Data!Q112),IF(DaqBook_RAW_Data!A112="","",TIMEVALUE(DaqBook_RAW_Data!A112)),TIMEVALUE(DaqBook_RAW_Data!Q112))</f>
        <v/>
      </c>
      <c r="C122" s="167" t="str">
        <f>IF(ISBLANK(DaqBook_RAW_Data!R112),"",DaqBook_RAW_Data!R112)</f>
        <v/>
      </c>
      <c r="D122" s="167" t="str">
        <f>IF(ISBLANK(DaqBook_RAW_Data!S112),"",DaqBook_RAW_Data!S112)</f>
        <v/>
      </c>
      <c r="E122" s="167" t="str">
        <f>IF(ISBLANK(DaqBook_RAW_Data!T112),"",DaqBook_RAW_Data!T112)</f>
        <v/>
      </c>
      <c r="F122" s="167" t="str">
        <f>IF(ISBLANK(DaqBook_RAW_Data!U112),"",DaqBook_RAW_Data!U112)</f>
        <v/>
      </c>
      <c r="G122" s="167" t="str">
        <f>IF(ISBLANK(DaqBook_RAW_Data!V112),"",DaqBook_RAW_Data!V112)</f>
        <v/>
      </c>
      <c r="H122" s="167" t="str">
        <f>IF(ISBLANK(DaqBook_RAW_Data!W112),"",DaqBook_RAW_Data!W112)</f>
        <v/>
      </c>
      <c r="I122" s="167" t="str">
        <f>IF(ISBLANK(DaqBook_RAW_Data!X112),"",DaqBook_RAW_Data!X112)</f>
        <v/>
      </c>
      <c r="J122" s="167" t="str">
        <f>IF(ISBLANK(DaqBook_RAW_Data!Y112),"",DaqBook_RAW_Data!Y112)</f>
        <v/>
      </c>
      <c r="K122" s="167" t="str">
        <f>IF(ISBLANK(DaqBook_RAW_Data!Z112),"",DaqBook_RAW_Data!Z112)</f>
        <v/>
      </c>
      <c r="L122" s="167" t="str">
        <f>IF(ISBLANK(DaqBook_RAW_Data!AA112),"",DaqBook_RAW_Data!AA112)</f>
        <v/>
      </c>
      <c r="M122" s="167" t="str">
        <f>IF(ISBLANK(DaqBook_RAW_Data!AB112),"",DaqBook_RAW_Data!AB112)</f>
        <v/>
      </c>
      <c r="N122" s="167" t="str">
        <f>IF(ISBLANK(DaqBook_RAW_Data!AC112),"",DaqBook_RAW_Data!AC112)</f>
        <v/>
      </c>
      <c r="O122" s="167" t="str">
        <f>IF(ISBLANK(DaqBook_RAW_Data!AD112),"",DaqBook_RAW_Data!AD112)</f>
        <v/>
      </c>
      <c r="P122" s="167" t="str">
        <f>IF(ISBLANK(DaqBook_RAW_Data!AE112),"",DaqBook_RAW_Data!AE112)</f>
        <v/>
      </c>
    </row>
    <row r="123" spans="1:16" x14ac:dyDescent="0.2">
      <c r="A123" s="58" t="e">
        <f t="shared" si="1"/>
        <v>#VALUE!</v>
      </c>
      <c r="B123" s="144" t="str">
        <f>IF(ISBLANK(DaqBook_RAW_Data!Q113),IF(DaqBook_RAW_Data!A113="","",TIMEVALUE(DaqBook_RAW_Data!A113)),TIMEVALUE(DaqBook_RAW_Data!Q113))</f>
        <v/>
      </c>
      <c r="C123" s="167" t="str">
        <f>IF(ISBLANK(DaqBook_RAW_Data!R113),"",DaqBook_RAW_Data!R113)</f>
        <v/>
      </c>
      <c r="D123" s="167" t="str">
        <f>IF(ISBLANK(DaqBook_RAW_Data!S113),"",DaqBook_RAW_Data!S113)</f>
        <v/>
      </c>
      <c r="E123" s="167" t="str">
        <f>IF(ISBLANK(DaqBook_RAW_Data!T113),"",DaqBook_RAW_Data!T113)</f>
        <v/>
      </c>
      <c r="F123" s="167" t="str">
        <f>IF(ISBLANK(DaqBook_RAW_Data!U113),"",DaqBook_RAW_Data!U113)</f>
        <v/>
      </c>
      <c r="G123" s="167" t="str">
        <f>IF(ISBLANK(DaqBook_RAW_Data!V113),"",DaqBook_RAW_Data!V113)</f>
        <v/>
      </c>
      <c r="H123" s="167" t="str">
        <f>IF(ISBLANK(DaqBook_RAW_Data!W113),"",DaqBook_RAW_Data!W113)</f>
        <v/>
      </c>
      <c r="I123" s="167" t="str">
        <f>IF(ISBLANK(DaqBook_RAW_Data!X113),"",DaqBook_RAW_Data!X113)</f>
        <v/>
      </c>
      <c r="J123" s="167" t="str">
        <f>IF(ISBLANK(DaqBook_RAW_Data!Y113),"",DaqBook_RAW_Data!Y113)</f>
        <v/>
      </c>
      <c r="K123" s="167" t="str">
        <f>IF(ISBLANK(DaqBook_RAW_Data!Z113),"",DaqBook_RAW_Data!Z113)</f>
        <v/>
      </c>
      <c r="L123" s="167" t="str">
        <f>IF(ISBLANK(DaqBook_RAW_Data!AA113),"",DaqBook_RAW_Data!AA113)</f>
        <v/>
      </c>
      <c r="M123" s="167" t="str">
        <f>IF(ISBLANK(DaqBook_RAW_Data!AB113),"",DaqBook_RAW_Data!AB113)</f>
        <v/>
      </c>
      <c r="N123" s="167" t="str">
        <f>IF(ISBLANK(DaqBook_RAW_Data!AC113),"",DaqBook_RAW_Data!AC113)</f>
        <v/>
      </c>
      <c r="O123" s="167" t="str">
        <f>IF(ISBLANK(DaqBook_RAW_Data!AD113),"",DaqBook_RAW_Data!AD113)</f>
        <v/>
      </c>
      <c r="P123" s="167" t="str">
        <f>IF(ISBLANK(DaqBook_RAW_Data!AE113),"",DaqBook_RAW_Data!AE113)</f>
        <v/>
      </c>
    </row>
    <row r="124" spans="1:16" x14ac:dyDescent="0.2">
      <c r="A124" s="58" t="e">
        <f t="shared" si="1"/>
        <v>#VALUE!</v>
      </c>
      <c r="B124" s="144" t="str">
        <f>IF(ISBLANK(DaqBook_RAW_Data!Q114),IF(DaqBook_RAW_Data!A114="","",TIMEVALUE(DaqBook_RAW_Data!A114)),TIMEVALUE(DaqBook_RAW_Data!Q114))</f>
        <v/>
      </c>
      <c r="C124" s="167" t="str">
        <f>IF(ISBLANK(DaqBook_RAW_Data!R114),"",DaqBook_RAW_Data!R114)</f>
        <v/>
      </c>
      <c r="D124" s="167" t="str">
        <f>IF(ISBLANK(DaqBook_RAW_Data!S114),"",DaqBook_RAW_Data!S114)</f>
        <v/>
      </c>
      <c r="E124" s="167" t="str">
        <f>IF(ISBLANK(DaqBook_RAW_Data!T114),"",DaqBook_RAW_Data!T114)</f>
        <v/>
      </c>
      <c r="F124" s="167" t="str">
        <f>IF(ISBLANK(DaqBook_RAW_Data!U114),"",DaqBook_RAW_Data!U114)</f>
        <v/>
      </c>
      <c r="G124" s="167" t="str">
        <f>IF(ISBLANK(DaqBook_RAW_Data!V114),"",DaqBook_RAW_Data!V114)</f>
        <v/>
      </c>
      <c r="H124" s="167" t="str">
        <f>IF(ISBLANK(DaqBook_RAW_Data!W114),"",DaqBook_RAW_Data!W114)</f>
        <v/>
      </c>
      <c r="I124" s="167" t="str">
        <f>IF(ISBLANK(DaqBook_RAW_Data!X114),"",DaqBook_RAW_Data!X114)</f>
        <v/>
      </c>
      <c r="J124" s="167" t="str">
        <f>IF(ISBLANK(DaqBook_RAW_Data!Y114),"",DaqBook_RAW_Data!Y114)</f>
        <v/>
      </c>
      <c r="K124" s="167" t="str">
        <f>IF(ISBLANK(DaqBook_RAW_Data!Z114),"",DaqBook_RAW_Data!Z114)</f>
        <v/>
      </c>
      <c r="L124" s="167" t="str">
        <f>IF(ISBLANK(DaqBook_RAW_Data!AA114),"",DaqBook_RAW_Data!AA114)</f>
        <v/>
      </c>
      <c r="M124" s="167" t="str">
        <f>IF(ISBLANK(DaqBook_RAW_Data!AB114),"",DaqBook_RAW_Data!AB114)</f>
        <v/>
      </c>
      <c r="N124" s="167" t="str">
        <f>IF(ISBLANK(DaqBook_RAW_Data!AC114),"",DaqBook_RAW_Data!AC114)</f>
        <v/>
      </c>
      <c r="O124" s="167" t="str">
        <f>IF(ISBLANK(DaqBook_RAW_Data!AD114),"",DaqBook_RAW_Data!AD114)</f>
        <v/>
      </c>
      <c r="P124" s="167" t="str">
        <f>IF(ISBLANK(DaqBook_RAW_Data!AE114),"",DaqBook_RAW_Data!AE114)</f>
        <v/>
      </c>
    </row>
    <row r="125" spans="1:16" x14ac:dyDescent="0.2">
      <c r="A125" s="58" t="e">
        <f t="shared" si="1"/>
        <v>#VALUE!</v>
      </c>
      <c r="B125" s="144" t="str">
        <f>IF(ISBLANK(DaqBook_RAW_Data!Q115),IF(DaqBook_RAW_Data!A115="","",TIMEVALUE(DaqBook_RAW_Data!A115)),TIMEVALUE(DaqBook_RAW_Data!Q115))</f>
        <v/>
      </c>
      <c r="C125" s="167" t="str">
        <f>IF(ISBLANK(DaqBook_RAW_Data!R115),"",DaqBook_RAW_Data!R115)</f>
        <v/>
      </c>
      <c r="D125" s="167" t="str">
        <f>IF(ISBLANK(DaqBook_RAW_Data!S115),"",DaqBook_RAW_Data!S115)</f>
        <v/>
      </c>
      <c r="E125" s="167" t="str">
        <f>IF(ISBLANK(DaqBook_RAW_Data!T115),"",DaqBook_RAW_Data!T115)</f>
        <v/>
      </c>
      <c r="F125" s="167" t="str">
        <f>IF(ISBLANK(DaqBook_RAW_Data!U115),"",DaqBook_RAW_Data!U115)</f>
        <v/>
      </c>
      <c r="G125" s="167" t="str">
        <f>IF(ISBLANK(DaqBook_RAW_Data!V115),"",DaqBook_RAW_Data!V115)</f>
        <v/>
      </c>
      <c r="H125" s="167" t="str">
        <f>IF(ISBLANK(DaqBook_RAW_Data!W115),"",DaqBook_RAW_Data!W115)</f>
        <v/>
      </c>
      <c r="I125" s="167" t="str">
        <f>IF(ISBLANK(DaqBook_RAW_Data!X115),"",DaqBook_RAW_Data!X115)</f>
        <v/>
      </c>
      <c r="J125" s="167" t="str">
        <f>IF(ISBLANK(DaqBook_RAW_Data!Y115),"",DaqBook_RAW_Data!Y115)</f>
        <v/>
      </c>
      <c r="K125" s="167" t="str">
        <f>IF(ISBLANK(DaqBook_RAW_Data!Z115),"",DaqBook_RAW_Data!Z115)</f>
        <v/>
      </c>
      <c r="L125" s="167" t="str">
        <f>IF(ISBLANK(DaqBook_RAW_Data!AA115),"",DaqBook_RAW_Data!AA115)</f>
        <v/>
      </c>
      <c r="M125" s="167" t="str">
        <f>IF(ISBLANK(DaqBook_RAW_Data!AB115),"",DaqBook_RAW_Data!AB115)</f>
        <v/>
      </c>
      <c r="N125" s="167" t="str">
        <f>IF(ISBLANK(DaqBook_RAW_Data!AC115),"",DaqBook_RAW_Data!AC115)</f>
        <v/>
      </c>
      <c r="O125" s="167" t="str">
        <f>IF(ISBLANK(DaqBook_RAW_Data!AD115),"",DaqBook_RAW_Data!AD115)</f>
        <v/>
      </c>
      <c r="P125" s="167" t="str">
        <f>IF(ISBLANK(DaqBook_RAW_Data!AE115),"",DaqBook_RAW_Data!AE115)</f>
        <v/>
      </c>
    </row>
    <row r="126" spans="1:16" x14ac:dyDescent="0.2">
      <c r="A126" s="58" t="e">
        <f t="shared" si="1"/>
        <v>#VALUE!</v>
      </c>
      <c r="B126" s="144" t="str">
        <f>IF(ISBLANK(DaqBook_RAW_Data!Q116),IF(DaqBook_RAW_Data!A116="","",TIMEVALUE(DaqBook_RAW_Data!A116)),TIMEVALUE(DaqBook_RAW_Data!Q116))</f>
        <v/>
      </c>
      <c r="C126" s="167" t="str">
        <f>IF(ISBLANK(DaqBook_RAW_Data!R116),"",DaqBook_RAW_Data!R116)</f>
        <v/>
      </c>
      <c r="D126" s="167" t="str">
        <f>IF(ISBLANK(DaqBook_RAW_Data!S116),"",DaqBook_RAW_Data!S116)</f>
        <v/>
      </c>
      <c r="E126" s="167" t="str">
        <f>IF(ISBLANK(DaqBook_RAW_Data!T116),"",DaqBook_RAW_Data!T116)</f>
        <v/>
      </c>
      <c r="F126" s="167" t="str">
        <f>IF(ISBLANK(DaqBook_RAW_Data!U116),"",DaqBook_RAW_Data!U116)</f>
        <v/>
      </c>
      <c r="G126" s="167" t="str">
        <f>IF(ISBLANK(DaqBook_RAW_Data!V116),"",DaqBook_RAW_Data!V116)</f>
        <v/>
      </c>
      <c r="H126" s="167" t="str">
        <f>IF(ISBLANK(DaqBook_RAW_Data!W116),"",DaqBook_RAW_Data!W116)</f>
        <v/>
      </c>
      <c r="I126" s="167" t="str">
        <f>IF(ISBLANK(DaqBook_RAW_Data!X116),"",DaqBook_RAW_Data!X116)</f>
        <v/>
      </c>
      <c r="J126" s="167" t="str">
        <f>IF(ISBLANK(DaqBook_RAW_Data!Y116),"",DaqBook_RAW_Data!Y116)</f>
        <v/>
      </c>
      <c r="K126" s="167" t="str">
        <f>IF(ISBLANK(DaqBook_RAW_Data!Z116),"",DaqBook_RAW_Data!Z116)</f>
        <v/>
      </c>
      <c r="L126" s="167" t="str">
        <f>IF(ISBLANK(DaqBook_RAW_Data!AA116),"",DaqBook_RAW_Data!AA116)</f>
        <v/>
      </c>
      <c r="M126" s="167" t="str">
        <f>IF(ISBLANK(DaqBook_RAW_Data!AB116),"",DaqBook_RAW_Data!AB116)</f>
        <v/>
      </c>
      <c r="N126" s="167" t="str">
        <f>IF(ISBLANK(DaqBook_RAW_Data!AC116),"",DaqBook_RAW_Data!AC116)</f>
        <v/>
      </c>
      <c r="O126" s="167" t="str">
        <f>IF(ISBLANK(DaqBook_RAW_Data!AD116),"",DaqBook_RAW_Data!AD116)</f>
        <v/>
      </c>
      <c r="P126" s="167" t="str">
        <f>IF(ISBLANK(DaqBook_RAW_Data!AE116),"",DaqBook_RAW_Data!AE116)</f>
        <v/>
      </c>
    </row>
    <row r="127" spans="1:16" x14ac:dyDescent="0.2">
      <c r="A127" s="58" t="e">
        <f t="shared" si="1"/>
        <v>#VALUE!</v>
      </c>
      <c r="B127" s="144" t="str">
        <f>IF(ISBLANK(DaqBook_RAW_Data!Q117),IF(DaqBook_RAW_Data!A117="","",TIMEVALUE(DaqBook_RAW_Data!A117)),TIMEVALUE(DaqBook_RAW_Data!Q117))</f>
        <v/>
      </c>
      <c r="C127" s="167" t="str">
        <f>IF(ISBLANK(DaqBook_RAW_Data!R117),"",DaqBook_RAW_Data!R117)</f>
        <v/>
      </c>
      <c r="D127" s="167" t="str">
        <f>IF(ISBLANK(DaqBook_RAW_Data!S117),"",DaqBook_RAW_Data!S117)</f>
        <v/>
      </c>
      <c r="E127" s="167" t="str">
        <f>IF(ISBLANK(DaqBook_RAW_Data!T117),"",DaqBook_RAW_Data!T117)</f>
        <v/>
      </c>
      <c r="F127" s="167" t="str">
        <f>IF(ISBLANK(DaqBook_RAW_Data!U117),"",DaqBook_RAW_Data!U117)</f>
        <v/>
      </c>
      <c r="G127" s="167" t="str">
        <f>IF(ISBLANK(DaqBook_RAW_Data!V117),"",DaqBook_RAW_Data!V117)</f>
        <v/>
      </c>
      <c r="H127" s="167" t="str">
        <f>IF(ISBLANK(DaqBook_RAW_Data!W117),"",DaqBook_RAW_Data!W117)</f>
        <v/>
      </c>
      <c r="I127" s="167" t="str">
        <f>IF(ISBLANK(DaqBook_RAW_Data!X117),"",DaqBook_RAW_Data!X117)</f>
        <v/>
      </c>
      <c r="J127" s="167" t="str">
        <f>IF(ISBLANK(DaqBook_RAW_Data!Y117),"",DaqBook_RAW_Data!Y117)</f>
        <v/>
      </c>
      <c r="K127" s="167" t="str">
        <f>IF(ISBLANK(DaqBook_RAW_Data!Z117),"",DaqBook_RAW_Data!Z117)</f>
        <v/>
      </c>
      <c r="L127" s="167" t="str">
        <f>IF(ISBLANK(DaqBook_RAW_Data!AA117),"",DaqBook_RAW_Data!AA117)</f>
        <v/>
      </c>
      <c r="M127" s="167" t="str">
        <f>IF(ISBLANK(DaqBook_RAW_Data!AB117),"",DaqBook_RAW_Data!AB117)</f>
        <v/>
      </c>
      <c r="N127" s="167" t="str">
        <f>IF(ISBLANK(DaqBook_RAW_Data!AC117),"",DaqBook_RAW_Data!AC117)</f>
        <v/>
      </c>
      <c r="O127" s="167" t="str">
        <f>IF(ISBLANK(DaqBook_RAW_Data!AD117),"",DaqBook_RAW_Data!AD117)</f>
        <v/>
      </c>
      <c r="P127" s="167" t="str">
        <f>IF(ISBLANK(DaqBook_RAW_Data!AE117),"",DaqBook_RAW_Data!AE117)</f>
        <v/>
      </c>
    </row>
    <row r="128" spans="1:16" x14ac:dyDescent="0.2">
      <c r="A128" s="58" t="e">
        <f t="shared" si="1"/>
        <v>#VALUE!</v>
      </c>
      <c r="B128" s="144" t="str">
        <f>IF(ISBLANK(DaqBook_RAW_Data!Q118),IF(DaqBook_RAW_Data!A118="","",TIMEVALUE(DaqBook_RAW_Data!A118)),TIMEVALUE(DaqBook_RAW_Data!Q118))</f>
        <v/>
      </c>
      <c r="C128" s="167" t="str">
        <f>IF(ISBLANK(DaqBook_RAW_Data!R118),"",DaqBook_RAW_Data!R118)</f>
        <v/>
      </c>
      <c r="D128" s="167" t="str">
        <f>IF(ISBLANK(DaqBook_RAW_Data!S118),"",DaqBook_RAW_Data!S118)</f>
        <v/>
      </c>
      <c r="E128" s="167" t="str">
        <f>IF(ISBLANK(DaqBook_RAW_Data!T118),"",DaqBook_RAW_Data!T118)</f>
        <v/>
      </c>
      <c r="F128" s="167" t="str">
        <f>IF(ISBLANK(DaqBook_RAW_Data!U118),"",DaqBook_RAW_Data!U118)</f>
        <v/>
      </c>
      <c r="G128" s="167" t="str">
        <f>IF(ISBLANK(DaqBook_RAW_Data!V118),"",DaqBook_RAW_Data!V118)</f>
        <v/>
      </c>
      <c r="H128" s="167" t="str">
        <f>IF(ISBLANK(DaqBook_RAW_Data!W118),"",DaqBook_RAW_Data!W118)</f>
        <v/>
      </c>
      <c r="I128" s="167" t="str">
        <f>IF(ISBLANK(DaqBook_RAW_Data!X118),"",DaqBook_RAW_Data!X118)</f>
        <v/>
      </c>
      <c r="J128" s="167" t="str">
        <f>IF(ISBLANK(DaqBook_RAW_Data!Y118),"",DaqBook_RAW_Data!Y118)</f>
        <v/>
      </c>
      <c r="K128" s="167" t="str">
        <f>IF(ISBLANK(DaqBook_RAW_Data!Z118),"",DaqBook_RAW_Data!Z118)</f>
        <v/>
      </c>
      <c r="L128" s="167" t="str">
        <f>IF(ISBLANK(DaqBook_RAW_Data!AA118),"",DaqBook_RAW_Data!AA118)</f>
        <v/>
      </c>
      <c r="M128" s="167" t="str">
        <f>IF(ISBLANK(DaqBook_RAW_Data!AB118),"",DaqBook_RAW_Data!AB118)</f>
        <v/>
      </c>
      <c r="N128" s="167" t="str">
        <f>IF(ISBLANK(DaqBook_RAW_Data!AC118),"",DaqBook_RAW_Data!AC118)</f>
        <v/>
      </c>
      <c r="O128" s="167" t="str">
        <f>IF(ISBLANK(DaqBook_RAW_Data!AD118),"",DaqBook_RAW_Data!AD118)</f>
        <v/>
      </c>
      <c r="P128" s="167" t="str">
        <f>IF(ISBLANK(DaqBook_RAW_Data!AE118),"",DaqBook_RAW_Data!AE118)</f>
        <v/>
      </c>
    </row>
    <row r="129" spans="1:16" x14ac:dyDescent="0.2">
      <c r="A129" s="58" t="e">
        <f t="shared" si="1"/>
        <v>#VALUE!</v>
      </c>
      <c r="B129" s="144" t="str">
        <f>IF(ISBLANK(DaqBook_RAW_Data!Q119),IF(DaqBook_RAW_Data!A119="","",TIMEVALUE(DaqBook_RAW_Data!A119)),TIMEVALUE(DaqBook_RAW_Data!Q119))</f>
        <v/>
      </c>
      <c r="C129" s="167" t="str">
        <f>IF(ISBLANK(DaqBook_RAW_Data!R119),"",DaqBook_RAW_Data!R119)</f>
        <v/>
      </c>
      <c r="D129" s="167" t="str">
        <f>IF(ISBLANK(DaqBook_RAW_Data!S119),"",DaqBook_RAW_Data!S119)</f>
        <v/>
      </c>
      <c r="E129" s="167" t="str">
        <f>IF(ISBLANK(DaqBook_RAW_Data!T119),"",DaqBook_RAW_Data!T119)</f>
        <v/>
      </c>
      <c r="F129" s="167" t="str">
        <f>IF(ISBLANK(DaqBook_RAW_Data!U119),"",DaqBook_RAW_Data!U119)</f>
        <v/>
      </c>
      <c r="G129" s="167" t="str">
        <f>IF(ISBLANK(DaqBook_RAW_Data!V119),"",DaqBook_RAW_Data!V119)</f>
        <v/>
      </c>
      <c r="H129" s="167" t="str">
        <f>IF(ISBLANK(DaqBook_RAW_Data!W119),"",DaqBook_RAW_Data!W119)</f>
        <v/>
      </c>
      <c r="I129" s="167" t="str">
        <f>IF(ISBLANK(DaqBook_RAW_Data!X119),"",DaqBook_RAW_Data!X119)</f>
        <v/>
      </c>
      <c r="J129" s="167" t="str">
        <f>IF(ISBLANK(DaqBook_RAW_Data!Y119),"",DaqBook_RAW_Data!Y119)</f>
        <v/>
      </c>
      <c r="K129" s="167" t="str">
        <f>IF(ISBLANK(DaqBook_RAW_Data!Z119),"",DaqBook_RAW_Data!Z119)</f>
        <v/>
      </c>
      <c r="L129" s="167" t="str">
        <f>IF(ISBLANK(DaqBook_RAW_Data!AA119),"",DaqBook_RAW_Data!AA119)</f>
        <v/>
      </c>
      <c r="M129" s="167" t="str">
        <f>IF(ISBLANK(DaqBook_RAW_Data!AB119),"",DaqBook_RAW_Data!AB119)</f>
        <v/>
      </c>
      <c r="N129" s="167" t="str">
        <f>IF(ISBLANK(DaqBook_RAW_Data!AC119),"",DaqBook_RAW_Data!AC119)</f>
        <v/>
      </c>
      <c r="O129" s="167" t="str">
        <f>IF(ISBLANK(DaqBook_RAW_Data!AD119),"",DaqBook_RAW_Data!AD119)</f>
        <v/>
      </c>
      <c r="P129" s="167" t="str">
        <f>IF(ISBLANK(DaqBook_RAW_Data!AE119),"",DaqBook_RAW_Data!AE119)</f>
        <v/>
      </c>
    </row>
    <row r="130" spans="1:16" x14ac:dyDescent="0.2">
      <c r="A130" s="58" t="e">
        <f t="shared" si="1"/>
        <v>#VALUE!</v>
      </c>
      <c r="B130" s="144" t="str">
        <f>IF(ISBLANK(DaqBook_RAW_Data!Q120),IF(DaqBook_RAW_Data!A120="","",TIMEVALUE(DaqBook_RAW_Data!A120)),TIMEVALUE(DaqBook_RAW_Data!Q120))</f>
        <v/>
      </c>
      <c r="C130" s="167" t="str">
        <f>IF(ISBLANK(DaqBook_RAW_Data!R120),"",DaqBook_RAW_Data!R120)</f>
        <v/>
      </c>
      <c r="D130" s="167" t="str">
        <f>IF(ISBLANK(DaqBook_RAW_Data!S120),"",DaqBook_RAW_Data!S120)</f>
        <v/>
      </c>
      <c r="E130" s="167" t="str">
        <f>IF(ISBLANK(DaqBook_RAW_Data!T120),"",DaqBook_RAW_Data!T120)</f>
        <v/>
      </c>
      <c r="F130" s="167" t="str">
        <f>IF(ISBLANK(DaqBook_RAW_Data!U120),"",DaqBook_RAW_Data!U120)</f>
        <v/>
      </c>
      <c r="G130" s="167" t="str">
        <f>IF(ISBLANK(DaqBook_RAW_Data!V120),"",DaqBook_RAW_Data!V120)</f>
        <v/>
      </c>
      <c r="H130" s="167" t="str">
        <f>IF(ISBLANK(DaqBook_RAW_Data!W120),"",DaqBook_RAW_Data!W120)</f>
        <v/>
      </c>
      <c r="I130" s="167" t="str">
        <f>IF(ISBLANK(DaqBook_RAW_Data!X120),"",DaqBook_RAW_Data!X120)</f>
        <v/>
      </c>
      <c r="J130" s="167" t="str">
        <f>IF(ISBLANK(DaqBook_RAW_Data!Y120),"",DaqBook_RAW_Data!Y120)</f>
        <v/>
      </c>
      <c r="K130" s="167" t="str">
        <f>IF(ISBLANK(DaqBook_RAW_Data!Z120),"",DaqBook_RAW_Data!Z120)</f>
        <v/>
      </c>
      <c r="L130" s="167" t="str">
        <f>IF(ISBLANK(DaqBook_RAW_Data!AA120),"",DaqBook_RAW_Data!AA120)</f>
        <v/>
      </c>
      <c r="M130" s="167" t="str">
        <f>IF(ISBLANK(DaqBook_RAW_Data!AB120),"",DaqBook_RAW_Data!AB120)</f>
        <v/>
      </c>
      <c r="N130" s="167" t="str">
        <f>IF(ISBLANK(DaqBook_RAW_Data!AC120),"",DaqBook_RAW_Data!AC120)</f>
        <v/>
      </c>
      <c r="O130" s="167" t="str">
        <f>IF(ISBLANK(DaqBook_RAW_Data!AD120),"",DaqBook_RAW_Data!AD120)</f>
        <v/>
      </c>
      <c r="P130" s="167" t="str">
        <f>IF(ISBLANK(DaqBook_RAW_Data!AE120),"",DaqBook_RAW_Data!AE120)</f>
        <v/>
      </c>
    </row>
    <row r="131" spans="1:16" x14ac:dyDescent="0.2">
      <c r="A131" s="58" t="e">
        <f t="shared" si="1"/>
        <v>#VALUE!</v>
      </c>
      <c r="B131" s="144" t="str">
        <f>IF(ISBLANK(DaqBook_RAW_Data!Q121),IF(DaqBook_RAW_Data!A121="","",TIMEVALUE(DaqBook_RAW_Data!A121)),TIMEVALUE(DaqBook_RAW_Data!Q121))</f>
        <v/>
      </c>
      <c r="C131" s="167" t="str">
        <f>IF(ISBLANK(DaqBook_RAW_Data!R121),"",DaqBook_RAW_Data!R121)</f>
        <v/>
      </c>
      <c r="D131" s="167" t="str">
        <f>IF(ISBLANK(DaqBook_RAW_Data!S121),"",DaqBook_RAW_Data!S121)</f>
        <v/>
      </c>
      <c r="E131" s="167" t="str">
        <f>IF(ISBLANK(DaqBook_RAW_Data!T121),"",DaqBook_RAW_Data!T121)</f>
        <v/>
      </c>
      <c r="F131" s="167" t="str">
        <f>IF(ISBLANK(DaqBook_RAW_Data!U121),"",DaqBook_RAW_Data!U121)</f>
        <v/>
      </c>
      <c r="G131" s="167" t="str">
        <f>IF(ISBLANK(DaqBook_RAW_Data!V121),"",DaqBook_RAW_Data!V121)</f>
        <v/>
      </c>
      <c r="H131" s="167" t="str">
        <f>IF(ISBLANK(DaqBook_RAW_Data!W121),"",DaqBook_RAW_Data!W121)</f>
        <v/>
      </c>
      <c r="I131" s="167" t="str">
        <f>IF(ISBLANK(DaqBook_RAW_Data!X121),"",DaqBook_RAW_Data!X121)</f>
        <v/>
      </c>
      <c r="J131" s="167" t="str">
        <f>IF(ISBLANK(DaqBook_RAW_Data!Y121),"",DaqBook_RAW_Data!Y121)</f>
        <v/>
      </c>
      <c r="K131" s="167" t="str">
        <f>IF(ISBLANK(DaqBook_RAW_Data!Z121),"",DaqBook_RAW_Data!Z121)</f>
        <v/>
      </c>
      <c r="L131" s="167" t="str">
        <f>IF(ISBLANK(DaqBook_RAW_Data!AA121),"",DaqBook_RAW_Data!AA121)</f>
        <v/>
      </c>
      <c r="M131" s="167" t="str">
        <f>IF(ISBLANK(DaqBook_RAW_Data!AB121),"",DaqBook_RAW_Data!AB121)</f>
        <v/>
      </c>
      <c r="N131" s="167" t="str">
        <f>IF(ISBLANK(DaqBook_RAW_Data!AC121),"",DaqBook_RAW_Data!AC121)</f>
        <v/>
      </c>
      <c r="O131" s="167" t="str">
        <f>IF(ISBLANK(DaqBook_RAW_Data!AD121),"",DaqBook_RAW_Data!AD121)</f>
        <v/>
      </c>
      <c r="P131" s="167" t="str">
        <f>IF(ISBLANK(DaqBook_RAW_Data!AE121),"",DaqBook_RAW_Data!AE121)</f>
        <v/>
      </c>
    </row>
    <row r="132" spans="1:16" x14ac:dyDescent="0.2">
      <c r="A132" s="58" t="e">
        <f t="shared" si="1"/>
        <v>#VALUE!</v>
      </c>
      <c r="B132" s="144" t="str">
        <f>IF(ISBLANK(DaqBook_RAW_Data!Q122),IF(DaqBook_RAW_Data!A122="","",TIMEVALUE(DaqBook_RAW_Data!A122)),TIMEVALUE(DaqBook_RAW_Data!Q122))</f>
        <v/>
      </c>
      <c r="C132" s="167" t="str">
        <f>IF(ISBLANK(DaqBook_RAW_Data!R122),"",DaqBook_RAW_Data!R122)</f>
        <v/>
      </c>
      <c r="D132" s="167" t="str">
        <f>IF(ISBLANK(DaqBook_RAW_Data!S122),"",DaqBook_RAW_Data!S122)</f>
        <v/>
      </c>
      <c r="E132" s="167" t="str">
        <f>IF(ISBLANK(DaqBook_RAW_Data!T122),"",DaqBook_RAW_Data!T122)</f>
        <v/>
      </c>
      <c r="F132" s="167" t="str">
        <f>IF(ISBLANK(DaqBook_RAW_Data!U122),"",DaqBook_RAW_Data!U122)</f>
        <v/>
      </c>
      <c r="G132" s="167" t="str">
        <f>IF(ISBLANK(DaqBook_RAW_Data!V122),"",DaqBook_RAW_Data!V122)</f>
        <v/>
      </c>
      <c r="H132" s="167" t="str">
        <f>IF(ISBLANK(DaqBook_RAW_Data!W122),"",DaqBook_RAW_Data!W122)</f>
        <v/>
      </c>
      <c r="I132" s="167" t="str">
        <f>IF(ISBLANK(DaqBook_RAW_Data!X122),"",DaqBook_RAW_Data!X122)</f>
        <v/>
      </c>
      <c r="J132" s="167" t="str">
        <f>IF(ISBLANK(DaqBook_RAW_Data!Y122),"",DaqBook_RAW_Data!Y122)</f>
        <v/>
      </c>
      <c r="K132" s="167" t="str">
        <f>IF(ISBLANK(DaqBook_RAW_Data!Z122),"",DaqBook_RAW_Data!Z122)</f>
        <v/>
      </c>
      <c r="L132" s="167" t="str">
        <f>IF(ISBLANK(DaqBook_RAW_Data!AA122),"",DaqBook_RAW_Data!AA122)</f>
        <v/>
      </c>
      <c r="M132" s="167" t="str">
        <f>IF(ISBLANK(DaqBook_RAW_Data!AB122),"",DaqBook_RAW_Data!AB122)</f>
        <v/>
      </c>
      <c r="N132" s="167" t="str">
        <f>IF(ISBLANK(DaqBook_RAW_Data!AC122),"",DaqBook_RAW_Data!AC122)</f>
        <v/>
      </c>
      <c r="O132" s="167" t="str">
        <f>IF(ISBLANK(DaqBook_RAW_Data!AD122),"",DaqBook_RAW_Data!AD122)</f>
        <v/>
      </c>
      <c r="P132" s="167" t="str">
        <f>IF(ISBLANK(DaqBook_RAW_Data!AE122),"",DaqBook_RAW_Data!AE122)</f>
        <v/>
      </c>
    </row>
    <row r="133" spans="1:16" x14ac:dyDescent="0.2">
      <c r="A133" s="58" t="e">
        <f t="shared" si="1"/>
        <v>#VALUE!</v>
      </c>
      <c r="B133" s="144" t="str">
        <f>IF(ISBLANK(DaqBook_RAW_Data!Q123),IF(DaqBook_RAW_Data!A123="","",TIMEVALUE(DaqBook_RAW_Data!A123)),TIMEVALUE(DaqBook_RAW_Data!Q123))</f>
        <v/>
      </c>
      <c r="C133" s="167" t="str">
        <f>IF(ISBLANK(DaqBook_RAW_Data!R123),"",DaqBook_RAW_Data!R123)</f>
        <v/>
      </c>
      <c r="D133" s="167" t="str">
        <f>IF(ISBLANK(DaqBook_RAW_Data!S123),"",DaqBook_RAW_Data!S123)</f>
        <v/>
      </c>
      <c r="E133" s="167" t="str">
        <f>IF(ISBLANK(DaqBook_RAW_Data!T123),"",DaqBook_RAW_Data!T123)</f>
        <v/>
      </c>
      <c r="F133" s="167" t="str">
        <f>IF(ISBLANK(DaqBook_RAW_Data!U123),"",DaqBook_RAW_Data!U123)</f>
        <v/>
      </c>
      <c r="G133" s="167" t="str">
        <f>IF(ISBLANK(DaqBook_RAW_Data!V123),"",DaqBook_RAW_Data!V123)</f>
        <v/>
      </c>
      <c r="H133" s="167" t="str">
        <f>IF(ISBLANK(DaqBook_RAW_Data!W123),"",DaqBook_RAW_Data!W123)</f>
        <v/>
      </c>
      <c r="I133" s="167" t="str">
        <f>IF(ISBLANK(DaqBook_RAW_Data!X123),"",DaqBook_RAW_Data!X123)</f>
        <v/>
      </c>
      <c r="J133" s="167" t="str">
        <f>IF(ISBLANK(DaqBook_RAW_Data!Y123),"",DaqBook_RAW_Data!Y123)</f>
        <v/>
      </c>
      <c r="K133" s="167" t="str">
        <f>IF(ISBLANK(DaqBook_RAW_Data!Z123),"",DaqBook_RAW_Data!Z123)</f>
        <v/>
      </c>
      <c r="L133" s="167" t="str">
        <f>IF(ISBLANK(DaqBook_RAW_Data!AA123),"",DaqBook_RAW_Data!AA123)</f>
        <v/>
      </c>
      <c r="M133" s="167" t="str">
        <f>IF(ISBLANK(DaqBook_RAW_Data!AB123),"",DaqBook_RAW_Data!AB123)</f>
        <v/>
      </c>
      <c r="N133" s="167" t="str">
        <f>IF(ISBLANK(DaqBook_RAW_Data!AC123),"",DaqBook_RAW_Data!AC123)</f>
        <v/>
      </c>
      <c r="O133" s="167" t="str">
        <f>IF(ISBLANK(DaqBook_RAW_Data!AD123),"",DaqBook_RAW_Data!AD123)</f>
        <v/>
      </c>
      <c r="P133" s="167" t="str">
        <f>IF(ISBLANK(DaqBook_RAW_Data!AE123),"",DaqBook_RAW_Data!AE123)</f>
        <v/>
      </c>
    </row>
    <row r="134" spans="1:16" x14ac:dyDescent="0.2">
      <c r="A134" s="58" t="e">
        <f t="shared" si="1"/>
        <v>#VALUE!</v>
      </c>
      <c r="B134" s="144" t="str">
        <f>IF(ISBLANK(DaqBook_RAW_Data!Q124),IF(DaqBook_RAW_Data!A124="","",TIMEVALUE(DaqBook_RAW_Data!A124)),TIMEVALUE(DaqBook_RAW_Data!Q124))</f>
        <v/>
      </c>
      <c r="C134" s="167" t="str">
        <f>IF(ISBLANK(DaqBook_RAW_Data!R124),"",DaqBook_RAW_Data!R124)</f>
        <v/>
      </c>
      <c r="D134" s="167" t="str">
        <f>IF(ISBLANK(DaqBook_RAW_Data!S124),"",DaqBook_RAW_Data!S124)</f>
        <v/>
      </c>
      <c r="E134" s="167" t="str">
        <f>IF(ISBLANK(DaqBook_RAW_Data!T124),"",DaqBook_RAW_Data!T124)</f>
        <v/>
      </c>
      <c r="F134" s="167" t="str">
        <f>IF(ISBLANK(DaqBook_RAW_Data!U124),"",DaqBook_RAW_Data!U124)</f>
        <v/>
      </c>
      <c r="G134" s="167" t="str">
        <f>IF(ISBLANK(DaqBook_RAW_Data!V124),"",DaqBook_RAW_Data!V124)</f>
        <v/>
      </c>
      <c r="H134" s="167" t="str">
        <f>IF(ISBLANK(DaqBook_RAW_Data!W124),"",DaqBook_RAW_Data!W124)</f>
        <v/>
      </c>
      <c r="I134" s="167" t="str">
        <f>IF(ISBLANK(DaqBook_RAW_Data!X124),"",DaqBook_RAW_Data!X124)</f>
        <v/>
      </c>
      <c r="J134" s="167" t="str">
        <f>IF(ISBLANK(DaqBook_RAW_Data!Y124),"",DaqBook_RAW_Data!Y124)</f>
        <v/>
      </c>
      <c r="K134" s="167" t="str">
        <f>IF(ISBLANK(DaqBook_RAW_Data!Z124),"",DaqBook_RAW_Data!Z124)</f>
        <v/>
      </c>
      <c r="L134" s="167" t="str">
        <f>IF(ISBLANK(DaqBook_RAW_Data!AA124),"",DaqBook_RAW_Data!AA124)</f>
        <v/>
      </c>
      <c r="M134" s="167" t="str">
        <f>IF(ISBLANK(DaqBook_RAW_Data!AB124),"",DaqBook_RAW_Data!AB124)</f>
        <v/>
      </c>
      <c r="N134" s="167" t="str">
        <f>IF(ISBLANK(DaqBook_RAW_Data!AC124),"",DaqBook_RAW_Data!AC124)</f>
        <v/>
      </c>
      <c r="O134" s="167" t="str">
        <f>IF(ISBLANK(DaqBook_RAW_Data!AD124),"",DaqBook_RAW_Data!AD124)</f>
        <v/>
      </c>
      <c r="P134" s="167" t="str">
        <f>IF(ISBLANK(DaqBook_RAW_Data!AE124),"",DaqBook_RAW_Data!AE124)</f>
        <v/>
      </c>
    </row>
    <row r="135" spans="1:16" x14ac:dyDescent="0.2">
      <c r="A135" s="58" t="e">
        <f t="shared" si="1"/>
        <v>#VALUE!</v>
      </c>
      <c r="B135" s="144" t="str">
        <f>IF(ISBLANK(DaqBook_RAW_Data!Q125),IF(DaqBook_RAW_Data!A125="","",TIMEVALUE(DaqBook_RAW_Data!A125)),TIMEVALUE(DaqBook_RAW_Data!Q125))</f>
        <v/>
      </c>
      <c r="C135" s="167" t="str">
        <f>IF(ISBLANK(DaqBook_RAW_Data!R125),"",DaqBook_RAW_Data!R125)</f>
        <v/>
      </c>
      <c r="D135" s="167" t="str">
        <f>IF(ISBLANK(DaqBook_RAW_Data!S125),"",DaqBook_RAW_Data!S125)</f>
        <v/>
      </c>
      <c r="E135" s="167" t="str">
        <f>IF(ISBLANK(DaqBook_RAW_Data!T125),"",DaqBook_RAW_Data!T125)</f>
        <v/>
      </c>
      <c r="F135" s="167" t="str">
        <f>IF(ISBLANK(DaqBook_RAW_Data!U125),"",DaqBook_RAW_Data!U125)</f>
        <v/>
      </c>
      <c r="G135" s="167" t="str">
        <f>IF(ISBLANK(DaqBook_RAW_Data!V125),"",DaqBook_RAW_Data!V125)</f>
        <v/>
      </c>
      <c r="H135" s="167" t="str">
        <f>IF(ISBLANK(DaqBook_RAW_Data!W125),"",DaqBook_RAW_Data!W125)</f>
        <v/>
      </c>
      <c r="I135" s="167" t="str">
        <f>IF(ISBLANK(DaqBook_RAW_Data!X125),"",DaqBook_RAW_Data!X125)</f>
        <v/>
      </c>
      <c r="J135" s="167" t="str">
        <f>IF(ISBLANK(DaqBook_RAW_Data!Y125),"",DaqBook_RAW_Data!Y125)</f>
        <v/>
      </c>
      <c r="K135" s="167" t="str">
        <f>IF(ISBLANK(DaqBook_RAW_Data!Z125),"",DaqBook_RAW_Data!Z125)</f>
        <v/>
      </c>
      <c r="L135" s="167" t="str">
        <f>IF(ISBLANK(DaqBook_RAW_Data!AA125),"",DaqBook_RAW_Data!AA125)</f>
        <v/>
      </c>
      <c r="M135" s="167" t="str">
        <f>IF(ISBLANK(DaqBook_RAW_Data!AB125),"",DaqBook_RAW_Data!AB125)</f>
        <v/>
      </c>
      <c r="N135" s="167" t="str">
        <f>IF(ISBLANK(DaqBook_RAW_Data!AC125),"",DaqBook_RAW_Data!AC125)</f>
        <v/>
      </c>
      <c r="O135" s="167" t="str">
        <f>IF(ISBLANK(DaqBook_RAW_Data!AD125),"",DaqBook_RAW_Data!AD125)</f>
        <v/>
      </c>
      <c r="P135" s="167" t="str">
        <f>IF(ISBLANK(DaqBook_RAW_Data!AE125),"",DaqBook_RAW_Data!AE125)</f>
        <v/>
      </c>
    </row>
    <row r="136" spans="1:16" x14ac:dyDescent="0.2">
      <c r="A136" s="58" t="e">
        <f t="shared" si="1"/>
        <v>#VALUE!</v>
      </c>
      <c r="B136" s="144" t="str">
        <f>IF(ISBLANK(DaqBook_RAW_Data!Q126),IF(DaqBook_RAW_Data!A126="","",TIMEVALUE(DaqBook_RAW_Data!A126)),TIMEVALUE(DaqBook_RAW_Data!Q126))</f>
        <v/>
      </c>
      <c r="C136" s="167" t="str">
        <f>IF(ISBLANK(DaqBook_RAW_Data!R126),"",DaqBook_RAW_Data!R126)</f>
        <v/>
      </c>
      <c r="D136" s="167" t="str">
        <f>IF(ISBLANK(DaqBook_RAW_Data!S126),"",DaqBook_RAW_Data!S126)</f>
        <v/>
      </c>
      <c r="E136" s="167" t="str">
        <f>IF(ISBLANK(DaqBook_RAW_Data!T126),"",DaqBook_RAW_Data!T126)</f>
        <v/>
      </c>
      <c r="F136" s="167" t="str">
        <f>IF(ISBLANK(DaqBook_RAW_Data!U126),"",DaqBook_RAW_Data!U126)</f>
        <v/>
      </c>
      <c r="G136" s="167" t="str">
        <f>IF(ISBLANK(DaqBook_RAW_Data!V126),"",DaqBook_RAW_Data!V126)</f>
        <v/>
      </c>
      <c r="H136" s="167" t="str">
        <f>IF(ISBLANK(DaqBook_RAW_Data!W126),"",DaqBook_RAW_Data!W126)</f>
        <v/>
      </c>
      <c r="I136" s="167" t="str">
        <f>IF(ISBLANK(DaqBook_RAW_Data!X126),"",DaqBook_RAW_Data!X126)</f>
        <v/>
      </c>
      <c r="J136" s="167" t="str">
        <f>IF(ISBLANK(DaqBook_RAW_Data!Y126),"",DaqBook_RAW_Data!Y126)</f>
        <v/>
      </c>
      <c r="K136" s="167" t="str">
        <f>IF(ISBLANK(DaqBook_RAW_Data!Z126),"",DaqBook_RAW_Data!Z126)</f>
        <v/>
      </c>
      <c r="L136" s="167" t="str">
        <f>IF(ISBLANK(DaqBook_RAW_Data!AA126),"",DaqBook_RAW_Data!AA126)</f>
        <v/>
      </c>
      <c r="M136" s="167" t="str">
        <f>IF(ISBLANK(DaqBook_RAW_Data!AB126),"",DaqBook_RAW_Data!AB126)</f>
        <v/>
      </c>
      <c r="N136" s="167" t="str">
        <f>IF(ISBLANK(DaqBook_RAW_Data!AC126),"",DaqBook_RAW_Data!AC126)</f>
        <v/>
      </c>
      <c r="O136" s="167" t="str">
        <f>IF(ISBLANK(DaqBook_RAW_Data!AD126),"",DaqBook_RAW_Data!AD126)</f>
        <v/>
      </c>
      <c r="P136" s="167" t="str">
        <f>IF(ISBLANK(DaqBook_RAW_Data!AE126),"",DaqBook_RAW_Data!AE126)</f>
        <v/>
      </c>
    </row>
    <row r="137" spans="1:16" x14ac:dyDescent="0.2">
      <c r="A137" s="58" t="e">
        <f t="shared" si="1"/>
        <v>#VALUE!</v>
      </c>
      <c r="B137" s="144" t="str">
        <f>IF(ISBLANK(DaqBook_RAW_Data!Q127),IF(DaqBook_RAW_Data!A127="","",TIMEVALUE(DaqBook_RAW_Data!A127)),TIMEVALUE(DaqBook_RAW_Data!Q127))</f>
        <v/>
      </c>
      <c r="C137" s="167" t="str">
        <f>IF(ISBLANK(DaqBook_RAW_Data!R127),"",DaqBook_RAW_Data!R127)</f>
        <v/>
      </c>
      <c r="D137" s="167" t="str">
        <f>IF(ISBLANK(DaqBook_RAW_Data!S127),"",DaqBook_RAW_Data!S127)</f>
        <v/>
      </c>
      <c r="E137" s="167" t="str">
        <f>IF(ISBLANK(DaqBook_RAW_Data!T127),"",DaqBook_RAW_Data!T127)</f>
        <v/>
      </c>
      <c r="F137" s="167" t="str">
        <f>IF(ISBLANK(DaqBook_RAW_Data!U127),"",DaqBook_RAW_Data!U127)</f>
        <v/>
      </c>
      <c r="G137" s="167" t="str">
        <f>IF(ISBLANK(DaqBook_RAW_Data!V127),"",DaqBook_RAW_Data!V127)</f>
        <v/>
      </c>
      <c r="H137" s="167" t="str">
        <f>IF(ISBLANK(DaqBook_RAW_Data!W127),"",DaqBook_RAW_Data!W127)</f>
        <v/>
      </c>
      <c r="I137" s="167" t="str">
        <f>IF(ISBLANK(DaqBook_RAW_Data!X127),"",DaqBook_RAW_Data!X127)</f>
        <v/>
      </c>
      <c r="J137" s="167" t="str">
        <f>IF(ISBLANK(DaqBook_RAW_Data!Y127),"",DaqBook_RAW_Data!Y127)</f>
        <v/>
      </c>
      <c r="K137" s="167" t="str">
        <f>IF(ISBLANK(DaqBook_RAW_Data!Z127),"",DaqBook_RAW_Data!Z127)</f>
        <v/>
      </c>
      <c r="L137" s="167" t="str">
        <f>IF(ISBLANK(DaqBook_RAW_Data!AA127),"",DaqBook_RAW_Data!AA127)</f>
        <v/>
      </c>
      <c r="M137" s="167" t="str">
        <f>IF(ISBLANK(DaqBook_RAW_Data!AB127),"",DaqBook_RAW_Data!AB127)</f>
        <v/>
      </c>
      <c r="N137" s="167" t="str">
        <f>IF(ISBLANK(DaqBook_RAW_Data!AC127),"",DaqBook_RAW_Data!AC127)</f>
        <v/>
      </c>
      <c r="O137" s="167" t="str">
        <f>IF(ISBLANK(DaqBook_RAW_Data!AD127),"",DaqBook_RAW_Data!AD127)</f>
        <v/>
      </c>
      <c r="P137" s="167" t="str">
        <f>IF(ISBLANK(DaqBook_RAW_Data!AE127),"",DaqBook_RAW_Data!AE127)</f>
        <v/>
      </c>
    </row>
    <row r="138" spans="1:16" x14ac:dyDescent="0.2">
      <c r="A138" s="58" t="e">
        <f t="shared" si="1"/>
        <v>#VALUE!</v>
      </c>
      <c r="B138" s="144" t="str">
        <f>IF(ISBLANK(DaqBook_RAW_Data!Q128),IF(DaqBook_RAW_Data!A128="","",TIMEVALUE(DaqBook_RAW_Data!A128)),TIMEVALUE(DaqBook_RAW_Data!Q128))</f>
        <v/>
      </c>
      <c r="C138" s="167" t="str">
        <f>IF(ISBLANK(DaqBook_RAW_Data!R128),"",DaqBook_RAW_Data!R128)</f>
        <v/>
      </c>
      <c r="D138" s="167" t="str">
        <f>IF(ISBLANK(DaqBook_RAW_Data!S128),"",DaqBook_RAW_Data!S128)</f>
        <v/>
      </c>
      <c r="E138" s="167" t="str">
        <f>IF(ISBLANK(DaqBook_RAW_Data!T128),"",DaqBook_RAW_Data!T128)</f>
        <v/>
      </c>
      <c r="F138" s="167" t="str">
        <f>IF(ISBLANK(DaqBook_RAW_Data!U128),"",DaqBook_RAW_Data!U128)</f>
        <v/>
      </c>
      <c r="G138" s="167" t="str">
        <f>IF(ISBLANK(DaqBook_RAW_Data!V128),"",DaqBook_RAW_Data!V128)</f>
        <v/>
      </c>
      <c r="H138" s="167" t="str">
        <f>IF(ISBLANK(DaqBook_RAW_Data!W128),"",DaqBook_RAW_Data!W128)</f>
        <v/>
      </c>
      <c r="I138" s="167" t="str">
        <f>IF(ISBLANK(DaqBook_RAW_Data!X128),"",DaqBook_RAW_Data!X128)</f>
        <v/>
      </c>
      <c r="J138" s="167" t="str">
        <f>IF(ISBLANK(DaqBook_RAW_Data!Y128),"",DaqBook_RAW_Data!Y128)</f>
        <v/>
      </c>
      <c r="K138" s="167" t="str">
        <f>IF(ISBLANK(DaqBook_RAW_Data!Z128),"",DaqBook_RAW_Data!Z128)</f>
        <v/>
      </c>
      <c r="L138" s="167" t="str">
        <f>IF(ISBLANK(DaqBook_RAW_Data!AA128),"",DaqBook_RAW_Data!AA128)</f>
        <v/>
      </c>
      <c r="M138" s="167" t="str">
        <f>IF(ISBLANK(DaqBook_RAW_Data!AB128),"",DaqBook_RAW_Data!AB128)</f>
        <v/>
      </c>
      <c r="N138" s="167" t="str">
        <f>IF(ISBLANK(DaqBook_RAW_Data!AC128),"",DaqBook_RAW_Data!AC128)</f>
        <v/>
      </c>
      <c r="O138" s="167" t="str">
        <f>IF(ISBLANK(DaqBook_RAW_Data!AD128),"",DaqBook_RAW_Data!AD128)</f>
        <v/>
      </c>
      <c r="P138" s="167" t="str">
        <f>IF(ISBLANK(DaqBook_RAW_Data!AE128),"",DaqBook_RAW_Data!AE128)</f>
        <v/>
      </c>
    </row>
    <row r="139" spans="1:16" x14ac:dyDescent="0.2">
      <c r="A139" s="58" t="e">
        <f t="shared" si="1"/>
        <v>#VALUE!</v>
      </c>
      <c r="B139" s="144" t="str">
        <f>IF(ISBLANK(DaqBook_RAW_Data!Q129),IF(DaqBook_RAW_Data!A129="","",TIMEVALUE(DaqBook_RAW_Data!A129)),TIMEVALUE(DaqBook_RAW_Data!Q129))</f>
        <v/>
      </c>
      <c r="C139" s="167" t="str">
        <f>IF(ISBLANK(DaqBook_RAW_Data!R129),"",DaqBook_RAW_Data!R129)</f>
        <v/>
      </c>
      <c r="D139" s="167" t="str">
        <f>IF(ISBLANK(DaqBook_RAW_Data!S129),"",DaqBook_RAW_Data!S129)</f>
        <v/>
      </c>
      <c r="E139" s="167" t="str">
        <f>IF(ISBLANK(DaqBook_RAW_Data!T129),"",DaqBook_RAW_Data!T129)</f>
        <v/>
      </c>
      <c r="F139" s="167" t="str">
        <f>IF(ISBLANK(DaqBook_RAW_Data!U129),"",DaqBook_RAW_Data!U129)</f>
        <v/>
      </c>
      <c r="G139" s="167" t="str">
        <f>IF(ISBLANK(DaqBook_RAW_Data!V129),"",DaqBook_RAW_Data!V129)</f>
        <v/>
      </c>
      <c r="H139" s="167" t="str">
        <f>IF(ISBLANK(DaqBook_RAW_Data!W129),"",DaqBook_RAW_Data!W129)</f>
        <v/>
      </c>
      <c r="I139" s="167" t="str">
        <f>IF(ISBLANK(DaqBook_RAW_Data!X129),"",DaqBook_RAW_Data!X129)</f>
        <v/>
      </c>
      <c r="J139" s="167" t="str">
        <f>IF(ISBLANK(DaqBook_RAW_Data!Y129),"",DaqBook_RAW_Data!Y129)</f>
        <v/>
      </c>
      <c r="K139" s="167" t="str">
        <f>IF(ISBLANK(DaqBook_RAW_Data!Z129),"",DaqBook_RAW_Data!Z129)</f>
        <v/>
      </c>
      <c r="L139" s="167" t="str">
        <f>IF(ISBLANK(DaqBook_RAW_Data!AA129),"",DaqBook_RAW_Data!AA129)</f>
        <v/>
      </c>
      <c r="M139" s="167" t="str">
        <f>IF(ISBLANK(DaqBook_RAW_Data!AB129),"",DaqBook_RAW_Data!AB129)</f>
        <v/>
      </c>
      <c r="N139" s="167" t="str">
        <f>IF(ISBLANK(DaqBook_RAW_Data!AC129),"",DaqBook_RAW_Data!AC129)</f>
        <v/>
      </c>
      <c r="O139" s="167" t="str">
        <f>IF(ISBLANK(DaqBook_RAW_Data!AD129),"",DaqBook_RAW_Data!AD129)</f>
        <v/>
      </c>
      <c r="P139" s="167" t="str">
        <f>IF(ISBLANK(DaqBook_RAW_Data!AE129),"",DaqBook_RAW_Data!AE129)</f>
        <v/>
      </c>
    </row>
    <row r="140" spans="1:16" x14ac:dyDescent="0.2">
      <c r="A140" s="58" t="e">
        <f t="shared" si="1"/>
        <v>#VALUE!</v>
      </c>
      <c r="B140" s="144" t="str">
        <f>IF(ISBLANK(DaqBook_RAW_Data!Q130),IF(DaqBook_RAW_Data!A130="","",TIMEVALUE(DaqBook_RAW_Data!A130)),TIMEVALUE(DaqBook_RAW_Data!Q130))</f>
        <v/>
      </c>
      <c r="C140" s="167" t="str">
        <f>IF(ISBLANK(DaqBook_RAW_Data!R130),"",DaqBook_RAW_Data!R130)</f>
        <v/>
      </c>
      <c r="D140" s="167" t="str">
        <f>IF(ISBLANK(DaqBook_RAW_Data!S130),"",DaqBook_RAW_Data!S130)</f>
        <v/>
      </c>
      <c r="E140" s="167" t="str">
        <f>IF(ISBLANK(DaqBook_RAW_Data!T130),"",DaqBook_RAW_Data!T130)</f>
        <v/>
      </c>
      <c r="F140" s="167" t="str">
        <f>IF(ISBLANK(DaqBook_RAW_Data!U130),"",DaqBook_RAW_Data!U130)</f>
        <v/>
      </c>
      <c r="G140" s="167" t="str">
        <f>IF(ISBLANK(DaqBook_RAW_Data!V130),"",DaqBook_RAW_Data!V130)</f>
        <v/>
      </c>
      <c r="H140" s="167" t="str">
        <f>IF(ISBLANK(DaqBook_RAW_Data!W130),"",DaqBook_RAW_Data!W130)</f>
        <v/>
      </c>
      <c r="I140" s="167" t="str">
        <f>IF(ISBLANK(DaqBook_RAW_Data!X130),"",DaqBook_RAW_Data!X130)</f>
        <v/>
      </c>
      <c r="J140" s="167" t="str">
        <f>IF(ISBLANK(DaqBook_RAW_Data!Y130),"",DaqBook_RAW_Data!Y130)</f>
        <v/>
      </c>
      <c r="K140" s="167" t="str">
        <f>IF(ISBLANK(DaqBook_RAW_Data!Z130),"",DaqBook_RAW_Data!Z130)</f>
        <v/>
      </c>
      <c r="L140" s="167" t="str">
        <f>IF(ISBLANK(DaqBook_RAW_Data!AA130),"",DaqBook_RAW_Data!AA130)</f>
        <v/>
      </c>
      <c r="M140" s="167" t="str">
        <f>IF(ISBLANK(DaqBook_RAW_Data!AB130),"",DaqBook_RAW_Data!AB130)</f>
        <v/>
      </c>
      <c r="N140" s="167" t="str">
        <f>IF(ISBLANK(DaqBook_RAW_Data!AC130),"",DaqBook_RAW_Data!AC130)</f>
        <v/>
      </c>
      <c r="O140" s="167" t="str">
        <f>IF(ISBLANK(DaqBook_RAW_Data!AD130),"",DaqBook_RAW_Data!AD130)</f>
        <v/>
      </c>
      <c r="P140" s="167" t="str">
        <f>IF(ISBLANK(DaqBook_RAW_Data!AE130),"",DaqBook_RAW_Data!AE130)</f>
        <v/>
      </c>
    </row>
    <row r="141" spans="1:16" x14ac:dyDescent="0.2">
      <c r="A141" s="58" t="e">
        <f t="shared" si="1"/>
        <v>#VALUE!</v>
      </c>
      <c r="B141" s="144" t="str">
        <f>IF(ISBLANK(DaqBook_RAW_Data!Q131),IF(DaqBook_RAW_Data!A131="","",TIMEVALUE(DaqBook_RAW_Data!A131)),TIMEVALUE(DaqBook_RAW_Data!Q131))</f>
        <v/>
      </c>
      <c r="C141" s="167" t="str">
        <f>IF(ISBLANK(DaqBook_RAW_Data!R131),"",DaqBook_RAW_Data!R131)</f>
        <v/>
      </c>
      <c r="D141" s="167" t="str">
        <f>IF(ISBLANK(DaqBook_RAW_Data!S131),"",DaqBook_RAW_Data!S131)</f>
        <v/>
      </c>
      <c r="E141" s="167" t="str">
        <f>IF(ISBLANK(DaqBook_RAW_Data!T131),"",DaqBook_RAW_Data!T131)</f>
        <v/>
      </c>
      <c r="F141" s="167" t="str">
        <f>IF(ISBLANK(DaqBook_RAW_Data!U131),"",DaqBook_RAW_Data!U131)</f>
        <v/>
      </c>
      <c r="G141" s="167" t="str">
        <f>IF(ISBLANK(DaqBook_RAW_Data!V131),"",DaqBook_RAW_Data!V131)</f>
        <v/>
      </c>
      <c r="H141" s="167" t="str">
        <f>IF(ISBLANK(DaqBook_RAW_Data!W131),"",DaqBook_RAW_Data!W131)</f>
        <v/>
      </c>
      <c r="I141" s="167" t="str">
        <f>IF(ISBLANK(DaqBook_RAW_Data!X131),"",DaqBook_RAW_Data!X131)</f>
        <v/>
      </c>
      <c r="J141" s="167" t="str">
        <f>IF(ISBLANK(DaqBook_RAW_Data!Y131),"",DaqBook_RAW_Data!Y131)</f>
        <v/>
      </c>
      <c r="K141" s="167" t="str">
        <f>IF(ISBLANK(DaqBook_RAW_Data!Z131),"",DaqBook_RAW_Data!Z131)</f>
        <v/>
      </c>
      <c r="L141" s="167" t="str">
        <f>IF(ISBLANK(DaqBook_RAW_Data!AA131),"",DaqBook_RAW_Data!AA131)</f>
        <v/>
      </c>
      <c r="M141" s="167" t="str">
        <f>IF(ISBLANK(DaqBook_RAW_Data!AB131),"",DaqBook_RAW_Data!AB131)</f>
        <v/>
      </c>
      <c r="N141" s="167" t="str">
        <f>IF(ISBLANK(DaqBook_RAW_Data!AC131),"",DaqBook_RAW_Data!AC131)</f>
        <v/>
      </c>
      <c r="O141" s="167" t="str">
        <f>IF(ISBLANK(DaqBook_RAW_Data!AD131),"",DaqBook_RAW_Data!AD131)</f>
        <v/>
      </c>
      <c r="P141" s="167" t="str">
        <f>IF(ISBLANK(DaqBook_RAW_Data!AE131),"",DaqBook_RAW_Data!AE131)</f>
        <v/>
      </c>
    </row>
    <row r="142" spans="1:16" x14ac:dyDescent="0.2">
      <c r="A142" s="58" t="e">
        <f t="shared" si="1"/>
        <v>#VALUE!</v>
      </c>
      <c r="B142" s="144" t="str">
        <f>IF(ISBLANK(DaqBook_RAW_Data!Q132),IF(DaqBook_RAW_Data!A132="","",TIMEVALUE(DaqBook_RAW_Data!A132)),TIMEVALUE(DaqBook_RAW_Data!Q132))</f>
        <v/>
      </c>
      <c r="C142" s="167" t="str">
        <f>IF(ISBLANK(DaqBook_RAW_Data!R132),"",DaqBook_RAW_Data!R132)</f>
        <v/>
      </c>
      <c r="D142" s="167" t="str">
        <f>IF(ISBLANK(DaqBook_RAW_Data!S132),"",DaqBook_RAW_Data!S132)</f>
        <v/>
      </c>
      <c r="E142" s="167" t="str">
        <f>IF(ISBLANK(DaqBook_RAW_Data!T132),"",DaqBook_RAW_Data!T132)</f>
        <v/>
      </c>
      <c r="F142" s="167" t="str">
        <f>IF(ISBLANK(DaqBook_RAW_Data!U132),"",DaqBook_RAW_Data!U132)</f>
        <v/>
      </c>
      <c r="G142" s="167" t="str">
        <f>IF(ISBLANK(DaqBook_RAW_Data!V132),"",DaqBook_RAW_Data!V132)</f>
        <v/>
      </c>
      <c r="H142" s="167" t="str">
        <f>IF(ISBLANK(DaqBook_RAW_Data!W132),"",DaqBook_RAW_Data!W132)</f>
        <v/>
      </c>
      <c r="I142" s="167" t="str">
        <f>IF(ISBLANK(DaqBook_RAW_Data!X132),"",DaqBook_RAW_Data!X132)</f>
        <v/>
      </c>
      <c r="J142" s="167" t="str">
        <f>IF(ISBLANK(DaqBook_RAW_Data!Y132),"",DaqBook_RAW_Data!Y132)</f>
        <v/>
      </c>
      <c r="K142" s="167" t="str">
        <f>IF(ISBLANK(DaqBook_RAW_Data!Z132),"",DaqBook_RAW_Data!Z132)</f>
        <v/>
      </c>
      <c r="L142" s="167" t="str">
        <f>IF(ISBLANK(DaqBook_RAW_Data!AA132),"",DaqBook_RAW_Data!AA132)</f>
        <v/>
      </c>
      <c r="M142" s="167" t="str">
        <f>IF(ISBLANK(DaqBook_RAW_Data!AB132),"",DaqBook_RAW_Data!AB132)</f>
        <v/>
      </c>
      <c r="N142" s="167" t="str">
        <f>IF(ISBLANK(DaqBook_RAW_Data!AC132),"",DaqBook_RAW_Data!AC132)</f>
        <v/>
      </c>
      <c r="O142" s="167" t="str">
        <f>IF(ISBLANK(DaqBook_RAW_Data!AD132),"",DaqBook_RAW_Data!AD132)</f>
        <v/>
      </c>
      <c r="P142" s="167" t="str">
        <f>IF(ISBLANK(DaqBook_RAW_Data!AE132),"",DaqBook_RAW_Data!AE132)</f>
        <v/>
      </c>
    </row>
    <row r="143" spans="1:16" x14ac:dyDescent="0.2">
      <c r="A143" s="58" t="e">
        <f t="shared" ref="A143:A206" si="2">HOUR(B143)&amp;":"&amp;MINUTE(B143)</f>
        <v>#VALUE!</v>
      </c>
      <c r="B143" s="144" t="str">
        <f>IF(ISBLANK(DaqBook_RAW_Data!Q133),IF(DaqBook_RAW_Data!A133="","",TIMEVALUE(DaqBook_RAW_Data!A133)),TIMEVALUE(DaqBook_RAW_Data!Q133))</f>
        <v/>
      </c>
      <c r="C143" s="167" t="str">
        <f>IF(ISBLANK(DaqBook_RAW_Data!R133),"",DaqBook_RAW_Data!R133)</f>
        <v/>
      </c>
      <c r="D143" s="167" t="str">
        <f>IF(ISBLANK(DaqBook_RAW_Data!S133),"",DaqBook_RAW_Data!S133)</f>
        <v/>
      </c>
      <c r="E143" s="167" t="str">
        <f>IF(ISBLANK(DaqBook_RAW_Data!T133),"",DaqBook_RAW_Data!T133)</f>
        <v/>
      </c>
      <c r="F143" s="167" t="str">
        <f>IF(ISBLANK(DaqBook_RAW_Data!U133),"",DaqBook_RAW_Data!U133)</f>
        <v/>
      </c>
      <c r="G143" s="167" t="str">
        <f>IF(ISBLANK(DaqBook_RAW_Data!V133),"",DaqBook_RAW_Data!V133)</f>
        <v/>
      </c>
      <c r="H143" s="167" t="str">
        <f>IF(ISBLANK(DaqBook_RAW_Data!W133),"",DaqBook_RAW_Data!W133)</f>
        <v/>
      </c>
      <c r="I143" s="167" t="str">
        <f>IF(ISBLANK(DaqBook_RAW_Data!X133),"",DaqBook_RAW_Data!X133)</f>
        <v/>
      </c>
      <c r="J143" s="167" t="str">
        <f>IF(ISBLANK(DaqBook_RAW_Data!Y133),"",DaqBook_RAW_Data!Y133)</f>
        <v/>
      </c>
      <c r="K143" s="167" t="str">
        <f>IF(ISBLANK(DaqBook_RAW_Data!Z133),"",DaqBook_RAW_Data!Z133)</f>
        <v/>
      </c>
      <c r="L143" s="167" t="str">
        <f>IF(ISBLANK(DaqBook_RAW_Data!AA133),"",DaqBook_RAW_Data!AA133)</f>
        <v/>
      </c>
      <c r="M143" s="167" t="str">
        <f>IF(ISBLANK(DaqBook_RAW_Data!AB133),"",DaqBook_RAW_Data!AB133)</f>
        <v/>
      </c>
      <c r="N143" s="167" t="str">
        <f>IF(ISBLANK(DaqBook_RAW_Data!AC133),"",DaqBook_RAW_Data!AC133)</f>
        <v/>
      </c>
      <c r="O143" s="167" t="str">
        <f>IF(ISBLANK(DaqBook_RAW_Data!AD133),"",DaqBook_RAW_Data!AD133)</f>
        <v/>
      </c>
      <c r="P143" s="167" t="str">
        <f>IF(ISBLANK(DaqBook_RAW_Data!AE133),"",DaqBook_RAW_Data!AE133)</f>
        <v/>
      </c>
    </row>
    <row r="144" spans="1:16" x14ac:dyDescent="0.2">
      <c r="A144" s="58" t="e">
        <f t="shared" si="2"/>
        <v>#VALUE!</v>
      </c>
      <c r="B144" s="144" t="str">
        <f>IF(ISBLANK(DaqBook_RAW_Data!Q134),IF(DaqBook_RAW_Data!A134="","",TIMEVALUE(DaqBook_RAW_Data!A134)),TIMEVALUE(DaqBook_RAW_Data!Q134))</f>
        <v/>
      </c>
      <c r="C144" s="167" t="str">
        <f>IF(ISBLANK(DaqBook_RAW_Data!R134),"",DaqBook_RAW_Data!R134)</f>
        <v/>
      </c>
      <c r="D144" s="167" t="str">
        <f>IF(ISBLANK(DaqBook_RAW_Data!S134),"",DaqBook_RAW_Data!S134)</f>
        <v/>
      </c>
      <c r="E144" s="167" t="str">
        <f>IF(ISBLANK(DaqBook_RAW_Data!T134),"",DaqBook_RAW_Data!T134)</f>
        <v/>
      </c>
      <c r="F144" s="167" t="str">
        <f>IF(ISBLANK(DaqBook_RAW_Data!U134),"",DaqBook_RAW_Data!U134)</f>
        <v/>
      </c>
      <c r="G144" s="167" t="str">
        <f>IF(ISBLANK(DaqBook_RAW_Data!V134),"",DaqBook_RAW_Data!V134)</f>
        <v/>
      </c>
      <c r="H144" s="167" t="str">
        <f>IF(ISBLANK(DaqBook_RAW_Data!W134),"",DaqBook_RAW_Data!W134)</f>
        <v/>
      </c>
      <c r="I144" s="167" t="str">
        <f>IF(ISBLANK(DaqBook_RAW_Data!X134),"",DaqBook_RAW_Data!X134)</f>
        <v/>
      </c>
      <c r="J144" s="167" t="str">
        <f>IF(ISBLANK(DaqBook_RAW_Data!Y134),"",DaqBook_RAW_Data!Y134)</f>
        <v/>
      </c>
      <c r="K144" s="167" t="str">
        <f>IF(ISBLANK(DaqBook_RAW_Data!Z134),"",DaqBook_RAW_Data!Z134)</f>
        <v/>
      </c>
      <c r="L144" s="167" t="str">
        <f>IF(ISBLANK(DaqBook_RAW_Data!AA134),"",DaqBook_RAW_Data!AA134)</f>
        <v/>
      </c>
      <c r="M144" s="167" t="str">
        <f>IF(ISBLANK(DaqBook_RAW_Data!AB134),"",DaqBook_RAW_Data!AB134)</f>
        <v/>
      </c>
      <c r="N144" s="167" t="str">
        <f>IF(ISBLANK(DaqBook_RAW_Data!AC134),"",DaqBook_RAW_Data!AC134)</f>
        <v/>
      </c>
      <c r="O144" s="167" t="str">
        <f>IF(ISBLANK(DaqBook_RAW_Data!AD134),"",DaqBook_RAW_Data!AD134)</f>
        <v/>
      </c>
      <c r="P144" s="167" t="str">
        <f>IF(ISBLANK(DaqBook_RAW_Data!AE134),"",DaqBook_RAW_Data!AE134)</f>
        <v/>
      </c>
    </row>
    <row r="145" spans="1:16" x14ac:dyDescent="0.2">
      <c r="A145" s="58" t="e">
        <f t="shared" si="2"/>
        <v>#VALUE!</v>
      </c>
      <c r="B145" s="144" t="str">
        <f>IF(ISBLANK(DaqBook_RAW_Data!Q135),IF(DaqBook_RAW_Data!A135="","",TIMEVALUE(DaqBook_RAW_Data!A135)),TIMEVALUE(DaqBook_RAW_Data!Q135))</f>
        <v/>
      </c>
      <c r="C145" s="167" t="str">
        <f>IF(ISBLANK(DaqBook_RAW_Data!R135),"",DaqBook_RAW_Data!R135)</f>
        <v/>
      </c>
      <c r="D145" s="167" t="str">
        <f>IF(ISBLANK(DaqBook_RAW_Data!S135),"",DaqBook_RAW_Data!S135)</f>
        <v/>
      </c>
      <c r="E145" s="167" t="str">
        <f>IF(ISBLANK(DaqBook_RAW_Data!T135),"",DaqBook_RAW_Data!T135)</f>
        <v/>
      </c>
      <c r="F145" s="167" t="str">
        <f>IF(ISBLANK(DaqBook_RAW_Data!U135),"",DaqBook_RAW_Data!U135)</f>
        <v/>
      </c>
      <c r="G145" s="167" t="str">
        <f>IF(ISBLANK(DaqBook_RAW_Data!V135),"",DaqBook_RAW_Data!V135)</f>
        <v/>
      </c>
      <c r="H145" s="167" t="str">
        <f>IF(ISBLANK(DaqBook_RAW_Data!W135),"",DaqBook_RAW_Data!W135)</f>
        <v/>
      </c>
      <c r="I145" s="167" t="str">
        <f>IF(ISBLANK(DaqBook_RAW_Data!X135),"",DaqBook_RAW_Data!X135)</f>
        <v/>
      </c>
      <c r="J145" s="167" t="str">
        <f>IF(ISBLANK(DaqBook_RAW_Data!Y135),"",DaqBook_RAW_Data!Y135)</f>
        <v/>
      </c>
      <c r="K145" s="167" t="str">
        <f>IF(ISBLANK(DaqBook_RAW_Data!Z135),"",DaqBook_RAW_Data!Z135)</f>
        <v/>
      </c>
      <c r="L145" s="167" t="str">
        <f>IF(ISBLANK(DaqBook_RAW_Data!AA135),"",DaqBook_RAW_Data!AA135)</f>
        <v/>
      </c>
      <c r="M145" s="167" t="str">
        <f>IF(ISBLANK(DaqBook_RAW_Data!AB135),"",DaqBook_RAW_Data!AB135)</f>
        <v/>
      </c>
      <c r="N145" s="167" t="str">
        <f>IF(ISBLANK(DaqBook_RAW_Data!AC135),"",DaqBook_RAW_Data!AC135)</f>
        <v/>
      </c>
      <c r="O145" s="167" t="str">
        <f>IF(ISBLANK(DaqBook_RAW_Data!AD135),"",DaqBook_RAW_Data!AD135)</f>
        <v/>
      </c>
      <c r="P145" s="167" t="str">
        <f>IF(ISBLANK(DaqBook_RAW_Data!AE135),"",DaqBook_RAW_Data!AE135)</f>
        <v/>
      </c>
    </row>
    <row r="146" spans="1:16" x14ac:dyDescent="0.2">
      <c r="A146" s="58" t="e">
        <f t="shared" si="2"/>
        <v>#VALUE!</v>
      </c>
      <c r="B146" s="144" t="str">
        <f>IF(ISBLANK(DaqBook_RAW_Data!Q136),IF(DaqBook_RAW_Data!A136="","",TIMEVALUE(DaqBook_RAW_Data!A136)),TIMEVALUE(DaqBook_RAW_Data!Q136))</f>
        <v/>
      </c>
      <c r="C146" s="167" t="str">
        <f>IF(ISBLANK(DaqBook_RAW_Data!R136),"",DaqBook_RAW_Data!R136)</f>
        <v/>
      </c>
      <c r="D146" s="167" t="str">
        <f>IF(ISBLANK(DaqBook_RAW_Data!S136),"",DaqBook_RAW_Data!S136)</f>
        <v/>
      </c>
      <c r="E146" s="167" t="str">
        <f>IF(ISBLANK(DaqBook_RAW_Data!T136),"",DaqBook_RAW_Data!T136)</f>
        <v/>
      </c>
      <c r="F146" s="167" t="str">
        <f>IF(ISBLANK(DaqBook_RAW_Data!U136),"",DaqBook_RAW_Data!U136)</f>
        <v/>
      </c>
      <c r="G146" s="167" t="str">
        <f>IF(ISBLANK(DaqBook_RAW_Data!V136),"",DaqBook_RAW_Data!V136)</f>
        <v/>
      </c>
      <c r="H146" s="167" t="str">
        <f>IF(ISBLANK(DaqBook_RAW_Data!W136),"",DaqBook_RAW_Data!W136)</f>
        <v/>
      </c>
      <c r="I146" s="167" t="str">
        <f>IF(ISBLANK(DaqBook_RAW_Data!X136),"",DaqBook_RAW_Data!X136)</f>
        <v/>
      </c>
      <c r="J146" s="167" t="str">
        <f>IF(ISBLANK(DaqBook_RAW_Data!Y136),"",DaqBook_RAW_Data!Y136)</f>
        <v/>
      </c>
      <c r="K146" s="167" t="str">
        <f>IF(ISBLANK(DaqBook_RAW_Data!Z136),"",DaqBook_RAW_Data!Z136)</f>
        <v/>
      </c>
      <c r="L146" s="167" t="str">
        <f>IF(ISBLANK(DaqBook_RAW_Data!AA136),"",DaqBook_RAW_Data!AA136)</f>
        <v/>
      </c>
      <c r="M146" s="167" t="str">
        <f>IF(ISBLANK(DaqBook_RAW_Data!AB136),"",DaqBook_RAW_Data!AB136)</f>
        <v/>
      </c>
      <c r="N146" s="167" t="str">
        <f>IF(ISBLANK(DaqBook_RAW_Data!AC136),"",DaqBook_RAW_Data!AC136)</f>
        <v/>
      </c>
      <c r="O146" s="167" t="str">
        <f>IF(ISBLANK(DaqBook_RAW_Data!AD136),"",DaqBook_RAW_Data!AD136)</f>
        <v/>
      </c>
      <c r="P146" s="167" t="str">
        <f>IF(ISBLANK(DaqBook_RAW_Data!AE136),"",DaqBook_RAW_Data!AE136)</f>
        <v/>
      </c>
    </row>
    <row r="147" spans="1:16" x14ac:dyDescent="0.2">
      <c r="A147" s="58" t="e">
        <f t="shared" si="2"/>
        <v>#VALUE!</v>
      </c>
      <c r="B147" s="144" t="str">
        <f>IF(ISBLANK(DaqBook_RAW_Data!Q137),IF(DaqBook_RAW_Data!A137="","",TIMEVALUE(DaqBook_RAW_Data!A137)),TIMEVALUE(DaqBook_RAW_Data!Q137))</f>
        <v/>
      </c>
      <c r="C147" s="167" t="str">
        <f>IF(ISBLANK(DaqBook_RAW_Data!R137),"",DaqBook_RAW_Data!R137)</f>
        <v/>
      </c>
      <c r="D147" s="167" t="str">
        <f>IF(ISBLANK(DaqBook_RAW_Data!S137),"",DaqBook_RAW_Data!S137)</f>
        <v/>
      </c>
      <c r="E147" s="167" t="str">
        <f>IF(ISBLANK(DaqBook_RAW_Data!T137),"",DaqBook_RAW_Data!T137)</f>
        <v/>
      </c>
      <c r="F147" s="167" t="str">
        <f>IF(ISBLANK(DaqBook_RAW_Data!U137),"",DaqBook_RAW_Data!U137)</f>
        <v/>
      </c>
      <c r="G147" s="167" t="str">
        <f>IF(ISBLANK(DaqBook_RAW_Data!V137),"",DaqBook_RAW_Data!V137)</f>
        <v/>
      </c>
      <c r="H147" s="167" t="str">
        <f>IF(ISBLANK(DaqBook_RAW_Data!W137),"",DaqBook_RAW_Data!W137)</f>
        <v/>
      </c>
      <c r="I147" s="167" t="str">
        <f>IF(ISBLANK(DaqBook_RAW_Data!X137),"",DaqBook_RAW_Data!X137)</f>
        <v/>
      </c>
      <c r="J147" s="167" t="str">
        <f>IF(ISBLANK(DaqBook_RAW_Data!Y137),"",DaqBook_RAW_Data!Y137)</f>
        <v/>
      </c>
      <c r="K147" s="167" t="str">
        <f>IF(ISBLANK(DaqBook_RAW_Data!Z137),"",DaqBook_RAW_Data!Z137)</f>
        <v/>
      </c>
      <c r="L147" s="167" t="str">
        <f>IF(ISBLANK(DaqBook_RAW_Data!AA137),"",DaqBook_RAW_Data!AA137)</f>
        <v/>
      </c>
      <c r="M147" s="167" t="str">
        <f>IF(ISBLANK(DaqBook_RAW_Data!AB137),"",DaqBook_RAW_Data!AB137)</f>
        <v/>
      </c>
      <c r="N147" s="167" t="str">
        <f>IF(ISBLANK(DaqBook_RAW_Data!AC137),"",DaqBook_RAW_Data!AC137)</f>
        <v/>
      </c>
      <c r="O147" s="167" t="str">
        <f>IF(ISBLANK(DaqBook_RAW_Data!AD137),"",DaqBook_RAW_Data!AD137)</f>
        <v/>
      </c>
      <c r="P147" s="167" t="str">
        <f>IF(ISBLANK(DaqBook_RAW_Data!AE137),"",DaqBook_RAW_Data!AE137)</f>
        <v/>
      </c>
    </row>
    <row r="148" spans="1:16" x14ac:dyDescent="0.2">
      <c r="A148" s="58" t="e">
        <f t="shared" si="2"/>
        <v>#VALUE!</v>
      </c>
      <c r="B148" s="144" t="str">
        <f>IF(ISBLANK(DaqBook_RAW_Data!Q138),IF(DaqBook_RAW_Data!A138="","",TIMEVALUE(DaqBook_RAW_Data!A138)),TIMEVALUE(DaqBook_RAW_Data!Q138))</f>
        <v/>
      </c>
      <c r="C148" s="167" t="str">
        <f>IF(ISBLANK(DaqBook_RAW_Data!R138),"",DaqBook_RAW_Data!R138)</f>
        <v/>
      </c>
      <c r="D148" s="167" t="str">
        <f>IF(ISBLANK(DaqBook_RAW_Data!S138),"",DaqBook_RAW_Data!S138)</f>
        <v/>
      </c>
      <c r="E148" s="167" t="str">
        <f>IF(ISBLANK(DaqBook_RAW_Data!T138),"",DaqBook_RAW_Data!T138)</f>
        <v/>
      </c>
      <c r="F148" s="167" t="str">
        <f>IF(ISBLANK(DaqBook_RAW_Data!U138),"",DaqBook_RAW_Data!U138)</f>
        <v/>
      </c>
      <c r="G148" s="167" t="str">
        <f>IF(ISBLANK(DaqBook_RAW_Data!V138),"",DaqBook_RAW_Data!V138)</f>
        <v/>
      </c>
      <c r="H148" s="167" t="str">
        <f>IF(ISBLANK(DaqBook_RAW_Data!W138),"",DaqBook_RAW_Data!W138)</f>
        <v/>
      </c>
      <c r="I148" s="167" t="str">
        <f>IF(ISBLANK(DaqBook_RAW_Data!X138),"",DaqBook_RAW_Data!X138)</f>
        <v/>
      </c>
      <c r="J148" s="167" t="str">
        <f>IF(ISBLANK(DaqBook_RAW_Data!Y138),"",DaqBook_RAW_Data!Y138)</f>
        <v/>
      </c>
      <c r="K148" s="167" t="str">
        <f>IF(ISBLANK(DaqBook_RAW_Data!Z138),"",DaqBook_RAW_Data!Z138)</f>
        <v/>
      </c>
      <c r="L148" s="167" t="str">
        <f>IF(ISBLANK(DaqBook_RAW_Data!AA138),"",DaqBook_RAW_Data!AA138)</f>
        <v/>
      </c>
      <c r="M148" s="167" t="str">
        <f>IF(ISBLANK(DaqBook_RAW_Data!AB138),"",DaqBook_RAW_Data!AB138)</f>
        <v/>
      </c>
      <c r="N148" s="167" t="str">
        <f>IF(ISBLANK(DaqBook_RAW_Data!AC138),"",DaqBook_RAW_Data!AC138)</f>
        <v/>
      </c>
      <c r="O148" s="167" t="str">
        <f>IF(ISBLANK(DaqBook_RAW_Data!AD138),"",DaqBook_RAW_Data!AD138)</f>
        <v/>
      </c>
      <c r="P148" s="167" t="str">
        <f>IF(ISBLANK(DaqBook_RAW_Data!AE138),"",DaqBook_RAW_Data!AE138)</f>
        <v/>
      </c>
    </row>
    <row r="149" spans="1:16" x14ac:dyDescent="0.2">
      <c r="A149" s="58" t="e">
        <f t="shared" si="2"/>
        <v>#VALUE!</v>
      </c>
      <c r="B149" s="144" t="str">
        <f>IF(ISBLANK(DaqBook_RAW_Data!Q139),IF(DaqBook_RAW_Data!A139="","",TIMEVALUE(DaqBook_RAW_Data!A139)),TIMEVALUE(DaqBook_RAW_Data!Q139))</f>
        <v/>
      </c>
      <c r="C149" s="167" t="str">
        <f>IF(ISBLANK(DaqBook_RAW_Data!R139),"",DaqBook_RAW_Data!R139)</f>
        <v/>
      </c>
      <c r="D149" s="167" t="str">
        <f>IF(ISBLANK(DaqBook_RAW_Data!S139),"",DaqBook_RAW_Data!S139)</f>
        <v/>
      </c>
      <c r="E149" s="167" t="str">
        <f>IF(ISBLANK(DaqBook_RAW_Data!T139),"",DaqBook_RAW_Data!T139)</f>
        <v/>
      </c>
      <c r="F149" s="167" t="str">
        <f>IF(ISBLANK(DaqBook_RAW_Data!U139),"",DaqBook_RAW_Data!U139)</f>
        <v/>
      </c>
      <c r="G149" s="167" t="str">
        <f>IF(ISBLANK(DaqBook_RAW_Data!V139),"",DaqBook_RAW_Data!V139)</f>
        <v/>
      </c>
      <c r="H149" s="167" t="str">
        <f>IF(ISBLANK(DaqBook_RAW_Data!W139),"",DaqBook_RAW_Data!W139)</f>
        <v/>
      </c>
      <c r="I149" s="167" t="str">
        <f>IF(ISBLANK(DaqBook_RAW_Data!X139),"",DaqBook_RAW_Data!X139)</f>
        <v/>
      </c>
      <c r="J149" s="167" t="str">
        <f>IF(ISBLANK(DaqBook_RAW_Data!Y139),"",DaqBook_RAW_Data!Y139)</f>
        <v/>
      </c>
      <c r="K149" s="167" t="str">
        <f>IF(ISBLANK(DaqBook_RAW_Data!Z139),"",DaqBook_RAW_Data!Z139)</f>
        <v/>
      </c>
      <c r="L149" s="167" t="str">
        <f>IF(ISBLANK(DaqBook_RAW_Data!AA139),"",DaqBook_RAW_Data!AA139)</f>
        <v/>
      </c>
      <c r="M149" s="167" t="str">
        <f>IF(ISBLANK(DaqBook_RAW_Data!AB139),"",DaqBook_RAW_Data!AB139)</f>
        <v/>
      </c>
      <c r="N149" s="167" t="str">
        <f>IF(ISBLANK(DaqBook_RAW_Data!AC139),"",DaqBook_RAW_Data!AC139)</f>
        <v/>
      </c>
      <c r="O149" s="167" t="str">
        <f>IF(ISBLANK(DaqBook_RAW_Data!AD139),"",DaqBook_RAW_Data!AD139)</f>
        <v/>
      </c>
      <c r="P149" s="167" t="str">
        <f>IF(ISBLANK(DaqBook_RAW_Data!AE139),"",DaqBook_RAW_Data!AE139)</f>
        <v/>
      </c>
    </row>
    <row r="150" spans="1:16" x14ac:dyDescent="0.2">
      <c r="A150" s="58" t="e">
        <f t="shared" si="2"/>
        <v>#VALUE!</v>
      </c>
      <c r="B150" s="144" t="str">
        <f>IF(ISBLANK(DaqBook_RAW_Data!Q140),IF(DaqBook_RAW_Data!A140="","",TIMEVALUE(DaqBook_RAW_Data!A140)),TIMEVALUE(DaqBook_RAW_Data!Q140))</f>
        <v/>
      </c>
      <c r="C150" s="167" t="str">
        <f>IF(ISBLANK(DaqBook_RAW_Data!R140),"",DaqBook_RAW_Data!R140)</f>
        <v/>
      </c>
      <c r="D150" s="167" t="str">
        <f>IF(ISBLANK(DaqBook_RAW_Data!S140),"",DaqBook_RAW_Data!S140)</f>
        <v/>
      </c>
      <c r="E150" s="167" t="str">
        <f>IF(ISBLANK(DaqBook_RAW_Data!T140),"",DaqBook_RAW_Data!T140)</f>
        <v/>
      </c>
      <c r="F150" s="167" t="str">
        <f>IF(ISBLANK(DaqBook_RAW_Data!U140),"",DaqBook_RAW_Data!U140)</f>
        <v/>
      </c>
      <c r="G150" s="167" t="str">
        <f>IF(ISBLANK(DaqBook_RAW_Data!V140),"",DaqBook_RAW_Data!V140)</f>
        <v/>
      </c>
      <c r="H150" s="167" t="str">
        <f>IF(ISBLANK(DaqBook_RAW_Data!W140),"",DaqBook_RAW_Data!W140)</f>
        <v/>
      </c>
      <c r="I150" s="167" t="str">
        <f>IF(ISBLANK(DaqBook_RAW_Data!X140),"",DaqBook_RAW_Data!X140)</f>
        <v/>
      </c>
      <c r="J150" s="167" t="str">
        <f>IF(ISBLANK(DaqBook_RAW_Data!Y140),"",DaqBook_RAW_Data!Y140)</f>
        <v/>
      </c>
      <c r="K150" s="167" t="str">
        <f>IF(ISBLANK(DaqBook_RAW_Data!Z140),"",DaqBook_RAW_Data!Z140)</f>
        <v/>
      </c>
      <c r="L150" s="167" t="str">
        <f>IF(ISBLANK(DaqBook_RAW_Data!AA140),"",DaqBook_RAW_Data!AA140)</f>
        <v/>
      </c>
      <c r="M150" s="167" t="str">
        <f>IF(ISBLANK(DaqBook_RAW_Data!AB140),"",DaqBook_RAW_Data!AB140)</f>
        <v/>
      </c>
      <c r="N150" s="167" t="str">
        <f>IF(ISBLANK(DaqBook_RAW_Data!AC140),"",DaqBook_RAW_Data!AC140)</f>
        <v/>
      </c>
      <c r="O150" s="167" t="str">
        <f>IF(ISBLANK(DaqBook_RAW_Data!AD140),"",DaqBook_RAW_Data!AD140)</f>
        <v/>
      </c>
      <c r="P150" s="167" t="str">
        <f>IF(ISBLANK(DaqBook_RAW_Data!AE140),"",DaqBook_RAW_Data!AE140)</f>
        <v/>
      </c>
    </row>
    <row r="151" spans="1:16" x14ac:dyDescent="0.2">
      <c r="A151" s="58" t="e">
        <f t="shared" si="2"/>
        <v>#VALUE!</v>
      </c>
      <c r="B151" s="144" t="str">
        <f>IF(ISBLANK(DaqBook_RAW_Data!Q141),IF(DaqBook_RAW_Data!A141="","",TIMEVALUE(DaqBook_RAW_Data!A141)),TIMEVALUE(DaqBook_RAW_Data!Q141))</f>
        <v/>
      </c>
      <c r="C151" s="167" t="str">
        <f>IF(ISBLANK(DaqBook_RAW_Data!R141),"",DaqBook_RAW_Data!R141)</f>
        <v/>
      </c>
      <c r="D151" s="167" t="str">
        <f>IF(ISBLANK(DaqBook_RAW_Data!S141),"",DaqBook_RAW_Data!S141)</f>
        <v/>
      </c>
      <c r="E151" s="167" t="str">
        <f>IF(ISBLANK(DaqBook_RAW_Data!T141),"",DaqBook_RAW_Data!T141)</f>
        <v/>
      </c>
      <c r="F151" s="167" t="str">
        <f>IF(ISBLANK(DaqBook_RAW_Data!U141),"",DaqBook_RAW_Data!U141)</f>
        <v/>
      </c>
      <c r="G151" s="167" t="str">
        <f>IF(ISBLANK(DaqBook_RAW_Data!V141),"",DaqBook_RAW_Data!V141)</f>
        <v/>
      </c>
      <c r="H151" s="167" t="str">
        <f>IF(ISBLANK(DaqBook_RAW_Data!W141),"",DaqBook_RAW_Data!W141)</f>
        <v/>
      </c>
      <c r="I151" s="167" t="str">
        <f>IF(ISBLANK(DaqBook_RAW_Data!X141),"",DaqBook_RAW_Data!X141)</f>
        <v/>
      </c>
      <c r="J151" s="167" t="str">
        <f>IF(ISBLANK(DaqBook_RAW_Data!Y141),"",DaqBook_RAW_Data!Y141)</f>
        <v/>
      </c>
      <c r="K151" s="167" t="str">
        <f>IF(ISBLANK(DaqBook_RAW_Data!Z141),"",DaqBook_RAW_Data!Z141)</f>
        <v/>
      </c>
      <c r="L151" s="167" t="str">
        <f>IF(ISBLANK(DaqBook_RAW_Data!AA141),"",DaqBook_RAW_Data!AA141)</f>
        <v/>
      </c>
      <c r="M151" s="167" t="str">
        <f>IF(ISBLANK(DaqBook_RAW_Data!AB141),"",DaqBook_RAW_Data!AB141)</f>
        <v/>
      </c>
      <c r="N151" s="167" t="str">
        <f>IF(ISBLANK(DaqBook_RAW_Data!AC141),"",DaqBook_RAW_Data!AC141)</f>
        <v/>
      </c>
      <c r="O151" s="167" t="str">
        <f>IF(ISBLANK(DaqBook_RAW_Data!AD141),"",DaqBook_RAW_Data!AD141)</f>
        <v/>
      </c>
      <c r="P151" s="167" t="str">
        <f>IF(ISBLANK(DaqBook_RAW_Data!AE141),"",DaqBook_RAW_Data!AE141)</f>
        <v/>
      </c>
    </row>
    <row r="152" spans="1:16" x14ac:dyDescent="0.2">
      <c r="A152" s="58" t="e">
        <f t="shared" si="2"/>
        <v>#VALUE!</v>
      </c>
      <c r="B152" s="144" t="str">
        <f>IF(ISBLANK(DaqBook_RAW_Data!Q142),IF(DaqBook_RAW_Data!A142="","",TIMEVALUE(DaqBook_RAW_Data!A142)),TIMEVALUE(DaqBook_RAW_Data!Q142))</f>
        <v/>
      </c>
      <c r="C152" s="167" t="str">
        <f>IF(ISBLANK(DaqBook_RAW_Data!R142),"",DaqBook_RAW_Data!R142)</f>
        <v/>
      </c>
      <c r="D152" s="167" t="str">
        <f>IF(ISBLANK(DaqBook_RAW_Data!S142),"",DaqBook_RAW_Data!S142)</f>
        <v/>
      </c>
      <c r="E152" s="167" t="str">
        <f>IF(ISBLANK(DaqBook_RAW_Data!T142),"",DaqBook_RAW_Data!T142)</f>
        <v/>
      </c>
      <c r="F152" s="167" t="str">
        <f>IF(ISBLANK(DaqBook_RAW_Data!U142),"",DaqBook_RAW_Data!U142)</f>
        <v/>
      </c>
      <c r="G152" s="167" t="str">
        <f>IF(ISBLANK(DaqBook_RAW_Data!V142),"",DaqBook_RAW_Data!V142)</f>
        <v/>
      </c>
      <c r="H152" s="167" t="str">
        <f>IF(ISBLANK(DaqBook_RAW_Data!W142),"",DaqBook_RAW_Data!W142)</f>
        <v/>
      </c>
      <c r="I152" s="167" t="str">
        <f>IF(ISBLANK(DaqBook_RAW_Data!X142),"",DaqBook_RAW_Data!X142)</f>
        <v/>
      </c>
      <c r="J152" s="167" t="str">
        <f>IF(ISBLANK(DaqBook_RAW_Data!Y142),"",DaqBook_RAW_Data!Y142)</f>
        <v/>
      </c>
      <c r="K152" s="167" t="str">
        <f>IF(ISBLANK(DaqBook_RAW_Data!Z142),"",DaqBook_RAW_Data!Z142)</f>
        <v/>
      </c>
      <c r="L152" s="167" t="str">
        <f>IF(ISBLANK(DaqBook_RAW_Data!AA142),"",DaqBook_RAW_Data!AA142)</f>
        <v/>
      </c>
      <c r="M152" s="167" t="str">
        <f>IF(ISBLANK(DaqBook_RAW_Data!AB142),"",DaqBook_RAW_Data!AB142)</f>
        <v/>
      </c>
      <c r="N152" s="167" t="str">
        <f>IF(ISBLANK(DaqBook_RAW_Data!AC142),"",DaqBook_RAW_Data!AC142)</f>
        <v/>
      </c>
      <c r="O152" s="167" t="str">
        <f>IF(ISBLANK(DaqBook_RAW_Data!AD142),"",DaqBook_RAW_Data!AD142)</f>
        <v/>
      </c>
      <c r="P152" s="167" t="str">
        <f>IF(ISBLANK(DaqBook_RAW_Data!AE142),"",DaqBook_RAW_Data!AE142)</f>
        <v/>
      </c>
    </row>
    <row r="153" spans="1:16" x14ac:dyDescent="0.2">
      <c r="A153" s="58" t="e">
        <f t="shared" si="2"/>
        <v>#VALUE!</v>
      </c>
      <c r="B153" s="144" t="str">
        <f>IF(ISBLANK(DaqBook_RAW_Data!Q143),IF(DaqBook_RAW_Data!A143="","",TIMEVALUE(DaqBook_RAW_Data!A143)),TIMEVALUE(DaqBook_RAW_Data!Q143))</f>
        <v/>
      </c>
      <c r="C153" s="167" t="str">
        <f>IF(ISBLANK(DaqBook_RAW_Data!R143),"",DaqBook_RAW_Data!R143)</f>
        <v/>
      </c>
      <c r="D153" s="167" t="str">
        <f>IF(ISBLANK(DaqBook_RAW_Data!S143),"",DaqBook_RAW_Data!S143)</f>
        <v/>
      </c>
      <c r="E153" s="167" t="str">
        <f>IF(ISBLANK(DaqBook_RAW_Data!T143),"",DaqBook_RAW_Data!T143)</f>
        <v/>
      </c>
      <c r="F153" s="167" t="str">
        <f>IF(ISBLANK(DaqBook_RAW_Data!U143),"",DaqBook_RAW_Data!U143)</f>
        <v/>
      </c>
      <c r="G153" s="167" t="str">
        <f>IF(ISBLANK(DaqBook_RAW_Data!V143),"",DaqBook_RAW_Data!V143)</f>
        <v/>
      </c>
      <c r="H153" s="167" t="str">
        <f>IF(ISBLANK(DaqBook_RAW_Data!W143),"",DaqBook_RAW_Data!W143)</f>
        <v/>
      </c>
      <c r="I153" s="167" t="str">
        <f>IF(ISBLANK(DaqBook_RAW_Data!X143),"",DaqBook_RAW_Data!X143)</f>
        <v/>
      </c>
      <c r="J153" s="167" t="str">
        <f>IF(ISBLANK(DaqBook_RAW_Data!Y143),"",DaqBook_RAW_Data!Y143)</f>
        <v/>
      </c>
      <c r="K153" s="167" t="str">
        <f>IF(ISBLANK(DaqBook_RAW_Data!Z143),"",DaqBook_RAW_Data!Z143)</f>
        <v/>
      </c>
      <c r="L153" s="167" t="str">
        <f>IF(ISBLANK(DaqBook_RAW_Data!AA143),"",DaqBook_RAW_Data!AA143)</f>
        <v/>
      </c>
      <c r="M153" s="167" t="str">
        <f>IF(ISBLANK(DaqBook_RAW_Data!AB143),"",DaqBook_RAW_Data!AB143)</f>
        <v/>
      </c>
      <c r="N153" s="167" t="str">
        <f>IF(ISBLANK(DaqBook_RAW_Data!AC143),"",DaqBook_RAW_Data!AC143)</f>
        <v/>
      </c>
      <c r="O153" s="167" t="str">
        <f>IF(ISBLANK(DaqBook_RAW_Data!AD143),"",DaqBook_RAW_Data!AD143)</f>
        <v/>
      </c>
      <c r="P153" s="167" t="str">
        <f>IF(ISBLANK(DaqBook_RAW_Data!AE143),"",DaqBook_RAW_Data!AE143)</f>
        <v/>
      </c>
    </row>
    <row r="154" spans="1:16" x14ac:dyDescent="0.2">
      <c r="A154" s="58" t="e">
        <f t="shared" si="2"/>
        <v>#VALUE!</v>
      </c>
      <c r="B154" s="144" t="str">
        <f>IF(ISBLANK(DaqBook_RAW_Data!Q144),IF(DaqBook_RAW_Data!A144="","",TIMEVALUE(DaqBook_RAW_Data!A144)),TIMEVALUE(DaqBook_RAW_Data!Q144))</f>
        <v/>
      </c>
      <c r="C154" s="167" t="str">
        <f>IF(ISBLANK(DaqBook_RAW_Data!R144),"",DaqBook_RAW_Data!R144)</f>
        <v/>
      </c>
      <c r="D154" s="167" t="str">
        <f>IF(ISBLANK(DaqBook_RAW_Data!S144),"",DaqBook_RAW_Data!S144)</f>
        <v/>
      </c>
      <c r="E154" s="167" t="str">
        <f>IF(ISBLANK(DaqBook_RAW_Data!T144),"",DaqBook_RAW_Data!T144)</f>
        <v/>
      </c>
      <c r="F154" s="167" t="str">
        <f>IF(ISBLANK(DaqBook_RAW_Data!U144),"",DaqBook_RAW_Data!U144)</f>
        <v/>
      </c>
      <c r="G154" s="167" t="str">
        <f>IF(ISBLANK(DaqBook_RAW_Data!V144),"",DaqBook_RAW_Data!V144)</f>
        <v/>
      </c>
      <c r="H154" s="167" t="str">
        <f>IF(ISBLANK(DaqBook_RAW_Data!W144),"",DaqBook_RAW_Data!W144)</f>
        <v/>
      </c>
      <c r="I154" s="167" t="str">
        <f>IF(ISBLANK(DaqBook_RAW_Data!X144),"",DaqBook_RAW_Data!X144)</f>
        <v/>
      </c>
      <c r="J154" s="167" t="str">
        <f>IF(ISBLANK(DaqBook_RAW_Data!Y144),"",DaqBook_RAW_Data!Y144)</f>
        <v/>
      </c>
      <c r="K154" s="167" t="str">
        <f>IF(ISBLANK(DaqBook_RAW_Data!Z144),"",DaqBook_RAW_Data!Z144)</f>
        <v/>
      </c>
      <c r="L154" s="167" t="str">
        <f>IF(ISBLANK(DaqBook_RAW_Data!AA144),"",DaqBook_RAW_Data!AA144)</f>
        <v/>
      </c>
      <c r="M154" s="167" t="str">
        <f>IF(ISBLANK(DaqBook_RAW_Data!AB144),"",DaqBook_RAW_Data!AB144)</f>
        <v/>
      </c>
      <c r="N154" s="167" t="str">
        <f>IF(ISBLANK(DaqBook_RAW_Data!AC144),"",DaqBook_RAW_Data!AC144)</f>
        <v/>
      </c>
      <c r="O154" s="167" t="str">
        <f>IF(ISBLANK(DaqBook_RAW_Data!AD144),"",DaqBook_RAW_Data!AD144)</f>
        <v/>
      </c>
      <c r="P154" s="167" t="str">
        <f>IF(ISBLANK(DaqBook_RAW_Data!AE144),"",DaqBook_RAW_Data!AE144)</f>
        <v/>
      </c>
    </row>
    <row r="155" spans="1:16" x14ac:dyDescent="0.2">
      <c r="A155" s="58" t="e">
        <f t="shared" si="2"/>
        <v>#VALUE!</v>
      </c>
      <c r="B155" s="144" t="str">
        <f>IF(ISBLANK(DaqBook_RAW_Data!Q145),IF(DaqBook_RAW_Data!A145="","",TIMEVALUE(DaqBook_RAW_Data!A145)),TIMEVALUE(DaqBook_RAW_Data!Q145))</f>
        <v/>
      </c>
      <c r="C155" s="167" t="str">
        <f>IF(ISBLANK(DaqBook_RAW_Data!R145),"",DaqBook_RAW_Data!R145)</f>
        <v/>
      </c>
      <c r="D155" s="167" t="str">
        <f>IF(ISBLANK(DaqBook_RAW_Data!S145),"",DaqBook_RAW_Data!S145)</f>
        <v/>
      </c>
      <c r="E155" s="167" t="str">
        <f>IF(ISBLANK(DaqBook_RAW_Data!T145),"",DaqBook_RAW_Data!T145)</f>
        <v/>
      </c>
      <c r="F155" s="167" t="str">
        <f>IF(ISBLANK(DaqBook_RAW_Data!U145),"",DaqBook_RAW_Data!U145)</f>
        <v/>
      </c>
      <c r="G155" s="167" t="str">
        <f>IF(ISBLANK(DaqBook_RAW_Data!V145),"",DaqBook_RAW_Data!V145)</f>
        <v/>
      </c>
      <c r="H155" s="167" t="str">
        <f>IF(ISBLANK(DaqBook_RAW_Data!W145),"",DaqBook_RAW_Data!W145)</f>
        <v/>
      </c>
      <c r="I155" s="167" t="str">
        <f>IF(ISBLANK(DaqBook_RAW_Data!X145),"",DaqBook_RAW_Data!X145)</f>
        <v/>
      </c>
      <c r="J155" s="167" t="str">
        <f>IF(ISBLANK(DaqBook_RAW_Data!Y145),"",DaqBook_RAW_Data!Y145)</f>
        <v/>
      </c>
      <c r="K155" s="167" t="str">
        <f>IF(ISBLANK(DaqBook_RAW_Data!Z145),"",DaqBook_RAW_Data!Z145)</f>
        <v/>
      </c>
      <c r="L155" s="167" t="str">
        <f>IF(ISBLANK(DaqBook_RAW_Data!AA145),"",DaqBook_RAW_Data!AA145)</f>
        <v/>
      </c>
      <c r="M155" s="167" t="str">
        <f>IF(ISBLANK(DaqBook_RAW_Data!AB145),"",DaqBook_RAW_Data!AB145)</f>
        <v/>
      </c>
      <c r="N155" s="167" t="str">
        <f>IF(ISBLANK(DaqBook_RAW_Data!AC145),"",DaqBook_RAW_Data!AC145)</f>
        <v/>
      </c>
      <c r="O155" s="167" t="str">
        <f>IF(ISBLANK(DaqBook_RAW_Data!AD145),"",DaqBook_RAW_Data!AD145)</f>
        <v/>
      </c>
      <c r="P155" s="167" t="str">
        <f>IF(ISBLANK(DaqBook_RAW_Data!AE145),"",DaqBook_RAW_Data!AE145)</f>
        <v/>
      </c>
    </row>
    <row r="156" spans="1:16" x14ac:dyDescent="0.2">
      <c r="A156" s="58" t="e">
        <f t="shared" si="2"/>
        <v>#VALUE!</v>
      </c>
      <c r="B156" s="144" t="str">
        <f>IF(ISBLANK(DaqBook_RAW_Data!Q146),IF(DaqBook_RAW_Data!A146="","",TIMEVALUE(DaqBook_RAW_Data!A146)),TIMEVALUE(DaqBook_RAW_Data!Q146))</f>
        <v/>
      </c>
      <c r="C156" s="167" t="str">
        <f>IF(ISBLANK(DaqBook_RAW_Data!R146),"",DaqBook_RAW_Data!R146)</f>
        <v/>
      </c>
      <c r="D156" s="167" t="str">
        <f>IF(ISBLANK(DaqBook_RAW_Data!S146),"",DaqBook_RAW_Data!S146)</f>
        <v/>
      </c>
      <c r="E156" s="167" t="str">
        <f>IF(ISBLANK(DaqBook_RAW_Data!T146),"",DaqBook_RAW_Data!T146)</f>
        <v/>
      </c>
      <c r="F156" s="167" t="str">
        <f>IF(ISBLANK(DaqBook_RAW_Data!U146),"",DaqBook_RAW_Data!U146)</f>
        <v/>
      </c>
      <c r="G156" s="167" t="str">
        <f>IF(ISBLANK(DaqBook_RAW_Data!V146),"",DaqBook_RAW_Data!V146)</f>
        <v/>
      </c>
      <c r="H156" s="167" t="str">
        <f>IF(ISBLANK(DaqBook_RAW_Data!W146),"",DaqBook_RAW_Data!W146)</f>
        <v/>
      </c>
      <c r="I156" s="167" t="str">
        <f>IF(ISBLANK(DaqBook_RAW_Data!X146),"",DaqBook_RAW_Data!X146)</f>
        <v/>
      </c>
      <c r="J156" s="167" t="str">
        <f>IF(ISBLANK(DaqBook_RAW_Data!Y146),"",DaqBook_RAW_Data!Y146)</f>
        <v/>
      </c>
      <c r="K156" s="167" t="str">
        <f>IF(ISBLANK(DaqBook_RAW_Data!Z146),"",DaqBook_RAW_Data!Z146)</f>
        <v/>
      </c>
      <c r="L156" s="167" t="str">
        <f>IF(ISBLANK(DaqBook_RAW_Data!AA146),"",DaqBook_RAW_Data!AA146)</f>
        <v/>
      </c>
      <c r="M156" s="167" t="str">
        <f>IF(ISBLANK(DaqBook_RAW_Data!AB146),"",DaqBook_RAW_Data!AB146)</f>
        <v/>
      </c>
      <c r="N156" s="167" t="str">
        <f>IF(ISBLANK(DaqBook_RAW_Data!AC146),"",DaqBook_RAW_Data!AC146)</f>
        <v/>
      </c>
      <c r="O156" s="167" t="str">
        <f>IF(ISBLANK(DaqBook_RAW_Data!AD146),"",DaqBook_RAW_Data!AD146)</f>
        <v/>
      </c>
      <c r="P156" s="167" t="str">
        <f>IF(ISBLANK(DaqBook_RAW_Data!AE146),"",DaqBook_RAW_Data!AE146)</f>
        <v/>
      </c>
    </row>
    <row r="157" spans="1:16" x14ac:dyDescent="0.2">
      <c r="A157" s="58" t="e">
        <f t="shared" si="2"/>
        <v>#VALUE!</v>
      </c>
      <c r="B157" s="144" t="str">
        <f>IF(ISBLANK(DaqBook_RAW_Data!Q147),IF(DaqBook_RAW_Data!A147="","",TIMEVALUE(DaqBook_RAW_Data!A147)),TIMEVALUE(DaqBook_RAW_Data!Q147))</f>
        <v/>
      </c>
      <c r="C157" s="167" t="str">
        <f>IF(ISBLANK(DaqBook_RAW_Data!R147),"",DaqBook_RAW_Data!R147)</f>
        <v/>
      </c>
      <c r="D157" s="167" t="str">
        <f>IF(ISBLANK(DaqBook_RAW_Data!S147),"",DaqBook_RAW_Data!S147)</f>
        <v/>
      </c>
      <c r="E157" s="167" t="str">
        <f>IF(ISBLANK(DaqBook_RAW_Data!T147),"",DaqBook_RAW_Data!T147)</f>
        <v/>
      </c>
      <c r="F157" s="167" t="str">
        <f>IF(ISBLANK(DaqBook_RAW_Data!U147),"",DaqBook_RAW_Data!U147)</f>
        <v/>
      </c>
      <c r="G157" s="167" t="str">
        <f>IF(ISBLANK(DaqBook_RAW_Data!V147),"",DaqBook_RAW_Data!V147)</f>
        <v/>
      </c>
      <c r="H157" s="167" t="str">
        <f>IF(ISBLANK(DaqBook_RAW_Data!W147),"",DaqBook_RAW_Data!W147)</f>
        <v/>
      </c>
      <c r="I157" s="167" t="str">
        <f>IF(ISBLANK(DaqBook_RAW_Data!X147),"",DaqBook_RAW_Data!X147)</f>
        <v/>
      </c>
      <c r="J157" s="167" t="str">
        <f>IF(ISBLANK(DaqBook_RAW_Data!Y147),"",DaqBook_RAW_Data!Y147)</f>
        <v/>
      </c>
      <c r="K157" s="167" t="str">
        <f>IF(ISBLANK(DaqBook_RAW_Data!Z147),"",DaqBook_RAW_Data!Z147)</f>
        <v/>
      </c>
      <c r="L157" s="167" t="str">
        <f>IF(ISBLANK(DaqBook_RAW_Data!AA147),"",DaqBook_RAW_Data!AA147)</f>
        <v/>
      </c>
      <c r="M157" s="167" t="str">
        <f>IF(ISBLANK(DaqBook_RAW_Data!AB147),"",DaqBook_RAW_Data!AB147)</f>
        <v/>
      </c>
      <c r="N157" s="167" t="str">
        <f>IF(ISBLANK(DaqBook_RAW_Data!AC147),"",DaqBook_RAW_Data!AC147)</f>
        <v/>
      </c>
      <c r="O157" s="167" t="str">
        <f>IF(ISBLANK(DaqBook_RAW_Data!AD147),"",DaqBook_RAW_Data!AD147)</f>
        <v/>
      </c>
      <c r="P157" s="167" t="str">
        <f>IF(ISBLANK(DaqBook_RAW_Data!AE147),"",DaqBook_RAW_Data!AE147)</f>
        <v/>
      </c>
    </row>
    <row r="158" spans="1:16" x14ac:dyDescent="0.2">
      <c r="A158" s="58" t="e">
        <f t="shared" si="2"/>
        <v>#VALUE!</v>
      </c>
      <c r="B158" s="144" t="str">
        <f>IF(ISBLANK(DaqBook_RAW_Data!Q148),IF(DaqBook_RAW_Data!A148="","",TIMEVALUE(DaqBook_RAW_Data!A148)),TIMEVALUE(DaqBook_RAW_Data!Q148))</f>
        <v/>
      </c>
      <c r="C158" s="167" t="str">
        <f>IF(ISBLANK(DaqBook_RAW_Data!R148),"",DaqBook_RAW_Data!R148)</f>
        <v/>
      </c>
      <c r="D158" s="167" t="str">
        <f>IF(ISBLANK(DaqBook_RAW_Data!S148),"",DaqBook_RAW_Data!S148)</f>
        <v/>
      </c>
      <c r="E158" s="167" t="str">
        <f>IF(ISBLANK(DaqBook_RAW_Data!T148),"",DaqBook_RAW_Data!T148)</f>
        <v/>
      </c>
      <c r="F158" s="167" t="str">
        <f>IF(ISBLANK(DaqBook_RAW_Data!U148),"",DaqBook_RAW_Data!U148)</f>
        <v/>
      </c>
      <c r="G158" s="167" t="str">
        <f>IF(ISBLANK(DaqBook_RAW_Data!V148),"",DaqBook_RAW_Data!V148)</f>
        <v/>
      </c>
      <c r="H158" s="167" t="str">
        <f>IF(ISBLANK(DaqBook_RAW_Data!W148),"",DaqBook_RAW_Data!W148)</f>
        <v/>
      </c>
      <c r="I158" s="167" t="str">
        <f>IF(ISBLANK(DaqBook_RAW_Data!X148),"",DaqBook_RAW_Data!X148)</f>
        <v/>
      </c>
      <c r="J158" s="167" t="str">
        <f>IF(ISBLANK(DaqBook_RAW_Data!Y148),"",DaqBook_RAW_Data!Y148)</f>
        <v/>
      </c>
      <c r="K158" s="167" t="str">
        <f>IF(ISBLANK(DaqBook_RAW_Data!Z148),"",DaqBook_RAW_Data!Z148)</f>
        <v/>
      </c>
      <c r="L158" s="167" t="str">
        <f>IF(ISBLANK(DaqBook_RAW_Data!AA148),"",DaqBook_RAW_Data!AA148)</f>
        <v/>
      </c>
      <c r="M158" s="167" t="str">
        <f>IF(ISBLANK(DaqBook_RAW_Data!AB148),"",DaqBook_RAW_Data!AB148)</f>
        <v/>
      </c>
      <c r="N158" s="167" t="str">
        <f>IF(ISBLANK(DaqBook_RAW_Data!AC148),"",DaqBook_RAW_Data!AC148)</f>
        <v/>
      </c>
      <c r="O158" s="167" t="str">
        <f>IF(ISBLANK(DaqBook_RAW_Data!AD148),"",DaqBook_RAW_Data!AD148)</f>
        <v/>
      </c>
      <c r="P158" s="167" t="str">
        <f>IF(ISBLANK(DaqBook_RAW_Data!AE148),"",DaqBook_RAW_Data!AE148)</f>
        <v/>
      </c>
    </row>
    <row r="159" spans="1:16" x14ac:dyDescent="0.2">
      <c r="A159" s="58" t="e">
        <f t="shared" si="2"/>
        <v>#VALUE!</v>
      </c>
      <c r="B159" s="144" t="str">
        <f>IF(ISBLANK(DaqBook_RAW_Data!Q149),IF(DaqBook_RAW_Data!A149="","",TIMEVALUE(DaqBook_RAW_Data!A149)),TIMEVALUE(DaqBook_RAW_Data!Q149))</f>
        <v/>
      </c>
      <c r="C159" s="167" t="str">
        <f>IF(ISBLANK(DaqBook_RAW_Data!R149),"",DaqBook_RAW_Data!R149)</f>
        <v/>
      </c>
      <c r="D159" s="167" t="str">
        <f>IF(ISBLANK(DaqBook_RAW_Data!S149),"",DaqBook_RAW_Data!S149)</f>
        <v/>
      </c>
      <c r="E159" s="167" t="str">
        <f>IF(ISBLANK(DaqBook_RAW_Data!T149),"",DaqBook_RAW_Data!T149)</f>
        <v/>
      </c>
      <c r="F159" s="167" t="str">
        <f>IF(ISBLANK(DaqBook_RAW_Data!U149),"",DaqBook_RAW_Data!U149)</f>
        <v/>
      </c>
      <c r="G159" s="167" t="str">
        <f>IF(ISBLANK(DaqBook_RAW_Data!V149),"",DaqBook_RAW_Data!V149)</f>
        <v/>
      </c>
      <c r="H159" s="167" t="str">
        <f>IF(ISBLANK(DaqBook_RAW_Data!W149),"",DaqBook_RAW_Data!W149)</f>
        <v/>
      </c>
      <c r="I159" s="167" t="str">
        <f>IF(ISBLANK(DaqBook_RAW_Data!X149),"",DaqBook_RAW_Data!X149)</f>
        <v/>
      </c>
      <c r="J159" s="167" t="str">
        <f>IF(ISBLANK(DaqBook_RAW_Data!Y149),"",DaqBook_RAW_Data!Y149)</f>
        <v/>
      </c>
      <c r="K159" s="167" t="str">
        <f>IF(ISBLANK(DaqBook_RAW_Data!Z149),"",DaqBook_RAW_Data!Z149)</f>
        <v/>
      </c>
      <c r="L159" s="167" t="str">
        <f>IF(ISBLANK(DaqBook_RAW_Data!AA149),"",DaqBook_RAW_Data!AA149)</f>
        <v/>
      </c>
      <c r="M159" s="167" t="str">
        <f>IF(ISBLANK(DaqBook_RAW_Data!AB149),"",DaqBook_RAW_Data!AB149)</f>
        <v/>
      </c>
      <c r="N159" s="167" t="str">
        <f>IF(ISBLANK(DaqBook_RAW_Data!AC149),"",DaqBook_RAW_Data!AC149)</f>
        <v/>
      </c>
      <c r="O159" s="167" t="str">
        <f>IF(ISBLANK(DaqBook_RAW_Data!AD149),"",DaqBook_RAW_Data!AD149)</f>
        <v/>
      </c>
      <c r="P159" s="167" t="str">
        <f>IF(ISBLANK(DaqBook_RAW_Data!AE149),"",DaqBook_RAW_Data!AE149)</f>
        <v/>
      </c>
    </row>
    <row r="160" spans="1:16" x14ac:dyDescent="0.2">
      <c r="A160" s="58" t="e">
        <f t="shared" si="2"/>
        <v>#VALUE!</v>
      </c>
      <c r="B160" s="144" t="str">
        <f>IF(ISBLANK(DaqBook_RAW_Data!Q150),IF(DaqBook_RAW_Data!A150="","",TIMEVALUE(DaqBook_RAW_Data!A150)),TIMEVALUE(DaqBook_RAW_Data!Q150))</f>
        <v/>
      </c>
      <c r="C160" s="167" t="str">
        <f>IF(ISBLANK(DaqBook_RAW_Data!R150),"",DaqBook_RAW_Data!R150)</f>
        <v/>
      </c>
      <c r="D160" s="167" t="str">
        <f>IF(ISBLANK(DaqBook_RAW_Data!S150),"",DaqBook_RAW_Data!S150)</f>
        <v/>
      </c>
      <c r="E160" s="167" t="str">
        <f>IF(ISBLANK(DaqBook_RAW_Data!T150),"",DaqBook_RAW_Data!T150)</f>
        <v/>
      </c>
      <c r="F160" s="167" t="str">
        <f>IF(ISBLANK(DaqBook_RAW_Data!U150),"",DaqBook_RAW_Data!U150)</f>
        <v/>
      </c>
      <c r="G160" s="167" t="str">
        <f>IF(ISBLANK(DaqBook_RAW_Data!V150),"",DaqBook_RAW_Data!V150)</f>
        <v/>
      </c>
      <c r="H160" s="167" t="str">
        <f>IF(ISBLANK(DaqBook_RAW_Data!W150),"",DaqBook_RAW_Data!W150)</f>
        <v/>
      </c>
      <c r="I160" s="167" t="str">
        <f>IF(ISBLANK(DaqBook_RAW_Data!X150),"",DaqBook_RAW_Data!X150)</f>
        <v/>
      </c>
      <c r="J160" s="167" t="str">
        <f>IF(ISBLANK(DaqBook_RAW_Data!Y150),"",DaqBook_RAW_Data!Y150)</f>
        <v/>
      </c>
      <c r="K160" s="167" t="str">
        <f>IF(ISBLANK(DaqBook_RAW_Data!Z150),"",DaqBook_RAW_Data!Z150)</f>
        <v/>
      </c>
      <c r="L160" s="167" t="str">
        <f>IF(ISBLANK(DaqBook_RAW_Data!AA150),"",DaqBook_RAW_Data!AA150)</f>
        <v/>
      </c>
      <c r="M160" s="167" t="str">
        <f>IF(ISBLANK(DaqBook_RAW_Data!AB150),"",DaqBook_RAW_Data!AB150)</f>
        <v/>
      </c>
      <c r="N160" s="167" t="str">
        <f>IF(ISBLANK(DaqBook_RAW_Data!AC150),"",DaqBook_RAW_Data!AC150)</f>
        <v/>
      </c>
      <c r="O160" s="167" t="str">
        <f>IF(ISBLANK(DaqBook_RAW_Data!AD150),"",DaqBook_RAW_Data!AD150)</f>
        <v/>
      </c>
      <c r="P160" s="167" t="str">
        <f>IF(ISBLANK(DaqBook_RAW_Data!AE150),"",DaqBook_RAW_Data!AE150)</f>
        <v/>
      </c>
    </row>
    <row r="161" spans="1:16" x14ac:dyDescent="0.2">
      <c r="A161" s="58" t="e">
        <f t="shared" si="2"/>
        <v>#VALUE!</v>
      </c>
      <c r="B161" s="144" t="str">
        <f>IF(ISBLANK(DaqBook_RAW_Data!Q151),IF(DaqBook_RAW_Data!A151="","",TIMEVALUE(DaqBook_RAW_Data!A151)),TIMEVALUE(DaqBook_RAW_Data!Q151))</f>
        <v/>
      </c>
      <c r="C161" s="167" t="str">
        <f>IF(ISBLANK(DaqBook_RAW_Data!R151),"",DaqBook_RAW_Data!R151)</f>
        <v/>
      </c>
      <c r="D161" s="167" t="str">
        <f>IF(ISBLANK(DaqBook_RAW_Data!S151),"",DaqBook_RAW_Data!S151)</f>
        <v/>
      </c>
      <c r="E161" s="167" t="str">
        <f>IF(ISBLANK(DaqBook_RAW_Data!T151),"",DaqBook_RAW_Data!T151)</f>
        <v/>
      </c>
      <c r="F161" s="167" t="str">
        <f>IF(ISBLANK(DaqBook_RAW_Data!U151),"",DaqBook_RAW_Data!U151)</f>
        <v/>
      </c>
      <c r="G161" s="167" t="str">
        <f>IF(ISBLANK(DaqBook_RAW_Data!V151),"",DaqBook_RAW_Data!V151)</f>
        <v/>
      </c>
      <c r="H161" s="167" t="str">
        <f>IF(ISBLANK(DaqBook_RAW_Data!W151),"",DaqBook_RAW_Data!W151)</f>
        <v/>
      </c>
      <c r="I161" s="167" t="str">
        <f>IF(ISBLANK(DaqBook_RAW_Data!X151),"",DaqBook_RAW_Data!X151)</f>
        <v/>
      </c>
      <c r="J161" s="167" t="str">
        <f>IF(ISBLANK(DaqBook_RAW_Data!Y151),"",DaqBook_RAW_Data!Y151)</f>
        <v/>
      </c>
      <c r="K161" s="167" t="str">
        <f>IF(ISBLANK(DaqBook_RAW_Data!Z151),"",DaqBook_RAW_Data!Z151)</f>
        <v/>
      </c>
      <c r="L161" s="167" t="str">
        <f>IF(ISBLANK(DaqBook_RAW_Data!AA151),"",DaqBook_RAW_Data!AA151)</f>
        <v/>
      </c>
      <c r="M161" s="167" t="str">
        <f>IF(ISBLANK(DaqBook_RAW_Data!AB151),"",DaqBook_RAW_Data!AB151)</f>
        <v/>
      </c>
      <c r="N161" s="167" t="str">
        <f>IF(ISBLANK(DaqBook_RAW_Data!AC151),"",DaqBook_RAW_Data!AC151)</f>
        <v/>
      </c>
      <c r="O161" s="167" t="str">
        <f>IF(ISBLANK(DaqBook_RAW_Data!AD151),"",DaqBook_RAW_Data!AD151)</f>
        <v/>
      </c>
      <c r="P161" s="167" t="str">
        <f>IF(ISBLANK(DaqBook_RAW_Data!AE151),"",DaqBook_RAW_Data!AE151)</f>
        <v/>
      </c>
    </row>
    <row r="162" spans="1:16" x14ac:dyDescent="0.2">
      <c r="A162" s="58" t="e">
        <f t="shared" si="2"/>
        <v>#VALUE!</v>
      </c>
      <c r="B162" s="144" t="str">
        <f>IF(ISBLANK(DaqBook_RAW_Data!Q152),IF(DaqBook_RAW_Data!A152="","",TIMEVALUE(DaqBook_RAW_Data!A152)),TIMEVALUE(DaqBook_RAW_Data!Q152))</f>
        <v/>
      </c>
      <c r="C162" s="167" t="str">
        <f>IF(ISBLANK(DaqBook_RAW_Data!R152),"",DaqBook_RAW_Data!R152)</f>
        <v/>
      </c>
      <c r="D162" s="167" t="str">
        <f>IF(ISBLANK(DaqBook_RAW_Data!S152),"",DaqBook_RAW_Data!S152)</f>
        <v/>
      </c>
      <c r="E162" s="167" t="str">
        <f>IF(ISBLANK(DaqBook_RAW_Data!T152),"",DaqBook_RAW_Data!T152)</f>
        <v/>
      </c>
      <c r="F162" s="167" t="str">
        <f>IF(ISBLANK(DaqBook_RAW_Data!U152),"",DaqBook_RAW_Data!U152)</f>
        <v/>
      </c>
      <c r="G162" s="167" t="str">
        <f>IF(ISBLANK(DaqBook_RAW_Data!V152),"",DaqBook_RAW_Data!V152)</f>
        <v/>
      </c>
      <c r="H162" s="167" t="str">
        <f>IF(ISBLANK(DaqBook_RAW_Data!W152),"",DaqBook_RAW_Data!W152)</f>
        <v/>
      </c>
      <c r="I162" s="167" t="str">
        <f>IF(ISBLANK(DaqBook_RAW_Data!X152),"",DaqBook_RAW_Data!X152)</f>
        <v/>
      </c>
      <c r="J162" s="167" t="str">
        <f>IF(ISBLANK(DaqBook_RAW_Data!Y152),"",DaqBook_RAW_Data!Y152)</f>
        <v/>
      </c>
      <c r="K162" s="167" t="str">
        <f>IF(ISBLANK(DaqBook_RAW_Data!Z152),"",DaqBook_RAW_Data!Z152)</f>
        <v/>
      </c>
      <c r="L162" s="167" t="str">
        <f>IF(ISBLANK(DaqBook_RAW_Data!AA152),"",DaqBook_RAW_Data!AA152)</f>
        <v/>
      </c>
      <c r="M162" s="167" t="str">
        <f>IF(ISBLANK(DaqBook_RAW_Data!AB152),"",DaqBook_RAW_Data!AB152)</f>
        <v/>
      </c>
      <c r="N162" s="167" t="str">
        <f>IF(ISBLANK(DaqBook_RAW_Data!AC152),"",DaqBook_RAW_Data!AC152)</f>
        <v/>
      </c>
      <c r="O162" s="167" t="str">
        <f>IF(ISBLANK(DaqBook_RAW_Data!AD152),"",DaqBook_RAW_Data!AD152)</f>
        <v/>
      </c>
      <c r="P162" s="167" t="str">
        <f>IF(ISBLANK(DaqBook_RAW_Data!AE152),"",DaqBook_RAW_Data!AE152)</f>
        <v/>
      </c>
    </row>
    <row r="163" spans="1:16" x14ac:dyDescent="0.2">
      <c r="A163" s="58" t="e">
        <f t="shared" si="2"/>
        <v>#VALUE!</v>
      </c>
      <c r="B163" s="144" t="str">
        <f>IF(ISBLANK(DaqBook_RAW_Data!Q153),IF(DaqBook_RAW_Data!A153="","",TIMEVALUE(DaqBook_RAW_Data!A153)),TIMEVALUE(DaqBook_RAW_Data!Q153))</f>
        <v/>
      </c>
      <c r="C163" s="167" t="str">
        <f>IF(ISBLANK(DaqBook_RAW_Data!R153),"",DaqBook_RAW_Data!R153)</f>
        <v/>
      </c>
      <c r="D163" s="167" t="str">
        <f>IF(ISBLANK(DaqBook_RAW_Data!S153),"",DaqBook_RAW_Data!S153)</f>
        <v/>
      </c>
      <c r="E163" s="167" t="str">
        <f>IF(ISBLANK(DaqBook_RAW_Data!T153),"",DaqBook_RAW_Data!T153)</f>
        <v/>
      </c>
      <c r="F163" s="167" t="str">
        <f>IF(ISBLANK(DaqBook_RAW_Data!U153),"",DaqBook_RAW_Data!U153)</f>
        <v/>
      </c>
      <c r="G163" s="167" t="str">
        <f>IF(ISBLANK(DaqBook_RAW_Data!V153),"",DaqBook_RAW_Data!V153)</f>
        <v/>
      </c>
      <c r="H163" s="167" t="str">
        <f>IF(ISBLANK(DaqBook_RAW_Data!W153),"",DaqBook_RAW_Data!W153)</f>
        <v/>
      </c>
      <c r="I163" s="167" t="str">
        <f>IF(ISBLANK(DaqBook_RAW_Data!X153),"",DaqBook_RAW_Data!X153)</f>
        <v/>
      </c>
      <c r="J163" s="167" t="str">
        <f>IF(ISBLANK(DaqBook_RAW_Data!Y153),"",DaqBook_RAW_Data!Y153)</f>
        <v/>
      </c>
      <c r="K163" s="167" t="str">
        <f>IF(ISBLANK(DaqBook_RAW_Data!Z153),"",DaqBook_RAW_Data!Z153)</f>
        <v/>
      </c>
      <c r="L163" s="167" t="str">
        <f>IF(ISBLANK(DaqBook_RAW_Data!AA153),"",DaqBook_RAW_Data!AA153)</f>
        <v/>
      </c>
      <c r="M163" s="167" t="str">
        <f>IF(ISBLANK(DaqBook_RAW_Data!AB153),"",DaqBook_RAW_Data!AB153)</f>
        <v/>
      </c>
      <c r="N163" s="167" t="str">
        <f>IF(ISBLANK(DaqBook_RAW_Data!AC153),"",DaqBook_RAW_Data!AC153)</f>
        <v/>
      </c>
      <c r="O163" s="167" t="str">
        <f>IF(ISBLANK(DaqBook_RAW_Data!AD153),"",DaqBook_RAW_Data!AD153)</f>
        <v/>
      </c>
      <c r="P163" s="167" t="str">
        <f>IF(ISBLANK(DaqBook_RAW_Data!AE153),"",DaqBook_RAW_Data!AE153)</f>
        <v/>
      </c>
    </row>
    <row r="164" spans="1:16" x14ac:dyDescent="0.2">
      <c r="A164" s="58" t="e">
        <f t="shared" si="2"/>
        <v>#VALUE!</v>
      </c>
      <c r="B164" s="144" t="str">
        <f>IF(ISBLANK(DaqBook_RAW_Data!Q154),IF(DaqBook_RAW_Data!A154="","",TIMEVALUE(DaqBook_RAW_Data!A154)),TIMEVALUE(DaqBook_RAW_Data!Q154))</f>
        <v/>
      </c>
      <c r="C164" s="167" t="str">
        <f>IF(ISBLANK(DaqBook_RAW_Data!R154),"",DaqBook_RAW_Data!R154)</f>
        <v/>
      </c>
      <c r="D164" s="167" t="str">
        <f>IF(ISBLANK(DaqBook_RAW_Data!S154),"",DaqBook_RAW_Data!S154)</f>
        <v/>
      </c>
      <c r="E164" s="167" t="str">
        <f>IF(ISBLANK(DaqBook_RAW_Data!T154),"",DaqBook_RAW_Data!T154)</f>
        <v/>
      </c>
      <c r="F164" s="167" t="str">
        <f>IF(ISBLANK(DaqBook_RAW_Data!U154),"",DaqBook_RAW_Data!U154)</f>
        <v/>
      </c>
      <c r="G164" s="167" t="str">
        <f>IF(ISBLANK(DaqBook_RAW_Data!V154),"",DaqBook_RAW_Data!V154)</f>
        <v/>
      </c>
      <c r="H164" s="167" t="str">
        <f>IF(ISBLANK(DaqBook_RAW_Data!W154),"",DaqBook_RAW_Data!W154)</f>
        <v/>
      </c>
      <c r="I164" s="167" t="str">
        <f>IF(ISBLANK(DaqBook_RAW_Data!X154),"",DaqBook_RAW_Data!X154)</f>
        <v/>
      </c>
      <c r="J164" s="167" t="str">
        <f>IF(ISBLANK(DaqBook_RAW_Data!Y154),"",DaqBook_RAW_Data!Y154)</f>
        <v/>
      </c>
      <c r="K164" s="167" t="str">
        <f>IF(ISBLANK(DaqBook_RAW_Data!Z154),"",DaqBook_RAW_Data!Z154)</f>
        <v/>
      </c>
      <c r="L164" s="167" t="str">
        <f>IF(ISBLANK(DaqBook_RAW_Data!AA154),"",DaqBook_RAW_Data!AA154)</f>
        <v/>
      </c>
      <c r="M164" s="167" t="str">
        <f>IF(ISBLANK(DaqBook_RAW_Data!AB154),"",DaqBook_RAW_Data!AB154)</f>
        <v/>
      </c>
      <c r="N164" s="167" t="str">
        <f>IF(ISBLANK(DaqBook_RAW_Data!AC154),"",DaqBook_RAW_Data!AC154)</f>
        <v/>
      </c>
      <c r="O164" s="167" t="str">
        <f>IF(ISBLANK(DaqBook_RAW_Data!AD154),"",DaqBook_RAW_Data!AD154)</f>
        <v/>
      </c>
      <c r="P164" s="167" t="str">
        <f>IF(ISBLANK(DaqBook_RAW_Data!AE154),"",DaqBook_RAW_Data!AE154)</f>
        <v/>
      </c>
    </row>
    <row r="165" spans="1:16" x14ac:dyDescent="0.2">
      <c r="A165" s="58" t="e">
        <f t="shared" si="2"/>
        <v>#VALUE!</v>
      </c>
      <c r="B165" s="144" t="str">
        <f>IF(ISBLANK(DaqBook_RAW_Data!Q155),IF(DaqBook_RAW_Data!A155="","",TIMEVALUE(DaqBook_RAW_Data!A155)),TIMEVALUE(DaqBook_RAW_Data!Q155))</f>
        <v/>
      </c>
      <c r="C165" s="167" t="str">
        <f>IF(ISBLANK(DaqBook_RAW_Data!R155),"",DaqBook_RAW_Data!R155)</f>
        <v/>
      </c>
      <c r="D165" s="167" t="str">
        <f>IF(ISBLANK(DaqBook_RAW_Data!S155),"",DaqBook_RAW_Data!S155)</f>
        <v/>
      </c>
      <c r="E165" s="167" t="str">
        <f>IF(ISBLANK(DaqBook_RAW_Data!T155),"",DaqBook_RAW_Data!T155)</f>
        <v/>
      </c>
      <c r="F165" s="167" t="str">
        <f>IF(ISBLANK(DaqBook_RAW_Data!U155),"",DaqBook_RAW_Data!U155)</f>
        <v/>
      </c>
      <c r="G165" s="167" t="str">
        <f>IF(ISBLANK(DaqBook_RAW_Data!V155),"",DaqBook_RAW_Data!V155)</f>
        <v/>
      </c>
      <c r="H165" s="167" t="str">
        <f>IF(ISBLANK(DaqBook_RAW_Data!W155),"",DaqBook_RAW_Data!W155)</f>
        <v/>
      </c>
      <c r="I165" s="167" t="str">
        <f>IF(ISBLANK(DaqBook_RAW_Data!X155),"",DaqBook_RAW_Data!X155)</f>
        <v/>
      </c>
      <c r="J165" s="167" t="str">
        <f>IF(ISBLANK(DaqBook_RAW_Data!Y155),"",DaqBook_RAW_Data!Y155)</f>
        <v/>
      </c>
      <c r="K165" s="167" t="str">
        <f>IF(ISBLANK(DaqBook_RAW_Data!Z155),"",DaqBook_RAW_Data!Z155)</f>
        <v/>
      </c>
      <c r="L165" s="167" t="str">
        <f>IF(ISBLANK(DaqBook_RAW_Data!AA155),"",DaqBook_RAW_Data!AA155)</f>
        <v/>
      </c>
      <c r="M165" s="167" t="str">
        <f>IF(ISBLANK(DaqBook_RAW_Data!AB155),"",DaqBook_RAW_Data!AB155)</f>
        <v/>
      </c>
      <c r="N165" s="167" t="str">
        <f>IF(ISBLANK(DaqBook_RAW_Data!AC155),"",DaqBook_RAW_Data!AC155)</f>
        <v/>
      </c>
      <c r="O165" s="167" t="str">
        <f>IF(ISBLANK(DaqBook_RAW_Data!AD155),"",DaqBook_RAW_Data!AD155)</f>
        <v/>
      </c>
      <c r="P165" s="167" t="str">
        <f>IF(ISBLANK(DaqBook_RAW_Data!AE155),"",DaqBook_RAW_Data!AE155)</f>
        <v/>
      </c>
    </row>
    <row r="166" spans="1:16" x14ac:dyDescent="0.2">
      <c r="A166" s="58" t="e">
        <f t="shared" si="2"/>
        <v>#VALUE!</v>
      </c>
      <c r="B166" s="144" t="str">
        <f>IF(ISBLANK(DaqBook_RAW_Data!Q156),IF(DaqBook_RAW_Data!A156="","",TIMEVALUE(DaqBook_RAW_Data!A156)),TIMEVALUE(DaqBook_RAW_Data!Q156))</f>
        <v/>
      </c>
      <c r="C166" s="167" t="str">
        <f>IF(ISBLANK(DaqBook_RAW_Data!R156),"",DaqBook_RAW_Data!R156)</f>
        <v/>
      </c>
      <c r="D166" s="167" t="str">
        <f>IF(ISBLANK(DaqBook_RAW_Data!S156),"",DaqBook_RAW_Data!S156)</f>
        <v/>
      </c>
      <c r="E166" s="167" t="str">
        <f>IF(ISBLANK(DaqBook_RAW_Data!T156),"",DaqBook_RAW_Data!T156)</f>
        <v/>
      </c>
      <c r="F166" s="167" t="str">
        <f>IF(ISBLANK(DaqBook_RAW_Data!U156),"",DaqBook_RAW_Data!U156)</f>
        <v/>
      </c>
      <c r="G166" s="167" t="str">
        <f>IF(ISBLANK(DaqBook_RAW_Data!V156),"",DaqBook_RAW_Data!V156)</f>
        <v/>
      </c>
      <c r="H166" s="167" t="str">
        <f>IF(ISBLANK(DaqBook_RAW_Data!W156),"",DaqBook_RAW_Data!W156)</f>
        <v/>
      </c>
      <c r="I166" s="167" t="str">
        <f>IF(ISBLANK(DaqBook_RAW_Data!X156),"",DaqBook_RAW_Data!X156)</f>
        <v/>
      </c>
      <c r="J166" s="167" t="str">
        <f>IF(ISBLANK(DaqBook_RAW_Data!Y156),"",DaqBook_RAW_Data!Y156)</f>
        <v/>
      </c>
      <c r="K166" s="167" t="str">
        <f>IF(ISBLANK(DaqBook_RAW_Data!Z156),"",DaqBook_RAW_Data!Z156)</f>
        <v/>
      </c>
      <c r="L166" s="167" t="str">
        <f>IF(ISBLANK(DaqBook_RAW_Data!AA156),"",DaqBook_RAW_Data!AA156)</f>
        <v/>
      </c>
      <c r="M166" s="167" t="str">
        <f>IF(ISBLANK(DaqBook_RAW_Data!AB156),"",DaqBook_RAW_Data!AB156)</f>
        <v/>
      </c>
      <c r="N166" s="167" t="str">
        <f>IF(ISBLANK(DaqBook_RAW_Data!AC156),"",DaqBook_RAW_Data!AC156)</f>
        <v/>
      </c>
      <c r="O166" s="167" t="str">
        <f>IF(ISBLANK(DaqBook_RAW_Data!AD156),"",DaqBook_RAW_Data!AD156)</f>
        <v/>
      </c>
      <c r="P166" s="167" t="str">
        <f>IF(ISBLANK(DaqBook_RAW_Data!AE156),"",DaqBook_RAW_Data!AE156)</f>
        <v/>
      </c>
    </row>
    <row r="167" spans="1:16" x14ac:dyDescent="0.2">
      <c r="A167" s="58" t="e">
        <f t="shared" si="2"/>
        <v>#VALUE!</v>
      </c>
      <c r="B167" s="144" t="str">
        <f>IF(ISBLANK(DaqBook_RAW_Data!Q157),IF(DaqBook_RAW_Data!A157="","",TIMEVALUE(DaqBook_RAW_Data!A157)),TIMEVALUE(DaqBook_RAW_Data!Q157))</f>
        <v/>
      </c>
      <c r="C167" s="167" t="str">
        <f>IF(ISBLANK(DaqBook_RAW_Data!R157),"",DaqBook_RAW_Data!R157)</f>
        <v/>
      </c>
      <c r="D167" s="167" t="str">
        <f>IF(ISBLANK(DaqBook_RAW_Data!S157),"",DaqBook_RAW_Data!S157)</f>
        <v/>
      </c>
      <c r="E167" s="167" t="str">
        <f>IF(ISBLANK(DaqBook_RAW_Data!T157),"",DaqBook_RAW_Data!T157)</f>
        <v/>
      </c>
      <c r="F167" s="167" t="str">
        <f>IF(ISBLANK(DaqBook_RAW_Data!U157),"",DaqBook_RAW_Data!U157)</f>
        <v/>
      </c>
      <c r="G167" s="167" t="str">
        <f>IF(ISBLANK(DaqBook_RAW_Data!V157),"",DaqBook_RAW_Data!V157)</f>
        <v/>
      </c>
      <c r="H167" s="167" t="str">
        <f>IF(ISBLANK(DaqBook_RAW_Data!W157),"",DaqBook_RAW_Data!W157)</f>
        <v/>
      </c>
      <c r="I167" s="167" t="str">
        <f>IF(ISBLANK(DaqBook_RAW_Data!X157),"",DaqBook_RAW_Data!X157)</f>
        <v/>
      </c>
      <c r="J167" s="167" t="str">
        <f>IF(ISBLANK(DaqBook_RAW_Data!Y157),"",DaqBook_RAW_Data!Y157)</f>
        <v/>
      </c>
      <c r="K167" s="167" t="str">
        <f>IF(ISBLANK(DaqBook_RAW_Data!Z157),"",DaqBook_RAW_Data!Z157)</f>
        <v/>
      </c>
      <c r="L167" s="167" t="str">
        <f>IF(ISBLANK(DaqBook_RAW_Data!AA157),"",DaqBook_RAW_Data!AA157)</f>
        <v/>
      </c>
      <c r="M167" s="167" t="str">
        <f>IF(ISBLANK(DaqBook_RAW_Data!AB157),"",DaqBook_RAW_Data!AB157)</f>
        <v/>
      </c>
      <c r="N167" s="167" t="str">
        <f>IF(ISBLANK(DaqBook_RAW_Data!AC157),"",DaqBook_RAW_Data!AC157)</f>
        <v/>
      </c>
      <c r="O167" s="167" t="str">
        <f>IF(ISBLANK(DaqBook_RAW_Data!AD157),"",DaqBook_RAW_Data!AD157)</f>
        <v/>
      </c>
      <c r="P167" s="167" t="str">
        <f>IF(ISBLANK(DaqBook_RAW_Data!AE157),"",DaqBook_RAW_Data!AE157)</f>
        <v/>
      </c>
    </row>
    <row r="168" spans="1:16" x14ac:dyDescent="0.2">
      <c r="A168" s="58" t="e">
        <f t="shared" si="2"/>
        <v>#VALUE!</v>
      </c>
      <c r="B168" s="144" t="str">
        <f>IF(ISBLANK(DaqBook_RAW_Data!Q158),IF(DaqBook_RAW_Data!A158="","",TIMEVALUE(DaqBook_RAW_Data!A158)),TIMEVALUE(DaqBook_RAW_Data!Q158))</f>
        <v/>
      </c>
      <c r="C168" s="167" t="str">
        <f>IF(ISBLANK(DaqBook_RAW_Data!R158),"",DaqBook_RAW_Data!R158)</f>
        <v/>
      </c>
      <c r="D168" s="167" t="str">
        <f>IF(ISBLANK(DaqBook_RAW_Data!S158),"",DaqBook_RAW_Data!S158)</f>
        <v/>
      </c>
      <c r="E168" s="167" t="str">
        <f>IF(ISBLANK(DaqBook_RAW_Data!T158),"",DaqBook_RAW_Data!T158)</f>
        <v/>
      </c>
      <c r="F168" s="167" t="str">
        <f>IF(ISBLANK(DaqBook_RAW_Data!U158),"",DaqBook_RAW_Data!U158)</f>
        <v/>
      </c>
      <c r="G168" s="167" t="str">
        <f>IF(ISBLANK(DaqBook_RAW_Data!V158),"",DaqBook_RAW_Data!V158)</f>
        <v/>
      </c>
      <c r="H168" s="167" t="str">
        <f>IF(ISBLANK(DaqBook_RAW_Data!W158),"",DaqBook_RAW_Data!W158)</f>
        <v/>
      </c>
      <c r="I168" s="167" t="str">
        <f>IF(ISBLANK(DaqBook_RAW_Data!X158),"",DaqBook_RAW_Data!X158)</f>
        <v/>
      </c>
      <c r="J168" s="167" t="str">
        <f>IF(ISBLANK(DaqBook_RAW_Data!Y158),"",DaqBook_RAW_Data!Y158)</f>
        <v/>
      </c>
      <c r="K168" s="167" t="str">
        <f>IF(ISBLANK(DaqBook_RAW_Data!Z158),"",DaqBook_RAW_Data!Z158)</f>
        <v/>
      </c>
      <c r="L168" s="167" t="str">
        <f>IF(ISBLANK(DaqBook_RAW_Data!AA158),"",DaqBook_RAW_Data!AA158)</f>
        <v/>
      </c>
      <c r="M168" s="167" t="str">
        <f>IF(ISBLANK(DaqBook_RAW_Data!AB158),"",DaqBook_RAW_Data!AB158)</f>
        <v/>
      </c>
      <c r="N168" s="167" t="str">
        <f>IF(ISBLANK(DaqBook_RAW_Data!AC158),"",DaqBook_RAW_Data!AC158)</f>
        <v/>
      </c>
      <c r="O168" s="167" t="str">
        <f>IF(ISBLANK(DaqBook_RAW_Data!AD158),"",DaqBook_RAW_Data!AD158)</f>
        <v/>
      </c>
      <c r="P168" s="167" t="str">
        <f>IF(ISBLANK(DaqBook_RAW_Data!AE158),"",DaqBook_RAW_Data!AE158)</f>
        <v/>
      </c>
    </row>
    <row r="169" spans="1:16" x14ac:dyDescent="0.2">
      <c r="A169" s="58" t="e">
        <f t="shared" si="2"/>
        <v>#VALUE!</v>
      </c>
      <c r="B169" s="144" t="str">
        <f>IF(ISBLANK(DaqBook_RAW_Data!Q159),IF(DaqBook_RAW_Data!A159="","",TIMEVALUE(DaqBook_RAW_Data!A159)),TIMEVALUE(DaqBook_RAW_Data!Q159))</f>
        <v/>
      </c>
      <c r="C169" s="167" t="str">
        <f>IF(ISBLANK(DaqBook_RAW_Data!R159),"",DaqBook_RAW_Data!R159)</f>
        <v/>
      </c>
      <c r="D169" s="167" t="str">
        <f>IF(ISBLANK(DaqBook_RAW_Data!S159),"",DaqBook_RAW_Data!S159)</f>
        <v/>
      </c>
      <c r="E169" s="167" t="str">
        <f>IF(ISBLANK(DaqBook_RAW_Data!T159),"",DaqBook_RAW_Data!T159)</f>
        <v/>
      </c>
      <c r="F169" s="167" t="str">
        <f>IF(ISBLANK(DaqBook_RAW_Data!U159),"",DaqBook_RAW_Data!U159)</f>
        <v/>
      </c>
      <c r="G169" s="167" t="str">
        <f>IF(ISBLANK(DaqBook_RAW_Data!V159),"",DaqBook_RAW_Data!V159)</f>
        <v/>
      </c>
      <c r="H169" s="167" t="str">
        <f>IF(ISBLANK(DaqBook_RAW_Data!W159),"",DaqBook_RAW_Data!W159)</f>
        <v/>
      </c>
      <c r="I169" s="167" t="str">
        <f>IF(ISBLANK(DaqBook_RAW_Data!X159),"",DaqBook_RAW_Data!X159)</f>
        <v/>
      </c>
      <c r="J169" s="167" t="str">
        <f>IF(ISBLANK(DaqBook_RAW_Data!Y159),"",DaqBook_RAW_Data!Y159)</f>
        <v/>
      </c>
      <c r="K169" s="167" t="str">
        <f>IF(ISBLANK(DaqBook_RAW_Data!Z159),"",DaqBook_RAW_Data!Z159)</f>
        <v/>
      </c>
      <c r="L169" s="167" t="str">
        <f>IF(ISBLANK(DaqBook_RAW_Data!AA159),"",DaqBook_RAW_Data!AA159)</f>
        <v/>
      </c>
      <c r="M169" s="167" t="str">
        <f>IF(ISBLANK(DaqBook_RAW_Data!AB159),"",DaqBook_RAW_Data!AB159)</f>
        <v/>
      </c>
      <c r="N169" s="167" t="str">
        <f>IF(ISBLANK(DaqBook_RAW_Data!AC159),"",DaqBook_RAW_Data!AC159)</f>
        <v/>
      </c>
      <c r="O169" s="167" t="str">
        <f>IF(ISBLANK(DaqBook_RAW_Data!AD159),"",DaqBook_RAW_Data!AD159)</f>
        <v/>
      </c>
      <c r="P169" s="167" t="str">
        <f>IF(ISBLANK(DaqBook_RAW_Data!AE159),"",DaqBook_RAW_Data!AE159)</f>
        <v/>
      </c>
    </row>
    <row r="170" spans="1:16" x14ac:dyDescent="0.2">
      <c r="A170" s="58" t="e">
        <f t="shared" si="2"/>
        <v>#VALUE!</v>
      </c>
      <c r="B170" s="144" t="str">
        <f>IF(ISBLANK(DaqBook_RAW_Data!Q160),IF(DaqBook_RAW_Data!A160="","",TIMEVALUE(DaqBook_RAW_Data!A160)),TIMEVALUE(DaqBook_RAW_Data!Q160))</f>
        <v/>
      </c>
      <c r="C170" s="167" t="str">
        <f>IF(ISBLANK(DaqBook_RAW_Data!R160),"",DaqBook_RAW_Data!R160)</f>
        <v/>
      </c>
      <c r="D170" s="167" t="str">
        <f>IF(ISBLANK(DaqBook_RAW_Data!S160),"",DaqBook_RAW_Data!S160)</f>
        <v/>
      </c>
      <c r="E170" s="167" t="str">
        <f>IF(ISBLANK(DaqBook_RAW_Data!T160),"",DaqBook_RAW_Data!T160)</f>
        <v/>
      </c>
      <c r="F170" s="167" t="str">
        <f>IF(ISBLANK(DaqBook_RAW_Data!U160),"",DaqBook_RAW_Data!U160)</f>
        <v/>
      </c>
      <c r="G170" s="167" t="str">
        <f>IF(ISBLANK(DaqBook_RAW_Data!V160),"",DaqBook_RAW_Data!V160)</f>
        <v/>
      </c>
      <c r="H170" s="167" t="str">
        <f>IF(ISBLANK(DaqBook_RAW_Data!W160),"",DaqBook_RAW_Data!W160)</f>
        <v/>
      </c>
      <c r="I170" s="167" t="str">
        <f>IF(ISBLANK(DaqBook_RAW_Data!X160),"",DaqBook_RAW_Data!X160)</f>
        <v/>
      </c>
      <c r="J170" s="167" t="str">
        <f>IF(ISBLANK(DaqBook_RAW_Data!Y160),"",DaqBook_RAW_Data!Y160)</f>
        <v/>
      </c>
      <c r="K170" s="167" t="str">
        <f>IF(ISBLANK(DaqBook_RAW_Data!Z160),"",DaqBook_RAW_Data!Z160)</f>
        <v/>
      </c>
      <c r="L170" s="167" t="str">
        <f>IF(ISBLANK(DaqBook_RAW_Data!AA160),"",DaqBook_RAW_Data!AA160)</f>
        <v/>
      </c>
      <c r="M170" s="167" t="str">
        <f>IF(ISBLANK(DaqBook_RAW_Data!AB160),"",DaqBook_RAW_Data!AB160)</f>
        <v/>
      </c>
      <c r="N170" s="167" t="str">
        <f>IF(ISBLANK(DaqBook_RAW_Data!AC160),"",DaqBook_RAW_Data!AC160)</f>
        <v/>
      </c>
      <c r="O170" s="167" t="str">
        <f>IF(ISBLANK(DaqBook_RAW_Data!AD160),"",DaqBook_RAW_Data!AD160)</f>
        <v/>
      </c>
      <c r="P170" s="167" t="str">
        <f>IF(ISBLANK(DaqBook_RAW_Data!AE160),"",DaqBook_RAW_Data!AE160)</f>
        <v/>
      </c>
    </row>
    <row r="171" spans="1:16" x14ac:dyDescent="0.2">
      <c r="A171" s="58" t="e">
        <f t="shared" si="2"/>
        <v>#VALUE!</v>
      </c>
      <c r="B171" s="144" t="str">
        <f>IF(ISBLANK(DaqBook_RAW_Data!Q161),IF(DaqBook_RAW_Data!A161="","",TIMEVALUE(DaqBook_RAW_Data!A161)),TIMEVALUE(DaqBook_RAW_Data!Q161))</f>
        <v/>
      </c>
      <c r="C171" s="167" t="str">
        <f>IF(ISBLANK(DaqBook_RAW_Data!R161),"",DaqBook_RAW_Data!R161)</f>
        <v/>
      </c>
      <c r="D171" s="167" t="str">
        <f>IF(ISBLANK(DaqBook_RAW_Data!S161),"",DaqBook_RAW_Data!S161)</f>
        <v/>
      </c>
      <c r="E171" s="167" t="str">
        <f>IF(ISBLANK(DaqBook_RAW_Data!T161),"",DaqBook_RAW_Data!T161)</f>
        <v/>
      </c>
      <c r="F171" s="167" t="str">
        <f>IF(ISBLANK(DaqBook_RAW_Data!U161),"",DaqBook_RAW_Data!U161)</f>
        <v/>
      </c>
      <c r="G171" s="167" t="str">
        <f>IF(ISBLANK(DaqBook_RAW_Data!V161),"",DaqBook_RAW_Data!V161)</f>
        <v/>
      </c>
      <c r="H171" s="167" t="str">
        <f>IF(ISBLANK(DaqBook_RAW_Data!W161),"",DaqBook_RAW_Data!W161)</f>
        <v/>
      </c>
      <c r="I171" s="167" t="str">
        <f>IF(ISBLANK(DaqBook_RAW_Data!X161),"",DaqBook_RAW_Data!X161)</f>
        <v/>
      </c>
      <c r="J171" s="167" t="str">
        <f>IF(ISBLANK(DaqBook_RAW_Data!Y161),"",DaqBook_RAW_Data!Y161)</f>
        <v/>
      </c>
      <c r="K171" s="167" t="str">
        <f>IF(ISBLANK(DaqBook_RAW_Data!Z161),"",DaqBook_RAW_Data!Z161)</f>
        <v/>
      </c>
      <c r="L171" s="167" t="str">
        <f>IF(ISBLANK(DaqBook_RAW_Data!AA161),"",DaqBook_RAW_Data!AA161)</f>
        <v/>
      </c>
      <c r="M171" s="167" t="str">
        <f>IF(ISBLANK(DaqBook_RAW_Data!AB161),"",DaqBook_RAW_Data!AB161)</f>
        <v/>
      </c>
      <c r="N171" s="167" t="str">
        <f>IF(ISBLANK(DaqBook_RAW_Data!AC161),"",DaqBook_RAW_Data!AC161)</f>
        <v/>
      </c>
      <c r="O171" s="167" t="str">
        <f>IF(ISBLANK(DaqBook_RAW_Data!AD161),"",DaqBook_RAW_Data!AD161)</f>
        <v/>
      </c>
      <c r="P171" s="167" t="str">
        <f>IF(ISBLANK(DaqBook_RAW_Data!AE161),"",DaqBook_RAW_Data!AE161)</f>
        <v/>
      </c>
    </row>
    <row r="172" spans="1:16" x14ac:dyDescent="0.2">
      <c r="A172" s="58" t="e">
        <f t="shared" si="2"/>
        <v>#VALUE!</v>
      </c>
      <c r="B172" s="144" t="str">
        <f>IF(ISBLANK(DaqBook_RAW_Data!Q162),IF(DaqBook_RAW_Data!A162="","",TIMEVALUE(DaqBook_RAW_Data!A162)),TIMEVALUE(DaqBook_RAW_Data!Q162))</f>
        <v/>
      </c>
      <c r="C172" s="167" t="str">
        <f>IF(ISBLANK(DaqBook_RAW_Data!R162),"",DaqBook_RAW_Data!R162)</f>
        <v/>
      </c>
      <c r="D172" s="167" t="str">
        <f>IF(ISBLANK(DaqBook_RAW_Data!S162),"",DaqBook_RAW_Data!S162)</f>
        <v/>
      </c>
      <c r="E172" s="167" t="str">
        <f>IF(ISBLANK(DaqBook_RAW_Data!T162),"",DaqBook_RAW_Data!T162)</f>
        <v/>
      </c>
      <c r="F172" s="167" t="str">
        <f>IF(ISBLANK(DaqBook_RAW_Data!U162),"",DaqBook_RAW_Data!U162)</f>
        <v/>
      </c>
      <c r="G172" s="167" t="str">
        <f>IF(ISBLANK(DaqBook_RAW_Data!V162),"",DaqBook_RAW_Data!V162)</f>
        <v/>
      </c>
      <c r="H172" s="167" t="str">
        <f>IF(ISBLANK(DaqBook_RAW_Data!W162),"",DaqBook_RAW_Data!W162)</f>
        <v/>
      </c>
      <c r="I172" s="167" t="str">
        <f>IF(ISBLANK(DaqBook_RAW_Data!X162),"",DaqBook_RAW_Data!X162)</f>
        <v/>
      </c>
      <c r="J172" s="167" t="str">
        <f>IF(ISBLANK(DaqBook_RAW_Data!Y162),"",DaqBook_RAW_Data!Y162)</f>
        <v/>
      </c>
      <c r="K172" s="167" t="str">
        <f>IF(ISBLANK(DaqBook_RAW_Data!Z162),"",DaqBook_RAW_Data!Z162)</f>
        <v/>
      </c>
      <c r="L172" s="167" t="str">
        <f>IF(ISBLANK(DaqBook_RAW_Data!AA162),"",DaqBook_RAW_Data!AA162)</f>
        <v/>
      </c>
      <c r="M172" s="167" t="str">
        <f>IF(ISBLANK(DaqBook_RAW_Data!AB162),"",DaqBook_RAW_Data!AB162)</f>
        <v/>
      </c>
      <c r="N172" s="167" t="str">
        <f>IF(ISBLANK(DaqBook_RAW_Data!AC162),"",DaqBook_RAW_Data!AC162)</f>
        <v/>
      </c>
      <c r="O172" s="167" t="str">
        <f>IF(ISBLANK(DaqBook_RAW_Data!AD162),"",DaqBook_RAW_Data!AD162)</f>
        <v/>
      </c>
      <c r="P172" s="167" t="str">
        <f>IF(ISBLANK(DaqBook_RAW_Data!AE162),"",DaqBook_RAW_Data!AE162)</f>
        <v/>
      </c>
    </row>
    <row r="173" spans="1:16" x14ac:dyDescent="0.2">
      <c r="A173" s="58" t="e">
        <f t="shared" si="2"/>
        <v>#VALUE!</v>
      </c>
      <c r="B173" s="144" t="str">
        <f>IF(ISBLANK(DaqBook_RAW_Data!Q163),IF(DaqBook_RAW_Data!A163="","",TIMEVALUE(DaqBook_RAW_Data!A163)),TIMEVALUE(DaqBook_RAW_Data!Q163))</f>
        <v/>
      </c>
      <c r="C173" s="167" t="str">
        <f>IF(ISBLANK(DaqBook_RAW_Data!R163),"",DaqBook_RAW_Data!R163)</f>
        <v/>
      </c>
      <c r="D173" s="167" t="str">
        <f>IF(ISBLANK(DaqBook_RAW_Data!S163),"",DaqBook_RAW_Data!S163)</f>
        <v/>
      </c>
      <c r="E173" s="167" t="str">
        <f>IF(ISBLANK(DaqBook_RAW_Data!T163),"",DaqBook_RAW_Data!T163)</f>
        <v/>
      </c>
      <c r="F173" s="167" t="str">
        <f>IF(ISBLANK(DaqBook_RAW_Data!U163),"",DaqBook_RAW_Data!U163)</f>
        <v/>
      </c>
      <c r="G173" s="167" t="str">
        <f>IF(ISBLANK(DaqBook_RAW_Data!V163),"",DaqBook_RAW_Data!V163)</f>
        <v/>
      </c>
      <c r="H173" s="167" t="str">
        <f>IF(ISBLANK(DaqBook_RAW_Data!W163),"",DaqBook_RAW_Data!W163)</f>
        <v/>
      </c>
      <c r="I173" s="167" t="str">
        <f>IF(ISBLANK(DaqBook_RAW_Data!X163),"",DaqBook_RAW_Data!X163)</f>
        <v/>
      </c>
      <c r="J173" s="167" t="str">
        <f>IF(ISBLANK(DaqBook_RAW_Data!Y163),"",DaqBook_RAW_Data!Y163)</f>
        <v/>
      </c>
      <c r="K173" s="167" t="str">
        <f>IF(ISBLANK(DaqBook_RAW_Data!Z163),"",DaqBook_RAW_Data!Z163)</f>
        <v/>
      </c>
      <c r="L173" s="167" t="str">
        <f>IF(ISBLANK(DaqBook_RAW_Data!AA163),"",DaqBook_RAW_Data!AA163)</f>
        <v/>
      </c>
      <c r="M173" s="167" t="str">
        <f>IF(ISBLANK(DaqBook_RAW_Data!AB163),"",DaqBook_RAW_Data!AB163)</f>
        <v/>
      </c>
      <c r="N173" s="167" t="str">
        <f>IF(ISBLANK(DaqBook_RAW_Data!AC163),"",DaqBook_RAW_Data!AC163)</f>
        <v/>
      </c>
      <c r="O173" s="167" t="str">
        <f>IF(ISBLANK(DaqBook_RAW_Data!AD163),"",DaqBook_RAW_Data!AD163)</f>
        <v/>
      </c>
      <c r="P173" s="167" t="str">
        <f>IF(ISBLANK(DaqBook_RAW_Data!AE163),"",DaqBook_RAW_Data!AE163)</f>
        <v/>
      </c>
    </row>
    <row r="174" spans="1:16" x14ac:dyDescent="0.2">
      <c r="A174" s="58" t="e">
        <f t="shared" si="2"/>
        <v>#VALUE!</v>
      </c>
      <c r="B174" s="144" t="str">
        <f>IF(ISBLANK(DaqBook_RAW_Data!Q164),IF(DaqBook_RAW_Data!A164="","",TIMEVALUE(DaqBook_RAW_Data!A164)),TIMEVALUE(DaqBook_RAW_Data!Q164))</f>
        <v/>
      </c>
      <c r="C174" s="167" t="str">
        <f>IF(ISBLANK(DaqBook_RAW_Data!R164),"",DaqBook_RAW_Data!R164)</f>
        <v/>
      </c>
      <c r="D174" s="167" t="str">
        <f>IF(ISBLANK(DaqBook_RAW_Data!S164),"",DaqBook_RAW_Data!S164)</f>
        <v/>
      </c>
      <c r="E174" s="167" t="str">
        <f>IF(ISBLANK(DaqBook_RAW_Data!T164),"",DaqBook_RAW_Data!T164)</f>
        <v/>
      </c>
      <c r="F174" s="167" t="str">
        <f>IF(ISBLANK(DaqBook_RAW_Data!U164),"",DaqBook_RAW_Data!U164)</f>
        <v/>
      </c>
      <c r="G174" s="167" t="str">
        <f>IF(ISBLANK(DaqBook_RAW_Data!V164),"",DaqBook_RAW_Data!V164)</f>
        <v/>
      </c>
      <c r="H174" s="167" t="str">
        <f>IF(ISBLANK(DaqBook_RAW_Data!W164),"",DaqBook_RAW_Data!W164)</f>
        <v/>
      </c>
      <c r="I174" s="167" t="str">
        <f>IF(ISBLANK(DaqBook_RAW_Data!X164),"",DaqBook_RAW_Data!X164)</f>
        <v/>
      </c>
      <c r="J174" s="167" t="str">
        <f>IF(ISBLANK(DaqBook_RAW_Data!Y164),"",DaqBook_RAW_Data!Y164)</f>
        <v/>
      </c>
      <c r="K174" s="167" t="str">
        <f>IF(ISBLANK(DaqBook_RAW_Data!Z164),"",DaqBook_RAW_Data!Z164)</f>
        <v/>
      </c>
      <c r="L174" s="167" t="str">
        <f>IF(ISBLANK(DaqBook_RAW_Data!AA164),"",DaqBook_RAW_Data!AA164)</f>
        <v/>
      </c>
      <c r="M174" s="167" t="str">
        <f>IF(ISBLANK(DaqBook_RAW_Data!AB164),"",DaqBook_RAW_Data!AB164)</f>
        <v/>
      </c>
      <c r="N174" s="167" t="str">
        <f>IF(ISBLANK(DaqBook_RAW_Data!AC164),"",DaqBook_RAW_Data!AC164)</f>
        <v/>
      </c>
      <c r="O174" s="167" t="str">
        <f>IF(ISBLANK(DaqBook_RAW_Data!AD164),"",DaqBook_RAW_Data!AD164)</f>
        <v/>
      </c>
      <c r="P174" s="167" t="str">
        <f>IF(ISBLANK(DaqBook_RAW_Data!AE164),"",DaqBook_RAW_Data!AE164)</f>
        <v/>
      </c>
    </row>
    <row r="175" spans="1:16" x14ac:dyDescent="0.2">
      <c r="A175" s="58" t="e">
        <f t="shared" si="2"/>
        <v>#VALUE!</v>
      </c>
      <c r="B175" s="144" t="str">
        <f>IF(ISBLANK(DaqBook_RAW_Data!Q165),IF(DaqBook_RAW_Data!A165="","",TIMEVALUE(DaqBook_RAW_Data!A165)),TIMEVALUE(DaqBook_RAW_Data!Q165))</f>
        <v/>
      </c>
      <c r="C175" s="167" t="str">
        <f>IF(ISBLANK(DaqBook_RAW_Data!R165),"",DaqBook_RAW_Data!R165)</f>
        <v/>
      </c>
      <c r="D175" s="167" t="str">
        <f>IF(ISBLANK(DaqBook_RAW_Data!S165),"",DaqBook_RAW_Data!S165)</f>
        <v/>
      </c>
      <c r="E175" s="167" t="str">
        <f>IF(ISBLANK(DaqBook_RAW_Data!T165),"",DaqBook_RAW_Data!T165)</f>
        <v/>
      </c>
      <c r="F175" s="167" t="str">
        <f>IF(ISBLANK(DaqBook_RAW_Data!U165),"",DaqBook_RAW_Data!U165)</f>
        <v/>
      </c>
      <c r="G175" s="167" t="str">
        <f>IF(ISBLANK(DaqBook_RAW_Data!V165),"",DaqBook_RAW_Data!V165)</f>
        <v/>
      </c>
      <c r="H175" s="167" t="str">
        <f>IF(ISBLANK(DaqBook_RAW_Data!W165),"",DaqBook_RAW_Data!W165)</f>
        <v/>
      </c>
      <c r="I175" s="167" t="str">
        <f>IF(ISBLANK(DaqBook_RAW_Data!X165),"",DaqBook_RAW_Data!X165)</f>
        <v/>
      </c>
      <c r="J175" s="167" t="str">
        <f>IF(ISBLANK(DaqBook_RAW_Data!Y165),"",DaqBook_RAW_Data!Y165)</f>
        <v/>
      </c>
      <c r="K175" s="167" t="str">
        <f>IF(ISBLANK(DaqBook_RAW_Data!Z165),"",DaqBook_RAW_Data!Z165)</f>
        <v/>
      </c>
      <c r="L175" s="167" t="str">
        <f>IF(ISBLANK(DaqBook_RAW_Data!AA165),"",DaqBook_RAW_Data!AA165)</f>
        <v/>
      </c>
      <c r="M175" s="167" t="str">
        <f>IF(ISBLANK(DaqBook_RAW_Data!AB165),"",DaqBook_RAW_Data!AB165)</f>
        <v/>
      </c>
      <c r="N175" s="167" t="str">
        <f>IF(ISBLANK(DaqBook_RAW_Data!AC165),"",DaqBook_RAW_Data!AC165)</f>
        <v/>
      </c>
      <c r="O175" s="167" t="str">
        <f>IF(ISBLANK(DaqBook_RAW_Data!AD165),"",DaqBook_RAW_Data!AD165)</f>
        <v/>
      </c>
      <c r="P175" s="167" t="str">
        <f>IF(ISBLANK(DaqBook_RAW_Data!AE165),"",DaqBook_RAW_Data!AE165)</f>
        <v/>
      </c>
    </row>
    <row r="176" spans="1:16" x14ac:dyDescent="0.2">
      <c r="A176" s="58" t="e">
        <f t="shared" si="2"/>
        <v>#VALUE!</v>
      </c>
      <c r="B176" s="144" t="str">
        <f>IF(ISBLANK(DaqBook_RAW_Data!Q166),IF(DaqBook_RAW_Data!A166="","",TIMEVALUE(DaqBook_RAW_Data!A166)),TIMEVALUE(DaqBook_RAW_Data!Q166))</f>
        <v/>
      </c>
      <c r="C176" s="167" t="str">
        <f>IF(ISBLANK(DaqBook_RAW_Data!R166),"",DaqBook_RAW_Data!R166)</f>
        <v/>
      </c>
      <c r="D176" s="167" t="str">
        <f>IF(ISBLANK(DaqBook_RAW_Data!S166),"",DaqBook_RAW_Data!S166)</f>
        <v/>
      </c>
      <c r="E176" s="167" t="str">
        <f>IF(ISBLANK(DaqBook_RAW_Data!T166),"",DaqBook_RAW_Data!T166)</f>
        <v/>
      </c>
      <c r="F176" s="167" t="str">
        <f>IF(ISBLANK(DaqBook_RAW_Data!U166),"",DaqBook_RAW_Data!U166)</f>
        <v/>
      </c>
      <c r="G176" s="167" t="str">
        <f>IF(ISBLANK(DaqBook_RAW_Data!V166),"",DaqBook_RAW_Data!V166)</f>
        <v/>
      </c>
      <c r="H176" s="167" t="str">
        <f>IF(ISBLANK(DaqBook_RAW_Data!W166),"",DaqBook_RAW_Data!W166)</f>
        <v/>
      </c>
      <c r="I176" s="167" t="str">
        <f>IF(ISBLANK(DaqBook_RAW_Data!X166),"",DaqBook_RAW_Data!X166)</f>
        <v/>
      </c>
      <c r="J176" s="167" t="str">
        <f>IF(ISBLANK(DaqBook_RAW_Data!Y166),"",DaqBook_RAW_Data!Y166)</f>
        <v/>
      </c>
      <c r="K176" s="167" t="str">
        <f>IF(ISBLANK(DaqBook_RAW_Data!Z166),"",DaqBook_RAW_Data!Z166)</f>
        <v/>
      </c>
      <c r="L176" s="167" t="str">
        <f>IF(ISBLANK(DaqBook_RAW_Data!AA166),"",DaqBook_RAW_Data!AA166)</f>
        <v/>
      </c>
      <c r="M176" s="167" t="str">
        <f>IF(ISBLANK(DaqBook_RAW_Data!AB166),"",DaqBook_RAW_Data!AB166)</f>
        <v/>
      </c>
      <c r="N176" s="167" t="str">
        <f>IF(ISBLANK(DaqBook_RAW_Data!AC166),"",DaqBook_RAW_Data!AC166)</f>
        <v/>
      </c>
      <c r="O176" s="167" t="str">
        <f>IF(ISBLANK(DaqBook_RAW_Data!AD166),"",DaqBook_RAW_Data!AD166)</f>
        <v/>
      </c>
      <c r="P176" s="167" t="str">
        <f>IF(ISBLANK(DaqBook_RAW_Data!AE166),"",DaqBook_RAW_Data!AE166)</f>
        <v/>
      </c>
    </row>
    <row r="177" spans="1:16" x14ac:dyDescent="0.2">
      <c r="A177" s="58" t="e">
        <f t="shared" si="2"/>
        <v>#VALUE!</v>
      </c>
      <c r="B177" s="144" t="str">
        <f>IF(ISBLANK(DaqBook_RAW_Data!Q167),IF(DaqBook_RAW_Data!A167="","",TIMEVALUE(DaqBook_RAW_Data!A167)),TIMEVALUE(DaqBook_RAW_Data!Q167))</f>
        <v/>
      </c>
      <c r="C177" s="167" t="str">
        <f>IF(ISBLANK(DaqBook_RAW_Data!R167),"",DaqBook_RAW_Data!R167)</f>
        <v/>
      </c>
      <c r="D177" s="167" t="str">
        <f>IF(ISBLANK(DaqBook_RAW_Data!S167),"",DaqBook_RAW_Data!S167)</f>
        <v/>
      </c>
      <c r="E177" s="167" t="str">
        <f>IF(ISBLANK(DaqBook_RAW_Data!T167),"",DaqBook_RAW_Data!T167)</f>
        <v/>
      </c>
      <c r="F177" s="167" t="str">
        <f>IF(ISBLANK(DaqBook_RAW_Data!U167),"",DaqBook_RAW_Data!U167)</f>
        <v/>
      </c>
      <c r="G177" s="167" t="str">
        <f>IF(ISBLANK(DaqBook_RAW_Data!V167),"",DaqBook_RAW_Data!V167)</f>
        <v/>
      </c>
      <c r="H177" s="167" t="str">
        <f>IF(ISBLANK(DaqBook_RAW_Data!W167),"",DaqBook_RAW_Data!W167)</f>
        <v/>
      </c>
      <c r="I177" s="167" t="str">
        <f>IF(ISBLANK(DaqBook_RAW_Data!X167),"",DaqBook_RAW_Data!X167)</f>
        <v/>
      </c>
      <c r="J177" s="167" t="str">
        <f>IF(ISBLANK(DaqBook_RAW_Data!Y167),"",DaqBook_RAW_Data!Y167)</f>
        <v/>
      </c>
      <c r="K177" s="167" t="str">
        <f>IF(ISBLANK(DaqBook_RAW_Data!Z167),"",DaqBook_RAW_Data!Z167)</f>
        <v/>
      </c>
      <c r="L177" s="167" t="str">
        <f>IF(ISBLANK(DaqBook_RAW_Data!AA167),"",DaqBook_RAW_Data!AA167)</f>
        <v/>
      </c>
      <c r="M177" s="167" t="str">
        <f>IF(ISBLANK(DaqBook_RAW_Data!AB167),"",DaqBook_RAW_Data!AB167)</f>
        <v/>
      </c>
      <c r="N177" s="167" t="str">
        <f>IF(ISBLANK(DaqBook_RAW_Data!AC167),"",DaqBook_RAW_Data!AC167)</f>
        <v/>
      </c>
      <c r="O177" s="167" t="str">
        <f>IF(ISBLANK(DaqBook_RAW_Data!AD167),"",DaqBook_RAW_Data!AD167)</f>
        <v/>
      </c>
      <c r="P177" s="167" t="str">
        <f>IF(ISBLANK(DaqBook_RAW_Data!AE167),"",DaqBook_RAW_Data!AE167)</f>
        <v/>
      </c>
    </row>
    <row r="178" spans="1:16" x14ac:dyDescent="0.2">
      <c r="A178" s="58" t="e">
        <f t="shared" si="2"/>
        <v>#VALUE!</v>
      </c>
      <c r="B178" s="144" t="str">
        <f>IF(ISBLANK(DaqBook_RAW_Data!Q168),IF(DaqBook_RAW_Data!A168="","",TIMEVALUE(DaqBook_RAW_Data!A168)),TIMEVALUE(DaqBook_RAW_Data!Q168))</f>
        <v/>
      </c>
      <c r="C178" s="167" t="str">
        <f>IF(ISBLANK(DaqBook_RAW_Data!R168),"",DaqBook_RAW_Data!R168)</f>
        <v/>
      </c>
      <c r="D178" s="167" t="str">
        <f>IF(ISBLANK(DaqBook_RAW_Data!S168),"",DaqBook_RAW_Data!S168)</f>
        <v/>
      </c>
      <c r="E178" s="167" t="str">
        <f>IF(ISBLANK(DaqBook_RAW_Data!T168),"",DaqBook_RAW_Data!T168)</f>
        <v/>
      </c>
      <c r="F178" s="167" t="str">
        <f>IF(ISBLANK(DaqBook_RAW_Data!U168),"",DaqBook_RAW_Data!U168)</f>
        <v/>
      </c>
      <c r="G178" s="167" t="str">
        <f>IF(ISBLANK(DaqBook_RAW_Data!V168),"",DaqBook_RAW_Data!V168)</f>
        <v/>
      </c>
      <c r="H178" s="167" t="str">
        <f>IF(ISBLANK(DaqBook_RAW_Data!W168),"",DaqBook_RAW_Data!W168)</f>
        <v/>
      </c>
      <c r="I178" s="167" t="str">
        <f>IF(ISBLANK(DaqBook_RAW_Data!X168),"",DaqBook_RAW_Data!X168)</f>
        <v/>
      </c>
      <c r="J178" s="167" t="str">
        <f>IF(ISBLANK(DaqBook_RAW_Data!Y168),"",DaqBook_RAW_Data!Y168)</f>
        <v/>
      </c>
      <c r="K178" s="167" t="str">
        <f>IF(ISBLANK(DaqBook_RAW_Data!Z168),"",DaqBook_RAW_Data!Z168)</f>
        <v/>
      </c>
      <c r="L178" s="167" t="str">
        <f>IF(ISBLANK(DaqBook_RAW_Data!AA168),"",DaqBook_RAW_Data!AA168)</f>
        <v/>
      </c>
      <c r="M178" s="167" t="str">
        <f>IF(ISBLANK(DaqBook_RAW_Data!AB168),"",DaqBook_RAW_Data!AB168)</f>
        <v/>
      </c>
      <c r="N178" s="167" t="str">
        <f>IF(ISBLANK(DaqBook_RAW_Data!AC168),"",DaqBook_RAW_Data!AC168)</f>
        <v/>
      </c>
      <c r="O178" s="167" t="str">
        <f>IF(ISBLANK(DaqBook_RAW_Data!AD168),"",DaqBook_RAW_Data!AD168)</f>
        <v/>
      </c>
      <c r="P178" s="167" t="str">
        <f>IF(ISBLANK(DaqBook_RAW_Data!AE168),"",DaqBook_RAW_Data!AE168)</f>
        <v/>
      </c>
    </row>
    <row r="179" spans="1:16" x14ac:dyDescent="0.2">
      <c r="A179" s="58" t="e">
        <f t="shared" si="2"/>
        <v>#VALUE!</v>
      </c>
      <c r="B179" s="144" t="str">
        <f>IF(ISBLANK(DaqBook_RAW_Data!Q169),IF(DaqBook_RAW_Data!A169="","",TIMEVALUE(DaqBook_RAW_Data!A169)),TIMEVALUE(DaqBook_RAW_Data!Q169))</f>
        <v/>
      </c>
      <c r="C179" s="167" t="str">
        <f>IF(ISBLANK(DaqBook_RAW_Data!R169),"",DaqBook_RAW_Data!R169)</f>
        <v/>
      </c>
      <c r="D179" s="167" t="str">
        <f>IF(ISBLANK(DaqBook_RAW_Data!S169),"",DaqBook_RAW_Data!S169)</f>
        <v/>
      </c>
      <c r="E179" s="167" t="str">
        <f>IF(ISBLANK(DaqBook_RAW_Data!T169),"",DaqBook_RAW_Data!T169)</f>
        <v/>
      </c>
      <c r="F179" s="167" t="str">
        <f>IF(ISBLANK(DaqBook_RAW_Data!U169),"",DaqBook_RAW_Data!U169)</f>
        <v/>
      </c>
      <c r="G179" s="167" t="str">
        <f>IF(ISBLANK(DaqBook_RAW_Data!V169),"",DaqBook_RAW_Data!V169)</f>
        <v/>
      </c>
      <c r="H179" s="167" t="str">
        <f>IF(ISBLANK(DaqBook_RAW_Data!W169),"",DaqBook_RAW_Data!W169)</f>
        <v/>
      </c>
      <c r="I179" s="167" t="str">
        <f>IF(ISBLANK(DaqBook_RAW_Data!X169),"",DaqBook_RAW_Data!X169)</f>
        <v/>
      </c>
      <c r="J179" s="167" t="str">
        <f>IF(ISBLANK(DaqBook_RAW_Data!Y169),"",DaqBook_RAW_Data!Y169)</f>
        <v/>
      </c>
      <c r="K179" s="167" t="str">
        <f>IF(ISBLANK(DaqBook_RAW_Data!Z169),"",DaqBook_RAW_Data!Z169)</f>
        <v/>
      </c>
      <c r="L179" s="167" t="str">
        <f>IF(ISBLANK(DaqBook_RAW_Data!AA169),"",DaqBook_RAW_Data!AA169)</f>
        <v/>
      </c>
      <c r="M179" s="167" t="str">
        <f>IF(ISBLANK(DaqBook_RAW_Data!AB169),"",DaqBook_RAW_Data!AB169)</f>
        <v/>
      </c>
      <c r="N179" s="167" t="str">
        <f>IF(ISBLANK(DaqBook_RAW_Data!AC169),"",DaqBook_RAW_Data!AC169)</f>
        <v/>
      </c>
      <c r="O179" s="167" t="str">
        <f>IF(ISBLANK(DaqBook_RAW_Data!AD169),"",DaqBook_RAW_Data!AD169)</f>
        <v/>
      </c>
      <c r="P179" s="167" t="str">
        <f>IF(ISBLANK(DaqBook_RAW_Data!AE169),"",DaqBook_RAW_Data!AE169)</f>
        <v/>
      </c>
    </row>
    <row r="180" spans="1:16" x14ac:dyDescent="0.2">
      <c r="A180" s="58" t="e">
        <f t="shared" si="2"/>
        <v>#VALUE!</v>
      </c>
      <c r="B180" s="144" t="str">
        <f>IF(ISBLANK(DaqBook_RAW_Data!Q170),IF(DaqBook_RAW_Data!A170="","",TIMEVALUE(DaqBook_RAW_Data!A170)),TIMEVALUE(DaqBook_RAW_Data!Q170))</f>
        <v/>
      </c>
      <c r="C180" s="167" t="str">
        <f>IF(ISBLANK(DaqBook_RAW_Data!R170),"",DaqBook_RAW_Data!R170)</f>
        <v/>
      </c>
      <c r="D180" s="167" t="str">
        <f>IF(ISBLANK(DaqBook_RAW_Data!S170),"",DaqBook_RAW_Data!S170)</f>
        <v/>
      </c>
      <c r="E180" s="167" t="str">
        <f>IF(ISBLANK(DaqBook_RAW_Data!T170),"",DaqBook_RAW_Data!T170)</f>
        <v/>
      </c>
      <c r="F180" s="167" t="str">
        <f>IF(ISBLANK(DaqBook_RAW_Data!U170),"",DaqBook_RAW_Data!U170)</f>
        <v/>
      </c>
      <c r="G180" s="167" t="str">
        <f>IF(ISBLANK(DaqBook_RAW_Data!V170),"",DaqBook_RAW_Data!V170)</f>
        <v/>
      </c>
      <c r="H180" s="167" t="str">
        <f>IF(ISBLANK(DaqBook_RAW_Data!W170),"",DaqBook_RAW_Data!W170)</f>
        <v/>
      </c>
      <c r="I180" s="167" t="str">
        <f>IF(ISBLANK(DaqBook_RAW_Data!X170),"",DaqBook_RAW_Data!X170)</f>
        <v/>
      </c>
      <c r="J180" s="167" t="str">
        <f>IF(ISBLANK(DaqBook_RAW_Data!Y170),"",DaqBook_RAW_Data!Y170)</f>
        <v/>
      </c>
      <c r="K180" s="167" t="str">
        <f>IF(ISBLANK(DaqBook_RAW_Data!Z170),"",DaqBook_RAW_Data!Z170)</f>
        <v/>
      </c>
      <c r="L180" s="167" t="str">
        <f>IF(ISBLANK(DaqBook_RAW_Data!AA170),"",DaqBook_RAW_Data!AA170)</f>
        <v/>
      </c>
      <c r="M180" s="167" t="str">
        <f>IF(ISBLANK(DaqBook_RAW_Data!AB170),"",DaqBook_RAW_Data!AB170)</f>
        <v/>
      </c>
      <c r="N180" s="167" t="str">
        <f>IF(ISBLANK(DaqBook_RAW_Data!AC170),"",DaqBook_RAW_Data!AC170)</f>
        <v/>
      </c>
      <c r="O180" s="167" t="str">
        <f>IF(ISBLANK(DaqBook_RAW_Data!AD170),"",DaqBook_RAW_Data!AD170)</f>
        <v/>
      </c>
      <c r="P180" s="167" t="str">
        <f>IF(ISBLANK(DaqBook_RAW_Data!AE170),"",DaqBook_RAW_Data!AE170)</f>
        <v/>
      </c>
    </row>
    <row r="181" spans="1:16" x14ac:dyDescent="0.2">
      <c r="A181" s="58" t="e">
        <f t="shared" si="2"/>
        <v>#VALUE!</v>
      </c>
      <c r="B181" s="144" t="str">
        <f>IF(ISBLANK(DaqBook_RAW_Data!Q171),IF(DaqBook_RAW_Data!A171="","",TIMEVALUE(DaqBook_RAW_Data!A171)),TIMEVALUE(DaqBook_RAW_Data!Q171))</f>
        <v/>
      </c>
      <c r="C181" s="167" t="str">
        <f>IF(ISBLANK(DaqBook_RAW_Data!R171),"",DaqBook_RAW_Data!R171)</f>
        <v/>
      </c>
      <c r="D181" s="167" t="str">
        <f>IF(ISBLANK(DaqBook_RAW_Data!S171),"",DaqBook_RAW_Data!S171)</f>
        <v/>
      </c>
      <c r="E181" s="167" t="str">
        <f>IF(ISBLANK(DaqBook_RAW_Data!T171),"",DaqBook_RAW_Data!T171)</f>
        <v/>
      </c>
      <c r="F181" s="167" t="str">
        <f>IF(ISBLANK(DaqBook_RAW_Data!U171),"",DaqBook_RAW_Data!U171)</f>
        <v/>
      </c>
      <c r="G181" s="167" t="str">
        <f>IF(ISBLANK(DaqBook_RAW_Data!V171),"",DaqBook_RAW_Data!V171)</f>
        <v/>
      </c>
      <c r="H181" s="167" t="str">
        <f>IF(ISBLANK(DaqBook_RAW_Data!W171),"",DaqBook_RAW_Data!W171)</f>
        <v/>
      </c>
      <c r="I181" s="167" t="str">
        <f>IF(ISBLANK(DaqBook_RAW_Data!X171),"",DaqBook_RAW_Data!X171)</f>
        <v/>
      </c>
      <c r="J181" s="167" t="str">
        <f>IF(ISBLANK(DaqBook_RAW_Data!Y171),"",DaqBook_RAW_Data!Y171)</f>
        <v/>
      </c>
      <c r="K181" s="167" t="str">
        <f>IF(ISBLANK(DaqBook_RAW_Data!Z171),"",DaqBook_RAW_Data!Z171)</f>
        <v/>
      </c>
      <c r="L181" s="167" t="str">
        <f>IF(ISBLANK(DaqBook_RAW_Data!AA171),"",DaqBook_RAW_Data!AA171)</f>
        <v/>
      </c>
      <c r="M181" s="167" t="str">
        <f>IF(ISBLANK(DaqBook_RAW_Data!AB171),"",DaqBook_RAW_Data!AB171)</f>
        <v/>
      </c>
      <c r="N181" s="167" t="str">
        <f>IF(ISBLANK(DaqBook_RAW_Data!AC171),"",DaqBook_RAW_Data!AC171)</f>
        <v/>
      </c>
      <c r="O181" s="167" t="str">
        <f>IF(ISBLANK(DaqBook_RAW_Data!AD171),"",DaqBook_RAW_Data!AD171)</f>
        <v/>
      </c>
      <c r="P181" s="167" t="str">
        <f>IF(ISBLANK(DaqBook_RAW_Data!AE171),"",DaqBook_RAW_Data!AE171)</f>
        <v/>
      </c>
    </row>
    <row r="182" spans="1:16" x14ac:dyDescent="0.2">
      <c r="A182" s="58" t="e">
        <f t="shared" si="2"/>
        <v>#VALUE!</v>
      </c>
      <c r="B182" s="144" t="str">
        <f>IF(ISBLANK(DaqBook_RAW_Data!Q172),IF(DaqBook_RAW_Data!A172="","",TIMEVALUE(DaqBook_RAW_Data!A172)),TIMEVALUE(DaqBook_RAW_Data!Q172))</f>
        <v/>
      </c>
      <c r="C182" s="167" t="str">
        <f>IF(ISBLANK(DaqBook_RAW_Data!R172),"",DaqBook_RAW_Data!R172)</f>
        <v/>
      </c>
      <c r="D182" s="167" t="str">
        <f>IF(ISBLANK(DaqBook_RAW_Data!S172),"",DaqBook_RAW_Data!S172)</f>
        <v/>
      </c>
      <c r="E182" s="167" t="str">
        <f>IF(ISBLANK(DaqBook_RAW_Data!T172),"",DaqBook_RAW_Data!T172)</f>
        <v/>
      </c>
      <c r="F182" s="167" t="str">
        <f>IF(ISBLANK(DaqBook_RAW_Data!U172),"",DaqBook_RAW_Data!U172)</f>
        <v/>
      </c>
      <c r="G182" s="167" t="str">
        <f>IF(ISBLANK(DaqBook_RAW_Data!V172),"",DaqBook_RAW_Data!V172)</f>
        <v/>
      </c>
      <c r="H182" s="167" t="str">
        <f>IF(ISBLANK(DaqBook_RAW_Data!W172),"",DaqBook_RAW_Data!W172)</f>
        <v/>
      </c>
      <c r="I182" s="167" t="str">
        <f>IF(ISBLANK(DaqBook_RAW_Data!X172),"",DaqBook_RAW_Data!X172)</f>
        <v/>
      </c>
      <c r="J182" s="167" t="str">
        <f>IF(ISBLANK(DaqBook_RAW_Data!Y172),"",DaqBook_RAW_Data!Y172)</f>
        <v/>
      </c>
      <c r="K182" s="167" t="str">
        <f>IF(ISBLANK(DaqBook_RAW_Data!Z172),"",DaqBook_RAW_Data!Z172)</f>
        <v/>
      </c>
      <c r="L182" s="167" t="str">
        <f>IF(ISBLANK(DaqBook_RAW_Data!AA172),"",DaqBook_RAW_Data!AA172)</f>
        <v/>
      </c>
      <c r="M182" s="167" t="str">
        <f>IF(ISBLANK(DaqBook_RAW_Data!AB172),"",DaqBook_RAW_Data!AB172)</f>
        <v/>
      </c>
      <c r="N182" s="167" t="str">
        <f>IF(ISBLANK(DaqBook_RAW_Data!AC172),"",DaqBook_RAW_Data!AC172)</f>
        <v/>
      </c>
      <c r="O182" s="167" t="str">
        <f>IF(ISBLANK(DaqBook_RAW_Data!AD172),"",DaqBook_RAW_Data!AD172)</f>
        <v/>
      </c>
      <c r="P182" s="167" t="str">
        <f>IF(ISBLANK(DaqBook_RAW_Data!AE172),"",DaqBook_RAW_Data!AE172)</f>
        <v/>
      </c>
    </row>
    <row r="183" spans="1:16" x14ac:dyDescent="0.2">
      <c r="A183" s="58" t="e">
        <f t="shared" si="2"/>
        <v>#VALUE!</v>
      </c>
      <c r="B183" s="144" t="str">
        <f>IF(ISBLANK(DaqBook_RAW_Data!Q173),IF(DaqBook_RAW_Data!A173="","",TIMEVALUE(DaqBook_RAW_Data!A173)),TIMEVALUE(DaqBook_RAW_Data!Q173))</f>
        <v/>
      </c>
      <c r="C183" s="167" t="str">
        <f>IF(ISBLANK(DaqBook_RAW_Data!R173),"",DaqBook_RAW_Data!R173)</f>
        <v/>
      </c>
      <c r="D183" s="167" t="str">
        <f>IF(ISBLANK(DaqBook_RAW_Data!S173),"",DaqBook_RAW_Data!S173)</f>
        <v/>
      </c>
      <c r="E183" s="167" t="str">
        <f>IF(ISBLANK(DaqBook_RAW_Data!T173),"",DaqBook_RAW_Data!T173)</f>
        <v/>
      </c>
      <c r="F183" s="167" t="str">
        <f>IF(ISBLANK(DaqBook_RAW_Data!U173),"",DaqBook_RAW_Data!U173)</f>
        <v/>
      </c>
      <c r="G183" s="167" t="str">
        <f>IF(ISBLANK(DaqBook_RAW_Data!V173),"",DaqBook_RAW_Data!V173)</f>
        <v/>
      </c>
      <c r="H183" s="167" t="str">
        <f>IF(ISBLANK(DaqBook_RAW_Data!W173),"",DaqBook_RAW_Data!W173)</f>
        <v/>
      </c>
      <c r="I183" s="167" t="str">
        <f>IF(ISBLANK(DaqBook_RAW_Data!X173),"",DaqBook_RAW_Data!X173)</f>
        <v/>
      </c>
      <c r="J183" s="167" t="str">
        <f>IF(ISBLANK(DaqBook_RAW_Data!Y173),"",DaqBook_RAW_Data!Y173)</f>
        <v/>
      </c>
      <c r="K183" s="167" t="str">
        <f>IF(ISBLANK(DaqBook_RAW_Data!Z173),"",DaqBook_RAW_Data!Z173)</f>
        <v/>
      </c>
      <c r="L183" s="167" t="str">
        <f>IF(ISBLANK(DaqBook_RAW_Data!AA173),"",DaqBook_RAW_Data!AA173)</f>
        <v/>
      </c>
      <c r="M183" s="167" t="str">
        <f>IF(ISBLANK(DaqBook_RAW_Data!AB173),"",DaqBook_RAW_Data!AB173)</f>
        <v/>
      </c>
      <c r="N183" s="167" t="str">
        <f>IF(ISBLANK(DaqBook_RAW_Data!AC173),"",DaqBook_RAW_Data!AC173)</f>
        <v/>
      </c>
      <c r="O183" s="167" t="str">
        <f>IF(ISBLANK(DaqBook_RAW_Data!AD173),"",DaqBook_RAW_Data!AD173)</f>
        <v/>
      </c>
      <c r="P183" s="167" t="str">
        <f>IF(ISBLANK(DaqBook_RAW_Data!AE173),"",DaqBook_RAW_Data!AE173)</f>
        <v/>
      </c>
    </row>
    <row r="184" spans="1:16" x14ac:dyDescent="0.2">
      <c r="A184" s="58" t="e">
        <f t="shared" si="2"/>
        <v>#VALUE!</v>
      </c>
      <c r="B184" s="144" t="str">
        <f>IF(ISBLANK(DaqBook_RAW_Data!Q174),IF(DaqBook_RAW_Data!A174="","",TIMEVALUE(DaqBook_RAW_Data!A174)),TIMEVALUE(DaqBook_RAW_Data!Q174))</f>
        <v/>
      </c>
      <c r="C184" s="167" t="str">
        <f>IF(ISBLANK(DaqBook_RAW_Data!R174),"",DaqBook_RAW_Data!R174)</f>
        <v/>
      </c>
      <c r="D184" s="167" t="str">
        <f>IF(ISBLANK(DaqBook_RAW_Data!S174),"",DaqBook_RAW_Data!S174)</f>
        <v/>
      </c>
      <c r="E184" s="167" t="str">
        <f>IF(ISBLANK(DaqBook_RAW_Data!T174),"",DaqBook_RAW_Data!T174)</f>
        <v/>
      </c>
      <c r="F184" s="167" t="str">
        <f>IF(ISBLANK(DaqBook_RAW_Data!U174),"",DaqBook_RAW_Data!U174)</f>
        <v/>
      </c>
      <c r="G184" s="167" t="str">
        <f>IF(ISBLANK(DaqBook_RAW_Data!V174),"",DaqBook_RAW_Data!V174)</f>
        <v/>
      </c>
      <c r="H184" s="167" t="str">
        <f>IF(ISBLANK(DaqBook_RAW_Data!W174),"",DaqBook_RAW_Data!W174)</f>
        <v/>
      </c>
      <c r="I184" s="167" t="str">
        <f>IF(ISBLANK(DaqBook_RAW_Data!X174),"",DaqBook_RAW_Data!X174)</f>
        <v/>
      </c>
      <c r="J184" s="167" t="str">
        <f>IF(ISBLANK(DaqBook_RAW_Data!Y174),"",DaqBook_RAW_Data!Y174)</f>
        <v/>
      </c>
      <c r="K184" s="167" t="str">
        <f>IF(ISBLANK(DaqBook_RAW_Data!Z174),"",DaqBook_RAW_Data!Z174)</f>
        <v/>
      </c>
      <c r="L184" s="167" t="str">
        <f>IF(ISBLANK(DaqBook_RAW_Data!AA174),"",DaqBook_RAW_Data!AA174)</f>
        <v/>
      </c>
      <c r="M184" s="167" t="str">
        <f>IF(ISBLANK(DaqBook_RAW_Data!AB174),"",DaqBook_RAW_Data!AB174)</f>
        <v/>
      </c>
      <c r="N184" s="167" t="str">
        <f>IF(ISBLANK(DaqBook_RAW_Data!AC174),"",DaqBook_RAW_Data!AC174)</f>
        <v/>
      </c>
      <c r="O184" s="167" t="str">
        <f>IF(ISBLANK(DaqBook_RAW_Data!AD174),"",DaqBook_RAW_Data!AD174)</f>
        <v/>
      </c>
      <c r="P184" s="167" t="str">
        <f>IF(ISBLANK(DaqBook_RAW_Data!AE174),"",DaqBook_RAW_Data!AE174)</f>
        <v/>
      </c>
    </row>
    <row r="185" spans="1:16" x14ac:dyDescent="0.2">
      <c r="A185" s="58" t="e">
        <f t="shared" si="2"/>
        <v>#VALUE!</v>
      </c>
      <c r="B185" s="144" t="str">
        <f>IF(ISBLANK(DaqBook_RAW_Data!Q175),IF(DaqBook_RAW_Data!A175="","",TIMEVALUE(DaqBook_RAW_Data!A175)),TIMEVALUE(DaqBook_RAW_Data!Q175))</f>
        <v/>
      </c>
      <c r="C185" s="167" t="str">
        <f>IF(ISBLANK(DaqBook_RAW_Data!R175),"",DaqBook_RAW_Data!R175)</f>
        <v/>
      </c>
      <c r="D185" s="167" t="str">
        <f>IF(ISBLANK(DaqBook_RAW_Data!S175),"",DaqBook_RAW_Data!S175)</f>
        <v/>
      </c>
      <c r="E185" s="167" t="str">
        <f>IF(ISBLANK(DaqBook_RAW_Data!T175),"",DaqBook_RAW_Data!T175)</f>
        <v/>
      </c>
      <c r="F185" s="167" t="str">
        <f>IF(ISBLANK(DaqBook_RAW_Data!U175),"",DaqBook_RAW_Data!U175)</f>
        <v/>
      </c>
      <c r="G185" s="167" t="str">
        <f>IF(ISBLANK(DaqBook_RAW_Data!V175),"",DaqBook_RAW_Data!V175)</f>
        <v/>
      </c>
      <c r="H185" s="167" t="str">
        <f>IF(ISBLANK(DaqBook_RAW_Data!W175),"",DaqBook_RAW_Data!W175)</f>
        <v/>
      </c>
      <c r="I185" s="167" t="str">
        <f>IF(ISBLANK(DaqBook_RAW_Data!X175),"",DaqBook_RAW_Data!X175)</f>
        <v/>
      </c>
      <c r="J185" s="167" t="str">
        <f>IF(ISBLANK(DaqBook_RAW_Data!Y175),"",DaqBook_RAW_Data!Y175)</f>
        <v/>
      </c>
      <c r="K185" s="167" t="str">
        <f>IF(ISBLANK(DaqBook_RAW_Data!Z175),"",DaqBook_RAW_Data!Z175)</f>
        <v/>
      </c>
      <c r="L185" s="167" t="str">
        <f>IF(ISBLANK(DaqBook_RAW_Data!AA175),"",DaqBook_RAW_Data!AA175)</f>
        <v/>
      </c>
      <c r="M185" s="167" t="str">
        <f>IF(ISBLANK(DaqBook_RAW_Data!AB175),"",DaqBook_RAW_Data!AB175)</f>
        <v/>
      </c>
      <c r="N185" s="167" t="str">
        <f>IF(ISBLANK(DaqBook_RAW_Data!AC175),"",DaqBook_RAW_Data!AC175)</f>
        <v/>
      </c>
      <c r="O185" s="167" t="str">
        <f>IF(ISBLANK(DaqBook_RAW_Data!AD175),"",DaqBook_RAW_Data!AD175)</f>
        <v/>
      </c>
      <c r="P185" s="167" t="str">
        <f>IF(ISBLANK(DaqBook_RAW_Data!AE175),"",DaqBook_RAW_Data!AE175)</f>
        <v/>
      </c>
    </row>
    <row r="186" spans="1:16" x14ac:dyDescent="0.2">
      <c r="A186" s="58" t="e">
        <f t="shared" si="2"/>
        <v>#VALUE!</v>
      </c>
      <c r="B186" s="144" t="str">
        <f>IF(ISBLANK(DaqBook_RAW_Data!Q176),IF(DaqBook_RAW_Data!A176="","",TIMEVALUE(DaqBook_RAW_Data!A176)),TIMEVALUE(DaqBook_RAW_Data!Q176))</f>
        <v/>
      </c>
      <c r="C186" s="167" t="str">
        <f>IF(ISBLANK(DaqBook_RAW_Data!R176),"",DaqBook_RAW_Data!R176)</f>
        <v/>
      </c>
      <c r="D186" s="167" t="str">
        <f>IF(ISBLANK(DaqBook_RAW_Data!S176),"",DaqBook_RAW_Data!S176)</f>
        <v/>
      </c>
      <c r="E186" s="167" t="str">
        <f>IF(ISBLANK(DaqBook_RAW_Data!T176),"",DaqBook_RAW_Data!T176)</f>
        <v/>
      </c>
      <c r="F186" s="167" t="str">
        <f>IF(ISBLANK(DaqBook_RAW_Data!U176),"",DaqBook_RAW_Data!U176)</f>
        <v/>
      </c>
      <c r="G186" s="167" t="str">
        <f>IF(ISBLANK(DaqBook_RAW_Data!V176),"",DaqBook_RAW_Data!V176)</f>
        <v/>
      </c>
      <c r="H186" s="167" t="str">
        <f>IF(ISBLANK(DaqBook_RAW_Data!W176),"",DaqBook_RAW_Data!W176)</f>
        <v/>
      </c>
      <c r="I186" s="167" t="str">
        <f>IF(ISBLANK(DaqBook_RAW_Data!X176),"",DaqBook_RAW_Data!X176)</f>
        <v/>
      </c>
      <c r="J186" s="167" t="str">
        <f>IF(ISBLANK(DaqBook_RAW_Data!Y176),"",DaqBook_RAW_Data!Y176)</f>
        <v/>
      </c>
      <c r="K186" s="167" t="str">
        <f>IF(ISBLANK(DaqBook_RAW_Data!Z176),"",DaqBook_RAW_Data!Z176)</f>
        <v/>
      </c>
      <c r="L186" s="167" t="str">
        <f>IF(ISBLANK(DaqBook_RAW_Data!AA176),"",DaqBook_RAW_Data!AA176)</f>
        <v/>
      </c>
      <c r="M186" s="167" t="str">
        <f>IF(ISBLANK(DaqBook_RAW_Data!AB176),"",DaqBook_RAW_Data!AB176)</f>
        <v/>
      </c>
      <c r="N186" s="167" t="str">
        <f>IF(ISBLANK(DaqBook_RAW_Data!AC176),"",DaqBook_RAW_Data!AC176)</f>
        <v/>
      </c>
      <c r="O186" s="167" t="str">
        <f>IF(ISBLANK(DaqBook_RAW_Data!AD176),"",DaqBook_RAW_Data!AD176)</f>
        <v/>
      </c>
      <c r="P186" s="167" t="str">
        <f>IF(ISBLANK(DaqBook_RAW_Data!AE176),"",DaqBook_RAW_Data!AE176)</f>
        <v/>
      </c>
    </row>
    <row r="187" spans="1:16" x14ac:dyDescent="0.2">
      <c r="A187" s="58" t="e">
        <f t="shared" si="2"/>
        <v>#VALUE!</v>
      </c>
      <c r="B187" s="144" t="str">
        <f>IF(ISBLANK(DaqBook_RAW_Data!Q177),IF(DaqBook_RAW_Data!A177="","",TIMEVALUE(DaqBook_RAW_Data!A177)),TIMEVALUE(DaqBook_RAW_Data!Q177))</f>
        <v/>
      </c>
      <c r="C187" s="167" t="str">
        <f>IF(ISBLANK(DaqBook_RAW_Data!R177),"",DaqBook_RAW_Data!R177)</f>
        <v/>
      </c>
      <c r="D187" s="167" t="str">
        <f>IF(ISBLANK(DaqBook_RAW_Data!S177),"",DaqBook_RAW_Data!S177)</f>
        <v/>
      </c>
      <c r="E187" s="167" t="str">
        <f>IF(ISBLANK(DaqBook_RAW_Data!T177),"",DaqBook_RAW_Data!T177)</f>
        <v/>
      </c>
      <c r="F187" s="167" t="str">
        <f>IF(ISBLANK(DaqBook_RAW_Data!U177),"",DaqBook_RAW_Data!U177)</f>
        <v/>
      </c>
      <c r="G187" s="167" t="str">
        <f>IF(ISBLANK(DaqBook_RAW_Data!V177),"",DaqBook_RAW_Data!V177)</f>
        <v/>
      </c>
      <c r="H187" s="167" t="str">
        <f>IF(ISBLANK(DaqBook_RAW_Data!W177),"",DaqBook_RAW_Data!W177)</f>
        <v/>
      </c>
      <c r="I187" s="167" t="str">
        <f>IF(ISBLANK(DaqBook_RAW_Data!X177),"",DaqBook_RAW_Data!X177)</f>
        <v/>
      </c>
      <c r="J187" s="167" t="str">
        <f>IF(ISBLANK(DaqBook_RAW_Data!Y177),"",DaqBook_RAW_Data!Y177)</f>
        <v/>
      </c>
      <c r="K187" s="167" t="str">
        <f>IF(ISBLANK(DaqBook_RAW_Data!Z177),"",DaqBook_RAW_Data!Z177)</f>
        <v/>
      </c>
      <c r="L187" s="167" t="str">
        <f>IF(ISBLANK(DaqBook_RAW_Data!AA177),"",DaqBook_RAW_Data!AA177)</f>
        <v/>
      </c>
      <c r="M187" s="167" t="str">
        <f>IF(ISBLANK(DaqBook_RAW_Data!AB177),"",DaqBook_RAW_Data!AB177)</f>
        <v/>
      </c>
      <c r="N187" s="167" t="str">
        <f>IF(ISBLANK(DaqBook_RAW_Data!AC177),"",DaqBook_RAW_Data!AC177)</f>
        <v/>
      </c>
      <c r="O187" s="167" t="str">
        <f>IF(ISBLANK(DaqBook_RAW_Data!AD177),"",DaqBook_RAW_Data!AD177)</f>
        <v/>
      </c>
      <c r="P187" s="167" t="str">
        <f>IF(ISBLANK(DaqBook_RAW_Data!AE177),"",DaqBook_RAW_Data!AE177)</f>
        <v/>
      </c>
    </row>
    <row r="188" spans="1:16" x14ac:dyDescent="0.2">
      <c r="A188" s="58" t="e">
        <f t="shared" si="2"/>
        <v>#VALUE!</v>
      </c>
      <c r="B188" s="144" t="str">
        <f>IF(ISBLANK(DaqBook_RAW_Data!Q178),IF(DaqBook_RAW_Data!A178="","",TIMEVALUE(DaqBook_RAW_Data!A178)),TIMEVALUE(DaqBook_RAW_Data!Q178))</f>
        <v/>
      </c>
      <c r="C188" s="167" t="str">
        <f>IF(ISBLANK(DaqBook_RAW_Data!R178),"",DaqBook_RAW_Data!R178)</f>
        <v/>
      </c>
      <c r="D188" s="167" t="str">
        <f>IF(ISBLANK(DaqBook_RAW_Data!S178),"",DaqBook_RAW_Data!S178)</f>
        <v/>
      </c>
      <c r="E188" s="167" t="str">
        <f>IF(ISBLANK(DaqBook_RAW_Data!T178),"",DaqBook_RAW_Data!T178)</f>
        <v/>
      </c>
      <c r="F188" s="167" t="str">
        <f>IF(ISBLANK(DaqBook_RAW_Data!U178),"",DaqBook_RAW_Data!U178)</f>
        <v/>
      </c>
      <c r="G188" s="167" t="str">
        <f>IF(ISBLANK(DaqBook_RAW_Data!V178),"",DaqBook_RAW_Data!V178)</f>
        <v/>
      </c>
      <c r="H188" s="167" t="str">
        <f>IF(ISBLANK(DaqBook_RAW_Data!W178),"",DaqBook_RAW_Data!W178)</f>
        <v/>
      </c>
      <c r="I188" s="167" t="str">
        <f>IF(ISBLANK(DaqBook_RAW_Data!X178),"",DaqBook_RAW_Data!X178)</f>
        <v/>
      </c>
      <c r="J188" s="167" t="str">
        <f>IF(ISBLANK(DaqBook_RAW_Data!Y178),"",DaqBook_RAW_Data!Y178)</f>
        <v/>
      </c>
      <c r="K188" s="167" t="str">
        <f>IF(ISBLANK(DaqBook_RAW_Data!Z178),"",DaqBook_RAW_Data!Z178)</f>
        <v/>
      </c>
      <c r="L188" s="167" t="str">
        <f>IF(ISBLANK(DaqBook_RAW_Data!AA178),"",DaqBook_RAW_Data!AA178)</f>
        <v/>
      </c>
      <c r="M188" s="167" t="str">
        <f>IF(ISBLANK(DaqBook_RAW_Data!AB178),"",DaqBook_RAW_Data!AB178)</f>
        <v/>
      </c>
      <c r="N188" s="167" t="str">
        <f>IF(ISBLANK(DaqBook_RAW_Data!AC178),"",DaqBook_RAW_Data!AC178)</f>
        <v/>
      </c>
      <c r="O188" s="167" t="str">
        <f>IF(ISBLANK(DaqBook_RAW_Data!AD178),"",DaqBook_RAW_Data!AD178)</f>
        <v/>
      </c>
      <c r="P188" s="167" t="str">
        <f>IF(ISBLANK(DaqBook_RAW_Data!AE178),"",DaqBook_RAW_Data!AE178)</f>
        <v/>
      </c>
    </row>
    <row r="189" spans="1:16" x14ac:dyDescent="0.2">
      <c r="A189" s="58" t="e">
        <f t="shared" si="2"/>
        <v>#VALUE!</v>
      </c>
      <c r="B189" s="144" t="str">
        <f>IF(ISBLANK(DaqBook_RAW_Data!Q179),IF(DaqBook_RAW_Data!A179="","",TIMEVALUE(DaqBook_RAW_Data!A179)),TIMEVALUE(DaqBook_RAW_Data!Q179))</f>
        <v/>
      </c>
      <c r="C189" s="167" t="str">
        <f>IF(ISBLANK(DaqBook_RAW_Data!R179),"",DaqBook_RAW_Data!R179)</f>
        <v/>
      </c>
      <c r="D189" s="167" t="str">
        <f>IF(ISBLANK(DaqBook_RAW_Data!S179),"",DaqBook_RAW_Data!S179)</f>
        <v/>
      </c>
      <c r="E189" s="167" t="str">
        <f>IF(ISBLANK(DaqBook_RAW_Data!T179),"",DaqBook_RAW_Data!T179)</f>
        <v/>
      </c>
      <c r="F189" s="167" t="str">
        <f>IF(ISBLANK(DaqBook_RAW_Data!U179),"",DaqBook_RAW_Data!U179)</f>
        <v/>
      </c>
      <c r="G189" s="167" t="str">
        <f>IF(ISBLANK(DaqBook_RAW_Data!V179),"",DaqBook_RAW_Data!V179)</f>
        <v/>
      </c>
      <c r="H189" s="167" t="str">
        <f>IF(ISBLANK(DaqBook_RAW_Data!W179),"",DaqBook_RAW_Data!W179)</f>
        <v/>
      </c>
      <c r="I189" s="167" t="str">
        <f>IF(ISBLANK(DaqBook_RAW_Data!X179),"",DaqBook_RAW_Data!X179)</f>
        <v/>
      </c>
      <c r="J189" s="167" t="str">
        <f>IF(ISBLANK(DaqBook_RAW_Data!Y179),"",DaqBook_RAW_Data!Y179)</f>
        <v/>
      </c>
      <c r="K189" s="167" t="str">
        <f>IF(ISBLANK(DaqBook_RAW_Data!Z179),"",DaqBook_RAW_Data!Z179)</f>
        <v/>
      </c>
      <c r="L189" s="167" t="str">
        <f>IF(ISBLANK(DaqBook_RAW_Data!AA179),"",DaqBook_RAW_Data!AA179)</f>
        <v/>
      </c>
      <c r="M189" s="167" t="str">
        <f>IF(ISBLANK(DaqBook_RAW_Data!AB179),"",DaqBook_RAW_Data!AB179)</f>
        <v/>
      </c>
      <c r="N189" s="167" t="str">
        <f>IF(ISBLANK(DaqBook_RAW_Data!AC179),"",DaqBook_RAW_Data!AC179)</f>
        <v/>
      </c>
      <c r="O189" s="167" t="str">
        <f>IF(ISBLANK(DaqBook_RAW_Data!AD179),"",DaqBook_RAW_Data!AD179)</f>
        <v/>
      </c>
      <c r="P189" s="167" t="str">
        <f>IF(ISBLANK(DaqBook_RAW_Data!AE179),"",DaqBook_RAW_Data!AE179)</f>
        <v/>
      </c>
    </row>
    <row r="190" spans="1:16" x14ac:dyDescent="0.2">
      <c r="A190" s="58" t="e">
        <f t="shared" si="2"/>
        <v>#VALUE!</v>
      </c>
      <c r="B190" s="144" t="str">
        <f>IF(ISBLANK(DaqBook_RAW_Data!Q180),IF(DaqBook_RAW_Data!A180="","",TIMEVALUE(DaqBook_RAW_Data!A180)),TIMEVALUE(DaqBook_RAW_Data!Q180))</f>
        <v/>
      </c>
      <c r="C190" s="167" t="str">
        <f>IF(ISBLANK(DaqBook_RAW_Data!R180),"",DaqBook_RAW_Data!R180)</f>
        <v/>
      </c>
      <c r="D190" s="167" t="str">
        <f>IF(ISBLANK(DaqBook_RAW_Data!S180),"",DaqBook_RAW_Data!S180)</f>
        <v/>
      </c>
      <c r="E190" s="167" t="str">
        <f>IF(ISBLANK(DaqBook_RAW_Data!T180),"",DaqBook_RAW_Data!T180)</f>
        <v/>
      </c>
      <c r="F190" s="167" t="str">
        <f>IF(ISBLANK(DaqBook_RAW_Data!U180),"",DaqBook_RAW_Data!U180)</f>
        <v/>
      </c>
      <c r="G190" s="167" t="str">
        <f>IF(ISBLANK(DaqBook_RAW_Data!V180),"",DaqBook_RAW_Data!V180)</f>
        <v/>
      </c>
      <c r="H190" s="167" t="str">
        <f>IF(ISBLANK(DaqBook_RAW_Data!W180),"",DaqBook_RAW_Data!W180)</f>
        <v/>
      </c>
      <c r="I190" s="167" t="str">
        <f>IF(ISBLANK(DaqBook_RAW_Data!X180),"",DaqBook_RAW_Data!X180)</f>
        <v/>
      </c>
      <c r="J190" s="167" t="str">
        <f>IF(ISBLANK(DaqBook_RAW_Data!Y180),"",DaqBook_RAW_Data!Y180)</f>
        <v/>
      </c>
      <c r="K190" s="167" t="str">
        <f>IF(ISBLANK(DaqBook_RAW_Data!Z180),"",DaqBook_RAW_Data!Z180)</f>
        <v/>
      </c>
      <c r="L190" s="167" t="str">
        <f>IF(ISBLANK(DaqBook_RAW_Data!AA180),"",DaqBook_RAW_Data!AA180)</f>
        <v/>
      </c>
      <c r="M190" s="167" t="str">
        <f>IF(ISBLANK(DaqBook_RAW_Data!AB180),"",DaqBook_RAW_Data!AB180)</f>
        <v/>
      </c>
      <c r="N190" s="167" t="str">
        <f>IF(ISBLANK(DaqBook_RAW_Data!AC180),"",DaqBook_RAW_Data!AC180)</f>
        <v/>
      </c>
      <c r="O190" s="167" t="str">
        <f>IF(ISBLANK(DaqBook_RAW_Data!AD180),"",DaqBook_RAW_Data!AD180)</f>
        <v/>
      </c>
      <c r="P190" s="167" t="str">
        <f>IF(ISBLANK(DaqBook_RAW_Data!AE180),"",DaqBook_RAW_Data!AE180)</f>
        <v/>
      </c>
    </row>
    <row r="191" spans="1:16" x14ac:dyDescent="0.2">
      <c r="A191" s="58" t="e">
        <f t="shared" si="2"/>
        <v>#VALUE!</v>
      </c>
      <c r="B191" s="144" t="str">
        <f>IF(ISBLANK(DaqBook_RAW_Data!Q181),IF(DaqBook_RAW_Data!A181="","",TIMEVALUE(DaqBook_RAW_Data!A181)),TIMEVALUE(DaqBook_RAW_Data!Q181))</f>
        <v/>
      </c>
      <c r="C191" s="167" t="str">
        <f>IF(ISBLANK(DaqBook_RAW_Data!R181),"",DaqBook_RAW_Data!R181)</f>
        <v/>
      </c>
      <c r="D191" s="167" t="str">
        <f>IF(ISBLANK(DaqBook_RAW_Data!S181),"",DaqBook_RAW_Data!S181)</f>
        <v/>
      </c>
      <c r="E191" s="167" t="str">
        <f>IF(ISBLANK(DaqBook_RAW_Data!T181),"",DaqBook_RAW_Data!T181)</f>
        <v/>
      </c>
      <c r="F191" s="167" t="str">
        <f>IF(ISBLANK(DaqBook_RAW_Data!U181),"",DaqBook_RAW_Data!U181)</f>
        <v/>
      </c>
      <c r="G191" s="167" t="str">
        <f>IF(ISBLANK(DaqBook_RAW_Data!V181),"",DaqBook_RAW_Data!V181)</f>
        <v/>
      </c>
      <c r="H191" s="167" t="str">
        <f>IF(ISBLANK(DaqBook_RAW_Data!W181),"",DaqBook_RAW_Data!W181)</f>
        <v/>
      </c>
      <c r="I191" s="167" t="str">
        <f>IF(ISBLANK(DaqBook_RAW_Data!X181),"",DaqBook_RAW_Data!X181)</f>
        <v/>
      </c>
      <c r="J191" s="167" t="str">
        <f>IF(ISBLANK(DaqBook_RAW_Data!Y181),"",DaqBook_RAW_Data!Y181)</f>
        <v/>
      </c>
      <c r="K191" s="167" t="str">
        <f>IF(ISBLANK(DaqBook_RAW_Data!Z181),"",DaqBook_RAW_Data!Z181)</f>
        <v/>
      </c>
      <c r="L191" s="167" t="str">
        <f>IF(ISBLANK(DaqBook_RAW_Data!AA181),"",DaqBook_RAW_Data!AA181)</f>
        <v/>
      </c>
      <c r="M191" s="167" t="str">
        <f>IF(ISBLANK(DaqBook_RAW_Data!AB181),"",DaqBook_RAW_Data!AB181)</f>
        <v/>
      </c>
      <c r="N191" s="167" t="str">
        <f>IF(ISBLANK(DaqBook_RAW_Data!AC181),"",DaqBook_RAW_Data!AC181)</f>
        <v/>
      </c>
      <c r="O191" s="167" t="str">
        <f>IF(ISBLANK(DaqBook_RAW_Data!AD181),"",DaqBook_RAW_Data!AD181)</f>
        <v/>
      </c>
      <c r="P191" s="167" t="str">
        <f>IF(ISBLANK(DaqBook_RAW_Data!AE181),"",DaqBook_RAW_Data!AE181)</f>
        <v/>
      </c>
    </row>
    <row r="192" spans="1:16" x14ac:dyDescent="0.2">
      <c r="A192" s="58" t="e">
        <f t="shared" si="2"/>
        <v>#VALUE!</v>
      </c>
      <c r="B192" s="144" t="str">
        <f>IF(ISBLANK(DaqBook_RAW_Data!Q182),IF(DaqBook_RAW_Data!A182="","",TIMEVALUE(DaqBook_RAW_Data!A182)),TIMEVALUE(DaqBook_RAW_Data!Q182))</f>
        <v/>
      </c>
      <c r="C192" s="167" t="str">
        <f>IF(ISBLANK(DaqBook_RAW_Data!R182),"",DaqBook_RAW_Data!R182)</f>
        <v/>
      </c>
      <c r="D192" s="167" t="str">
        <f>IF(ISBLANK(DaqBook_RAW_Data!S182),"",DaqBook_RAW_Data!S182)</f>
        <v/>
      </c>
      <c r="E192" s="167" t="str">
        <f>IF(ISBLANK(DaqBook_RAW_Data!T182),"",DaqBook_RAW_Data!T182)</f>
        <v/>
      </c>
      <c r="F192" s="167" t="str">
        <f>IF(ISBLANK(DaqBook_RAW_Data!U182),"",DaqBook_RAW_Data!U182)</f>
        <v/>
      </c>
      <c r="G192" s="167" t="str">
        <f>IF(ISBLANK(DaqBook_RAW_Data!V182),"",DaqBook_RAW_Data!V182)</f>
        <v/>
      </c>
      <c r="H192" s="167" t="str">
        <f>IF(ISBLANK(DaqBook_RAW_Data!W182),"",DaqBook_RAW_Data!W182)</f>
        <v/>
      </c>
      <c r="I192" s="167" t="str">
        <f>IF(ISBLANK(DaqBook_RAW_Data!X182),"",DaqBook_RAW_Data!X182)</f>
        <v/>
      </c>
      <c r="J192" s="167" t="str">
        <f>IF(ISBLANK(DaqBook_RAW_Data!Y182),"",DaqBook_RAW_Data!Y182)</f>
        <v/>
      </c>
      <c r="K192" s="167" t="str">
        <f>IF(ISBLANK(DaqBook_RAW_Data!Z182),"",DaqBook_RAW_Data!Z182)</f>
        <v/>
      </c>
      <c r="L192" s="167" t="str">
        <f>IF(ISBLANK(DaqBook_RAW_Data!AA182),"",DaqBook_RAW_Data!AA182)</f>
        <v/>
      </c>
      <c r="M192" s="167" t="str">
        <f>IF(ISBLANK(DaqBook_RAW_Data!AB182),"",DaqBook_RAW_Data!AB182)</f>
        <v/>
      </c>
      <c r="N192" s="167" t="str">
        <f>IF(ISBLANK(DaqBook_RAW_Data!AC182),"",DaqBook_RAW_Data!AC182)</f>
        <v/>
      </c>
      <c r="O192" s="167" t="str">
        <f>IF(ISBLANK(DaqBook_RAW_Data!AD182),"",DaqBook_RAW_Data!AD182)</f>
        <v/>
      </c>
      <c r="P192" s="167" t="str">
        <f>IF(ISBLANK(DaqBook_RAW_Data!AE182),"",DaqBook_RAW_Data!AE182)</f>
        <v/>
      </c>
    </row>
    <row r="193" spans="1:16" x14ac:dyDescent="0.2">
      <c r="A193" s="58" t="e">
        <f t="shared" si="2"/>
        <v>#VALUE!</v>
      </c>
      <c r="B193" s="144" t="str">
        <f>IF(ISBLANK(DaqBook_RAW_Data!Q183),IF(DaqBook_RAW_Data!A183="","",TIMEVALUE(DaqBook_RAW_Data!A183)),TIMEVALUE(DaqBook_RAW_Data!Q183))</f>
        <v/>
      </c>
      <c r="C193" s="167" t="str">
        <f>IF(ISBLANK(DaqBook_RAW_Data!R183),"",DaqBook_RAW_Data!R183)</f>
        <v/>
      </c>
      <c r="D193" s="167" t="str">
        <f>IF(ISBLANK(DaqBook_RAW_Data!S183),"",DaqBook_RAW_Data!S183)</f>
        <v/>
      </c>
      <c r="E193" s="167" t="str">
        <f>IF(ISBLANK(DaqBook_RAW_Data!T183),"",DaqBook_RAW_Data!T183)</f>
        <v/>
      </c>
      <c r="F193" s="167" t="str">
        <f>IF(ISBLANK(DaqBook_RAW_Data!U183),"",DaqBook_RAW_Data!U183)</f>
        <v/>
      </c>
      <c r="G193" s="167" t="str">
        <f>IF(ISBLANK(DaqBook_RAW_Data!V183),"",DaqBook_RAW_Data!V183)</f>
        <v/>
      </c>
      <c r="H193" s="167" t="str">
        <f>IF(ISBLANK(DaqBook_RAW_Data!W183),"",DaqBook_RAW_Data!W183)</f>
        <v/>
      </c>
      <c r="I193" s="167" t="str">
        <f>IF(ISBLANK(DaqBook_RAW_Data!X183),"",DaqBook_RAW_Data!X183)</f>
        <v/>
      </c>
      <c r="J193" s="167" t="str">
        <f>IF(ISBLANK(DaqBook_RAW_Data!Y183),"",DaqBook_RAW_Data!Y183)</f>
        <v/>
      </c>
      <c r="K193" s="167" t="str">
        <f>IF(ISBLANK(DaqBook_RAW_Data!Z183),"",DaqBook_RAW_Data!Z183)</f>
        <v/>
      </c>
      <c r="L193" s="167" t="str">
        <f>IF(ISBLANK(DaqBook_RAW_Data!AA183),"",DaqBook_RAW_Data!AA183)</f>
        <v/>
      </c>
      <c r="M193" s="167" t="str">
        <f>IF(ISBLANK(DaqBook_RAW_Data!AB183),"",DaqBook_RAW_Data!AB183)</f>
        <v/>
      </c>
      <c r="N193" s="167" t="str">
        <f>IF(ISBLANK(DaqBook_RAW_Data!AC183),"",DaqBook_RAW_Data!AC183)</f>
        <v/>
      </c>
      <c r="O193" s="167" t="str">
        <f>IF(ISBLANK(DaqBook_RAW_Data!AD183),"",DaqBook_RAW_Data!AD183)</f>
        <v/>
      </c>
      <c r="P193" s="167" t="str">
        <f>IF(ISBLANK(DaqBook_RAW_Data!AE183),"",DaqBook_RAW_Data!AE183)</f>
        <v/>
      </c>
    </row>
    <row r="194" spans="1:16" x14ac:dyDescent="0.2">
      <c r="A194" s="58" t="e">
        <f t="shared" si="2"/>
        <v>#VALUE!</v>
      </c>
      <c r="B194" s="144" t="str">
        <f>IF(ISBLANK(DaqBook_RAW_Data!Q184),IF(DaqBook_RAW_Data!A184="","",TIMEVALUE(DaqBook_RAW_Data!A184)),TIMEVALUE(DaqBook_RAW_Data!Q184))</f>
        <v/>
      </c>
      <c r="C194" s="167" t="str">
        <f>IF(ISBLANK(DaqBook_RAW_Data!R184),"",DaqBook_RAW_Data!R184)</f>
        <v/>
      </c>
      <c r="D194" s="167" t="str">
        <f>IF(ISBLANK(DaqBook_RAW_Data!S184),"",DaqBook_RAW_Data!S184)</f>
        <v/>
      </c>
      <c r="E194" s="167" t="str">
        <f>IF(ISBLANK(DaqBook_RAW_Data!T184),"",DaqBook_RAW_Data!T184)</f>
        <v/>
      </c>
      <c r="F194" s="167" t="str">
        <f>IF(ISBLANK(DaqBook_RAW_Data!U184),"",DaqBook_RAW_Data!U184)</f>
        <v/>
      </c>
      <c r="G194" s="167" t="str">
        <f>IF(ISBLANK(DaqBook_RAW_Data!V184),"",DaqBook_RAW_Data!V184)</f>
        <v/>
      </c>
      <c r="H194" s="167" t="str">
        <f>IF(ISBLANK(DaqBook_RAW_Data!W184),"",DaqBook_RAW_Data!W184)</f>
        <v/>
      </c>
      <c r="I194" s="167" t="str">
        <f>IF(ISBLANK(DaqBook_RAW_Data!X184),"",DaqBook_RAW_Data!X184)</f>
        <v/>
      </c>
      <c r="J194" s="167" t="str">
        <f>IF(ISBLANK(DaqBook_RAW_Data!Y184),"",DaqBook_RAW_Data!Y184)</f>
        <v/>
      </c>
      <c r="K194" s="167" t="str">
        <f>IF(ISBLANK(DaqBook_RAW_Data!Z184),"",DaqBook_RAW_Data!Z184)</f>
        <v/>
      </c>
      <c r="L194" s="167" t="str">
        <f>IF(ISBLANK(DaqBook_RAW_Data!AA184),"",DaqBook_RAW_Data!AA184)</f>
        <v/>
      </c>
      <c r="M194" s="167" t="str">
        <f>IF(ISBLANK(DaqBook_RAW_Data!AB184),"",DaqBook_RAW_Data!AB184)</f>
        <v/>
      </c>
      <c r="N194" s="167" t="str">
        <f>IF(ISBLANK(DaqBook_RAW_Data!AC184),"",DaqBook_RAW_Data!AC184)</f>
        <v/>
      </c>
      <c r="O194" s="167" t="str">
        <f>IF(ISBLANK(DaqBook_RAW_Data!AD184),"",DaqBook_RAW_Data!AD184)</f>
        <v/>
      </c>
      <c r="P194" s="167" t="str">
        <f>IF(ISBLANK(DaqBook_RAW_Data!AE184),"",DaqBook_RAW_Data!AE184)</f>
        <v/>
      </c>
    </row>
    <row r="195" spans="1:16" x14ac:dyDescent="0.2">
      <c r="A195" s="58" t="e">
        <f t="shared" si="2"/>
        <v>#VALUE!</v>
      </c>
      <c r="B195" s="144" t="str">
        <f>IF(ISBLANK(DaqBook_RAW_Data!Q185),IF(DaqBook_RAW_Data!A185="","",TIMEVALUE(DaqBook_RAW_Data!A185)),TIMEVALUE(DaqBook_RAW_Data!Q185))</f>
        <v/>
      </c>
      <c r="C195" s="167" t="str">
        <f>IF(ISBLANK(DaqBook_RAW_Data!R185),"",DaqBook_RAW_Data!R185)</f>
        <v/>
      </c>
      <c r="D195" s="167" t="str">
        <f>IF(ISBLANK(DaqBook_RAW_Data!S185),"",DaqBook_RAW_Data!S185)</f>
        <v/>
      </c>
      <c r="E195" s="167" t="str">
        <f>IF(ISBLANK(DaqBook_RAW_Data!T185),"",DaqBook_RAW_Data!T185)</f>
        <v/>
      </c>
      <c r="F195" s="167" t="str">
        <f>IF(ISBLANK(DaqBook_RAW_Data!U185),"",DaqBook_RAW_Data!U185)</f>
        <v/>
      </c>
      <c r="G195" s="167" t="str">
        <f>IF(ISBLANK(DaqBook_RAW_Data!V185),"",DaqBook_RAW_Data!V185)</f>
        <v/>
      </c>
      <c r="H195" s="167" t="str">
        <f>IF(ISBLANK(DaqBook_RAW_Data!W185),"",DaqBook_RAW_Data!W185)</f>
        <v/>
      </c>
      <c r="I195" s="167" t="str">
        <f>IF(ISBLANK(DaqBook_RAW_Data!X185),"",DaqBook_RAW_Data!X185)</f>
        <v/>
      </c>
      <c r="J195" s="167" t="str">
        <f>IF(ISBLANK(DaqBook_RAW_Data!Y185),"",DaqBook_RAW_Data!Y185)</f>
        <v/>
      </c>
      <c r="K195" s="167" t="str">
        <f>IF(ISBLANK(DaqBook_RAW_Data!Z185),"",DaqBook_RAW_Data!Z185)</f>
        <v/>
      </c>
      <c r="L195" s="167" t="str">
        <f>IF(ISBLANK(DaqBook_RAW_Data!AA185),"",DaqBook_RAW_Data!AA185)</f>
        <v/>
      </c>
      <c r="M195" s="167" t="str">
        <f>IF(ISBLANK(DaqBook_RAW_Data!AB185),"",DaqBook_RAW_Data!AB185)</f>
        <v/>
      </c>
      <c r="N195" s="167" t="str">
        <f>IF(ISBLANK(DaqBook_RAW_Data!AC185),"",DaqBook_RAW_Data!AC185)</f>
        <v/>
      </c>
      <c r="O195" s="167" t="str">
        <f>IF(ISBLANK(DaqBook_RAW_Data!AD185),"",DaqBook_RAW_Data!AD185)</f>
        <v/>
      </c>
      <c r="P195" s="167" t="str">
        <f>IF(ISBLANK(DaqBook_RAW_Data!AE185),"",DaqBook_RAW_Data!AE185)</f>
        <v/>
      </c>
    </row>
    <row r="196" spans="1:16" x14ac:dyDescent="0.2">
      <c r="A196" s="58" t="e">
        <f t="shared" si="2"/>
        <v>#VALUE!</v>
      </c>
      <c r="B196" s="144" t="str">
        <f>IF(ISBLANK(DaqBook_RAW_Data!Q186),IF(DaqBook_RAW_Data!A186="","",TIMEVALUE(DaqBook_RAW_Data!A186)),TIMEVALUE(DaqBook_RAW_Data!Q186))</f>
        <v/>
      </c>
      <c r="C196" s="167" t="str">
        <f>IF(ISBLANK(DaqBook_RAW_Data!R186),"",DaqBook_RAW_Data!R186)</f>
        <v/>
      </c>
      <c r="D196" s="167" t="str">
        <f>IF(ISBLANK(DaqBook_RAW_Data!S186),"",DaqBook_RAW_Data!S186)</f>
        <v/>
      </c>
      <c r="E196" s="167" t="str">
        <f>IF(ISBLANK(DaqBook_RAW_Data!T186),"",DaqBook_RAW_Data!T186)</f>
        <v/>
      </c>
      <c r="F196" s="167" t="str">
        <f>IF(ISBLANK(DaqBook_RAW_Data!U186),"",DaqBook_RAW_Data!U186)</f>
        <v/>
      </c>
      <c r="G196" s="167" t="str">
        <f>IF(ISBLANK(DaqBook_RAW_Data!V186),"",DaqBook_RAW_Data!V186)</f>
        <v/>
      </c>
      <c r="H196" s="167" t="str">
        <f>IF(ISBLANK(DaqBook_RAW_Data!W186),"",DaqBook_RAW_Data!W186)</f>
        <v/>
      </c>
      <c r="I196" s="167" t="str">
        <f>IF(ISBLANK(DaqBook_RAW_Data!X186),"",DaqBook_RAW_Data!X186)</f>
        <v/>
      </c>
      <c r="J196" s="167" t="str">
        <f>IF(ISBLANK(DaqBook_RAW_Data!Y186),"",DaqBook_RAW_Data!Y186)</f>
        <v/>
      </c>
      <c r="K196" s="167" t="str">
        <f>IF(ISBLANK(DaqBook_RAW_Data!Z186),"",DaqBook_RAW_Data!Z186)</f>
        <v/>
      </c>
      <c r="L196" s="167" t="str">
        <f>IF(ISBLANK(DaqBook_RAW_Data!AA186),"",DaqBook_RAW_Data!AA186)</f>
        <v/>
      </c>
      <c r="M196" s="167" t="str">
        <f>IF(ISBLANK(DaqBook_RAW_Data!AB186),"",DaqBook_RAW_Data!AB186)</f>
        <v/>
      </c>
      <c r="N196" s="167" t="str">
        <f>IF(ISBLANK(DaqBook_RAW_Data!AC186),"",DaqBook_RAW_Data!AC186)</f>
        <v/>
      </c>
      <c r="O196" s="167" t="str">
        <f>IF(ISBLANK(DaqBook_RAW_Data!AD186),"",DaqBook_RAW_Data!AD186)</f>
        <v/>
      </c>
      <c r="P196" s="167" t="str">
        <f>IF(ISBLANK(DaqBook_RAW_Data!AE186),"",DaqBook_RAW_Data!AE186)</f>
        <v/>
      </c>
    </row>
    <row r="197" spans="1:16" x14ac:dyDescent="0.2">
      <c r="A197" s="58" t="e">
        <f t="shared" si="2"/>
        <v>#VALUE!</v>
      </c>
      <c r="B197" s="144" t="str">
        <f>IF(ISBLANK(DaqBook_RAW_Data!Q187),IF(DaqBook_RAW_Data!A187="","",TIMEVALUE(DaqBook_RAW_Data!A187)),TIMEVALUE(DaqBook_RAW_Data!Q187))</f>
        <v/>
      </c>
      <c r="C197" s="167" t="str">
        <f>IF(ISBLANK(DaqBook_RAW_Data!R187),"",DaqBook_RAW_Data!R187)</f>
        <v/>
      </c>
      <c r="D197" s="167" t="str">
        <f>IF(ISBLANK(DaqBook_RAW_Data!S187),"",DaqBook_RAW_Data!S187)</f>
        <v/>
      </c>
      <c r="E197" s="167" t="str">
        <f>IF(ISBLANK(DaqBook_RAW_Data!T187),"",DaqBook_RAW_Data!T187)</f>
        <v/>
      </c>
      <c r="F197" s="167" t="str">
        <f>IF(ISBLANK(DaqBook_RAW_Data!U187),"",DaqBook_RAW_Data!U187)</f>
        <v/>
      </c>
      <c r="G197" s="167" t="str">
        <f>IF(ISBLANK(DaqBook_RAW_Data!V187),"",DaqBook_RAW_Data!V187)</f>
        <v/>
      </c>
      <c r="H197" s="167" t="str">
        <f>IF(ISBLANK(DaqBook_RAW_Data!W187),"",DaqBook_RAW_Data!W187)</f>
        <v/>
      </c>
      <c r="I197" s="167" t="str">
        <f>IF(ISBLANK(DaqBook_RAW_Data!X187),"",DaqBook_RAW_Data!X187)</f>
        <v/>
      </c>
      <c r="J197" s="167" t="str">
        <f>IF(ISBLANK(DaqBook_RAW_Data!Y187),"",DaqBook_RAW_Data!Y187)</f>
        <v/>
      </c>
      <c r="K197" s="167" t="str">
        <f>IF(ISBLANK(DaqBook_RAW_Data!Z187),"",DaqBook_RAW_Data!Z187)</f>
        <v/>
      </c>
      <c r="L197" s="167" t="str">
        <f>IF(ISBLANK(DaqBook_RAW_Data!AA187),"",DaqBook_RAW_Data!AA187)</f>
        <v/>
      </c>
      <c r="M197" s="167" t="str">
        <f>IF(ISBLANK(DaqBook_RAW_Data!AB187),"",DaqBook_RAW_Data!AB187)</f>
        <v/>
      </c>
      <c r="N197" s="167" t="str">
        <f>IF(ISBLANK(DaqBook_RAW_Data!AC187),"",DaqBook_RAW_Data!AC187)</f>
        <v/>
      </c>
      <c r="O197" s="167" t="str">
        <f>IF(ISBLANK(DaqBook_RAW_Data!AD187),"",DaqBook_RAW_Data!AD187)</f>
        <v/>
      </c>
      <c r="P197" s="167" t="str">
        <f>IF(ISBLANK(DaqBook_RAW_Data!AE187),"",DaqBook_RAW_Data!AE187)</f>
        <v/>
      </c>
    </row>
    <row r="198" spans="1:16" x14ac:dyDescent="0.2">
      <c r="A198" s="58" t="e">
        <f t="shared" si="2"/>
        <v>#VALUE!</v>
      </c>
      <c r="B198" s="144" t="str">
        <f>IF(ISBLANK(DaqBook_RAW_Data!Q188),IF(DaqBook_RAW_Data!A188="","",TIMEVALUE(DaqBook_RAW_Data!A188)),TIMEVALUE(DaqBook_RAW_Data!Q188))</f>
        <v/>
      </c>
      <c r="C198" s="167" t="str">
        <f>IF(ISBLANK(DaqBook_RAW_Data!R188),"",DaqBook_RAW_Data!R188)</f>
        <v/>
      </c>
      <c r="D198" s="167" t="str">
        <f>IF(ISBLANK(DaqBook_RAW_Data!S188),"",DaqBook_RAW_Data!S188)</f>
        <v/>
      </c>
      <c r="E198" s="167" t="str">
        <f>IF(ISBLANK(DaqBook_RAW_Data!T188),"",DaqBook_RAW_Data!T188)</f>
        <v/>
      </c>
      <c r="F198" s="167" t="str">
        <f>IF(ISBLANK(DaqBook_RAW_Data!U188),"",DaqBook_RAW_Data!U188)</f>
        <v/>
      </c>
      <c r="G198" s="167" t="str">
        <f>IF(ISBLANK(DaqBook_RAW_Data!V188),"",DaqBook_RAW_Data!V188)</f>
        <v/>
      </c>
      <c r="H198" s="167" t="str">
        <f>IF(ISBLANK(DaqBook_RAW_Data!W188),"",DaqBook_RAW_Data!W188)</f>
        <v/>
      </c>
      <c r="I198" s="167" t="str">
        <f>IF(ISBLANK(DaqBook_RAW_Data!X188),"",DaqBook_RAW_Data!X188)</f>
        <v/>
      </c>
      <c r="J198" s="167" t="str">
        <f>IF(ISBLANK(DaqBook_RAW_Data!Y188),"",DaqBook_RAW_Data!Y188)</f>
        <v/>
      </c>
      <c r="K198" s="167" t="str">
        <f>IF(ISBLANK(DaqBook_RAW_Data!Z188),"",DaqBook_RAW_Data!Z188)</f>
        <v/>
      </c>
      <c r="L198" s="167" t="str">
        <f>IF(ISBLANK(DaqBook_RAW_Data!AA188),"",DaqBook_RAW_Data!AA188)</f>
        <v/>
      </c>
      <c r="M198" s="167" t="str">
        <f>IF(ISBLANK(DaqBook_RAW_Data!AB188),"",DaqBook_RAW_Data!AB188)</f>
        <v/>
      </c>
      <c r="N198" s="167" t="str">
        <f>IF(ISBLANK(DaqBook_RAW_Data!AC188),"",DaqBook_RAW_Data!AC188)</f>
        <v/>
      </c>
      <c r="O198" s="167" t="str">
        <f>IF(ISBLANK(DaqBook_RAW_Data!AD188),"",DaqBook_RAW_Data!AD188)</f>
        <v/>
      </c>
      <c r="P198" s="167" t="str">
        <f>IF(ISBLANK(DaqBook_RAW_Data!AE188),"",DaqBook_RAW_Data!AE188)</f>
        <v/>
      </c>
    </row>
    <row r="199" spans="1:16" x14ac:dyDescent="0.2">
      <c r="A199" s="58" t="e">
        <f t="shared" si="2"/>
        <v>#VALUE!</v>
      </c>
      <c r="B199" s="144" t="str">
        <f>IF(ISBLANK(DaqBook_RAW_Data!Q189),IF(DaqBook_RAW_Data!A189="","",TIMEVALUE(DaqBook_RAW_Data!A189)),TIMEVALUE(DaqBook_RAW_Data!Q189))</f>
        <v/>
      </c>
      <c r="C199" s="167" t="str">
        <f>IF(ISBLANK(DaqBook_RAW_Data!R189),"",DaqBook_RAW_Data!R189)</f>
        <v/>
      </c>
      <c r="D199" s="167" t="str">
        <f>IF(ISBLANK(DaqBook_RAW_Data!S189),"",DaqBook_RAW_Data!S189)</f>
        <v/>
      </c>
      <c r="E199" s="167" t="str">
        <f>IF(ISBLANK(DaqBook_RAW_Data!T189),"",DaqBook_RAW_Data!T189)</f>
        <v/>
      </c>
      <c r="F199" s="167" t="str">
        <f>IF(ISBLANK(DaqBook_RAW_Data!U189),"",DaqBook_RAW_Data!U189)</f>
        <v/>
      </c>
      <c r="G199" s="167" t="str">
        <f>IF(ISBLANK(DaqBook_RAW_Data!V189),"",DaqBook_RAW_Data!V189)</f>
        <v/>
      </c>
      <c r="H199" s="167" t="str">
        <f>IF(ISBLANK(DaqBook_RAW_Data!W189),"",DaqBook_RAW_Data!W189)</f>
        <v/>
      </c>
      <c r="I199" s="167" t="str">
        <f>IF(ISBLANK(DaqBook_RAW_Data!X189),"",DaqBook_RAW_Data!X189)</f>
        <v/>
      </c>
      <c r="J199" s="167" t="str">
        <f>IF(ISBLANK(DaqBook_RAW_Data!Y189),"",DaqBook_RAW_Data!Y189)</f>
        <v/>
      </c>
      <c r="K199" s="167" t="str">
        <f>IF(ISBLANK(DaqBook_RAW_Data!Z189),"",DaqBook_RAW_Data!Z189)</f>
        <v/>
      </c>
      <c r="L199" s="167" t="str">
        <f>IF(ISBLANK(DaqBook_RAW_Data!AA189),"",DaqBook_RAW_Data!AA189)</f>
        <v/>
      </c>
      <c r="M199" s="167" t="str">
        <f>IF(ISBLANK(DaqBook_RAW_Data!AB189),"",DaqBook_RAW_Data!AB189)</f>
        <v/>
      </c>
      <c r="N199" s="167" t="str">
        <f>IF(ISBLANK(DaqBook_RAW_Data!AC189),"",DaqBook_RAW_Data!AC189)</f>
        <v/>
      </c>
      <c r="O199" s="167" t="str">
        <f>IF(ISBLANK(DaqBook_RAW_Data!AD189),"",DaqBook_RAW_Data!AD189)</f>
        <v/>
      </c>
      <c r="P199" s="167" t="str">
        <f>IF(ISBLANK(DaqBook_RAW_Data!AE189),"",DaqBook_RAW_Data!AE189)</f>
        <v/>
      </c>
    </row>
    <row r="200" spans="1:16" x14ac:dyDescent="0.2">
      <c r="A200" s="58" t="e">
        <f t="shared" si="2"/>
        <v>#VALUE!</v>
      </c>
      <c r="B200" s="144" t="str">
        <f>IF(ISBLANK(DaqBook_RAW_Data!Q190),IF(DaqBook_RAW_Data!A190="","",TIMEVALUE(DaqBook_RAW_Data!A190)),TIMEVALUE(DaqBook_RAW_Data!Q190))</f>
        <v/>
      </c>
      <c r="C200" s="167" t="str">
        <f>IF(ISBLANK(DaqBook_RAW_Data!R190),"",DaqBook_RAW_Data!R190)</f>
        <v/>
      </c>
      <c r="D200" s="167" t="str">
        <f>IF(ISBLANK(DaqBook_RAW_Data!S190),"",DaqBook_RAW_Data!S190)</f>
        <v/>
      </c>
      <c r="E200" s="167" t="str">
        <f>IF(ISBLANK(DaqBook_RAW_Data!T190),"",DaqBook_RAW_Data!T190)</f>
        <v/>
      </c>
      <c r="F200" s="167" t="str">
        <f>IF(ISBLANK(DaqBook_RAW_Data!U190),"",DaqBook_RAW_Data!U190)</f>
        <v/>
      </c>
      <c r="G200" s="167" t="str">
        <f>IF(ISBLANK(DaqBook_RAW_Data!V190),"",DaqBook_RAW_Data!V190)</f>
        <v/>
      </c>
      <c r="H200" s="167" t="str">
        <f>IF(ISBLANK(DaqBook_RAW_Data!W190),"",DaqBook_RAW_Data!W190)</f>
        <v/>
      </c>
      <c r="I200" s="167" t="str">
        <f>IF(ISBLANK(DaqBook_RAW_Data!X190),"",DaqBook_RAW_Data!X190)</f>
        <v/>
      </c>
      <c r="J200" s="167" t="str">
        <f>IF(ISBLANK(DaqBook_RAW_Data!Y190),"",DaqBook_RAW_Data!Y190)</f>
        <v/>
      </c>
      <c r="K200" s="167" t="str">
        <f>IF(ISBLANK(DaqBook_RAW_Data!Z190),"",DaqBook_RAW_Data!Z190)</f>
        <v/>
      </c>
      <c r="L200" s="167" t="str">
        <f>IF(ISBLANK(DaqBook_RAW_Data!AA190),"",DaqBook_RAW_Data!AA190)</f>
        <v/>
      </c>
      <c r="M200" s="167" t="str">
        <f>IF(ISBLANK(DaqBook_RAW_Data!AB190),"",DaqBook_RAW_Data!AB190)</f>
        <v/>
      </c>
      <c r="N200" s="167" t="str">
        <f>IF(ISBLANK(DaqBook_RAW_Data!AC190),"",DaqBook_RAW_Data!AC190)</f>
        <v/>
      </c>
      <c r="O200" s="167" t="str">
        <f>IF(ISBLANK(DaqBook_RAW_Data!AD190),"",DaqBook_RAW_Data!AD190)</f>
        <v/>
      </c>
      <c r="P200" s="167" t="str">
        <f>IF(ISBLANK(DaqBook_RAW_Data!AE190),"",DaqBook_RAW_Data!AE190)</f>
        <v/>
      </c>
    </row>
    <row r="201" spans="1:16" x14ac:dyDescent="0.2">
      <c r="A201" s="58" t="e">
        <f t="shared" si="2"/>
        <v>#VALUE!</v>
      </c>
      <c r="B201" s="144" t="str">
        <f>IF(ISBLANK(DaqBook_RAW_Data!Q191),IF(DaqBook_RAW_Data!A191="","",TIMEVALUE(DaqBook_RAW_Data!A191)),TIMEVALUE(DaqBook_RAW_Data!Q191))</f>
        <v/>
      </c>
      <c r="C201" s="167" t="str">
        <f>IF(ISBLANK(DaqBook_RAW_Data!R191),"",DaqBook_RAW_Data!R191)</f>
        <v/>
      </c>
      <c r="D201" s="167" t="str">
        <f>IF(ISBLANK(DaqBook_RAW_Data!S191),"",DaqBook_RAW_Data!S191)</f>
        <v/>
      </c>
      <c r="E201" s="167" t="str">
        <f>IF(ISBLANK(DaqBook_RAW_Data!T191),"",DaqBook_RAW_Data!T191)</f>
        <v/>
      </c>
      <c r="F201" s="167" t="str">
        <f>IF(ISBLANK(DaqBook_RAW_Data!U191),"",DaqBook_RAW_Data!U191)</f>
        <v/>
      </c>
      <c r="G201" s="167" t="str">
        <f>IF(ISBLANK(DaqBook_RAW_Data!V191),"",DaqBook_RAW_Data!V191)</f>
        <v/>
      </c>
      <c r="H201" s="167" t="str">
        <f>IF(ISBLANK(DaqBook_RAW_Data!W191),"",DaqBook_RAW_Data!W191)</f>
        <v/>
      </c>
      <c r="I201" s="167" t="str">
        <f>IF(ISBLANK(DaqBook_RAW_Data!X191),"",DaqBook_RAW_Data!X191)</f>
        <v/>
      </c>
      <c r="J201" s="167" t="str">
        <f>IF(ISBLANK(DaqBook_RAW_Data!Y191),"",DaqBook_RAW_Data!Y191)</f>
        <v/>
      </c>
      <c r="K201" s="167" t="str">
        <f>IF(ISBLANK(DaqBook_RAW_Data!Z191),"",DaqBook_RAW_Data!Z191)</f>
        <v/>
      </c>
      <c r="L201" s="167" t="str">
        <f>IF(ISBLANK(DaqBook_RAW_Data!AA191),"",DaqBook_RAW_Data!AA191)</f>
        <v/>
      </c>
      <c r="M201" s="167" t="str">
        <f>IF(ISBLANK(DaqBook_RAW_Data!AB191),"",DaqBook_RAW_Data!AB191)</f>
        <v/>
      </c>
      <c r="N201" s="167" t="str">
        <f>IF(ISBLANK(DaqBook_RAW_Data!AC191),"",DaqBook_RAW_Data!AC191)</f>
        <v/>
      </c>
      <c r="O201" s="167" t="str">
        <f>IF(ISBLANK(DaqBook_RAW_Data!AD191),"",DaqBook_RAW_Data!AD191)</f>
        <v/>
      </c>
      <c r="P201" s="167" t="str">
        <f>IF(ISBLANK(DaqBook_RAW_Data!AE191),"",DaqBook_RAW_Data!AE191)</f>
        <v/>
      </c>
    </row>
    <row r="202" spans="1:16" x14ac:dyDescent="0.2">
      <c r="A202" s="58" t="e">
        <f t="shared" si="2"/>
        <v>#VALUE!</v>
      </c>
      <c r="B202" s="144" t="str">
        <f>IF(ISBLANK(DaqBook_RAW_Data!Q192),IF(DaqBook_RAW_Data!A192="","",TIMEVALUE(DaqBook_RAW_Data!A192)),TIMEVALUE(DaqBook_RAW_Data!Q192))</f>
        <v/>
      </c>
      <c r="C202" s="167" t="str">
        <f>IF(ISBLANK(DaqBook_RAW_Data!R192),"",DaqBook_RAW_Data!R192)</f>
        <v/>
      </c>
      <c r="D202" s="167" t="str">
        <f>IF(ISBLANK(DaqBook_RAW_Data!S192),"",DaqBook_RAW_Data!S192)</f>
        <v/>
      </c>
      <c r="E202" s="167" t="str">
        <f>IF(ISBLANK(DaqBook_RAW_Data!T192),"",DaqBook_RAW_Data!T192)</f>
        <v/>
      </c>
      <c r="F202" s="167" t="str">
        <f>IF(ISBLANK(DaqBook_RAW_Data!U192),"",DaqBook_RAW_Data!U192)</f>
        <v/>
      </c>
      <c r="G202" s="167" t="str">
        <f>IF(ISBLANK(DaqBook_RAW_Data!V192),"",DaqBook_RAW_Data!V192)</f>
        <v/>
      </c>
      <c r="H202" s="167" t="str">
        <f>IF(ISBLANK(DaqBook_RAW_Data!W192),"",DaqBook_RAW_Data!W192)</f>
        <v/>
      </c>
      <c r="I202" s="167" t="str">
        <f>IF(ISBLANK(DaqBook_RAW_Data!X192),"",DaqBook_RAW_Data!X192)</f>
        <v/>
      </c>
      <c r="J202" s="167" t="str">
        <f>IF(ISBLANK(DaqBook_RAW_Data!Y192),"",DaqBook_RAW_Data!Y192)</f>
        <v/>
      </c>
      <c r="K202" s="167" t="str">
        <f>IF(ISBLANK(DaqBook_RAW_Data!Z192),"",DaqBook_RAW_Data!Z192)</f>
        <v/>
      </c>
      <c r="L202" s="167" t="str">
        <f>IF(ISBLANK(DaqBook_RAW_Data!AA192),"",DaqBook_RAW_Data!AA192)</f>
        <v/>
      </c>
      <c r="M202" s="167" t="str">
        <f>IF(ISBLANK(DaqBook_RAW_Data!AB192),"",DaqBook_RAW_Data!AB192)</f>
        <v/>
      </c>
      <c r="N202" s="167" t="str">
        <f>IF(ISBLANK(DaqBook_RAW_Data!AC192),"",DaqBook_RAW_Data!AC192)</f>
        <v/>
      </c>
      <c r="O202" s="167" t="str">
        <f>IF(ISBLANK(DaqBook_RAW_Data!AD192),"",DaqBook_RAW_Data!AD192)</f>
        <v/>
      </c>
      <c r="P202" s="167" t="str">
        <f>IF(ISBLANK(DaqBook_RAW_Data!AE192),"",DaqBook_RAW_Data!AE192)</f>
        <v/>
      </c>
    </row>
    <row r="203" spans="1:16" x14ac:dyDescent="0.2">
      <c r="A203" s="58" t="e">
        <f t="shared" si="2"/>
        <v>#VALUE!</v>
      </c>
      <c r="B203" s="144" t="str">
        <f>IF(ISBLANK(DaqBook_RAW_Data!Q193),IF(DaqBook_RAW_Data!A193="","",TIMEVALUE(DaqBook_RAW_Data!A193)),TIMEVALUE(DaqBook_RAW_Data!Q193))</f>
        <v/>
      </c>
      <c r="C203" s="167" t="str">
        <f>IF(ISBLANK(DaqBook_RAW_Data!R193),"",DaqBook_RAW_Data!R193)</f>
        <v/>
      </c>
      <c r="D203" s="167" t="str">
        <f>IF(ISBLANK(DaqBook_RAW_Data!S193),"",DaqBook_RAW_Data!S193)</f>
        <v/>
      </c>
      <c r="E203" s="167" t="str">
        <f>IF(ISBLANK(DaqBook_RAW_Data!T193),"",DaqBook_RAW_Data!T193)</f>
        <v/>
      </c>
      <c r="F203" s="167" t="str">
        <f>IF(ISBLANK(DaqBook_RAW_Data!U193),"",DaqBook_RAW_Data!U193)</f>
        <v/>
      </c>
      <c r="G203" s="167" t="str">
        <f>IF(ISBLANK(DaqBook_RAW_Data!V193),"",DaqBook_RAW_Data!V193)</f>
        <v/>
      </c>
      <c r="H203" s="167" t="str">
        <f>IF(ISBLANK(DaqBook_RAW_Data!W193),"",DaqBook_RAW_Data!W193)</f>
        <v/>
      </c>
      <c r="I203" s="167" t="str">
        <f>IF(ISBLANK(DaqBook_RAW_Data!X193),"",DaqBook_RAW_Data!X193)</f>
        <v/>
      </c>
      <c r="J203" s="167" t="str">
        <f>IF(ISBLANK(DaqBook_RAW_Data!Y193),"",DaqBook_RAW_Data!Y193)</f>
        <v/>
      </c>
      <c r="K203" s="167" t="str">
        <f>IF(ISBLANK(DaqBook_RAW_Data!Z193),"",DaqBook_RAW_Data!Z193)</f>
        <v/>
      </c>
      <c r="L203" s="167" t="str">
        <f>IF(ISBLANK(DaqBook_RAW_Data!AA193),"",DaqBook_RAW_Data!AA193)</f>
        <v/>
      </c>
      <c r="M203" s="167" t="str">
        <f>IF(ISBLANK(DaqBook_RAW_Data!AB193),"",DaqBook_RAW_Data!AB193)</f>
        <v/>
      </c>
      <c r="N203" s="167" t="str">
        <f>IF(ISBLANK(DaqBook_RAW_Data!AC193),"",DaqBook_RAW_Data!AC193)</f>
        <v/>
      </c>
      <c r="O203" s="167" t="str">
        <f>IF(ISBLANK(DaqBook_RAW_Data!AD193),"",DaqBook_RAW_Data!AD193)</f>
        <v/>
      </c>
      <c r="P203" s="167" t="str">
        <f>IF(ISBLANK(DaqBook_RAW_Data!AE193),"",DaqBook_RAW_Data!AE193)</f>
        <v/>
      </c>
    </row>
    <row r="204" spans="1:16" x14ac:dyDescent="0.2">
      <c r="A204" s="58" t="e">
        <f t="shared" si="2"/>
        <v>#VALUE!</v>
      </c>
      <c r="B204" s="144" t="str">
        <f>IF(ISBLANK(DaqBook_RAW_Data!Q194),IF(DaqBook_RAW_Data!A194="","",TIMEVALUE(DaqBook_RAW_Data!A194)),TIMEVALUE(DaqBook_RAW_Data!Q194))</f>
        <v/>
      </c>
      <c r="C204" s="167" t="str">
        <f>IF(ISBLANK(DaqBook_RAW_Data!R194),"",DaqBook_RAW_Data!R194)</f>
        <v/>
      </c>
      <c r="D204" s="167" t="str">
        <f>IF(ISBLANK(DaqBook_RAW_Data!S194),"",DaqBook_RAW_Data!S194)</f>
        <v/>
      </c>
      <c r="E204" s="167" t="str">
        <f>IF(ISBLANK(DaqBook_RAW_Data!T194),"",DaqBook_RAW_Data!T194)</f>
        <v/>
      </c>
      <c r="F204" s="167" t="str">
        <f>IF(ISBLANK(DaqBook_RAW_Data!U194),"",DaqBook_RAW_Data!U194)</f>
        <v/>
      </c>
      <c r="G204" s="167" t="str">
        <f>IF(ISBLANK(DaqBook_RAW_Data!V194),"",DaqBook_RAW_Data!V194)</f>
        <v/>
      </c>
      <c r="H204" s="167" t="str">
        <f>IF(ISBLANK(DaqBook_RAW_Data!W194),"",DaqBook_RAW_Data!W194)</f>
        <v/>
      </c>
      <c r="I204" s="167" t="str">
        <f>IF(ISBLANK(DaqBook_RAW_Data!X194),"",DaqBook_RAW_Data!X194)</f>
        <v/>
      </c>
      <c r="J204" s="167" t="str">
        <f>IF(ISBLANK(DaqBook_RAW_Data!Y194),"",DaqBook_RAW_Data!Y194)</f>
        <v/>
      </c>
      <c r="K204" s="167" t="str">
        <f>IF(ISBLANK(DaqBook_RAW_Data!Z194),"",DaqBook_RAW_Data!Z194)</f>
        <v/>
      </c>
      <c r="L204" s="167" t="str">
        <f>IF(ISBLANK(DaqBook_RAW_Data!AA194),"",DaqBook_RAW_Data!AA194)</f>
        <v/>
      </c>
      <c r="M204" s="167" t="str">
        <f>IF(ISBLANK(DaqBook_RAW_Data!AB194),"",DaqBook_RAW_Data!AB194)</f>
        <v/>
      </c>
      <c r="N204" s="167" t="str">
        <f>IF(ISBLANK(DaqBook_RAW_Data!AC194),"",DaqBook_RAW_Data!AC194)</f>
        <v/>
      </c>
      <c r="O204" s="167" t="str">
        <f>IF(ISBLANK(DaqBook_RAW_Data!AD194),"",DaqBook_RAW_Data!AD194)</f>
        <v/>
      </c>
      <c r="P204" s="167" t="str">
        <f>IF(ISBLANK(DaqBook_RAW_Data!AE194),"",DaqBook_RAW_Data!AE194)</f>
        <v/>
      </c>
    </row>
    <row r="205" spans="1:16" x14ac:dyDescent="0.2">
      <c r="A205" s="58" t="e">
        <f t="shared" si="2"/>
        <v>#VALUE!</v>
      </c>
      <c r="B205" s="144" t="str">
        <f>IF(ISBLANK(DaqBook_RAW_Data!Q195),IF(DaqBook_RAW_Data!A195="","",TIMEVALUE(DaqBook_RAW_Data!A195)),TIMEVALUE(DaqBook_RAW_Data!Q195))</f>
        <v/>
      </c>
      <c r="C205" s="167" t="str">
        <f>IF(ISBLANK(DaqBook_RAW_Data!R195),"",DaqBook_RAW_Data!R195)</f>
        <v/>
      </c>
      <c r="D205" s="167" t="str">
        <f>IF(ISBLANK(DaqBook_RAW_Data!S195),"",DaqBook_RAW_Data!S195)</f>
        <v/>
      </c>
      <c r="E205" s="167" t="str">
        <f>IF(ISBLANK(DaqBook_RAW_Data!T195),"",DaqBook_RAW_Data!T195)</f>
        <v/>
      </c>
      <c r="F205" s="167" t="str">
        <f>IF(ISBLANK(DaqBook_RAW_Data!U195),"",DaqBook_RAW_Data!U195)</f>
        <v/>
      </c>
      <c r="G205" s="167" t="str">
        <f>IF(ISBLANK(DaqBook_RAW_Data!V195),"",DaqBook_RAW_Data!V195)</f>
        <v/>
      </c>
      <c r="H205" s="167" t="str">
        <f>IF(ISBLANK(DaqBook_RAW_Data!W195),"",DaqBook_RAW_Data!W195)</f>
        <v/>
      </c>
      <c r="I205" s="167" t="str">
        <f>IF(ISBLANK(DaqBook_RAW_Data!X195),"",DaqBook_RAW_Data!X195)</f>
        <v/>
      </c>
      <c r="J205" s="167" t="str">
        <f>IF(ISBLANK(DaqBook_RAW_Data!Y195),"",DaqBook_RAW_Data!Y195)</f>
        <v/>
      </c>
      <c r="K205" s="167" t="str">
        <f>IF(ISBLANK(DaqBook_RAW_Data!Z195),"",DaqBook_RAW_Data!Z195)</f>
        <v/>
      </c>
      <c r="L205" s="167" t="str">
        <f>IF(ISBLANK(DaqBook_RAW_Data!AA195),"",DaqBook_RAW_Data!AA195)</f>
        <v/>
      </c>
      <c r="M205" s="167" t="str">
        <f>IF(ISBLANK(DaqBook_RAW_Data!AB195),"",DaqBook_RAW_Data!AB195)</f>
        <v/>
      </c>
      <c r="N205" s="167" t="str">
        <f>IF(ISBLANK(DaqBook_RAW_Data!AC195),"",DaqBook_RAW_Data!AC195)</f>
        <v/>
      </c>
      <c r="O205" s="167" t="str">
        <f>IF(ISBLANK(DaqBook_RAW_Data!AD195),"",DaqBook_RAW_Data!AD195)</f>
        <v/>
      </c>
      <c r="P205" s="167" t="str">
        <f>IF(ISBLANK(DaqBook_RAW_Data!AE195),"",DaqBook_RAW_Data!AE195)</f>
        <v/>
      </c>
    </row>
    <row r="206" spans="1:16" x14ac:dyDescent="0.2">
      <c r="A206" s="58" t="e">
        <f t="shared" si="2"/>
        <v>#VALUE!</v>
      </c>
      <c r="B206" s="144" t="str">
        <f>IF(ISBLANK(DaqBook_RAW_Data!Q196),IF(DaqBook_RAW_Data!A196="","",TIMEVALUE(DaqBook_RAW_Data!A196)),TIMEVALUE(DaqBook_RAW_Data!Q196))</f>
        <v/>
      </c>
      <c r="C206" s="167" t="str">
        <f>IF(ISBLANK(DaqBook_RAW_Data!R196),"",DaqBook_RAW_Data!R196)</f>
        <v/>
      </c>
      <c r="D206" s="167" t="str">
        <f>IF(ISBLANK(DaqBook_RAW_Data!S196),"",DaqBook_RAW_Data!S196)</f>
        <v/>
      </c>
      <c r="E206" s="167" t="str">
        <f>IF(ISBLANK(DaqBook_RAW_Data!T196),"",DaqBook_RAW_Data!T196)</f>
        <v/>
      </c>
      <c r="F206" s="167" t="str">
        <f>IF(ISBLANK(DaqBook_RAW_Data!U196),"",DaqBook_RAW_Data!U196)</f>
        <v/>
      </c>
      <c r="G206" s="167" t="str">
        <f>IF(ISBLANK(DaqBook_RAW_Data!V196),"",DaqBook_RAW_Data!V196)</f>
        <v/>
      </c>
      <c r="H206" s="167" t="str">
        <f>IF(ISBLANK(DaqBook_RAW_Data!W196),"",DaqBook_RAW_Data!W196)</f>
        <v/>
      </c>
      <c r="I206" s="167" t="str">
        <f>IF(ISBLANK(DaqBook_RAW_Data!X196),"",DaqBook_RAW_Data!X196)</f>
        <v/>
      </c>
      <c r="J206" s="167" t="str">
        <f>IF(ISBLANK(DaqBook_RAW_Data!Y196),"",DaqBook_RAW_Data!Y196)</f>
        <v/>
      </c>
      <c r="K206" s="167" t="str">
        <f>IF(ISBLANK(DaqBook_RAW_Data!Z196),"",DaqBook_RAW_Data!Z196)</f>
        <v/>
      </c>
      <c r="L206" s="167" t="str">
        <f>IF(ISBLANK(DaqBook_RAW_Data!AA196),"",DaqBook_RAW_Data!AA196)</f>
        <v/>
      </c>
      <c r="M206" s="167" t="str">
        <f>IF(ISBLANK(DaqBook_RAW_Data!AB196),"",DaqBook_RAW_Data!AB196)</f>
        <v/>
      </c>
      <c r="N206" s="167" t="str">
        <f>IF(ISBLANK(DaqBook_RAW_Data!AC196),"",DaqBook_RAW_Data!AC196)</f>
        <v/>
      </c>
      <c r="O206" s="167" t="str">
        <f>IF(ISBLANK(DaqBook_RAW_Data!AD196),"",DaqBook_RAW_Data!AD196)</f>
        <v/>
      </c>
      <c r="P206" s="167" t="str">
        <f>IF(ISBLANK(DaqBook_RAW_Data!AE196),"",DaqBook_RAW_Data!AE196)</f>
        <v/>
      </c>
    </row>
    <row r="207" spans="1:16" x14ac:dyDescent="0.2">
      <c r="A207" s="58" t="e">
        <f t="shared" ref="A207:A270" si="3">HOUR(B207)&amp;":"&amp;MINUTE(B207)</f>
        <v>#VALUE!</v>
      </c>
      <c r="B207" s="144" t="str">
        <f>IF(ISBLANK(DaqBook_RAW_Data!Q197),IF(DaqBook_RAW_Data!A197="","",TIMEVALUE(DaqBook_RAW_Data!A197)),TIMEVALUE(DaqBook_RAW_Data!Q197))</f>
        <v/>
      </c>
      <c r="C207" s="167" t="str">
        <f>IF(ISBLANK(DaqBook_RAW_Data!R197),"",DaqBook_RAW_Data!R197)</f>
        <v/>
      </c>
      <c r="D207" s="167" t="str">
        <f>IF(ISBLANK(DaqBook_RAW_Data!S197),"",DaqBook_RAW_Data!S197)</f>
        <v/>
      </c>
      <c r="E207" s="167" t="str">
        <f>IF(ISBLANK(DaqBook_RAW_Data!T197),"",DaqBook_RAW_Data!T197)</f>
        <v/>
      </c>
      <c r="F207" s="167" t="str">
        <f>IF(ISBLANK(DaqBook_RAW_Data!U197),"",DaqBook_RAW_Data!U197)</f>
        <v/>
      </c>
      <c r="G207" s="167" t="str">
        <f>IF(ISBLANK(DaqBook_RAW_Data!V197),"",DaqBook_RAW_Data!V197)</f>
        <v/>
      </c>
      <c r="H207" s="167" t="str">
        <f>IF(ISBLANK(DaqBook_RAW_Data!W197),"",DaqBook_RAW_Data!W197)</f>
        <v/>
      </c>
      <c r="I207" s="167" t="str">
        <f>IF(ISBLANK(DaqBook_RAW_Data!X197),"",DaqBook_RAW_Data!X197)</f>
        <v/>
      </c>
      <c r="J207" s="167" t="str">
        <f>IF(ISBLANK(DaqBook_RAW_Data!Y197),"",DaqBook_RAW_Data!Y197)</f>
        <v/>
      </c>
      <c r="K207" s="167" t="str">
        <f>IF(ISBLANK(DaqBook_RAW_Data!Z197),"",DaqBook_RAW_Data!Z197)</f>
        <v/>
      </c>
      <c r="L207" s="167" t="str">
        <f>IF(ISBLANK(DaqBook_RAW_Data!AA197),"",DaqBook_RAW_Data!AA197)</f>
        <v/>
      </c>
      <c r="M207" s="167" t="str">
        <f>IF(ISBLANK(DaqBook_RAW_Data!AB197),"",DaqBook_RAW_Data!AB197)</f>
        <v/>
      </c>
      <c r="N207" s="167" t="str">
        <f>IF(ISBLANK(DaqBook_RAW_Data!AC197),"",DaqBook_RAW_Data!AC197)</f>
        <v/>
      </c>
      <c r="O207" s="167" t="str">
        <f>IF(ISBLANK(DaqBook_RAW_Data!AD197),"",DaqBook_RAW_Data!AD197)</f>
        <v/>
      </c>
      <c r="P207" s="167" t="str">
        <f>IF(ISBLANK(DaqBook_RAW_Data!AE197),"",DaqBook_RAW_Data!AE197)</f>
        <v/>
      </c>
    </row>
    <row r="208" spans="1:16" x14ac:dyDescent="0.2">
      <c r="A208" s="58" t="e">
        <f t="shared" si="3"/>
        <v>#VALUE!</v>
      </c>
      <c r="B208" s="144" t="str">
        <f>IF(ISBLANK(DaqBook_RAW_Data!Q198),IF(DaqBook_RAW_Data!A198="","",TIMEVALUE(DaqBook_RAW_Data!A198)),TIMEVALUE(DaqBook_RAW_Data!Q198))</f>
        <v/>
      </c>
      <c r="C208" s="167" t="str">
        <f>IF(ISBLANK(DaqBook_RAW_Data!R198),"",DaqBook_RAW_Data!R198)</f>
        <v/>
      </c>
      <c r="D208" s="167" t="str">
        <f>IF(ISBLANK(DaqBook_RAW_Data!S198),"",DaqBook_RAW_Data!S198)</f>
        <v/>
      </c>
      <c r="E208" s="167" t="str">
        <f>IF(ISBLANK(DaqBook_RAW_Data!T198),"",DaqBook_RAW_Data!T198)</f>
        <v/>
      </c>
      <c r="F208" s="167" t="str">
        <f>IF(ISBLANK(DaqBook_RAW_Data!U198),"",DaqBook_RAW_Data!U198)</f>
        <v/>
      </c>
      <c r="G208" s="167" t="str">
        <f>IF(ISBLANK(DaqBook_RAW_Data!V198),"",DaqBook_RAW_Data!V198)</f>
        <v/>
      </c>
      <c r="H208" s="167" t="str">
        <f>IF(ISBLANK(DaqBook_RAW_Data!W198),"",DaqBook_RAW_Data!W198)</f>
        <v/>
      </c>
      <c r="I208" s="167" t="str">
        <f>IF(ISBLANK(DaqBook_RAW_Data!X198),"",DaqBook_RAW_Data!X198)</f>
        <v/>
      </c>
      <c r="J208" s="167" t="str">
        <f>IF(ISBLANK(DaqBook_RAW_Data!Y198),"",DaqBook_RAW_Data!Y198)</f>
        <v/>
      </c>
      <c r="K208" s="167" t="str">
        <f>IF(ISBLANK(DaqBook_RAW_Data!Z198),"",DaqBook_RAW_Data!Z198)</f>
        <v/>
      </c>
      <c r="L208" s="167" t="str">
        <f>IF(ISBLANK(DaqBook_RAW_Data!AA198),"",DaqBook_RAW_Data!AA198)</f>
        <v/>
      </c>
      <c r="M208" s="167" t="str">
        <f>IF(ISBLANK(DaqBook_RAW_Data!AB198),"",DaqBook_RAW_Data!AB198)</f>
        <v/>
      </c>
      <c r="N208" s="167" t="str">
        <f>IF(ISBLANK(DaqBook_RAW_Data!AC198),"",DaqBook_RAW_Data!AC198)</f>
        <v/>
      </c>
      <c r="O208" s="167" t="str">
        <f>IF(ISBLANK(DaqBook_RAW_Data!AD198),"",DaqBook_RAW_Data!AD198)</f>
        <v/>
      </c>
      <c r="P208" s="167" t="str">
        <f>IF(ISBLANK(DaqBook_RAW_Data!AE198),"",DaqBook_RAW_Data!AE198)</f>
        <v/>
      </c>
    </row>
    <row r="209" spans="1:16" x14ac:dyDescent="0.2">
      <c r="A209" s="58" t="e">
        <f t="shared" si="3"/>
        <v>#VALUE!</v>
      </c>
      <c r="B209" s="144" t="str">
        <f>IF(ISBLANK(DaqBook_RAW_Data!Q199),IF(DaqBook_RAW_Data!A199="","",TIMEVALUE(DaqBook_RAW_Data!A199)),TIMEVALUE(DaqBook_RAW_Data!Q199))</f>
        <v/>
      </c>
      <c r="C209" s="167" t="str">
        <f>IF(ISBLANK(DaqBook_RAW_Data!R199),"",DaqBook_RAW_Data!R199)</f>
        <v/>
      </c>
      <c r="D209" s="167" t="str">
        <f>IF(ISBLANK(DaqBook_RAW_Data!S199),"",DaqBook_RAW_Data!S199)</f>
        <v/>
      </c>
      <c r="E209" s="167" t="str">
        <f>IF(ISBLANK(DaqBook_RAW_Data!T199),"",DaqBook_RAW_Data!T199)</f>
        <v/>
      </c>
      <c r="F209" s="167" t="str">
        <f>IF(ISBLANK(DaqBook_RAW_Data!U199),"",DaqBook_RAW_Data!U199)</f>
        <v/>
      </c>
      <c r="G209" s="167" t="str">
        <f>IF(ISBLANK(DaqBook_RAW_Data!V199),"",DaqBook_RAW_Data!V199)</f>
        <v/>
      </c>
      <c r="H209" s="167" t="str">
        <f>IF(ISBLANK(DaqBook_RAW_Data!W199),"",DaqBook_RAW_Data!W199)</f>
        <v/>
      </c>
      <c r="I209" s="167" t="str">
        <f>IF(ISBLANK(DaqBook_RAW_Data!X199),"",DaqBook_RAW_Data!X199)</f>
        <v/>
      </c>
      <c r="J209" s="167" t="str">
        <f>IF(ISBLANK(DaqBook_RAW_Data!Y199),"",DaqBook_RAW_Data!Y199)</f>
        <v/>
      </c>
      <c r="K209" s="167" t="str">
        <f>IF(ISBLANK(DaqBook_RAW_Data!Z199),"",DaqBook_RAW_Data!Z199)</f>
        <v/>
      </c>
      <c r="L209" s="167" t="str">
        <f>IF(ISBLANK(DaqBook_RAW_Data!AA199),"",DaqBook_RAW_Data!AA199)</f>
        <v/>
      </c>
      <c r="M209" s="167" t="str">
        <f>IF(ISBLANK(DaqBook_RAW_Data!AB199),"",DaqBook_RAW_Data!AB199)</f>
        <v/>
      </c>
      <c r="N209" s="167" t="str">
        <f>IF(ISBLANK(DaqBook_RAW_Data!AC199),"",DaqBook_RAW_Data!AC199)</f>
        <v/>
      </c>
      <c r="O209" s="167" t="str">
        <f>IF(ISBLANK(DaqBook_RAW_Data!AD199),"",DaqBook_RAW_Data!AD199)</f>
        <v/>
      </c>
      <c r="P209" s="167" t="str">
        <f>IF(ISBLANK(DaqBook_RAW_Data!AE199),"",DaqBook_RAW_Data!AE199)</f>
        <v/>
      </c>
    </row>
    <row r="210" spans="1:16" x14ac:dyDescent="0.2">
      <c r="A210" s="58" t="e">
        <f t="shared" si="3"/>
        <v>#VALUE!</v>
      </c>
      <c r="B210" s="144" t="str">
        <f>IF(ISBLANK(DaqBook_RAW_Data!Q200),IF(DaqBook_RAW_Data!A200="","",TIMEVALUE(DaqBook_RAW_Data!A200)),TIMEVALUE(DaqBook_RAW_Data!Q200))</f>
        <v/>
      </c>
      <c r="C210" s="167" t="str">
        <f>IF(ISBLANK(DaqBook_RAW_Data!R200),"",DaqBook_RAW_Data!R200)</f>
        <v/>
      </c>
      <c r="D210" s="167" t="str">
        <f>IF(ISBLANK(DaqBook_RAW_Data!S200),"",DaqBook_RAW_Data!S200)</f>
        <v/>
      </c>
      <c r="E210" s="167" t="str">
        <f>IF(ISBLANK(DaqBook_RAW_Data!T200),"",DaqBook_RAW_Data!T200)</f>
        <v/>
      </c>
      <c r="F210" s="167" t="str">
        <f>IF(ISBLANK(DaqBook_RAW_Data!U200),"",DaqBook_RAW_Data!U200)</f>
        <v/>
      </c>
      <c r="G210" s="167" t="str">
        <f>IF(ISBLANK(DaqBook_RAW_Data!V200),"",DaqBook_RAW_Data!V200)</f>
        <v/>
      </c>
      <c r="H210" s="167" t="str">
        <f>IF(ISBLANK(DaqBook_RAW_Data!W200),"",DaqBook_RAW_Data!W200)</f>
        <v/>
      </c>
      <c r="I210" s="167" t="str">
        <f>IF(ISBLANK(DaqBook_RAW_Data!X200),"",DaqBook_RAW_Data!X200)</f>
        <v/>
      </c>
      <c r="J210" s="167" t="str">
        <f>IF(ISBLANK(DaqBook_RAW_Data!Y200),"",DaqBook_RAW_Data!Y200)</f>
        <v/>
      </c>
      <c r="K210" s="167" t="str">
        <f>IF(ISBLANK(DaqBook_RAW_Data!Z200),"",DaqBook_RAW_Data!Z200)</f>
        <v/>
      </c>
      <c r="L210" s="167" t="str">
        <f>IF(ISBLANK(DaqBook_RAW_Data!AA200),"",DaqBook_RAW_Data!AA200)</f>
        <v/>
      </c>
      <c r="M210" s="167" t="str">
        <f>IF(ISBLANK(DaqBook_RAW_Data!AB200),"",DaqBook_RAW_Data!AB200)</f>
        <v/>
      </c>
      <c r="N210" s="167" t="str">
        <f>IF(ISBLANK(DaqBook_RAW_Data!AC200),"",DaqBook_RAW_Data!AC200)</f>
        <v/>
      </c>
      <c r="O210" s="167" t="str">
        <f>IF(ISBLANK(DaqBook_RAW_Data!AD200),"",DaqBook_RAW_Data!AD200)</f>
        <v/>
      </c>
      <c r="P210" s="167" t="str">
        <f>IF(ISBLANK(DaqBook_RAW_Data!AE200),"",DaqBook_RAW_Data!AE200)</f>
        <v/>
      </c>
    </row>
    <row r="211" spans="1:16" x14ac:dyDescent="0.2">
      <c r="A211" s="58" t="e">
        <f t="shared" si="3"/>
        <v>#VALUE!</v>
      </c>
      <c r="B211" s="144" t="str">
        <f>IF(ISBLANK(DaqBook_RAW_Data!Q201),IF(DaqBook_RAW_Data!A201="","",TIMEVALUE(DaqBook_RAW_Data!A201)),TIMEVALUE(DaqBook_RAW_Data!Q201))</f>
        <v/>
      </c>
      <c r="C211" s="167" t="str">
        <f>IF(ISBLANK(DaqBook_RAW_Data!R201),"",DaqBook_RAW_Data!R201)</f>
        <v/>
      </c>
      <c r="D211" s="167" t="str">
        <f>IF(ISBLANK(DaqBook_RAW_Data!S201),"",DaqBook_RAW_Data!S201)</f>
        <v/>
      </c>
      <c r="E211" s="167" t="str">
        <f>IF(ISBLANK(DaqBook_RAW_Data!T201),"",DaqBook_RAW_Data!T201)</f>
        <v/>
      </c>
      <c r="F211" s="167" t="str">
        <f>IF(ISBLANK(DaqBook_RAW_Data!U201),"",DaqBook_RAW_Data!U201)</f>
        <v/>
      </c>
      <c r="G211" s="167" t="str">
        <f>IF(ISBLANK(DaqBook_RAW_Data!V201),"",DaqBook_RAW_Data!V201)</f>
        <v/>
      </c>
      <c r="H211" s="167" t="str">
        <f>IF(ISBLANK(DaqBook_RAW_Data!W201),"",DaqBook_RAW_Data!W201)</f>
        <v/>
      </c>
      <c r="I211" s="167" t="str">
        <f>IF(ISBLANK(DaqBook_RAW_Data!X201),"",DaqBook_RAW_Data!X201)</f>
        <v/>
      </c>
      <c r="J211" s="167" t="str">
        <f>IF(ISBLANK(DaqBook_RAW_Data!Y201),"",DaqBook_RAW_Data!Y201)</f>
        <v/>
      </c>
      <c r="K211" s="167" t="str">
        <f>IF(ISBLANK(DaqBook_RAW_Data!Z201),"",DaqBook_RAW_Data!Z201)</f>
        <v/>
      </c>
      <c r="L211" s="167" t="str">
        <f>IF(ISBLANK(DaqBook_RAW_Data!AA201),"",DaqBook_RAW_Data!AA201)</f>
        <v/>
      </c>
      <c r="M211" s="167" t="str">
        <f>IF(ISBLANK(DaqBook_RAW_Data!AB201),"",DaqBook_RAW_Data!AB201)</f>
        <v/>
      </c>
      <c r="N211" s="167" t="str">
        <f>IF(ISBLANK(DaqBook_RAW_Data!AC201),"",DaqBook_RAW_Data!AC201)</f>
        <v/>
      </c>
      <c r="O211" s="167" t="str">
        <f>IF(ISBLANK(DaqBook_RAW_Data!AD201),"",DaqBook_RAW_Data!AD201)</f>
        <v/>
      </c>
      <c r="P211" s="167" t="str">
        <f>IF(ISBLANK(DaqBook_RAW_Data!AE201),"",DaqBook_RAW_Data!AE201)</f>
        <v/>
      </c>
    </row>
    <row r="212" spans="1:16" x14ac:dyDescent="0.2">
      <c r="A212" s="58" t="e">
        <f t="shared" si="3"/>
        <v>#VALUE!</v>
      </c>
      <c r="B212" s="144" t="str">
        <f>IF(ISBLANK(DaqBook_RAW_Data!Q202),IF(DaqBook_RAW_Data!A202="","",TIMEVALUE(DaqBook_RAW_Data!A202)),TIMEVALUE(DaqBook_RAW_Data!Q202))</f>
        <v/>
      </c>
      <c r="C212" s="167" t="str">
        <f>IF(ISBLANK(DaqBook_RAW_Data!R202),"",DaqBook_RAW_Data!R202)</f>
        <v/>
      </c>
      <c r="D212" s="167" t="str">
        <f>IF(ISBLANK(DaqBook_RAW_Data!S202),"",DaqBook_RAW_Data!S202)</f>
        <v/>
      </c>
      <c r="E212" s="167" t="str">
        <f>IF(ISBLANK(DaqBook_RAW_Data!T202),"",DaqBook_RAW_Data!T202)</f>
        <v/>
      </c>
      <c r="F212" s="167" t="str">
        <f>IF(ISBLANK(DaqBook_RAW_Data!U202),"",DaqBook_RAW_Data!U202)</f>
        <v/>
      </c>
      <c r="G212" s="167" t="str">
        <f>IF(ISBLANK(DaqBook_RAW_Data!V202),"",DaqBook_RAW_Data!V202)</f>
        <v/>
      </c>
      <c r="H212" s="167" t="str">
        <f>IF(ISBLANK(DaqBook_RAW_Data!W202),"",DaqBook_RAW_Data!W202)</f>
        <v/>
      </c>
      <c r="I212" s="167" t="str">
        <f>IF(ISBLANK(DaqBook_RAW_Data!X202),"",DaqBook_RAW_Data!X202)</f>
        <v/>
      </c>
      <c r="J212" s="167" t="str">
        <f>IF(ISBLANK(DaqBook_RAW_Data!Y202),"",DaqBook_RAW_Data!Y202)</f>
        <v/>
      </c>
      <c r="K212" s="167" t="str">
        <f>IF(ISBLANK(DaqBook_RAW_Data!Z202),"",DaqBook_RAW_Data!Z202)</f>
        <v/>
      </c>
      <c r="L212" s="167" t="str">
        <f>IF(ISBLANK(DaqBook_RAW_Data!AA202),"",DaqBook_RAW_Data!AA202)</f>
        <v/>
      </c>
      <c r="M212" s="167" t="str">
        <f>IF(ISBLANK(DaqBook_RAW_Data!AB202),"",DaqBook_RAW_Data!AB202)</f>
        <v/>
      </c>
      <c r="N212" s="167" t="str">
        <f>IF(ISBLANK(DaqBook_RAW_Data!AC202),"",DaqBook_RAW_Data!AC202)</f>
        <v/>
      </c>
      <c r="O212" s="167" t="str">
        <f>IF(ISBLANK(DaqBook_RAW_Data!AD202),"",DaqBook_RAW_Data!AD202)</f>
        <v/>
      </c>
      <c r="P212" s="167" t="str">
        <f>IF(ISBLANK(DaqBook_RAW_Data!AE202),"",DaqBook_RAW_Data!AE202)</f>
        <v/>
      </c>
    </row>
    <row r="213" spans="1:16" x14ac:dyDescent="0.2">
      <c r="A213" s="58" t="e">
        <f t="shared" si="3"/>
        <v>#VALUE!</v>
      </c>
      <c r="B213" s="144" t="str">
        <f>IF(ISBLANK(DaqBook_RAW_Data!Q203),IF(DaqBook_RAW_Data!A203="","",TIMEVALUE(DaqBook_RAW_Data!A203)),TIMEVALUE(DaqBook_RAW_Data!Q203))</f>
        <v/>
      </c>
      <c r="C213" s="167" t="str">
        <f>IF(ISBLANK(DaqBook_RAW_Data!R203),"",DaqBook_RAW_Data!R203)</f>
        <v/>
      </c>
      <c r="D213" s="167" t="str">
        <f>IF(ISBLANK(DaqBook_RAW_Data!S203),"",DaqBook_RAW_Data!S203)</f>
        <v/>
      </c>
      <c r="E213" s="167" t="str">
        <f>IF(ISBLANK(DaqBook_RAW_Data!T203),"",DaqBook_RAW_Data!T203)</f>
        <v/>
      </c>
      <c r="F213" s="167" t="str">
        <f>IF(ISBLANK(DaqBook_RAW_Data!U203),"",DaqBook_RAW_Data!U203)</f>
        <v/>
      </c>
      <c r="G213" s="167" t="str">
        <f>IF(ISBLANK(DaqBook_RAW_Data!V203),"",DaqBook_RAW_Data!V203)</f>
        <v/>
      </c>
      <c r="H213" s="167" t="str">
        <f>IF(ISBLANK(DaqBook_RAW_Data!W203),"",DaqBook_RAW_Data!W203)</f>
        <v/>
      </c>
      <c r="I213" s="167" t="str">
        <f>IF(ISBLANK(DaqBook_RAW_Data!X203),"",DaqBook_RAW_Data!X203)</f>
        <v/>
      </c>
      <c r="J213" s="167" t="str">
        <f>IF(ISBLANK(DaqBook_RAW_Data!Y203),"",DaqBook_RAW_Data!Y203)</f>
        <v/>
      </c>
      <c r="K213" s="167" t="str">
        <f>IF(ISBLANK(DaqBook_RAW_Data!Z203),"",DaqBook_RAW_Data!Z203)</f>
        <v/>
      </c>
      <c r="L213" s="167" t="str">
        <f>IF(ISBLANK(DaqBook_RAW_Data!AA203),"",DaqBook_RAW_Data!AA203)</f>
        <v/>
      </c>
      <c r="M213" s="167" t="str">
        <f>IF(ISBLANK(DaqBook_RAW_Data!AB203),"",DaqBook_RAW_Data!AB203)</f>
        <v/>
      </c>
      <c r="N213" s="167" t="str">
        <f>IF(ISBLANK(DaqBook_RAW_Data!AC203),"",DaqBook_RAW_Data!AC203)</f>
        <v/>
      </c>
      <c r="O213" s="167" t="str">
        <f>IF(ISBLANK(DaqBook_RAW_Data!AD203),"",DaqBook_RAW_Data!AD203)</f>
        <v/>
      </c>
      <c r="P213" s="167" t="str">
        <f>IF(ISBLANK(DaqBook_RAW_Data!AE203),"",DaqBook_RAW_Data!AE203)</f>
        <v/>
      </c>
    </row>
    <row r="214" spans="1:16" x14ac:dyDescent="0.2">
      <c r="A214" s="58" t="e">
        <f t="shared" si="3"/>
        <v>#VALUE!</v>
      </c>
      <c r="B214" s="144" t="str">
        <f>IF(ISBLANK(DaqBook_RAW_Data!Q204),IF(DaqBook_RAW_Data!A204="","",TIMEVALUE(DaqBook_RAW_Data!A204)),TIMEVALUE(DaqBook_RAW_Data!Q204))</f>
        <v/>
      </c>
      <c r="C214" s="167" t="str">
        <f>IF(ISBLANK(DaqBook_RAW_Data!R204),"",DaqBook_RAW_Data!R204)</f>
        <v/>
      </c>
      <c r="D214" s="167" t="str">
        <f>IF(ISBLANK(DaqBook_RAW_Data!S204),"",DaqBook_RAW_Data!S204)</f>
        <v/>
      </c>
      <c r="E214" s="167" t="str">
        <f>IF(ISBLANK(DaqBook_RAW_Data!T204),"",DaqBook_RAW_Data!T204)</f>
        <v/>
      </c>
      <c r="F214" s="167" t="str">
        <f>IF(ISBLANK(DaqBook_RAW_Data!U204),"",DaqBook_RAW_Data!U204)</f>
        <v/>
      </c>
      <c r="G214" s="167" t="str">
        <f>IF(ISBLANK(DaqBook_RAW_Data!V204),"",DaqBook_RAW_Data!V204)</f>
        <v/>
      </c>
      <c r="H214" s="167" t="str">
        <f>IF(ISBLANK(DaqBook_RAW_Data!W204),"",DaqBook_RAW_Data!W204)</f>
        <v/>
      </c>
      <c r="I214" s="167" t="str">
        <f>IF(ISBLANK(DaqBook_RAW_Data!X204),"",DaqBook_RAW_Data!X204)</f>
        <v/>
      </c>
      <c r="J214" s="167" t="str">
        <f>IF(ISBLANK(DaqBook_RAW_Data!Y204),"",DaqBook_RAW_Data!Y204)</f>
        <v/>
      </c>
      <c r="K214" s="167" t="str">
        <f>IF(ISBLANK(DaqBook_RAW_Data!Z204),"",DaqBook_RAW_Data!Z204)</f>
        <v/>
      </c>
      <c r="L214" s="167" t="str">
        <f>IF(ISBLANK(DaqBook_RAW_Data!AA204),"",DaqBook_RAW_Data!AA204)</f>
        <v/>
      </c>
      <c r="M214" s="167" t="str">
        <f>IF(ISBLANK(DaqBook_RAW_Data!AB204),"",DaqBook_RAW_Data!AB204)</f>
        <v/>
      </c>
      <c r="N214" s="167" t="str">
        <f>IF(ISBLANK(DaqBook_RAW_Data!AC204),"",DaqBook_RAW_Data!AC204)</f>
        <v/>
      </c>
      <c r="O214" s="167" t="str">
        <f>IF(ISBLANK(DaqBook_RAW_Data!AD204),"",DaqBook_RAW_Data!AD204)</f>
        <v/>
      </c>
      <c r="P214" s="167" t="str">
        <f>IF(ISBLANK(DaqBook_RAW_Data!AE204),"",DaqBook_RAW_Data!AE204)</f>
        <v/>
      </c>
    </row>
    <row r="215" spans="1:16" x14ac:dyDescent="0.2">
      <c r="A215" s="58" t="e">
        <f t="shared" si="3"/>
        <v>#VALUE!</v>
      </c>
      <c r="B215" s="144" t="str">
        <f>IF(ISBLANK(DaqBook_RAW_Data!Q205),IF(DaqBook_RAW_Data!A205="","",TIMEVALUE(DaqBook_RAW_Data!A205)),TIMEVALUE(DaqBook_RAW_Data!Q205))</f>
        <v/>
      </c>
      <c r="C215" s="167" t="str">
        <f>IF(ISBLANK(DaqBook_RAW_Data!R205),"",DaqBook_RAW_Data!R205)</f>
        <v/>
      </c>
      <c r="D215" s="167" t="str">
        <f>IF(ISBLANK(DaqBook_RAW_Data!S205),"",DaqBook_RAW_Data!S205)</f>
        <v/>
      </c>
      <c r="E215" s="167" t="str">
        <f>IF(ISBLANK(DaqBook_RAW_Data!T205),"",DaqBook_RAW_Data!T205)</f>
        <v/>
      </c>
      <c r="F215" s="167" t="str">
        <f>IF(ISBLANK(DaqBook_RAW_Data!U205),"",DaqBook_RAW_Data!U205)</f>
        <v/>
      </c>
      <c r="G215" s="167" t="str">
        <f>IF(ISBLANK(DaqBook_RAW_Data!V205),"",DaqBook_RAW_Data!V205)</f>
        <v/>
      </c>
      <c r="H215" s="167" t="str">
        <f>IF(ISBLANK(DaqBook_RAW_Data!W205),"",DaqBook_RAW_Data!W205)</f>
        <v/>
      </c>
      <c r="I215" s="167" t="str">
        <f>IF(ISBLANK(DaqBook_RAW_Data!X205),"",DaqBook_RAW_Data!X205)</f>
        <v/>
      </c>
      <c r="J215" s="167" t="str">
        <f>IF(ISBLANK(DaqBook_RAW_Data!Y205),"",DaqBook_RAW_Data!Y205)</f>
        <v/>
      </c>
      <c r="K215" s="167" t="str">
        <f>IF(ISBLANK(DaqBook_RAW_Data!Z205),"",DaqBook_RAW_Data!Z205)</f>
        <v/>
      </c>
      <c r="L215" s="167" t="str">
        <f>IF(ISBLANK(DaqBook_RAW_Data!AA205),"",DaqBook_RAW_Data!AA205)</f>
        <v/>
      </c>
      <c r="M215" s="167" t="str">
        <f>IF(ISBLANK(DaqBook_RAW_Data!AB205),"",DaqBook_RAW_Data!AB205)</f>
        <v/>
      </c>
      <c r="N215" s="167" t="str">
        <f>IF(ISBLANK(DaqBook_RAW_Data!AC205),"",DaqBook_RAW_Data!AC205)</f>
        <v/>
      </c>
      <c r="O215" s="167" t="str">
        <f>IF(ISBLANK(DaqBook_RAW_Data!AD205),"",DaqBook_RAW_Data!AD205)</f>
        <v/>
      </c>
      <c r="P215" s="167" t="str">
        <f>IF(ISBLANK(DaqBook_RAW_Data!AE205),"",DaqBook_RAW_Data!AE205)</f>
        <v/>
      </c>
    </row>
    <row r="216" spans="1:16" x14ac:dyDescent="0.2">
      <c r="A216" s="58" t="e">
        <f t="shared" si="3"/>
        <v>#VALUE!</v>
      </c>
      <c r="B216" s="144" t="str">
        <f>IF(ISBLANK(DaqBook_RAW_Data!Q206),IF(DaqBook_RAW_Data!A206="","",TIMEVALUE(DaqBook_RAW_Data!A206)),TIMEVALUE(DaqBook_RAW_Data!Q206))</f>
        <v/>
      </c>
      <c r="C216" s="167" t="str">
        <f>IF(ISBLANK(DaqBook_RAW_Data!R206),"",DaqBook_RAW_Data!R206)</f>
        <v/>
      </c>
      <c r="D216" s="167" t="str">
        <f>IF(ISBLANK(DaqBook_RAW_Data!S206),"",DaqBook_RAW_Data!S206)</f>
        <v/>
      </c>
      <c r="E216" s="167" t="str">
        <f>IF(ISBLANK(DaqBook_RAW_Data!T206),"",DaqBook_RAW_Data!T206)</f>
        <v/>
      </c>
      <c r="F216" s="167" t="str">
        <f>IF(ISBLANK(DaqBook_RAW_Data!U206),"",DaqBook_RAW_Data!U206)</f>
        <v/>
      </c>
      <c r="G216" s="167" t="str">
        <f>IF(ISBLANK(DaqBook_RAW_Data!V206),"",DaqBook_RAW_Data!V206)</f>
        <v/>
      </c>
      <c r="H216" s="167" t="str">
        <f>IF(ISBLANK(DaqBook_RAW_Data!W206),"",DaqBook_RAW_Data!W206)</f>
        <v/>
      </c>
      <c r="I216" s="167" t="str">
        <f>IF(ISBLANK(DaqBook_RAW_Data!X206),"",DaqBook_RAW_Data!X206)</f>
        <v/>
      </c>
      <c r="J216" s="167" t="str">
        <f>IF(ISBLANK(DaqBook_RAW_Data!Y206),"",DaqBook_RAW_Data!Y206)</f>
        <v/>
      </c>
      <c r="K216" s="167" t="str">
        <f>IF(ISBLANK(DaqBook_RAW_Data!Z206),"",DaqBook_RAW_Data!Z206)</f>
        <v/>
      </c>
      <c r="L216" s="167" t="str">
        <f>IF(ISBLANK(DaqBook_RAW_Data!AA206),"",DaqBook_RAW_Data!AA206)</f>
        <v/>
      </c>
      <c r="M216" s="167" t="str">
        <f>IF(ISBLANK(DaqBook_RAW_Data!AB206),"",DaqBook_RAW_Data!AB206)</f>
        <v/>
      </c>
      <c r="N216" s="167" t="str">
        <f>IF(ISBLANK(DaqBook_RAW_Data!AC206),"",DaqBook_RAW_Data!AC206)</f>
        <v/>
      </c>
      <c r="O216" s="167" t="str">
        <f>IF(ISBLANK(DaqBook_RAW_Data!AD206),"",DaqBook_RAW_Data!AD206)</f>
        <v/>
      </c>
      <c r="P216" s="167" t="str">
        <f>IF(ISBLANK(DaqBook_RAW_Data!AE206),"",DaqBook_RAW_Data!AE206)</f>
        <v/>
      </c>
    </row>
    <row r="217" spans="1:16" x14ac:dyDescent="0.2">
      <c r="A217" s="58" t="e">
        <f t="shared" si="3"/>
        <v>#VALUE!</v>
      </c>
      <c r="B217" s="144" t="str">
        <f>IF(ISBLANK(DaqBook_RAW_Data!Q207),IF(DaqBook_RAW_Data!A207="","",TIMEVALUE(DaqBook_RAW_Data!A207)),TIMEVALUE(DaqBook_RAW_Data!Q207))</f>
        <v/>
      </c>
      <c r="C217" s="167" t="str">
        <f>IF(ISBLANK(DaqBook_RAW_Data!R207),"",DaqBook_RAW_Data!R207)</f>
        <v/>
      </c>
      <c r="D217" s="167" t="str">
        <f>IF(ISBLANK(DaqBook_RAW_Data!S207),"",DaqBook_RAW_Data!S207)</f>
        <v/>
      </c>
      <c r="E217" s="167" t="str">
        <f>IF(ISBLANK(DaqBook_RAW_Data!T207),"",DaqBook_RAW_Data!T207)</f>
        <v/>
      </c>
      <c r="F217" s="167" t="str">
        <f>IF(ISBLANK(DaqBook_RAW_Data!U207),"",DaqBook_RAW_Data!U207)</f>
        <v/>
      </c>
      <c r="G217" s="167" t="str">
        <f>IF(ISBLANK(DaqBook_RAW_Data!V207),"",DaqBook_RAW_Data!V207)</f>
        <v/>
      </c>
      <c r="H217" s="167" t="str">
        <f>IF(ISBLANK(DaqBook_RAW_Data!W207),"",DaqBook_RAW_Data!W207)</f>
        <v/>
      </c>
      <c r="I217" s="167" t="str">
        <f>IF(ISBLANK(DaqBook_RAW_Data!X207),"",DaqBook_RAW_Data!X207)</f>
        <v/>
      </c>
      <c r="J217" s="167" t="str">
        <f>IF(ISBLANK(DaqBook_RAW_Data!Y207),"",DaqBook_RAW_Data!Y207)</f>
        <v/>
      </c>
      <c r="K217" s="167" t="str">
        <f>IF(ISBLANK(DaqBook_RAW_Data!Z207),"",DaqBook_RAW_Data!Z207)</f>
        <v/>
      </c>
      <c r="L217" s="167" t="str">
        <f>IF(ISBLANK(DaqBook_RAW_Data!AA207),"",DaqBook_RAW_Data!AA207)</f>
        <v/>
      </c>
      <c r="M217" s="167" t="str">
        <f>IF(ISBLANK(DaqBook_RAW_Data!AB207),"",DaqBook_RAW_Data!AB207)</f>
        <v/>
      </c>
      <c r="N217" s="167" t="str">
        <f>IF(ISBLANK(DaqBook_RAW_Data!AC207),"",DaqBook_RAW_Data!AC207)</f>
        <v/>
      </c>
      <c r="O217" s="167" t="str">
        <f>IF(ISBLANK(DaqBook_RAW_Data!AD207),"",DaqBook_RAW_Data!AD207)</f>
        <v/>
      </c>
      <c r="P217" s="167" t="str">
        <f>IF(ISBLANK(DaqBook_RAW_Data!AE207),"",DaqBook_RAW_Data!AE207)</f>
        <v/>
      </c>
    </row>
    <row r="218" spans="1:16" x14ac:dyDescent="0.2">
      <c r="A218" s="58" t="e">
        <f t="shared" si="3"/>
        <v>#VALUE!</v>
      </c>
      <c r="B218" s="144" t="str">
        <f>IF(ISBLANK(DaqBook_RAW_Data!Q208),IF(DaqBook_RAW_Data!A208="","",TIMEVALUE(DaqBook_RAW_Data!A208)),TIMEVALUE(DaqBook_RAW_Data!Q208))</f>
        <v/>
      </c>
      <c r="C218" s="167" t="str">
        <f>IF(ISBLANK(DaqBook_RAW_Data!R208),"",DaqBook_RAW_Data!R208)</f>
        <v/>
      </c>
      <c r="D218" s="167" t="str">
        <f>IF(ISBLANK(DaqBook_RAW_Data!S208),"",DaqBook_RAW_Data!S208)</f>
        <v/>
      </c>
      <c r="E218" s="167" t="str">
        <f>IF(ISBLANK(DaqBook_RAW_Data!T208),"",DaqBook_RAW_Data!T208)</f>
        <v/>
      </c>
      <c r="F218" s="167" t="str">
        <f>IF(ISBLANK(DaqBook_RAW_Data!U208),"",DaqBook_RAW_Data!U208)</f>
        <v/>
      </c>
      <c r="G218" s="167" t="str">
        <f>IF(ISBLANK(DaqBook_RAW_Data!V208),"",DaqBook_RAW_Data!V208)</f>
        <v/>
      </c>
      <c r="H218" s="167" t="str">
        <f>IF(ISBLANK(DaqBook_RAW_Data!W208),"",DaqBook_RAW_Data!W208)</f>
        <v/>
      </c>
      <c r="I218" s="167" t="str">
        <f>IF(ISBLANK(DaqBook_RAW_Data!X208),"",DaqBook_RAW_Data!X208)</f>
        <v/>
      </c>
      <c r="J218" s="167" t="str">
        <f>IF(ISBLANK(DaqBook_RAW_Data!Y208),"",DaqBook_RAW_Data!Y208)</f>
        <v/>
      </c>
      <c r="K218" s="167" t="str">
        <f>IF(ISBLANK(DaqBook_RAW_Data!Z208),"",DaqBook_RAW_Data!Z208)</f>
        <v/>
      </c>
      <c r="L218" s="167" t="str">
        <f>IF(ISBLANK(DaqBook_RAW_Data!AA208),"",DaqBook_RAW_Data!AA208)</f>
        <v/>
      </c>
      <c r="M218" s="167" t="str">
        <f>IF(ISBLANK(DaqBook_RAW_Data!AB208),"",DaqBook_RAW_Data!AB208)</f>
        <v/>
      </c>
      <c r="N218" s="167" t="str">
        <f>IF(ISBLANK(DaqBook_RAW_Data!AC208),"",DaqBook_RAW_Data!AC208)</f>
        <v/>
      </c>
      <c r="O218" s="167" t="str">
        <f>IF(ISBLANK(DaqBook_RAW_Data!AD208),"",DaqBook_RAW_Data!AD208)</f>
        <v/>
      </c>
      <c r="P218" s="167" t="str">
        <f>IF(ISBLANK(DaqBook_RAW_Data!AE208),"",DaqBook_RAW_Data!AE208)</f>
        <v/>
      </c>
    </row>
    <row r="219" spans="1:16" x14ac:dyDescent="0.2">
      <c r="A219" s="58" t="e">
        <f t="shared" si="3"/>
        <v>#VALUE!</v>
      </c>
      <c r="B219" s="144" t="str">
        <f>IF(ISBLANK(DaqBook_RAW_Data!Q209),IF(DaqBook_RAW_Data!A209="","",TIMEVALUE(DaqBook_RAW_Data!A209)),TIMEVALUE(DaqBook_RAW_Data!Q209))</f>
        <v/>
      </c>
      <c r="C219" s="167" t="str">
        <f>IF(ISBLANK(DaqBook_RAW_Data!R209),"",DaqBook_RAW_Data!R209)</f>
        <v/>
      </c>
      <c r="D219" s="167" t="str">
        <f>IF(ISBLANK(DaqBook_RAW_Data!S209),"",DaqBook_RAW_Data!S209)</f>
        <v/>
      </c>
      <c r="E219" s="167" t="str">
        <f>IF(ISBLANK(DaqBook_RAW_Data!T209),"",DaqBook_RAW_Data!T209)</f>
        <v/>
      </c>
      <c r="F219" s="167" t="str">
        <f>IF(ISBLANK(DaqBook_RAW_Data!U209),"",DaqBook_RAW_Data!U209)</f>
        <v/>
      </c>
      <c r="G219" s="167" t="str">
        <f>IF(ISBLANK(DaqBook_RAW_Data!V209),"",DaqBook_RAW_Data!V209)</f>
        <v/>
      </c>
      <c r="H219" s="167" t="str">
        <f>IF(ISBLANK(DaqBook_RAW_Data!W209),"",DaqBook_RAW_Data!W209)</f>
        <v/>
      </c>
      <c r="I219" s="167" t="str">
        <f>IF(ISBLANK(DaqBook_RAW_Data!X209),"",DaqBook_RAW_Data!X209)</f>
        <v/>
      </c>
      <c r="J219" s="167" t="str">
        <f>IF(ISBLANK(DaqBook_RAW_Data!Y209),"",DaqBook_RAW_Data!Y209)</f>
        <v/>
      </c>
      <c r="K219" s="167" t="str">
        <f>IF(ISBLANK(DaqBook_RAW_Data!Z209),"",DaqBook_RAW_Data!Z209)</f>
        <v/>
      </c>
      <c r="L219" s="167" t="str">
        <f>IF(ISBLANK(DaqBook_RAW_Data!AA209),"",DaqBook_RAW_Data!AA209)</f>
        <v/>
      </c>
      <c r="M219" s="167" t="str">
        <f>IF(ISBLANK(DaqBook_RAW_Data!AB209),"",DaqBook_RAW_Data!AB209)</f>
        <v/>
      </c>
      <c r="N219" s="167" t="str">
        <f>IF(ISBLANK(DaqBook_RAW_Data!AC209),"",DaqBook_RAW_Data!AC209)</f>
        <v/>
      </c>
      <c r="O219" s="167" t="str">
        <f>IF(ISBLANK(DaqBook_RAW_Data!AD209),"",DaqBook_RAW_Data!AD209)</f>
        <v/>
      </c>
      <c r="P219" s="167" t="str">
        <f>IF(ISBLANK(DaqBook_RAW_Data!AE209),"",DaqBook_RAW_Data!AE209)</f>
        <v/>
      </c>
    </row>
    <row r="220" spans="1:16" x14ac:dyDescent="0.2">
      <c r="A220" s="58" t="e">
        <f t="shared" si="3"/>
        <v>#VALUE!</v>
      </c>
      <c r="B220" s="144" t="str">
        <f>IF(ISBLANK(DaqBook_RAW_Data!Q210),IF(DaqBook_RAW_Data!A210="","",TIMEVALUE(DaqBook_RAW_Data!A210)),TIMEVALUE(DaqBook_RAW_Data!Q210))</f>
        <v/>
      </c>
      <c r="C220" s="167" t="str">
        <f>IF(ISBLANK(DaqBook_RAW_Data!R210),"",DaqBook_RAW_Data!R210)</f>
        <v/>
      </c>
      <c r="D220" s="167" t="str">
        <f>IF(ISBLANK(DaqBook_RAW_Data!S210),"",DaqBook_RAW_Data!S210)</f>
        <v/>
      </c>
      <c r="E220" s="167" t="str">
        <f>IF(ISBLANK(DaqBook_RAW_Data!T210),"",DaqBook_RAW_Data!T210)</f>
        <v/>
      </c>
      <c r="F220" s="167" t="str">
        <f>IF(ISBLANK(DaqBook_RAW_Data!U210),"",DaqBook_RAW_Data!U210)</f>
        <v/>
      </c>
      <c r="G220" s="167" t="str">
        <f>IF(ISBLANK(DaqBook_RAW_Data!V210),"",DaqBook_RAW_Data!V210)</f>
        <v/>
      </c>
      <c r="H220" s="167" t="str">
        <f>IF(ISBLANK(DaqBook_RAW_Data!W210),"",DaqBook_RAW_Data!W210)</f>
        <v/>
      </c>
      <c r="I220" s="167" t="str">
        <f>IF(ISBLANK(DaqBook_RAW_Data!X210),"",DaqBook_RAW_Data!X210)</f>
        <v/>
      </c>
      <c r="J220" s="167" t="str">
        <f>IF(ISBLANK(DaqBook_RAW_Data!Y210),"",DaqBook_RAW_Data!Y210)</f>
        <v/>
      </c>
      <c r="K220" s="167" t="str">
        <f>IF(ISBLANK(DaqBook_RAW_Data!Z210),"",DaqBook_RAW_Data!Z210)</f>
        <v/>
      </c>
      <c r="L220" s="167" t="str">
        <f>IF(ISBLANK(DaqBook_RAW_Data!AA210),"",DaqBook_RAW_Data!AA210)</f>
        <v/>
      </c>
      <c r="M220" s="167" t="str">
        <f>IF(ISBLANK(DaqBook_RAW_Data!AB210),"",DaqBook_RAW_Data!AB210)</f>
        <v/>
      </c>
      <c r="N220" s="167" t="str">
        <f>IF(ISBLANK(DaqBook_RAW_Data!AC210),"",DaqBook_RAW_Data!AC210)</f>
        <v/>
      </c>
      <c r="O220" s="167" t="str">
        <f>IF(ISBLANK(DaqBook_RAW_Data!AD210),"",DaqBook_RAW_Data!AD210)</f>
        <v/>
      </c>
      <c r="P220" s="167" t="str">
        <f>IF(ISBLANK(DaqBook_RAW_Data!AE210),"",DaqBook_RAW_Data!AE210)</f>
        <v/>
      </c>
    </row>
    <row r="221" spans="1:16" x14ac:dyDescent="0.2">
      <c r="A221" s="58" t="e">
        <f t="shared" si="3"/>
        <v>#VALUE!</v>
      </c>
      <c r="B221" s="144" t="str">
        <f>IF(ISBLANK(DaqBook_RAW_Data!Q211),IF(DaqBook_RAW_Data!A211="","",TIMEVALUE(DaqBook_RAW_Data!A211)),TIMEVALUE(DaqBook_RAW_Data!Q211))</f>
        <v/>
      </c>
      <c r="C221" s="167" t="str">
        <f>IF(ISBLANK(DaqBook_RAW_Data!R211),"",DaqBook_RAW_Data!R211)</f>
        <v/>
      </c>
      <c r="D221" s="167" t="str">
        <f>IF(ISBLANK(DaqBook_RAW_Data!S211),"",DaqBook_RAW_Data!S211)</f>
        <v/>
      </c>
      <c r="E221" s="167" t="str">
        <f>IF(ISBLANK(DaqBook_RAW_Data!T211),"",DaqBook_RAW_Data!T211)</f>
        <v/>
      </c>
      <c r="F221" s="167" t="str">
        <f>IF(ISBLANK(DaqBook_RAW_Data!U211),"",DaqBook_RAW_Data!U211)</f>
        <v/>
      </c>
      <c r="G221" s="167" t="str">
        <f>IF(ISBLANK(DaqBook_RAW_Data!V211),"",DaqBook_RAW_Data!V211)</f>
        <v/>
      </c>
      <c r="H221" s="167" t="str">
        <f>IF(ISBLANK(DaqBook_RAW_Data!W211),"",DaqBook_RAW_Data!W211)</f>
        <v/>
      </c>
      <c r="I221" s="167" t="str">
        <f>IF(ISBLANK(DaqBook_RAW_Data!X211),"",DaqBook_RAW_Data!X211)</f>
        <v/>
      </c>
      <c r="J221" s="167" t="str">
        <f>IF(ISBLANK(DaqBook_RAW_Data!Y211),"",DaqBook_RAW_Data!Y211)</f>
        <v/>
      </c>
      <c r="K221" s="167" t="str">
        <f>IF(ISBLANK(DaqBook_RAW_Data!Z211),"",DaqBook_RAW_Data!Z211)</f>
        <v/>
      </c>
      <c r="L221" s="167" t="str">
        <f>IF(ISBLANK(DaqBook_RAW_Data!AA211),"",DaqBook_RAW_Data!AA211)</f>
        <v/>
      </c>
      <c r="M221" s="167" t="str">
        <f>IF(ISBLANK(DaqBook_RAW_Data!AB211),"",DaqBook_RAW_Data!AB211)</f>
        <v/>
      </c>
      <c r="N221" s="167" t="str">
        <f>IF(ISBLANK(DaqBook_RAW_Data!AC211),"",DaqBook_RAW_Data!AC211)</f>
        <v/>
      </c>
      <c r="O221" s="167" t="str">
        <f>IF(ISBLANK(DaqBook_RAW_Data!AD211),"",DaqBook_RAW_Data!AD211)</f>
        <v/>
      </c>
      <c r="P221" s="167" t="str">
        <f>IF(ISBLANK(DaqBook_RAW_Data!AE211),"",DaqBook_RAW_Data!AE211)</f>
        <v/>
      </c>
    </row>
    <row r="222" spans="1:16" x14ac:dyDescent="0.2">
      <c r="A222" s="58" t="e">
        <f t="shared" si="3"/>
        <v>#VALUE!</v>
      </c>
      <c r="B222" s="144" t="str">
        <f>IF(ISBLANK(DaqBook_RAW_Data!Q212),IF(DaqBook_RAW_Data!A212="","",TIMEVALUE(DaqBook_RAW_Data!A212)),TIMEVALUE(DaqBook_RAW_Data!Q212))</f>
        <v/>
      </c>
      <c r="C222" s="167" t="str">
        <f>IF(ISBLANK(DaqBook_RAW_Data!R212),"",DaqBook_RAW_Data!R212)</f>
        <v/>
      </c>
      <c r="D222" s="167" t="str">
        <f>IF(ISBLANK(DaqBook_RAW_Data!S212),"",DaqBook_RAW_Data!S212)</f>
        <v/>
      </c>
      <c r="E222" s="167" t="str">
        <f>IF(ISBLANK(DaqBook_RAW_Data!T212),"",DaqBook_RAW_Data!T212)</f>
        <v/>
      </c>
      <c r="F222" s="167" t="str">
        <f>IF(ISBLANK(DaqBook_RAW_Data!U212),"",DaqBook_RAW_Data!U212)</f>
        <v/>
      </c>
      <c r="G222" s="167" t="str">
        <f>IF(ISBLANK(DaqBook_RAW_Data!V212),"",DaqBook_RAW_Data!V212)</f>
        <v/>
      </c>
      <c r="H222" s="167" t="str">
        <f>IF(ISBLANK(DaqBook_RAW_Data!W212),"",DaqBook_RAW_Data!W212)</f>
        <v/>
      </c>
      <c r="I222" s="167" t="str">
        <f>IF(ISBLANK(DaqBook_RAW_Data!X212),"",DaqBook_RAW_Data!X212)</f>
        <v/>
      </c>
      <c r="J222" s="167" t="str">
        <f>IF(ISBLANK(DaqBook_RAW_Data!Y212),"",DaqBook_RAW_Data!Y212)</f>
        <v/>
      </c>
      <c r="K222" s="167" t="str">
        <f>IF(ISBLANK(DaqBook_RAW_Data!Z212),"",DaqBook_RAW_Data!Z212)</f>
        <v/>
      </c>
      <c r="L222" s="167" t="str">
        <f>IF(ISBLANK(DaqBook_RAW_Data!AA212),"",DaqBook_RAW_Data!AA212)</f>
        <v/>
      </c>
      <c r="M222" s="167" t="str">
        <f>IF(ISBLANK(DaqBook_RAW_Data!AB212),"",DaqBook_RAW_Data!AB212)</f>
        <v/>
      </c>
      <c r="N222" s="167" t="str">
        <f>IF(ISBLANK(DaqBook_RAW_Data!AC212),"",DaqBook_RAW_Data!AC212)</f>
        <v/>
      </c>
      <c r="O222" s="167" t="str">
        <f>IF(ISBLANK(DaqBook_RAW_Data!AD212),"",DaqBook_RAW_Data!AD212)</f>
        <v/>
      </c>
      <c r="P222" s="167" t="str">
        <f>IF(ISBLANK(DaqBook_RAW_Data!AE212),"",DaqBook_RAW_Data!AE212)</f>
        <v/>
      </c>
    </row>
    <row r="223" spans="1:16" x14ac:dyDescent="0.2">
      <c r="A223" s="58" t="e">
        <f t="shared" si="3"/>
        <v>#VALUE!</v>
      </c>
      <c r="B223" s="144" t="str">
        <f>IF(ISBLANK(DaqBook_RAW_Data!Q213),IF(DaqBook_RAW_Data!A213="","",TIMEVALUE(DaqBook_RAW_Data!A213)),TIMEVALUE(DaqBook_RAW_Data!Q213))</f>
        <v/>
      </c>
      <c r="C223" s="167" t="str">
        <f>IF(ISBLANK(DaqBook_RAW_Data!R213),"",DaqBook_RAW_Data!R213)</f>
        <v/>
      </c>
      <c r="D223" s="167" t="str">
        <f>IF(ISBLANK(DaqBook_RAW_Data!S213),"",DaqBook_RAW_Data!S213)</f>
        <v/>
      </c>
      <c r="E223" s="167" t="str">
        <f>IF(ISBLANK(DaqBook_RAW_Data!T213),"",DaqBook_RAW_Data!T213)</f>
        <v/>
      </c>
      <c r="F223" s="167" t="str">
        <f>IF(ISBLANK(DaqBook_RAW_Data!U213),"",DaqBook_RAW_Data!U213)</f>
        <v/>
      </c>
      <c r="G223" s="167" t="str">
        <f>IF(ISBLANK(DaqBook_RAW_Data!V213),"",DaqBook_RAW_Data!V213)</f>
        <v/>
      </c>
      <c r="H223" s="167" t="str">
        <f>IF(ISBLANK(DaqBook_RAW_Data!W213),"",DaqBook_RAW_Data!W213)</f>
        <v/>
      </c>
      <c r="I223" s="167" t="str">
        <f>IF(ISBLANK(DaqBook_RAW_Data!X213),"",DaqBook_RAW_Data!X213)</f>
        <v/>
      </c>
      <c r="J223" s="167" t="str">
        <f>IF(ISBLANK(DaqBook_RAW_Data!Y213),"",DaqBook_RAW_Data!Y213)</f>
        <v/>
      </c>
      <c r="K223" s="167" t="str">
        <f>IF(ISBLANK(DaqBook_RAW_Data!Z213),"",DaqBook_RAW_Data!Z213)</f>
        <v/>
      </c>
      <c r="L223" s="167" t="str">
        <f>IF(ISBLANK(DaqBook_RAW_Data!AA213),"",DaqBook_RAW_Data!AA213)</f>
        <v/>
      </c>
      <c r="M223" s="167" t="str">
        <f>IF(ISBLANK(DaqBook_RAW_Data!AB213),"",DaqBook_RAW_Data!AB213)</f>
        <v/>
      </c>
      <c r="N223" s="167" t="str">
        <f>IF(ISBLANK(DaqBook_RAW_Data!AC213),"",DaqBook_RAW_Data!AC213)</f>
        <v/>
      </c>
      <c r="O223" s="167" t="str">
        <f>IF(ISBLANK(DaqBook_RAW_Data!AD213),"",DaqBook_RAW_Data!AD213)</f>
        <v/>
      </c>
      <c r="P223" s="167" t="str">
        <f>IF(ISBLANK(DaqBook_RAW_Data!AE213),"",DaqBook_RAW_Data!AE213)</f>
        <v/>
      </c>
    </row>
    <row r="224" spans="1:16" x14ac:dyDescent="0.2">
      <c r="A224" s="58" t="e">
        <f t="shared" si="3"/>
        <v>#VALUE!</v>
      </c>
      <c r="B224" s="144" t="str">
        <f>IF(ISBLANK(DaqBook_RAW_Data!Q214),IF(DaqBook_RAW_Data!A214="","",TIMEVALUE(DaqBook_RAW_Data!A214)),TIMEVALUE(DaqBook_RAW_Data!Q214))</f>
        <v/>
      </c>
      <c r="C224" s="167" t="str">
        <f>IF(ISBLANK(DaqBook_RAW_Data!R214),"",DaqBook_RAW_Data!R214)</f>
        <v/>
      </c>
      <c r="D224" s="167" t="str">
        <f>IF(ISBLANK(DaqBook_RAW_Data!S214),"",DaqBook_RAW_Data!S214)</f>
        <v/>
      </c>
      <c r="E224" s="167" t="str">
        <f>IF(ISBLANK(DaqBook_RAW_Data!T214),"",DaqBook_RAW_Data!T214)</f>
        <v/>
      </c>
      <c r="F224" s="167" t="str">
        <f>IF(ISBLANK(DaqBook_RAW_Data!U214),"",DaqBook_RAW_Data!U214)</f>
        <v/>
      </c>
      <c r="G224" s="167" t="str">
        <f>IF(ISBLANK(DaqBook_RAW_Data!V214),"",DaqBook_RAW_Data!V214)</f>
        <v/>
      </c>
      <c r="H224" s="167" t="str">
        <f>IF(ISBLANK(DaqBook_RAW_Data!W214),"",DaqBook_RAW_Data!W214)</f>
        <v/>
      </c>
      <c r="I224" s="167" t="str">
        <f>IF(ISBLANK(DaqBook_RAW_Data!X214),"",DaqBook_RAW_Data!X214)</f>
        <v/>
      </c>
      <c r="J224" s="167" t="str">
        <f>IF(ISBLANK(DaqBook_RAW_Data!Y214),"",DaqBook_RAW_Data!Y214)</f>
        <v/>
      </c>
      <c r="K224" s="167" t="str">
        <f>IF(ISBLANK(DaqBook_RAW_Data!Z214),"",DaqBook_RAW_Data!Z214)</f>
        <v/>
      </c>
      <c r="L224" s="167" t="str">
        <f>IF(ISBLANK(DaqBook_RAW_Data!AA214),"",DaqBook_RAW_Data!AA214)</f>
        <v/>
      </c>
      <c r="M224" s="167" t="str">
        <f>IF(ISBLANK(DaqBook_RAW_Data!AB214),"",DaqBook_RAW_Data!AB214)</f>
        <v/>
      </c>
      <c r="N224" s="167" t="str">
        <f>IF(ISBLANK(DaqBook_RAW_Data!AC214),"",DaqBook_RAW_Data!AC214)</f>
        <v/>
      </c>
      <c r="O224" s="167" t="str">
        <f>IF(ISBLANK(DaqBook_RAW_Data!AD214),"",DaqBook_RAW_Data!AD214)</f>
        <v/>
      </c>
      <c r="P224" s="167" t="str">
        <f>IF(ISBLANK(DaqBook_RAW_Data!AE214),"",DaqBook_RAW_Data!AE214)</f>
        <v/>
      </c>
    </row>
    <row r="225" spans="1:16" x14ac:dyDescent="0.2">
      <c r="A225" s="58" t="e">
        <f t="shared" si="3"/>
        <v>#VALUE!</v>
      </c>
      <c r="B225" s="144" t="str">
        <f>IF(ISBLANK(DaqBook_RAW_Data!Q215),IF(DaqBook_RAW_Data!A215="","",TIMEVALUE(DaqBook_RAW_Data!A215)),TIMEVALUE(DaqBook_RAW_Data!Q215))</f>
        <v/>
      </c>
      <c r="C225" s="167" t="str">
        <f>IF(ISBLANK(DaqBook_RAW_Data!R215),"",DaqBook_RAW_Data!R215)</f>
        <v/>
      </c>
      <c r="D225" s="167" t="str">
        <f>IF(ISBLANK(DaqBook_RAW_Data!S215),"",DaqBook_RAW_Data!S215)</f>
        <v/>
      </c>
      <c r="E225" s="167" t="str">
        <f>IF(ISBLANK(DaqBook_RAW_Data!T215),"",DaqBook_RAW_Data!T215)</f>
        <v/>
      </c>
      <c r="F225" s="167" t="str">
        <f>IF(ISBLANK(DaqBook_RAW_Data!U215),"",DaqBook_RAW_Data!U215)</f>
        <v/>
      </c>
      <c r="G225" s="167" t="str">
        <f>IF(ISBLANK(DaqBook_RAW_Data!V215),"",DaqBook_RAW_Data!V215)</f>
        <v/>
      </c>
      <c r="H225" s="167" t="str">
        <f>IF(ISBLANK(DaqBook_RAW_Data!W215),"",DaqBook_RAW_Data!W215)</f>
        <v/>
      </c>
      <c r="I225" s="167" t="str">
        <f>IF(ISBLANK(DaqBook_RAW_Data!X215),"",DaqBook_RAW_Data!X215)</f>
        <v/>
      </c>
      <c r="J225" s="167" t="str">
        <f>IF(ISBLANK(DaqBook_RAW_Data!Y215),"",DaqBook_RAW_Data!Y215)</f>
        <v/>
      </c>
      <c r="K225" s="167" t="str">
        <f>IF(ISBLANK(DaqBook_RAW_Data!Z215),"",DaqBook_RAW_Data!Z215)</f>
        <v/>
      </c>
      <c r="L225" s="167" t="str">
        <f>IF(ISBLANK(DaqBook_RAW_Data!AA215),"",DaqBook_RAW_Data!AA215)</f>
        <v/>
      </c>
      <c r="M225" s="167" t="str">
        <f>IF(ISBLANK(DaqBook_RAW_Data!AB215),"",DaqBook_RAW_Data!AB215)</f>
        <v/>
      </c>
      <c r="N225" s="167" t="str">
        <f>IF(ISBLANK(DaqBook_RAW_Data!AC215),"",DaqBook_RAW_Data!AC215)</f>
        <v/>
      </c>
      <c r="O225" s="167" t="str">
        <f>IF(ISBLANK(DaqBook_RAW_Data!AD215),"",DaqBook_RAW_Data!AD215)</f>
        <v/>
      </c>
      <c r="P225" s="167" t="str">
        <f>IF(ISBLANK(DaqBook_RAW_Data!AE215),"",DaqBook_RAW_Data!AE215)</f>
        <v/>
      </c>
    </row>
    <row r="226" spans="1:16" x14ac:dyDescent="0.2">
      <c r="A226" s="58" t="e">
        <f t="shared" si="3"/>
        <v>#VALUE!</v>
      </c>
      <c r="B226" s="144" t="str">
        <f>IF(ISBLANK(DaqBook_RAW_Data!Q216),IF(DaqBook_RAW_Data!A216="","",TIMEVALUE(DaqBook_RAW_Data!A216)),TIMEVALUE(DaqBook_RAW_Data!Q216))</f>
        <v/>
      </c>
      <c r="C226" s="167" t="str">
        <f>IF(ISBLANK(DaqBook_RAW_Data!R216),"",DaqBook_RAW_Data!R216)</f>
        <v/>
      </c>
      <c r="D226" s="167" t="str">
        <f>IF(ISBLANK(DaqBook_RAW_Data!S216),"",DaqBook_RAW_Data!S216)</f>
        <v/>
      </c>
      <c r="E226" s="167" t="str">
        <f>IF(ISBLANK(DaqBook_RAW_Data!T216),"",DaqBook_RAW_Data!T216)</f>
        <v/>
      </c>
      <c r="F226" s="167" t="str">
        <f>IF(ISBLANK(DaqBook_RAW_Data!U216),"",DaqBook_RAW_Data!U216)</f>
        <v/>
      </c>
      <c r="G226" s="167" t="str">
        <f>IF(ISBLANK(DaqBook_RAW_Data!V216),"",DaqBook_RAW_Data!V216)</f>
        <v/>
      </c>
      <c r="H226" s="167" t="str">
        <f>IF(ISBLANK(DaqBook_RAW_Data!W216),"",DaqBook_RAW_Data!W216)</f>
        <v/>
      </c>
      <c r="I226" s="167" t="str">
        <f>IF(ISBLANK(DaqBook_RAW_Data!X216),"",DaqBook_RAW_Data!X216)</f>
        <v/>
      </c>
      <c r="J226" s="167" t="str">
        <f>IF(ISBLANK(DaqBook_RAW_Data!Y216),"",DaqBook_RAW_Data!Y216)</f>
        <v/>
      </c>
      <c r="K226" s="167" t="str">
        <f>IF(ISBLANK(DaqBook_RAW_Data!Z216),"",DaqBook_RAW_Data!Z216)</f>
        <v/>
      </c>
      <c r="L226" s="167" t="str">
        <f>IF(ISBLANK(DaqBook_RAW_Data!AA216),"",DaqBook_RAW_Data!AA216)</f>
        <v/>
      </c>
      <c r="M226" s="167" t="str">
        <f>IF(ISBLANK(DaqBook_RAW_Data!AB216),"",DaqBook_RAW_Data!AB216)</f>
        <v/>
      </c>
      <c r="N226" s="167" t="str">
        <f>IF(ISBLANK(DaqBook_RAW_Data!AC216),"",DaqBook_RAW_Data!AC216)</f>
        <v/>
      </c>
      <c r="O226" s="167" t="str">
        <f>IF(ISBLANK(DaqBook_RAW_Data!AD216),"",DaqBook_RAW_Data!AD216)</f>
        <v/>
      </c>
      <c r="P226" s="167" t="str">
        <f>IF(ISBLANK(DaqBook_RAW_Data!AE216),"",DaqBook_RAW_Data!AE216)</f>
        <v/>
      </c>
    </row>
    <row r="227" spans="1:16" x14ac:dyDescent="0.2">
      <c r="A227" s="58" t="e">
        <f t="shared" si="3"/>
        <v>#VALUE!</v>
      </c>
      <c r="B227" s="144" t="str">
        <f>IF(ISBLANK(DaqBook_RAW_Data!Q217),IF(DaqBook_RAW_Data!A217="","",TIMEVALUE(DaqBook_RAW_Data!A217)),TIMEVALUE(DaqBook_RAW_Data!Q217))</f>
        <v/>
      </c>
      <c r="C227" s="167" t="str">
        <f>IF(ISBLANK(DaqBook_RAW_Data!R217),"",DaqBook_RAW_Data!R217)</f>
        <v/>
      </c>
      <c r="D227" s="167" t="str">
        <f>IF(ISBLANK(DaqBook_RAW_Data!S217),"",DaqBook_RAW_Data!S217)</f>
        <v/>
      </c>
      <c r="E227" s="167" t="str">
        <f>IF(ISBLANK(DaqBook_RAW_Data!T217),"",DaqBook_RAW_Data!T217)</f>
        <v/>
      </c>
      <c r="F227" s="167" t="str">
        <f>IF(ISBLANK(DaqBook_RAW_Data!U217),"",DaqBook_RAW_Data!U217)</f>
        <v/>
      </c>
      <c r="G227" s="167" t="str">
        <f>IF(ISBLANK(DaqBook_RAW_Data!V217),"",DaqBook_RAW_Data!V217)</f>
        <v/>
      </c>
      <c r="H227" s="167" t="str">
        <f>IF(ISBLANK(DaqBook_RAW_Data!W217),"",DaqBook_RAW_Data!W217)</f>
        <v/>
      </c>
      <c r="I227" s="167" t="str">
        <f>IF(ISBLANK(DaqBook_RAW_Data!X217),"",DaqBook_RAW_Data!X217)</f>
        <v/>
      </c>
      <c r="J227" s="167" t="str">
        <f>IF(ISBLANK(DaqBook_RAW_Data!Y217),"",DaqBook_RAW_Data!Y217)</f>
        <v/>
      </c>
      <c r="K227" s="167" t="str">
        <f>IF(ISBLANK(DaqBook_RAW_Data!Z217),"",DaqBook_RAW_Data!Z217)</f>
        <v/>
      </c>
      <c r="L227" s="167" t="str">
        <f>IF(ISBLANK(DaqBook_RAW_Data!AA217),"",DaqBook_RAW_Data!AA217)</f>
        <v/>
      </c>
      <c r="M227" s="167" t="str">
        <f>IF(ISBLANK(DaqBook_RAW_Data!AB217),"",DaqBook_RAW_Data!AB217)</f>
        <v/>
      </c>
      <c r="N227" s="167" t="str">
        <f>IF(ISBLANK(DaqBook_RAW_Data!AC217),"",DaqBook_RAW_Data!AC217)</f>
        <v/>
      </c>
      <c r="O227" s="167" t="str">
        <f>IF(ISBLANK(DaqBook_RAW_Data!AD217),"",DaqBook_RAW_Data!AD217)</f>
        <v/>
      </c>
      <c r="P227" s="167" t="str">
        <f>IF(ISBLANK(DaqBook_RAW_Data!AE217),"",DaqBook_RAW_Data!AE217)</f>
        <v/>
      </c>
    </row>
    <row r="228" spans="1:16" x14ac:dyDescent="0.2">
      <c r="A228" s="58" t="e">
        <f t="shared" si="3"/>
        <v>#VALUE!</v>
      </c>
      <c r="B228" s="144" t="str">
        <f>IF(ISBLANK(DaqBook_RAW_Data!Q218),IF(DaqBook_RAW_Data!A218="","",TIMEVALUE(DaqBook_RAW_Data!A218)),TIMEVALUE(DaqBook_RAW_Data!Q218))</f>
        <v/>
      </c>
      <c r="C228" s="167" t="str">
        <f>IF(ISBLANK(DaqBook_RAW_Data!R218),"",DaqBook_RAW_Data!R218)</f>
        <v/>
      </c>
      <c r="D228" s="167" t="str">
        <f>IF(ISBLANK(DaqBook_RAW_Data!S218),"",DaqBook_RAW_Data!S218)</f>
        <v/>
      </c>
      <c r="E228" s="167" t="str">
        <f>IF(ISBLANK(DaqBook_RAW_Data!T218),"",DaqBook_RAW_Data!T218)</f>
        <v/>
      </c>
      <c r="F228" s="167" t="str">
        <f>IF(ISBLANK(DaqBook_RAW_Data!U218),"",DaqBook_RAW_Data!U218)</f>
        <v/>
      </c>
      <c r="G228" s="167" t="str">
        <f>IF(ISBLANK(DaqBook_RAW_Data!V218),"",DaqBook_RAW_Data!V218)</f>
        <v/>
      </c>
      <c r="H228" s="167" t="str">
        <f>IF(ISBLANK(DaqBook_RAW_Data!W218),"",DaqBook_RAW_Data!W218)</f>
        <v/>
      </c>
      <c r="I228" s="167" t="str">
        <f>IF(ISBLANK(DaqBook_RAW_Data!X218),"",DaqBook_RAW_Data!X218)</f>
        <v/>
      </c>
      <c r="J228" s="167" t="str">
        <f>IF(ISBLANK(DaqBook_RAW_Data!Y218),"",DaqBook_RAW_Data!Y218)</f>
        <v/>
      </c>
      <c r="K228" s="167" t="str">
        <f>IF(ISBLANK(DaqBook_RAW_Data!Z218),"",DaqBook_RAW_Data!Z218)</f>
        <v/>
      </c>
      <c r="L228" s="167" t="str">
        <f>IF(ISBLANK(DaqBook_RAW_Data!AA218),"",DaqBook_RAW_Data!AA218)</f>
        <v/>
      </c>
      <c r="M228" s="167" t="str">
        <f>IF(ISBLANK(DaqBook_RAW_Data!AB218),"",DaqBook_RAW_Data!AB218)</f>
        <v/>
      </c>
      <c r="N228" s="167" t="str">
        <f>IF(ISBLANK(DaqBook_RAW_Data!AC218),"",DaqBook_RAW_Data!AC218)</f>
        <v/>
      </c>
      <c r="O228" s="167" t="str">
        <f>IF(ISBLANK(DaqBook_RAW_Data!AD218),"",DaqBook_RAW_Data!AD218)</f>
        <v/>
      </c>
      <c r="P228" s="167" t="str">
        <f>IF(ISBLANK(DaqBook_RAW_Data!AE218),"",DaqBook_RAW_Data!AE218)</f>
        <v/>
      </c>
    </row>
    <row r="229" spans="1:16" x14ac:dyDescent="0.2">
      <c r="A229" s="58" t="e">
        <f t="shared" si="3"/>
        <v>#VALUE!</v>
      </c>
      <c r="B229" s="144" t="str">
        <f>IF(ISBLANK(DaqBook_RAW_Data!Q219),IF(DaqBook_RAW_Data!A219="","",TIMEVALUE(DaqBook_RAW_Data!A219)),TIMEVALUE(DaqBook_RAW_Data!Q219))</f>
        <v/>
      </c>
      <c r="C229" s="167" t="str">
        <f>IF(ISBLANK(DaqBook_RAW_Data!R219),"",DaqBook_RAW_Data!R219)</f>
        <v/>
      </c>
      <c r="D229" s="167" t="str">
        <f>IF(ISBLANK(DaqBook_RAW_Data!S219),"",DaqBook_RAW_Data!S219)</f>
        <v/>
      </c>
      <c r="E229" s="167" t="str">
        <f>IF(ISBLANK(DaqBook_RAW_Data!T219),"",DaqBook_RAW_Data!T219)</f>
        <v/>
      </c>
      <c r="F229" s="167" t="str">
        <f>IF(ISBLANK(DaqBook_RAW_Data!U219),"",DaqBook_RAW_Data!U219)</f>
        <v/>
      </c>
      <c r="G229" s="167" t="str">
        <f>IF(ISBLANK(DaqBook_RAW_Data!V219),"",DaqBook_RAW_Data!V219)</f>
        <v/>
      </c>
      <c r="H229" s="167" t="str">
        <f>IF(ISBLANK(DaqBook_RAW_Data!W219),"",DaqBook_RAW_Data!W219)</f>
        <v/>
      </c>
      <c r="I229" s="167" t="str">
        <f>IF(ISBLANK(DaqBook_RAW_Data!X219),"",DaqBook_RAW_Data!X219)</f>
        <v/>
      </c>
      <c r="J229" s="167" t="str">
        <f>IF(ISBLANK(DaqBook_RAW_Data!Y219),"",DaqBook_RAW_Data!Y219)</f>
        <v/>
      </c>
      <c r="K229" s="167" t="str">
        <f>IF(ISBLANK(DaqBook_RAW_Data!Z219),"",DaqBook_RAW_Data!Z219)</f>
        <v/>
      </c>
      <c r="L229" s="167" t="str">
        <f>IF(ISBLANK(DaqBook_RAW_Data!AA219),"",DaqBook_RAW_Data!AA219)</f>
        <v/>
      </c>
      <c r="M229" s="167" t="str">
        <f>IF(ISBLANK(DaqBook_RAW_Data!AB219),"",DaqBook_RAW_Data!AB219)</f>
        <v/>
      </c>
      <c r="N229" s="167" t="str">
        <f>IF(ISBLANK(DaqBook_RAW_Data!AC219),"",DaqBook_RAW_Data!AC219)</f>
        <v/>
      </c>
      <c r="O229" s="167" t="str">
        <f>IF(ISBLANK(DaqBook_RAW_Data!AD219),"",DaqBook_RAW_Data!AD219)</f>
        <v/>
      </c>
      <c r="P229" s="167" t="str">
        <f>IF(ISBLANK(DaqBook_RAW_Data!AE219),"",DaqBook_RAW_Data!AE219)</f>
        <v/>
      </c>
    </row>
    <row r="230" spans="1:16" x14ac:dyDescent="0.2">
      <c r="A230" s="58" t="e">
        <f t="shared" si="3"/>
        <v>#VALUE!</v>
      </c>
      <c r="B230" s="144" t="str">
        <f>IF(ISBLANK(DaqBook_RAW_Data!Q220),IF(DaqBook_RAW_Data!A220="","",TIMEVALUE(DaqBook_RAW_Data!A220)),TIMEVALUE(DaqBook_RAW_Data!Q220))</f>
        <v/>
      </c>
      <c r="C230" s="167" t="str">
        <f>IF(ISBLANK(DaqBook_RAW_Data!R220),"",DaqBook_RAW_Data!R220)</f>
        <v/>
      </c>
      <c r="D230" s="167" t="str">
        <f>IF(ISBLANK(DaqBook_RAW_Data!S220),"",DaqBook_RAW_Data!S220)</f>
        <v/>
      </c>
      <c r="E230" s="167" t="str">
        <f>IF(ISBLANK(DaqBook_RAW_Data!T220),"",DaqBook_RAW_Data!T220)</f>
        <v/>
      </c>
      <c r="F230" s="167" t="str">
        <f>IF(ISBLANK(DaqBook_RAW_Data!U220),"",DaqBook_RAW_Data!U220)</f>
        <v/>
      </c>
      <c r="G230" s="167" t="str">
        <f>IF(ISBLANK(DaqBook_RAW_Data!V220),"",DaqBook_RAW_Data!V220)</f>
        <v/>
      </c>
      <c r="H230" s="167" t="str">
        <f>IF(ISBLANK(DaqBook_RAW_Data!W220),"",DaqBook_RAW_Data!W220)</f>
        <v/>
      </c>
      <c r="I230" s="167" t="str">
        <f>IF(ISBLANK(DaqBook_RAW_Data!X220),"",DaqBook_RAW_Data!X220)</f>
        <v/>
      </c>
      <c r="J230" s="167" t="str">
        <f>IF(ISBLANK(DaqBook_RAW_Data!Y220),"",DaqBook_RAW_Data!Y220)</f>
        <v/>
      </c>
      <c r="K230" s="167" t="str">
        <f>IF(ISBLANK(DaqBook_RAW_Data!Z220),"",DaqBook_RAW_Data!Z220)</f>
        <v/>
      </c>
      <c r="L230" s="167" t="str">
        <f>IF(ISBLANK(DaqBook_RAW_Data!AA220),"",DaqBook_RAW_Data!AA220)</f>
        <v/>
      </c>
      <c r="M230" s="167" t="str">
        <f>IF(ISBLANK(DaqBook_RAW_Data!AB220),"",DaqBook_RAW_Data!AB220)</f>
        <v/>
      </c>
      <c r="N230" s="167" t="str">
        <f>IF(ISBLANK(DaqBook_RAW_Data!AC220),"",DaqBook_RAW_Data!AC220)</f>
        <v/>
      </c>
      <c r="O230" s="167" t="str">
        <f>IF(ISBLANK(DaqBook_RAW_Data!AD220),"",DaqBook_RAW_Data!AD220)</f>
        <v/>
      </c>
      <c r="P230" s="167" t="str">
        <f>IF(ISBLANK(DaqBook_RAW_Data!AE220),"",DaqBook_RAW_Data!AE220)</f>
        <v/>
      </c>
    </row>
    <row r="231" spans="1:16" x14ac:dyDescent="0.2">
      <c r="A231" s="58" t="e">
        <f t="shared" si="3"/>
        <v>#VALUE!</v>
      </c>
      <c r="B231" s="144" t="str">
        <f>IF(ISBLANK(DaqBook_RAW_Data!Q221),IF(DaqBook_RAW_Data!A221="","",TIMEVALUE(DaqBook_RAW_Data!A221)),TIMEVALUE(DaqBook_RAW_Data!Q221))</f>
        <v/>
      </c>
      <c r="C231" s="167" t="str">
        <f>IF(ISBLANK(DaqBook_RAW_Data!R221),"",DaqBook_RAW_Data!R221)</f>
        <v/>
      </c>
      <c r="D231" s="167" t="str">
        <f>IF(ISBLANK(DaqBook_RAW_Data!S221),"",DaqBook_RAW_Data!S221)</f>
        <v/>
      </c>
      <c r="E231" s="167" t="str">
        <f>IF(ISBLANK(DaqBook_RAW_Data!T221),"",DaqBook_RAW_Data!T221)</f>
        <v/>
      </c>
      <c r="F231" s="167" t="str">
        <f>IF(ISBLANK(DaqBook_RAW_Data!U221),"",DaqBook_RAW_Data!U221)</f>
        <v/>
      </c>
      <c r="G231" s="167" t="str">
        <f>IF(ISBLANK(DaqBook_RAW_Data!V221),"",DaqBook_RAW_Data!V221)</f>
        <v/>
      </c>
      <c r="H231" s="167" t="str">
        <f>IF(ISBLANK(DaqBook_RAW_Data!W221),"",DaqBook_RAW_Data!W221)</f>
        <v/>
      </c>
      <c r="I231" s="167" t="str">
        <f>IF(ISBLANK(DaqBook_RAW_Data!X221),"",DaqBook_RAW_Data!X221)</f>
        <v/>
      </c>
      <c r="J231" s="167" t="str">
        <f>IF(ISBLANK(DaqBook_RAW_Data!Y221),"",DaqBook_RAW_Data!Y221)</f>
        <v/>
      </c>
      <c r="K231" s="167" t="str">
        <f>IF(ISBLANK(DaqBook_RAW_Data!Z221),"",DaqBook_RAW_Data!Z221)</f>
        <v/>
      </c>
      <c r="L231" s="167" t="str">
        <f>IF(ISBLANK(DaqBook_RAW_Data!AA221),"",DaqBook_RAW_Data!AA221)</f>
        <v/>
      </c>
      <c r="M231" s="167" t="str">
        <f>IF(ISBLANK(DaqBook_RAW_Data!AB221),"",DaqBook_RAW_Data!AB221)</f>
        <v/>
      </c>
      <c r="N231" s="167" t="str">
        <f>IF(ISBLANK(DaqBook_RAW_Data!AC221),"",DaqBook_RAW_Data!AC221)</f>
        <v/>
      </c>
      <c r="O231" s="167" t="str">
        <f>IF(ISBLANK(DaqBook_RAW_Data!AD221),"",DaqBook_RAW_Data!AD221)</f>
        <v/>
      </c>
      <c r="P231" s="167" t="str">
        <f>IF(ISBLANK(DaqBook_RAW_Data!AE221),"",DaqBook_RAW_Data!AE221)</f>
        <v/>
      </c>
    </row>
    <row r="232" spans="1:16" x14ac:dyDescent="0.2">
      <c r="A232" s="58" t="e">
        <f t="shared" si="3"/>
        <v>#VALUE!</v>
      </c>
      <c r="B232" s="144" t="str">
        <f>IF(ISBLANK(DaqBook_RAW_Data!Q222),IF(DaqBook_RAW_Data!A222="","",TIMEVALUE(DaqBook_RAW_Data!A222)),TIMEVALUE(DaqBook_RAW_Data!Q222))</f>
        <v/>
      </c>
      <c r="C232" s="167" t="str">
        <f>IF(ISBLANK(DaqBook_RAW_Data!R222),"",DaqBook_RAW_Data!R222)</f>
        <v/>
      </c>
      <c r="D232" s="167" t="str">
        <f>IF(ISBLANK(DaqBook_RAW_Data!S222),"",DaqBook_RAW_Data!S222)</f>
        <v/>
      </c>
      <c r="E232" s="167" t="str">
        <f>IF(ISBLANK(DaqBook_RAW_Data!T222),"",DaqBook_RAW_Data!T222)</f>
        <v/>
      </c>
      <c r="F232" s="167" t="str">
        <f>IF(ISBLANK(DaqBook_RAW_Data!U222),"",DaqBook_RAW_Data!U222)</f>
        <v/>
      </c>
      <c r="G232" s="167" t="str">
        <f>IF(ISBLANK(DaqBook_RAW_Data!V222),"",DaqBook_RAW_Data!V222)</f>
        <v/>
      </c>
      <c r="H232" s="167" t="str">
        <f>IF(ISBLANK(DaqBook_RAW_Data!W222),"",DaqBook_RAW_Data!W222)</f>
        <v/>
      </c>
      <c r="I232" s="167" t="str">
        <f>IF(ISBLANK(DaqBook_RAW_Data!X222),"",DaqBook_RAW_Data!X222)</f>
        <v/>
      </c>
      <c r="J232" s="167" t="str">
        <f>IF(ISBLANK(DaqBook_RAW_Data!Y222),"",DaqBook_RAW_Data!Y222)</f>
        <v/>
      </c>
      <c r="K232" s="167" t="str">
        <f>IF(ISBLANK(DaqBook_RAW_Data!Z222),"",DaqBook_RAW_Data!Z222)</f>
        <v/>
      </c>
      <c r="L232" s="167" t="str">
        <f>IF(ISBLANK(DaqBook_RAW_Data!AA222),"",DaqBook_RAW_Data!AA222)</f>
        <v/>
      </c>
      <c r="M232" s="167" t="str">
        <f>IF(ISBLANK(DaqBook_RAW_Data!AB222),"",DaqBook_RAW_Data!AB222)</f>
        <v/>
      </c>
      <c r="N232" s="167" t="str">
        <f>IF(ISBLANK(DaqBook_RAW_Data!AC222),"",DaqBook_RAW_Data!AC222)</f>
        <v/>
      </c>
      <c r="O232" s="167" t="str">
        <f>IF(ISBLANK(DaqBook_RAW_Data!AD222),"",DaqBook_RAW_Data!AD222)</f>
        <v/>
      </c>
      <c r="P232" s="167" t="str">
        <f>IF(ISBLANK(DaqBook_RAW_Data!AE222),"",DaqBook_RAW_Data!AE222)</f>
        <v/>
      </c>
    </row>
    <row r="233" spans="1:16" x14ac:dyDescent="0.2">
      <c r="A233" s="58" t="e">
        <f t="shared" si="3"/>
        <v>#VALUE!</v>
      </c>
      <c r="B233" s="144" t="str">
        <f>IF(ISBLANK(DaqBook_RAW_Data!Q223),IF(DaqBook_RAW_Data!A223="","",TIMEVALUE(DaqBook_RAW_Data!A223)),TIMEVALUE(DaqBook_RAW_Data!Q223))</f>
        <v/>
      </c>
      <c r="C233" s="167" t="str">
        <f>IF(ISBLANK(DaqBook_RAW_Data!R223),"",DaqBook_RAW_Data!R223)</f>
        <v/>
      </c>
      <c r="D233" s="167" t="str">
        <f>IF(ISBLANK(DaqBook_RAW_Data!S223),"",DaqBook_RAW_Data!S223)</f>
        <v/>
      </c>
      <c r="E233" s="167" t="str">
        <f>IF(ISBLANK(DaqBook_RAW_Data!T223),"",DaqBook_RAW_Data!T223)</f>
        <v/>
      </c>
      <c r="F233" s="167" t="str">
        <f>IF(ISBLANK(DaqBook_RAW_Data!U223),"",DaqBook_RAW_Data!U223)</f>
        <v/>
      </c>
      <c r="G233" s="167" t="str">
        <f>IF(ISBLANK(DaqBook_RAW_Data!V223),"",DaqBook_RAW_Data!V223)</f>
        <v/>
      </c>
      <c r="H233" s="167" t="str">
        <f>IF(ISBLANK(DaqBook_RAW_Data!W223),"",DaqBook_RAW_Data!W223)</f>
        <v/>
      </c>
      <c r="I233" s="167" t="str">
        <f>IF(ISBLANK(DaqBook_RAW_Data!X223),"",DaqBook_RAW_Data!X223)</f>
        <v/>
      </c>
      <c r="J233" s="167" t="str">
        <f>IF(ISBLANK(DaqBook_RAW_Data!Y223),"",DaqBook_RAW_Data!Y223)</f>
        <v/>
      </c>
      <c r="K233" s="167" t="str">
        <f>IF(ISBLANK(DaqBook_RAW_Data!Z223),"",DaqBook_RAW_Data!Z223)</f>
        <v/>
      </c>
      <c r="L233" s="167" t="str">
        <f>IF(ISBLANK(DaqBook_RAW_Data!AA223),"",DaqBook_RAW_Data!AA223)</f>
        <v/>
      </c>
      <c r="M233" s="167" t="str">
        <f>IF(ISBLANK(DaqBook_RAW_Data!AB223),"",DaqBook_RAW_Data!AB223)</f>
        <v/>
      </c>
      <c r="N233" s="167" t="str">
        <f>IF(ISBLANK(DaqBook_RAW_Data!AC223),"",DaqBook_RAW_Data!AC223)</f>
        <v/>
      </c>
      <c r="O233" s="167" t="str">
        <f>IF(ISBLANK(DaqBook_RAW_Data!AD223),"",DaqBook_RAW_Data!AD223)</f>
        <v/>
      </c>
      <c r="P233" s="167" t="str">
        <f>IF(ISBLANK(DaqBook_RAW_Data!AE223),"",DaqBook_RAW_Data!AE223)</f>
        <v/>
      </c>
    </row>
    <row r="234" spans="1:16" x14ac:dyDescent="0.2">
      <c r="A234" s="58" t="e">
        <f t="shared" si="3"/>
        <v>#VALUE!</v>
      </c>
      <c r="B234" s="144" t="str">
        <f>IF(ISBLANK(DaqBook_RAW_Data!Q224),IF(DaqBook_RAW_Data!A224="","",TIMEVALUE(DaqBook_RAW_Data!A224)),TIMEVALUE(DaqBook_RAW_Data!Q224))</f>
        <v/>
      </c>
      <c r="C234" s="167" t="str">
        <f>IF(ISBLANK(DaqBook_RAW_Data!R224),"",DaqBook_RAW_Data!R224)</f>
        <v/>
      </c>
      <c r="D234" s="167" t="str">
        <f>IF(ISBLANK(DaqBook_RAW_Data!S224),"",DaqBook_RAW_Data!S224)</f>
        <v/>
      </c>
      <c r="E234" s="167" t="str">
        <f>IF(ISBLANK(DaqBook_RAW_Data!T224),"",DaqBook_RAW_Data!T224)</f>
        <v/>
      </c>
      <c r="F234" s="167" t="str">
        <f>IF(ISBLANK(DaqBook_RAW_Data!U224),"",DaqBook_RAW_Data!U224)</f>
        <v/>
      </c>
      <c r="G234" s="167" t="str">
        <f>IF(ISBLANK(DaqBook_RAW_Data!V224),"",DaqBook_RAW_Data!V224)</f>
        <v/>
      </c>
      <c r="H234" s="167" t="str">
        <f>IF(ISBLANK(DaqBook_RAW_Data!W224),"",DaqBook_RAW_Data!W224)</f>
        <v/>
      </c>
      <c r="I234" s="167" t="str">
        <f>IF(ISBLANK(DaqBook_RAW_Data!X224),"",DaqBook_RAW_Data!X224)</f>
        <v/>
      </c>
      <c r="J234" s="167" t="str">
        <f>IF(ISBLANK(DaqBook_RAW_Data!Y224),"",DaqBook_RAW_Data!Y224)</f>
        <v/>
      </c>
      <c r="K234" s="167" t="str">
        <f>IF(ISBLANK(DaqBook_RAW_Data!Z224),"",DaqBook_RAW_Data!Z224)</f>
        <v/>
      </c>
      <c r="L234" s="167" t="str">
        <f>IF(ISBLANK(DaqBook_RAW_Data!AA224),"",DaqBook_RAW_Data!AA224)</f>
        <v/>
      </c>
      <c r="M234" s="167" t="str">
        <f>IF(ISBLANK(DaqBook_RAW_Data!AB224),"",DaqBook_RAW_Data!AB224)</f>
        <v/>
      </c>
      <c r="N234" s="167" t="str">
        <f>IF(ISBLANK(DaqBook_RAW_Data!AC224),"",DaqBook_RAW_Data!AC224)</f>
        <v/>
      </c>
      <c r="O234" s="167" t="str">
        <f>IF(ISBLANK(DaqBook_RAW_Data!AD224),"",DaqBook_RAW_Data!AD224)</f>
        <v/>
      </c>
      <c r="P234" s="167" t="str">
        <f>IF(ISBLANK(DaqBook_RAW_Data!AE224),"",DaqBook_RAW_Data!AE224)</f>
        <v/>
      </c>
    </row>
    <row r="235" spans="1:16" x14ac:dyDescent="0.2">
      <c r="A235" s="58" t="e">
        <f t="shared" si="3"/>
        <v>#VALUE!</v>
      </c>
      <c r="B235" s="144" t="str">
        <f>IF(ISBLANK(DaqBook_RAW_Data!Q225),IF(DaqBook_RAW_Data!A225="","",TIMEVALUE(DaqBook_RAW_Data!A225)),TIMEVALUE(DaqBook_RAW_Data!Q225))</f>
        <v/>
      </c>
      <c r="C235" s="167" t="str">
        <f>IF(ISBLANK(DaqBook_RAW_Data!R225),"",DaqBook_RAW_Data!R225)</f>
        <v/>
      </c>
      <c r="D235" s="167" t="str">
        <f>IF(ISBLANK(DaqBook_RAW_Data!S225),"",DaqBook_RAW_Data!S225)</f>
        <v/>
      </c>
      <c r="E235" s="167" t="str">
        <f>IF(ISBLANK(DaqBook_RAW_Data!T225),"",DaqBook_RAW_Data!T225)</f>
        <v/>
      </c>
      <c r="F235" s="167" t="str">
        <f>IF(ISBLANK(DaqBook_RAW_Data!U225),"",DaqBook_RAW_Data!U225)</f>
        <v/>
      </c>
      <c r="G235" s="167" t="str">
        <f>IF(ISBLANK(DaqBook_RAW_Data!V225),"",DaqBook_RAW_Data!V225)</f>
        <v/>
      </c>
      <c r="H235" s="167" t="str">
        <f>IF(ISBLANK(DaqBook_RAW_Data!W225),"",DaqBook_RAW_Data!W225)</f>
        <v/>
      </c>
      <c r="I235" s="167" t="str">
        <f>IF(ISBLANK(DaqBook_RAW_Data!X225),"",DaqBook_RAW_Data!X225)</f>
        <v/>
      </c>
      <c r="J235" s="167" t="str">
        <f>IF(ISBLANK(DaqBook_RAW_Data!Y225),"",DaqBook_RAW_Data!Y225)</f>
        <v/>
      </c>
      <c r="K235" s="167" t="str">
        <f>IF(ISBLANK(DaqBook_RAW_Data!Z225),"",DaqBook_RAW_Data!Z225)</f>
        <v/>
      </c>
      <c r="L235" s="167" t="str">
        <f>IF(ISBLANK(DaqBook_RAW_Data!AA225),"",DaqBook_RAW_Data!AA225)</f>
        <v/>
      </c>
      <c r="M235" s="167" t="str">
        <f>IF(ISBLANK(DaqBook_RAW_Data!AB225),"",DaqBook_RAW_Data!AB225)</f>
        <v/>
      </c>
      <c r="N235" s="167" t="str">
        <f>IF(ISBLANK(DaqBook_RAW_Data!AC225),"",DaqBook_RAW_Data!AC225)</f>
        <v/>
      </c>
      <c r="O235" s="167" t="str">
        <f>IF(ISBLANK(DaqBook_RAW_Data!AD225),"",DaqBook_RAW_Data!AD225)</f>
        <v/>
      </c>
      <c r="P235" s="167" t="str">
        <f>IF(ISBLANK(DaqBook_RAW_Data!AE225),"",DaqBook_RAW_Data!AE225)</f>
        <v/>
      </c>
    </row>
    <row r="236" spans="1:16" x14ac:dyDescent="0.2">
      <c r="A236" s="58" t="e">
        <f t="shared" si="3"/>
        <v>#VALUE!</v>
      </c>
      <c r="B236" s="144" t="str">
        <f>IF(ISBLANK(DaqBook_RAW_Data!Q226),IF(DaqBook_RAW_Data!A226="","",TIMEVALUE(DaqBook_RAW_Data!A226)),TIMEVALUE(DaqBook_RAW_Data!Q226))</f>
        <v/>
      </c>
      <c r="C236" s="167" t="str">
        <f>IF(ISBLANK(DaqBook_RAW_Data!R226),"",DaqBook_RAW_Data!R226)</f>
        <v/>
      </c>
      <c r="D236" s="167" t="str">
        <f>IF(ISBLANK(DaqBook_RAW_Data!S226),"",DaqBook_RAW_Data!S226)</f>
        <v/>
      </c>
      <c r="E236" s="167" t="str">
        <f>IF(ISBLANK(DaqBook_RAW_Data!T226),"",DaqBook_RAW_Data!T226)</f>
        <v/>
      </c>
      <c r="F236" s="167" t="str">
        <f>IF(ISBLANK(DaqBook_RAW_Data!U226),"",DaqBook_RAW_Data!U226)</f>
        <v/>
      </c>
      <c r="G236" s="167" t="str">
        <f>IF(ISBLANK(DaqBook_RAW_Data!V226),"",DaqBook_RAW_Data!V226)</f>
        <v/>
      </c>
      <c r="H236" s="167" t="str">
        <f>IF(ISBLANK(DaqBook_RAW_Data!W226),"",DaqBook_RAW_Data!W226)</f>
        <v/>
      </c>
      <c r="I236" s="167" t="str">
        <f>IF(ISBLANK(DaqBook_RAW_Data!X226),"",DaqBook_RAW_Data!X226)</f>
        <v/>
      </c>
      <c r="J236" s="167" t="str">
        <f>IF(ISBLANK(DaqBook_RAW_Data!Y226),"",DaqBook_RAW_Data!Y226)</f>
        <v/>
      </c>
      <c r="K236" s="167" t="str">
        <f>IF(ISBLANK(DaqBook_RAW_Data!Z226),"",DaqBook_RAW_Data!Z226)</f>
        <v/>
      </c>
      <c r="L236" s="167" t="str">
        <f>IF(ISBLANK(DaqBook_RAW_Data!AA226),"",DaqBook_RAW_Data!AA226)</f>
        <v/>
      </c>
      <c r="M236" s="167" t="str">
        <f>IF(ISBLANK(DaqBook_RAW_Data!AB226),"",DaqBook_RAW_Data!AB226)</f>
        <v/>
      </c>
      <c r="N236" s="167" t="str">
        <f>IF(ISBLANK(DaqBook_RAW_Data!AC226),"",DaqBook_RAW_Data!AC226)</f>
        <v/>
      </c>
      <c r="O236" s="167" t="str">
        <f>IF(ISBLANK(DaqBook_RAW_Data!AD226),"",DaqBook_RAW_Data!AD226)</f>
        <v/>
      </c>
      <c r="P236" s="167" t="str">
        <f>IF(ISBLANK(DaqBook_RAW_Data!AE226),"",DaqBook_RAW_Data!AE226)</f>
        <v/>
      </c>
    </row>
    <row r="237" spans="1:16" x14ac:dyDescent="0.2">
      <c r="A237" s="58" t="e">
        <f t="shared" si="3"/>
        <v>#VALUE!</v>
      </c>
      <c r="B237" s="144" t="str">
        <f>IF(ISBLANK(DaqBook_RAW_Data!Q227),IF(DaqBook_RAW_Data!A227="","",TIMEVALUE(DaqBook_RAW_Data!A227)),TIMEVALUE(DaqBook_RAW_Data!Q227))</f>
        <v/>
      </c>
      <c r="C237" s="167" t="str">
        <f>IF(ISBLANK(DaqBook_RAW_Data!R227),"",DaqBook_RAW_Data!R227)</f>
        <v/>
      </c>
      <c r="D237" s="167" t="str">
        <f>IF(ISBLANK(DaqBook_RAW_Data!S227),"",DaqBook_RAW_Data!S227)</f>
        <v/>
      </c>
      <c r="E237" s="167" t="str">
        <f>IF(ISBLANK(DaqBook_RAW_Data!T227),"",DaqBook_RAW_Data!T227)</f>
        <v/>
      </c>
      <c r="F237" s="167" t="str">
        <f>IF(ISBLANK(DaqBook_RAW_Data!U227),"",DaqBook_RAW_Data!U227)</f>
        <v/>
      </c>
      <c r="G237" s="167" t="str">
        <f>IF(ISBLANK(DaqBook_RAW_Data!V227),"",DaqBook_RAW_Data!V227)</f>
        <v/>
      </c>
      <c r="H237" s="167" t="str">
        <f>IF(ISBLANK(DaqBook_RAW_Data!W227),"",DaqBook_RAW_Data!W227)</f>
        <v/>
      </c>
      <c r="I237" s="167" t="str">
        <f>IF(ISBLANK(DaqBook_RAW_Data!X227),"",DaqBook_RAW_Data!X227)</f>
        <v/>
      </c>
      <c r="J237" s="167" t="str">
        <f>IF(ISBLANK(DaqBook_RAW_Data!Y227),"",DaqBook_RAW_Data!Y227)</f>
        <v/>
      </c>
      <c r="K237" s="167" t="str">
        <f>IF(ISBLANK(DaqBook_RAW_Data!Z227),"",DaqBook_RAW_Data!Z227)</f>
        <v/>
      </c>
      <c r="L237" s="167" t="str">
        <f>IF(ISBLANK(DaqBook_RAW_Data!AA227),"",DaqBook_RAW_Data!AA227)</f>
        <v/>
      </c>
      <c r="M237" s="167" t="str">
        <f>IF(ISBLANK(DaqBook_RAW_Data!AB227),"",DaqBook_RAW_Data!AB227)</f>
        <v/>
      </c>
      <c r="N237" s="167" t="str">
        <f>IF(ISBLANK(DaqBook_RAW_Data!AC227),"",DaqBook_RAW_Data!AC227)</f>
        <v/>
      </c>
      <c r="O237" s="167" t="str">
        <f>IF(ISBLANK(DaqBook_RAW_Data!AD227),"",DaqBook_RAW_Data!AD227)</f>
        <v/>
      </c>
      <c r="P237" s="167" t="str">
        <f>IF(ISBLANK(DaqBook_RAW_Data!AE227),"",DaqBook_RAW_Data!AE227)</f>
        <v/>
      </c>
    </row>
    <row r="238" spans="1:16" x14ac:dyDescent="0.2">
      <c r="A238" s="58" t="e">
        <f t="shared" si="3"/>
        <v>#VALUE!</v>
      </c>
      <c r="B238" s="144" t="str">
        <f>IF(ISBLANK(DaqBook_RAW_Data!Q228),IF(DaqBook_RAW_Data!A228="","",TIMEVALUE(DaqBook_RAW_Data!A228)),TIMEVALUE(DaqBook_RAW_Data!Q228))</f>
        <v/>
      </c>
      <c r="C238" s="167" t="str">
        <f>IF(ISBLANK(DaqBook_RAW_Data!R228),"",DaqBook_RAW_Data!R228)</f>
        <v/>
      </c>
      <c r="D238" s="167" t="str">
        <f>IF(ISBLANK(DaqBook_RAW_Data!S228),"",DaqBook_RAW_Data!S228)</f>
        <v/>
      </c>
      <c r="E238" s="167" t="str">
        <f>IF(ISBLANK(DaqBook_RAW_Data!T228),"",DaqBook_RAW_Data!T228)</f>
        <v/>
      </c>
      <c r="F238" s="167" t="str">
        <f>IF(ISBLANK(DaqBook_RAW_Data!U228),"",DaqBook_RAW_Data!U228)</f>
        <v/>
      </c>
      <c r="G238" s="167" t="str">
        <f>IF(ISBLANK(DaqBook_RAW_Data!V228),"",DaqBook_RAW_Data!V228)</f>
        <v/>
      </c>
      <c r="H238" s="167" t="str">
        <f>IF(ISBLANK(DaqBook_RAW_Data!W228),"",DaqBook_RAW_Data!W228)</f>
        <v/>
      </c>
      <c r="I238" s="167" t="str">
        <f>IF(ISBLANK(DaqBook_RAW_Data!X228),"",DaqBook_RAW_Data!X228)</f>
        <v/>
      </c>
      <c r="J238" s="167" t="str">
        <f>IF(ISBLANK(DaqBook_RAW_Data!Y228),"",DaqBook_RAW_Data!Y228)</f>
        <v/>
      </c>
      <c r="K238" s="167" t="str">
        <f>IF(ISBLANK(DaqBook_RAW_Data!Z228),"",DaqBook_RAW_Data!Z228)</f>
        <v/>
      </c>
      <c r="L238" s="167" t="str">
        <f>IF(ISBLANK(DaqBook_RAW_Data!AA228),"",DaqBook_RAW_Data!AA228)</f>
        <v/>
      </c>
      <c r="M238" s="167" t="str">
        <f>IF(ISBLANK(DaqBook_RAW_Data!AB228),"",DaqBook_RAW_Data!AB228)</f>
        <v/>
      </c>
      <c r="N238" s="167" t="str">
        <f>IF(ISBLANK(DaqBook_RAW_Data!AC228),"",DaqBook_RAW_Data!AC228)</f>
        <v/>
      </c>
      <c r="O238" s="167" t="str">
        <f>IF(ISBLANK(DaqBook_RAW_Data!AD228),"",DaqBook_RAW_Data!AD228)</f>
        <v/>
      </c>
      <c r="P238" s="167" t="str">
        <f>IF(ISBLANK(DaqBook_RAW_Data!AE228),"",DaqBook_RAW_Data!AE228)</f>
        <v/>
      </c>
    </row>
    <row r="239" spans="1:16" x14ac:dyDescent="0.2">
      <c r="A239" s="58" t="e">
        <f t="shared" si="3"/>
        <v>#VALUE!</v>
      </c>
      <c r="B239" s="144" t="str">
        <f>IF(ISBLANK(DaqBook_RAW_Data!Q229),IF(DaqBook_RAW_Data!A229="","",TIMEVALUE(DaqBook_RAW_Data!A229)),TIMEVALUE(DaqBook_RAW_Data!Q229))</f>
        <v/>
      </c>
      <c r="C239" s="167" t="str">
        <f>IF(ISBLANK(DaqBook_RAW_Data!R229),"",DaqBook_RAW_Data!R229)</f>
        <v/>
      </c>
      <c r="D239" s="167" t="str">
        <f>IF(ISBLANK(DaqBook_RAW_Data!S229),"",DaqBook_RAW_Data!S229)</f>
        <v/>
      </c>
      <c r="E239" s="167" t="str">
        <f>IF(ISBLANK(DaqBook_RAW_Data!T229),"",DaqBook_RAW_Data!T229)</f>
        <v/>
      </c>
      <c r="F239" s="167" t="str">
        <f>IF(ISBLANK(DaqBook_RAW_Data!U229),"",DaqBook_RAW_Data!U229)</f>
        <v/>
      </c>
      <c r="G239" s="167" t="str">
        <f>IF(ISBLANK(DaqBook_RAW_Data!V229),"",DaqBook_RAW_Data!V229)</f>
        <v/>
      </c>
      <c r="H239" s="167" t="str">
        <f>IF(ISBLANK(DaqBook_RAW_Data!W229),"",DaqBook_RAW_Data!W229)</f>
        <v/>
      </c>
      <c r="I239" s="167" t="str">
        <f>IF(ISBLANK(DaqBook_RAW_Data!X229),"",DaqBook_RAW_Data!X229)</f>
        <v/>
      </c>
      <c r="J239" s="167" t="str">
        <f>IF(ISBLANK(DaqBook_RAW_Data!Y229),"",DaqBook_RAW_Data!Y229)</f>
        <v/>
      </c>
      <c r="K239" s="167" t="str">
        <f>IF(ISBLANK(DaqBook_RAW_Data!Z229),"",DaqBook_RAW_Data!Z229)</f>
        <v/>
      </c>
      <c r="L239" s="167" t="str">
        <f>IF(ISBLANK(DaqBook_RAW_Data!AA229),"",DaqBook_RAW_Data!AA229)</f>
        <v/>
      </c>
      <c r="M239" s="167" t="str">
        <f>IF(ISBLANK(DaqBook_RAW_Data!AB229),"",DaqBook_RAW_Data!AB229)</f>
        <v/>
      </c>
      <c r="N239" s="167" t="str">
        <f>IF(ISBLANK(DaqBook_RAW_Data!AC229),"",DaqBook_RAW_Data!AC229)</f>
        <v/>
      </c>
      <c r="O239" s="167" t="str">
        <f>IF(ISBLANK(DaqBook_RAW_Data!AD229),"",DaqBook_RAW_Data!AD229)</f>
        <v/>
      </c>
      <c r="P239" s="167" t="str">
        <f>IF(ISBLANK(DaqBook_RAW_Data!AE229),"",DaqBook_RAW_Data!AE229)</f>
        <v/>
      </c>
    </row>
    <row r="240" spans="1:16" x14ac:dyDescent="0.2">
      <c r="A240" s="58" t="e">
        <f t="shared" si="3"/>
        <v>#VALUE!</v>
      </c>
      <c r="B240" s="144" t="str">
        <f>IF(ISBLANK(DaqBook_RAW_Data!Q230),IF(DaqBook_RAW_Data!A230="","",TIMEVALUE(DaqBook_RAW_Data!A230)),TIMEVALUE(DaqBook_RAW_Data!Q230))</f>
        <v/>
      </c>
      <c r="C240" s="167" t="str">
        <f>IF(ISBLANK(DaqBook_RAW_Data!R230),"",DaqBook_RAW_Data!R230)</f>
        <v/>
      </c>
      <c r="D240" s="167" t="str">
        <f>IF(ISBLANK(DaqBook_RAW_Data!S230),"",DaqBook_RAW_Data!S230)</f>
        <v/>
      </c>
      <c r="E240" s="167" t="str">
        <f>IF(ISBLANK(DaqBook_RAW_Data!T230),"",DaqBook_RAW_Data!T230)</f>
        <v/>
      </c>
      <c r="F240" s="167" t="str">
        <f>IF(ISBLANK(DaqBook_RAW_Data!U230),"",DaqBook_RAW_Data!U230)</f>
        <v/>
      </c>
      <c r="G240" s="167" t="str">
        <f>IF(ISBLANK(DaqBook_RAW_Data!V230),"",DaqBook_RAW_Data!V230)</f>
        <v/>
      </c>
      <c r="H240" s="167" t="str">
        <f>IF(ISBLANK(DaqBook_RAW_Data!W230),"",DaqBook_RAW_Data!W230)</f>
        <v/>
      </c>
      <c r="I240" s="167" t="str">
        <f>IF(ISBLANK(DaqBook_RAW_Data!X230),"",DaqBook_RAW_Data!X230)</f>
        <v/>
      </c>
      <c r="J240" s="167" t="str">
        <f>IF(ISBLANK(DaqBook_RAW_Data!Y230),"",DaqBook_RAW_Data!Y230)</f>
        <v/>
      </c>
      <c r="K240" s="167" t="str">
        <f>IF(ISBLANK(DaqBook_RAW_Data!Z230),"",DaqBook_RAW_Data!Z230)</f>
        <v/>
      </c>
      <c r="L240" s="167" t="str">
        <f>IF(ISBLANK(DaqBook_RAW_Data!AA230),"",DaqBook_RAW_Data!AA230)</f>
        <v/>
      </c>
      <c r="M240" s="167" t="str">
        <f>IF(ISBLANK(DaqBook_RAW_Data!AB230),"",DaqBook_RAW_Data!AB230)</f>
        <v/>
      </c>
      <c r="N240" s="167" t="str">
        <f>IF(ISBLANK(DaqBook_RAW_Data!AC230),"",DaqBook_RAW_Data!AC230)</f>
        <v/>
      </c>
      <c r="O240" s="167" t="str">
        <f>IF(ISBLANK(DaqBook_RAW_Data!AD230),"",DaqBook_RAW_Data!AD230)</f>
        <v/>
      </c>
      <c r="P240" s="167" t="str">
        <f>IF(ISBLANK(DaqBook_RAW_Data!AE230),"",DaqBook_RAW_Data!AE230)</f>
        <v/>
      </c>
    </row>
    <row r="241" spans="1:16" x14ac:dyDescent="0.2">
      <c r="A241" s="58" t="e">
        <f t="shared" si="3"/>
        <v>#VALUE!</v>
      </c>
      <c r="B241" s="144" t="str">
        <f>IF(ISBLANK(DaqBook_RAW_Data!Q231),IF(DaqBook_RAW_Data!A231="","",TIMEVALUE(DaqBook_RAW_Data!A231)),TIMEVALUE(DaqBook_RAW_Data!Q231))</f>
        <v/>
      </c>
      <c r="C241" s="167" t="str">
        <f>IF(ISBLANK(DaqBook_RAW_Data!R231),"",DaqBook_RAW_Data!R231)</f>
        <v/>
      </c>
      <c r="D241" s="167" t="str">
        <f>IF(ISBLANK(DaqBook_RAW_Data!S231),"",DaqBook_RAW_Data!S231)</f>
        <v/>
      </c>
      <c r="E241" s="167" t="str">
        <f>IF(ISBLANK(DaqBook_RAW_Data!T231),"",DaqBook_RAW_Data!T231)</f>
        <v/>
      </c>
      <c r="F241" s="167" t="str">
        <f>IF(ISBLANK(DaqBook_RAW_Data!U231),"",DaqBook_RAW_Data!U231)</f>
        <v/>
      </c>
      <c r="G241" s="167" t="str">
        <f>IF(ISBLANK(DaqBook_RAW_Data!V231),"",DaqBook_RAW_Data!V231)</f>
        <v/>
      </c>
      <c r="H241" s="167" t="str">
        <f>IF(ISBLANK(DaqBook_RAW_Data!W231),"",DaqBook_RAW_Data!W231)</f>
        <v/>
      </c>
      <c r="I241" s="167" t="str">
        <f>IF(ISBLANK(DaqBook_RAW_Data!X231),"",DaqBook_RAW_Data!X231)</f>
        <v/>
      </c>
      <c r="J241" s="167" t="str">
        <f>IF(ISBLANK(DaqBook_RAW_Data!Y231),"",DaqBook_RAW_Data!Y231)</f>
        <v/>
      </c>
      <c r="K241" s="167" t="str">
        <f>IF(ISBLANK(DaqBook_RAW_Data!Z231),"",DaqBook_RAW_Data!Z231)</f>
        <v/>
      </c>
      <c r="L241" s="167" t="str">
        <f>IF(ISBLANK(DaqBook_RAW_Data!AA231),"",DaqBook_RAW_Data!AA231)</f>
        <v/>
      </c>
      <c r="M241" s="167" t="str">
        <f>IF(ISBLANK(DaqBook_RAW_Data!AB231),"",DaqBook_RAW_Data!AB231)</f>
        <v/>
      </c>
      <c r="N241" s="167" t="str">
        <f>IF(ISBLANK(DaqBook_RAW_Data!AC231),"",DaqBook_RAW_Data!AC231)</f>
        <v/>
      </c>
      <c r="O241" s="167" t="str">
        <f>IF(ISBLANK(DaqBook_RAW_Data!AD231),"",DaqBook_RAW_Data!AD231)</f>
        <v/>
      </c>
      <c r="P241" s="167" t="str">
        <f>IF(ISBLANK(DaqBook_RAW_Data!AE231),"",DaqBook_RAW_Data!AE231)</f>
        <v/>
      </c>
    </row>
    <row r="242" spans="1:16" x14ac:dyDescent="0.2">
      <c r="A242" s="58" t="e">
        <f t="shared" si="3"/>
        <v>#VALUE!</v>
      </c>
      <c r="B242" s="144" t="str">
        <f>IF(ISBLANK(DaqBook_RAW_Data!Q232),IF(DaqBook_RAW_Data!A232="","",TIMEVALUE(DaqBook_RAW_Data!A232)),TIMEVALUE(DaqBook_RAW_Data!Q232))</f>
        <v/>
      </c>
      <c r="C242" s="167" t="str">
        <f>IF(ISBLANK(DaqBook_RAW_Data!R232),"",DaqBook_RAW_Data!R232)</f>
        <v/>
      </c>
      <c r="D242" s="167" t="str">
        <f>IF(ISBLANK(DaqBook_RAW_Data!S232),"",DaqBook_RAW_Data!S232)</f>
        <v/>
      </c>
      <c r="E242" s="167" t="str">
        <f>IF(ISBLANK(DaqBook_RAW_Data!T232),"",DaqBook_RAW_Data!T232)</f>
        <v/>
      </c>
      <c r="F242" s="167" t="str">
        <f>IF(ISBLANK(DaqBook_RAW_Data!U232),"",DaqBook_RAW_Data!U232)</f>
        <v/>
      </c>
      <c r="G242" s="167" t="str">
        <f>IF(ISBLANK(DaqBook_RAW_Data!V232),"",DaqBook_RAW_Data!V232)</f>
        <v/>
      </c>
      <c r="H242" s="167" t="str">
        <f>IF(ISBLANK(DaqBook_RAW_Data!W232),"",DaqBook_RAW_Data!W232)</f>
        <v/>
      </c>
      <c r="I242" s="167" t="str">
        <f>IF(ISBLANK(DaqBook_RAW_Data!X232),"",DaqBook_RAW_Data!X232)</f>
        <v/>
      </c>
      <c r="J242" s="167" t="str">
        <f>IF(ISBLANK(DaqBook_RAW_Data!Y232),"",DaqBook_RAW_Data!Y232)</f>
        <v/>
      </c>
      <c r="K242" s="167" t="str">
        <f>IF(ISBLANK(DaqBook_RAW_Data!Z232),"",DaqBook_RAW_Data!Z232)</f>
        <v/>
      </c>
      <c r="L242" s="167" t="str">
        <f>IF(ISBLANK(DaqBook_RAW_Data!AA232),"",DaqBook_RAW_Data!AA232)</f>
        <v/>
      </c>
      <c r="M242" s="167" t="str">
        <f>IF(ISBLANK(DaqBook_RAW_Data!AB232),"",DaqBook_RAW_Data!AB232)</f>
        <v/>
      </c>
      <c r="N242" s="167" t="str">
        <f>IF(ISBLANK(DaqBook_RAW_Data!AC232),"",DaqBook_RAW_Data!AC232)</f>
        <v/>
      </c>
      <c r="O242" s="167" t="str">
        <f>IF(ISBLANK(DaqBook_RAW_Data!AD232),"",DaqBook_RAW_Data!AD232)</f>
        <v/>
      </c>
      <c r="P242" s="167" t="str">
        <f>IF(ISBLANK(DaqBook_RAW_Data!AE232),"",DaqBook_RAW_Data!AE232)</f>
        <v/>
      </c>
    </row>
    <row r="243" spans="1:16" x14ac:dyDescent="0.2">
      <c r="A243" s="58" t="e">
        <f t="shared" si="3"/>
        <v>#VALUE!</v>
      </c>
      <c r="B243" s="144" t="str">
        <f>IF(ISBLANK(DaqBook_RAW_Data!Q233),IF(DaqBook_RAW_Data!A233="","",TIMEVALUE(DaqBook_RAW_Data!A233)),TIMEVALUE(DaqBook_RAW_Data!Q233))</f>
        <v/>
      </c>
      <c r="C243" s="167" t="str">
        <f>IF(ISBLANK(DaqBook_RAW_Data!R233),"",DaqBook_RAW_Data!R233)</f>
        <v/>
      </c>
      <c r="D243" s="167" t="str">
        <f>IF(ISBLANK(DaqBook_RAW_Data!S233),"",DaqBook_RAW_Data!S233)</f>
        <v/>
      </c>
      <c r="E243" s="167" t="str">
        <f>IF(ISBLANK(DaqBook_RAW_Data!T233),"",DaqBook_RAW_Data!T233)</f>
        <v/>
      </c>
      <c r="F243" s="167" t="str">
        <f>IF(ISBLANK(DaqBook_RAW_Data!U233),"",DaqBook_RAW_Data!U233)</f>
        <v/>
      </c>
      <c r="G243" s="167" t="str">
        <f>IF(ISBLANK(DaqBook_RAW_Data!V233),"",DaqBook_RAW_Data!V233)</f>
        <v/>
      </c>
      <c r="H243" s="167" t="str">
        <f>IF(ISBLANK(DaqBook_RAW_Data!W233),"",DaqBook_RAW_Data!W233)</f>
        <v/>
      </c>
      <c r="I243" s="167" t="str">
        <f>IF(ISBLANK(DaqBook_RAW_Data!X233),"",DaqBook_RAW_Data!X233)</f>
        <v/>
      </c>
      <c r="J243" s="167" t="str">
        <f>IF(ISBLANK(DaqBook_RAW_Data!Y233),"",DaqBook_RAW_Data!Y233)</f>
        <v/>
      </c>
      <c r="K243" s="167" t="str">
        <f>IF(ISBLANK(DaqBook_RAW_Data!Z233),"",DaqBook_RAW_Data!Z233)</f>
        <v/>
      </c>
      <c r="L243" s="167" t="str">
        <f>IF(ISBLANK(DaqBook_RAW_Data!AA233),"",DaqBook_RAW_Data!AA233)</f>
        <v/>
      </c>
      <c r="M243" s="167" t="str">
        <f>IF(ISBLANK(DaqBook_RAW_Data!AB233),"",DaqBook_RAW_Data!AB233)</f>
        <v/>
      </c>
      <c r="N243" s="167" t="str">
        <f>IF(ISBLANK(DaqBook_RAW_Data!AC233),"",DaqBook_RAW_Data!AC233)</f>
        <v/>
      </c>
      <c r="O243" s="167" t="str">
        <f>IF(ISBLANK(DaqBook_RAW_Data!AD233),"",DaqBook_RAW_Data!AD233)</f>
        <v/>
      </c>
      <c r="P243" s="167" t="str">
        <f>IF(ISBLANK(DaqBook_RAW_Data!AE233),"",DaqBook_RAW_Data!AE233)</f>
        <v/>
      </c>
    </row>
    <row r="244" spans="1:16" x14ac:dyDescent="0.2">
      <c r="A244" s="58" t="e">
        <f t="shared" si="3"/>
        <v>#VALUE!</v>
      </c>
      <c r="B244" s="144" t="str">
        <f>IF(ISBLANK(DaqBook_RAW_Data!Q234),IF(DaqBook_RAW_Data!A234="","",TIMEVALUE(DaqBook_RAW_Data!A234)),TIMEVALUE(DaqBook_RAW_Data!Q234))</f>
        <v/>
      </c>
      <c r="C244" s="167" t="str">
        <f>IF(ISBLANK(DaqBook_RAW_Data!R234),"",DaqBook_RAW_Data!R234)</f>
        <v/>
      </c>
      <c r="D244" s="167" t="str">
        <f>IF(ISBLANK(DaqBook_RAW_Data!S234),"",DaqBook_RAW_Data!S234)</f>
        <v/>
      </c>
      <c r="E244" s="167" t="str">
        <f>IF(ISBLANK(DaqBook_RAW_Data!T234),"",DaqBook_RAW_Data!T234)</f>
        <v/>
      </c>
      <c r="F244" s="167" t="str">
        <f>IF(ISBLANK(DaqBook_RAW_Data!U234),"",DaqBook_RAW_Data!U234)</f>
        <v/>
      </c>
      <c r="G244" s="167" t="str">
        <f>IF(ISBLANK(DaqBook_RAW_Data!V234),"",DaqBook_RAW_Data!V234)</f>
        <v/>
      </c>
      <c r="H244" s="167" t="str">
        <f>IF(ISBLANK(DaqBook_RAW_Data!W234),"",DaqBook_RAW_Data!W234)</f>
        <v/>
      </c>
      <c r="I244" s="167" t="str">
        <f>IF(ISBLANK(DaqBook_RAW_Data!X234),"",DaqBook_RAW_Data!X234)</f>
        <v/>
      </c>
      <c r="J244" s="167" t="str">
        <f>IF(ISBLANK(DaqBook_RAW_Data!Y234),"",DaqBook_RAW_Data!Y234)</f>
        <v/>
      </c>
      <c r="K244" s="167" t="str">
        <f>IF(ISBLANK(DaqBook_RAW_Data!Z234),"",DaqBook_RAW_Data!Z234)</f>
        <v/>
      </c>
      <c r="L244" s="167" t="str">
        <f>IF(ISBLANK(DaqBook_RAW_Data!AA234),"",DaqBook_RAW_Data!AA234)</f>
        <v/>
      </c>
      <c r="M244" s="167" t="str">
        <f>IF(ISBLANK(DaqBook_RAW_Data!AB234),"",DaqBook_RAW_Data!AB234)</f>
        <v/>
      </c>
      <c r="N244" s="167" t="str">
        <f>IF(ISBLANK(DaqBook_RAW_Data!AC234),"",DaqBook_RAW_Data!AC234)</f>
        <v/>
      </c>
      <c r="O244" s="167" t="str">
        <f>IF(ISBLANK(DaqBook_RAW_Data!AD234),"",DaqBook_RAW_Data!AD234)</f>
        <v/>
      </c>
      <c r="P244" s="167" t="str">
        <f>IF(ISBLANK(DaqBook_RAW_Data!AE234),"",DaqBook_RAW_Data!AE234)</f>
        <v/>
      </c>
    </row>
    <row r="245" spans="1:16" x14ac:dyDescent="0.2">
      <c r="A245" s="58" t="e">
        <f t="shared" si="3"/>
        <v>#VALUE!</v>
      </c>
      <c r="B245" s="144" t="str">
        <f>IF(ISBLANK(DaqBook_RAW_Data!Q235),IF(DaqBook_RAW_Data!A235="","",TIMEVALUE(DaqBook_RAW_Data!A235)),TIMEVALUE(DaqBook_RAW_Data!Q235))</f>
        <v/>
      </c>
      <c r="C245" s="167" t="str">
        <f>IF(ISBLANK(DaqBook_RAW_Data!R235),"",DaqBook_RAW_Data!R235)</f>
        <v/>
      </c>
      <c r="D245" s="167" t="str">
        <f>IF(ISBLANK(DaqBook_RAW_Data!S235),"",DaqBook_RAW_Data!S235)</f>
        <v/>
      </c>
      <c r="E245" s="167" t="str">
        <f>IF(ISBLANK(DaqBook_RAW_Data!T235),"",DaqBook_RAW_Data!T235)</f>
        <v/>
      </c>
      <c r="F245" s="167" t="str">
        <f>IF(ISBLANK(DaqBook_RAW_Data!U235),"",DaqBook_RAW_Data!U235)</f>
        <v/>
      </c>
      <c r="G245" s="167" t="str">
        <f>IF(ISBLANK(DaqBook_RAW_Data!V235),"",DaqBook_RAW_Data!V235)</f>
        <v/>
      </c>
      <c r="H245" s="167" t="str">
        <f>IF(ISBLANK(DaqBook_RAW_Data!W235),"",DaqBook_RAW_Data!W235)</f>
        <v/>
      </c>
      <c r="I245" s="167" t="str">
        <f>IF(ISBLANK(DaqBook_RAW_Data!X235),"",DaqBook_RAW_Data!X235)</f>
        <v/>
      </c>
      <c r="J245" s="167" t="str">
        <f>IF(ISBLANK(DaqBook_RAW_Data!Y235),"",DaqBook_RAW_Data!Y235)</f>
        <v/>
      </c>
      <c r="K245" s="167" t="str">
        <f>IF(ISBLANK(DaqBook_RAW_Data!Z235),"",DaqBook_RAW_Data!Z235)</f>
        <v/>
      </c>
      <c r="L245" s="167" t="str">
        <f>IF(ISBLANK(DaqBook_RAW_Data!AA235),"",DaqBook_RAW_Data!AA235)</f>
        <v/>
      </c>
      <c r="M245" s="167" t="str">
        <f>IF(ISBLANK(DaqBook_RAW_Data!AB235),"",DaqBook_RAW_Data!AB235)</f>
        <v/>
      </c>
      <c r="N245" s="167" t="str">
        <f>IF(ISBLANK(DaqBook_RAW_Data!AC235),"",DaqBook_RAW_Data!AC235)</f>
        <v/>
      </c>
      <c r="O245" s="167" t="str">
        <f>IF(ISBLANK(DaqBook_RAW_Data!AD235),"",DaqBook_RAW_Data!AD235)</f>
        <v/>
      </c>
      <c r="P245" s="167" t="str">
        <f>IF(ISBLANK(DaqBook_RAW_Data!AE235),"",DaqBook_RAW_Data!AE235)</f>
        <v/>
      </c>
    </row>
    <row r="246" spans="1:16" x14ac:dyDescent="0.2">
      <c r="A246" s="58" t="e">
        <f t="shared" si="3"/>
        <v>#VALUE!</v>
      </c>
      <c r="B246" s="144" t="str">
        <f>IF(ISBLANK(DaqBook_RAW_Data!Q236),IF(DaqBook_RAW_Data!A236="","",TIMEVALUE(DaqBook_RAW_Data!A236)),TIMEVALUE(DaqBook_RAW_Data!Q236))</f>
        <v/>
      </c>
      <c r="C246" s="167" t="str">
        <f>IF(ISBLANK(DaqBook_RAW_Data!R236),"",DaqBook_RAW_Data!R236)</f>
        <v/>
      </c>
      <c r="D246" s="167" t="str">
        <f>IF(ISBLANK(DaqBook_RAW_Data!S236),"",DaqBook_RAW_Data!S236)</f>
        <v/>
      </c>
      <c r="E246" s="167" t="str">
        <f>IF(ISBLANK(DaqBook_RAW_Data!T236),"",DaqBook_RAW_Data!T236)</f>
        <v/>
      </c>
      <c r="F246" s="167" t="str">
        <f>IF(ISBLANK(DaqBook_RAW_Data!U236),"",DaqBook_RAW_Data!U236)</f>
        <v/>
      </c>
      <c r="G246" s="167" t="str">
        <f>IF(ISBLANK(DaqBook_RAW_Data!V236),"",DaqBook_RAW_Data!V236)</f>
        <v/>
      </c>
      <c r="H246" s="167" t="str">
        <f>IF(ISBLANK(DaqBook_RAW_Data!W236),"",DaqBook_RAW_Data!W236)</f>
        <v/>
      </c>
      <c r="I246" s="167" t="str">
        <f>IF(ISBLANK(DaqBook_RAW_Data!X236),"",DaqBook_RAW_Data!X236)</f>
        <v/>
      </c>
      <c r="J246" s="167" t="str">
        <f>IF(ISBLANK(DaqBook_RAW_Data!Y236),"",DaqBook_RAW_Data!Y236)</f>
        <v/>
      </c>
      <c r="K246" s="167" t="str">
        <f>IF(ISBLANK(DaqBook_RAW_Data!Z236),"",DaqBook_RAW_Data!Z236)</f>
        <v/>
      </c>
      <c r="L246" s="167" t="str">
        <f>IF(ISBLANK(DaqBook_RAW_Data!AA236),"",DaqBook_RAW_Data!AA236)</f>
        <v/>
      </c>
      <c r="M246" s="167" t="str">
        <f>IF(ISBLANK(DaqBook_RAW_Data!AB236),"",DaqBook_RAW_Data!AB236)</f>
        <v/>
      </c>
      <c r="N246" s="167" t="str">
        <f>IF(ISBLANK(DaqBook_RAW_Data!AC236),"",DaqBook_RAW_Data!AC236)</f>
        <v/>
      </c>
      <c r="O246" s="167" t="str">
        <f>IF(ISBLANK(DaqBook_RAW_Data!AD236),"",DaqBook_RAW_Data!AD236)</f>
        <v/>
      </c>
      <c r="P246" s="167" t="str">
        <f>IF(ISBLANK(DaqBook_RAW_Data!AE236),"",DaqBook_RAW_Data!AE236)</f>
        <v/>
      </c>
    </row>
    <row r="247" spans="1:16" x14ac:dyDescent="0.2">
      <c r="A247" s="58" t="e">
        <f t="shared" si="3"/>
        <v>#VALUE!</v>
      </c>
      <c r="B247" s="144" t="str">
        <f>IF(ISBLANK(DaqBook_RAW_Data!Q237),IF(DaqBook_RAW_Data!A237="","",TIMEVALUE(DaqBook_RAW_Data!A237)),TIMEVALUE(DaqBook_RAW_Data!Q237))</f>
        <v/>
      </c>
      <c r="C247" s="167" t="str">
        <f>IF(ISBLANK(DaqBook_RAW_Data!R237),"",DaqBook_RAW_Data!R237)</f>
        <v/>
      </c>
      <c r="D247" s="167" t="str">
        <f>IF(ISBLANK(DaqBook_RAW_Data!S237),"",DaqBook_RAW_Data!S237)</f>
        <v/>
      </c>
      <c r="E247" s="167" t="str">
        <f>IF(ISBLANK(DaqBook_RAW_Data!T237),"",DaqBook_RAW_Data!T237)</f>
        <v/>
      </c>
      <c r="F247" s="167" t="str">
        <f>IF(ISBLANK(DaqBook_RAW_Data!U237),"",DaqBook_RAW_Data!U237)</f>
        <v/>
      </c>
      <c r="G247" s="167" t="str">
        <f>IF(ISBLANK(DaqBook_RAW_Data!V237),"",DaqBook_RAW_Data!V237)</f>
        <v/>
      </c>
      <c r="H247" s="167" t="str">
        <f>IF(ISBLANK(DaqBook_RAW_Data!W237),"",DaqBook_RAW_Data!W237)</f>
        <v/>
      </c>
      <c r="I247" s="167" t="str">
        <f>IF(ISBLANK(DaqBook_RAW_Data!X237),"",DaqBook_RAW_Data!X237)</f>
        <v/>
      </c>
      <c r="J247" s="167" t="str">
        <f>IF(ISBLANK(DaqBook_RAW_Data!Y237),"",DaqBook_RAW_Data!Y237)</f>
        <v/>
      </c>
      <c r="K247" s="167" t="str">
        <f>IF(ISBLANK(DaqBook_RAW_Data!Z237),"",DaqBook_RAW_Data!Z237)</f>
        <v/>
      </c>
      <c r="L247" s="167" t="str">
        <f>IF(ISBLANK(DaqBook_RAW_Data!AA237),"",DaqBook_RAW_Data!AA237)</f>
        <v/>
      </c>
      <c r="M247" s="167" t="str">
        <f>IF(ISBLANK(DaqBook_RAW_Data!AB237),"",DaqBook_RAW_Data!AB237)</f>
        <v/>
      </c>
      <c r="N247" s="167" t="str">
        <f>IF(ISBLANK(DaqBook_RAW_Data!AC237),"",DaqBook_RAW_Data!AC237)</f>
        <v/>
      </c>
      <c r="O247" s="167" t="str">
        <f>IF(ISBLANK(DaqBook_RAW_Data!AD237),"",DaqBook_RAW_Data!AD237)</f>
        <v/>
      </c>
      <c r="P247" s="167" t="str">
        <f>IF(ISBLANK(DaqBook_RAW_Data!AE237),"",DaqBook_RAW_Data!AE237)</f>
        <v/>
      </c>
    </row>
    <row r="248" spans="1:16" x14ac:dyDescent="0.2">
      <c r="A248" s="58" t="e">
        <f t="shared" si="3"/>
        <v>#VALUE!</v>
      </c>
      <c r="B248" s="144" t="str">
        <f>IF(ISBLANK(DaqBook_RAW_Data!Q238),IF(DaqBook_RAW_Data!A238="","",TIMEVALUE(DaqBook_RAW_Data!A238)),TIMEVALUE(DaqBook_RAW_Data!Q238))</f>
        <v/>
      </c>
      <c r="C248" s="167" t="str">
        <f>IF(ISBLANK(DaqBook_RAW_Data!R238),"",DaqBook_RAW_Data!R238)</f>
        <v/>
      </c>
      <c r="D248" s="167" t="str">
        <f>IF(ISBLANK(DaqBook_RAW_Data!S238),"",DaqBook_RAW_Data!S238)</f>
        <v/>
      </c>
      <c r="E248" s="167" t="str">
        <f>IF(ISBLANK(DaqBook_RAW_Data!T238),"",DaqBook_RAW_Data!T238)</f>
        <v/>
      </c>
      <c r="F248" s="167" t="str">
        <f>IF(ISBLANK(DaqBook_RAW_Data!U238),"",DaqBook_RAW_Data!U238)</f>
        <v/>
      </c>
      <c r="G248" s="167" t="str">
        <f>IF(ISBLANK(DaqBook_RAW_Data!V238),"",DaqBook_RAW_Data!V238)</f>
        <v/>
      </c>
      <c r="H248" s="167" t="str">
        <f>IF(ISBLANK(DaqBook_RAW_Data!W238),"",DaqBook_RAW_Data!W238)</f>
        <v/>
      </c>
      <c r="I248" s="167" t="str">
        <f>IF(ISBLANK(DaqBook_RAW_Data!X238),"",DaqBook_RAW_Data!X238)</f>
        <v/>
      </c>
      <c r="J248" s="167" t="str">
        <f>IF(ISBLANK(DaqBook_RAW_Data!Y238),"",DaqBook_RAW_Data!Y238)</f>
        <v/>
      </c>
      <c r="K248" s="167" t="str">
        <f>IF(ISBLANK(DaqBook_RAW_Data!Z238),"",DaqBook_RAW_Data!Z238)</f>
        <v/>
      </c>
      <c r="L248" s="167" t="str">
        <f>IF(ISBLANK(DaqBook_RAW_Data!AA238),"",DaqBook_RAW_Data!AA238)</f>
        <v/>
      </c>
      <c r="M248" s="167" t="str">
        <f>IF(ISBLANK(DaqBook_RAW_Data!AB238),"",DaqBook_RAW_Data!AB238)</f>
        <v/>
      </c>
      <c r="N248" s="167" t="str">
        <f>IF(ISBLANK(DaqBook_RAW_Data!AC238),"",DaqBook_RAW_Data!AC238)</f>
        <v/>
      </c>
      <c r="O248" s="167" t="str">
        <f>IF(ISBLANK(DaqBook_RAW_Data!AD238),"",DaqBook_RAW_Data!AD238)</f>
        <v/>
      </c>
      <c r="P248" s="167" t="str">
        <f>IF(ISBLANK(DaqBook_RAW_Data!AE238),"",DaqBook_RAW_Data!AE238)</f>
        <v/>
      </c>
    </row>
    <row r="249" spans="1:16" x14ac:dyDescent="0.2">
      <c r="A249" s="58" t="e">
        <f t="shared" si="3"/>
        <v>#VALUE!</v>
      </c>
      <c r="B249" s="144" t="str">
        <f>IF(ISBLANK(DaqBook_RAW_Data!Q239),IF(DaqBook_RAW_Data!A239="","",TIMEVALUE(DaqBook_RAW_Data!A239)),TIMEVALUE(DaqBook_RAW_Data!Q239))</f>
        <v/>
      </c>
      <c r="C249" s="167" t="str">
        <f>IF(ISBLANK(DaqBook_RAW_Data!R239),"",DaqBook_RAW_Data!R239)</f>
        <v/>
      </c>
      <c r="D249" s="167" t="str">
        <f>IF(ISBLANK(DaqBook_RAW_Data!S239),"",DaqBook_RAW_Data!S239)</f>
        <v/>
      </c>
      <c r="E249" s="167" t="str">
        <f>IF(ISBLANK(DaqBook_RAW_Data!T239),"",DaqBook_RAW_Data!T239)</f>
        <v/>
      </c>
      <c r="F249" s="167" t="str">
        <f>IF(ISBLANK(DaqBook_RAW_Data!U239),"",DaqBook_RAW_Data!U239)</f>
        <v/>
      </c>
      <c r="G249" s="167" t="str">
        <f>IF(ISBLANK(DaqBook_RAW_Data!V239),"",DaqBook_RAW_Data!V239)</f>
        <v/>
      </c>
      <c r="H249" s="167" t="str">
        <f>IF(ISBLANK(DaqBook_RAW_Data!W239),"",DaqBook_RAW_Data!W239)</f>
        <v/>
      </c>
      <c r="I249" s="167" t="str">
        <f>IF(ISBLANK(DaqBook_RAW_Data!X239),"",DaqBook_RAW_Data!X239)</f>
        <v/>
      </c>
      <c r="J249" s="167" t="str">
        <f>IF(ISBLANK(DaqBook_RAW_Data!Y239),"",DaqBook_RAW_Data!Y239)</f>
        <v/>
      </c>
      <c r="K249" s="167" t="str">
        <f>IF(ISBLANK(DaqBook_RAW_Data!Z239),"",DaqBook_RAW_Data!Z239)</f>
        <v/>
      </c>
      <c r="L249" s="167" t="str">
        <f>IF(ISBLANK(DaqBook_RAW_Data!AA239),"",DaqBook_RAW_Data!AA239)</f>
        <v/>
      </c>
      <c r="M249" s="167" t="str">
        <f>IF(ISBLANK(DaqBook_RAW_Data!AB239),"",DaqBook_RAW_Data!AB239)</f>
        <v/>
      </c>
      <c r="N249" s="167" t="str">
        <f>IF(ISBLANK(DaqBook_RAW_Data!AC239),"",DaqBook_RAW_Data!AC239)</f>
        <v/>
      </c>
      <c r="O249" s="167" t="str">
        <f>IF(ISBLANK(DaqBook_RAW_Data!AD239),"",DaqBook_RAW_Data!AD239)</f>
        <v/>
      </c>
      <c r="P249" s="167" t="str">
        <f>IF(ISBLANK(DaqBook_RAW_Data!AE239),"",DaqBook_RAW_Data!AE239)</f>
        <v/>
      </c>
    </row>
    <row r="250" spans="1:16" x14ac:dyDescent="0.2">
      <c r="A250" s="58" t="e">
        <f t="shared" si="3"/>
        <v>#VALUE!</v>
      </c>
      <c r="B250" s="144" t="str">
        <f>IF(ISBLANK(DaqBook_RAW_Data!Q240),IF(DaqBook_RAW_Data!A240="","",TIMEVALUE(DaqBook_RAW_Data!A240)),TIMEVALUE(DaqBook_RAW_Data!Q240))</f>
        <v/>
      </c>
      <c r="C250" s="167" t="str">
        <f>IF(ISBLANK(DaqBook_RAW_Data!R240),"",DaqBook_RAW_Data!R240)</f>
        <v/>
      </c>
      <c r="D250" s="167" t="str">
        <f>IF(ISBLANK(DaqBook_RAW_Data!S240),"",DaqBook_RAW_Data!S240)</f>
        <v/>
      </c>
      <c r="E250" s="167" t="str">
        <f>IF(ISBLANK(DaqBook_RAW_Data!T240),"",DaqBook_RAW_Data!T240)</f>
        <v/>
      </c>
      <c r="F250" s="167" t="str">
        <f>IF(ISBLANK(DaqBook_RAW_Data!U240),"",DaqBook_RAW_Data!U240)</f>
        <v/>
      </c>
      <c r="G250" s="167" t="str">
        <f>IF(ISBLANK(DaqBook_RAW_Data!V240),"",DaqBook_RAW_Data!V240)</f>
        <v/>
      </c>
      <c r="H250" s="167" t="str">
        <f>IF(ISBLANK(DaqBook_RAW_Data!W240),"",DaqBook_RAW_Data!W240)</f>
        <v/>
      </c>
      <c r="I250" s="167" t="str">
        <f>IF(ISBLANK(DaqBook_RAW_Data!X240),"",DaqBook_RAW_Data!X240)</f>
        <v/>
      </c>
      <c r="J250" s="167" t="str">
        <f>IF(ISBLANK(DaqBook_RAW_Data!Y240),"",DaqBook_RAW_Data!Y240)</f>
        <v/>
      </c>
      <c r="K250" s="167" t="str">
        <f>IF(ISBLANK(DaqBook_RAW_Data!Z240),"",DaqBook_RAW_Data!Z240)</f>
        <v/>
      </c>
      <c r="L250" s="167" t="str">
        <f>IF(ISBLANK(DaqBook_RAW_Data!AA240),"",DaqBook_RAW_Data!AA240)</f>
        <v/>
      </c>
      <c r="M250" s="167" t="str">
        <f>IF(ISBLANK(DaqBook_RAW_Data!AB240),"",DaqBook_RAW_Data!AB240)</f>
        <v/>
      </c>
      <c r="N250" s="167" t="str">
        <f>IF(ISBLANK(DaqBook_RAW_Data!AC240),"",DaqBook_RAW_Data!AC240)</f>
        <v/>
      </c>
      <c r="O250" s="167" t="str">
        <f>IF(ISBLANK(DaqBook_RAW_Data!AD240),"",DaqBook_RAW_Data!AD240)</f>
        <v/>
      </c>
      <c r="P250" s="167" t="str">
        <f>IF(ISBLANK(DaqBook_RAW_Data!AE240),"",DaqBook_RAW_Data!AE240)</f>
        <v/>
      </c>
    </row>
    <row r="251" spans="1:16" x14ac:dyDescent="0.2">
      <c r="A251" s="58" t="e">
        <f t="shared" si="3"/>
        <v>#VALUE!</v>
      </c>
      <c r="B251" s="144" t="str">
        <f>IF(ISBLANK(DaqBook_RAW_Data!Q241),IF(DaqBook_RAW_Data!A241="","",TIMEVALUE(DaqBook_RAW_Data!A241)),TIMEVALUE(DaqBook_RAW_Data!Q241))</f>
        <v/>
      </c>
      <c r="C251" s="167" t="str">
        <f>IF(ISBLANK(DaqBook_RAW_Data!R241),"",DaqBook_RAW_Data!R241)</f>
        <v/>
      </c>
      <c r="D251" s="167" t="str">
        <f>IF(ISBLANK(DaqBook_RAW_Data!S241),"",DaqBook_RAW_Data!S241)</f>
        <v/>
      </c>
      <c r="E251" s="167" t="str">
        <f>IF(ISBLANK(DaqBook_RAW_Data!T241),"",DaqBook_RAW_Data!T241)</f>
        <v/>
      </c>
      <c r="F251" s="167" t="str">
        <f>IF(ISBLANK(DaqBook_RAW_Data!U241),"",DaqBook_RAW_Data!U241)</f>
        <v/>
      </c>
      <c r="G251" s="167" t="str">
        <f>IF(ISBLANK(DaqBook_RAW_Data!V241),"",DaqBook_RAW_Data!V241)</f>
        <v/>
      </c>
      <c r="H251" s="167" t="str">
        <f>IF(ISBLANK(DaqBook_RAW_Data!W241),"",DaqBook_RAW_Data!W241)</f>
        <v/>
      </c>
      <c r="I251" s="167" t="str">
        <f>IF(ISBLANK(DaqBook_RAW_Data!X241),"",DaqBook_RAW_Data!X241)</f>
        <v/>
      </c>
      <c r="J251" s="167" t="str">
        <f>IF(ISBLANK(DaqBook_RAW_Data!Y241),"",DaqBook_RAW_Data!Y241)</f>
        <v/>
      </c>
      <c r="K251" s="167" t="str">
        <f>IF(ISBLANK(DaqBook_RAW_Data!Z241),"",DaqBook_RAW_Data!Z241)</f>
        <v/>
      </c>
      <c r="L251" s="167" t="str">
        <f>IF(ISBLANK(DaqBook_RAW_Data!AA241),"",DaqBook_RAW_Data!AA241)</f>
        <v/>
      </c>
      <c r="M251" s="167" t="str">
        <f>IF(ISBLANK(DaqBook_RAW_Data!AB241),"",DaqBook_RAW_Data!AB241)</f>
        <v/>
      </c>
      <c r="N251" s="167" t="str">
        <f>IF(ISBLANK(DaqBook_RAW_Data!AC241),"",DaqBook_RAW_Data!AC241)</f>
        <v/>
      </c>
      <c r="O251" s="167" t="str">
        <f>IF(ISBLANK(DaqBook_RAW_Data!AD241),"",DaqBook_RAW_Data!AD241)</f>
        <v/>
      </c>
      <c r="P251" s="167" t="str">
        <f>IF(ISBLANK(DaqBook_RAW_Data!AE241),"",DaqBook_RAW_Data!AE241)</f>
        <v/>
      </c>
    </row>
    <row r="252" spans="1:16" x14ac:dyDescent="0.2">
      <c r="A252" s="58" t="e">
        <f t="shared" si="3"/>
        <v>#VALUE!</v>
      </c>
      <c r="B252" s="144" t="str">
        <f>IF(ISBLANK(DaqBook_RAW_Data!Q242),IF(DaqBook_RAW_Data!A242="","",TIMEVALUE(DaqBook_RAW_Data!A242)),TIMEVALUE(DaqBook_RAW_Data!Q242))</f>
        <v/>
      </c>
      <c r="C252" s="167" t="str">
        <f>IF(ISBLANK(DaqBook_RAW_Data!R242),"",DaqBook_RAW_Data!R242)</f>
        <v/>
      </c>
      <c r="D252" s="167" t="str">
        <f>IF(ISBLANK(DaqBook_RAW_Data!S242),"",DaqBook_RAW_Data!S242)</f>
        <v/>
      </c>
      <c r="E252" s="167" t="str">
        <f>IF(ISBLANK(DaqBook_RAW_Data!T242),"",DaqBook_RAW_Data!T242)</f>
        <v/>
      </c>
      <c r="F252" s="167" t="str">
        <f>IF(ISBLANK(DaqBook_RAW_Data!U242),"",DaqBook_RAW_Data!U242)</f>
        <v/>
      </c>
      <c r="G252" s="167" t="str">
        <f>IF(ISBLANK(DaqBook_RAW_Data!V242),"",DaqBook_RAW_Data!V242)</f>
        <v/>
      </c>
      <c r="H252" s="167" t="str">
        <f>IF(ISBLANK(DaqBook_RAW_Data!W242),"",DaqBook_RAW_Data!W242)</f>
        <v/>
      </c>
      <c r="I252" s="167" t="str">
        <f>IF(ISBLANK(DaqBook_RAW_Data!X242),"",DaqBook_RAW_Data!X242)</f>
        <v/>
      </c>
      <c r="J252" s="167" t="str">
        <f>IF(ISBLANK(DaqBook_RAW_Data!Y242),"",DaqBook_RAW_Data!Y242)</f>
        <v/>
      </c>
      <c r="K252" s="167" t="str">
        <f>IF(ISBLANK(DaqBook_RAW_Data!Z242),"",DaqBook_RAW_Data!Z242)</f>
        <v/>
      </c>
      <c r="L252" s="167" t="str">
        <f>IF(ISBLANK(DaqBook_RAW_Data!AA242),"",DaqBook_RAW_Data!AA242)</f>
        <v/>
      </c>
      <c r="M252" s="167" t="str">
        <f>IF(ISBLANK(DaqBook_RAW_Data!AB242),"",DaqBook_RAW_Data!AB242)</f>
        <v/>
      </c>
      <c r="N252" s="167" t="str">
        <f>IF(ISBLANK(DaqBook_RAW_Data!AC242),"",DaqBook_RAW_Data!AC242)</f>
        <v/>
      </c>
      <c r="O252" s="167" t="str">
        <f>IF(ISBLANK(DaqBook_RAW_Data!AD242),"",DaqBook_RAW_Data!AD242)</f>
        <v/>
      </c>
      <c r="P252" s="167" t="str">
        <f>IF(ISBLANK(DaqBook_RAW_Data!AE242),"",DaqBook_RAW_Data!AE242)</f>
        <v/>
      </c>
    </row>
    <row r="253" spans="1:16" x14ac:dyDescent="0.2">
      <c r="A253" s="58" t="e">
        <f t="shared" si="3"/>
        <v>#VALUE!</v>
      </c>
      <c r="B253" s="144" t="str">
        <f>IF(ISBLANK(DaqBook_RAW_Data!Q243),IF(DaqBook_RAW_Data!A243="","",TIMEVALUE(DaqBook_RAW_Data!A243)),TIMEVALUE(DaqBook_RAW_Data!Q243))</f>
        <v/>
      </c>
      <c r="C253" s="167" t="str">
        <f>IF(ISBLANK(DaqBook_RAW_Data!R243),"",DaqBook_RAW_Data!R243)</f>
        <v/>
      </c>
      <c r="D253" s="167" t="str">
        <f>IF(ISBLANK(DaqBook_RAW_Data!S243),"",DaqBook_RAW_Data!S243)</f>
        <v/>
      </c>
      <c r="E253" s="167" t="str">
        <f>IF(ISBLANK(DaqBook_RAW_Data!T243),"",DaqBook_RAW_Data!T243)</f>
        <v/>
      </c>
      <c r="F253" s="167" t="str">
        <f>IF(ISBLANK(DaqBook_RAW_Data!U243),"",DaqBook_RAW_Data!U243)</f>
        <v/>
      </c>
      <c r="G253" s="167" t="str">
        <f>IF(ISBLANK(DaqBook_RAW_Data!V243),"",DaqBook_RAW_Data!V243)</f>
        <v/>
      </c>
      <c r="H253" s="167" t="str">
        <f>IF(ISBLANK(DaqBook_RAW_Data!W243),"",DaqBook_RAW_Data!W243)</f>
        <v/>
      </c>
      <c r="I253" s="167" t="str">
        <f>IF(ISBLANK(DaqBook_RAW_Data!X243),"",DaqBook_RAW_Data!X243)</f>
        <v/>
      </c>
      <c r="J253" s="167" t="str">
        <f>IF(ISBLANK(DaqBook_RAW_Data!Y243),"",DaqBook_RAW_Data!Y243)</f>
        <v/>
      </c>
      <c r="K253" s="167" t="str">
        <f>IF(ISBLANK(DaqBook_RAW_Data!Z243),"",DaqBook_RAW_Data!Z243)</f>
        <v/>
      </c>
      <c r="L253" s="167" t="str">
        <f>IF(ISBLANK(DaqBook_RAW_Data!AA243),"",DaqBook_RAW_Data!AA243)</f>
        <v/>
      </c>
      <c r="M253" s="167" t="str">
        <f>IF(ISBLANK(DaqBook_RAW_Data!AB243),"",DaqBook_RAW_Data!AB243)</f>
        <v/>
      </c>
      <c r="N253" s="167" t="str">
        <f>IF(ISBLANK(DaqBook_RAW_Data!AC243),"",DaqBook_RAW_Data!AC243)</f>
        <v/>
      </c>
      <c r="O253" s="167" t="str">
        <f>IF(ISBLANK(DaqBook_RAW_Data!AD243),"",DaqBook_RAW_Data!AD243)</f>
        <v/>
      </c>
      <c r="P253" s="167" t="str">
        <f>IF(ISBLANK(DaqBook_RAW_Data!AE243),"",DaqBook_RAW_Data!AE243)</f>
        <v/>
      </c>
    </row>
    <row r="254" spans="1:16" x14ac:dyDescent="0.2">
      <c r="A254" s="58" t="e">
        <f t="shared" si="3"/>
        <v>#VALUE!</v>
      </c>
      <c r="B254" s="144" t="str">
        <f>IF(ISBLANK(DaqBook_RAW_Data!Q244),IF(DaqBook_RAW_Data!A244="","",TIMEVALUE(DaqBook_RAW_Data!A244)),TIMEVALUE(DaqBook_RAW_Data!Q244))</f>
        <v/>
      </c>
      <c r="C254" s="167" t="str">
        <f>IF(ISBLANK(DaqBook_RAW_Data!R244),"",DaqBook_RAW_Data!R244)</f>
        <v/>
      </c>
      <c r="D254" s="167" t="str">
        <f>IF(ISBLANK(DaqBook_RAW_Data!S244),"",DaqBook_RAW_Data!S244)</f>
        <v/>
      </c>
      <c r="E254" s="167" t="str">
        <f>IF(ISBLANK(DaqBook_RAW_Data!T244),"",DaqBook_RAW_Data!T244)</f>
        <v/>
      </c>
      <c r="F254" s="167" t="str">
        <f>IF(ISBLANK(DaqBook_RAW_Data!U244),"",DaqBook_RAW_Data!U244)</f>
        <v/>
      </c>
      <c r="G254" s="167" t="str">
        <f>IF(ISBLANK(DaqBook_RAW_Data!V244),"",DaqBook_RAW_Data!V244)</f>
        <v/>
      </c>
      <c r="H254" s="167" t="str">
        <f>IF(ISBLANK(DaqBook_RAW_Data!W244),"",DaqBook_RAW_Data!W244)</f>
        <v/>
      </c>
      <c r="I254" s="167" t="str">
        <f>IF(ISBLANK(DaqBook_RAW_Data!X244),"",DaqBook_RAW_Data!X244)</f>
        <v/>
      </c>
      <c r="J254" s="167" t="str">
        <f>IF(ISBLANK(DaqBook_RAW_Data!Y244),"",DaqBook_RAW_Data!Y244)</f>
        <v/>
      </c>
      <c r="K254" s="167" t="str">
        <f>IF(ISBLANK(DaqBook_RAW_Data!Z244),"",DaqBook_RAW_Data!Z244)</f>
        <v/>
      </c>
      <c r="L254" s="167" t="str">
        <f>IF(ISBLANK(DaqBook_RAW_Data!AA244),"",DaqBook_RAW_Data!AA244)</f>
        <v/>
      </c>
      <c r="M254" s="167" t="str">
        <f>IF(ISBLANK(DaqBook_RAW_Data!AB244),"",DaqBook_RAW_Data!AB244)</f>
        <v/>
      </c>
      <c r="N254" s="167" t="str">
        <f>IF(ISBLANK(DaqBook_RAW_Data!AC244),"",DaqBook_RAW_Data!AC244)</f>
        <v/>
      </c>
      <c r="O254" s="167" t="str">
        <f>IF(ISBLANK(DaqBook_RAW_Data!AD244),"",DaqBook_RAW_Data!AD244)</f>
        <v/>
      </c>
      <c r="P254" s="167" t="str">
        <f>IF(ISBLANK(DaqBook_RAW_Data!AE244),"",DaqBook_RAW_Data!AE244)</f>
        <v/>
      </c>
    </row>
    <row r="255" spans="1:16" x14ac:dyDescent="0.2">
      <c r="A255" s="58" t="e">
        <f t="shared" si="3"/>
        <v>#VALUE!</v>
      </c>
      <c r="B255" s="144" t="str">
        <f>IF(ISBLANK(DaqBook_RAW_Data!Q245),IF(DaqBook_RAW_Data!A245="","",TIMEVALUE(DaqBook_RAW_Data!A245)),TIMEVALUE(DaqBook_RAW_Data!Q245))</f>
        <v/>
      </c>
      <c r="C255" s="167" t="str">
        <f>IF(ISBLANK(DaqBook_RAW_Data!R245),"",DaqBook_RAW_Data!R245)</f>
        <v/>
      </c>
      <c r="D255" s="167" t="str">
        <f>IF(ISBLANK(DaqBook_RAW_Data!S245),"",DaqBook_RAW_Data!S245)</f>
        <v/>
      </c>
      <c r="E255" s="167" t="str">
        <f>IF(ISBLANK(DaqBook_RAW_Data!T245),"",DaqBook_RAW_Data!T245)</f>
        <v/>
      </c>
      <c r="F255" s="167" t="str">
        <f>IF(ISBLANK(DaqBook_RAW_Data!U245),"",DaqBook_RAW_Data!U245)</f>
        <v/>
      </c>
      <c r="G255" s="167" t="str">
        <f>IF(ISBLANK(DaqBook_RAW_Data!V245),"",DaqBook_RAW_Data!V245)</f>
        <v/>
      </c>
      <c r="H255" s="167" t="str">
        <f>IF(ISBLANK(DaqBook_RAW_Data!W245),"",DaqBook_RAW_Data!W245)</f>
        <v/>
      </c>
      <c r="I255" s="167" t="str">
        <f>IF(ISBLANK(DaqBook_RAW_Data!X245),"",DaqBook_RAW_Data!X245)</f>
        <v/>
      </c>
      <c r="J255" s="167" t="str">
        <f>IF(ISBLANK(DaqBook_RAW_Data!Y245),"",DaqBook_RAW_Data!Y245)</f>
        <v/>
      </c>
      <c r="K255" s="167" t="str">
        <f>IF(ISBLANK(DaqBook_RAW_Data!Z245),"",DaqBook_RAW_Data!Z245)</f>
        <v/>
      </c>
      <c r="L255" s="167" t="str">
        <f>IF(ISBLANK(DaqBook_RAW_Data!AA245),"",DaqBook_RAW_Data!AA245)</f>
        <v/>
      </c>
      <c r="M255" s="167" t="str">
        <f>IF(ISBLANK(DaqBook_RAW_Data!AB245),"",DaqBook_RAW_Data!AB245)</f>
        <v/>
      </c>
      <c r="N255" s="167" t="str">
        <f>IF(ISBLANK(DaqBook_RAW_Data!AC245),"",DaqBook_RAW_Data!AC245)</f>
        <v/>
      </c>
      <c r="O255" s="167" t="str">
        <f>IF(ISBLANK(DaqBook_RAW_Data!AD245),"",DaqBook_RAW_Data!AD245)</f>
        <v/>
      </c>
      <c r="P255" s="167" t="str">
        <f>IF(ISBLANK(DaqBook_RAW_Data!AE245),"",DaqBook_RAW_Data!AE245)</f>
        <v/>
      </c>
    </row>
    <row r="256" spans="1:16" x14ac:dyDescent="0.2">
      <c r="A256" s="58" t="e">
        <f t="shared" si="3"/>
        <v>#VALUE!</v>
      </c>
      <c r="B256" s="144" t="str">
        <f>IF(ISBLANK(DaqBook_RAW_Data!Q246),IF(DaqBook_RAW_Data!A246="","",TIMEVALUE(DaqBook_RAW_Data!A246)),TIMEVALUE(DaqBook_RAW_Data!Q246))</f>
        <v/>
      </c>
      <c r="C256" s="167" t="str">
        <f>IF(ISBLANK(DaqBook_RAW_Data!R246),"",DaqBook_RAW_Data!R246)</f>
        <v/>
      </c>
      <c r="D256" s="167" t="str">
        <f>IF(ISBLANK(DaqBook_RAW_Data!S246),"",DaqBook_RAW_Data!S246)</f>
        <v/>
      </c>
      <c r="E256" s="167" t="str">
        <f>IF(ISBLANK(DaqBook_RAW_Data!T246),"",DaqBook_RAW_Data!T246)</f>
        <v/>
      </c>
      <c r="F256" s="167" t="str">
        <f>IF(ISBLANK(DaqBook_RAW_Data!U246),"",DaqBook_RAW_Data!U246)</f>
        <v/>
      </c>
      <c r="G256" s="167" t="str">
        <f>IF(ISBLANK(DaqBook_RAW_Data!V246),"",DaqBook_RAW_Data!V246)</f>
        <v/>
      </c>
      <c r="H256" s="167" t="str">
        <f>IF(ISBLANK(DaqBook_RAW_Data!W246),"",DaqBook_RAW_Data!W246)</f>
        <v/>
      </c>
      <c r="I256" s="167" t="str">
        <f>IF(ISBLANK(DaqBook_RAW_Data!X246),"",DaqBook_RAW_Data!X246)</f>
        <v/>
      </c>
      <c r="J256" s="167" t="str">
        <f>IF(ISBLANK(DaqBook_RAW_Data!Y246),"",DaqBook_RAW_Data!Y246)</f>
        <v/>
      </c>
      <c r="K256" s="167" t="str">
        <f>IF(ISBLANK(DaqBook_RAW_Data!Z246),"",DaqBook_RAW_Data!Z246)</f>
        <v/>
      </c>
      <c r="L256" s="167" t="str">
        <f>IF(ISBLANK(DaqBook_RAW_Data!AA246),"",DaqBook_RAW_Data!AA246)</f>
        <v/>
      </c>
      <c r="M256" s="167" t="str">
        <f>IF(ISBLANK(DaqBook_RAW_Data!AB246),"",DaqBook_RAW_Data!AB246)</f>
        <v/>
      </c>
      <c r="N256" s="167" t="str">
        <f>IF(ISBLANK(DaqBook_RAW_Data!AC246),"",DaqBook_RAW_Data!AC246)</f>
        <v/>
      </c>
      <c r="O256" s="167" t="str">
        <f>IF(ISBLANK(DaqBook_RAW_Data!AD246),"",DaqBook_RAW_Data!AD246)</f>
        <v/>
      </c>
      <c r="P256" s="167" t="str">
        <f>IF(ISBLANK(DaqBook_RAW_Data!AE246),"",DaqBook_RAW_Data!AE246)</f>
        <v/>
      </c>
    </row>
    <row r="257" spans="1:16" x14ac:dyDescent="0.2">
      <c r="A257" s="58" t="e">
        <f t="shared" si="3"/>
        <v>#VALUE!</v>
      </c>
      <c r="B257" s="144" t="str">
        <f>IF(ISBLANK(DaqBook_RAW_Data!Q247),IF(DaqBook_RAW_Data!A247="","",TIMEVALUE(DaqBook_RAW_Data!A247)),TIMEVALUE(DaqBook_RAW_Data!Q247))</f>
        <v/>
      </c>
      <c r="C257" s="167" t="str">
        <f>IF(ISBLANK(DaqBook_RAW_Data!R247),"",DaqBook_RAW_Data!R247)</f>
        <v/>
      </c>
      <c r="D257" s="167" t="str">
        <f>IF(ISBLANK(DaqBook_RAW_Data!S247),"",DaqBook_RAW_Data!S247)</f>
        <v/>
      </c>
      <c r="E257" s="167" t="str">
        <f>IF(ISBLANK(DaqBook_RAW_Data!T247),"",DaqBook_RAW_Data!T247)</f>
        <v/>
      </c>
      <c r="F257" s="167" t="str">
        <f>IF(ISBLANK(DaqBook_RAW_Data!U247),"",DaqBook_RAW_Data!U247)</f>
        <v/>
      </c>
      <c r="G257" s="167" t="str">
        <f>IF(ISBLANK(DaqBook_RAW_Data!V247),"",DaqBook_RAW_Data!V247)</f>
        <v/>
      </c>
      <c r="H257" s="167" t="str">
        <f>IF(ISBLANK(DaqBook_RAW_Data!W247),"",DaqBook_RAW_Data!W247)</f>
        <v/>
      </c>
      <c r="I257" s="167" t="str">
        <f>IF(ISBLANK(DaqBook_RAW_Data!X247),"",DaqBook_RAW_Data!X247)</f>
        <v/>
      </c>
      <c r="J257" s="167" t="str">
        <f>IF(ISBLANK(DaqBook_RAW_Data!Y247),"",DaqBook_RAW_Data!Y247)</f>
        <v/>
      </c>
      <c r="K257" s="167" t="str">
        <f>IF(ISBLANK(DaqBook_RAW_Data!Z247),"",DaqBook_RAW_Data!Z247)</f>
        <v/>
      </c>
      <c r="L257" s="167" t="str">
        <f>IF(ISBLANK(DaqBook_RAW_Data!AA247),"",DaqBook_RAW_Data!AA247)</f>
        <v/>
      </c>
      <c r="M257" s="167" t="str">
        <f>IF(ISBLANK(DaqBook_RAW_Data!AB247),"",DaqBook_RAW_Data!AB247)</f>
        <v/>
      </c>
      <c r="N257" s="167" t="str">
        <f>IF(ISBLANK(DaqBook_RAW_Data!AC247),"",DaqBook_RAW_Data!AC247)</f>
        <v/>
      </c>
      <c r="O257" s="167" t="str">
        <f>IF(ISBLANK(DaqBook_RAW_Data!AD247),"",DaqBook_RAW_Data!AD247)</f>
        <v/>
      </c>
      <c r="P257" s="167" t="str">
        <f>IF(ISBLANK(DaqBook_RAW_Data!AE247),"",DaqBook_RAW_Data!AE247)</f>
        <v/>
      </c>
    </row>
    <row r="258" spans="1:16" x14ac:dyDescent="0.2">
      <c r="A258" s="58" t="e">
        <f t="shared" si="3"/>
        <v>#VALUE!</v>
      </c>
      <c r="B258" s="144" t="str">
        <f>IF(ISBLANK(DaqBook_RAW_Data!Q248),IF(DaqBook_RAW_Data!A248="","",TIMEVALUE(DaqBook_RAW_Data!A248)),TIMEVALUE(DaqBook_RAW_Data!Q248))</f>
        <v/>
      </c>
      <c r="C258" s="167" t="str">
        <f>IF(ISBLANK(DaqBook_RAW_Data!R248),"",DaqBook_RAW_Data!R248)</f>
        <v/>
      </c>
      <c r="D258" s="167" t="str">
        <f>IF(ISBLANK(DaqBook_RAW_Data!S248),"",DaqBook_RAW_Data!S248)</f>
        <v/>
      </c>
      <c r="E258" s="167" t="str">
        <f>IF(ISBLANK(DaqBook_RAW_Data!T248),"",DaqBook_RAW_Data!T248)</f>
        <v/>
      </c>
      <c r="F258" s="167" t="str">
        <f>IF(ISBLANK(DaqBook_RAW_Data!U248),"",DaqBook_RAW_Data!U248)</f>
        <v/>
      </c>
      <c r="G258" s="167" t="str">
        <f>IF(ISBLANK(DaqBook_RAW_Data!V248),"",DaqBook_RAW_Data!V248)</f>
        <v/>
      </c>
      <c r="H258" s="167" t="str">
        <f>IF(ISBLANK(DaqBook_RAW_Data!W248),"",DaqBook_RAW_Data!W248)</f>
        <v/>
      </c>
      <c r="I258" s="167" t="str">
        <f>IF(ISBLANK(DaqBook_RAW_Data!X248),"",DaqBook_RAW_Data!X248)</f>
        <v/>
      </c>
      <c r="J258" s="167" t="str">
        <f>IF(ISBLANK(DaqBook_RAW_Data!Y248),"",DaqBook_RAW_Data!Y248)</f>
        <v/>
      </c>
      <c r="K258" s="167" t="str">
        <f>IF(ISBLANK(DaqBook_RAW_Data!Z248),"",DaqBook_RAW_Data!Z248)</f>
        <v/>
      </c>
      <c r="L258" s="167" t="str">
        <f>IF(ISBLANK(DaqBook_RAW_Data!AA248),"",DaqBook_RAW_Data!AA248)</f>
        <v/>
      </c>
      <c r="M258" s="167" t="str">
        <f>IF(ISBLANK(DaqBook_RAW_Data!AB248),"",DaqBook_RAW_Data!AB248)</f>
        <v/>
      </c>
      <c r="N258" s="167" t="str">
        <f>IF(ISBLANK(DaqBook_RAW_Data!AC248),"",DaqBook_RAW_Data!AC248)</f>
        <v/>
      </c>
      <c r="O258" s="167" t="str">
        <f>IF(ISBLANK(DaqBook_RAW_Data!AD248),"",DaqBook_RAW_Data!AD248)</f>
        <v/>
      </c>
      <c r="P258" s="167" t="str">
        <f>IF(ISBLANK(DaqBook_RAW_Data!AE248),"",DaqBook_RAW_Data!AE248)</f>
        <v/>
      </c>
    </row>
    <row r="259" spans="1:16" x14ac:dyDescent="0.2">
      <c r="A259" s="58" t="e">
        <f t="shared" si="3"/>
        <v>#VALUE!</v>
      </c>
      <c r="B259" s="144" t="str">
        <f>IF(ISBLANK(DaqBook_RAW_Data!Q249),IF(DaqBook_RAW_Data!A249="","",TIMEVALUE(DaqBook_RAW_Data!A249)),TIMEVALUE(DaqBook_RAW_Data!Q249))</f>
        <v/>
      </c>
      <c r="C259" s="167" t="str">
        <f>IF(ISBLANK(DaqBook_RAW_Data!R249),"",DaqBook_RAW_Data!R249)</f>
        <v/>
      </c>
      <c r="D259" s="167" t="str">
        <f>IF(ISBLANK(DaqBook_RAW_Data!S249),"",DaqBook_RAW_Data!S249)</f>
        <v/>
      </c>
      <c r="E259" s="167" t="str">
        <f>IF(ISBLANK(DaqBook_RAW_Data!T249),"",DaqBook_RAW_Data!T249)</f>
        <v/>
      </c>
      <c r="F259" s="167" t="str">
        <f>IF(ISBLANK(DaqBook_RAW_Data!U249),"",DaqBook_RAW_Data!U249)</f>
        <v/>
      </c>
      <c r="G259" s="167" t="str">
        <f>IF(ISBLANK(DaqBook_RAW_Data!V249),"",DaqBook_RAW_Data!V249)</f>
        <v/>
      </c>
      <c r="H259" s="167" t="str">
        <f>IF(ISBLANK(DaqBook_RAW_Data!W249),"",DaqBook_RAW_Data!W249)</f>
        <v/>
      </c>
      <c r="I259" s="167" t="str">
        <f>IF(ISBLANK(DaqBook_RAW_Data!X249),"",DaqBook_RAW_Data!X249)</f>
        <v/>
      </c>
      <c r="J259" s="167" t="str">
        <f>IF(ISBLANK(DaqBook_RAW_Data!Y249),"",DaqBook_RAW_Data!Y249)</f>
        <v/>
      </c>
      <c r="K259" s="167" t="str">
        <f>IF(ISBLANK(DaqBook_RAW_Data!Z249),"",DaqBook_RAW_Data!Z249)</f>
        <v/>
      </c>
      <c r="L259" s="167" t="str">
        <f>IF(ISBLANK(DaqBook_RAW_Data!AA249),"",DaqBook_RAW_Data!AA249)</f>
        <v/>
      </c>
      <c r="M259" s="167" t="str">
        <f>IF(ISBLANK(DaqBook_RAW_Data!AB249),"",DaqBook_RAW_Data!AB249)</f>
        <v/>
      </c>
      <c r="N259" s="167" t="str">
        <f>IF(ISBLANK(DaqBook_RAW_Data!AC249),"",DaqBook_RAW_Data!AC249)</f>
        <v/>
      </c>
      <c r="O259" s="167" t="str">
        <f>IF(ISBLANK(DaqBook_RAW_Data!AD249),"",DaqBook_RAW_Data!AD249)</f>
        <v/>
      </c>
      <c r="P259" s="167" t="str">
        <f>IF(ISBLANK(DaqBook_RAW_Data!AE249),"",DaqBook_RAW_Data!AE249)</f>
        <v/>
      </c>
    </row>
    <row r="260" spans="1:16" x14ac:dyDescent="0.2">
      <c r="A260" s="58" t="e">
        <f t="shared" si="3"/>
        <v>#VALUE!</v>
      </c>
      <c r="B260" s="144" t="str">
        <f>IF(ISBLANK(DaqBook_RAW_Data!Q250),IF(DaqBook_RAW_Data!A250="","",TIMEVALUE(DaqBook_RAW_Data!A250)),TIMEVALUE(DaqBook_RAW_Data!Q250))</f>
        <v/>
      </c>
      <c r="C260" s="167" t="str">
        <f>IF(ISBLANK(DaqBook_RAW_Data!R250),"",DaqBook_RAW_Data!R250)</f>
        <v/>
      </c>
      <c r="D260" s="167" t="str">
        <f>IF(ISBLANK(DaqBook_RAW_Data!S250),"",DaqBook_RAW_Data!S250)</f>
        <v/>
      </c>
      <c r="E260" s="167" t="str">
        <f>IF(ISBLANK(DaqBook_RAW_Data!T250),"",DaqBook_RAW_Data!T250)</f>
        <v/>
      </c>
      <c r="F260" s="167" t="str">
        <f>IF(ISBLANK(DaqBook_RAW_Data!U250),"",DaqBook_RAW_Data!U250)</f>
        <v/>
      </c>
      <c r="G260" s="167" t="str">
        <f>IF(ISBLANK(DaqBook_RAW_Data!V250),"",DaqBook_RAW_Data!V250)</f>
        <v/>
      </c>
      <c r="H260" s="167" t="str">
        <f>IF(ISBLANK(DaqBook_RAW_Data!W250),"",DaqBook_RAW_Data!W250)</f>
        <v/>
      </c>
      <c r="I260" s="167" t="str">
        <f>IF(ISBLANK(DaqBook_RAW_Data!X250),"",DaqBook_RAW_Data!X250)</f>
        <v/>
      </c>
      <c r="J260" s="167" t="str">
        <f>IF(ISBLANK(DaqBook_RAW_Data!Y250),"",DaqBook_RAW_Data!Y250)</f>
        <v/>
      </c>
      <c r="K260" s="167" t="str">
        <f>IF(ISBLANK(DaqBook_RAW_Data!Z250),"",DaqBook_RAW_Data!Z250)</f>
        <v/>
      </c>
      <c r="L260" s="167" t="str">
        <f>IF(ISBLANK(DaqBook_RAW_Data!AA250),"",DaqBook_RAW_Data!AA250)</f>
        <v/>
      </c>
      <c r="M260" s="167" t="str">
        <f>IF(ISBLANK(DaqBook_RAW_Data!AB250),"",DaqBook_RAW_Data!AB250)</f>
        <v/>
      </c>
      <c r="N260" s="167" t="str">
        <f>IF(ISBLANK(DaqBook_RAW_Data!AC250),"",DaqBook_RAW_Data!AC250)</f>
        <v/>
      </c>
      <c r="O260" s="167" t="str">
        <f>IF(ISBLANK(DaqBook_RAW_Data!AD250),"",DaqBook_RAW_Data!AD250)</f>
        <v/>
      </c>
      <c r="P260" s="167" t="str">
        <f>IF(ISBLANK(DaqBook_RAW_Data!AE250),"",DaqBook_RAW_Data!AE250)</f>
        <v/>
      </c>
    </row>
    <row r="261" spans="1:16" x14ac:dyDescent="0.2">
      <c r="A261" s="58" t="e">
        <f t="shared" si="3"/>
        <v>#VALUE!</v>
      </c>
      <c r="B261" s="144" t="str">
        <f>IF(ISBLANK(DaqBook_RAW_Data!Q251),IF(DaqBook_RAW_Data!A251="","",TIMEVALUE(DaqBook_RAW_Data!A251)),TIMEVALUE(DaqBook_RAW_Data!Q251))</f>
        <v/>
      </c>
      <c r="C261" s="167" t="str">
        <f>IF(ISBLANK(DaqBook_RAW_Data!R251),"",DaqBook_RAW_Data!R251)</f>
        <v/>
      </c>
      <c r="D261" s="167" t="str">
        <f>IF(ISBLANK(DaqBook_RAW_Data!S251),"",DaqBook_RAW_Data!S251)</f>
        <v/>
      </c>
      <c r="E261" s="167" t="str">
        <f>IF(ISBLANK(DaqBook_RAW_Data!T251),"",DaqBook_RAW_Data!T251)</f>
        <v/>
      </c>
      <c r="F261" s="167" t="str">
        <f>IF(ISBLANK(DaqBook_RAW_Data!U251),"",DaqBook_RAW_Data!U251)</f>
        <v/>
      </c>
      <c r="G261" s="167" t="str">
        <f>IF(ISBLANK(DaqBook_RAW_Data!V251),"",DaqBook_RAW_Data!V251)</f>
        <v/>
      </c>
      <c r="H261" s="167" t="str">
        <f>IF(ISBLANK(DaqBook_RAW_Data!W251),"",DaqBook_RAW_Data!W251)</f>
        <v/>
      </c>
      <c r="I261" s="167" t="str">
        <f>IF(ISBLANK(DaqBook_RAW_Data!X251),"",DaqBook_RAW_Data!X251)</f>
        <v/>
      </c>
      <c r="J261" s="167" t="str">
        <f>IF(ISBLANK(DaqBook_RAW_Data!Y251),"",DaqBook_RAW_Data!Y251)</f>
        <v/>
      </c>
      <c r="K261" s="167" t="str">
        <f>IF(ISBLANK(DaqBook_RAW_Data!Z251),"",DaqBook_RAW_Data!Z251)</f>
        <v/>
      </c>
      <c r="L261" s="167" t="str">
        <f>IF(ISBLANK(DaqBook_RAW_Data!AA251),"",DaqBook_RAW_Data!AA251)</f>
        <v/>
      </c>
      <c r="M261" s="167" t="str">
        <f>IF(ISBLANK(DaqBook_RAW_Data!AB251),"",DaqBook_RAW_Data!AB251)</f>
        <v/>
      </c>
      <c r="N261" s="167" t="str">
        <f>IF(ISBLANK(DaqBook_RAW_Data!AC251),"",DaqBook_RAW_Data!AC251)</f>
        <v/>
      </c>
      <c r="O261" s="167" t="str">
        <f>IF(ISBLANK(DaqBook_RAW_Data!AD251),"",DaqBook_RAW_Data!AD251)</f>
        <v/>
      </c>
      <c r="P261" s="167" t="str">
        <f>IF(ISBLANK(DaqBook_RAW_Data!AE251),"",DaqBook_RAW_Data!AE251)</f>
        <v/>
      </c>
    </row>
    <row r="262" spans="1:16" x14ac:dyDescent="0.2">
      <c r="A262" s="58" t="e">
        <f t="shared" si="3"/>
        <v>#VALUE!</v>
      </c>
      <c r="B262" s="144" t="str">
        <f>IF(ISBLANK(DaqBook_RAW_Data!Q252),IF(DaqBook_RAW_Data!A252="","",TIMEVALUE(DaqBook_RAW_Data!A252)),TIMEVALUE(DaqBook_RAW_Data!Q252))</f>
        <v/>
      </c>
      <c r="C262" s="167" t="str">
        <f>IF(ISBLANK(DaqBook_RAW_Data!R252),"",DaqBook_RAW_Data!R252)</f>
        <v/>
      </c>
      <c r="D262" s="167" t="str">
        <f>IF(ISBLANK(DaqBook_RAW_Data!S252),"",DaqBook_RAW_Data!S252)</f>
        <v/>
      </c>
      <c r="E262" s="167" t="str">
        <f>IF(ISBLANK(DaqBook_RAW_Data!T252),"",DaqBook_RAW_Data!T252)</f>
        <v/>
      </c>
      <c r="F262" s="167" t="str">
        <f>IF(ISBLANK(DaqBook_RAW_Data!U252),"",DaqBook_RAW_Data!U252)</f>
        <v/>
      </c>
      <c r="G262" s="167" t="str">
        <f>IF(ISBLANK(DaqBook_RAW_Data!V252),"",DaqBook_RAW_Data!V252)</f>
        <v/>
      </c>
      <c r="H262" s="167" t="str">
        <f>IF(ISBLANK(DaqBook_RAW_Data!W252),"",DaqBook_RAW_Data!W252)</f>
        <v/>
      </c>
      <c r="I262" s="167" t="str">
        <f>IF(ISBLANK(DaqBook_RAW_Data!X252),"",DaqBook_RAW_Data!X252)</f>
        <v/>
      </c>
      <c r="J262" s="167" t="str">
        <f>IF(ISBLANK(DaqBook_RAW_Data!Y252),"",DaqBook_RAW_Data!Y252)</f>
        <v/>
      </c>
      <c r="K262" s="167" t="str">
        <f>IF(ISBLANK(DaqBook_RAW_Data!Z252),"",DaqBook_RAW_Data!Z252)</f>
        <v/>
      </c>
      <c r="L262" s="167" t="str">
        <f>IF(ISBLANK(DaqBook_RAW_Data!AA252),"",DaqBook_RAW_Data!AA252)</f>
        <v/>
      </c>
      <c r="M262" s="167" t="str">
        <f>IF(ISBLANK(DaqBook_RAW_Data!AB252),"",DaqBook_RAW_Data!AB252)</f>
        <v/>
      </c>
      <c r="N262" s="167" t="str">
        <f>IF(ISBLANK(DaqBook_RAW_Data!AC252),"",DaqBook_RAW_Data!AC252)</f>
        <v/>
      </c>
      <c r="O262" s="167" t="str">
        <f>IF(ISBLANK(DaqBook_RAW_Data!AD252),"",DaqBook_RAW_Data!AD252)</f>
        <v/>
      </c>
      <c r="P262" s="167" t="str">
        <f>IF(ISBLANK(DaqBook_RAW_Data!AE252),"",DaqBook_RAW_Data!AE252)</f>
        <v/>
      </c>
    </row>
    <row r="263" spans="1:16" x14ac:dyDescent="0.2">
      <c r="A263" s="58" t="e">
        <f t="shared" si="3"/>
        <v>#VALUE!</v>
      </c>
      <c r="B263" s="144" t="str">
        <f>IF(ISBLANK(DaqBook_RAW_Data!Q253),IF(DaqBook_RAW_Data!A253="","",TIMEVALUE(DaqBook_RAW_Data!A253)),TIMEVALUE(DaqBook_RAW_Data!Q253))</f>
        <v/>
      </c>
      <c r="C263" s="167" t="str">
        <f>IF(ISBLANK(DaqBook_RAW_Data!R253),"",DaqBook_RAW_Data!R253)</f>
        <v/>
      </c>
      <c r="D263" s="167" t="str">
        <f>IF(ISBLANK(DaqBook_RAW_Data!S253),"",DaqBook_RAW_Data!S253)</f>
        <v/>
      </c>
      <c r="E263" s="167" t="str">
        <f>IF(ISBLANK(DaqBook_RAW_Data!T253),"",DaqBook_RAW_Data!T253)</f>
        <v/>
      </c>
      <c r="F263" s="167" t="str">
        <f>IF(ISBLANK(DaqBook_RAW_Data!U253),"",DaqBook_RAW_Data!U253)</f>
        <v/>
      </c>
      <c r="G263" s="167" t="str">
        <f>IF(ISBLANK(DaqBook_RAW_Data!V253),"",DaqBook_RAW_Data!V253)</f>
        <v/>
      </c>
      <c r="H263" s="167" t="str">
        <f>IF(ISBLANK(DaqBook_RAW_Data!W253),"",DaqBook_RAW_Data!W253)</f>
        <v/>
      </c>
      <c r="I263" s="167" t="str">
        <f>IF(ISBLANK(DaqBook_RAW_Data!X253),"",DaqBook_RAW_Data!X253)</f>
        <v/>
      </c>
      <c r="J263" s="167" t="str">
        <f>IF(ISBLANK(DaqBook_RAW_Data!Y253),"",DaqBook_RAW_Data!Y253)</f>
        <v/>
      </c>
      <c r="K263" s="167" t="str">
        <f>IF(ISBLANK(DaqBook_RAW_Data!Z253),"",DaqBook_RAW_Data!Z253)</f>
        <v/>
      </c>
      <c r="L263" s="167" t="str">
        <f>IF(ISBLANK(DaqBook_RAW_Data!AA253),"",DaqBook_RAW_Data!AA253)</f>
        <v/>
      </c>
      <c r="M263" s="167" t="str">
        <f>IF(ISBLANK(DaqBook_RAW_Data!AB253),"",DaqBook_RAW_Data!AB253)</f>
        <v/>
      </c>
      <c r="N263" s="167" t="str">
        <f>IF(ISBLANK(DaqBook_RAW_Data!AC253),"",DaqBook_RAW_Data!AC253)</f>
        <v/>
      </c>
      <c r="O263" s="167" t="str">
        <f>IF(ISBLANK(DaqBook_RAW_Data!AD253),"",DaqBook_RAW_Data!AD253)</f>
        <v/>
      </c>
      <c r="P263" s="167" t="str">
        <f>IF(ISBLANK(DaqBook_RAW_Data!AE253),"",DaqBook_RAW_Data!AE253)</f>
        <v/>
      </c>
    </row>
    <row r="264" spans="1:16" x14ac:dyDescent="0.2">
      <c r="A264" s="58" t="e">
        <f t="shared" si="3"/>
        <v>#VALUE!</v>
      </c>
      <c r="B264" s="144" t="str">
        <f>IF(ISBLANK(DaqBook_RAW_Data!Q254),IF(DaqBook_RAW_Data!A254="","",TIMEVALUE(DaqBook_RAW_Data!A254)),TIMEVALUE(DaqBook_RAW_Data!Q254))</f>
        <v/>
      </c>
      <c r="C264" s="167" t="str">
        <f>IF(ISBLANK(DaqBook_RAW_Data!R254),"",DaqBook_RAW_Data!R254)</f>
        <v/>
      </c>
      <c r="D264" s="167" t="str">
        <f>IF(ISBLANK(DaqBook_RAW_Data!S254),"",DaqBook_RAW_Data!S254)</f>
        <v/>
      </c>
      <c r="E264" s="167" t="str">
        <f>IF(ISBLANK(DaqBook_RAW_Data!T254),"",DaqBook_RAW_Data!T254)</f>
        <v/>
      </c>
      <c r="F264" s="167" t="str">
        <f>IF(ISBLANK(DaqBook_RAW_Data!U254),"",DaqBook_RAW_Data!U254)</f>
        <v/>
      </c>
      <c r="G264" s="167" t="str">
        <f>IF(ISBLANK(DaqBook_RAW_Data!V254),"",DaqBook_RAW_Data!V254)</f>
        <v/>
      </c>
      <c r="H264" s="167" t="str">
        <f>IF(ISBLANK(DaqBook_RAW_Data!W254),"",DaqBook_RAW_Data!W254)</f>
        <v/>
      </c>
      <c r="I264" s="167" t="str">
        <f>IF(ISBLANK(DaqBook_RAW_Data!X254),"",DaqBook_RAW_Data!X254)</f>
        <v/>
      </c>
      <c r="J264" s="167" t="str">
        <f>IF(ISBLANK(DaqBook_RAW_Data!Y254),"",DaqBook_RAW_Data!Y254)</f>
        <v/>
      </c>
      <c r="K264" s="167" t="str">
        <f>IF(ISBLANK(DaqBook_RAW_Data!Z254),"",DaqBook_RAW_Data!Z254)</f>
        <v/>
      </c>
      <c r="L264" s="167" t="str">
        <f>IF(ISBLANK(DaqBook_RAW_Data!AA254),"",DaqBook_RAW_Data!AA254)</f>
        <v/>
      </c>
      <c r="M264" s="167" t="str">
        <f>IF(ISBLANK(DaqBook_RAW_Data!AB254),"",DaqBook_RAW_Data!AB254)</f>
        <v/>
      </c>
      <c r="N264" s="167" t="str">
        <f>IF(ISBLANK(DaqBook_RAW_Data!AC254),"",DaqBook_RAW_Data!AC254)</f>
        <v/>
      </c>
      <c r="O264" s="167" t="str">
        <f>IF(ISBLANK(DaqBook_RAW_Data!AD254),"",DaqBook_RAW_Data!AD254)</f>
        <v/>
      </c>
      <c r="P264" s="167" t="str">
        <f>IF(ISBLANK(DaqBook_RAW_Data!AE254),"",DaqBook_RAW_Data!AE254)</f>
        <v/>
      </c>
    </row>
    <row r="265" spans="1:16" x14ac:dyDescent="0.2">
      <c r="A265" s="58" t="e">
        <f t="shared" si="3"/>
        <v>#VALUE!</v>
      </c>
      <c r="B265" s="144" t="str">
        <f>IF(ISBLANK(DaqBook_RAW_Data!Q255),IF(DaqBook_RAW_Data!A255="","",TIMEVALUE(DaqBook_RAW_Data!A255)),TIMEVALUE(DaqBook_RAW_Data!Q255))</f>
        <v/>
      </c>
      <c r="C265" s="167" t="str">
        <f>IF(ISBLANK(DaqBook_RAW_Data!R255),"",DaqBook_RAW_Data!R255)</f>
        <v/>
      </c>
      <c r="D265" s="167" t="str">
        <f>IF(ISBLANK(DaqBook_RAW_Data!S255),"",DaqBook_RAW_Data!S255)</f>
        <v/>
      </c>
      <c r="E265" s="167" t="str">
        <f>IF(ISBLANK(DaqBook_RAW_Data!T255),"",DaqBook_RAW_Data!T255)</f>
        <v/>
      </c>
      <c r="F265" s="167" t="str">
        <f>IF(ISBLANK(DaqBook_RAW_Data!U255),"",DaqBook_RAW_Data!U255)</f>
        <v/>
      </c>
      <c r="G265" s="167" t="str">
        <f>IF(ISBLANK(DaqBook_RAW_Data!V255),"",DaqBook_RAW_Data!V255)</f>
        <v/>
      </c>
      <c r="H265" s="167" t="str">
        <f>IF(ISBLANK(DaqBook_RAW_Data!W255),"",DaqBook_RAW_Data!W255)</f>
        <v/>
      </c>
      <c r="I265" s="167" t="str">
        <f>IF(ISBLANK(DaqBook_RAW_Data!X255),"",DaqBook_RAW_Data!X255)</f>
        <v/>
      </c>
      <c r="J265" s="167" t="str">
        <f>IF(ISBLANK(DaqBook_RAW_Data!Y255),"",DaqBook_RAW_Data!Y255)</f>
        <v/>
      </c>
      <c r="K265" s="167" t="str">
        <f>IF(ISBLANK(DaqBook_RAW_Data!Z255),"",DaqBook_RAW_Data!Z255)</f>
        <v/>
      </c>
      <c r="L265" s="167" t="str">
        <f>IF(ISBLANK(DaqBook_RAW_Data!AA255),"",DaqBook_RAW_Data!AA255)</f>
        <v/>
      </c>
      <c r="M265" s="167" t="str">
        <f>IF(ISBLANK(DaqBook_RAW_Data!AB255),"",DaqBook_RAW_Data!AB255)</f>
        <v/>
      </c>
      <c r="N265" s="167" t="str">
        <f>IF(ISBLANK(DaqBook_RAW_Data!AC255),"",DaqBook_RAW_Data!AC255)</f>
        <v/>
      </c>
      <c r="O265" s="167" t="str">
        <f>IF(ISBLANK(DaqBook_RAW_Data!AD255),"",DaqBook_RAW_Data!AD255)</f>
        <v/>
      </c>
      <c r="P265" s="167" t="str">
        <f>IF(ISBLANK(DaqBook_RAW_Data!AE255),"",DaqBook_RAW_Data!AE255)</f>
        <v/>
      </c>
    </row>
    <row r="266" spans="1:16" x14ac:dyDescent="0.2">
      <c r="A266" s="58" t="e">
        <f t="shared" si="3"/>
        <v>#VALUE!</v>
      </c>
      <c r="B266" s="144" t="str">
        <f>IF(ISBLANK(DaqBook_RAW_Data!Q256),IF(DaqBook_RAW_Data!A256="","",TIMEVALUE(DaqBook_RAW_Data!A256)),TIMEVALUE(DaqBook_RAW_Data!Q256))</f>
        <v/>
      </c>
      <c r="C266" s="167" t="str">
        <f>IF(ISBLANK(DaqBook_RAW_Data!R256),"",DaqBook_RAW_Data!R256)</f>
        <v/>
      </c>
      <c r="D266" s="167" t="str">
        <f>IF(ISBLANK(DaqBook_RAW_Data!S256),"",DaqBook_RAW_Data!S256)</f>
        <v/>
      </c>
      <c r="E266" s="167" t="str">
        <f>IF(ISBLANK(DaqBook_RAW_Data!T256),"",DaqBook_RAW_Data!T256)</f>
        <v/>
      </c>
      <c r="F266" s="167" t="str">
        <f>IF(ISBLANK(DaqBook_RAW_Data!U256),"",DaqBook_RAW_Data!U256)</f>
        <v/>
      </c>
      <c r="G266" s="167" t="str">
        <f>IF(ISBLANK(DaqBook_RAW_Data!V256),"",DaqBook_RAW_Data!V256)</f>
        <v/>
      </c>
      <c r="H266" s="167" t="str">
        <f>IF(ISBLANK(DaqBook_RAW_Data!W256),"",DaqBook_RAW_Data!W256)</f>
        <v/>
      </c>
      <c r="I266" s="167" t="str">
        <f>IF(ISBLANK(DaqBook_RAW_Data!X256),"",DaqBook_RAW_Data!X256)</f>
        <v/>
      </c>
      <c r="J266" s="167" t="str">
        <f>IF(ISBLANK(DaqBook_RAW_Data!Y256),"",DaqBook_RAW_Data!Y256)</f>
        <v/>
      </c>
      <c r="K266" s="167" t="str">
        <f>IF(ISBLANK(DaqBook_RAW_Data!Z256),"",DaqBook_RAW_Data!Z256)</f>
        <v/>
      </c>
      <c r="L266" s="167" t="str">
        <f>IF(ISBLANK(DaqBook_RAW_Data!AA256),"",DaqBook_RAW_Data!AA256)</f>
        <v/>
      </c>
      <c r="M266" s="167" t="str">
        <f>IF(ISBLANK(DaqBook_RAW_Data!AB256),"",DaqBook_RAW_Data!AB256)</f>
        <v/>
      </c>
      <c r="N266" s="167" t="str">
        <f>IF(ISBLANK(DaqBook_RAW_Data!AC256),"",DaqBook_RAW_Data!AC256)</f>
        <v/>
      </c>
      <c r="O266" s="167" t="str">
        <f>IF(ISBLANK(DaqBook_RAW_Data!AD256),"",DaqBook_RAW_Data!AD256)</f>
        <v/>
      </c>
      <c r="P266" s="167" t="str">
        <f>IF(ISBLANK(DaqBook_RAW_Data!AE256),"",DaqBook_RAW_Data!AE256)</f>
        <v/>
      </c>
    </row>
    <row r="267" spans="1:16" x14ac:dyDescent="0.2">
      <c r="A267" s="58" t="e">
        <f t="shared" si="3"/>
        <v>#VALUE!</v>
      </c>
      <c r="B267" s="144" t="str">
        <f>IF(ISBLANK(DaqBook_RAW_Data!Q257),IF(DaqBook_RAW_Data!A257="","",TIMEVALUE(DaqBook_RAW_Data!A257)),TIMEVALUE(DaqBook_RAW_Data!Q257))</f>
        <v/>
      </c>
      <c r="C267" s="167" t="str">
        <f>IF(ISBLANK(DaqBook_RAW_Data!R257),"",DaqBook_RAW_Data!R257)</f>
        <v/>
      </c>
      <c r="D267" s="167" t="str">
        <f>IF(ISBLANK(DaqBook_RAW_Data!S257),"",DaqBook_RAW_Data!S257)</f>
        <v/>
      </c>
      <c r="E267" s="167" t="str">
        <f>IF(ISBLANK(DaqBook_RAW_Data!T257),"",DaqBook_RAW_Data!T257)</f>
        <v/>
      </c>
      <c r="F267" s="167" t="str">
        <f>IF(ISBLANK(DaqBook_RAW_Data!U257),"",DaqBook_RAW_Data!U257)</f>
        <v/>
      </c>
      <c r="G267" s="167" t="str">
        <f>IF(ISBLANK(DaqBook_RAW_Data!V257),"",DaqBook_RAW_Data!V257)</f>
        <v/>
      </c>
      <c r="H267" s="167" t="str">
        <f>IF(ISBLANK(DaqBook_RAW_Data!W257),"",DaqBook_RAW_Data!W257)</f>
        <v/>
      </c>
      <c r="I267" s="167" t="str">
        <f>IF(ISBLANK(DaqBook_RAW_Data!X257),"",DaqBook_RAW_Data!X257)</f>
        <v/>
      </c>
      <c r="J267" s="167" t="str">
        <f>IF(ISBLANK(DaqBook_RAW_Data!Y257),"",DaqBook_RAW_Data!Y257)</f>
        <v/>
      </c>
      <c r="K267" s="167" t="str">
        <f>IF(ISBLANK(DaqBook_RAW_Data!Z257),"",DaqBook_RAW_Data!Z257)</f>
        <v/>
      </c>
      <c r="L267" s="167" t="str">
        <f>IF(ISBLANK(DaqBook_RAW_Data!AA257),"",DaqBook_RAW_Data!AA257)</f>
        <v/>
      </c>
      <c r="M267" s="167" t="str">
        <f>IF(ISBLANK(DaqBook_RAW_Data!AB257),"",DaqBook_RAW_Data!AB257)</f>
        <v/>
      </c>
      <c r="N267" s="167" t="str">
        <f>IF(ISBLANK(DaqBook_RAW_Data!AC257),"",DaqBook_RAW_Data!AC257)</f>
        <v/>
      </c>
      <c r="O267" s="167" t="str">
        <f>IF(ISBLANK(DaqBook_RAW_Data!AD257),"",DaqBook_RAW_Data!AD257)</f>
        <v/>
      </c>
      <c r="P267" s="167" t="str">
        <f>IF(ISBLANK(DaqBook_RAW_Data!AE257),"",DaqBook_RAW_Data!AE257)</f>
        <v/>
      </c>
    </row>
    <row r="268" spans="1:16" x14ac:dyDescent="0.2">
      <c r="A268" s="58" t="e">
        <f t="shared" si="3"/>
        <v>#VALUE!</v>
      </c>
      <c r="B268" s="144" t="str">
        <f>IF(ISBLANK(DaqBook_RAW_Data!Q258),IF(DaqBook_RAW_Data!A258="","",TIMEVALUE(DaqBook_RAW_Data!A258)),TIMEVALUE(DaqBook_RAW_Data!Q258))</f>
        <v/>
      </c>
      <c r="C268" s="167" t="str">
        <f>IF(ISBLANK(DaqBook_RAW_Data!R258),"",DaqBook_RAW_Data!R258)</f>
        <v/>
      </c>
      <c r="D268" s="167" t="str">
        <f>IF(ISBLANK(DaqBook_RAW_Data!S258),"",DaqBook_RAW_Data!S258)</f>
        <v/>
      </c>
      <c r="E268" s="167" t="str">
        <f>IF(ISBLANK(DaqBook_RAW_Data!T258),"",DaqBook_RAW_Data!T258)</f>
        <v/>
      </c>
      <c r="F268" s="167" t="str">
        <f>IF(ISBLANK(DaqBook_RAW_Data!U258),"",DaqBook_RAW_Data!U258)</f>
        <v/>
      </c>
      <c r="G268" s="167" t="str">
        <f>IF(ISBLANK(DaqBook_RAW_Data!V258),"",DaqBook_RAW_Data!V258)</f>
        <v/>
      </c>
      <c r="H268" s="167" t="str">
        <f>IF(ISBLANK(DaqBook_RAW_Data!W258),"",DaqBook_RAW_Data!W258)</f>
        <v/>
      </c>
      <c r="I268" s="167" t="str">
        <f>IF(ISBLANK(DaqBook_RAW_Data!X258),"",DaqBook_RAW_Data!X258)</f>
        <v/>
      </c>
      <c r="J268" s="167" t="str">
        <f>IF(ISBLANK(DaqBook_RAW_Data!Y258),"",DaqBook_RAW_Data!Y258)</f>
        <v/>
      </c>
      <c r="K268" s="167" t="str">
        <f>IF(ISBLANK(DaqBook_RAW_Data!Z258),"",DaqBook_RAW_Data!Z258)</f>
        <v/>
      </c>
      <c r="L268" s="167" t="str">
        <f>IF(ISBLANK(DaqBook_RAW_Data!AA258),"",DaqBook_RAW_Data!AA258)</f>
        <v/>
      </c>
      <c r="M268" s="167" t="str">
        <f>IF(ISBLANK(DaqBook_RAW_Data!AB258),"",DaqBook_RAW_Data!AB258)</f>
        <v/>
      </c>
      <c r="N268" s="167" t="str">
        <f>IF(ISBLANK(DaqBook_RAW_Data!AC258),"",DaqBook_RAW_Data!AC258)</f>
        <v/>
      </c>
      <c r="O268" s="167" t="str">
        <f>IF(ISBLANK(DaqBook_RAW_Data!AD258),"",DaqBook_RAW_Data!AD258)</f>
        <v/>
      </c>
      <c r="P268" s="167" t="str">
        <f>IF(ISBLANK(DaqBook_RAW_Data!AE258),"",DaqBook_RAW_Data!AE258)</f>
        <v/>
      </c>
    </row>
    <row r="269" spans="1:16" x14ac:dyDescent="0.2">
      <c r="A269" s="58" t="e">
        <f t="shared" si="3"/>
        <v>#VALUE!</v>
      </c>
      <c r="B269" s="144" t="str">
        <f>IF(ISBLANK(DaqBook_RAW_Data!Q259),IF(DaqBook_RAW_Data!A259="","",TIMEVALUE(DaqBook_RAW_Data!A259)),TIMEVALUE(DaqBook_RAW_Data!Q259))</f>
        <v/>
      </c>
      <c r="C269" s="167" t="str">
        <f>IF(ISBLANK(DaqBook_RAW_Data!R259),"",DaqBook_RAW_Data!R259)</f>
        <v/>
      </c>
      <c r="D269" s="167" t="str">
        <f>IF(ISBLANK(DaqBook_RAW_Data!S259),"",DaqBook_RAW_Data!S259)</f>
        <v/>
      </c>
      <c r="E269" s="167" t="str">
        <f>IF(ISBLANK(DaqBook_RAW_Data!T259),"",DaqBook_RAW_Data!T259)</f>
        <v/>
      </c>
      <c r="F269" s="167" t="str">
        <f>IF(ISBLANK(DaqBook_RAW_Data!U259),"",DaqBook_RAW_Data!U259)</f>
        <v/>
      </c>
      <c r="G269" s="167" t="str">
        <f>IF(ISBLANK(DaqBook_RAW_Data!V259),"",DaqBook_RAW_Data!V259)</f>
        <v/>
      </c>
      <c r="H269" s="167" t="str">
        <f>IF(ISBLANK(DaqBook_RAW_Data!W259),"",DaqBook_RAW_Data!W259)</f>
        <v/>
      </c>
      <c r="I269" s="167" t="str">
        <f>IF(ISBLANK(DaqBook_RAW_Data!X259),"",DaqBook_RAW_Data!X259)</f>
        <v/>
      </c>
      <c r="J269" s="167" t="str">
        <f>IF(ISBLANK(DaqBook_RAW_Data!Y259),"",DaqBook_RAW_Data!Y259)</f>
        <v/>
      </c>
      <c r="K269" s="167" t="str">
        <f>IF(ISBLANK(DaqBook_RAW_Data!Z259),"",DaqBook_RAW_Data!Z259)</f>
        <v/>
      </c>
      <c r="L269" s="167" t="str">
        <f>IF(ISBLANK(DaqBook_RAW_Data!AA259),"",DaqBook_RAW_Data!AA259)</f>
        <v/>
      </c>
      <c r="M269" s="167" t="str">
        <f>IF(ISBLANK(DaqBook_RAW_Data!AB259),"",DaqBook_RAW_Data!AB259)</f>
        <v/>
      </c>
      <c r="N269" s="167" t="str">
        <f>IF(ISBLANK(DaqBook_RAW_Data!AC259),"",DaqBook_RAW_Data!AC259)</f>
        <v/>
      </c>
      <c r="O269" s="167" t="str">
        <f>IF(ISBLANK(DaqBook_RAW_Data!AD259),"",DaqBook_RAW_Data!AD259)</f>
        <v/>
      </c>
      <c r="P269" s="167" t="str">
        <f>IF(ISBLANK(DaqBook_RAW_Data!AE259),"",DaqBook_RAW_Data!AE259)</f>
        <v/>
      </c>
    </row>
    <row r="270" spans="1:16" x14ac:dyDescent="0.2">
      <c r="A270" s="58" t="e">
        <f t="shared" si="3"/>
        <v>#VALUE!</v>
      </c>
      <c r="B270" s="144" t="str">
        <f>IF(ISBLANK(DaqBook_RAW_Data!Q260),IF(DaqBook_RAW_Data!A260="","",TIMEVALUE(DaqBook_RAW_Data!A260)),TIMEVALUE(DaqBook_RAW_Data!Q260))</f>
        <v/>
      </c>
      <c r="C270" s="167" t="str">
        <f>IF(ISBLANK(DaqBook_RAW_Data!R260),"",DaqBook_RAW_Data!R260)</f>
        <v/>
      </c>
      <c r="D270" s="167" t="str">
        <f>IF(ISBLANK(DaqBook_RAW_Data!S260),"",DaqBook_RAW_Data!S260)</f>
        <v/>
      </c>
      <c r="E270" s="167" t="str">
        <f>IF(ISBLANK(DaqBook_RAW_Data!T260),"",DaqBook_RAW_Data!T260)</f>
        <v/>
      </c>
      <c r="F270" s="167" t="str">
        <f>IF(ISBLANK(DaqBook_RAW_Data!U260),"",DaqBook_RAW_Data!U260)</f>
        <v/>
      </c>
      <c r="G270" s="167" t="str">
        <f>IF(ISBLANK(DaqBook_RAW_Data!V260),"",DaqBook_RAW_Data!V260)</f>
        <v/>
      </c>
      <c r="H270" s="167" t="str">
        <f>IF(ISBLANK(DaqBook_RAW_Data!W260),"",DaqBook_RAW_Data!W260)</f>
        <v/>
      </c>
      <c r="I270" s="167" t="str">
        <f>IF(ISBLANK(DaqBook_RAW_Data!X260),"",DaqBook_RAW_Data!X260)</f>
        <v/>
      </c>
      <c r="J270" s="167" t="str">
        <f>IF(ISBLANK(DaqBook_RAW_Data!Y260),"",DaqBook_RAW_Data!Y260)</f>
        <v/>
      </c>
      <c r="K270" s="167" t="str">
        <f>IF(ISBLANK(DaqBook_RAW_Data!Z260),"",DaqBook_RAW_Data!Z260)</f>
        <v/>
      </c>
      <c r="L270" s="167" t="str">
        <f>IF(ISBLANK(DaqBook_RAW_Data!AA260),"",DaqBook_RAW_Data!AA260)</f>
        <v/>
      </c>
      <c r="M270" s="167" t="str">
        <f>IF(ISBLANK(DaqBook_RAW_Data!AB260),"",DaqBook_RAW_Data!AB260)</f>
        <v/>
      </c>
      <c r="N270" s="167" t="str">
        <f>IF(ISBLANK(DaqBook_RAW_Data!AC260),"",DaqBook_RAW_Data!AC260)</f>
        <v/>
      </c>
      <c r="O270" s="167" t="str">
        <f>IF(ISBLANK(DaqBook_RAW_Data!AD260),"",DaqBook_RAW_Data!AD260)</f>
        <v/>
      </c>
      <c r="P270" s="167" t="str">
        <f>IF(ISBLANK(DaqBook_RAW_Data!AE260),"",DaqBook_RAW_Data!AE260)</f>
        <v/>
      </c>
    </row>
    <row r="271" spans="1:16" x14ac:dyDescent="0.2">
      <c r="A271" s="58" t="e">
        <f t="shared" ref="A271:A334" si="4">HOUR(B271)&amp;":"&amp;MINUTE(B271)</f>
        <v>#VALUE!</v>
      </c>
      <c r="B271" s="144" t="str">
        <f>IF(ISBLANK(DaqBook_RAW_Data!Q261),IF(DaqBook_RAW_Data!A261="","",TIMEVALUE(DaqBook_RAW_Data!A261)),TIMEVALUE(DaqBook_RAW_Data!Q261))</f>
        <v/>
      </c>
      <c r="C271" s="167" t="str">
        <f>IF(ISBLANK(DaqBook_RAW_Data!R261),"",DaqBook_RAW_Data!R261)</f>
        <v/>
      </c>
      <c r="D271" s="167" t="str">
        <f>IF(ISBLANK(DaqBook_RAW_Data!S261),"",DaqBook_RAW_Data!S261)</f>
        <v/>
      </c>
      <c r="E271" s="167" t="str">
        <f>IF(ISBLANK(DaqBook_RAW_Data!T261),"",DaqBook_RAW_Data!T261)</f>
        <v/>
      </c>
      <c r="F271" s="167" t="str">
        <f>IF(ISBLANK(DaqBook_RAW_Data!U261),"",DaqBook_RAW_Data!U261)</f>
        <v/>
      </c>
      <c r="G271" s="167" t="str">
        <f>IF(ISBLANK(DaqBook_RAW_Data!V261),"",DaqBook_RAW_Data!V261)</f>
        <v/>
      </c>
      <c r="H271" s="167" t="str">
        <f>IF(ISBLANK(DaqBook_RAW_Data!W261),"",DaqBook_RAW_Data!W261)</f>
        <v/>
      </c>
      <c r="I271" s="167" t="str">
        <f>IF(ISBLANK(DaqBook_RAW_Data!X261),"",DaqBook_RAW_Data!X261)</f>
        <v/>
      </c>
      <c r="J271" s="167" t="str">
        <f>IF(ISBLANK(DaqBook_RAW_Data!Y261),"",DaqBook_RAW_Data!Y261)</f>
        <v/>
      </c>
      <c r="K271" s="167" t="str">
        <f>IF(ISBLANK(DaqBook_RAW_Data!Z261),"",DaqBook_RAW_Data!Z261)</f>
        <v/>
      </c>
      <c r="L271" s="167" t="str">
        <f>IF(ISBLANK(DaqBook_RAW_Data!AA261),"",DaqBook_RAW_Data!AA261)</f>
        <v/>
      </c>
      <c r="M271" s="167" t="str">
        <f>IF(ISBLANK(DaqBook_RAW_Data!AB261),"",DaqBook_RAW_Data!AB261)</f>
        <v/>
      </c>
      <c r="N271" s="167" t="str">
        <f>IF(ISBLANK(DaqBook_RAW_Data!AC261),"",DaqBook_RAW_Data!AC261)</f>
        <v/>
      </c>
      <c r="O271" s="167" t="str">
        <f>IF(ISBLANK(DaqBook_RAW_Data!AD261),"",DaqBook_RAW_Data!AD261)</f>
        <v/>
      </c>
      <c r="P271" s="167" t="str">
        <f>IF(ISBLANK(DaqBook_RAW_Data!AE261),"",DaqBook_RAW_Data!AE261)</f>
        <v/>
      </c>
    </row>
    <row r="272" spans="1:16" x14ac:dyDescent="0.2">
      <c r="A272" s="58" t="e">
        <f t="shared" si="4"/>
        <v>#VALUE!</v>
      </c>
      <c r="B272" s="144" t="str">
        <f>IF(ISBLANK(DaqBook_RAW_Data!Q262),IF(DaqBook_RAW_Data!A262="","",TIMEVALUE(DaqBook_RAW_Data!A262)),TIMEVALUE(DaqBook_RAW_Data!Q262))</f>
        <v/>
      </c>
      <c r="C272" s="167" t="str">
        <f>IF(ISBLANK(DaqBook_RAW_Data!R262),"",DaqBook_RAW_Data!R262)</f>
        <v/>
      </c>
      <c r="D272" s="167" t="str">
        <f>IF(ISBLANK(DaqBook_RAW_Data!S262),"",DaqBook_RAW_Data!S262)</f>
        <v/>
      </c>
      <c r="E272" s="167" t="str">
        <f>IF(ISBLANK(DaqBook_RAW_Data!T262),"",DaqBook_RAW_Data!T262)</f>
        <v/>
      </c>
      <c r="F272" s="167" t="str">
        <f>IF(ISBLANK(DaqBook_RAW_Data!U262),"",DaqBook_RAW_Data!U262)</f>
        <v/>
      </c>
      <c r="G272" s="167" t="str">
        <f>IF(ISBLANK(DaqBook_RAW_Data!V262),"",DaqBook_RAW_Data!V262)</f>
        <v/>
      </c>
      <c r="H272" s="167" t="str">
        <f>IF(ISBLANK(DaqBook_RAW_Data!W262),"",DaqBook_RAW_Data!W262)</f>
        <v/>
      </c>
      <c r="I272" s="167" t="str">
        <f>IF(ISBLANK(DaqBook_RAW_Data!X262),"",DaqBook_RAW_Data!X262)</f>
        <v/>
      </c>
      <c r="J272" s="167" t="str">
        <f>IF(ISBLANK(DaqBook_RAW_Data!Y262),"",DaqBook_RAW_Data!Y262)</f>
        <v/>
      </c>
      <c r="K272" s="167" t="str">
        <f>IF(ISBLANK(DaqBook_RAW_Data!Z262),"",DaqBook_RAW_Data!Z262)</f>
        <v/>
      </c>
      <c r="L272" s="167" t="str">
        <f>IF(ISBLANK(DaqBook_RAW_Data!AA262),"",DaqBook_RAW_Data!AA262)</f>
        <v/>
      </c>
      <c r="M272" s="167" t="str">
        <f>IF(ISBLANK(DaqBook_RAW_Data!AB262),"",DaqBook_RAW_Data!AB262)</f>
        <v/>
      </c>
      <c r="N272" s="167" t="str">
        <f>IF(ISBLANK(DaqBook_RAW_Data!AC262),"",DaqBook_RAW_Data!AC262)</f>
        <v/>
      </c>
      <c r="O272" s="167" t="str">
        <f>IF(ISBLANK(DaqBook_RAW_Data!AD262),"",DaqBook_RAW_Data!AD262)</f>
        <v/>
      </c>
      <c r="P272" s="167" t="str">
        <f>IF(ISBLANK(DaqBook_RAW_Data!AE262),"",DaqBook_RAW_Data!AE262)</f>
        <v/>
      </c>
    </row>
    <row r="273" spans="1:16" x14ac:dyDescent="0.2">
      <c r="A273" s="58" t="e">
        <f t="shared" si="4"/>
        <v>#VALUE!</v>
      </c>
      <c r="B273" s="144" t="str">
        <f>IF(ISBLANK(DaqBook_RAW_Data!Q263),IF(DaqBook_RAW_Data!A263="","",TIMEVALUE(DaqBook_RAW_Data!A263)),TIMEVALUE(DaqBook_RAW_Data!Q263))</f>
        <v/>
      </c>
      <c r="C273" s="167" t="str">
        <f>IF(ISBLANK(DaqBook_RAW_Data!R263),"",DaqBook_RAW_Data!R263)</f>
        <v/>
      </c>
      <c r="D273" s="167" t="str">
        <f>IF(ISBLANK(DaqBook_RAW_Data!S263),"",DaqBook_RAW_Data!S263)</f>
        <v/>
      </c>
      <c r="E273" s="167" t="str">
        <f>IF(ISBLANK(DaqBook_RAW_Data!T263),"",DaqBook_RAW_Data!T263)</f>
        <v/>
      </c>
      <c r="F273" s="167" t="str">
        <f>IF(ISBLANK(DaqBook_RAW_Data!U263),"",DaqBook_RAW_Data!U263)</f>
        <v/>
      </c>
      <c r="G273" s="167" t="str">
        <f>IF(ISBLANK(DaqBook_RAW_Data!V263),"",DaqBook_RAW_Data!V263)</f>
        <v/>
      </c>
      <c r="H273" s="167" t="str">
        <f>IF(ISBLANK(DaqBook_RAW_Data!W263),"",DaqBook_RAW_Data!W263)</f>
        <v/>
      </c>
      <c r="I273" s="167" t="str">
        <f>IF(ISBLANK(DaqBook_RAW_Data!X263),"",DaqBook_RAW_Data!X263)</f>
        <v/>
      </c>
      <c r="J273" s="167" t="str">
        <f>IF(ISBLANK(DaqBook_RAW_Data!Y263),"",DaqBook_RAW_Data!Y263)</f>
        <v/>
      </c>
      <c r="K273" s="167" t="str">
        <f>IF(ISBLANK(DaqBook_RAW_Data!Z263),"",DaqBook_RAW_Data!Z263)</f>
        <v/>
      </c>
      <c r="L273" s="167" t="str">
        <f>IF(ISBLANK(DaqBook_RAW_Data!AA263),"",DaqBook_RAW_Data!AA263)</f>
        <v/>
      </c>
      <c r="M273" s="167" t="str">
        <f>IF(ISBLANK(DaqBook_RAW_Data!AB263),"",DaqBook_RAW_Data!AB263)</f>
        <v/>
      </c>
      <c r="N273" s="167" t="str">
        <f>IF(ISBLANK(DaqBook_RAW_Data!AC263),"",DaqBook_RAW_Data!AC263)</f>
        <v/>
      </c>
      <c r="O273" s="167" t="str">
        <f>IF(ISBLANK(DaqBook_RAW_Data!AD263),"",DaqBook_RAW_Data!AD263)</f>
        <v/>
      </c>
      <c r="P273" s="167" t="str">
        <f>IF(ISBLANK(DaqBook_RAW_Data!AE263),"",DaqBook_RAW_Data!AE263)</f>
        <v/>
      </c>
    </row>
    <row r="274" spans="1:16" x14ac:dyDescent="0.2">
      <c r="A274" s="58" t="e">
        <f t="shared" si="4"/>
        <v>#VALUE!</v>
      </c>
      <c r="B274" s="144" t="str">
        <f>IF(ISBLANK(DaqBook_RAW_Data!Q264),IF(DaqBook_RAW_Data!A264="","",TIMEVALUE(DaqBook_RAW_Data!A264)),TIMEVALUE(DaqBook_RAW_Data!Q264))</f>
        <v/>
      </c>
      <c r="C274" s="167" t="str">
        <f>IF(ISBLANK(DaqBook_RAW_Data!R264),"",DaqBook_RAW_Data!R264)</f>
        <v/>
      </c>
      <c r="D274" s="167" t="str">
        <f>IF(ISBLANK(DaqBook_RAW_Data!S264),"",DaqBook_RAW_Data!S264)</f>
        <v/>
      </c>
      <c r="E274" s="167" t="str">
        <f>IF(ISBLANK(DaqBook_RAW_Data!T264),"",DaqBook_RAW_Data!T264)</f>
        <v/>
      </c>
      <c r="F274" s="167" t="str">
        <f>IF(ISBLANK(DaqBook_RAW_Data!U264),"",DaqBook_RAW_Data!U264)</f>
        <v/>
      </c>
      <c r="G274" s="167" t="str">
        <f>IF(ISBLANK(DaqBook_RAW_Data!V264),"",DaqBook_RAW_Data!V264)</f>
        <v/>
      </c>
      <c r="H274" s="167" t="str">
        <f>IF(ISBLANK(DaqBook_RAW_Data!W264),"",DaqBook_RAW_Data!W264)</f>
        <v/>
      </c>
      <c r="I274" s="167" t="str">
        <f>IF(ISBLANK(DaqBook_RAW_Data!X264),"",DaqBook_RAW_Data!X264)</f>
        <v/>
      </c>
      <c r="J274" s="167" t="str">
        <f>IF(ISBLANK(DaqBook_RAW_Data!Y264),"",DaqBook_RAW_Data!Y264)</f>
        <v/>
      </c>
      <c r="K274" s="167" t="str">
        <f>IF(ISBLANK(DaqBook_RAW_Data!Z264),"",DaqBook_RAW_Data!Z264)</f>
        <v/>
      </c>
      <c r="L274" s="167" t="str">
        <f>IF(ISBLANK(DaqBook_RAW_Data!AA264),"",DaqBook_RAW_Data!AA264)</f>
        <v/>
      </c>
      <c r="M274" s="167" t="str">
        <f>IF(ISBLANK(DaqBook_RAW_Data!AB264),"",DaqBook_RAW_Data!AB264)</f>
        <v/>
      </c>
      <c r="N274" s="167" t="str">
        <f>IF(ISBLANK(DaqBook_RAW_Data!AC264),"",DaqBook_RAW_Data!AC264)</f>
        <v/>
      </c>
      <c r="O274" s="167" t="str">
        <f>IF(ISBLANK(DaqBook_RAW_Data!AD264),"",DaqBook_RAW_Data!AD264)</f>
        <v/>
      </c>
      <c r="P274" s="167" t="str">
        <f>IF(ISBLANK(DaqBook_RAW_Data!AE264),"",DaqBook_RAW_Data!AE264)</f>
        <v/>
      </c>
    </row>
    <row r="275" spans="1:16" x14ac:dyDescent="0.2">
      <c r="A275" s="58" t="e">
        <f t="shared" si="4"/>
        <v>#VALUE!</v>
      </c>
      <c r="B275" s="144" t="str">
        <f>IF(ISBLANK(DaqBook_RAW_Data!Q265),IF(DaqBook_RAW_Data!A265="","",TIMEVALUE(DaqBook_RAW_Data!A265)),TIMEVALUE(DaqBook_RAW_Data!Q265))</f>
        <v/>
      </c>
      <c r="C275" s="167" t="str">
        <f>IF(ISBLANK(DaqBook_RAW_Data!R265),"",DaqBook_RAW_Data!R265)</f>
        <v/>
      </c>
      <c r="D275" s="167" t="str">
        <f>IF(ISBLANK(DaqBook_RAW_Data!S265),"",DaqBook_RAW_Data!S265)</f>
        <v/>
      </c>
      <c r="E275" s="167" t="str">
        <f>IF(ISBLANK(DaqBook_RAW_Data!T265),"",DaqBook_RAW_Data!T265)</f>
        <v/>
      </c>
      <c r="F275" s="167" t="str">
        <f>IF(ISBLANK(DaqBook_RAW_Data!U265),"",DaqBook_RAW_Data!U265)</f>
        <v/>
      </c>
      <c r="G275" s="167" t="str">
        <f>IF(ISBLANK(DaqBook_RAW_Data!V265),"",DaqBook_RAW_Data!V265)</f>
        <v/>
      </c>
      <c r="H275" s="167" t="str">
        <f>IF(ISBLANK(DaqBook_RAW_Data!W265),"",DaqBook_RAW_Data!W265)</f>
        <v/>
      </c>
      <c r="I275" s="167" t="str">
        <f>IF(ISBLANK(DaqBook_RAW_Data!X265),"",DaqBook_RAW_Data!X265)</f>
        <v/>
      </c>
      <c r="J275" s="167" t="str">
        <f>IF(ISBLANK(DaqBook_RAW_Data!Y265),"",DaqBook_RAW_Data!Y265)</f>
        <v/>
      </c>
      <c r="K275" s="167" t="str">
        <f>IF(ISBLANK(DaqBook_RAW_Data!Z265),"",DaqBook_RAW_Data!Z265)</f>
        <v/>
      </c>
      <c r="L275" s="167" t="str">
        <f>IF(ISBLANK(DaqBook_RAW_Data!AA265),"",DaqBook_RAW_Data!AA265)</f>
        <v/>
      </c>
      <c r="M275" s="167" t="str">
        <f>IF(ISBLANK(DaqBook_RAW_Data!AB265),"",DaqBook_RAW_Data!AB265)</f>
        <v/>
      </c>
      <c r="N275" s="167" t="str">
        <f>IF(ISBLANK(DaqBook_RAW_Data!AC265),"",DaqBook_RAW_Data!AC265)</f>
        <v/>
      </c>
      <c r="O275" s="167" t="str">
        <f>IF(ISBLANK(DaqBook_RAW_Data!AD265),"",DaqBook_RAW_Data!AD265)</f>
        <v/>
      </c>
      <c r="P275" s="167" t="str">
        <f>IF(ISBLANK(DaqBook_RAW_Data!AE265),"",DaqBook_RAW_Data!AE265)</f>
        <v/>
      </c>
    </row>
    <row r="276" spans="1:16" x14ac:dyDescent="0.2">
      <c r="A276" s="58" t="e">
        <f t="shared" si="4"/>
        <v>#VALUE!</v>
      </c>
      <c r="B276" s="144" t="str">
        <f>IF(ISBLANK(DaqBook_RAW_Data!Q266),IF(DaqBook_RAW_Data!A266="","",TIMEVALUE(DaqBook_RAW_Data!A266)),TIMEVALUE(DaqBook_RAW_Data!Q266))</f>
        <v/>
      </c>
      <c r="C276" s="167" t="str">
        <f>IF(ISBLANK(DaqBook_RAW_Data!R266),"",DaqBook_RAW_Data!R266)</f>
        <v/>
      </c>
      <c r="D276" s="167" t="str">
        <f>IF(ISBLANK(DaqBook_RAW_Data!S266),"",DaqBook_RAW_Data!S266)</f>
        <v/>
      </c>
      <c r="E276" s="167" t="str">
        <f>IF(ISBLANK(DaqBook_RAW_Data!T266),"",DaqBook_RAW_Data!T266)</f>
        <v/>
      </c>
      <c r="F276" s="167" t="str">
        <f>IF(ISBLANK(DaqBook_RAW_Data!U266),"",DaqBook_RAW_Data!U266)</f>
        <v/>
      </c>
      <c r="G276" s="167" t="str">
        <f>IF(ISBLANK(DaqBook_RAW_Data!V266),"",DaqBook_RAW_Data!V266)</f>
        <v/>
      </c>
      <c r="H276" s="167" t="str">
        <f>IF(ISBLANK(DaqBook_RAW_Data!W266),"",DaqBook_RAW_Data!W266)</f>
        <v/>
      </c>
      <c r="I276" s="167" t="str">
        <f>IF(ISBLANK(DaqBook_RAW_Data!X266),"",DaqBook_RAW_Data!X266)</f>
        <v/>
      </c>
      <c r="J276" s="167" t="str">
        <f>IF(ISBLANK(DaqBook_RAW_Data!Y266),"",DaqBook_RAW_Data!Y266)</f>
        <v/>
      </c>
      <c r="K276" s="167" t="str">
        <f>IF(ISBLANK(DaqBook_RAW_Data!Z266),"",DaqBook_RAW_Data!Z266)</f>
        <v/>
      </c>
      <c r="L276" s="167" t="str">
        <f>IF(ISBLANK(DaqBook_RAW_Data!AA266),"",DaqBook_RAW_Data!AA266)</f>
        <v/>
      </c>
      <c r="M276" s="167" t="str">
        <f>IF(ISBLANK(DaqBook_RAW_Data!AB266),"",DaqBook_RAW_Data!AB266)</f>
        <v/>
      </c>
      <c r="N276" s="167" t="str">
        <f>IF(ISBLANK(DaqBook_RAW_Data!AC266),"",DaqBook_RAW_Data!AC266)</f>
        <v/>
      </c>
      <c r="O276" s="167" t="str">
        <f>IF(ISBLANK(DaqBook_RAW_Data!AD266),"",DaqBook_RAW_Data!AD266)</f>
        <v/>
      </c>
      <c r="P276" s="167" t="str">
        <f>IF(ISBLANK(DaqBook_RAW_Data!AE266),"",DaqBook_RAW_Data!AE266)</f>
        <v/>
      </c>
    </row>
    <row r="277" spans="1:16" x14ac:dyDescent="0.2">
      <c r="A277" s="58" t="e">
        <f t="shared" si="4"/>
        <v>#VALUE!</v>
      </c>
      <c r="B277" s="144" t="str">
        <f>IF(ISBLANK(DaqBook_RAW_Data!Q267),IF(DaqBook_RAW_Data!A267="","",TIMEVALUE(DaqBook_RAW_Data!A267)),TIMEVALUE(DaqBook_RAW_Data!Q267))</f>
        <v/>
      </c>
      <c r="C277" s="167" t="str">
        <f>IF(ISBLANK(DaqBook_RAW_Data!R267),"",DaqBook_RAW_Data!R267)</f>
        <v/>
      </c>
      <c r="D277" s="167" t="str">
        <f>IF(ISBLANK(DaqBook_RAW_Data!S267),"",DaqBook_RAW_Data!S267)</f>
        <v/>
      </c>
      <c r="E277" s="167" t="str">
        <f>IF(ISBLANK(DaqBook_RAW_Data!T267),"",DaqBook_RAW_Data!T267)</f>
        <v/>
      </c>
      <c r="F277" s="167" t="str">
        <f>IF(ISBLANK(DaqBook_RAW_Data!U267),"",DaqBook_RAW_Data!U267)</f>
        <v/>
      </c>
      <c r="G277" s="167" t="str">
        <f>IF(ISBLANK(DaqBook_RAW_Data!V267),"",DaqBook_RAW_Data!V267)</f>
        <v/>
      </c>
      <c r="H277" s="167" t="str">
        <f>IF(ISBLANK(DaqBook_RAW_Data!W267),"",DaqBook_RAW_Data!W267)</f>
        <v/>
      </c>
      <c r="I277" s="167" t="str">
        <f>IF(ISBLANK(DaqBook_RAW_Data!X267),"",DaqBook_RAW_Data!X267)</f>
        <v/>
      </c>
      <c r="J277" s="167" t="str">
        <f>IF(ISBLANK(DaqBook_RAW_Data!Y267),"",DaqBook_RAW_Data!Y267)</f>
        <v/>
      </c>
      <c r="K277" s="167" t="str">
        <f>IF(ISBLANK(DaqBook_RAW_Data!Z267),"",DaqBook_RAW_Data!Z267)</f>
        <v/>
      </c>
      <c r="L277" s="167" t="str">
        <f>IF(ISBLANK(DaqBook_RAW_Data!AA267),"",DaqBook_RAW_Data!AA267)</f>
        <v/>
      </c>
      <c r="M277" s="167" t="str">
        <f>IF(ISBLANK(DaqBook_RAW_Data!AB267),"",DaqBook_RAW_Data!AB267)</f>
        <v/>
      </c>
      <c r="N277" s="167" t="str">
        <f>IF(ISBLANK(DaqBook_RAW_Data!AC267),"",DaqBook_RAW_Data!AC267)</f>
        <v/>
      </c>
      <c r="O277" s="167" t="str">
        <f>IF(ISBLANK(DaqBook_RAW_Data!AD267),"",DaqBook_RAW_Data!AD267)</f>
        <v/>
      </c>
      <c r="P277" s="167" t="str">
        <f>IF(ISBLANK(DaqBook_RAW_Data!AE267),"",DaqBook_RAW_Data!AE267)</f>
        <v/>
      </c>
    </row>
    <row r="278" spans="1:16" x14ac:dyDescent="0.2">
      <c r="A278" s="58" t="e">
        <f t="shared" si="4"/>
        <v>#VALUE!</v>
      </c>
      <c r="B278" s="144" t="str">
        <f>IF(ISBLANK(DaqBook_RAW_Data!Q268),IF(DaqBook_RAW_Data!A268="","",TIMEVALUE(DaqBook_RAW_Data!A268)),TIMEVALUE(DaqBook_RAW_Data!Q268))</f>
        <v/>
      </c>
      <c r="C278" s="167" t="str">
        <f>IF(ISBLANK(DaqBook_RAW_Data!R268),"",DaqBook_RAW_Data!R268)</f>
        <v/>
      </c>
      <c r="D278" s="167" t="str">
        <f>IF(ISBLANK(DaqBook_RAW_Data!S268),"",DaqBook_RAW_Data!S268)</f>
        <v/>
      </c>
      <c r="E278" s="167" t="str">
        <f>IF(ISBLANK(DaqBook_RAW_Data!T268),"",DaqBook_RAW_Data!T268)</f>
        <v/>
      </c>
      <c r="F278" s="167" t="str">
        <f>IF(ISBLANK(DaqBook_RAW_Data!U268),"",DaqBook_RAW_Data!U268)</f>
        <v/>
      </c>
      <c r="G278" s="167" t="str">
        <f>IF(ISBLANK(DaqBook_RAW_Data!V268),"",DaqBook_RAW_Data!V268)</f>
        <v/>
      </c>
      <c r="H278" s="167" t="str">
        <f>IF(ISBLANK(DaqBook_RAW_Data!W268),"",DaqBook_RAW_Data!W268)</f>
        <v/>
      </c>
      <c r="I278" s="167" t="str">
        <f>IF(ISBLANK(DaqBook_RAW_Data!X268),"",DaqBook_RAW_Data!X268)</f>
        <v/>
      </c>
      <c r="J278" s="167" t="str">
        <f>IF(ISBLANK(DaqBook_RAW_Data!Y268),"",DaqBook_RAW_Data!Y268)</f>
        <v/>
      </c>
      <c r="K278" s="167" t="str">
        <f>IF(ISBLANK(DaqBook_RAW_Data!Z268),"",DaqBook_RAW_Data!Z268)</f>
        <v/>
      </c>
      <c r="L278" s="167" t="str">
        <f>IF(ISBLANK(DaqBook_RAW_Data!AA268),"",DaqBook_RAW_Data!AA268)</f>
        <v/>
      </c>
      <c r="M278" s="167" t="str">
        <f>IF(ISBLANK(DaqBook_RAW_Data!AB268),"",DaqBook_RAW_Data!AB268)</f>
        <v/>
      </c>
      <c r="N278" s="167" t="str">
        <f>IF(ISBLANK(DaqBook_RAW_Data!AC268),"",DaqBook_RAW_Data!AC268)</f>
        <v/>
      </c>
      <c r="O278" s="167" t="str">
        <f>IF(ISBLANK(DaqBook_RAW_Data!AD268),"",DaqBook_RAW_Data!AD268)</f>
        <v/>
      </c>
      <c r="P278" s="167" t="str">
        <f>IF(ISBLANK(DaqBook_RAW_Data!AE268),"",DaqBook_RAW_Data!AE268)</f>
        <v/>
      </c>
    </row>
    <row r="279" spans="1:16" x14ac:dyDescent="0.2">
      <c r="A279" s="58" t="e">
        <f t="shared" si="4"/>
        <v>#VALUE!</v>
      </c>
      <c r="B279" s="144" t="str">
        <f>IF(ISBLANK(DaqBook_RAW_Data!Q269),IF(DaqBook_RAW_Data!A269="","",TIMEVALUE(DaqBook_RAW_Data!A269)),TIMEVALUE(DaqBook_RAW_Data!Q269))</f>
        <v/>
      </c>
      <c r="C279" s="167" t="str">
        <f>IF(ISBLANK(DaqBook_RAW_Data!R269),"",DaqBook_RAW_Data!R269)</f>
        <v/>
      </c>
      <c r="D279" s="167" t="str">
        <f>IF(ISBLANK(DaqBook_RAW_Data!S269),"",DaqBook_RAW_Data!S269)</f>
        <v/>
      </c>
      <c r="E279" s="167" t="str">
        <f>IF(ISBLANK(DaqBook_RAW_Data!T269),"",DaqBook_RAW_Data!T269)</f>
        <v/>
      </c>
      <c r="F279" s="167" t="str">
        <f>IF(ISBLANK(DaqBook_RAW_Data!U269),"",DaqBook_RAW_Data!U269)</f>
        <v/>
      </c>
      <c r="G279" s="167" t="str">
        <f>IF(ISBLANK(DaqBook_RAW_Data!V269),"",DaqBook_RAW_Data!V269)</f>
        <v/>
      </c>
      <c r="H279" s="167" t="str">
        <f>IF(ISBLANK(DaqBook_RAW_Data!W269),"",DaqBook_RAW_Data!W269)</f>
        <v/>
      </c>
      <c r="I279" s="167" t="str">
        <f>IF(ISBLANK(DaqBook_RAW_Data!X269),"",DaqBook_RAW_Data!X269)</f>
        <v/>
      </c>
      <c r="J279" s="167" t="str">
        <f>IF(ISBLANK(DaqBook_RAW_Data!Y269),"",DaqBook_RAW_Data!Y269)</f>
        <v/>
      </c>
      <c r="K279" s="167" t="str">
        <f>IF(ISBLANK(DaqBook_RAW_Data!Z269),"",DaqBook_RAW_Data!Z269)</f>
        <v/>
      </c>
      <c r="L279" s="167" t="str">
        <f>IF(ISBLANK(DaqBook_RAW_Data!AA269),"",DaqBook_RAW_Data!AA269)</f>
        <v/>
      </c>
      <c r="M279" s="167" t="str">
        <f>IF(ISBLANK(DaqBook_RAW_Data!AB269),"",DaqBook_RAW_Data!AB269)</f>
        <v/>
      </c>
      <c r="N279" s="167" t="str">
        <f>IF(ISBLANK(DaqBook_RAW_Data!AC269),"",DaqBook_RAW_Data!AC269)</f>
        <v/>
      </c>
      <c r="O279" s="167" t="str">
        <f>IF(ISBLANK(DaqBook_RAW_Data!AD269),"",DaqBook_RAW_Data!AD269)</f>
        <v/>
      </c>
      <c r="P279" s="167" t="str">
        <f>IF(ISBLANK(DaqBook_RAW_Data!AE269),"",DaqBook_RAW_Data!AE269)</f>
        <v/>
      </c>
    </row>
    <row r="280" spans="1:16" x14ac:dyDescent="0.2">
      <c r="A280" s="58" t="e">
        <f t="shared" si="4"/>
        <v>#VALUE!</v>
      </c>
      <c r="B280" s="144" t="str">
        <f>IF(ISBLANK(DaqBook_RAW_Data!Q270),IF(DaqBook_RAW_Data!A270="","",TIMEVALUE(DaqBook_RAW_Data!A270)),TIMEVALUE(DaqBook_RAW_Data!Q270))</f>
        <v/>
      </c>
      <c r="C280" s="167" t="str">
        <f>IF(ISBLANK(DaqBook_RAW_Data!R270),"",DaqBook_RAW_Data!R270)</f>
        <v/>
      </c>
      <c r="D280" s="167" t="str">
        <f>IF(ISBLANK(DaqBook_RAW_Data!S270),"",DaqBook_RAW_Data!S270)</f>
        <v/>
      </c>
      <c r="E280" s="167" t="str">
        <f>IF(ISBLANK(DaqBook_RAW_Data!T270),"",DaqBook_RAW_Data!T270)</f>
        <v/>
      </c>
      <c r="F280" s="167" t="str">
        <f>IF(ISBLANK(DaqBook_RAW_Data!U270),"",DaqBook_RAW_Data!U270)</f>
        <v/>
      </c>
      <c r="G280" s="167" t="str">
        <f>IF(ISBLANK(DaqBook_RAW_Data!V270),"",DaqBook_RAW_Data!V270)</f>
        <v/>
      </c>
      <c r="H280" s="167" t="str">
        <f>IF(ISBLANK(DaqBook_RAW_Data!W270),"",DaqBook_RAW_Data!W270)</f>
        <v/>
      </c>
      <c r="I280" s="167" t="str">
        <f>IF(ISBLANK(DaqBook_RAW_Data!X270),"",DaqBook_RAW_Data!X270)</f>
        <v/>
      </c>
      <c r="J280" s="167" t="str">
        <f>IF(ISBLANK(DaqBook_RAW_Data!Y270),"",DaqBook_RAW_Data!Y270)</f>
        <v/>
      </c>
      <c r="K280" s="167" t="str">
        <f>IF(ISBLANK(DaqBook_RAW_Data!Z270),"",DaqBook_RAW_Data!Z270)</f>
        <v/>
      </c>
      <c r="L280" s="167" t="str">
        <f>IF(ISBLANK(DaqBook_RAW_Data!AA270),"",DaqBook_RAW_Data!AA270)</f>
        <v/>
      </c>
      <c r="M280" s="167" t="str">
        <f>IF(ISBLANK(DaqBook_RAW_Data!AB270),"",DaqBook_RAW_Data!AB270)</f>
        <v/>
      </c>
      <c r="N280" s="167" t="str">
        <f>IF(ISBLANK(DaqBook_RAW_Data!AC270),"",DaqBook_RAW_Data!AC270)</f>
        <v/>
      </c>
      <c r="O280" s="167" t="str">
        <f>IF(ISBLANK(DaqBook_RAW_Data!AD270),"",DaqBook_RAW_Data!AD270)</f>
        <v/>
      </c>
      <c r="P280" s="167" t="str">
        <f>IF(ISBLANK(DaqBook_RAW_Data!AE270),"",DaqBook_RAW_Data!AE270)</f>
        <v/>
      </c>
    </row>
    <row r="281" spans="1:16" x14ac:dyDescent="0.2">
      <c r="A281" s="58" t="e">
        <f t="shared" si="4"/>
        <v>#VALUE!</v>
      </c>
      <c r="B281" s="144" t="str">
        <f>IF(ISBLANK(DaqBook_RAW_Data!Q271),IF(DaqBook_RAW_Data!A271="","",TIMEVALUE(DaqBook_RAW_Data!A271)),TIMEVALUE(DaqBook_RAW_Data!Q271))</f>
        <v/>
      </c>
      <c r="C281" s="167" t="str">
        <f>IF(ISBLANK(DaqBook_RAW_Data!R271),"",DaqBook_RAW_Data!R271)</f>
        <v/>
      </c>
      <c r="D281" s="167" t="str">
        <f>IF(ISBLANK(DaqBook_RAW_Data!S271),"",DaqBook_RAW_Data!S271)</f>
        <v/>
      </c>
      <c r="E281" s="167" t="str">
        <f>IF(ISBLANK(DaqBook_RAW_Data!T271),"",DaqBook_RAW_Data!T271)</f>
        <v/>
      </c>
      <c r="F281" s="167" t="str">
        <f>IF(ISBLANK(DaqBook_RAW_Data!U271),"",DaqBook_RAW_Data!U271)</f>
        <v/>
      </c>
      <c r="G281" s="167" t="str">
        <f>IF(ISBLANK(DaqBook_RAW_Data!V271),"",DaqBook_RAW_Data!V271)</f>
        <v/>
      </c>
      <c r="H281" s="167" t="str">
        <f>IF(ISBLANK(DaqBook_RAW_Data!W271),"",DaqBook_RAW_Data!W271)</f>
        <v/>
      </c>
      <c r="I281" s="167" t="str">
        <f>IF(ISBLANK(DaqBook_RAW_Data!X271),"",DaqBook_RAW_Data!X271)</f>
        <v/>
      </c>
      <c r="J281" s="167" t="str">
        <f>IF(ISBLANK(DaqBook_RAW_Data!Y271),"",DaqBook_RAW_Data!Y271)</f>
        <v/>
      </c>
      <c r="K281" s="167" t="str">
        <f>IF(ISBLANK(DaqBook_RAW_Data!Z271),"",DaqBook_RAW_Data!Z271)</f>
        <v/>
      </c>
      <c r="L281" s="167" t="str">
        <f>IF(ISBLANK(DaqBook_RAW_Data!AA271),"",DaqBook_RAW_Data!AA271)</f>
        <v/>
      </c>
      <c r="M281" s="167" t="str">
        <f>IF(ISBLANK(DaqBook_RAW_Data!AB271),"",DaqBook_RAW_Data!AB271)</f>
        <v/>
      </c>
      <c r="N281" s="167" t="str">
        <f>IF(ISBLANK(DaqBook_RAW_Data!AC271),"",DaqBook_RAW_Data!AC271)</f>
        <v/>
      </c>
      <c r="O281" s="167" t="str">
        <f>IF(ISBLANK(DaqBook_RAW_Data!AD271),"",DaqBook_RAW_Data!AD271)</f>
        <v/>
      </c>
      <c r="P281" s="167" t="str">
        <f>IF(ISBLANK(DaqBook_RAW_Data!AE271),"",DaqBook_RAW_Data!AE271)</f>
        <v/>
      </c>
    </row>
    <row r="282" spans="1:16" x14ac:dyDescent="0.2">
      <c r="A282" s="58" t="e">
        <f t="shared" si="4"/>
        <v>#VALUE!</v>
      </c>
      <c r="B282" s="144" t="str">
        <f>IF(ISBLANK(DaqBook_RAW_Data!Q272),IF(DaqBook_RAW_Data!A272="","",TIMEVALUE(DaqBook_RAW_Data!A272)),TIMEVALUE(DaqBook_RAW_Data!Q272))</f>
        <v/>
      </c>
      <c r="C282" s="167" t="str">
        <f>IF(ISBLANK(DaqBook_RAW_Data!R272),"",DaqBook_RAW_Data!R272)</f>
        <v/>
      </c>
      <c r="D282" s="167" t="str">
        <f>IF(ISBLANK(DaqBook_RAW_Data!S272),"",DaqBook_RAW_Data!S272)</f>
        <v/>
      </c>
      <c r="E282" s="167" t="str">
        <f>IF(ISBLANK(DaqBook_RAW_Data!T272),"",DaqBook_RAW_Data!T272)</f>
        <v/>
      </c>
      <c r="F282" s="167" t="str">
        <f>IF(ISBLANK(DaqBook_RAW_Data!U272),"",DaqBook_RAW_Data!U272)</f>
        <v/>
      </c>
      <c r="G282" s="167" t="str">
        <f>IF(ISBLANK(DaqBook_RAW_Data!V272),"",DaqBook_RAW_Data!V272)</f>
        <v/>
      </c>
      <c r="H282" s="167" t="str">
        <f>IF(ISBLANK(DaqBook_RAW_Data!W272),"",DaqBook_RAW_Data!W272)</f>
        <v/>
      </c>
      <c r="I282" s="167" t="str">
        <f>IF(ISBLANK(DaqBook_RAW_Data!X272),"",DaqBook_RAW_Data!X272)</f>
        <v/>
      </c>
      <c r="J282" s="167" t="str">
        <f>IF(ISBLANK(DaqBook_RAW_Data!Y272),"",DaqBook_RAW_Data!Y272)</f>
        <v/>
      </c>
      <c r="K282" s="167" t="str">
        <f>IF(ISBLANK(DaqBook_RAW_Data!Z272),"",DaqBook_RAW_Data!Z272)</f>
        <v/>
      </c>
      <c r="L282" s="167" t="str">
        <f>IF(ISBLANK(DaqBook_RAW_Data!AA272),"",DaqBook_RAW_Data!AA272)</f>
        <v/>
      </c>
      <c r="M282" s="167" t="str">
        <f>IF(ISBLANK(DaqBook_RAW_Data!AB272),"",DaqBook_RAW_Data!AB272)</f>
        <v/>
      </c>
      <c r="N282" s="167" t="str">
        <f>IF(ISBLANK(DaqBook_RAW_Data!AC272),"",DaqBook_RAW_Data!AC272)</f>
        <v/>
      </c>
      <c r="O282" s="167" t="str">
        <f>IF(ISBLANK(DaqBook_RAW_Data!AD272),"",DaqBook_RAW_Data!AD272)</f>
        <v/>
      </c>
      <c r="P282" s="167" t="str">
        <f>IF(ISBLANK(DaqBook_RAW_Data!AE272),"",DaqBook_RAW_Data!AE272)</f>
        <v/>
      </c>
    </row>
    <row r="283" spans="1:16" x14ac:dyDescent="0.2">
      <c r="A283" s="58" t="e">
        <f t="shared" si="4"/>
        <v>#VALUE!</v>
      </c>
      <c r="B283" s="144" t="str">
        <f>IF(ISBLANK(DaqBook_RAW_Data!Q273),IF(DaqBook_RAW_Data!A273="","",TIMEVALUE(DaqBook_RAW_Data!A273)),TIMEVALUE(DaqBook_RAW_Data!Q273))</f>
        <v/>
      </c>
      <c r="C283" s="167" t="str">
        <f>IF(ISBLANK(DaqBook_RAW_Data!R273),"",DaqBook_RAW_Data!R273)</f>
        <v/>
      </c>
      <c r="D283" s="167" t="str">
        <f>IF(ISBLANK(DaqBook_RAW_Data!S273),"",DaqBook_RAW_Data!S273)</f>
        <v/>
      </c>
      <c r="E283" s="167" t="str">
        <f>IF(ISBLANK(DaqBook_RAW_Data!T273),"",DaqBook_RAW_Data!T273)</f>
        <v/>
      </c>
      <c r="F283" s="167" t="str">
        <f>IF(ISBLANK(DaqBook_RAW_Data!U273),"",DaqBook_RAW_Data!U273)</f>
        <v/>
      </c>
      <c r="G283" s="167" t="str">
        <f>IF(ISBLANK(DaqBook_RAW_Data!V273),"",DaqBook_RAW_Data!V273)</f>
        <v/>
      </c>
      <c r="H283" s="167" t="str">
        <f>IF(ISBLANK(DaqBook_RAW_Data!W273),"",DaqBook_RAW_Data!W273)</f>
        <v/>
      </c>
      <c r="I283" s="167" t="str">
        <f>IF(ISBLANK(DaqBook_RAW_Data!X273),"",DaqBook_RAW_Data!X273)</f>
        <v/>
      </c>
      <c r="J283" s="167" t="str">
        <f>IF(ISBLANK(DaqBook_RAW_Data!Y273),"",DaqBook_RAW_Data!Y273)</f>
        <v/>
      </c>
      <c r="K283" s="167" t="str">
        <f>IF(ISBLANK(DaqBook_RAW_Data!Z273),"",DaqBook_RAW_Data!Z273)</f>
        <v/>
      </c>
      <c r="L283" s="167" t="str">
        <f>IF(ISBLANK(DaqBook_RAW_Data!AA273),"",DaqBook_RAW_Data!AA273)</f>
        <v/>
      </c>
      <c r="M283" s="167" t="str">
        <f>IF(ISBLANK(DaqBook_RAW_Data!AB273),"",DaqBook_RAW_Data!AB273)</f>
        <v/>
      </c>
      <c r="N283" s="167" t="str">
        <f>IF(ISBLANK(DaqBook_RAW_Data!AC273),"",DaqBook_RAW_Data!AC273)</f>
        <v/>
      </c>
      <c r="O283" s="167" t="str">
        <f>IF(ISBLANK(DaqBook_RAW_Data!AD273),"",DaqBook_RAW_Data!AD273)</f>
        <v/>
      </c>
      <c r="P283" s="167" t="str">
        <f>IF(ISBLANK(DaqBook_RAW_Data!AE273),"",DaqBook_RAW_Data!AE273)</f>
        <v/>
      </c>
    </row>
    <row r="284" spans="1:16" x14ac:dyDescent="0.2">
      <c r="A284" s="58" t="e">
        <f t="shared" si="4"/>
        <v>#VALUE!</v>
      </c>
      <c r="B284" s="144" t="str">
        <f>IF(ISBLANK(DaqBook_RAW_Data!Q274),IF(DaqBook_RAW_Data!A274="","",TIMEVALUE(DaqBook_RAW_Data!A274)),TIMEVALUE(DaqBook_RAW_Data!Q274))</f>
        <v/>
      </c>
      <c r="C284" s="167" t="str">
        <f>IF(ISBLANK(DaqBook_RAW_Data!R274),"",DaqBook_RAW_Data!R274)</f>
        <v/>
      </c>
      <c r="D284" s="167" t="str">
        <f>IF(ISBLANK(DaqBook_RAW_Data!S274),"",DaqBook_RAW_Data!S274)</f>
        <v/>
      </c>
      <c r="E284" s="167" t="str">
        <f>IF(ISBLANK(DaqBook_RAW_Data!T274),"",DaqBook_RAW_Data!T274)</f>
        <v/>
      </c>
      <c r="F284" s="167" t="str">
        <f>IF(ISBLANK(DaqBook_RAW_Data!U274),"",DaqBook_RAW_Data!U274)</f>
        <v/>
      </c>
      <c r="G284" s="167" t="str">
        <f>IF(ISBLANK(DaqBook_RAW_Data!V274),"",DaqBook_RAW_Data!V274)</f>
        <v/>
      </c>
      <c r="H284" s="167" t="str">
        <f>IF(ISBLANK(DaqBook_RAW_Data!W274),"",DaqBook_RAW_Data!W274)</f>
        <v/>
      </c>
      <c r="I284" s="167" t="str">
        <f>IF(ISBLANK(DaqBook_RAW_Data!X274),"",DaqBook_RAW_Data!X274)</f>
        <v/>
      </c>
      <c r="J284" s="167" t="str">
        <f>IF(ISBLANK(DaqBook_RAW_Data!Y274),"",DaqBook_RAW_Data!Y274)</f>
        <v/>
      </c>
      <c r="K284" s="167" t="str">
        <f>IF(ISBLANK(DaqBook_RAW_Data!Z274),"",DaqBook_RAW_Data!Z274)</f>
        <v/>
      </c>
      <c r="L284" s="167" t="str">
        <f>IF(ISBLANK(DaqBook_RAW_Data!AA274),"",DaqBook_RAW_Data!AA274)</f>
        <v/>
      </c>
      <c r="M284" s="167" t="str">
        <f>IF(ISBLANK(DaqBook_RAW_Data!AB274),"",DaqBook_RAW_Data!AB274)</f>
        <v/>
      </c>
      <c r="N284" s="167" t="str">
        <f>IF(ISBLANK(DaqBook_RAW_Data!AC274),"",DaqBook_RAW_Data!AC274)</f>
        <v/>
      </c>
      <c r="O284" s="167" t="str">
        <f>IF(ISBLANK(DaqBook_RAW_Data!AD274),"",DaqBook_RAW_Data!AD274)</f>
        <v/>
      </c>
      <c r="P284" s="167" t="str">
        <f>IF(ISBLANK(DaqBook_RAW_Data!AE274),"",DaqBook_RAW_Data!AE274)</f>
        <v/>
      </c>
    </row>
    <row r="285" spans="1:16" x14ac:dyDescent="0.2">
      <c r="A285" s="58" t="e">
        <f t="shared" si="4"/>
        <v>#VALUE!</v>
      </c>
      <c r="B285" s="144" t="str">
        <f>IF(ISBLANK(DaqBook_RAW_Data!Q275),IF(DaqBook_RAW_Data!A275="","",TIMEVALUE(DaqBook_RAW_Data!A275)),TIMEVALUE(DaqBook_RAW_Data!Q275))</f>
        <v/>
      </c>
      <c r="C285" s="167" t="str">
        <f>IF(ISBLANK(DaqBook_RAW_Data!R275),"",DaqBook_RAW_Data!R275)</f>
        <v/>
      </c>
      <c r="D285" s="167" t="str">
        <f>IF(ISBLANK(DaqBook_RAW_Data!S275),"",DaqBook_RAW_Data!S275)</f>
        <v/>
      </c>
      <c r="E285" s="167" t="str">
        <f>IF(ISBLANK(DaqBook_RAW_Data!T275),"",DaqBook_RAW_Data!T275)</f>
        <v/>
      </c>
      <c r="F285" s="167" t="str">
        <f>IF(ISBLANK(DaqBook_RAW_Data!U275),"",DaqBook_RAW_Data!U275)</f>
        <v/>
      </c>
      <c r="G285" s="167" t="str">
        <f>IF(ISBLANK(DaqBook_RAW_Data!V275),"",DaqBook_RAW_Data!V275)</f>
        <v/>
      </c>
      <c r="H285" s="167" t="str">
        <f>IF(ISBLANK(DaqBook_RAW_Data!W275),"",DaqBook_RAW_Data!W275)</f>
        <v/>
      </c>
      <c r="I285" s="167" t="str">
        <f>IF(ISBLANK(DaqBook_RAW_Data!X275),"",DaqBook_RAW_Data!X275)</f>
        <v/>
      </c>
      <c r="J285" s="167" t="str">
        <f>IF(ISBLANK(DaqBook_RAW_Data!Y275),"",DaqBook_RAW_Data!Y275)</f>
        <v/>
      </c>
      <c r="K285" s="167" t="str">
        <f>IF(ISBLANK(DaqBook_RAW_Data!Z275),"",DaqBook_RAW_Data!Z275)</f>
        <v/>
      </c>
      <c r="L285" s="167" t="str">
        <f>IF(ISBLANK(DaqBook_RAW_Data!AA275),"",DaqBook_RAW_Data!AA275)</f>
        <v/>
      </c>
      <c r="M285" s="167" t="str">
        <f>IF(ISBLANK(DaqBook_RAW_Data!AB275),"",DaqBook_RAW_Data!AB275)</f>
        <v/>
      </c>
      <c r="N285" s="167" t="str">
        <f>IF(ISBLANK(DaqBook_RAW_Data!AC275),"",DaqBook_RAW_Data!AC275)</f>
        <v/>
      </c>
      <c r="O285" s="167" t="str">
        <f>IF(ISBLANK(DaqBook_RAW_Data!AD275),"",DaqBook_RAW_Data!AD275)</f>
        <v/>
      </c>
      <c r="P285" s="167" t="str">
        <f>IF(ISBLANK(DaqBook_RAW_Data!AE275),"",DaqBook_RAW_Data!AE275)</f>
        <v/>
      </c>
    </row>
    <row r="286" spans="1:16" x14ac:dyDescent="0.2">
      <c r="A286" s="58" t="e">
        <f t="shared" si="4"/>
        <v>#VALUE!</v>
      </c>
      <c r="B286" s="144" t="str">
        <f>IF(ISBLANK(DaqBook_RAW_Data!Q276),IF(DaqBook_RAW_Data!A276="","",TIMEVALUE(DaqBook_RAW_Data!A276)),TIMEVALUE(DaqBook_RAW_Data!Q276))</f>
        <v/>
      </c>
      <c r="C286" s="167" t="str">
        <f>IF(ISBLANK(DaqBook_RAW_Data!R276),"",DaqBook_RAW_Data!R276)</f>
        <v/>
      </c>
      <c r="D286" s="167" t="str">
        <f>IF(ISBLANK(DaqBook_RAW_Data!S276),"",DaqBook_RAW_Data!S276)</f>
        <v/>
      </c>
      <c r="E286" s="167" t="str">
        <f>IF(ISBLANK(DaqBook_RAW_Data!T276),"",DaqBook_RAW_Data!T276)</f>
        <v/>
      </c>
      <c r="F286" s="167" t="str">
        <f>IF(ISBLANK(DaqBook_RAW_Data!U276),"",DaqBook_RAW_Data!U276)</f>
        <v/>
      </c>
      <c r="G286" s="167" t="str">
        <f>IF(ISBLANK(DaqBook_RAW_Data!V276),"",DaqBook_RAW_Data!V276)</f>
        <v/>
      </c>
      <c r="H286" s="167" t="str">
        <f>IF(ISBLANK(DaqBook_RAW_Data!W276),"",DaqBook_RAW_Data!W276)</f>
        <v/>
      </c>
      <c r="I286" s="167" t="str">
        <f>IF(ISBLANK(DaqBook_RAW_Data!X276),"",DaqBook_RAW_Data!X276)</f>
        <v/>
      </c>
      <c r="J286" s="167" t="str">
        <f>IF(ISBLANK(DaqBook_RAW_Data!Y276),"",DaqBook_RAW_Data!Y276)</f>
        <v/>
      </c>
      <c r="K286" s="167" t="str">
        <f>IF(ISBLANK(DaqBook_RAW_Data!Z276),"",DaqBook_RAW_Data!Z276)</f>
        <v/>
      </c>
      <c r="L286" s="167" t="str">
        <f>IF(ISBLANK(DaqBook_RAW_Data!AA276),"",DaqBook_RAW_Data!AA276)</f>
        <v/>
      </c>
      <c r="M286" s="167" t="str">
        <f>IF(ISBLANK(DaqBook_RAW_Data!AB276),"",DaqBook_RAW_Data!AB276)</f>
        <v/>
      </c>
      <c r="N286" s="167" t="str">
        <f>IF(ISBLANK(DaqBook_RAW_Data!AC276),"",DaqBook_RAW_Data!AC276)</f>
        <v/>
      </c>
      <c r="O286" s="167" t="str">
        <f>IF(ISBLANK(DaqBook_RAW_Data!AD276),"",DaqBook_RAW_Data!AD276)</f>
        <v/>
      </c>
      <c r="P286" s="167" t="str">
        <f>IF(ISBLANK(DaqBook_RAW_Data!AE276),"",DaqBook_RAW_Data!AE276)</f>
        <v/>
      </c>
    </row>
    <row r="287" spans="1:16" x14ac:dyDescent="0.2">
      <c r="A287" s="58" t="e">
        <f t="shared" si="4"/>
        <v>#VALUE!</v>
      </c>
      <c r="B287" s="144" t="str">
        <f>IF(ISBLANK(DaqBook_RAW_Data!Q277),IF(DaqBook_RAW_Data!A277="","",TIMEVALUE(DaqBook_RAW_Data!A277)),TIMEVALUE(DaqBook_RAW_Data!Q277))</f>
        <v/>
      </c>
      <c r="C287" s="167" t="str">
        <f>IF(ISBLANK(DaqBook_RAW_Data!R277),"",DaqBook_RAW_Data!R277)</f>
        <v/>
      </c>
      <c r="D287" s="167" t="str">
        <f>IF(ISBLANK(DaqBook_RAW_Data!S277),"",DaqBook_RAW_Data!S277)</f>
        <v/>
      </c>
      <c r="E287" s="167" t="str">
        <f>IF(ISBLANK(DaqBook_RAW_Data!T277),"",DaqBook_RAW_Data!T277)</f>
        <v/>
      </c>
      <c r="F287" s="167" t="str">
        <f>IF(ISBLANK(DaqBook_RAW_Data!U277),"",DaqBook_RAW_Data!U277)</f>
        <v/>
      </c>
      <c r="G287" s="167" t="str">
        <f>IF(ISBLANK(DaqBook_RAW_Data!V277),"",DaqBook_RAW_Data!V277)</f>
        <v/>
      </c>
      <c r="H287" s="167" t="str">
        <f>IF(ISBLANK(DaqBook_RAW_Data!W277),"",DaqBook_RAW_Data!W277)</f>
        <v/>
      </c>
      <c r="I287" s="167" t="str">
        <f>IF(ISBLANK(DaqBook_RAW_Data!X277),"",DaqBook_RAW_Data!X277)</f>
        <v/>
      </c>
      <c r="J287" s="167" t="str">
        <f>IF(ISBLANK(DaqBook_RAW_Data!Y277),"",DaqBook_RAW_Data!Y277)</f>
        <v/>
      </c>
      <c r="K287" s="167" t="str">
        <f>IF(ISBLANK(DaqBook_RAW_Data!Z277),"",DaqBook_RAW_Data!Z277)</f>
        <v/>
      </c>
      <c r="L287" s="167" t="str">
        <f>IF(ISBLANK(DaqBook_RAW_Data!AA277),"",DaqBook_RAW_Data!AA277)</f>
        <v/>
      </c>
      <c r="M287" s="167" t="str">
        <f>IF(ISBLANK(DaqBook_RAW_Data!AB277),"",DaqBook_RAW_Data!AB277)</f>
        <v/>
      </c>
      <c r="N287" s="167" t="str">
        <f>IF(ISBLANK(DaqBook_RAW_Data!AC277),"",DaqBook_RAW_Data!AC277)</f>
        <v/>
      </c>
      <c r="O287" s="167" t="str">
        <f>IF(ISBLANK(DaqBook_RAW_Data!AD277),"",DaqBook_RAW_Data!AD277)</f>
        <v/>
      </c>
      <c r="P287" s="167" t="str">
        <f>IF(ISBLANK(DaqBook_RAW_Data!AE277),"",DaqBook_RAW_Data!AE277)</f>
        <v/>
      </c>
    </row>
    <row r="288" spans="1:16" x14ac:dyDescent="0.2">
      <c r="A288" s="58" t="e">
        <f t="shared" si="4"/>
        <v>#VALUE!</v>
      </c>
      <c r="B288" s="144" t="str">
        <f>IF(ISBLANK(DaqBook_RAW_Data!Q278),IF(DaqBook_RAW_Data!A278="","",TIMEVALUE(DaqBook_RAW_Data!A278)),TIMEVALUE(DaqBook_RAW_Data!Q278))</f>
        <v/>
      </c>
      <c r="C288" s="167" t="str">
        <f>IF(ISBLANK(DaqBook_RAW_Data!R278),"",DaqBook_RAW_Data!R278)</f>
        <v/>
      </c>
      <c r="D288" s="167" t="str">
        <f>IF(ISBLANK(DaqBook_RAW_Data!S278),"",DaqBook_RAW_Data!S278)</f>
        <v/>
      </c>
      <c r="E288" s="167" t="str">
        <f>IF(ISBLANK(DaqBook_RAW_Data!T278),"",DaqBook_RAW_Data!T278)</f>
        <v/>
      </c>
      <c r="F288" s="167" t="str">
        <f>IF(ISBLANK(DaqBook_RAW_Data!U278),"",DaqBook_RAW_Data!U278)</f>
        <v/>
      </c>
      <c r="G288" s="167" t="str">
        <f>IF(ISBLANK(DaqBook_RAW_Data!V278),"",DaqBook_RAW_Data!V278)</f>
        <v/>
      </c>
      <c r="H288" s="167" t="str">
        <f>IF(ISBLANK(DaqBook_RAW_Data!W278),"",DaqBook_RAW_Data!W278)</f>
        <v/>
      </c>
      <c r="I288" s="167" t="str">
        <f>IF(ISBLANK(DaqBook_RAW_Data!X278),"",DaqBook_RAW_Data!X278)</f>
        <v/>
      </c>
      <c r="J288" s="167" t="str">
        <f>IF(ISBLANK(DaqBook_RAW_Data!Y278),"",DaqBook_RAW_Data!Y278)</f>
        <v/>
      </c>
      <c r="K288" s="167" t="str">
        <f>IF(ISBLANK(DaqBook_RAW_Data!Z278),"",DaqBook_RAW_Data!Z278)</f>
        <v/>
      </c>
      <c r="L288" s="167" t="str">
        <f>IF(ISBLANK(DaqBook_RAW_Data!AA278),"",DaqBook_RAW_Data!AA278)</f>
        <v/>
      </c>
      <c r="M288" s="167" t="str">
        <f>IF(ISBLANK(DaqBook_RAW_Data!AB278),"",DaqBook_RAW_Data!AB278)</f>
        <v/>
      </c>
      <c r="N288" s="167" t="str">
        <f>IF(ISBLANK(DaqBook_RAW_Data!AC278),"",DaqBook_RAW_Data!AC278)</f>
        <v/>
      </c>
      <c r="O288" s="167" t="str">
        <f>IF(ISBLANK(DaqBook_RAW_Data!AD278),"",DaqBook_RAW_Data!AD278)</f>
        <v/>
      </c>
      <c r="P288" s="167" t="str">
        <f>IF(ISBLANK(DaqBook_RAW_Data!AE278),"",DaqBook_RAW_Data!AE278)</f>
        <v/>
      </c>
    </row>
    <row r="289" spans="1:16" x14ac:dyDescent="0.2">
      <c r="A289" s="58" t="e">
        <f t="shared" si="4"/>
        <v>#VALUE!</v>
      </c>
      <c r="B289" s="144" t="str">
        <f>IF(ISBLANK(DaqBook_RAW_Data!Q279),IF(DaqBook_RAW_Data!A279="","",TIMEVALUE(DaqBook_RAW_Data!A279)),TIMEVALUE(DaqBook_RAW_Data!Q279))</f>
        <v/>
      </c>
      <c r="C289" s="167" t="str">
        <f>IF(ISBLANK(DaqBook_RAW_Data!R279),"",DaqBook_RAW_Data!R279)</f>
        <v/>
      </c>
      <c r="D289" s="167" t="str">
        <f>IF(ISBLANK(DaqBook_RAW_Data!S279),"",DaqBook_RAW_Data!S279)</f>
        <v/>
      </c>
      <c r="E289" s="167" t="str">
        <f>IF(ISBLANK(DaqBook_RAW_Data!T279),"",DaqBook_RAW_Data!T279)</f>
        <v/>
      </c>
      <c r="F289" s="167" t="str">
        <f>IF(ISBLANK(DaqBook_RAW_Data!U279),"",DaqBook_RAW_Data!U279)</f>
        <v/>
      </c>
      <c r="G289" s="167" t="str">
        <f>IF(ISBLANK(DaqBook_RAW_Data!V279),"",DaqBook_RAW_Data!V279)</f>
        <v/>
      </c>
      <c r="H289" s="167" t="str">
        <f>IF(ISBLANK(DaqBook_RAW_Data!W279),"",DaqBook_RAW_Data!W279)</f>
        <v/>
      </c>
      <c r="I289" s="167" t="str">
        <f>IF(ISBLANK(DaqBook_RAW_Data!X279),"",DaqBook_RAW_Data!X279)</f>
        <v/>
      </c>
      <c r="J289" s="167" t="str">
        <f>IF(ISBLANK(DaqBook_RAW_Data!Y279),"",DaqBook_RAW_Data!Y279)</f>
        <v/>
      </c>
      <c r="K289" s="167" t="str">
        <f>IF(ISBLANK(DaqBook_RAW_Data!Z279),"",DaqBook_RAW_Data!Z279)</f>
        <v/>
      </c>
      <c r="L289" s="167" t="str">
        <f>IF(ISBLANK(DaqBook_RAW_Data!AA279),"",DaqBook_RAW_Data!AA279)</f>
        <v/>
      </c>
      <c r="M289" s="167" t="str">
        <f>IF(ISBLANK(DaqBook_RAW_Data!AB279),"",DaqBook_RAW_Data!AB279)</f>
        <v/>
      </c>
      <c r="N289" s="167" t="str">
        <f>IF(ISBLANK(DaqBook_RAW_Data!AC279),"",DaqBook_RAW_Data!AC279)</f>
        <v/>
      </c>
      <c r="O289" s="167" t="str">
        <f>IF(ISBLANK(DaqBook_RAW_Data!AD279),"",DaqBook_RAW_Data!AD279)</f>
        <v/>
      </c>
      <c r="P289" s="167" t="str">
        <f>IF(ISBLANK(DaqBook_RAW_Data!AE279),"",DaqBook_RAW_Data!AE279)</f>
        <v/>
      </c>
    </row>
    <row r="290" spans="1:16" x14ac:dyDescent="0.2">
      <c r="A290" s="58" t="e">
        <f t="shared" si="4"/>
        <v>#VALUE!</v>
      </c>
      <c r="B290" s="144" t="str">
        <f>IF(ISBLANK(DaqBook_RAW_Data!Q280),IF(DaqBook_RAW_Data!A280="","",TIMEVALUE(DaqBook_RAW_Data!A280)),TIMEVALUE(DaqBook_RAW_Data!Q280))</f>
        <v/>
      </c>
      <c r="C290" s="167" t="str">
        <f>IF(ISBLANK(DaqBook_RAW_Data!R280),"",DaqBook_RAW_Data!R280)</f>
        <v/>
      </c>
      <c r="D290" s="167" t="str">
        <f>IF(ISBLANK(DaqBook_RAW_Data!S280),"",DaqBook_RAW_Data!S280)</f>
        <v/>
      </c>
      <c r="E290" s="167" t="str">
        <f>IF(ISBLANK(DaqBook_RAW_Data!T280),"",DaqBook_RAW_Data!T280)</f>
        <v/>
      </c>
      <c r="F290" s="167" t="str">
        <f>IF(ISBLANK(DaqBook_RAW_Data!U280),"",DaqBook_RAW_Data!U280)</f>
        <v/>
      </c>
      <c r="G290" s="167" t="str">
        <f>IF(ISBLANK(DaqBook_RAW_Data!V280),"",DaqBook_RAW_Data!V280)</f>
        <v/>
      </c>
      <c r="H290" s="167" t="str">
        <f>IF(ISBLANK(DaqBook_RAW_Data!W280),"",DaqBook_RAW_Data!W280)</f>
        <v/>
      </c>
      <c r="I290" s="167" t="str">
        <f>IF(ISBLANK(DaqBook_RAW_Data!X280),"",DaqBook_RAW_Data!X280)</f>
        <v/>
      </c>
      <c r="J290" s="167" t="str">
        <f>IF(ISBLANK(DaqBook_RAW_Data!Y280),"",DaqBook_RAW_Data!Y280)</f>
        <v/>
      </c>
      <c r="K290" s="167" t="str">
        <f>IF(ISBLANK(DaqBook_RAW_Data!Z280),"",DaqBook_RAW_Data!Z280)</f>
        <v/>
      </c>
      <c r="L290" s="167" t="str">
        <f>IF(ISBLANK(DaqBook_RAW_Data!AA280),"",DaqBook_RAW_Data!AA280)</f>
        <v/>
      </c>
      <c r="M290" s="167" t="str">
        <f>IF(ISBLANK(DaqBook_RAW_Data!AB280),"",DaqBook_RAW_Data!AB280)</f>
        <v/>
      </c>
      <c r="N290" s="167" t="str">
        <f>IF(ISBLANK(DaqBook_RAW_Data!AC280),"",DaqBook_RAW_Data!AC280)</f>
        <v/>
      </c>
      <c r="O290" s="167" t="str">
        <f>IF(ISBLANK(DaqBook_RAW_Data!AD280),"",DaqBook_RAW_Data!AD280)</f>
        <v/>
      </c>
      <c r="P290" s="167" t="str">
        <f>IF(ISBLANK(DaqBook_RAW_Data!AE280),"",DaqBook_RAW_Data!AE280)</f>
        <v/>
      </c>
    </row>
    <row r="291" spans="1:16" x14ac:dyDescent="0.2">
      <c r="A291" s="58" t="e">
        <f t="shared" si="4"/>
        <v>#VALUE!</v>
      </c>
      <c r="B291" s="144" t="str">
        <f>IF(ISBLANK(DaqBook_RAW_Data!Q281),IF(DaqBook_RAW_Data!A281="","",TIMEVALUE(DaqBook_RAW_Data!A281)),TIMEVALUE(DaqBook_RAW_Data!Q281))</f>
        <v/>
      </c>
      <c r="C291" s="167" t="str">
        <f>IF(ISBLANK(DaqBook_RAW_Data!R281),"",DaqBook_RAW_Data!R281)</f>
        <v/>
      </c>
      <c r="D291" s="167" t="str">
        <f>IF(ISBLANK(DaqBook_RAW_Data!S281),"",DaqBook_RAW_Data!S281)</f>
        <v/>
      </c>
      <c r="E291" s="167" t="str">
        <f>IF(ISBLANK(DaqBook_RAW_Data!T281),"",DaqBook_RAW_Data!T281)</f>
        <v/>
      </c>
      <c r="F291" s="167" t="str">
        <f>IF(ISBLANK(DaqBook_RAW_Data!U281),"",DaqBook_RAW_Data!U281)</f>
        <v/>
      </c>
      <c r="G291" s="167" t="str">
        <f>IF(ISBLANK(DaqBook_RAW_Data!V281),"",DaqBook_RAW_Data!V281)</f>
        <v/>
      </c>
      <c r="H291" s="167" t="str">
        <f>IF(ISBLANK(DaqBook_RAW_Data!W281),"",DaqBook_RAW_Data!W281)</f>
        <v/>
      </c>
      <c r="I291" s="167" t="str">
        <f>IF(ISBLANK(DaqBook_RAW_Data!X281),"",DaqBook_RAW_Data!X281)</f>
        <v/>
      </c>
      <c r="J291" s="167" t="str">
        <f>IF(ISBLANK(DaqBook_RAW_Data!Y281),"",DaqBook_RAW_Data!Y281)</f>
        <v/>
      </c>
      <c r="K291" s="167" t="str">
        <f>IF(ISBLANK(DaqBook_RAW_Data!Z281),"",DaqBook_RAW_Data!Z281)</f>
        <v/>
      </c>
      <c r="L291" s="167" t="str">
        <f>IF(ISBLANK(DaqBook_RAW_Data!AA281),"",DaqBook_RAW_Data!AA281)</f>
        <v/>
      </c>
      <c r="M291" s="167" t="str">
        <f>IF(ISBLANK(DaqBook_RAW_Data!AB281),"",DaqBook_RAW_Data!AB281)</f>
        <v/>
      </c>
      <c r="N291" s="167" t="str">
        <f>IF(ISBLANK(DaqBook_RAW_Data!AC281),"",DaqBook_RAW_Data!AC281)</f>
        <v/>
      </c>
      <c r="O291" s="167" t="str">
        <f>IF(ISBLANK(DaqBook_RAW_Data!AD281),"",DaqBook_RAW_Data!AD281)</f>
        <v/>
      </c>
      <c r="P291" s="167" t="str">
        <f>IF(ISBLANK(DaqBook_RAW_Data!AE281),"",DaqBook_RAW_Data!AE281)</f>
        <v/>
      </c>
    </row>
    <row r="292" spans="1:16" x14ac:dyDescent="0.2">
      <c r="A292" s="58" t="e">
        <f t="shared" si="4"/>
        <v>#VALUE!</v>
      </c>
      <c r="B292" s="144" t="str">
        <f>IF(ISBLANK(DaqBook_RAW_Data!Q282),IF(DaqBook_RAW_Data!A282="","",TIMEVALUE(DaqBook_RAW_Data!A282)),TIMEVALUE(DaqBook_RAW_Data!Q282))</f>
        <v/>
      </c>
      <c r="C292" s="167" t="str">
        <f>IF(ISBLANK(DaqBook_RAW_Data!R282),"",DaqBook_RAW_Data!R282)</f>
        <v/>
      </c>
      <c r="D292" s="167" t="str">
        <f>IF(ISBLANK(DaqBook_RAW_Data!S282),"",DaqBook_RAW_Data!S282)</f>
        <v/>
      </c>
      <c r="E292" s="167" t="str">
        <f>IF(ISBLANK(DaqBook_RAW_Data!T282),"",DaqBook_RAW_Data!T282)</f>
        <v/>
      </c>
      <c r="F292" s="167" t="str">
        <f>IF(ISBLANK(DaqBook_RAW_Data!U282),"",DaqBook_RAW_Data!U282)</f>
        <v/>
      </c>
      <c r="G292" s="167" t="str">
        <f>IF(ISBLANK(DaqBook_RAW_Data!V282),"",DaqBook_RAW_Data!V282)</f>
        <v/>
      </c>
      <c r="H292" s="167" t="str">
        <f>IF(ISBLANK(DaqBook_RAW_Data!W282),"",DaqBook_RAW_Data!W282)</f>
        <v/>
      </c>
      <c r="I292" s="167" t="str">
        <f>IF(ISBLANK(DaqBook_RAW_Data!X282),"",DaqBook_RAW_Data!X282)</f>
        <v/>
      </c>
      <c r="J292" s="167" t="str">
        <f>IF(ISBLANK(DaqBook_RAW_Data!Y282),"",DaqBook_RAW_Data!Y282)</f>
        <v/>
      </c>
      <c r="K292" s="167" t="str">
        <f>IF(ISBLANK(DaqBook_RAW_Data!Z282),"",DaqBook_RAW_Data!Z282)</f>
        <v/>
      </c>
      <c r="L292" s="167" t="str">
        <f>IF(ISBLANK(DaqBook_RAW_Data!AA282),"",DaqBook_RAW_Data!AA282)</f>
        <v/>
      </c>
      <c r="M292" s="167" t="str">
        <f>IF(ISBLANK(DaqBook_RAW_Data!AB282),"",DaqBook_RAW_Data!AB282)</f>
        <v/>
      </c>
      <c r="N292" s="167" t="str">
        <f>IF(ISBLANK(DaqBook_RAW_Data!AC282),"",DaqBook_RAW_Data!AC282)</f>
        <v/>
      </c>
      <c r="O292" s="167" t="str">
        <f>IF(ISBLANK(DaqBook_RAW_Data!AD282),"",DaqBook_RAW_Data!AD282)</f>
        <v/>
      </c>
      <c r="P292" s="167" t="str">
        <f>IF(ISBLANK(DaqBook_RAW_Data!AE282),"",DaqBook_RAW_Data!AE282)</f>
        <v/>
      </c>
    </row>
    <row r="293" spans="1:16" x14ac:dyDescent="0.2">
      <c r="A293" s="58" t="e">
        <f t="shared" si="4"/>
        <v>#VALUE!</v>
      </c>
      <c r="B293" s="144" t="str">
        <f>IF(ISBLANK(DaqBook_RAW_Data!Q283),IF(DaqBook_RAW_Data!A283="","",TIMEVALUE(DaqBook_RAW_Data!A283)),TIMEVALUE(DaqBook_RAW_Data!Q283))</f>
        <v/>
      </c>
      <c r="C293" s="167" t="str">
        <f>IF(ISBLANK(DaqBook_RAW_Data!R283),"",DaqBook_RAW_Data!R283)</f>
        <v/>
      </c>
      <c r="D293" s="167" t="str">
        <f>IF(ISBLANK(DaqBook_RAW_Data!S283),"",DaqBook_RAW_Data!S283)</f>
        <v/>
      </c>
      <c r="E293" s="167" t="str">
        <f>IF(ISBLANK(DaqBook_RAW_Data!T283),"",DaqBook_RAW_Data!T283)</f>
        <v/>
      </c>
      <c r="F293" s="167" t="str">
        <f>IF(ISBLANK(DaqBook_RAW_Data!U283),"",DaqBook_RAW_Data!U283)</f>
        <v/>
      </c>
      <c r="G293" s="167" t="str">
        <f>IF(ISBLANK(DaqBook_RAW_Data!V283),"",DaqBook_RAW_Data!V283)</f>
        <v/>
      </c>
      <c r="H293" s="167" t="str">
        <f>IF(ISBLANK(DaqBook_RAW_Data!W283),"",DaqBook_RAW_Data!W283)</f>
        <v/>
      </c>
      <c r="I293" s="167" t="str">
        <f>IF(ISBLANK(DaqBook_RAW_Data!X283),"",DaqBook_RAW_Data!X283)</f>
        <v/>
      </c>
      <c r="J293" s="167" t="str">
        <f>IF(ISBLANK(DaqBook_RAW_Data!Y283),"",DaqBook_RAW_Data!Y283)</f>
        <v/>
      </c>
      <c r="K293" s="167" t="str">
        <f>IF(ISBLANK(DaqBook_RAW_Data!Z283),"",DaqBook_RAW_Data!Z283)</f>
        <v/>
      </c>
      <c r="L293" s="167" t="str">
        <f>IF(ISBLANK(DaqBook_RAW_Data!AA283),"",DaqBook_RAW_Data!AA283)</f>
        <v/>
      </c>
      <c r="M293" s="167" t="str">
        <f>IF(ISBLANK(DaqBook_RAW_Data!AB283),"",DaqBook_RAW_Data!AB283)</f>
        <v/>
      </c>
      <c r="N293" s="167" t="str">
        <f>IF(ISBLANK(DaqBook_RAW_Data!AC283),"",DaqBook_RAW_Data!AC283)</f>
        <v/>
      </c>
      <c r="O293" s="167" t="str">
        <f>IF(ISBLANK(DaqBook_RAW_Data!AD283),"",DaqBook_RAW_Data!AD283)</f>
        <v/>
      </c>
      <c r="P293" s="167" t="str">
        <f>IF(ISBLANK(DaqBook_RAW_Data!AE283),"",DaqBook_RAW_Data!AE283)</f>
        <v/>
      </c>
    </row>
    <row r="294" spans="1:16" x14ac:dyDescent="0.2">
      <c r="A294" s="58" t="e">
        <f t="shared" si="4"/>
        <v>#VALUE!</v>
      </c>
      <c r="B294" s="144" t="str">
        <f>IF(ISBLANK(DaqBook_RAW_Data!Q284),IF(DaqBook_RAW_Data!A284="","",TIMEVALUE(DaqBook_RAW_Data!A284)),TIMEVALUE(DaqBook_RAW_Data!Q284))</f>
        <v/>
      </c>
      <c r="C294" s="167" t="str">
        <f>IF(ISBLANK(DaqBook_RAW_Data!R284),"",DaqBook_RAW_Data!R284)</f>
        <v/>
      </c>
      <c r="D294" s="167" t="str">
        <f>IF(ISBLANK(DaqBook_RAW_Data!S284),"",DaqBook_RAW_Data!S284)</f>
        <v/>
      </c>
      <c r="E294" s="167" t="str">
        <f>IF(ISBLANK(DaqBook_RAW_Data!T284),"",DaqBook_RAW_Data!T284)</f>
        <v/>
      </c>
      <c r="F294" s="167" t="str">
        <f>IF(ISBLANK(DaqBook_RAW_Data!U284),"",DaqBook_RAW_Data!U284)</f>
        <v/>
      </c>
      <c r="G294" s="167" t="str">
        <f>IF(ISBLANK(DaqBook_RAW_Data!V284),"",DaqBook_RAW_Data!V284)</f>
        <v/>
      </c>
      <c r="H294" s="167" t="str">
        <f>IF(ISBLANK(DaqBook_RAW_Data!W284),"",DaqBook_RAW_Data!W284)</f>
        <v/>
      </c>
      <c r="I294" s="167" t="str">
        <f>IF(ISBLANK(DaqBook_RAW_Data!X284),"",DaqBook_RAW_Data!X284)</f>
        <v/>
      </c>
      <c r="J294" s="167" t="str">
        <f>IF(ISBLANK(DaqBook_RAW_Data!Y284),"",DaqBook_RAW_Data!Y284)</f>
        <v/>
      </c>
      <c r="K294" s="167" t="str">
        <f>IF(ISBLANK(DaqBook_RAW_Data!Z284),"",DaqBook_RAW_Data!Z284)</f>
        <v/>
      </c>
      <c r="L294" s="167" t="str">
        <f>IF(ISBLANK(DaqBook_RAW_Data!AA284),"",DaqBook_RAW_Data!AA284)</f>
        <v/>
      </c>
      <c r="M294" s="167" t="str">
        <f>IF(ISBLANK(DaqBook_RAW_Data!AB284),"",DaqBook_RAW_Data!AB284)</f>
        <v/>
      </c>
      <c r="N294" s="167" t="str">
        <f>IF(ISBLANK(DaqBook_RAW_Data!AC284),"",DaqBook_RAW_Data!AC284)</f>
        <v/>
      </c>
      <c r="O294" s="167" t="str">
        <f>IF(ISBLANK(DaqBook_RAW_Data!AD284),"",DaqBook_RAW_Data!AD284)</f>
        <v/>
      </c>
      <c r="P294" s="167" t="str">
        <f>IF(ISBLANK(DaqBook_RAW_Data!AE284),"",DaqBook_RAW_Data!AE284)</f>
        <v/>
      </c>
    </row>
    <row r="295" spans="1:16" x14ac:dyDescent="0.2">
      <c r="A295" s="58" t="e">
        <f t="shared" si="4"/>
        <v>#VALUE!</v>
      </c>
      <c r="B295" s="144" t="str">
        <f>IF(ISBLANK(DaqBook_RAW_Data!Q285),IF(DaqBook_RAW_Data!A285="","",TIMEVALUE(DaqBook_RAW_Data!A285)),TIMEVALUE(DaqBook_RAW_Data!Q285))</f>
        <v/>
      </c>
      <c r="C295" s="167" t="str">
        <f>IF(ISBLANK(DaqBook_RAW_Data!R285),"",DaqBook_RAW_Data!R285)</f>
        <v/>
      </c>
      <c r="D295" s="167" t="str">
        <f>IF(ISBLANK(DaqBook_RAW_Data!S285),"",DaqBook_RAW_Data!S285)</f>
        <v/>
      </c>
      <c r="E295" s="167" t="str">
        <f>IF(ISBLANK(DaqBook_RAW_Data!T285),"",DaqBook_RAW_Data!T285)</f>
        <v/>
      </c>
      <c r="F295" s="167" t="str">
        <f>IF(ISBLANK(DaqBook_RAW_Data!U285),"",DaqBook_RAW_Data!U285)</f>
        <v/>
      </c>
      <c r="G295" s="167" t="str">
        <f>IF(ISBLANK(DaqBook_RAW_Data!V285),"",DaqBook_RAW_Data!V285)</f>
        <v/>
      </c>
      <c r="H295" s="167" t="str">
        <f>IF(ISBLANK(DaqBook_RAW_Data!W285),"",DaqBook_RAW_Data!W285)</f>
        <v/>
      </c>
      <c r="I295" s="167" t="str">
        <f>IF(ISBLANK(DaqBook_RAW_Data!X285),"",DaqBook_RAW_Data!X285)</f>
        <v/>
      </c>
      <c r="J295" s="167" t="str">
        <f>IF(ISBLANK(DaqBook_RAW_Data!Y285),"",DaqBook_RAW_Data!Y285)</f>
        <v/>
      </c>
      <c r="K295" s="167" t="str">
        <f>IF(ISBLANK(DaqBook_RAW_Data!Z285),"",DaqBook_RAW_Data!Z285)</f>
        <v/>
      </c>
      <c r="L295" s="167" t="str">
        <f>IF(ISBLANK(DaqBook_RAW_Data!AA285),"",DaqBook_RAW_Data!AA285)</f>
        <v/>
      </c>
      <c r="M295" s="167" t="str">
        <f>IF(ISBLANK(DaqBook_RAW_Data!AB285),"",DaqBook_RAW_Data!AB285)</f>
        <v/>
      </c>
      <c r="N295" s="167" t="str">
        <f>IF(ISBLANK(DaqBook_RAW_Data!AC285),"",DaqBook_RAW_Data!AC285)</f>
        <v/>
      </c>
      <c r="O295" s="167" t="str">
        <f>IF(ISBLANK(DaqBook_RAW_Data!AD285),"",DaqBook_RAW_Data!AD285)</f>
        <v/>
      </c>
      <c r="P295" s="167" t="str">
        <f>IF(ISBLANK(DaqBook_RAW_Data!AE285),"",DaqBook_RAW_Data!AE285)</f>
        <v/>
      </c>
    </row>
    <row r="296" spans="1:16" x14ac:dyDescent="0.2">
      <c r="A296" s="58" t="e">
        <f t="shared" si="4"/>
        <v>#VALUE!</v>
      </c>
      <c r="B296" s="144" t="str">
        <f>IF(ISBLANK(DaqBook_RAW_Data!Q286),IF(DaqBook_RAW_Data!A286="","",TIMEVALUE(DaqBook_RAW_Data!A286)),TIMEVALUE(DaqBook_RAW_Data!Q286))</f>
        <v/>
      </c>
      <c r="C296" s="167" t="str">
        <f>IF(ISBLANK(DaqBook_RAW_Data!R286),"",DaqBook_RAW_Data!R286)</f>
        <v/>
      </c>
      <c r="D296" s="167" t="str">
        <f>IF(ISBLANK(DaqBook_RAW_Data!S286),"",DaqBook_RAW_Data!S286)</f>
        <v/>
      </c>
      <c r="E296" s="167" t="str">
        <f>IF(ISBLANK(DaqBook_RAW_Data!T286),"",DaqBook_RAW_Data!T286)</f>
        <v/>
      </c>
      <c r="F296" s="167" t="str">
        <f>IF(ISBLANK(DaqBook_RAW_Data!U286),"",DaqBook_RAW_Data!U286)</f>
        <v/>
      </c>
      <c r="G296" s="167" t="str">
        <f>IF(ISBLANK(DaqBook_RAW_Data!V286),"",DaqBook_RAW_Data!V286)</f>
        <v/>
      </c>
      <c r="H296" s="167" t="str">
        <f>IF(ISBLANK(DaqBook_RAW_Data!W286),"",DaqBook_RAW_Data!W286)</f>
        <v/>
      </c>
      <c r="I296" s="167" t="str">
        <f>IF(ISBLANK(DaqBook_RAW_Data!X286),"",DaqBook_RAW_Data!X286)</f>
        <v/>
      </c>
      <c r="J296" s="167" t="str">
        <f>IF(ISBLANK(DaqBook_RAW_Data!Y286),"",DaqBook_RAW_Data!Y286)</f>
        <v/>
      </c>
      <c r="K296" s="167" t="str">
        <f>IF(ISBLANK(DaqBook_RAW_Data!Z286),"",DaqBook_RAW_Data!Z286)</f>
        <v/>
      </c>
      <c r="L296" s="167" t="str">
        <f>IF(ISBLANK(DaqBook_RAW_Data!AA286),"",DaqBook_RAW_Data!AA286)</f>
        <v/>
      </c>
      <c r="M296" s="167" t="str">
        <f>IF(ISBLANK(DaqBook_RAW_Data!AB286),"",DaqBook_RAW_Data!AB286)</f>
        <v/>
      </c>
      <c r="N296" s="167" t="str">
        <f>IF(ISBLANK(DaqBook_RAW_Data!AC286),"",DaqBook_RAW_Data!AC286)</f>
        <v/>
      </c>
      <c r="O296" s="167" t="str">
        <f>IF(ISBLANK(DaqBook_RAW_Data!AD286),"",DaqBook_RAW_Data!AD286)</f>
        <v/>
      </c>
      <c r="P296" s="167" t="str">
        <f>IF(ISBLANK(DaqBook_RAW_Data!AE286),"",DaqBook_RAW_Data!AE286)</f>
        <v/>
      </c>
    </row>
    <row r="297" spans="1:16" x14ac:dyDescent="0.2">
      <c r="A297" s="58" t="e">
        <f t="shared" si="4"/>
        <v>#VALUE!</v>
      </c>
      <c r="B297" s="144" t="str">
        <f>IF(ISBLANK(DaqBook_RAW_Data!Q287),IF(DaqBook_RAW_Data!A287="","",TIMEVALUE(DaqBook_RAW_Data!A287)),TIMEVALUE(DaqBook_RAW_Data!Q287))</f>
        <v/>
      </c>
      <c r="C297" s="167" t="str">
        <f>IF(ISBLANK(DaqBook_RAW_Data!R287),"",DaqBook_RAW_Data!R287)</f>
        <v/>
      </c>
      <c r="D297" s="167" t="str">
        <f>IF(ISBLANK(DaqBook_RAW_Data!S287),"",DaqBook_RAW_Data!S287)</f>
        <v/>
      </c>
      <c r="E297" s="167" t="str">
        <f>IF(ISBLANK(DaqBook_RAW_Data!T287),"",DaqBook_RAW_Data!T287)</f>
        <v/>
      </c>
      <c r="F297" s="167" t="str">
        <f>IF(ISBLANK(DaqBook_RAW_Data!U287),"",DaqBook_RAW_Data!U287)</f>
        <v/>
      </c>
      <c r="G297" s="167" t="str">
        <f>IF(ISBLANK(DaqBook_RAW_Data!V287),"",DaqBook_RAW_Data!V287)</f>
        <v/>
      </c>
      <c r="H297" s="167" t="str">
        <f>IF(ISBLANK(DaqBook_RAW_Data!W287),"",DaqBook_RAW_Data!W287)</f>
        <v/>
      </c>
      <c r="I297" s="167" t="str">
        <f>IF(ISBLANK(DaqBook_RAW_Data!X287),"",DaqBook_RAW_Data!X287)</f>
        <v/>
      </c>
      <c r="J297" s="167" t="str">
        <f>IF(ISBLANK(DaqBook_RAW_Data!Y287),"",DaqBook_RAW_Data!Y287)</f>
        <v/>
      </c>
      <c r="K297" s="167" t="str">
        <f>IF(ISBLANK(DaqBook_RAW_Data!Z287),"",DaqBook_RAW_Data!Z287)</f>
        <v/>
      </c>
      <c r="L297" s="167" t="str">
        <f>IF(ISBLANK(DaqBook_RAW_Data!AA287),"",DaqBook_RAW_Data!AA287)</f>
        <v/>
      </c>
      <c r="M297" s="167" t="str">
        <f>IF(ISBLANK(DaqBook_RAW_Data!AB287),"",DaqBook_RAW_Data!AB287)</f>
        <v/>
      </c>
      <c r="N297" s="167" t="str">
        <f>IF(ISBLANK(DaqBook_RAW_Data!AC287),"",DaqBook_RAW_Data!AC287)</f>
        <v/>
      </c>
      <c r="O297" s="167" t="str">
        <f>IF(ISBLANK(DaqBook_RAW_Data!AD287),"",DaqBook_RAW_Data!AD287)</f>
        <v/>
      </c>
      <c r="P297" s="167" t="str">
        <f>IF(ISBLANK(DaqBook_RAW_Data!AE287),"",DaqBook_RAW_Data!AE287)</f>
        <v/>
      </c>
    </row>
    <row r="298" spans="1:16" x14ac:dyDescent="0.2">
      <c r="A298" s="58" t="e">
        <f t="shared" si="4"/>
        <v>#VALUE!</v>
      </c>
      <c r="B298" s="144" t="str">
        <f>IF(ISBLANK(DaqBook_RAW_Data!Q288),IF(DaqBook_RAW_Data!A288="","",TIMEVALUE(DaqBook_RAW_Data!A288)),TIMEVALUE(DaqBook_RAW_Data!Q288))</f>
        <v/>
      </c>
      <c r="C298" s="167" t="str">
        <f>IF(ISBLANK(DaqBook_RAW_Data!R288),"",DaqBook_RAW_Data!R288)</f>
        <v/>
      </c>
      <c r="D298" s="167" t="str">
        <f>IF(ISBLANK(DaqBook_RAW_Data!S288),"",DaqBook_RAW_Data!S288)</f>
        <v/>
      </c>
      <c r="E298" s="167" t="str">
        <f>IF(ISBLANK(DaqBook_RAW_Data!T288),"",DaqBook_RAW_Data!T288)</f>
        <v/>
      </c>
      <c r="F298" s="167" t="str">
        <f>IF(ISBLANK(DaqBook_RAW_Data!U288),"",DaqBook_RAW_Data!U288)</f>
        <v/>
      </c>
      <c r="G298" s="167" t="str">
        <f>IF(ISBLANK(DaqBook_RAW_Data!V288),"",DaqBook_RAW_Data!V288)</f>
        <v/>
      </c>
      <c r="H298" s="167" t="str">
        <f>IF(ISBLANK(DaqBook_RAW_Data!W288),"",DaqBook_RAW_Data!W288)</f>
        <v/>
      </c>
      <c r="I298" s="167" t="str">
        <f>IF(ISBLANK(DaqBook_RAW_Data!X288),"",DaqBook_RAW_Data!X288)</f>
        <v/>
      </c>
      <c r="J298" s="167" t="str">
        <f>IF(ISBLANK(DaqBook_RAW_Data!Y288),"",DaqBook_RAW_Data!Y288)</f>
        <v/>
      </c>
      <c r="K298" s="167" t="str">
        <f>IF(ISBLANK(DaqBook_RAW_Data!Z288),"",DaqBook_RAW_Data!Z288)</f>
        <v/>
      </c>
      <c r="L298" s="167" t="str">
        <f>IF(ISBLANK(DaqBook_RAW_Data!AA288),"",DaqBook_RAW_Data!AA288)</f>
        <v/>
      </c>
      <c r="M298" s="167" t="str">
        <f>IF(ISBLANK(DaqBook_RAW_Data!AB288),"",DaqBook_RAW_Data!AB288)</f>
        <v/>
      </c>
      <c r="N298" s="167" t="str">
        <f>IF(ISBLANK(DaqBook_RAW_Data!AC288),"",DaqBook_RAW_Data!AC288)</f>
        <v/>
      </c>
      <c r="O298" s="167" t="str">
        <f>IF(ISBLANK(DaqBook_RAW_Data!AD288),"",DaqBook_RAW_Data!AD288)</f>
        <v/>
      </c>
      <c r="P298" s="167" t="str">
        <f>IF(ISBLANK(DaqBook_RAW_Data!AE288),"",DaqBook_RAW_Data!AE288)</f>
        <v/>
      </c>
    </row>
    <row r="299" spans="1:16" x14ac:dyDescent="0.2">
      <c r="A299" s="58" t="e">
        <f t="shared" si="4"/>
        <v>#VALUE!</v>
      </c>
      <c r="B299" s="144" t="str">
        <f>IF(ISBLANK(DaqBook_RAW_Data!Q289),IF(DaqBook_RAW_Data!A289="","",TIMEVALUE(DaqBook_RAW_Data!A289)),TIMEVALUE(DaqBook_RAW_Data!Q289))</f>
        <v/>
      </c>
      <c r="C299" s="167" t="str">
        <f>IF(ISBLANK(DaqBook_RAW_Data!R289),"",DaqBook_RAW_Data!R289)</f>
        <v/>
      </c>
      <c r="D299" s="167" t="str">
        <f>IF(ISBLANK(DaqBook_RAW_Data!S289),"",DaqBook_RAW_Data!S289)</f>
        <v/>
      </c>
      <c r="E299" s="167" t="str">
        <f>IF(ISBLANK(DaqBook_RAW_Data!T289),"",DaqBook_RAW_Data!T289)</f>
        <v/>
      </c>
      <c r="F299" s="167" t="str">
        <f>IF(ISBLANK(DaqBook_RAW_Data!U289),"",DaqBook_RAW_Data!U289)</f>
        <v/>
      </c>
      <c r="G299" s="167" t="str">
        <f>IF(ISBLANK(DaqBook_RAW_Data!V289),"",DaqBook_RAW_Data!V289)</f>
        <v/>
      </c>
      <c r="H299" s="167" t="str">
        <f>IF(ISBLANK(DaqBook_RAW_Data!W289),"",DaqBook_RAW_Data!W289)</f>
        <v/>
      </c>
      <c r="I299" s="167" t="str">
        <f>IF(ISBLANK(DaqBook_RAW_Data!X289),"",DaqBook_RAW_Data!X289)</f>
        <v/>
      </c>
      <c r="J299" s="167" t="str">
        <f>IF(ISBLANK(DaqBook_RAW_Data!Y289),"",DaqBook_RAW_Data!Y289)</f>
        <v/>
      </c>
      <c r="K299" s="167" t="str">
        <f>IF(ISBLANK(DaqBook_RAW_Data!Z289),"",DaqBook_RAW_Data!Z289)</f>
        <v/>
      </c>
      <c r="L299" s="167" t="str">
        <f>IF(ISBLANK(DaqBook_RAW_Data!AA289),"",DaqBook_RAW_Data!AA289)</f>
        <v/>
      </c>
      <c r="M299" s="167" t="str">
        <f>IF(ISBLANK(DaqBook_RAW_Data!AB289),"",DaqBook_RAW_Data!AB289)</f>
        <v/>
      </c>
      <c r="N299" s="167" t="str">
        <f>IF(ISBLANK(DaqBook_RAW_Data!AC289),"",DaqBook_RAW_Data!AC289)</f>
        <v/>
      </c>
      <c r="O299" s="167" t="str">
        <f>IF(ISBLANK(DaqBook_RAW_Data!AD289),"",DaqBook_RAW_Data!AD289)</f>
        <v/>
      </c>
      <c r="P299" s="167" t="str">
        <f>IF(ISBLANK(DaqBook_RAW_Data!AE289),"",DaqBook_RAW_Data!AE289)</f>
        <v/>
      </c>
    </row>
    <row r="300" spans="1:16" x14ac:dyDescent="0.2">
      <c r="A300" s="58" t="e">
        <f t="shared" si="4"/>
        <v>#VALUE!</v>
      </c>
      <c r="B300" s="144" t="str">
        <f>IF(ISBLANK(DaqBook_RAW_Data!Q290),IF(DaqBook_RAW_Data!A290="","",TIMEVALUE(DaqBook_RAW_Data!A290)),TIMEVALUE(DaqBook_RAW_Data!Q290))</f>
        <v/>
      </c>
      <c r="C300" s="167" t="str">
        <f>IF(ISBLANK(DaqBook_RAW_Data!R290),"",DaqBook_RAW_Data!R290)</f>
        <v/>
      </c>
      <c r="D300" s="167" t="str">
        <f>IF(ISBLANK(DaqBook_RAW_Data!S290),"",DaqBook_RAW_Data!S290)</f>
        <v/>
      </c>
      <c r="E300" s="167" t="str">
        <f>IF(ISBLANK(DaqBook_RAW_Data!T290),"",DaqBook_RAW_Data!T290)</f>
        <v/>
      </c>
      <c r="F300" s="167" t="str">
        <f>IF(ISBLANK(DaqBook_RAW_Data!U290),"",DaqBook_RAW_Data!U290)</f>
        <v/>
      </c>
      <c r="G300" s="167" t="str">
        <f>IF(ISBLANK(DaqBook_RAW_Data!V290),"",DaqBook_RAW_Data!V290)</f>
        <v/>
      </c>
      <c r="H300" s="167" t="str">
        <f>IF(ISBLANK(DaqBook_RAW_Data!W290),"",DaqBook_RAW_Data!W290)</f>
        <v/>
      </c>
      <c r="I300" s="167" t="str">
        <f>IF(ISBLANK(DaqBook_RAW_Data!X290),"",DaqBook_RAW_Data!X290)</f>
        <v/>
      </c>
      <c r="J300" s="167" t="str">
        <f>IF(ISBLANK(DaqBook_RAW_Data!Y290),"",DaqBook_RAW_Data!Y290)</f>
        <v/>
      </c>
      <c r="K300" s="167" t="str">
        <f>IF(ISBLANK(DaqBook_RAW_Data!Z290),"",DaqBook_RAW_Data!Z290)</f>
        <v/>
      </c>
      <c r="L300" s="167" t="str">
        <f>IF(ISBLANK(DaqBook_RAW_Data!AA290),"",DaqBook_RAW_Data!AA290)</f>
        <v/>
      </c>
      <c r="M300" s="167" t="str">
        <f>IF(ISBLANK(DaqBook_RAW_Data!AB290),"",DaqBook_RAW_Data!AB290)</f>
        <v/>
      </c>
      <c r="N300" s="167" t="str">
        <f>IF(ISBLANK(DaqBook_RAW_Data!AC290),"",DaqBook_RAW_Data!AC290)</f>
        <v/>
      </c>
      <c r="O300" s="167" t="str">
        <f>IF(ISBLANK(DaqBook_RAW_Data!AD290),"",DaqBook_RAW_Data!AD290)</f>
        <v/>
      </c>
      <c r="P300" s="167" t="str">
        <f>IF(ISBLANK(DaqBook_RAW_Data!AE290),"",DaqBook_RAW_Data!AE290)</f>
        <v/>
      </c>
    </row>
    <row r="301" spans="1:16" x14ac:dyDescent="0.2">
      <c r="A301" s="58" t="e">
        <f t="shared" si="4"/>
        <v>#VALUE!</v>
      </c>
      <c r="B301" s="144" t="str">
        <f>IF(ISBLANK(DaqBook_RAW_Data!Q291),IF(DaqBook_RAW_Data!A291="","",TIMEVALUE(DaqBook_RAW_Data!A291)),TIMEVALUE(DaqBook_RAW_Data!Q291))</f>
        <v/>
      </c>
      <c r="C301" s="167" t="str">
        <f>IF(ISBLANK(DaqBook_RAW_Data!R291),"",DaqBook_RAW_Data!R291)</f>
        <v/>
      </c>
      <c r="D301" s="167" t="str">
        <f>IF(ISBLANK(DaqBook_RAW_Data!S291),"",DaqBook_RAW_Data!S291)</f>
        <v/>
      </c>
      <c r="E301" s="167" t="str">
        <f>IF(ISBLANK(DaqBook_RAW_Data!T291),"",DaqBook_RAW_Data!T291)</f>
        <v/>
      </c>
      <c r="F301" s="167" t="str">
        <f>IF(ISBLANK(DaqBook_RAW_Data!U291),"",DaqBook_RAW_Data!U291)</f>
        <v/>
      </c>
      <c r="G301" s="167" t="str">
        <f>IF(ISBLANK(DaqBook_RAW_Data!V291),"",DaqBook_RAW_Data!V291)</f>
        <v/>
      </c>
      <c r="H301" s="167" t="str">
        <f>IF(ISBLANK(DaqBook_RAW_Data!W291),"",DaqBook_RAW_Data!W291)</f>
        <v/>
      </c>
      <c r="I301" s="167" t="str">
        <f>IF(ISBLANK(DaqBook_RAW_Data!X291),"",DaqBook_RAW_Data!X291)</f>
        <v/>
      </c>
      <c r="J301" s="167" t="str">
        <f>IF(ISBLANK(DaqBook_RAW_Data!Y291),"",DaqBook_RAW_Data!Y291)</f>
        <v/>
      </c>
      <c r="K301" s="167" t="str">
        <f>IF(ISBLANK(DaqBook_RAW_Data!Z291),"",DaqBook_RAW_Data!Z291)</f>
        <v/>
      </c>
      <c r="L301" s="167" t="str">
        <f>IF(ISBLANK(DaqBook_RAW_Data!AA291),"",DaqBook_RAW_Data!AA291)</f>
        <v/>
      </c>
      <c r="M301" s="167" t="str">
        <f>IF(ISBLANK(DaqBook_RAW_Data!AB291),"",DaqBook_RAW_Data!AB291)</f>
        <v/>
      </c>
      <c r="N301" s="167" t="str">
        <f>IF(ISBLANK(DaqBook_RAW_Data!AC291),"",DaqBook_RAW_Data!AC291)</f>
        <v/>
      </c>
      <c r="O301" s="167" t="str">
        <f>IF(ISBLANK(DaqBook_RAW_Data!AD291),"",DaqBook_RAW_Data!AD291)</f>
        <v/>
      </c>
      <c r="P301" s="167" t="str">
        <f>IF(ISBLANK(DaqBook_RAW_Data!AE291),"",DaqBook_RAW_Data!AE291)</f>
        <v/>
      </c>
    </row>
    <row r="302" spans="1:16" x14ac:dyDescent="0.2">
      <c r="A302" s="58" t="e">
        <f t="shared" si="4"/>
        <v>#VALUE!</v>
      </c>
      <c r="B302" s="144" t="str">
        <f>IF(ISBLANK(DaqBook_RAW_Data!Q292),IF(DaqBook_RAW_Data!A292="","",TIMEVALUE(DaqBook_RAW_Data!A292)),TIMEVALUE(DaqBook_RAW_Data!Q292))</f>
        <v/>
      </c>
      <c r="C302" s="167" t="str">
        <f>IF(ISBLANK(DaqBook_RAW_Data!R292),"",DaqBook_RAW_Data!R292)</f>
        <v/>
      </c>
      <c r="D302" s="167" t="str">
        <f>IF(ISBLANK(DaqBook_RAW_Data!S292),"",DaqBook_RAW_Data!S292)</f>
        <v/>
      </c>
      <c r="E302" s="167" t="str">
        <f>IF(ISBLANK(DaqBook_RAW_Data!T292),"",DaqBook_RAW_Data!T292)</f>
        <v/>
      </c>
      <c r="F302" s="167" t="str">
        <f>IF(ISBLANK(DaqBook_RAW_Data!U292),"",DaqBook_RAW_Data!U292)</f>
        <v/>
      </c>
      <c r="G302" s="167" t="str">
        <f>IF(ISBLANK(DaqBook_RAW_Data!V292),"",DaqBook_RAW_Data!V292)</f>
        <v/>
      </c>
      <c r="H302" s="167" t="str">
        <f>IF(ISBLANK(DaqBook_RAW_Data!W292),"",DaqBook_RAW_Data!W292)</f>
        <v/>
      </c>
      <c r="I302" s="167" t="str">
        <f>IF(ISBLANK(DaqBook_RAW_Data!X292),"",DaqBook_RAW_Data!X292)</f>
        <v/>
      </c>
      <c r="J302" s="167" t="str">
        <f>IF(ISBLANK(DaqBook_RAW_Data!Y292),"",DaqBook_RAW_Data!Y292)</f>
        <v/>
      </c>
      <c r="K302" s="167" t="str">
        <f>IF(ISBLANK(DaqBook_RAW_Data!Z292),"",DaqBook_RAW_Data!Z292)</f>
        <v/>
      </c>
      <c r="L302" s="167" t="str">
        <f>IF(ISBLANK(DaqBook_RAW_Data!AA292),"",DaqBook_RAW_Data!AA292)</f>
        <v/>
      </c>
      <c r="M302" s="167" t="str">
        <f>IF(ISBLANK(DaqBook_RAW_Data!AB292),"",DaqBook_RAW_Data!AB292)</f>
        <v/>
      </c>
      <c r="N302" s="167" t="str">
        <f>IF(ISBLANK(DaqBook_RAW_Data!AC292),"",DaqBook_RAW_Data!AC292)</f>
        <v/>
      </c>
      <c r="O302" s="167" t="str">
        <f>IF(ISBLANK(DaqBook_RAW_Data!AD292),"",DaqBook_RAW_Data!AD292)</f>
        <v/>
      </c>
      <c r="P302" s="167" t="str">
        <f>IF(ISBLANK(DaqBook_RAW_Data!AE292),"",DaqBook_RAW_Data!AE292)</f>
        <v/>
      </c>
    </row>
    <row r="303" spans="1:16" x14ac:dyDescent="0.2">
      <c r="A303" s="58" t="e">
        <f t="shared" si="4"/>
        <v>#VALUE!</v>
      </c>
      <c r="B303" s="144" t="str">
        <f>IF(ISBLANK(DaqBook_RAW_Data!Q293),IF(DaqBook_RAW_Data!A293="","",TIMEVALUE(DaqBook_RAW_Data!A293)),TIMEVALUE(DaqBook_RAW_Data!Q293))</f>
        <v/>
      </c>
      <c r="C303" s="167" t="str">
        <f>IF(ISBLANK(DaqBook_RAW_Data!R293),"",DaqBook_RAW_Data!R293)</f>
        <v/>
      </c>
      <c r="D303" s="167" t="str">
        <f>IF(ISBLANK(DaqBook_RAW_Data!S293),"",DaqBook_RAW_Data!S293)</f>
        <v/>
      </c>
      <c r="E303" s="167" t="str">
        <f>IF(ISBLANK(DaqBook_RAW_Data!T293),"",DaqBook_RAW_Data!T293)</f>
        <v/>
      </c>
      <c r="F303" s="167" t="str">
        <f>IF(ISBLANK(DaqBook_RAW_Data!U293),"",DaqBook_RAW_Data!U293)</f>
        <v/>
      </c>
      <c r="G303" s="167" t="str">
        <f>IF(ISBLANK(DaqBook_RAW_Data!V293),"",DaqBook_RAW_Data!V293)</f>
        <v/>
      </c>
      <c r="H303" s="167" t="str">
        <f>IF(ISBLANK(DaqBook_RAW_Data!W293),"",DaqBook_RAW_Data!W293)</f>
        <v/>
      </c>
      <c r="I303" s="167" t="str">
        <f>IF(ISBLANK(DaqBook_RAW_Data!X293),"",DaqBook_RAW_Data!X293)</f>
        <v/>
      </c>
      <c r="J303" s="167" t="str">
        <f>IF(ISBLANK(DaqBook_RAW_Data!Y293),"",DaqBook_RAW_Data!Y293)</f>
        <v/>
      </c>
      <c r="K303" s="167" t="str">
        <f>IF(ISBLANK(DaqBook_RAW_Data!Z293),"",DaqBook_RAW_Data!Z293)</f>
        <v/>
      </c>
      <c r="L303" s="167" t="str">
        <f>IF(ISBLANK(DaqBook_RAW_Data!AA293),"",DaqBook_RAW_Data!AA293)</f>
        <v/>
      </c>
      <c r="M303" s="167" t="str">
        <f>IF(ISBLANK(DaqBook_RAW_Data!AB293),"",DaqBook_RAW_Data!AB293)</f>
        <v/>
      </c>
      <c r="N303" s="167" t="str">
        <f>IF(ISBLANK(DaqBook_RAW_Data!AC293),"",DaqBook_RAW_Data!AC293)</f>
        <v/>
      </c>
      <c r="O303" s="167" t="str">
        <f>IF(ISBLANK(DaqBook_RAW_Data!AD293),"",DaqBook_RAW_Data!AD293)</f>
        <v/>
      </c>
      <c r="P303" s="167" t="str">
        <f>IF(ISBLANK(DaqBook_RAW_Data!AE293),"",DaqBook_RAW_Data!AE293)</f>
        <v/>
      </c>
    </row>
    <row r="304" spans="1:16" x14ac:dyDescent="0.2">
      <c r="A304" s="58" t="e">
        <f t="shared" si="4"/>
        <v>#VALUE!</v>
      </c>
      <c r="B304" s="144" t="str">
        <f>IF(ISBLANK(DaqBook_RAW_Data!Q294),IF(DaqBook_RAW_Data!A294="","",TIMEVALUE(DaqBook_RAW_Data!A294)),TIMEVALUE(DaqBook_RAW_Data!Q294))</f>
        <v/>
      </c>
      <c r="C304" s="167" t="str">
        <f>IF(ISBLANK(DaqBook_RAW_Data!R294),"",DaqBook_RAW_Data!R294)</f>
        <v/>
      </c>
      <c r="D304" s="167" t="str">
        <f>IF(ISBLANK(DaqBook_RAW_Data!S294),"",DaqBook_RAW_Data!S294)</f>
        <v/>
      </c>
      <c r="E304" s="167" t="str">
        <f>IF(ISBLANK(DaqBook_RAW_Data!T294),"",DaqBook_RAW_Data!T294)</f>
        <v/>
      </c>
      <c r="F304" s="167" t="str">
        <f>IF(ISBLANK(DaqBook_RAW_Data!U294),"",DaqBook_RAW_Data!U294)</f>
        <v/>
      </c>
      <c r="G304" s="167" t="str">
        <f>IF(ISBLANK(DaqBook_RAW_Data!V294),"",DaqBook_RAW_Data!V294)</f>
        <v/>
      </c>
      <c r="H304" s="167" t="str">
        <f>IF(ISBLANK(DaqBook_RAW_Data!W294),"",DaqBook_RAW_Data!W294)</f>
        <v/>
      </c>
      <c r="I304" s="167" t="str">
        <f>IF(ISBLANK(DaqBook_RAW_Data!X294),"",DaqBook_RAW_Data!X294)</f>
        <v/>
      </c>
      <c r="J304" s="167" t="str">
        <f>IF(ISBLANK(DaqBook_RAW_Data!Y294),"",DaqBook_RAW_Data!Y294)</f>
        <v/>
      </c>
      <c r="K304" s="167" t="str">
        <f>IF(ISBLANK(DaqBook_RAW_Data!Z294),"",DaqBook_RAW_Data!Z294)</f>
        <v/>
      </c>
      <c r="L304" s="167" t="str">
        <f>IF(ISBLANK(DaqBook_RAW_Data!AA294),"",DaqBook_RAW_Data!AA294)</f>
        <v/>
      </c>
      <c r="M304" s="167" t="str">
        <f>IF(ISBLANK(DaqBook_RAW_Data!AB294),"",DaqBook_RAW_Data!AB294)</f>
        <v/>
      </c>
      <c r="N304" s="167" t="str">
        <f>IF(ISBLANK(DaqBook_RAW_Data!AC294),"",DaqBook_RAW_Data!AC294)</f>
        <v/>
      </c>
      <c r="O304" s="167" t="str">
        <f>IF(ISBLANK(DaqBook_RAW_Data!AD294),"",DaqBook_RAW_Data!AD294)</f>
        <v/>
      </c>
      <c r="P304" s="167" t="str">
        <f>IF(ISBLANK(DaqBook_RAW_Data!AE294),"",DaqBook_RAW_Data!AE294)</f>
        <v/>
      </c>
    </row>
    <row r="305" spans="1:16" x14ac:dyDescent="0.2">
      <c r="A305" s="58" t="e">
        <f t="shared" si="4"/>
        <v>#VALUE!</v>
      </c>
      <c r="B305" s="144" t="str">
        <f>IF(ISBLANK(DaqBook_RAW_Data!Q295),IF(DaqBook_RAW_Data!A295="","",TIMEVALUE(DaqBook_RAW_Data!A295)),TIMEVALUE(DaqBook_RAW_Data!Q295))</f>
        <v/>
      </c>
      <c r="C305" s="167" t="str">
        <f>IF(ISBLANK(DaqBook_RAW_Data!R295),"",DaqBook_RAW_Data!R295)</f>
        <v/>
      </c>
      <c r="D305" s="167" t="str">
        <f>IF(ISBLANK(DaqBook_RAW_Data!S295),"",DaqBook_RAW_Data!S295)</f>
        <v/>
      </c>
      <c r="E305" s="167" t="str">
        <f>IF(ISBLANK(DaqBook_RAW_Data!T295),"",DaqBook_RAW_Data!T295)</f>
        <v/>
      </c>
      <c r="F305" s="167" t="str">
        <f>IF(ISBLANK(DaqBook_RAW_Data!U295),"",DaqBook_RAW_Data!U295)</f>
        <v/>
      </c>
      <c r="G305" s="167" t="str">
        <f>IF(ISBLANK(DaqBook_RAW_Data!V295),"",DaqBook_RAW_Data!V295)</f>
        <v/>
      </c>
      <c r="H305" s="167" t="str">
        <f>IF(ISBLANK(DaqBook_RAW_Data!W295),"",DaqBook_RAW_Data!W295)</f>
        <v/>
      </c>
      <c r="I305" s="167" t="str">
        <f>IF(ISBLANK(DaqBook_RAW_Data!X295),"",DaqBook_RAW_Data!X295)</f>
        <v/>
      </c>
      <c r="J305" s="167" t="str">
        <f>IF(ISBLANK(DaqBook_RAW_Data!Y295),"",DaqBook_RAW_Data!Y295)</f>
        <v/>
      </c>
      <c r="K305" s="167" t="str">
        <f>IF(ISBLANK(DaqBook_RAW_Data!Z295),"",DaqBook_RAW_Data!Z295)</f>
        <v/>
      </c>
      <c r="L305" s="167" t="str">
        <f>IF(ISBLANK(DaqBook_RAW_Data!AA295),"",DaqBook_RAW_Data!AA295)</f>
        <v/>
      </c>
      <c r="M305" s="167" t="str">
        <f>IF(ISBLANK(DaqBook_RAW_Data!AB295),"",DaqBook_RAW_Data!AB295)</f>
        <v/>
      </c>
      <c r="N305" s="167" t="str">
        <f>IF(ISBLANK(DaqBook_RAW_Data!AC295),"",DaqBook_RAW_Data!AC295)</f>
        <v/>
      </c>
      <c r="O305" s="167" t="str">
        <f>IF(ISBLANK(DaqBook_RAW_Data!AD295),"",DaqBook_RAW_Data!AD295)</f>
        <v/>
      </c>
      <c r="P305" s="167" t="str">
        <f>IF(ISBLANK(DaqBook_RAW_Data!AE295),"",DaqBook_RAW_Data!AE295)</f>
        <v/>
      </c>
    </row>
    <row r="306" spans="1:16" x14ac:dyDescent="0.2">
      <c r="A306" s="58" t="e">
        <f t="shared" si="4"/>
        <v>#VALUE!</v>
      </c>
      <c r="B306" s="144" t="str">
        <f>IF(ISBLANK(DaqBook_RAW_Data!Q296),IF(DaqBook_RAW_Data!A296="","",TIMEVALUE(DaqBook_RAW_Data!A296)),TIMEVALUE(DaqBook_RAW_Data!Q296))</f>
        <v/>
      </c>
      <c r="C306" s="167" t="str">
        <f>IF(ISBLANK(DaqBook_RAW_Data!R296),"",DaqBook_RAW_Data!R296)</f>
        <v/>
      </c>
      <c r="D306" s="167" t="str">
        <f>IF(ISBLANK(DaqBook_RAW_Data!S296),"",DaqBook_RAW_Data!S296)</f>
        <v/>
      </c>
      <c r="E306" s="167" t="str">
        <f>IF(ISBLANK(DaqBook_RAW_Data!T296),"",DaqBook_RAW_Data!T296)</f>
        <v/>
      </c>
      <c r="F306" s="167" t="str">
        <f>IF(ISBLANK(DaqBook_RAW_Data!U296),"",DaqBook_RAW_Data!U296)</f>
        <v/>
      </c>
      <c r="G306" s="167" t="str">
        <f>IF(ISBLANK(DaqBook_RAW_Data!V296),"",DaqBook_RAW_Data!V296)</f>
        <v/>
      </c>
      <c r="H306" s="167" t="str">
        <f>IF(ISBLANK(DaqBook_RAW_Data!W296),"",DaqBook_RAW_Data!W296)</f>
        <v/>
      </c>
      <c r="I306" s="167" t="str">
        <f>IF(ISBLANK(DaqBook_RAW_Data!X296),"",DaqBook_RAW_Data!X296)</f>
        <v/>
      </c>
      <c r="J306" s="167" t="str">
        <f>IF(ISBLANK(DaqBook_RAW_Data!Y296),"",DaqBook_RAW_Data!Y296)</f>
        <v/>
      </c>
      <c r="K306" s="167" t="str">
        <f>IF(ISBLANK(DaqBook_RAW_Data!Z296),"",DaqBook_RAW_Data!Z296)</f>
        <v/>
      </c>
      <c r="L306" s="167" t="str">
        <f>IF(ISBLANK(DaqBook_RAW_Data!AA296),"",DaqBook_RAW_Data!AA296)</f>
        <v/>
      </c>
      <c r="M306" s="167" t="str">
        <f>IF(ISBLANK(DaqBook_RAW_Data!AB296),"",DaqBook_RAW_Data!AB296)</f>
        <v/>
      </c>
      <c r="N306" s="167" t="str">
        <f>IF(ISBLANK(DaqBook_RAW_Data!AC296),"",DaqBook_RAW_Data!AC296)</f>
        <v/>
      </c>
      <c r="O306" s="167" t="str">
        <f>IF(ISBLANK(DaqBook_RAW_Data!AD296),"",DaqBook_RAW_Data!AD296)</f>
        <v/>
      </c>
      <c r="P306" s="167" t="str">
        <f>IF(ISBLANK(DaqBook_RAW_Data!AE296),"",DaqBook_RAW_Data!AE296)</f>
        <v/>
      </c>
    </row>
    <row r="307" spans="1:16" x14ac:dyDescent="0.2">
      <c r="A307" s="58" t="e">
        <f t="shared" si="4"/>
        <v>#VALUE!</v>
      </c>
      <c r="B307" s="144" t="str">
        <f>IF(ISBLANK(DaqBook_RAW_Data!Q297),IF(DaqBook_RAW_Data!A297="","",TIMEVALUE(DaqBook_RAW_Data!A297)),TIMEVALUE(DaqBook_RAW_Data!Q297))</f>
        <v/>
      </c>
      <c r="C307" s="167" t="str">
        <f>IF(ISBLANK(DaqBook_RAW_Data!R297),"",DaqBook_RAW_Data!R297)</f>
        <v/>
      </c>
      <c r="D307" s="167" t="str">
        <f>IF(ISBLANK(DaqBook_RAW_Data!S297),"",DaqBook_RAW_Data!S297)</f>
        <v/>
      </c>
      <c r="E307" s="167" t="str">
        <f>IF(ISBLANK(DaqBook_RAW_Data!T297),"",DaqBook_RAW_Data!T297)</f>
        <v/>
      </c>
      <c r="F307" s="167" t="str">
        <f>IF(ISBLANK(DaqBook_RAW_Data!U297),"",DaqBook_RAW_Data!U297)</f>
        <v/>
      </c>
      <c r="G307" s="167" t="str">
        <f>IF(ISBLANK(DaqBook_RAW_Data!V297),"",DaqBook_RAW_Data!V297)</f>
        <v/>
      </c>
      <c r="H307" s="167" t="str">
        <f>IF(ISBLANK(DaqBook_RAW_Data!W297),"",DaqBook_RAW_Data!W297)</f>
        <v/>
      </c>
      <c r="I307" s="167" t="str">
        <f>IF(ISBLANK(DaqBook_RAW_Data!X297),"",DaqBook_RAW_Data!X297)</f>
        <v/>
      </c>
      <c r="J307" s="167" t="str">
        <f>IF(ISBLANK(DaqBook_RAW_Data!Y297),"",DaqBook_RAW_Data!Y297)</f>
        <v/>
      </c>
      <c r="K307" s="167" t="str">
        <f>IF(ISBLANK(DaqBook_RAW_Data!Z297),"",DaqBook_RAW_Data!Z297)</f>
        <v/>
      </c>
      <c r="L307" s="167" t="str">
        <f>IF(ISBLANK(DaqBook_RAW_Data!AA297),"",DaqBook_RAW_Data!AA297)</f>
        <v/>
      </c>
      <c r="M307" s="167" t="str">
        <f>IF(ISBLANK(DaqBook_RAW_Data!AB297),"",DaqBook_RAW_Data!AB297)</f>
        <v/>
      </c>
      <c r="N307" s="167" t="str">
        <f>IF(ISBLANK(DaqBook_RAW_Data!AC297),"",DaqBook_RAW_Data!AC297)</f>
        <v/>
      </c>
      <c r="O307" s="167" t="str">
        <f>IF(ISBLANK(DaqBook_RAW_Data!AD297),"",DaqBook_RAW_Data!AD297)</f>
        <v/>
      </c>
      <c r="P307" s="167" t="str">
        <f>IF(ISBLANK(DaqBook_RAW_Data!AE297),"",DaqBook_RAW_Data!AE297)</f>
        <v/>
      </c>
    </row>
    <row r="308" spans="1:16" x14ac:dyDescent="0.2">
      <c r="A308" s="58" t="e">
        <f t="shared" si="4"/>
        <v>#VALUE!</v>
      </c>
      <c r="B308" s="144" t="str">
        <f>IF(ISBLANK(DaqBook_RAW_Data!Q298),IF(DaqBook_RAW_Data!A298="","",TIMEVALUE(DaqBook_RAW_Data!A298)),TIMEVALUE(DaqBook_RAW_Data!Q298))</f>
        <v/>
      </c>
      <c r="C308" s="167" t="str">
        <f>IF(ISBLANK(DaqBook_RAW_Data!R298),"",DaqBook_RAW_Data!R298)</f>
        <v/>
      </c>
      <c r="D308" s="167" t="str">
        <f>IF(ISBLANK(DaqBook_RAW_Data!S298),"",DaqBook_RAW_Data!S298)</f>
        <v/>
      </c>
      <c r="E308" s="167" t="str">
        <f>IF(ISBLANK(DaqBook_RAW_Data!T298),"",DaqBook_RAW_Data!T298)</f>
        <v/>
      </c>
      <c r="F308" s="167" t="str">
        <f>IF(ISBLANK(DaqBook_RAW_Data!U298),"",DaqBook_RAW_Data!U298)</f>
        <v/>
      </c>
      <c r="G308" s="167" t="str">
        <f>IF(ISBLANK(DaqBook_RAW_Data!V298),"",DaqBook_RAW_Data!V298)</f>
        <v/>
      </c>
      <c r="H308" s="167" t="str">
        <f>IF(ISBLANK(DaqBook_RAW_Data!W298),"",DaqBook_RAW_Data!W298)</f>
        <v/>
      </c>
      <c r="I308" s="167" t="str">
        <f>IF(ISBLANK(DaqBook_RAW_Data!X298),"",DaqBook_RAW_Data!X298)</f>
        <v/>
      </c>
      <c r="J308" s="167" t="str">
        <f>IF(ISBLANK(DaqBook_RAW_Data!Y298),"",DaqBook_RAW_Data!Y298)</f>
        <v/>
      </c>
      <c r="K308" s="167" t="str">
        <f>IF(ISBLANK(DaqBook_RAW_Data!Z298),"",DaqBook_RAW_Data!Z298)</f>
        <v/>
      </c>
      <c r="L308" s="167" t="str">
        <f>IF(ISBLANK(DaqBook_RAW_Data!AA298),"",DaqBook_RAW_Data!AA298)</f>
        <v/>
      </c>
      <c r="M308" s="167" t="str">
        <f>IF(ISBLANK(DaqBook_RAW_Data!AB298),"",DaqBook_RAW_Data!AB298)</f>
        <v/>
      </c>
      <c r="N308" s="167" t="str">
        <f>IF(ISBLANK(DaqBook_RAW_Data!AC298),"",DaqBook_RAW_Data!AC298)</f>
        <v/>
      </c>
      <c r="O308" s="167" t="str">
        <f>IF(ISBLANK(DaqBook_RAW_Data!AD298),"",DaqBook_RAW_Data!AD298)</f>
        <v/>
      </c>
      <c r="P308" s="167" t="str">
        <f>IF(ISBLANK(DaqBook_RAW_Data!AE298),"",DaqBook_RAW_Data!AE298)</f>
        <v/>
      </c>
    </row>
    <row r="309" spans="1:16" x14ac:dyDescent="0.2">
      <c r="A309" s="58" t="e">
        <f t="shared" si="4"/>
        <v>#VALUE!</v>
      </c>
      <c r="B309" s="144" t="str">
        <f>IF(ISBLANK(DaqBook_RAW_Data!Q299),IF(DaqBook_RAW_Data!A299="","",TIMEVALUE(DaqBook_RAW_Data!A299)),TIMEVALUE(DaqBook_RAW_Data!Q299))</f>
        <v/>
      </c>
      <c r="C309" s="167" t="str">
        <f>IF(ISBLANK(DaqBook_RAW_Data!R299),"",DaqBook_RAW_Data!R299)</f>
        <v/>
      </c>
      <c r="D309" s="167" t="str">
        <f>IF(ISBLANK(DaqBook_RAW_Data!S299),"",DaqBook_RAW_Data!S299)</f>
        <v/>
      </c>
      <c r="E309" s="167" t="str">
        <f>IF(ISBLANK(DaqBook_RAW_Data!T299),"",DaqBook_RAW_Data!T299)</f>
        <v/>
      </c>
      <c r="F309" s="167" t="str">
        <f>IF(ISBLANK(DaqBook_RAW_Data!U299),"",DaqBook_RAW_Data!U299)</f>
        <v/>
      </c>
      <c r="G309" s="167" t="str">
        <f>IF(ISBLANK(DaqBook_RAW_Data!V299),"",DaqBook_RAW_Data!V299)</f>
        <v/>
      </c>
      <c r="H309" s="167" t="str">
        <f>IF(ISBLANK(DaqBook_RAW_Data!W299),"",DaqBook_RAW_Data!W299)</f>
        <v/>
      </c>
      <c r="I309" s="167" t="str">
        <f>IF(ISBLANK(DaqBook_RAW_Data!X299),"",DaqBook_RAW_Data!X299)</f>
        <v/>
      </c>
      <c r="J309" s="167" t="str">
        <f>IF(ISBLANK(DaqBook_RAW_Data!Y299),"",DaqBook_RAW_Data!Y299)</f>
        <v/>
      </c>
      <c r="K309" s="167" t="str">
        <f>IF(ISBLANK(DaqBook_RAW_Data!Z299),"",DaqBook_RAW_Data!Z299)</f>
        <v/>
      </c>
      <c r="L309" s="167" t="str">
        <f>IF(ISBLANK(DaqBook_RAW_Data!AA299),"",DaqBook_RAW_Data!AA299)</f>
        <v/>
      </c>
      <c r="M309" s="167" t="str">
        <f>IF(ISBLANK(DaqBook_RAW_Data!AB299),"",DaqBook_RAW_Data!AB299)</f>
        <v/>
      </c>
      <c r="N309" s="167" t="str">
        <f>IF(ISBLANK(DaqBook_RAW_Data!AC299),"",DaqBook_RAW_Data!AC299)</f>
        <v/>
      </c>
      <c r="O309" s="167" t="str">
        <f>IF(ISBLANK(DaqBook_RAW_Data!AD299),"",DaqBook_RAW_Data!AD299)</f>
        <v/>
      </c>
      <c r="P309" s="167" t="str">
        <f>IF(ISBLANK(DaqBook_RAW_Data!AE299),"",DaqBook_RAW_Data!AE299)</f>
        <v/>
      </c>
    </row>
    <row r="310" spans="1:16" x14ac:dyDescent="0.2">
      <c r="A310" s="58" t="e">
        <f t="shared" si="4"/>
        <v>#VALUE!</v>
      </c>
      <c r="B310" s="144" t="str">
        <f>IF(ISBLANK(DaqBook_RAW_Data!Q300),IF(DaqBook_RAW_Data!A300="","",TIMEVALUE(DaqBook_RAW_Data!A300)),TIMEVALUE(DaqBook_RAW_Data!Q300))</f>
        <v/>
      </c>
      <c r="C310" s="167" t="str">
        <f>IF(ISBLANK(DaqBook_RAW_Data!R300),"",DaqBook_RAW_Data!R300)</f>
        <v/>
      </c>
      <c r="D310" s="167" t="str">
        <f>IF(ISBLANK(DaqBook_RAW_Data!S300),"",DaqBook_RAW_Data!S300)</f>
        <v/>
      </c>
      <c r="E310" s="167" t="str">
        <f>IF(ISBLANK(DaqBook_RAW_Data!T300),"",DaqBook_RAW_Data!T300)</f>
        <v/>
      </c>
      <c r="F310" s="167" t="str">
        <f>IF(ISBLANK(DaqBook_RAW_Data!U300),"",DaqBook_RAW_Data!U300)</f>
        <v/>
      </c>
      <c r="G310" s="167" t="str">
        <f>IF(ISBLANK(DaqBook_RAW_Data!V300),"",DaqBook_RAW_Data!V300)</f>
        <v/>
      </c>
      <c r="H310" s="167" t="str">
        <f>IF(ISBLANK(DaqBook_RAW_Data!W300),"",DaqBook_RAW_Data!W300)</f>
        <v/>
      </c>
      <c r="I310" s="167" t="str">
        <f>IF(ISBLANK(DaqBook_RAW_Data!X300),"",DaqBook_RAW_Data!X300)</f>
        <v/>
      </c>
      <c r="J310" s="167" t="str">
        <f>IF(ISBLANK(DaqBook_RAW_Data!Y300),"",DaqBook_RAW_Data!Y300)</f>
        <v/>
      </c>
      <c r="K310" s="167" t="str">
        <f>IF(ISBLANK(DaqBook_RAW_Data!Z300),"",DaqBook_RAW_Data!Z300)</f>
        <v/>
      </c>
      <c r="L310" s="167" t="str">
        <f>IF(ISBLANK(DaqBook_RAW_Data!AA300),"",DaqBook_RAW_Data!AA300)</f>
        <v/>
      </c>
      <c r="M310" s="167" t="str">
        <f>IF(ISBLANK(DaqBook_RAW_Data!AB300),"",DaqBook_RAW_Data!AB300)</f>
        <v/>
      </c>
      <c r="N310" s="167" t="str">
        <f>IF(ISBLANK(DaqBook_RAW_Data!AC300),"",DaqBook_RAW_Data!AC300)</f>
        <v/>
      </c>
      <c r="O310" s="167" t="str">
        <f>IF(ISBLANK(DaqBook_RAW_Data!AD300),"",DaqBook_RAW_Data!AD300)</f>
        <v/>
      </c>
      <c r="P310" s="167" t="str">
        <f>IF(ISBLANK(DaqBook_RAW_Data!AE300),"",DaqBook_RAW_Data!AE300)</f>
        <v/>
      </c>
    </row>
    <row r="311" spans="1:16" x14ac:dyDescent="0.2">
      <c r="A311" s="58" t="e">
        <f t="shared" si="4"/>
        <v>#VALUE!</v>
      </c>
      <c r="B311" s="144" t="str">
        <f>IF(ISBLANK(DaqBook_RAW_Data!Q301),IF(DaqBook_RAW_Data!A301="","",TIMEVALUE(DaqBook_RAW_Data!A301)),TIMEVALUE(DaqBook_RAW_Data!Q301))</f>
        <v/>
      </c>
      <c r="C311" s="167" t="str">
        <f>IF(ISBLANK(DaqBook_RAW_Data!R301),"",DaqBook_RAW_Data!R301)</f>
        <v/>
      </c>
      <c r="D311" s="167" t="str">
        <f>IF(ISBLANK(DaqBook_RAW_Data!S301),"",DaqBook_RAW_Data!S301)</f>
        <v/>
      </c>
      <c r="E311" s="167" t="str">
        <f>IF(ISBLANK(DaqBook_RAW_Data!T301),"",DaqBook_RAW_Data!T301)</f>
        <v/>
      </c>
      <c r="F311" s="167" t="str">
        <f>IF(ISBLANK(DaqBook_RAW_Data!U301),"",DaqBook_RAW_Data!U301)</f>
        <v/>
      </c>
      <c r="G311" s="167" t="str">
        <f>IF(ISBLANK(DaqBook_RAW_Data!V301),"",DaqBook_RAW_Data!V301)</f>
        <v/>
      </c>
      <c r="H311" s="167" t="str">
        <f>IF(ISBLANK(DaqBook_RAW_Data!W301),"",DaqBook_RAW_Data!W301)</f>
        <v/>
      </c>
      <c r="I311" s="167" t="str">
        <f>IF(ISBLANK(DaqBook_RAW_Data!X301),"",DaqBook_RAW_Data!X301)</f>
        <v/>
      </c>
      <c r="J311" s="167" t="str">
        <f>IF(ISBLANK(DaqBook_RAW_Data!Y301),"",DaqBook_RAW_Data!Y301)</f>
        <v/>
      </c>
      <c r="K311" s="167" t="str">
        <f>IF(ISBLANK(DaqBook_RAW_Data!Z301),"",DaqBook_RAW_Data!Z301)</f>
        <v/>
      </c>
      <c r="L311" s="167" t="str">
        <f>IF(ISBLANK(DaqBook_RAW_Data!AA301),"",DaqBook_RAW_Data!AA301)</f>
        <v/>
      </c>
      <c r="M311" s="167" t="str">
        <f>IF(ISBLANK(DaqBook_RAW_Data!AB301),"",DaqBook_RAW_Data!AB301)</f>
        <v/>
      </c>
      <c r="N311" s="167" t="str">
        <f>IF(ISBLANK(DaqBook_RAW_Data!AC301),"",DaqBook_RAW_Data!AC301)</f>
        <v/>
      </c>
      <c r="O311" s="167" t="str">
        <f>IF(ISBLANK(DaqBook_RAW_Data!AD301),"",DaqBook_RAW_Data!AD301)</f>
        <v/>
      </c>
      <c r="P311" s="167" t="str">
        <f>IF(ISBLANK(DaqBook_RAW_Data!AE301),"",DaqBook_RAW_Data!AE301)</f>
        <v/>
      </c>
    </row>
    <row r="312" spans="1:16" x14ac:dyDescent="0.2">
      <c r="A312" s="58" t="e">
        <f t="shared" si="4"/>
        <v>#VALUE!</v>
      </c>
      <c r="B312" s="144" t="str">
        <f>IF(ISBLANK(DaqBook_RAW_Data!Q302),IF(DaqBook_RAW_Data!A302="","",TIMEVALUE(DaqBook_RAW_Data!A302)),TIMEVALUE(DaqBook_RAW_Data!Q302))</f>
        <v/>
      </c>
      <c r="C312" s="167" t="str">
        <f>IF(ISBLANK(DaqBook_RAW_Data!R302),"",DaqBook_RAW_Data!R302)</f>
        <v/>
      </c>
      <c r="D312" s="167" t="str">
        <f>IF(ISBLANK(DaqBook_RAW_Data!S302),"",DaqBook_RAW_Data!S302)</f>
        <v/>
      </c>
      <c r="E312" s="167" t="str">
        <f>IF(ISBLANK(DaqBook_RAW_Data!T302),"",DaqBook_RAW_Data!T302)</f>
        <v/>
      </c>
      <c r="F312" s="167" t="str">
        <f>IF(ISBLANK(DaqBook_RAW_Data!U302),"",DaqBook_RAW_Data!U302)</f>
        <v/>
      </c>
      <c r="G312" s="167" t="str">
        <f>IF(ISBLANK(DaqBook_RAW_Data!V302),"",DaqBook_RAW_Data!V302)</f>
        <v/>
      </c>
      <c r="H312" s="167" t="str">
        <f>IF(ISBLANK(DaqBook_RAW_Data!W302),"",DaqBook_RAW_Data!W302)</f>
        <v/>
      </c>
      <c r="I312" s="167" t="str">
        <f>IF(ISBLANK(DaqBook_RAW_Data!X302),"",DaqBook_RAW_Data!X302)</f>
        <v/>
      </c>
      <c r="J312" s="167" t="str">
        <f>IF(ISBLANK(DaqBook_RAW_Data!Y302),"",DaqBook_RAW_Data!Y302)</f>
        <v/>
      </c>
      <c r="K312" s="167" t="str">
        <f>IF(ISBLANK(DaqBook_RAW_Data!Z302),"",DaqBook_RAW_Data!Z302)</f>
        <v/>
      </c>
      <c r="L312" s="167" t="str">
        <f>IF(ISBLANK(DaqBook_RAW_Data!AA302),"",DaqBook_RAW_Data!AA302)</f>
        <v/>
      </c>
      <c r="M312" s="167" t="str">
        <f>IF(ISBLANK(DaqBook_RAW_Data!AB302),"",DaqBook_RAW_Data!AB302)</f>
        <v/>
      </c>
      <c r="N312" s="167" t="str">
        <f>IF(ISBLANK(DaqBook_RAW_Data!AC302),"",DaqBook_RAW_Data!AC302)</f>
        <v/>
      </c>
      <c r="O312" s="167" t="str">
        <f>IF(ISBLANK(DaqBook_RAW_Data!AD302),"",DaqBook_RAW_Data!AD302)</f>
        <v/>
      </c>
      <c r="P312" s="167" t="str">
        <f>IF(ISBLANK(DaqBook_RAW_Data!AE302),"",DaqBook_RAW_Data!AE302)</f>
        <v/>
      </c>
    </row>
    <row r="313" spans="1:16" x14ac:dyDescent="0.2">
      <c r="A313" s="58" t="e">
        <f t="shared" si="4"/>
        <v>#VALUE!</v>
      </c>
      <c r="B313" s="144" t="str">
        <f>IF(ISBLANK(DaqBook_RAW_Data!Q303),IF(DaqBook_RAW_Data!A303="","",TIMEVALUE(DaqBook_RAW_Data!A303)),TIMEVALUE(DaqBook_RAW_Data!Q303))</f>
        <v/>
      </c>
      <c r="C313" s="167" t="str">
        <f>IF(ISBLANK(DaqBook_RAW_Data!R303),"",DaqBook_RAW_Data!R303)</f>
        <v/>
      </c>
      <c r="D313" s="167" t="str">
        <f>IF(ISBLANK(DaqBook_RAW_Data!S303),"",DaqBook_RAW_Data!S303)</f>
        <v/>
      </c>
      <c r="E313" s="167" t="str">
        <f>IF(ISBLANK(DaqBook_RAW_Data!T303),"",DaqBook_RAW_Data!T303)</f>
        <v/>
      </c>
      <c r="F313" s="167" t="str">
        <f>IF(ISBLANK(DaqBook_RAW_Data!U303),"",DaqBook_RAW_Data!U303)</f>
        <v/>
      </c>
      <c r="G313" s="167" t="str">
        <f>IF(ISBLANK(DaqBook_RAW_Data!V303),"",DaqBook_RAW_Data!V303)</f>
        <v/>
      </c>
      <c r="H313" s="167" t="str">
        <f>IF(ISBLANK(DaqBook_RAW_Data!W303),"",DaqBook_RAW_Data!W303)</f>
        <v/>
      </c>
      <c r="I313" s="167" t="str">
        <f>IF(ISBLANK(DaqBook_RAW_Data!X303),"",DaqBook_RAW_Data!X303)</f>
        <v/>
      </c>
      <c r="J313" s="167" t="str">
        <f>IF(ISBLANK(DaqBook_RAW_Data!Y303),"",DaqBook_RAW_Data!Y303)</f>
        <v/>
      </c>
      <c r="K313" s="167" t="str">
        <f>IF(ISBLANK(DaqBook_RAW_Data!Z303),"",DaqBook_RAW_Data!Z303)</f>
        <v/>
      </c>
      <c r="L313" s="167" t="str">
        <f>IF(ISBLANK(DaqBook_RAW_Data!AA303),"",DaqBook_RAW_Data!AA303)</f>
        <v/>
      </c>
      <c r="M313" s="167" t="str">
        <f>IF(ISBLANK(DaqBook_RAW_Data!AB303),"",DaqBook_RAW_Data!AB303)</f>
        <v/>
      </c>
      <c r="N313" s="167" t="str">
        <f>IF(ISBLANK(DaqBook_RAW_Data!AC303),"",DaqBook_RAW_Data!AC303)</f>
        <v/>
      </c>
      <c r="O313" s="167" t="str">
        <f>IF(ISBLANK(DaqBook_RAW_Data!AD303),"",DaqBook_RAW_Data!AD303)</f>
        <v/>
      </c>
      <c r="P313" s="167" t="str">
        <f>IF(ISBLANK(DaqBook_RAW_Data!AE303),"",DaqBook_RAW_Data!AE303)</f>
        <v/>
      </c>
    </row>
    <row r="314" spans="1:16" x14ac:dyDescent="0.2">
      <c r="A314" s="58" t="e">
        <f t="shared" si="4"/>
        <v>#VALUE!</v>
      </c>
      <c r="B314" s="144" t="str">
        <f>IF(ISBLANK(DaqBook_RAW_Data!Q304),IF(DaqBook_RAW_Data!A304="","",TIMEVALUE(DaqBook_RAW_Data!A304)),TIMEVALUE(DaqBook_RAW_Data!Q304))</f>
        <v/>
      </c>
      <c r="C314" s="167" t="str">
        <f>IF(ISBLANK(DaqBook_RAW_Data!R304),"",DaqBook_RAW_Data!R304)</f>
        <v/>
      </c>
      <c r="D314" s="167" t="str">
        <f>IF(ISBLANK(DaqBook_RAW_Data!S304),"",DaqBook_RAW_Data!S304)</f>
        <v/>
      </c>
      <c r="E314" s="167" t="str">
        <f>IF(ISBLANK(DaqBook_RAW_Data!T304),"",DaqBook_RAW_Data!T304)</f>
        <v/>
      </c>
      <c r="F314" s="167" t="str">
        <f>IF(ISBLANK(DaqBook_RAW_Data!U304),"",DaqBook_RAW_Data!U304)</f>
        <v/>
      </c>
      <c r="G314" s="167" t="str">
        <f>IF(ISBLANK(DaqBook_RAW_Data!V304),"",DaqBook_RAW_Data!V304)</f>
        <v/>
      </c>
      <c r="H314" s="167" t="str">
        <f>IF(ISBLANK(DaqBook_RAW_Data!W304),"",DaqBook_RAW_Data!W304)</f>
        <v/>
      </c>
      <c r="I314" s="167" t="str">
        <f>IF(ISBLANK(DaqBook_RAW_Data!X304),"",DaqBook_RAW_Data!X304)</f>
        <v/>
      </c>
      <c r="J314" s="167" t="str">
        <f>IF(ISBLANK(DaqBook_RAW_Data!Y304),"",DaqBook_RAW_Data!Y304)</f>
        <v/>
      </c>
      <c r="K314" s="167" t="str">
        <f>IF(ISBLANK(DaqBook_RAW_Data!Z304),"",DaqBook_RAW_Data!Z304)</f>
        <v/>
      </c>
      <c r="L314" s="167" t="str">
        <f>IF(ISBLANK(DaqBook_RAW_Data!AA304),"",DaqBook_RAW_Data!AA304)</f>
        <v/>
      </c>
      <c r="M314" s="167" t="str">
        <f>IF(ISBLANK(DaqBook_RAW_Data!AB304),"",DaqBook_RAW_Data!AB304)</f>
        <v/>
      </c>
      <c r="N314" s="167" t="str">
        <f>IF(ISBLANK(DaqBook_RAW_Data!AC304),"",DaqBook_RAW_Data!AC304)</f>
        <v/>
      </c>
      <c r="O314" s="167" t="str">
        <f>IF(ISBLANK(DaqBook_RAW_Data!AD304),"",DaqBook_RAW_Data!AD304)</f>
        <v/>
      </c>
      <c r="P314" s="167" t="str">
        <f>IF(ISBLANK(DaqBook_RAW_Data!AE304),"",DaqBook_RAW_Data!AE304)</f>
        <v/>
      </c>
    </row>
    <row r="315" spans="1:16" x14ac:dyDescent="0.2">
      <c r="A315" s="58" t="e">
        <f t="shared" si="4"/>
        <v>#VALUE!</v>
      </c>
      <c r="B315" s="144" t="str">
        <f>IF(ISBLANK(DaqBook_RAW_Data!Q305),IF(DaqBook_RAW_Data!A305="","",TIMEVALUE(DaqBook_RAW_Data!A305)),TIMEVALUE(DaqBook_RAW_Data!Q305))</f>
        <v/>
      </c>
      <c r="C315" s="167" t="str">
        <f>IF(ISBLANK(DaqBook_RAW_Data!R305),"",DaqBook_RAW_Data!R305)</f>
        <v/>
      </c>
      <c r="D315" s="167" t="str">
        <f>IF(ISBLANK(DaqBook_RAW_Data!S305),"",DaqBook_RAW_Data!S305)</f>
        <v/>
      </c>
      <c r="E315" s="167" t="str">
        <f>IF(ISBLANK(DaqBook_RAW_Data!T305),"",DaqBook_RAW_Data!T305)</f>
        <v/>
      </c>
      <c r="F315" s="167" t="str">
        <f>IF(ISBLANK(DaqBook_RAW_Data!U305),"",DaqBook_RAW_Data!U305)</f>
        <v/>
      </c>
      <c r="G315" s="167" t="str">
        <f>IF(ISBLANK(DaqBook_RAW_Data!V305),"",DaqBook_RAW_Data!V305)</f>
        <v/>
      </c>
      <c r="H315" s="167" t="str">
        <f>IF(ISBLANK(DaqBook_RAW_Data!W305),"",DaqBook_RAW_Data!W305)</f>
        <v/>
      </c>
      <c r="I315" s="167" t="str">
        <f>IF(ISBLANK(DaqBook_RAW_Data!X305),"",DaqBook_RAW_Data!X305)</f>
        <v/>
      </c>
      <c r="J315" s="167" t="str">
        <f>IF(ISBLANK(DaqBook_RAW_Data!Y305),"",DaqBook_RAW_Data!Y305)</f>
        <v/>
      </c>
      <c r="K315" s="167" t="str">
        <f>IF(ISBLANK(DaqBook_RAW_Data!Z305),"",DaqBook_RAW_Data!Z305)</f>
        <v/>
      </c>
      <c r="L315" s="167" t="str">
        <f>IF(ISBLANK(DaqBook_RAW_Data!AA305),"",DaqBook_RAW_Data!AA305)</f>
        <v/>
      </c>
      <c r="M315" s="167" t="str">
        <f>IF(ISBLANK(DaqBook_RAW_Data!AB305),"",DaqBook_RAW_Data!AB305)</f>
        <v/>
      </c>
      <c r="N315" s="167" t="str">
        <f>IF(ISBLANK(DaqBook_RAW_Data!AC305),"",DaqBook_RAW_Data!AC305)</f>
        <v/>
      </c>
      <c r="O315" s="167" t="str">
        <f>IF(ISBLANK(DaqBook_RAW_Data!AD305),"",DaqBook_RAW_Data!AD305)</f>
        <v/>
      </c>
      <c r="P315" s="167" t="str">
        <f>IF(ISBLANK(DaqBook_RAW_Data!AE305),"",DaqBook_RAW_Data!AE305)</f>
        <v/>
      </c>
    </row>
    <row r="316" spans="1:16" x14ac:dyDescent="0.2">
      <c r="A316" s="58" t="e">
        <f t="shared" si="4"/>
        <v>#VALUE!</v>
      </c>
      <c r="B316" s="144" t="str">
        <f>IF(ISBLANK(DaqBook_RAW_Data!Q306),IF(DaqBook_RAW_Data!A306="","",TIMEVALUE(DaqBook_RAW_Data!A306)),TIMEVALUE(DaqBook_RAW_Data!Q306))</f>
        <v/>
      </c>
      <c r="C316" s="167" t="str">
        <f>IF(ISBLANK(DaqBook_RAW_Data!R306),"",DaqBook_RAW_Data!R306)</f>
        <v/>
      </c>
      <c r="D316" s="167" t="str">
        <f>IF(ISBLANK(DaqBook_RAW_Data!S306),"",DaqBook_RAW_Data!S306)</f>
        <v/>
      </c>
      <c r="E316" s="167" t="str">
        <f>IF(ISBLANK(DaqBook_RAW_Data!T306),"",DaqBook_RAW_Data!T306)</f>
        <v/>
      </c>
      <c r="F316" s="167" t="str">
        <f>IF(ISBLANK(DaqBook_RAW_Data!U306),"",DaqBook_RAW_Data!U306)</f>
        <v/>
      </c>
      <c r="G316" s="167" t="str">
        <f>IF(ISBLANK(DaqBook_RAW_Data!V306),"",DaqBook_RAW_Data!V306)</f>
        <v/>
      </c>
      <c r="H316" s="167" t="str">
        <f>IF(ISBLANK(DaqBook_RAW_Data!W306),"",DaqBook_RAW_Data!W306)</f>
        <v/>
      </c>
      <c r="I316" s="167" t="str">
        <f>IF(ISBLANK(DaqBook_RAW_Data!X306),"",DaqBook_RAW_Data!X306)</f>
        <v/>
      </c>
      <c r="J316" s="167" t="str">
        <f>IF(ISBLANK(DaqBook_RAW_Data!Y306),"",DaqBook_RAW_Data!Y306)</f>
        <v/>
      </c>
      <c r="K316" s="167" t="str">
        <f>IF(ISBLANK(DaqBook_RAW_Data!Z306),"",DaqBook_RAW_Data!Z306)</f>
        <v/>
      </c>
      <c r="L316" s="167" t="str">
        <f>IF(ISBLANK(DaqBook_RAW_Data!AA306),"",DaqBook_RAW_Data!AA306)</f>
        <v/>
      </c>
      <c r="M316" s="167" t="str">
        <f>IF(ISBLANK(DaqBook_RAW_Data!AB306),"",DaqBook_RAW_Data!AB306)</f>
        <v/>
      </c>
      <c r="N316" s="167" t="str">
        <f>IF(ISBLANK(DaqBook_RAW_Data!AC306),"",DaqBook_RAW_Data!AC306)</f>
        <v/>
      </c>
      <c r="O316" s="167" t="str">
        <f>IF(ISBLANK(DaqBook_RAW_Data!AD306),"",DaqBook_RAW_Data!AD306)</f>
        <v/>
      </c>
      <c r="P316" s="167" t="str">
        <f>IF(ISBLANK(DaqBook_RAW_Data!AE306),"",DaqBook_RAW_Data!AE306)</f>
        <v/>
      </c>
    </row>
    <row r="317" spans="1:16" x14ac:dyDescent="0.2">
      <c r="A317" s="58" t="e">
        <f t="shared" si="4"/>
        <v>#VALUE!</v>
      </c>
      <c r="B317" s="144" t="str">
        <f>IF(ISBLANK(DaqBook_RAW_Data!Q307),IF(DaqBook_RAW_Data!A307="","",TIMEVALUE(DaqBook_RAW_Data!A307)),TIMEVALUE(DaqBook_RAW_Data!Q307))</f>
        <v/>
      </c>
      <c r="C317" s="167" t="str">
        <f>IF(ISBLANK(DaqBook_RAW_Data!R307),"",DaqBook_RAW_Data!R307)</f>
        <v/>
      </c>
      <c r="D317" s="167" t="str">
        <f>IF(ISBLANK(DaqBook_RAW_Data!S307),"",DaqBook_RAW_Data!S307)</f>
        <v/>
      </c>
      <c r="E317" s="167" t="str">
        <f>IF(ISBLANK(DaqBook_RAW_Data!T307),"",DaqBook_RAW_Data!T307)</f>
        <v/>
      </c>
      <c r="F317" s="167" t="str">
        <f>IF(ISBLANK(DaqBook_RAW_Data!U307),"",DaqBook_RAW_Data!U307)</f>
        <v/>
      </c>
      <c r="G317" s="167" t="str">
        <f>IF(ISBLANK(DaqBook_RAW_Data!V307),"",DaqBook_RAW_Data!V307)</f>
        <v/>
      </c>
      <c r="H317" s="167" t="str">
        <f>IF(ISBLANK(DaqBook_RAW_Data!W307),"",DaqBook_RAW_Data!W307)</f>
        <v/>
      </c>
      <c r="I317" s="167" t="str">
        <f>IF(ISBLANK(DaqBook_RAW_Data!X307),"",DaqBook_RAW_Data!X307)</f>
        <v/>
      </c>
      <c r="J317" s="167" t="str">
        <f>IF(ISBLANK(DaqBook_RAW_Data!Y307),"",DaqBook_RAW_Data!Y307)</f>
        <v/>
      </c>
      <c r="K317" s="167" t="str">
        <f>IF(ISBLANK(DaqBook_RAW_Data!Z307),"",DaqBook_RAW_Data!Z307)</f>
        <v/>
      </c>
      <c r="L317" s="167" t="str">
        <f>IF(ISBLANK(DaqBook_RAW_Data!AA307),"",DaqBook_RAW_Data!AA307)</f>
        <v/>
      </c>
      <c r="M317" s="167" t="str">
        <f>IF(ISBLANK(DaqBook_RAW_Data!AB307),"",DaqBook_RAW_Data!AB307)</f>
        <v/>
      </c>
      <c r="N317" s="167" t="str">
        <f>IF(ISBLANK(DaqBook_RAW_Data!AC307),"",DaqBook_RAW_Data!AC307)</f>
        <v/>
      </c>
      <c r="O317" s="167" t="str">
        <f>IF(ISBLANK(DaqBook_RAW_Data!AD307),"",DaqBook_RAW_Data!AD307)</f>
        <v/>
      </c>
      <c r="P317" s="167" t="str">
        <f>IF(ISBLANK(DaqBook_RAW_Data!AE307),"",DaqBook_RAW_Data!AE307)</f>
        <v/>
      </c>
    </row>
    <row r="318" spans="1:16" x14ac:dyDescent="0.2">
      <c r="A318" s="58" t="e">
        <f t="shared" si="4"/>
        <v>#VALUE!</v>
      </c>
      <c r="B318" s="144" t="str">
        <f>IF(ISBLANK(DaqBook_RAW_Data!Q308),IF(DaqBook_RAW_Data!A308="","",TIMEVALUE(DaqBook_RAW_Data!A308)),TIMEVALUE(DaqBook_RAW_Data!Q308))</f>
        <v/>
      </c>
      <c r="C318" s="167" t="str">
        <f>IF(ISBLANK(DaqBook_RAW_Data!R308),"",DaqBook_RAW_Data!R308)</f>
        <v/>
      </c>
      <c r="D318" s="167" t="str">
        <f>IF(ISBLANK(DaqBook_RAW_Data!S308),"",DaqBook_RAW_Data!S308)</f>
        <v/>
      </c>
      <c r="E318" s="167" t="str">
        <f>IF(ISBLANK(DaqBook_RAW_Data!T308),"",DaqBook_RAW_Data!T308)</f>
        <v/>
      </c>
      <c r="F318" s="167" t="str">
        <f>IF(ISBLANK(DaqBook_RAW_Data!U308),"",DaqBook_RAW_Data!U308)</f>
        <v/>
      </c>
      <c r="G318" s="167" t="str">
        <f>IF(ISBLANK(DaqBook_RAW_Data!V308),"",DaqBook_RAW_Data!V308)</f>
        <v/>
      </c>
      <c r="H318" s="167" t="str">
        <f>IF(ISBLANK(DaqBook_RAW_Data!W308),"",DaqBook_RAW_Data!W308)</f>
        <v/>
      </c>
      <c r="I318" s="167" t="str">
        <f>IF(ISBLANK(DaqBook_RAW_Data!X308),"",DaqBook_RAW_Data!X308)</f>
        <v/>
      </c>
      <c r="J318" s="167" t="str">
        <f>IF(ISBLANK(DaqBook_RAW_Data!Y308),"",DaqBook_RAW_Data!Y308)</f>
        <v/>
      </c>
      <c r="K318" s="167" t="str">
        <f>IF(ISBLANK(DaqBook_RAW_Data!Z308),"",DaqBook_RAW_Data!Z308)</f>
        <v/>
      </c>
      <c r="L318" s="167" t="str">
        <f>IF(ISBLANK(DaqBook_RAW_Data!AA308),"",DaqBook_RAW_Data!AA308)</f>
        <v/>
      </c>
      <c r="M318" s="167" t="str">
        <f>IF(ISBLANK(DaqBook_RAW_Data!AB308),"",DaqBook_RAW_Data!AB308)</f>
        <v/>
      </c>
      <c r="N318" s="167" t="str">
        <f>IF(ISBLANK(DaqBook_RAW_Data!AC308),"",DaqBook_RAW_Data!AC308)</f>
        <v/>
      </c>
      <c r="O318" s="167" t="str">
        <f>IF(ISBLANK(DaqBook_RAW_Data!AD308),"",DaqBook_RAW_Data!AD308)</f>
        <v/>
      </c>
      <c r="P318" s="167" t="str">
        <f>IF(ISBLANK(DaqBook_RAW_Data!AE308),"",DaqBook_RAW_Data!AE308)</f>
        <v/>
      </c>
    </row>
    <row r="319" spans="1:16" x14ac:dyDescent="0.2">
      <c r="A319" s="58" t="e">
        <f t="shared" si="4"/>
        <v>#VALUE!</v>
      </c>
      <c r="B319" s="144" t="str">
        <f>IF(ISBLANK(DaqBook_RAW_Data!Q309),IF(DaqBook_RAW_Data!A309="","",TIMEVALUE(DaqBook_RAW_Data!A309)),TIMEVALUE(DaqBook_RAW_Data!Q309))</f>
        <v/>
      </c>
      <c r="C319" s="167" t="str">
        <f>IF(ISBLANK(DaqBook_RAW_Data!R309),"",DaqBook_RAW_Data!R309)</f>
        <v/>
      </c>
      <c r="D319" s="167" t="str">
        <f>IF(ISBLANK(DaqBook_RAW_Data!S309),"",DaqBook_RAW_Data!S309)</f>
        <v/>
      </c>
      <c r="E319" s="167" t="str">
        <f>IF(ISBLANK(DaqBook_RAW_Data!T309),"",DaqBook_RAW_Data!T309)</f>
        <v/>
      </c>
      <c r="F319" s="167" t="str">
        <f>IF(ISBLANK(DaqBook_RAW_Data!U309),"",DaqBook_RAW_Data!U309)</f>
        <v/>
      </c>
      <c r="G319" s="167" t="str">
        <f>IF(ISBLANK(DaqBook_RAW_Data!V309),"",DaqBook_RAW_Data!V309)</f>
        <v/>
      </c>
      <c r="H319" s="167" t="str">
        <f>IF(ISBLANK(DaqBook_RAW_Data!W309),"",DaqBook_RAW_Data!W309)</f>
        <v/>
      </c>
      <c r="I319" s="167" t="str">
        <f>IF(ISBLANK(DaqBook_RAW_Data!X309),"",DaqBook_RAW_Data!X309)</f>
        <v/>
      </c>
      <c r="J319" s="167" t="str">
        <f>IF(ISBLANK(DaqBook_RAW_Data!Y309),"",DaqBook_RAW_Data!Y309)</f>
        <v/>
      </c>
      <c r="K319" s="167" t="str">
        <f>IF(ISBLANK(DaqBook_RAW_Data!Z309),"",DaqBook_RAW_Data!Z309)</f>
        <v/>
      </c>
      <c r="L319" s="167" t="str">
        <f>IF(ISBLANK(DaqBook_RAW_Data!AA309),"",DaqBook_RAW_Data!AA309)</f>
        <v/>
      </c>
      <c r="M319" s="167" t="str">
        <f>IF(ISBLANK(DaqBook_RAW_Data!AB309),"",DaqBook_RAW_Data!AB309)</f>
        <v/>
      </c>
      <c r="N319" s="167" t="str">
        <f>IF(ISBLANK(DaqBook_RAW_Data!AC309),"",DaqBook_RAW_Data!AC309)</f>
        <v/>
      </c>
      <c r="O319" s="167" t="str">
        <f>IF(ISBLANK(DaqBook_RAW_Data!AD309),"",DaqBook_RAW_Data!AD309)</f>
        <v/>
      </c>
      <c r="P319" s="167" t="str">
        <f>IF(ISBLANK(DaqBook_RAW_Data!AE309),"",DaqBook_RAW_Data!AE309)</f>
        <v/>
      </c>
    </row>
    <row r="320" spans="1:16" x14ac:dyDescent="0.2">
      <c r="A320" s="58" t="e">
        <f t="shared" si="4"/>
        <v>#VALUE!</v>
      </c>
      <c r="B320" s="144" t="str">
        <f>IF(ISBLANK(DaqBook_RAW_Data!Q310),IF(DaqBook_RAW_Data!A310="","",TIMEVALUE(DaqBook_RAW_Data!A310)),TIMEVALUE(DaqBook_RAW_Data!Q310))</f>
        <v/>
      </c>
      <c r="C320" s="167" t="str">
        <f>IF(ISBLANK(DaqBook_RAW_Data!R310),"",DaqBook_RAW_Data!R310)</f>
        <v/>
      </c>
      <c r="D320" s="167" t="str">
        <f>IF(ISBLANK(DaqBook_RAW_Data!S310),"",DaqBook_RAW_Data!S310)</f>
        <v/>
      </c>
      <c r="E320" s="167" t="str">
        <f>IF(ISBLANK(DaqBook_RAW_Data!T310),"",DaqBook_RAW_Data!T310)</f>
        <v/>
      </c>
      <c r="F320" s="167" t="str">
        <f>IF(ISBLANK(DaqBook_RAW_Data!U310),"",DaqBook_RAW_Data!U310)</f>
        <v/>
      </c>
      <c r="G320" s="167" t="str">
        <f>IF(ISBLANK(DaqBook_RAW_Data!V310),"",DaqBook_RAW_Data!V310)</f>
        <v/>
      </c>
      <c r="H320" s="167" t="str">
        <f>IF(ISBLANK(DaqBook_RAW_Data!W310),"",DaqBook_RAW_Data!W310)</f>
        <v/>
      </c>
      <c r="I320" s="167" t="str">
        <f>IF(ISBLANK(DaqBook_RAW_Data!X310),"",DaqBook_RAW_Data!X310)</f>
        <v/>
      </c>
      <c r="J320" s="167" t="str">
        <f>IF(ISBLANK(DaqBook_RAW_Data!Y310),"",DaqBook_RAW_Data!Y310)</f>
        <v/>
      </c>
      <c r="K320" s="167" t="str">
        <f>IF(ISBLANK(DaqBook_RAW_Data!Z310),"",DaqBook_RAW_Data!Z310)</f>
        <v/>
      </c>
      <c r="L320" s="167" t="str">
        <f>IF(ISBLANK(DaqBook_RAW_Data!AA310),"",DaqBook_RAW_Data!AA310)</f>
        <v/>
      </c>
      <c r="M320" s="167" t="str">
        <f>IF(ISBLANK(DaqBook_RAW_Data!AB310),"",DaqBook_RAW_Data!AB310)</f>
        <v/>
      </c>
      <c r="N320" s="167" t="str">
        <f>IF(ISBLANK(DaqBook_RAW_Data!AC310),"",DaqBook_RAW_Data!AC310)</f>
        <v/>
      </c>
      <c r="O320" s="167" t="str">
        <f>IF(ISBLANK(DaqBook_RAW_Data!AD310),"",DaqBook_RAW_Data!AD310)</f>
        <v/>
      </c>
      <c r="P320" s="167" t="str">
        <f>IF(ISBLANK(DaqBook_RAW_Data!AE310),"",DaqBook_RAW_Data!AE310)</f>
        <v/>
      </c>
    </row>
    <row r="321" spans="1:16" x14ac:dyDescent="0.2">
      <c r="A321" s="58" t="e">
        <f t="shared" si="4"/>
        <v>#VALUE!</v>
      </c>
      <c r="B321" s="144" t="str">
        <f>IF(ISBLANK(DaqBook_RAW_Data!Q311),IF(DaqBook_RAW_Data!A311="","",TIMEVALUE(DaqBook_RAW_Data!A311)),TIMEVALUE(DaqBook_RAW_Data!Q311))</f>
        <v/>
      </c>
      <c r="C321" s="167" t="str">
        <f>IF(ISBLANK(DaqBook_RAW_Data!R311),"",DaqBook_RAW_Data!R311)</f>
        <v/>
      </c>
      <c r="D321" s="167" t="str">
        <f>IF(ISBLANK(DaqBook_RAW_Data!S311),"",DaqBook_RAW_Data!S311)</f>
        <v/>
      </c>
      <c r="E321" s="167" t="str">
        <f>IF(ISBLANK(DaqBook_RAW_Data!T311),"",DaqBook_RAW_Data!T311)</f>
        <v/>
      </c>
      <c r="F321" s="167" t="str">
        <f>IF(ISBLANK(DaqBook_RAW_Data!U311),"",DaqBook_RAW_Data!U311)</f>
        <v/>
      </c>
      <c r="G321" s="167" t="str">
        <f>IF(ISBLANK(DaqBook_RAW_Data!V311),"",DaqBook_RAW_Data!V311)</f>
        <v/>
      </c>
      <c r="H321" s="167" t="str">
        <f>IF(ISBLANK(DaqBook_RAW_Data!W311),"",DaqBook_RAW_Data!W311)</f>
        <v/>
      </c>
      <c r="I321" s="167" t="str">
        <f>IF(ISBLANK(DaqBook_RAW_Data!X311),"",DaqBook_RAW_Data!X311)</f>
        <v/>
      </c>
      <c r="J321" s="167" t="str">
        <f>IF(ISBLANK(DaqBook_RAW_Data!Y311),"",DaqBook_RAW_Data!Y311)</f>
        <v/>
      </c>
      <c r="K321" s="167" t="str">
        <f>IF(ISBLANK(DaqBook_RAW_Data!Z311),"",DaqBook_RAW_Data!Z311)</f>
        <v/>
      </c>
      <c r="L321" s="167" t="str">
        <f>IF(ISBLANK(DaqBook_RAW_Data!AA311),"",DaqBook_RAW_Data!AA311)</f>
        <v/>
      </c>
      <c r="M321" s="167" t="str">
        <f>IF(ISBLANK(DaqBook_RAW_Data!AB311),"",DaqBook_RAW_Data!AB311)</f>
        <v/>
      </c>
      <c r="N321" s="167" t="str">
        <f>IF(ISBLANK(DaqBook_RAW_Data!AC311),"",DaqBook_RAW_Data!AC311)</f>
        <v/>
      </c>
      <c r="O321" s="167" t="str">
        <f>IF(ISBLANK(DaqBook_RAW_Data!AD311),"",DaqBook_RAW_Data!AD311)</f>
        <v/>
      </c>
      <c r="P321" s="167" t="str">
        <f>IF(ISBLANK(DaqBook_RAW_Data!AE311),"",DaqBook_RAW_Data!AE311)</f>
        <v/>
      </c>
    </row>
    <row r="322" spans="1:16" x14ac:dyDescent="0.2">
      <c r="A322" s="58" t="e">
        <f t="shared" si="4"/>
        <v>#VALUE!</v>
      </c>
      <c r="B322" s="144" t="str">
        <f>IF(ISBLANK(DaqBook_RAW_Data!Q312),IF(DaqBook_RAW_Data!A312="","",TIMEVALUE(DaqBook_RAW_Data!A312)),TIMEVALUE(DaqBook_RAW_Data!Q312))</f>
        <v/>
      </c>
      <c r="C322" s="167" t="str">
        <f>IF(ISBLANK(DaqBook_RAW_Data!R312),"",DaqBook_RAW_Data!R312)</f>
        <v/>
      </c>
      <c r="D322" s="167" t="str">
        <f>IF(ISBLANK(DaqBook_RAW_Data!S312),"",DaqBook_RAW_Data!S312)</f>
        <v/>
      </c>
      <c r="E322" s="167" t="str">
        <f>IF(ISBLANK(DaqBook_RAW_Data!T312),"",DaqBook_RAW_Data!T312)</f>
        <v/>
      </c>
      <c r="F322" s="167" t="str">
        <f>IF(ISBLANK(DaqBook_RAW_Data!U312),"",DaqBook_RAW_Data!U312)</f>
        <v/>
      </c>
      <c r="G322" s="167" t="str">
        <f>IF(ISBLANK(DaqBook_RAW_Data!V312),"",DaqBook_RAW_Data!V312)</f>
        <v/>
      </c>
      <c r="H322" s="167" t="str">
        <f>IF(ISBLANK(DaqBook_RAW_Data!W312),"",DaqBook_RAW_Data!W312)</f>
        <v/>
      </c>
      <c r="I322" s="167" t="str">
        <f>IF(ISBLANK(DaqBook_RAW_Data!X312),"",DaqBook_RAW_Data!X312)</f>
        <v/>
      </c>
      <c r="J322" s="167" t="str">
        <f>IF(ISBLANK(DaqBook_RAW_Data!Y312),"",DaqBook_RAW_Data!Y312)</f>
        <v/>
      </c>
      <c r="K322" s="167" t="str">
        <f>IF(ISBLANK(DaqBook_RAW_Data!Z312),"",DaqBook_RAW_Data!Z312)</f>
        <v/>
      </c>
      <c r="L322" s="167" t="str">
        <f>IF(ISBLANK(DaqBook_RAW_Data!AA312),"",DaqBook_RAW_Data!AA312)</f>
        <v/>
      </c>
      <c r="M322" s="167" t="str">
        <f>IF(ISBLANK(DaqBook_RAW_Data!AB312),"",DaqBook_RAW_Data!AB312)</f>
        <v/>
      </c>
      <c r="N322" s="167" t="str">
        <f>IF(ISBLANK(DaqBook_RAW_Data!AC312),"",DaqBook_RAW_Data!AC312)</f>
        <v/>
      </c>
      <c r="O322" s="167" t="str">
        <f>IF(ISBLANK(DaqBook_RAW_Data!AD312),"",DaqBook_RAW_Data!AD312)</f>
        <v/>
      </c>
      <c r="P322" s="167" t="str">
        <f>IF(ISBLANK(DaqBook_RAW_Data!AE312),"",DaqBook_RAW_Data!AE312)</f>
        <v/>
      </c>
    </row>
    <row r="323" spans="1:16" x14ac:dyDescent="0.2">
      <c r="A323" s="58" t="e">
        <f t="shared" si="4"/>
        <v>#VALUE!</v>
      </c>
      <c r="B323" s="144" t="str">
        <f>IF(ISBLANK(DaqBook_RAW_Data!Q313),IF(DaqBook_RAW_Data!A313="","",TIMEVALUE(DaqBook_RAW_Data!A313)),TIMEVALUE(DaqBook_RAW_Data!Q313))</f>
        <v/>
      </c>
      <c r="C323" s="167" t="str">
        <f>IF(ISBLANK(DaqBook_RAW_Data!R313),"",DaqBook_RAW_Data!R313)</f>
        <v/>
      </c>
      <c r="D323" s="167" t="str">
        <f>IF(ISBLANK(DaqBook_RAW_Data!S313),"",DaqBook_RAW_Data!S313)</f>
        <v/>
      </c>
      <c r="E323" s="167" t="str">
        <f>IF(ISBLANK(DaqBook_RAW_Data!T313),"",DaqBook_RAW_Data!T313)</f>
        <v/>
      </c>
      <c r="F323" s="167" t="str">
        <f>IF(ISBLANK(DaqBook_RAW_Data!U313),"",DaqBook_RAW_Data!U313)</f>
        <v/>
      </c>
      <c r="G323" s="167" t="str">
        <f>IF(ISBLANK(DaqBook_RAW_Data!V313),"",DaqBook_RAW_Data!V313)</f>
        <v/>
      </c>
      <c r="H323" s="167" t="str">
        <f>IF(ISBLANK(DaqBook_RAW_Data!W313),"",DaqBook_RAW_Data!W313)</f>
        <v/>
      </c>
      <c r="I323" s="167" t="str">
        <f>IF(ISBLANK(DaqBook_RAW_Data!X313),"",DaqBook_RAW_Data!X313)</f>
        <v/>
      </c>
      <c r="J323" s="167" t="str">
        <f>IF(ISBLANK(DaqBook_RAW_Data!Y313),"",DaqBook_RAW_Data!Y313)</f>
        <v/>
      </c>
      <c r="K323" s="167" t="str">
        <f>IF(ISBLANK(DaqBook_RAW_Data!Z313),"",DaqBook_RAW_Data!Z313)</f>
        <v/>
      </c>
      <c r="L323" s="167" t="str">
        <f>IF(ISBLANK(DaqBook_RAW_Data!AA313),"",DaqBook_RAW_Data!AA313)</f>
        <v/>
      </c>
      <c r="M323" s="167" t="str">
        <f>IF(ISBLANK(DaqBook_RAW_Data!AB313),"",DaqBook_RAW_Data!AB313)</f>
        <v/>
      </c>
      <c r="N323" s="167" t="str">
        <f>IF(ISBLANK(DaqBook_RAW_Data!AC313),"",DaqBook_RAW_Data!AC313)</f>
        <v/>
      </c>
      <c r="O323" s="167" t="str">
        <f>IF(ISBLANK(DaqBook_RAW_Data!AD313),"",DaqBook_RAW_Data!AD313)</f>
        <v/>
      </c>
      <c r="P323" s="167" t="str">
        <f>IF(ISBLANK(DaqBook_RAW_Data!AE313),"",DaqBook_RAW_Data!AE313)</f>
        <v/>
      </c>
    </row>
    <row r="324" spans="1:16" x14ac:dyDescent="0.2">
      <c r="A324" s="58" t="e">
        <f t="shared" si="4"/>
        <v>#VALUE!</v>
      </c>
      <c r="B324" s="144" t="str">
        <f>IF(ISBLANK(DaqBook_RAW_Data!Q314),IF(DaqBook_RAW_Data!A314="","",TIMEVALUE(DaqBook_RAW_Data!A314)),TIMEVALUE(DaqBook_RAW_Data!Q314))</f>
        <v/>
      </c>
      <c r="C324" s="167" t="str">
        <f>IF(ISBLANK(DaqBook_RAW_Data!R314),"",DaqBook_RAW_Data!R314)</f>
        <v/>
      </c>
      <c r="D324" s="167" t="str">
        <f>IF(ISBLANK(DaqBook_RAW_Data!S314),"",DaqBook_RAW_Data!S314)</f>
        <v/>
      </c>
      <c r="E324" s="167" t="str">
        <f>IF(ISBLANK(DaqBook_RAW_Data!T314),"",DaqBook_RAW_Data!T314)</f>
        <v/>
      </c>
      <c r="F324" s="167" t="str">
        <f>IF(ISBLANK(DaqBook_RAW_Data!U314),"",DaqBook_RAW_Data!U314)</f>
        <v/>
      </c>
      <c r="G324" s="167" t="str">
        <f>IF(ISBLANK(DaqBook_RAW_Data!V314),"",DaqBook_RAW_Data!V314)</f>
        <v/>
      </c>
      <c r="H324" s="167" t="str">
        <f>IF(ISBLANK(DaqBook_RAW_Data!W314),"",DaqBook_RAW_Data!W314)</f>
        <v/>
      </c>
      <c r="I324" s="167" t="str">
        <f>IF(ISBLANK(DaqBook_RAW_Data!X314),"",DaqBook_RAW_Data!X314)</f>
        <v/>
      </c>
      <c r="J324" s="167" t="str">
        <f>IF(ISBLANK(DaqBook_RAW_Data!Y314),"",DaqBook_RAW_Data!Y314)</f>
        <v/>
      </c>
      <c r="K324" s="167" t="str">
        <f>IF(ISBLANK(DaqBook_RAW_Data!Z314),"",DaqBook_RAW_Data!Z314)</f>
        <v/>
      </c>
      <c r="L324" s="167" t="str">
        <f>IF(ISBLANK(DaqBook_RAW_Data!AA314),"",DaqBook_RAW_Data!AA314)</f>
        <v/>
      </c>
      <c r="M324" s="167" t="str">
        <f>IF(ISBLANK(DaqBook_RAW_Data!AB314),"",DaqBook_RAW_Data!AB314)</f>
        <v/>
      </c>
      <c r="N324" s="167" t="str">
        <f>IF(ISBLANK(DaqBook_RAW_Data!AC314),"",DaqBook_RAW_Data!AC314)</f>
        <v/>
      </c>
      <c r="O324" s="167" t="str">
        <f>IF(ISBLANK(DaqBook_RAW_Data!AD314),"",DaqBook_RAW_Data!AD314)</f>
        <v/>
      </c>
      <c r="P324" s="167" t="str">
        <f>IF(ISBLANK(DaqBook_RAW_Data!AE314),"",DaqBook_RAW_Data!AE314)</f>
        <v/>
      </c>
    </row>
    <row r="325" spans="1:16" x14ac:dyDescent="0.2">
      <c r="A325" s="58" t="e">
        <f t="shared" si="4"/>
        <v>#VALUE!</v>
      </c>
      <c r="B325" s="144" t="str">
        <f>IF(ISBLANK(DaqBook_RAW_Data!Q315),IF(DaqBook_RAW_Data!A315="","",TIMEVALUE(DaqBook_RAW_Data!A315)),TIMEVALUE(DaqBook_RAW_Data!Q315))</f>
        <v/>
      </c>
      <c r="C325" s="167" t="str">
        <f>IF(ISBLANK(DaqBook_RAW_Data!R315),"",DaqBook_RAW_Data!R315)</f>
        <v/>
      </c>
      <c r="D325" s="167" t="str">
        <f>IF(ISBLANK(DaqBook_RAW_Data!S315),"",DaqBook_RAW_Data!S315)</f>
        <v/>
      </c>
      <c r="E325" s="167" t="str">
        <f>IF(ISBLANK(DaqBook_RAW_Data!T315),"",DaqBook_RAW_Data!T315)</f>
        <v/>
      </c>
      <c r="F325" s="167" t="str">
        <f>IF(ISBLANK(DaqBook_RAW_Data!U315),"",DaqBook_RAW_Data!U315)</f>
        <v/>
      </c>
      <c r="G325" s="167" t="str">
        <f>IF(ISBLANK(DaqBook_RAW_Data!V315),"",DaqBook_RAW_Data!V315)</f>
        <v/>
      </c>
      <c r="H325" s="167" t="str">
        <f>IF(ISBLANK(DaqBook_RAW_Data!W315),"",DaqBook_RAW_Data!W315)</f>
        <v/>
      </c>
      <c r="I325" s="167" t="str">
        <f>IF(ISBLANK(DaqBook_RAW_Data!X315),"",DaqBook_RAW_Data!X315)</f>
        <v/>
      </c>
      <c r="J325" s="167" t="str">
        <f>IF(ISBLANK(DaqBook_RAW_Data!Y315),"",DaqBook_RAW_Data!Y315)</f>
        <v/>
      </c>
      <c r="K325" s="167" t="str">
        <f>IF(ISBLANK(DaqBook_RAW_Data!Z315),"",DaqBook_RAW_Data!Z315)</f>
        <v/>
      </c>
      <c r="L325" s="167" t="str">
        <f>IF(ISBLANK(DaqBook_RAW_Data!AA315),"",DaqBook_RAW_Data!AA315)</f>
        <v/>
      </c>
      <c r="M325" s="167" t="str">
        <f>IF(ISBLANK(DaqBook_RAW_Data!AB315),"",DaqBook_RAW_Data!AB315)</f>
        <v/>
      </c>
      <c r="N325" s="167" t="str">
        <f>IF(ISBLANK(DaqBook_RAW_Data!AC315),"",DaqBook_RAW_Data!AC315)</f>
        <v/>
      </c>
      <c r="O325" s="167" t="str">
        <f>IF(ISBLANK(DaqBook_RAW_Data!AD315),"",DaqBook_RAW_Data!AD315)</f>
        <v/>
      </c>
      <c r="P325" s="167" t="str">
        <f>IF(ISBLANK(DaqBook_RAW_Data!AE315),"",DaqBook_RAW_Data!AE315)</f>
        <v/>
      </c>
    </row>
    <row r="326" spans="1:16" x14ac:dyDescent="0.2">
      <c r="A326" s="58" t="e">
        <f t="shared" si="4"/>
        <v>#VALUE!</v>
      </c>
      <c r="B326" s="144" t="str">
        <f>IF(ISBLANK(DaqBook_RAW_Data!Q316),IF(DaqBook_RAW_Data!A316="","",TIMEVALUE(DaqBook_RAW_Data!A316)),TIMEVALUE(DaqBook_RAW_Data!Q316))</f>
        <v/>
      </c>
      <c r="C326" s="167" t="str">
        <f>IF(ISBLANK(DaqBook_RAW_Data!R316),"",DaqBook_RAW_Data!R316)</f>
        <v/>
      </c>
      <c r="D326" s="167" t="str">
        <f>IF(ISBLANK(DaqBook_RAW_Data!S316),"",DaqBook_RAW_Data!S316)</f>
        <v/>
      </c>
      <c r="E326" s="167" t="str">
        <f>IF(ISBLANK(DaqBook_RAW_Data!T316),"",DaqBook_RAW_Data!T316)</f>
        <v/>
      </c>
      <c r="F326" s="167" t="str">
        <f>IF(ISBLANK(DaqBook_RAW_Data!U316),"",DaqBook_RAW_Data!U316)</f>
        <v/>
      </c>
      <c r="G326" s="167" t="str">
        <f>IF(ISBLANK(DaqBook_RAW_Data!V316),"",DaqBook_RAW_Data!V316)</f>
        <v/>
      </c>
      <c r="H326" s="167" t="str">
        <f>IF(ISBLANK(DaqBook_RAW_Data!W316),"",DaqBook_RAW_Data!W316)</f>
        <v/>
      </c>
      <c r="I326" s="167" t="str">
        <f>IF(ISBLANK(DaqBook_RAW_Data!X316),"",DaqBook_RAW_Data!X316)</f>
        <v/>
      </c>
      <c r="J326" s="167" t="str">
        <f>IF(ISBLANK(DaqBook_RAW_Data!Y316),"",DaqBook_RAW_Data!Y316)</f>
        <v/>
      </c>
      <c r="K326" s="167" t="str">
        <f>IF(ISBLANK(DaqBook_RAW_Data!Z316),"",DaqBook_RAW_Data!Z316)</f>
        <v/>
      </c>
      <c r="L326" s="167" t="str">
        <f>IF(ISBLANK(DaqBook_RAW_Data!AA316),"",DaqBook_RAW_Data!AA316)</f>
        <v/>
      </c>
      <c r="M326" s="167" t="str">
        <f>IF(ISBLANK(DaqBook_RAW_Data!AB316),"",DaqBook_RAW_Data!AB316)</f>
        <v/>
      </c>
      <c r="N326" s="167" t="str">
        <f>IF(ISBLANK(DaqBook_RAW_Data!AC316),"",DaqBook_RAW_Data!AC316)</f>
        <v/>
      </c>
      <c r="O326" s="167" t="str">
        <f>IF(ISBLANK(DaqBook_RAW_Data!AD316),"",DaqBook_RAW_Data!AD316)</f>
        <v/>
      </c>
      <c r="P326" s="167" t="str">
        <f>IF(ISBLANK(DaqBook_RAW_Data!AE316),"",DaqBook_RAW_Data!AE316)</f>
        <v/>
      </c>
    </row>
    <row r="327" spans="1:16" x14ac:dyDescent="0.2">
      <c r="A327" s="58" t="e">
        <f t="shared" si="4"/>
        <v>#VALUE!</v>
      </c>
      <c r="B327" s="144" t="str">
        <f>IF(ISBLANK(DaqBook_RAW_Data!Q317),IF(DaqBook_RAW_Data!A317="","",TIMEVALUE(DaqBook_RAW_Data!A317)),TIMEVALUE(DaqBook_RAW_Data!Q317))</f>
        <v/>
      </c>
      <c r="C327" s="167" t="str">
        <f>IF(ISBLANK(DaqBook_RAW_Data!R317),"",DaqBook_RAW_Data!R317)</f>
        <v/>
      </c>
      <c r="D327" s="167" t="str">
        <f>IF(ISBLANK(DaqBook_RAW_Data!S317),"",DaqBook_RAW_Data!S317)</f>
        <v/>
      </c>
      <c r="E327" s="167" t="str">
        <f>IF(ISBLANK(DaqBook_RAW_Data!T317),"",DaqBook_RAW_Data!T317)</f>
        <v/>
      </c>
      <c r="F327" s="167" t="str">
        <f>IF(ISBLANK(DaqBook_RAW_Data!U317),"",DaqBook_RAW_Data!U317)</f>
        <v/>
      </c>
      <c r="G327" s="167" t="str">
        <f>IF(ISBLANK(DaqBook_RAW_Data!V317),"",DaqBook_RAW_Data!V317)</f>
        <v/>
      </c>
      <c r="H327" s="167" t="str">
        <f>IF(ISBLANK(DaqBook_RAW_Data!W317),"",DaqBook_RAW_Data!W317)</f>
        <v/>
      </c>
      <c r="I327" s="167" t="str">
        <f>IF(ISBLANK(DaqBook_RAW_Data!X317),"",DaqBook_RAW_Data!X317)</f>
        <v/>
      </c>
      <c r="J327" s="167" t="str">
        <f>IF(ISBLANK(DaqBook_RAW_Data!Y317),"",DaqBook_RAW_Data!Y317)</f>
        <v/>
      </c>
      <c r="K327" s="167" t="str">
        <f>IF(ISBLANK(DaqBook_RAW_Data!Z317),"",DaqBook_RAW_Data!Z317)</f>
        <v/>
      </c>
      <c r="L327" s="167" t="str">
        <f>IF(ISBLANK(DaqBook_RAW_Data!AA317),"",DaqBook_RAW_Data!AA317)</f>
        <v/>
      </c>
      <c r="M327" s="167" t="str">
        <f>IF(ISBLANK(DaqBook_RAW_Data!AB317),"",DaqBook_RAW_Data!AB317)</f>
        <v/>
      </c>
      <c r="N327" s="167" t="str">
        <f>IF(ISBLANK(DaqBook_RAW_Data!AC317),"",DaqBook_RAW_Data!AC317)</f>
        <v/>
      </c>
      <c r="O327" s="167" t="str">
        <f>IF(ISBLANK(DaqBook_RAW_Data!AD317),"",DaqBook_RAW_Data!AD317)</f>
        <v/>
      </c>
      <c r="P327" s="167" t="str">
        <f>IF(ISBLANK(DaqBook_RAW_Data!AE317),"",DaqBook_RAW_Data!AE317)</f>
        <v/>
      </c>
    </row>
    <row r="328" spans="1:16" x14ac:dyDescent="0.2">
      <c r="A328" s="58" t="e">
        <f t="shared" si="4"/>
        <v>#VALUE!</v>
      </c>
      <c r="B328" s="144" t="str">
        <f>IF(ISBLANK(DaqBook_RAW_Data!Q318),IF(DaqBook_RAW_Data!A318="","",TIMEVALUE(DaqBook_RAW_Data!A318)),TIMEVALUE(DaqBook_RAW_Data!Q318))</f>
        <v/>
      </c>
      <c r="C328" s="167" t="str">
        <f>IF(ISBLANK(DaqBook_RAW_Data!R318),"",DaqBook_RAW_Data!R318)</f>
        <v/>
      </c>
      <c r="D328" s="167" t="str">
        <f>IF(ISBLANK(DaqBook_RAW_Data!S318),"",DaqBook_RAW_Data!S318)</f>
        <v/>
      </c>
      <c r="E328" s="167" t="str">
        <f>IF(ISBLANK(DaqBook_RAW_Data!T318),"",DaqBook_RAW_Data!T318)</f>
        <v/>
      </c>
      <c r="F328" s="167" t="str">
        <f>IF(ISBLANK(DaqBook_RAW_Data!U318),"",DaqBook_RAW_Data!U318)</f>
        <v/>
      </c>
      <c r="G328" s="167" t="str">
        <f>IF(ISBLANK(DaqBook_RAW_Data!V318),"",DaqBook_RAW_Data!V318)</f>
        <v/>
      </c>
      <c r="H328" s="167" t="str">
        <f>IF(ISBLANK(DaqBook_RAW_Data!W318),"",DaqBook_RAW_Data!W318)</f>
        <v/>
      </c>
      <c r="I328" s="167" t="str">
        <f>IF(ISBLANK(DaqBook_RAW_Data!X318),"",DaqBook_RAW_Data!X318)</f>
        <v/>
      </c>
      <c r="J328" s="167" t="str">
        <f>IF(ISBLANK(DaqBook_RAW_Data!Y318),"",DaqBook_RAW_Data!Y318)</f>
        <v/>
      </c>
      <c r="K328" s="167" t="str">
        <f>IF(ISBLANK(DaqBook_RAW_Data!Z318),"",DaqBook_RAW_Data!Z318)</f>
        <v/>
      </c>
      <c r="L328" s="167" t="str">
        <f>IF(ISBLANK(DaqBook_RAW_Data!AA318),"",DaqBook_RAW_Data!AA318)</f>
        <v/>
      </c>
      <c r="M328" s="167" t="str">
        <f>IF(ISBLANK(DaqBook_RAW_Data!AB318),"",DaqBook_RAW_Data!AB318)</f>
        <v/>
      </c>
      <c r="N328" s="167" t="str">
        <f>IF(ISBLANK(DaqBook_RAW_Data!AC318),"",DaqBook_RAW_Data!AC318)</f>
        <v/>
      </c>
      <c r="O328" s="167" t="str">
        <f>IF(ISBLANK(DaqBook_RAW_Data!AD318),"",DaqBook_RAW_Data!AD318)</f>
        <v/>
      </c>
      <c r="P328" s="167" t="str">
        <f>IF(ISBLANK(DaqBook_RAW_Data!AE318),"",DaqBook_RAW_Data!AE318)</f>
        <v/>
      </c>
    </row>
    <row r="329" spans="1:16" x14ac:dyDescent="0.2">
      <c r="A329" s="58" t="e">
        <f t="shared" si="4"/>
        <v>#VALUE!</v>
      </c>
      <c r="B329" s="144" t="str">
        <f>IF(ISBLANK(DaqBook_RAW_Data!Q319),IF(DaqBook_RAW_Data!A319="","",TIMEVALUE(DaqBook_RAW_Data!A319)),TIMEVALUE(DaqBook_RAW_Data!Q319))</f>
        <v/>
      </c>
      <c r="C329" s="167" t="str">
        <f>IF(ISBLANK(DaqBook_RAW_Data!R319),"",DaqBook_RAW_Data!R319)</f>
        <v/>
      </c>
      <c r="D329" s="167" t="str">
        <f>IF(ISBLANK(DaqBook_RAW_Data!S319),"",DaqBook_RAW_Data!S319)</f>
        <v/>
      </c>
      <c r="E329" s="167" t="str">
        <f>IF(ISBLANK(DaqBook_RAW_Data!T319),"",DaqBook_RAW_Data!T319)</f>
        <v/>
      </c>
      <c r="F329" s="167" t="str">
        <f>IF(ISBLANK(DaqBook_RAW_Data!U319),"",DaqBook_RAW_Data!U319)</f>
        <v/>
      </c>
      <c r="G329" s="167" t="str">
        <f>IF(ISBLANK(DaqBook_RAW_Data!V319),"",DaqBook_RAW_Data!V319)</f>
        <v/>
      </c>
      <c r="H329" s="167" t="str">
        <f>IF(ISBLANK(DaqBook_RAW_Data!W319),"",DaqBook_RAW_Data!W319)</f>
        <v/>
      </c>
      <c r="I329" s="167" t="str">
        <f>IF(ISBLANK(DaqBook_RAW_Data!X319),"",DaqBook_RAW_Data!X319)</f>
        <v/>
      </c>
      <c r="J329" s="167" t="str">
        <f>IF(ISBLANK(DaqBook_RAW_Data!Y319),"",DaqBook_RAW_Data!Y319)</f>
        <v/>
      </c>
      <c r="K329" s="167" t="str">
        <f>IF(ISBLANK(DaqBook_RAW_Data!Z319),"",DaqBook_RAW_Data!Z319)</f>
        <v/>
      </c>
      <c r="L329" s="167" t="str">
        <f>IF(ISBLANK(DaqBook_RAW_Data!AA319),"",DaqBook_RAW_Data!AA319)</f>
        <v/>
      </c>
      <c r="M329" s="167" t="str">
        <f>IF(ISBLANK(DaqBook_RAW_Data!AB319),"",DaqBook_RAW_Data!AB319)</f>
        <v/>
      </c>
      <c r="N329" s="167" t="str">
        <f>IF(ISBLANK(DaqBook_RAW_Data!AC319),"",DaqBook_RAW_Data!AC319)</f>
        <v/>
      </c>
      <c r="O329" s="167" t="str">
        <f>IF(ISBLANK(DaqBook_RAW_Data!AD319),"",DaqBook_RAW_Data!AD319)</f>
        <v/>
      </c>
      <c r="P329" s="167" t="str">
        <f>IF(ISBLANK(DaqBook_RAW_Data!AE319),"",DaqBook_RAW_Data!AE319)</f>
        <v/>
      </c>
    </row>
    <row r="330" spans="1:16" x14ac:dyDescent="0.2">
      <c r="A330" s="58" t="e">
        <f t="shared" si="4"/>
        <v>#VALUE!</v>
      </c>
      <c r="B330" s="144" t="str">
        <f>IF(ISBLANK(DaqBook_RAW_Data!Q320),IF(DaqBook_RAW_Data!A320="","",TIMEVALUE(DaqBook_RAW_Data!A320)),TIMEVALUE(DaqBook_RAW_Data!Q320))</f>
        <v/>
      </c>
      <c r="C330" s="167" t="str">
        <f>IF(ISBLANK(DaqBook_RAW_Data!R320),"",DaqBook_RAW_Data!R320)</f>
        <v/>
      </c>
      <c r="D330" s="167" t="str">
        <f>IF(ISBLANK(DaqBook_RAW_Data!S320),"",DaqBook_RAW_Data!S320)</f>
        <v/>
      </c>
      <c r="E330" s="167" t="str">
        <f>IF(ISBLANK(DaqBook_RAW_Data!T320),"",DaqBook_RAW_Data!T320)</f>
        <v/>
      </c>
      <c r="F330" s="167" t="str">
        <f>IF(ISBLANK(DaqBook_RAW_Data!U320),"",DaqBook_RAW_Data!U320)</f>
        <v/>
      </c>
      <c r="G330" s="167" t="str">
        <f>IF(ISBLANK(DaqBook_RAW_Data!V320),"",DaqBook_RAW_Data!V320)</f>
        <v/>
      </c>
      <c r="H330" s="167" t="str">
        <f>IF(ISBLANK(DaqBook_RAW_Data!W320),"",DaqBook_RAW_Data!W320)</f>
        <v/>
      </c>
      <c r="I330" s="167" t="str">
        <f>IF(ISBLANK(DaqBook_RAW_Data!X320),"",DaqBook_RAW_Data!X320)</f>
        <v/>
      </c>
      <c r="J330" s="167" t="str">
        <f>IF(ISBLANK(DaqBook_RAW_Data!Y320),"",DaqBook_RAW_Data!Y320)</f>
        <v/>
      </c>
      <c r="K330" s="167" t="str">
        <f>IF(ISBLANK(DaqBook_RAW_Data!Z320),"",DaqBook_RAW_Data!Z320)</f>
        <v/>
      </c>
      <c r="L330" s="167" t="str">
        <f>IF(ISBLANK(DaqBook_RAW_Data!AA320),"",DaqBook_RAW_Data!AA320)</f>
        <v/>
      </c>
      <c r="M330" s="167" t="str">
        <f>IF(ISBLANK(DaqBook_RAW_Data!AB320),"",DaqBook_RAW_Data!AB320)</f>
        <v/>
      </c>
      <c r="N330" s="167" t="str">
        <f>IF(ISBLANK(DaqBook_RAW_Data!AC320),"",DaqBook_RAW_Data!AC320)</f>
        <v/>
      </c>
      <c r="O330" s="167" t="str">
        <f>IF(ISBLANK(DaqBook_RAW_Data!AD320),"",DaqBook_RAW_Data!AD320)</f>
        <v/>
      </c>
      <c r="P330" s="167" t="str">
        <f>IF(ISBLANK(DaqBook_RAW_Data!AE320),"",DaqBook_RAW_Data!AE320)</f>
        <v/>
      </c>
    </row>
    <row r="331" spans="1:16" x14ac:dyDescent="0.2">
      <c r="A331" s="58" t="e">
        <f t="shared" si="4"/>
        <v>#VALUE!</v>
      </c>
      <c r="B331" s="144" t="str">
        <f>IF(ISBLANK(DaqBook_RAW_Data!Q321),IF(DaqBook_RAW_Data!A321="","",TIMEVALUE(DaqBook_RAW_Data!A321)),TIMEVALUE(DaqBook_RAW_Data!Q321))</f>
        <v/>
      </c>
      <c r="C331" s="167" t="str">
        <f>IF(ISBLANK(DaqBook_RAW_Data!R321),"",DaqBook_RAW_Data!R321)</f>
        <v/>
      </c>
      <c r="D331" s="167" t="str">
        <f>IF(ISBLANK(DaqBook_RAW_Data!S321),"",DaqBook_RAW_Data!S321)</f>
        <v/>
      </c>
      <c r="E331" s="167" t="str">
        <f>IF(ISBLANK(DaqBook_RAW_Data!T321),"",DaqBook_RAW_Data!T321)</f>
        <v/>
      </c>
      <c r="F331" s="167" t="str">
        <f>IF(ISBLANK(DaqBook_RAW_Data!U321),"",DaqBook_RAW_Data!U321)</f>
        <v/>
      </c>
      <c r="G331" s="167" t="str">
        <f>IF(ISBLANK(DaqBook_RAW_Data!V321),"",DaqBook_RAW_Data!V321)</f>
        <v/>
      </c>
      <c r="H331" s="167" t="str">
        <f>IF(ISBLANK(DaqBook_RAW_Data!W321),"",DaqBook_RAW_Data!W321)</f>
        <v/>
      </c>
      <c r="I331" s="167" t="str">
        <f>IF(ISBLANK(DaqBook_RAW_Data!X321),"",DaqBook_RAW_Data!X321)</f>
        <v/>
      </c>
      <c r="J331" s="167" t="str">
        <f>IF(ISBLANK(DaqBook_RAW_Data!Y321),"",DaqBook_RAW_Data!Y321)</f>
        <v/>
      </c>
      <c r="K331" s="167" t="str">
        <f>IF(ISBLANK(DaqBook_RAW_Data!Z321),"",DaqBook_RAW_Data!Z321)</f>
        <v/>
      </c>
      <c r="L331" s="167" t="str">
        <f>IF(ISBLANK(DaqBook_RAW_Data!AA321),"",DaqBook_RAW_Data!AA321)</f>
        <v/>
      </c>
      <c r="M331" s="167" t="str">
        <f>IF(ISBLANK(DaqBook_RAW_Data!AB321),"",DaqBook_RAW_Data!AB321)</f>
        <v/>
      </c>
      <c r="N331" s="167" t="str">
        <f>IF(ISBLANK(DaqBook_RAW_Data!AC321),"",DaqBook_RAW_Data!AC321)</f>
        <v/>
      </c>
      <c r="O331" s="167" t="str">
        <f>IF(ISBLANK(DaqBook_RAW_Data!AD321),"",DaqBook_RAW_Data!AD321)</f>
        <v/>
      </c>
      <c r="P331" s="167" t="str">
        <f>IF(ISBLANK(DaqBook_RAW_Data!AE321),"",DaqBook_RAW_Data!AE321)</f>
        <v/>
      </c>
    </row>
    <row r="332" spans="1:16" x14ac:dyDescent="0.2">
      <c r="A332" s="58" t="e">
        <f t="shared" si="4"/>
        <v>#VALUE!</v>
      </c>
      <c r="B332" s="144" t="str">
        <f>IF(ISBLANK(DaqBook_RAW_Data!Q322),IF(DaqBook_RAW_Data!A322="","",TIMEVALUE(DaqBook_RAW_Data!A322)),TIMEVALUE(DaqBook_RAW_Data!Q322))</f>
        <v/>
      </c>
      <c r="C332" s="167" t="str">
        <f>IF(ISBLANK(DaqBook_RAW_Data!R322),"",DaqBook_RAW_Data!R322)</f>
        <v/>
      </c>
      <c r="D332" s="167" t="str">
        <f>IF(ISBLANK(DaqBook_RAW_Data!S322),"",DaqBook_RAW_Data!S322)</f>
        <v/>
      </c>
      <c r="E332" s="167" t="str">
        <f>IF(ISBLANK(DaqBook_RAW_Data!T322),"",DaqBook_RAW_Data!T322)</f>
        <v/>
      </c>
      <c r="F332" s="167" t="str">
        <f>IF(ISBLANK(DaqBook_RAW_Data!U322),"",DaqBook_RAW_Data!U322)</f>
        <v/>
      </c>
      <c r="G332" s="167" t="str">
        <f>IF(ISBLANK(DaqBook_RAW_Data!V322),"",DaqBook_RAW_Data!V322)</f>
        <v/>
      </c>
      <c r="H332" s="167" t="str">
        <f>IF(ISBLANK(DaqBook_RAW_Data!W322),"",DaqBook_RAW_Data!W322)</f>
        <v/>
      </c>
      <c r="I332" s="167" t="str">
        <f>IF(ISBLANK(DaqBook_RAW_Data!X322),"",DaqBook_RAW_Data!X322)</f>
        <v/>
      </c>
      <c r="J332" s="167" t="str">
        <f>IF(ISBLANK(DaqBook_RAW_Data!Y322),"",DaqBook_RAW_Data!Y322)</f>
        <v/>
      </c>
      <c r="K332" s="167" t="str">
        <f>IF(ISBLANK(DaqBook_RAW_Data!Z322),"",DaqBook_RAW_Data!Z322)</f>
        <v/>
      </c>
      <c r="L332" s="167" t="str">
        <f>IF(ISBLANK(DaqBook_RAW_Data!AA322),"",DaqBook_RAW_Data!AA322)</f>
        <v/>
      </c>
      <c r="M332" s="167" t="str">
        <f>IF(ISBLANK(DaqBook_RAW_Data!AB322),"",DaqBook_RAW_Data!AB322)</f>
        <v/>
      </c>
      <c r="N332" s="167" t="str">
        <f>IF(ISBLANK(DaqBook_RAW_Data!AC322),"",DaqBook_RAW_Data!AC322)</f>
        <v/>
      </c>
      <c r="O332" s="167" t="str">
        <f>IF(ISBLANK(DaqBook_RAW_Data!AD322),"",DaqBook_RAW_Data!AD322)</f>
        <v/>
      </c>
      <c r="P332" s="167" t="str">
        <f>IF(ISBLANK(DaqBook_RAW_Data!AE322),"",DaqBook_RAW_Data!AE322)</f>
        <v/>
      </c>
    </row>
    <row r="333" spans="1:16" x14ac:dyDescent="0.2">
      <c r="A333" s="58" t="e">
        <f t="shared" si="4"/>
        <v>#VALUE!</v>
      </c>
      <c r="B333" s="144" t="str">
        <f>IF(ISBLANK(DaqBook_RAW_Data!Q323),IF(DaqBook_RAW_Data!A323="","",TIMEVALUE(DaqBook_RAW_Data!A323)),TIMEVALUE(DaqBook_RAW_Data!Q323))</f>
        <v/>
      </c>
      <c r="C333" s="167" t="str">
        <f>IF(ISBLANK(DaqBook_RAW_Data!R323),"",DaqBook_RAW_Data!R323)</f>
        <v/>
      </c>
      <c r="D333" s="167" t="str">
        <f>IF(ISBLANK(DaqBook_RAW_Data!S323),"",DaqBook_RAW_Data!S323)</f>
        <v/>
      </c>
      <c r="E333" s="167" t="str">
        <f>IF(ISBLANK(DaqBook_RAW_Data!T323),"",DaqBook_RAW_Data!T323)</f>
        <v/>
      </c>
      <c r="F333" s="167" t="str">
        <f>IF(ISBLANK(DaqBook_RAW_Data!U323),"",DaqBook_RAW_Data!U323)</f>
        <v/>
      </c>
      <c r="G333" s="167" t="str">
        <f>IF(ISBLANK(DaqBook_RAW_Data!V323),"",DaqBook_RAW_Data!V323)</f>
        <v/>
      </c>
      <c r="H333" s="167" t="str">
        <f>IF(ISBLANK(DaqBook_RAW_Data!W323),"",DaqBook_RAW_Data!W323)</f>
        <v/>
      </c>
      <c r="I333" s="167" t="str">
        <f>IF(ISBLANK(DaqBook_RAW_Data!X323),"",DaqBook_RAW_Data!X323)</f>
        <v/>
      </c>
      <c r="J333" s="167" t="str">
        <f>IF(ISBLANK(DaqBook_RAW_Data!Y323),"",DaqBook_RAW_Data!Y323)</f>
        <v/>
      </c>
      <c r="K333" s="167" t="str">
        <f>IF(ISBLANK(DaqBook_RAW_Data!Z323),"",DaqBook_RAW_Data!Z323)</f>
        <v/>
      </c>
      <c r="L333" s="167" t="str">
        <f>IF(ISBLANK(DaqBook_RAW_Data!AA323),"",DaqBook_RAW_Data!AA323)</f>
        <v/>
      </c>
      <c r="M333" s="167" t="str">
        <f>IF(ISBLANK(DaqBook_RAW_Data!AB323),"",DaqBook_RAW_Data!AB323)</f>
        <v/>
      </c>
      <c r="N333" s="167" t="str">
        <f>IF(ISBLANK(DaqBook_RAW_Data!AC323),"",DaqBook_RAW_Data!AC323)</f>
        <v/>
      </c>
      <c r="O333" s="167" t="str">
        <f>IF(ISBLANK(DaqBook_RAW_Data!AD323),"",DaqBook_RAW_Data!AD323)</f>
        <v/>
      </c>
      <c r="P333" s="167" t="str">
        <f>IF(ISBLANK(DaqBook_RAW_Data!AE323),"",DaqBook_RAW_Data!AE323)</f>
        <v/>
      </c>
    </row>
    <row r="334" spans="1:16" x14ac:dyDescent="0.2">
      <c r="A334" s="58" t="e">
        <f t="shared" si="4"/>
        <v>#VALUE!</v>
      </c>
      <c r="B334" s="144" t="str">
        <f>IF(ISBLANK(DaqBook_RAW_Data!Q324),IF(DaqBook_RAW_Data!A324="","",TIMEVALUE(DaqBook_RAW_Data!A324)),TIMEVALUE(DaqBook_RAW_Data!Q324))</f>
        <v/>
      </c>
      <c r="C334" s="167" t="str">
        <f>IF(ISBLANK(DaqBook_RAW_Data!R324),"",DaqBook_RAW_Data!R324)</f>
        <v/>
      </c>
      <c r="D334" s="167" t="str">
        <f>IF(ISBLANK(DaqBook_RAW_Data!S324),"",DaqBook_RAW_Data!S324)</f>
        <v/>
      </c>
      <c r="E334" s="167" t="str">
        <f>IF(ISBLANK(DaqBook_RAW_Data!T324),"",DaqBook_RAW_Data!T324)</f>
        <v/>
      </c>
      <c r="F334" s="167" t="str">
        <f>IF(ISBLANK(DaqBook_RAW_Data!U324),"",DaqBook_RAW_Data!U324)</f>
        <v/>
      </c>
      <c r="G334" s="167" t="str">
        <f>IF(ISBLANK(DaqBook_RAW_Data!V324),"",DaqBook_RAW_Data!V324)</f>
        <v/>
      </c>
      <c r="H334" s="167" t="str">
        <f>IF(ISBLANK(DaqBook_RAW_Data!W324),"",DaqBook_RAW_Data!W324)</f>
        <v/>
      </c>
      <c r="I334" s="167" t="str">
        <f>IF(ISBLANK(DaqBook_RAW_Data!X324),"",DaqBook_RAW_Data!X324)</f>
        <v/>
      </c>
      <c r="J334" s="167" t="str">
        <f>IF(ISBLANK(DaqBook_RAW_Data!Y324),"",DaqBook_RAW_Data!Y324)</f>
        <v/>
      </c>
      <c r="K334" s="167" t="str">
        <f>IF(ISBLANK(DaqBook_RAW_Data!Z324),"",DaqBook_RAW_Data!Z324)</f>
        <v/>
      </c>
      <c r="L334" s="167" t="str">
        <f>IF(ISBLANK(DaqBook_RAW_Data!AA324),"",DaqBook_RAW_Data!AA324)</f>
        <v/>
      </c>
      <c r="M334" s="167" t="str">
        <f>IF(ISBLANK(DaqBook_RAW_Data!AB324),"",DaqBook_RAW_Data!AB324)</f>
        <v/>
      </c>
      <c r="N334" s="167" t="str">
        <f>IF(ISBLANK(DaqBook_RAW_Data!AC324),"",DaqBook_RAW_Data!AC324)</f>
        <v/>
      </c>
      <c r="O334" s="167" t="str">
        <f>IF(ISBLANK(DaqBook_RAW_Data!AD324),"",DaqBook_RAW_Data!AD324)</f>
        <v/>
      </c>
      <c r="P334" s="167" t="str">
        <f>IF(ISBLANK(DaqBook_RAW_Data!AE324),"",DaqBook_RAW_Data!AE324)</f>
        <v/>
      </c>
    </row>
    <row r="335" spans="1:16" x14ac:dyDescent="0.2">
      <c r="A335" s="58" t="e">
        <f t="shared" ref="A335:A398" si="5">HOUR(B335)&amp;":"&amp;MINUTE(B335)</f>
        <v>#VALUE!</v>
      </c>
      <c r="B335" s="144" t="str">
        <f>IF(ISBLANK(DaqBook_RAW_Data!Q325),IF(DaqBook_RAW_Data!A325="","",TIMEVALUE(DaqBook_RAW_Data!A325)),TIMEVALUE(DaqBook_RAW_Data!Q325))</f>
        <v/>
      </c>
      <c r="C335" s="167" t="str">
        <f>IF(ISBLANK(DaqBook_RAW_Data!R325),"",DaqBook_RAW_Data!R325)</f>
        <v/>
      </c>
      <c r="D335" s="167" t="str">
        <f>IF(ISBLANK(DaqBook_RAW_Data!S325),"",DaqBook_RAW_Data!S325)</f>
        <v/>
      </c>
      <c r="E335" s="167" t="str">
        <f>IF(ISBLANK(DaqBook_RAW_Data!T325),"",DaqBook_RAW_Data!T325)</f>
        <v/>
      </c>
      <c r="F335" s="167" t="str">
        <f>IF(ISBLANK(DaqBook_RAW_Data!U325),"",DaqBook_RAW_Data!U325)</f>
        <v/>
      </c>
      <c r="G335" s="167" t="str">
        <f>IF(ISBLANK(DaqBook_RAW_Data!V325),"",DaqBook_RAW_Data!V325)</f>
        <v/>
      </c>
      <c r="H335" s="167" t="str">
        <f>IF(ISBLANK(DaqBook_RAW_Data!W325),"",DaqBook_RAW_Data!W325)</f>
        <v/>
      </c>
      <c r="I335" s="167" t="str">
        <f>IF(ISBLANK(DaqBook_RAW_Data!X325),"",DaqBook_RAW_Data!X325)</f>
        <v/>
      </c>
      <c r="J335" s="167" t="str">
        <f>IF(ISBLANK(DaqBook_RAW_Data!Y325),"",DaqBook_RAW_Data!Y325)</f>
        <v/>
      </c>
      <c r="K335" s="167" t="str">
        <f>IF(ISBLANK(DaqBook_RAW_Data!Z325),"",DaqBook_RAW_Data!Z325)</f>
        <v/>
      </c>
      <c r="L335" s="167" t="str">
        <f>IF(ISBLANK(DaqBook_RAW_Data!AA325),"",DaqBook_RAW_Data!AA325)</f>
        <v/>
      </c>
      <c r="M335" s="167" t="str">
        <f>IF(ISBLANK(DaqBook_RAW_Data!AB325),"",DaqBook_RAW_Data!AB325)</f>
        <v/>
      </c>
      <c r="N335" s="167" t="str">
        <f>IF(ISBLANK(DaqBook_RAW_Data!AC325),"",DaqBook_RAW_Data!AC325)</f>
        <v/>
      </c>
      <c r="O335" s="167" t="str">
        <f>IF(ISBLANK(DaqBook_RAW_Data!AD325),"",DaqBook_RAW_Data!AD325)</f>
        <v/>
      </c>
      <c r="P335" s="167" t="str">
        <f>IF(ISBLANK(DaqBook_RAW_Data!AE325),"",DaqBook_RAW_Data!AE325)</f>
        <v/>
      </c>
    </row>
    <row r="336" spans="1:16" x14ac:dyDescent="0.2">
      <c r="A336" s="58" t="e">
        <f t="shared" si="5"/>
        <v>#VALUE!</v>
      </c>
      <c r="B336" s="144" t="str">
        <f>IF(ISBLANK(DaqBook_RAW_Data!Q326),IF(DaqBook_RAW_Data!A326="","",TIMEVALUE(DaqBook_RAW_Data!A326)),TIMEVALUE(DaqBook_RAW_Data!Q326))</f>
        <v/>
      </c>
      <c r="C336" s="167" t="str">
        <f>IF(ISBLANK(DaqBook_RAW_Data!R326),"",DaqBook_RAW_Data!R326)</f>
        <v/>
      </c>
      <c r="D336" s="167" t="str">
        <f>IF(ISBLANK(DaqBook_RAW_Data!S326),"",DaqBook_RAW_Data!S326)</f>
        <v/>
      </c>
      <c r="E336" s="167" t="str">
        <f>IF(ISBLANK(DaqBook_RAW_Data!T326),"",DaqBook_RAW_Data!T326)</f>
        <v/>
      </c>
      <c r="F336" s="167" t="str">
        <f>IF(ISBLANK(DaqBook_RAW_Data!U326),"",DaqBook_RAW_Data!U326)</f>
        <v/>
      </c>
      <c r="G336" s="167" t="str">
        <f>IF(ISBLANK(DaqBook_RAW_Data!V326),"",DaqBook_RAW_Data!V326)</f>
        <v/>
      </c>
      <c r="H336" s="167" t="str">
        <f>IF(ISBLANK(DaqBook_RAW_Data!W326),"",DaqBook_RAW_Data!W326)</f>
        <v/>
      </c>
      <c r="I336" s="167" t="str">
        <f>IF(ISBLANK(DaqBook_RAW_Data!X326),"",DaqBook_RAW_Data!X326)</f>
        <v/>
      </c>
      <c r="J336" s="167" t="str">
        <f>IF(ISBLANK(DaqBook_RAW_Data!Y326),"",DaqBook_RAW_Data!Y326)</f>
        <v/>
      </c>
      <c r="K336" s="167" t="str">
        <f>IF(ISBLANK(DaqBook_RAW_Data!Z326),"",DaqBook_RAW_Data!Z326)</f>
        <v/>
      </c>
      <c r="L336" s="167" t="str">
        <f>IF(ISBLANK(DaqBook_RAW_Data!AA326),"",DaqBook_RAW_Data!AA326)</f>
        <v/>
      </c>
      <c r="M336" s="167" t="str">
        <f>IF(ISBLANK(DaqBook_RAW_Data!AB326),"",DaqBook_RAW_Data!AB326)</f>
        <v/>
      </c>
      <c r="N336" s="167" t="str">
        <f>IF(ISBLANK(DaqBook_RAW_Data!AC326),"",DaqBook_RAW_Data!AC326)</f>
        <v/>
      </c>
      <c r="O336" s="167" t="str">
        <f>IF(ISBLANK(DaqBook_RAW_Data!AD326),"",DaqBook_RAW_Data!AD326)</f>
        <v/>
      </c>
      <c r="P336" s="167" t="str">
        <f>IF(ISBLANK(DaqBook_RAW_Data!AE326),"",DaqBook_RAW_Data!AE326)</f>
        <v/>
      </c>
    </row>
    <row r="337" spans="1:16" x14ac:dyDescent="0.2">
      <c r="A337" s="58" t="e">
        <f t="shared" si="5"/>
        <v>#VALUE!</v>
      </c>
      <c r="B337" s="144" t="str">
        <f>IF(ISBLANK(DaqBook_RAW_Data!Q327),IF(DaqBook_RAW_Data!A327="","",TIMEVALUE(DaqBook_RAW_Data!A327)),TIMEVALUE(DaqBook_RAW_Data!Q327))</f>
        <v/>
      </c>
      <c r="C337" s="167" t="str">
        <f>IF(ISBLANK(DaqBook_RAW_Data!R327),"",DaqBook_RAW_Data!R327)</f>
        <v/>
      </c>
      <c r="D337" s="167" t="str">
        <f>IF(ISBLANK(DaqBook_RAW_Data!S327),"",DaqBook_RAW_Data!S327)</f>
        <v/>
      </c>
      <c r="E337" s="167" t="str">
        <f>IF(ISBLANK(DaqBook_RAW_Data!T327),"",DaqBook_RAW_Data!T327)</f>
        <v/>
      </c>
      <c r="F337" s="167" t="str">
        <f>IF(ISBLANK(DaqBook_RAW_Data!U327),"",DaqBook_RAW_Data!U327)</f>
        <v/>
      </c>
      <c r="G337" s="167" t="str">
        <f>IF(ISBLANK(DaqBook_RAW_Data!V327),"",DaqBook_RAW_Data!V327)</f>
        <v/>
      </c>
      <c r="H337" s="167" t="str">
        <f>IF(ISBLANK(DaqBook_RAW_Data!W327),"",DaqBook_RAW_Data!W327)</f>
        <v/>
      </c>
      <c r="I337" s="167" t="str">
        <f>IF(ISBLANK(DaqBook_RAW_Data!X327),"",DaqBook_RAW_Data!X327)</f>
        <v/>
      </c>
      <c r="J337" s="167" t="str">
        <f>IF(ISBLANK(DaqBook_RAW_Data!Y327),"",DaqBook_RAW_Data!Y327)</f>
        <v/>
      </c>
      <c r="K337" s="167" t="str">
        <f>IF(ISBLANK(DaqBook_RAW_Data!Z327),"",DaqBook_RAW_Data!Z327)</f>
        <v/>
      </c>
      <c r="L337" s="167" t="str">
        <f>IF(ISBLANK(DaqBook_RAW_Data!AA327),"",DaqBook_RAW_Data!AA327)</f>
        <v/>
      </c>
      <c r="M337" s="167" t="str">
        <f>IF(ISBLANK(DaqBook_RAW_Data!AB327),"",DaqBook_RAW_Data!AB327)</f>
        <v/>
      </c>
      <c r="N337" s="167" t="str">
        <f>IF(ISBLANK(DaqBook_RAW_Data!AC327),"",DaqBook_RAW_Data!AC327)</f>
        <v/>
      </c>
      <c r="O337" s="167" t="str">
        <f>IF(ISBLANK(DaqBook_RAW_Data!AD327),"",DaqBook_RAW_Data!AD327)</f>
        <v/>
      </c>
      <c r="P337" s="167" t="str">
        <f>IF(ISBLANK(DaqBook_RAW_Data!AE327),"",DaqBook_RAW_Data!AE327)</f>
        <v/>
      </c>
    </row>
    <row r="338" spans="1:16" x14ac:dyDescent="0.2">
      <c r="A338" s="58" t="e">
        <f t="shared" si="5"/>
        <v>#VALUE!</v>
      </c>
      <c r="B338" s="144" t="str">
        <f>IF(ISBLANK(DaqBook_RAW_Data!Q328),IF(DaqBook_RAW_Data!A328="","",TIMEVALUE(DaqBook_RAW_Data!A328)),TIMEVALUE(DaqBook_RAW_Data!Q328))</f>
        <v/>
      </c>
      <c r="C338" s="167" t="str">
        <f>IF(ISBLANK(DaqBook_RAW_Data!R328),"",DaqBook_RAW_Data!R328)</f>
        <v/>
      </c>
      <c r="D338" s="167" t="str">
        <f>IF(ISBLANK(DaqBook_RAW_Data!S328),"",DaqBook_RAW_Data!S328)</f>
        <v/>
      </c>
      <c r="E338" s="167" t="str">
        <f>IF(ISBLANK(DaqBook_RAW_Data!T328),"",DaqBook_RAW_Data!T328)</f>
        <v/>
      </c>
      <c r="F338" s="167" t="str">
        <f>IF(ISBLANK(DaqBook_RAW_Data!U328),"",DaqBook_RAW_Data!U328)</f>
        <v/>
      </c>
      <c r="G338" s="167" t="str">
        <f>IF(ISBLANK(DaqBook_RAW_Data!V328),"",DaqBook_RAW_Data!V328)</f>
        <v/>
      </c>
      <c r="H338" s="167" t="str">
        <f>IF(ISBLANK(DaqBook_RAW_Data!W328),"",DaqBook_RAW_Data!W328)</f>
        <v/>
      </c>
      <c r="I338" s="167" t="str">
        <f>IF(ISBLANK(DaqBook_RAW_Data!X328),"",DaqBook_RAW_Data!X328)</f>
        <v/>
      </c>
      <c r="J338" s="167" t="str">
        <f>IF(ISBLANK(DaqBook_RAW_Data!Y328),"",DaqBook_RAW_Data!Y328)</f>
        <v/>
      </c>
      <c r="K338" s="167" t="str">
        <f>IF(ISBLANK(DaqBook_RAW_Data!Z328),"",DaqBook_RAW_Data!Z328)</f>
        <v/>
      </c>
      <c r="L338" s="167" t="str">
        <f>IF(ISBLANK(DaqBook_RAW_Data!AA328),"",DaqBook_RAW_Data!AA328)</f>
        <v/>
      </c>
      <c r="M338" s="167" t="str">
        <f>IF(ISBLANK(DaqBook_RAW_Data!AB328),"",DaqBook_RAW_Data!AB328)</f>
        <v/>
      </c>
      <c r="N338" s="167" t="str">
        <f>IF(ISBLANK(DaqBook_RAW_Data!AC328),"",DaqBook_RAW_Data!AC328)</f>
        <v/>
      </c>
      <c r="O338" s="167" t="str">
        <f>IF(ISBLANK(DaqBook_RAW_Data!AD328),"",DaqBook_RAW_Data!AD328)</f>
        <v/>
      </c>
      <c r="P338" s="167" t="str">
        <f>IF(ISBLANK(DaqBook_RAW_Data!AE328),"",DaqBook_RAW_Data!AE328)</f>
        <v/>
      </c>
    </row>
    <row r="339" spans="1:16" x14ac:dyDescent="0.2">
      <c r="A339" s="58" t="e">
        <f t="shared" si="5"/>
        <v>#VALUE!</v>
      </c>
      <c r="B339" s="144" t="str">
        <f>IF(ISBLANK(DaqBook_RAW_Data!Q329),IF(DaqBook_RAW_Data!A329="","",TIMEVALUE(DaqBook_RAW_Data!A329)),TIMEVALUE(DaqBook_RAW_Data!Q329))</f>
        <v/>
      </c>
      <c r="C339" s="167" t="str">
        <f>IF(ISBLANK(DaqBook_RAW_Data!R329),"",DaqBook_RAW_Data!R329)</f>
        <v/>
      </c>
      <c r="D339" s="167" t="str">
        <f>IF(ISBLANK(DaqBook_RAW_Data!S329),"",DaqBook_RAW_Data!S329)</f>
        <v/>
      </c>
      <c r="E339" s="167" t="str">
        <f>IF(ISBLANK(DaqBook_RAW_Data!T329),"",DaqBook_RAW_Data!T329)</f>
        <v/>
      </c>
      <c r="F339" s="167" t="str">
        <f>IF(ISBLANK(DaqBook_RAW_Data!U329),"",DaqBook_RAW_Data!U329)</f>
        <v/>
      </c>
      <c r="G339" s="167" t="str">
        <f>IF(ISBLANK(DaqBook_RAW_Data!V329),"",DaqBook_RAW_Data!V329)</f>
        <v/>
      </c>
      <c r="H339" s="167" t="str">
        <f>IF(ISBLANK(DaqBook_RAW_Data!W329),"",DaqBook_RAW_Data!W329)</f>
        <v/>
      </c>
      <c r="I339" s="167" t="str">
        <f>IF(ISBLANK(DaqBook_RAW_Data!X329),"",DaqBook_RAW_Data!X329)</f>
        <v/>
      </c>
      <c r="J339" s="167" t="str">
        <f>IF(ISBLANK(DaqBook_RAW_Data!Y329),"",DaqBook_RAW_Data!Y329)</f>
        <v/>
      </c>
      <c r="K339" s="167" t="str">
        <f>IF(ISBLANK(DaqBook_RAW_Data!Z329),"",DaqBook_RAW_Data!Z329)</f>
        <v/>
      </c>
      <c r="L339" s="167" t="str">
        <f>IF(ISBLANK(DaqBook_RAW_Data!AA329),"",DaqBook_RAW_Data!AA329)</f>
        <v/>
      </c>
      <c r="M339" s="167" t="str">
        <f>IF(ISBLANK(DaqBook_RAW_Data!AB329),"",DaqBook_RAW_Data!AB329)</f>
        <v/>
      </c>
      <c r="N339" s="167" t="str">
        <f>IF(ISBLANK(DaqBook_RAW_Data!AC329),"",DaqBook_RAW_Data!AC329)</f>
        <v/>
      </c>
      <c r="O339" s="167" t="str">
        <f>IF(ISBLANK(DaqBook_RAW_Data!AD329),"",DaqBook_RAW_Data!AD329)</f>
        <v/>
      </c>
      <c r="P339" s="167" t="str">
        <f>IF(ISBLANK(DaqBook_RAW_Data!AE329),"",DaqBook_RAW_Data!AE329)</f>
        <v/>
      </c>
    </row>
    <row r="340" spans="1:16" x14ac:dyDescent="0.2">
      <c r="A340" s="58" t="e">
        <f t="shared" si="5"/>
        <v>#VALUE!</v>
      </c>
      <c r="B340" s="144" t="str">
        <f>IF(ISBLANK(DaqBook_RAW_Data!Q330),IF(DaqBook_RAW_Data!A330="","",TIMEVALUE(DaqBook_RAW_Data!A330)),TIMEVALUE(DaqBook_RAW_Data!Q330))</f>
        <v/>
      </c>
      <c r="C340" s="167" t="str">
        <f>IF(ISBLANK(DaqBook_RAW_Data!R330),"",DaqBook_RAW_Data!R330)</f>
        <v/>
      </c>
      <c r="D340" s="167" t="str">
        <f>IF(ISBLANK(DaqBook_RAW_Data!S330),"",DaqBook_RAW_Data!S330)</f>
        <v/>
      </c>
      <c r="E340" s="167" t="str">
        <f>IF(ISBLANK(DaqBook_RAW_Data!T330),"",DaqBook_RAW_Data!T330)</f>
        <v/>
      </c>
      <c r="F340" s="167" t="str">
        <f>IF(ISBLANK(DaqBook_RAW_Data!U330),"",DaqBook_RAW_Data!U330)</f>
        <v/>
      </c>
      <c r="G340" s="167" t="str">
        <f>IF(ISBLANK(DaqBook_RAW_Data!V330),"",DaqBook_RAW_Data!V330)</f>
        <v/>
      </c>
      <c r="H340" s="167" t="str">
        <f>IF(ISBLANK(DaqBook_RAW_Data!W330),"",DaqBook_RAW_Data!W330)</f>
        <v/>
      </c>
      <c r="I340" s="167" t="str">
        <f>IF(ISBLANK(DaqBook_RAW_Data!X330),"",DaqBook_RAW_Data!X330)</f>
        <v/>
      </c>
      <c r="J340" s="167" t="str">
        <f>IF(ISBLANK(DaqBook_RAW_Data!Y330),"",DaqBook_RAW_Data!Y330)</f>
        <v/>
      </c>
      <c r="K340" s="167" t="str">
        <f>IF(ISBLANK(DaqBook_RAW_Data!Z330),"",DaqBook_RAW_Data!Z330)</f>
        <v/>
      </c>
      <c r="L340" s="167" t="str">
        <f>IF(ISBLANK(DaqBook_RAW_Data!AA330),"",DaqBook_RAW_Data!AA330)</f>
        <v/>
      </c>
      <c r="M340" s="167" t="str">
        <f>IF(ISBLANK(DaqBook_RAW_Data!AB330),"",DaqBook_RAW_Data!AB330)</f>
        <v/>
      </c>
      <c r="N340" s="167" t="str">
        <f>IF(ISBLANK(DaqBook_RAW_Data!AC330),"",DaqBook_RAW_Data!AC330)</f>
        <v/>
      </c>
      <c r="O340" s="167" t="str">
        <f>IF(ISBLANK(DaqBook_RAW_Data!AD330),"",DaqBook_RAW_Data!AD330)</f>
        <v/>
      </c>
      <c r="P340" s="167" t="str">
        <f>IF(ISBLANK(DaqBook_RAW_Data!AE330),"",DaqBook_RAW_Data!AE330)</f>
        <v/>
      </c>
    </row>
    <row r="341" spans="1:16" x14ac:dyDescent="0.2">
      <c r="A341" s="58" t="e">
        <f t="shared" si="5"/>
        <v>#VALUE!</v>
      </c>
      <c r="B341" s="144" t="str">
        <f>IF(ISBLANK(DaqBook_RAW_Data!Q331),IF(DaqBook_RAW_Data!A331="","",TIMEVALUE(DaqBook_RAW_Data!A331)),TIMEVALUE(DaqBook_RAW_Data!Q331))</f>
        <v/>
      </c>
      <c r="C341" s="167" t="str">
        <f>IF(ISBLANK(DaqBook_RAW_Data!R331),"",DaqBook_RAW_Data!R331)</f>
        <v/>
      </c>
      <c r="D341" s="167" t="str">
        <f>IF(ISBLANK(DaqBook_RAW_Data!S331),"",DaqBook_RAW_Data!S331)</f>
        <v/>
      </c>
      <c r="E341" s="167" t="str">
        <f>IF(ISBLANK(DaqBook_RAW_Data!T331),"",DaqBook_RAW_Data!T331)</f>
        <v/>
      </c>
      <c r="F341" s="167" t="str">
        <f>IF(ISBLANK(DaqBook_RAW_Data!U331),"",DaqBook_RAW_Data!U331)</f>
        <v/>
      </c>
      <c r="G341" s="167" t="str">
        <f>IF(ISBLANK(DaqBook_RAW_Data!V331),"",DaqBook_RAW_Data!V331)</f>
        <v/>
      </c>
      <c r="H341" s="167" t="str">
        <f>IF(ISBLANK(DaqBook_RAW_Data!W331),"",DaqBook_RAW_Data!W331)</f>
        <v/>
      </c>
      <c r="I341" s="167" t="str">
        <f>IF(ISBLANK(DaqBook_RAW_Data!X331),"",DaqBook_RAW_Data!X331)</f>
        <v/>
      </c>
      <c r="J341" s="167" t="str">
        <f>IF(ISBLANK(DaqBook_RAW_Data!Y331),"",DaqBook_RAW_Data!Y331)</f>
        <v/>
      </c>
      <c r="K341" s="167" t="str">
        <f>IF(ISBLANK(DaqBook_RAW_Data!Z331),"",DaqBook_RAW_Data!Z331)</f>
        <v/>
      </c>
      <c r="L341" s="167" t="str">
        <f>IF(ISBLANK(DaqBook_RAW_Data!AA331),"",DaqBook_RAW_Data!AA331)</f>
        <v/>
      </c>
      <c r="M341" s="167" t="str">
        <f>IF(ISBLANK(DaqBook_RAW_Data!AB331),"",DaqBook_RAW_Data!AB331)</f>
        <v/>
      </c>
      <c r="N341" s="167" t="str">
        <f>IF(ISBLANK(DaqBook_RAW_Data!AC331),"",DaqBook_RAW_Data!AC331)</f>
        <v/>
      </c>
      <c r="O341" s="167" t="str">
        <f>IF(ISBLANK(DaqBook_RAW_Data!AD331),"",DaqBook_RAW_Data!AD331)</f>
        <v/>
      </c>
      <c r="P341" s="167" t="str">
        <f>IF(ISBLANK(DaqBook_RAW_Data!AE331),"",DaqBook_RAW_Data!AE331)</f>
        <v/>
      </c>
    </row>
    <row r="342" spans="1:16" x14ac:dyDescent="0.2">
      <c r="A342" s="58" t="e">
        <f t="shared" si="5"/>
        <v>#VALUE!</v>
      </c>
      <c r="B342" s="144" t="str">
        <f>IF(ISBLANK(DaqBook_RAW_Data!Q332),IF(DaqBook_RAW_Data!A332="","",TIMEVALUE(DaqBook_RAW_Data!A332)),TIMEVALUE(DaqBook_RAW_Data!Q332))</f>
        <v/>
      </c>
      <c r="C342" s="167" t="str">
        <f>IF(ISBLANK(DaqBook_RAW_Data!R332),"",DaqBook_RAW_Data!R332)</f>
        <v/>
      </c>
      <c r="D342" s="167" t="str">
        <f>IF(ISBLANK(DaqBook_RAW_Data!S332),"",DaqBook_RAW_Data!S332)</f>
        <v/>
      </c>
      <c r="E342" s="167" t="str">
        <f>IF(ISBLANK(DaqBook_RAW_Data!T332),"",DaqBook_RAW_Data!T332)</f>
        <v/>
      </c>
      <c r="F342" s="167" t="str">
        <f>IF(ISBLANK(DaqBook_RAW_Data!U332),"",DaqBook_RAW_Data!U332)</f>
        <v/>
      </c>
      <c r="G342" s="167" t="str">
        <f>IF(ISBLANK(DaqBook_RAW_Data!V332),"",DaqBook_RAW_Data!V332)</f>
        <v/>
      </c>
      <c r="H342" s="167" t="str">
        <f>IF(ISBLANK(DaqBook_RAW_Data!W332),"",DaqBook_RAW_Data!W332)</f>
        <v/>
      </c>
      <c r="I342" s="167" t="str">
        <f>IF(ISBLANK(DaqBook_RAW_Data!X332),"",DaqBook_RAW_Data!X332)</f>
        <v/>
      </c>
      <c r="J342" s="167" t="str">
        <f>IF(ISBLANK(DaqBook_RAW_Data!Y332),"",DaqBook_RAW_Data!Y332)</f>
        <v/>
      </c>
      <c r="K342" s="167" t="str">
        <f>IF(ISBLANK(DaqBook_RAW_Data!Z332),"",DaqBook_RAW_Data!Z332)</f>
        <v/>
      </c>
      <c r="L342" s="167" t="str">
        <f>IF(ISBLANK(DaqBook_RAW_Data!AA332),"",DaqBook_RAW_Data!AA332)</f>
        <v/>
      </c>
      <c r="M342" s="167" t="str">
        <f>IF(ISBLANK(DaqBook_RAW_Data!AB332),"",DaqBook_RAW_Data!AB332)</f>
        <v/>
      </c>
      <c r="N342" s="167" t="str">
        <f>IF(ISBLANK(DaqBook_RAW_Data!AC332),"",DaqBook_RAW_Data!AC332)</f>
        <v/>
      </c>
      <c r="O342" s="167" t="str">
        <f>IF(ISBLANK(DaqBook_RAW_Data!AD332),"",DaqBook_RAW_Data!AD332)</f>
        <v/>
      </c>
      <c r="P342" s="167" t="str">
        <f>IF(ISBLANK(DaqBook_RAW_Data!AE332),"",DaqBook_RAW_Data!AE332)</f>
        <v/>
      </c>
    </row>
    <row r="343" spans="1:16" x14ac:dyDescent="0.2">
      <c r="A343" s="58" t="e">
        <f t="shared" si="5"/>
        <v>#VALUE!</v>
      </c>
      <c r="B343" s="144" t="str">
        <f>IF(ISBLANK(DaqBook_RAW_Data!Q333),IF(DaqBook_RAW_Data!A333="","",TIMEVALUE(DaqBook_RAW_Data!A333)),TIMEVALUE(DaqBook_RAW_Data!Q333))</f>
        <v/>
      </c>
      <c r="C343" s="167" t="str">
        <f>IF(ISBLANK(DaqBook_RAW_Data!R333),"",DaqBook_RAW_Data!R333)</f>
        <v/>
      </c>
      <c r="D343" s="167" t="str">
        <f>IF(ISBLANK(DaqBook_RAW_Data!S333),"",DaqBook_RAW_Data!S333)</f>
        <v/>
      </c>
      <c r="E343" s="167" t="str">
        <f>IF(ISBLANK(DaqBook_RAW_Data!T333),"",DaqBook_RAW_Data!T333)</f>
        <v/>
      </c>
      <c r="F343" s="167" t="str">
        <f>IF(ISBLANK(DaqBook_RAW_Data!U333),"",DaqBook_RAW_Data!U333)</f>
        <v/>
      </c>
      <c r="G343" s="167" t="str">
        <f>IF(ISBLANK(DaqBook_RAW_Data!V333),"",DaqBook_RAW_Data!V333)</f>
        <v/>
      </c>
      <c r="H343" s="167" t="str">
        <f>IF(ISBLANK(DaqBook_RAW_Data!W333),"",DaqBook_RAW_Data!W333)</f>
        <v/>
      </c>
      <c r="I343" s="167" t="str">
        <f>IF(ISBLANK(DaqBook_RAW_Data!X333),"",DaqBook_RAW_Data!X333)</f>
        <v/>
      </c>
      <c r="J343" s="167" t="str">
        <f>IF(ISBLANK(DaqBook_RAW_Data!Y333),"",DaqBook_RAW_Data!Y333)</f>
        <v/>
      </c>
      <c r="K343" s="167" t="str">
        <f>IF(ISBLANK(DaqBook_RAW_Data!Z333),"",DaqBook_RAW_Data!Z333)</f>
        <v/>
      </c>
      <c r="L343" s="167" t="str">
        <f>IF(ISBLANK(DaqBook_RAW_Data!AA333),"",DaqBook_RAW_Data!AA333)</f>
        <v/>
      </c>
      <c r="M343" s="167" t="str">
        <f>IF(ISBLANK(DaqBook_RAW_Data!AB333),"",DaqBook_RAW_Data!AB333)</f>
        <v/>
      </c>
      <c r="N343" s="167" t="str">
        <f>IF(ISBLANK(DaqBook_RAW_Data!AC333),"",DaqBook_RAW_Data!AC333)</f>
        <v/>
      </c>
      <c r="O343" s="167" t="str">
        <f>IF(ISBLANK(DaqBook_RAW_Data!AD333),"",DaqBook_RAW_Data!AD333)</f>
        <v/>
      </c>
      <c r="P343" s="167" t="str">
        <f>IF(ISBLANK(DaqBook_RAW_Data!AE333),"",DaqBook_RAW_Data!AE333)</f>
        <v/>
      </c>
    </row>
    <row r="344" spans="1:16" x14ac:dyDescent="0.2">
      <c r="A344" s="58" t="e">
        <f t="shared" si="5"/>
        <v>#VALUE!</v>
      </c>
      <c r="B344" s="144" t="str">
        <f>IF(ISBLANK(DaqBook_RAW_Data!Q334),IF(DaqBook_RAW_Data!A334="","",TIMEVALUE(DaqBook_RAW_Data!A334)),TIMEVALUE(DaqBook_RAW_Data!Q334))</f>
        <v/>
      </c>
      <c r="C344" s="167" t="str">
        <f>IF(ISBLANK(DaqBook_RAW_Data!R334),"",DaqBook_RAW_Data!R334)</f>
        <v/>
      </c>
      <c r="D344" s="167" t="str">
        <f>IF(ISBLANK(DaqBook_RAW_Data!S334),"",DaqBook_RAW_Data!S334)</f>
        <v/>
      </c>
      <c r="E344" s="167" t="str">
        <f>IF(ISBLANK(DaqBook_RAW_Data!T334),"",DaqBook_RAW_Data!T334)</f>
        <v/>
      </c>
      <c r="F344" s="167" t="str">
        <f>IF(ISBLANK(DaqBook_RAW_Data!U334),"",DaqBook_RAW_Data!U334)</f>
        <v/>
      </c>
      <c r="G344" s="167" t="str">
        <f>IF(ISBLANK(DaqBook_RAW_Data!V334),"",DaqBook_RAW_Data!V334)</f>
        <v/>
      </c>
      <c r="H344" s="167" t="str">
        <f>IF(ISBLANK(DaqBook_RAW_Data!W334),"",DaqBook_RAW_Data!W334)</f>
        <v/>
      </c>
      <c r="I344" s="167" t="str">
        <f>IF(ISBLANK(DaqBook_RAW_Data!X334),"",DaqBook_RAW_Data!X334)</f>
        <v/>
      </c>
      <c r="J344" s="167" t="str">
        <f>IF(ISBLANK(DaqBook_RAW_Data!Y334),"",DaqBook_RAW_Data!Y334)</f>
        <v/>
      </c>
      <c r="K344" s="167" t="str">
        <f>IF(ISBLANK(DaqBook_RAW_Data!Z334),"",DaqBook_RAW_Data!Z334)</f>
        <v/>
      </c>
      <c r="L344" s="167" t="str">
        <f>IF(ISBLANK(DaqBook_RAW_Data!AA334),"",DaqBook_RAW_Data!AA334)</f>
        <v/>
      </c>
      <c r="M344" s="167" t="str">
        <f>IF(ISBLANK(DaqBook_RAW_Data!AB334),"",DaqBook_RAW_Data!AB334)</f>
        <v/>
      </c>
      <c r="N344" s="167" t="str">
        <f>IF(ISBLANK(DaqBook_RAW_Data!AC334),"",DaqBook_RAW_Data!AC334)</f>
        <v/>
      </c>
      <c r="O344" s="167" t="str">
        <f>IF(ISBLANK(DaqBook_RAW_Data!AD334),"",DaqBook_RAW_Data!AD334)</f>
        <v/>
      </c>
      <c r="P344" s="167" t="str">
        <f>IF(ISBLANK(DaqBook_RAW_Data!AE334),"",DaqBook_RAW_Data!AE334)</f>
        <v/>
      </c>
    </row>
    <row r="345" spans="1:16" x14ac:dyDescent="0.2">
      <c r="A345" s="58" t="e">
        <f t="shared" si="5"/>
        <v>#VALUE!</v>
      </c>
      <c r="B345" s="144" t="str">
        <f>IF(ISBLANK(DaqBook_RAW_Data!Q335),IF(DaqBook_RAW_Data!A335="","",TIMEVALUE(DaqBook_RAW_Data!A335)),TIMEVALUE(DaqBook_RAW_Data!Q335))</f>
        <v/>
      </c>
      <c r="C345" s="167" t="str">
        <f>IF(ISBLANK(DaqBook_RAW_Data!R335),"",DaqBook_RAW_Data!R335)</f>
        <v/>
      </c>
      <c r="D345" s="167" t="str">
        <f>IF(ISBLANK(DaqBook_RAW_Data!S335),"",DaqBook_RAW_Data!S335)</f>
        <v/>
      </c>
      <c r="E345" s="167" t="str">
        <f>IF(ISBLANK(DaqBook_RAW_Data!T335),"",DaqBook_RAW_Data!T335)</f>
        <v/>
      </c>
      <c r="F345" s="167" t="str">
        <f>IF(ISBLANK(DaqBook_RAW_Data!U335),"",DaqBook_RAW_Data!U335)</f>
        <v/>
      </c>
      <c r="G345" s="167" t="str">
        <f>IF(ISBLANK(DaqBook_RAW_Data!V335),"",DaqBook_RAW_Data!V335)</f>
        <v/>
      </c>
      <c r="H345" s="167" t="str">
        <f>IF(ISBLANK(DaqBook_RAW_Data!W335),"",DaqBook_RAW_Data!W335)</f>
        <v/>
      </c>
      <c r="I345" s="167" t="str">
        <f>IF(ISBLANK(DaqBook_RAW_Data!X335),"",DaqBook_RAW_Data!X335)</f>
        <v/>
      </c>
      <c r="J345" s="167" t="str">
        <f>IF(ISBLANK(DaqBook_RAW_Data!Y335),"",DaqBook_RAW_Data!Y335)</f>
        <v/>
      </c>
      <c r="K345" s="167" t="str">
        <f>IF(ISBLANK(DaqBook_RAW_Data!Z335),"",DaqBook_RAW_Data!Z335)</f>
        <v/>
      </c>
      <c r="L345" s="167" t="str">
        <f>IF(ISBLANK(DaqBook_RAW_Data!AA335),"",DaqBook_RAW_Data!AA335)</f>
        <v/>
      </c>
      <c r="M345" s="167" t="str">
        <f>IF(ISBLANK(DaqBook_RAW_Data!AB335),"",DaqBook_RAW_Data!AB335)</f>
        <v/>
      </c>
      <c r="N345" s="167" t="str">
        <f>IF(ISBLANK(DaqBook_RAW_Data!AC335),"",DaqBook_RAW_Data!AC335)</f>
        <v/>
      </c>
      <c r="O345" s="167" t="str">
        <f>IF(ISBLANK(DaqBook_RAW_Data!AD335),"",DaqBook_RAW_Data!AD335)</f>
        <v/>
      </c>
      <c r="P345" s="167" t="str">
        <f>IF(ISBLANK(DaqBook_RAW_Data!AE335),"",DaqBook_RAW_Data!AE335)</f>
        <v/>
      </c>
    </row>
    <row r="346" spans="1:16" x14ac:dyDescent="0.2">
      <c r="A346" s="58" t="e">
        <f t="shared" si="5"/>
        <v>#VALUE!</v>
      </c>
      <c r="B346" s="144" t="str">
        <f>IF(ISBLANK(DaqBook_RAW_Data!Q336),IF(DaqBook_RAW_Data!A336="","",TIMEVALUE(DaqBook_RAW_Data!A336)),TIMEVALUE(DaqBook_RAW_Data!Q336))</f>
        <v/>
      </c>
      <c r="C346" s="167" t="str">
        <f>IF(ISBLANK(DaqBook_RAW_Data!R336),"",DaqBook_RAW_Data!R336)</f>
        <v/>
      </c>
      <c r="D346" s="167" t="str">
        <f>IF(ISBLANK(DaqBook_RAW_Data!S336),"",DaqBook_RAW_Data!S336)</f>
        <v/>
      </c>
      <c r="E346" s="167" t="str">
        <f>IF(ISBLANK(DaqBook_RAW_Data!T336),"",DaqBook_RAW_Data!T336)</f>
        <v/>
      </c>
      <c r="F346" s="167" t="str">
        <f>IF(ISBLANK(DaqBook_RAW_Data!U336),"",DaqBook_RAW_Data!U336)</f>
        <v/>
      </c>
      <c r="G346" s="167" t="str">
        <f>IF(ISBLANK(DaqBook_RAW_Data!V336),"",DaqBook_RAW_Data!V336)</f>
        <v/>
      </c>
      <c r="H346" s="167" t="str">
        <f>IF(ISBLANK(DaqBook_RAW_Data!W336),"",DaqBook_RAW_Data!W336)</f>
        <v/>
      </c>
      <c r="I346" s="167" t="str">
        <f>IF(ISBLANK(DaqBook_RAW_Data!X336),"",DaqBook_RAW_Data!X336)</f>
        <v/>
      </c>
      <c r="J346" s="167" t="str">
        <f>IF(ISBLANK(DaqBook_RAW_Data!Y336),"",DaqBook_RAW_Data!Y336)</f>
        <v/>
      </c>
      <c r="K346" s="167" t="str">
        <f>IF(ISBLANK(DaqBook_RAW_Data!Z336),"",DaqBook_RAW_Data!Z336)</f>
        <v/>
      </c>
      <c r="L346" s="167" t="str">
        <f>IF(ISBLANK(DaqBook_RAW_Data!AA336),"",DaqBook_RAW_Data!AA336)</f>
        <v/>
      </c>
      <c r="M346" s="167" t="str">
        <f>IF(ISBLANK(DaqBook_RAW_Data!AB336),"",DaqBook_RAW_Data!AB336)</f>
        <v/>
      </c>
      <c r="N346" s="167" t="str">
        <f>IF(ISBLANK(DaqBook_RAW_Data!AC336),"",DaqBook_RAW_Data!AC336)</f>
        <v/>
      </c>
      <c r="O346" s="167" t="str">
        <f>IF(ISBLANK(DaqBook_RAW_Data!AD336),"",DaqBook_RAW_Data!AD336)</f>
        <v/>
      </c>
      <c r="P346" s="167" t="str">
        <f>IF(ISBLANK(DaqBook_RAW_Data!AE336),"",DaqBook_RAW_Data!AE336)</f>
        <v/>
      </c>
    </row>
    <row r="347" spans="1:16" x14ac:dyDescent="0.2">
      <c r="A347" s="58" t="e">
        <f t="shared" si="5"/>
        <v>#VALUE!</v>
      </c>
      <c r="B347" s="144" t="str">
        <f>IF(ISBLANK(DaqBook_RAW_Data!Q337),IF(DaqBook_RAW_Data!A337="","",TIMEVALUE(DaqBook_RAW_Data!A337)),TIMEVALUE(DaqBook_RAW_Data!Q337))</f>
        <v/>
      </c>
      <c r="C347" s="167" t="str">
        <f>IF(ISBLANK(DaqBook_RAW_Data!R337),"",DaqBook_RAW_Data!R337)</f>
        <v/>
      </c>
      <c r="D347" s="167" t="str">
        <f>IF(ISBLANK(DaqBook_RAW_Data!S337),"",DaqBook_RAW_Data!S337)</f>
        <v/>
      </c>
      <c r="E347" s="167" t="str">
        <f>IF(ISBLANK(DaqBook_RAW_Data!T337),"",DaqBook_RAW_Data!T337)</f>
        <v/>
      </c>
      <c r="F347" s="167" t="str">
        <f>IF(ISBLANK(DaqBook_RAW_Data!U337),"",DaqBook_RAW_Data!U337)</f>
        <v/>
      </c>
      <c r="G347" s="167" t="str">
        <f>IF(ISBLANK(DaqBook_RAW_Data!V337),"",DaqBook_RAW_Data!V337)</f>
        <v/>
      </c>
      <c r="H347" s="167" t="str">
        <f>IF(ISBLANK(DaqBook_RAW_Data!W337),"",DaqBook_RAW_Data!W337)</f>
        <v/>
      </c>
      <c r="I347" s="167" t="str">
        <f>IF(ISBLANK(DaqBook_RAW_Data!X337),"",DaqBook_RAW_Data!X337)</f>
        <v/>
      </c>
      <c r="J347" s="167" t="str">
        <f>IF(ISBLANK(DaqBook_RAW_Data!Y337),"",DaqBook_RAW_Data!Y337)</f>
        <v/>
      </c>
      <c r="K347" s="167" t="str">
        <f>IF(ISBLANK(DaqBook_RAW_Data!Z337),"",DaqBook_RAW_Data!Z337)</f>
        <v/>
      </c>
      <c r="L347" s="167" t="str">
        <f>IF(ISBLANK(DaqBook_RAW_Data!AA337),"",DaqBook_RAW_Data!AA337)</f>
        <v/>
      </c>
      <c r="M347" s="167" t="str">
        <f>IF(ISBLANK(DaqBook_RAW_Data!AB337),"",DaqBook_RAW_Data!AB337)</f>
        <v/>
      </c>
      <c r="N347" s="167" t="str">
        <f>IF(ISBLANK(DaqBook_RAW_Data!AC337),"",DaqBook_RAW_Data!AC337)</f>
        <v/>
      </c>
      <c r="O347" s="167" t="str">
        <f>IF(ISBLANK(DaqBook_RAW_Data!AD337),"",DaqBook_RAW_Data!AD337)</f>
        <v/>
      </c>
      <c r="P347" s="167" t="str">
        <f>IF(ISBLANK(DaqBook_RAW_Data!AE337),"",DaqBook_RAW_Data!AE337)</f>
        <v/>
      </c>
    </row>
    <row r="348" spans="1:16" x14ac:dyDescent="0.2">
      <c r="A348" s="58" t="e">
        <f t="shared" si="5"/>
        <v>#VALUE!</v>
      </c>
      <c r="B348" s="144" t="str">
        <f>IF(ISBLANK(DaqBook_RAW_Data!Q338),IF(DaqBook_RAW_Data!A338="","",TIMEVALUE(DaqBook_RAW_Data!A338)),TIMEVALUE(DaqBook_RAW_Data!Q338))</f>
        <v/>
      </c>
      <c r="C348" s="167" t="str">
        <f>IF(ISBLANK(DaqBook_RAW_Data!R338),"",DaqBook_RAW_Data!R338)</f>
        <v/>
      </c>
      <c r="D348" s="167" t="str">
        <f>IF(ISBLANK(DaqBook_RAW_Data!S338),"",DaqBook_RAW_Data!S338)</f>
        <v/>
      </c>
      <c r="E348" s="167" t="str">
        <f>IF(ISBLANK(DaqBook_RAW_Data!T338),"",DaqBook_RAW_Data!T338)</f>
        <v/>
      </c>
      <c r="F348" s="167" t="str">
        <f>IF(ISBLANK(DaqBook_RAW_Data!U338),"",DaqBook_RAW_Data!U338)</f>
        <v/>
      </c>
      <c r="G348" s="167" t="str">
        <f>IF(ISBLANK(DaqBook_RAW_Data!V338),"",DaqBook_RAW_Data!V338)</f>
        <v/>
      </c>
      <c r="H348" s="167" t="str">
        <f>IF(ISBLANK(DaqBook_RAW_Data!W338),"",DaqBook_RAW_Data!W338)</f>
        <v/>
      </c>
      <c r="I348" s="167" t="str">
        <f>IF(ISBLANK(DaqBook_RAW_Data!X338),"",DaqBook_RAW_Data!X338)</f>
        <v/>
      </c>
      <c r="J348" s="167" t="str">
        <f>IF(ISBLANK(DaqBook_RAW_Data!Y338),"",DaqBook_RAW_Data!Y338)</f>
        <v/>
      </c>
      <c r="K348" s="167" t="str">
        <f>IF(ISBLANK(DaqBook_RAW_Data!Z338),"",DaqBook_RAW_Data!Z338)</f>
        <v/>
      </c>
      <c r="L348" s="167" t="str">
        <f>IF(ISBLANK(DaqBook_RAW_Data!AA338),"",DaqBook_RAW_Data!AA338)</f>
        <v/>
      </c>
      <c r="M348" s="167" t="str">
        <f>IF(ISBLANK(DaqBook_RAW_Data!AB338),"",DaqBook_RAW_Data!AB338)</f>
        <v/>
      </c>
      <c r="N348" s="167" t="str">
        <f>IF(ISBLANK(DaqBook_RAW_Data!AC338),"",DaqBook_RAW_Data!AC338)</f>
        <v/>
      </c>
      <c r="O348" s="167" t="str">
        <f>IF(ISBLANK(DaqBook_RAW_Data!AD338),"",DaqBook_RAW_Data!AD338)</f>
        <v/>
      </c>
      <c r="P348" s="167" t="str">
        <f>IF(ISBLANK(DaqBook_RAW_Data!AE338),"",DaqBook_RAW_Data!AE338)</f>
        <v/>
      </c>
    </row>
    <row r="349" spans="1:16" x14ac:dyDescent="0.2">
      <c r="A349" s="58" t="e">
        <f t="shared" si="5"/>
        <v>#VALUE!</v>
      </c>
      <c r="B349" s="144" t="str">
        <f>IF(ISBLANK(DaqBook_RAW_Data!Q339),IF(DaqBook_RAW_Data!A339="","",TIMEVALUE(DaqBook_RAW_Data!A339)),TIMEVALUE(DaqBook_RAW_Data!Q339))</f>
        <v/>
      </c>
      <c r="C349" s="167" t="str">
        <f>IF(ISBLANK(DaqBook_RAW_Data!R339),"",DaqBook_RAW_Data!R339)</f>
        <v/>
      </c>
      <c r="D349" s="167" t="str">
        <f>IF(ISBLANK(DaqBook_RAW_Data!S339),"",DaqBook_RAW_Data!S339)</f>
        <v/>
      </c>
      <c r="E349" s="167" t="str">
        <f>IF(ISBLANK(DaqBook_RAW_Data!T339),"",DaqBook_RAW_Data!T339)</f>
        <v/>
      </c>
      <c r="F349" s="167" t="str">
        <f>IF(ISBLANK(DaqBook_RAW_Data!U339),"",DaqBook_RAW_Data!U339)</f>
        <v/>
      </c>
      <c r="G349" s="167" t="str">
        <f>IF(ISBLANK(DaqBook_RAW_Data!V339),"",DaqBook_RAW_Data!V339)</f>
        <v/>
      </c>
      <c r="H349" s="167" t="str">
        <f>IF(ISBLANK(DaqBook_RAW_Data!W339),"",DaqBook_RAW_Data!W339)</f>
        <v/>
      </c>
      <c r="I349" s="167" t="str">
        <f>IF(ISBLANK(DaqBook_RAW_Data!X339),"",DaqBook_RAW_Data!X339)</f>
        <v/>
      </c>
      <c r="J349" s="167" t="str">
        <f>IF(ISBLANK(DaqBook_RAW_Data!Y339),"",DaqBook_RAW_Data!Y339)</f>
        <v/>
      </c>
      <c r="K349" s="167" t="str">
        <f>IF(ISBLANK(DaqBook_RAW_Data!Z339),"",DaqBook_RAW_Data!Z339)</f>
        <v/>
      </c>
      <c r="L349" s="167" t="str">
        <f>IF(ISBLANK(DaqBook_RAW_Data!AA339),"",DaqBook_RAW_Data!AA339)</f>
        <v/>
      </c>
      <c r="M349" s="167" t="str">
        <f>IF(ISBLANK(DaqBook_RAW_Data!AB339),"",DaqBook_RAW_Data!AB339)</f>
        <v/>
      </c>
      <c r="N349" s="167" t="str">
        <f>IF(ISBLANK(DaqBook_RAW_Data!AC339),"",DaqBook_RAW_Data!AC339)</f>
        <v/>
      </c>
      <c r="O349" s="167" t="str">
        <f>IF(ISBLANK(DaqBook_RAW_Data!AD339),"",DaqBook_RAW_Data!AD339)</f>
        <v/>
      </c>
      <c r="P349" s="167" t="str">
        <f>IF(ISBLANK(DaqBook_RAW_Data!AE339),"",DaqBook_RAW_Data!AE339)</f>
        <v/>
      </c>
    </row>
    <row r="350" spans="1:16" x14ac:dyDescent="0.2">
      <c r="A350" s="58" t="e">
        <f t="shared" si="5"/>
        <v>#VALUE!</v>
      </c>
      <c r="B350" s="144" t="str">
        <f>IF(ISBLANK(DaqBook_RAW_Data!Q340),IF(DaqBook_RAW_Data!A340="","",TIMEVALUE(DaqBook_RAW_Data!A340)),TIMEVALUE(DaqBook_RAW_Data!Q340))</f>
        <v/>
      </c>
      <c r="C350" s="167" t="str">
        <f>IF(ISBLANK(DaqBook_RAW_Data!R340),"",DaqBook_RAW_Data!R340)</f>
        <v/>
      </c>
      <c r="D350" s="167" t="str">
        <f>IF(ISBLANK(DaqBook_RAW_Data!S340),"",DaqBook_RAW_Data!S340)</f>
        <v/>
      </c>
      <c r="E350" s="167" t="str">
        <f>IF(ISBLANK(DaqBook_RAW_Data!T340),"",DaqBook_RAW_Data!T340)</f>
        <v/>
      </c>
      <c r="F350" s="167" t="str">
        <f>IF(ISBLANK(DaqBook_RAW_Data!U340),"",DaqBook_RAW_Data!U340)</f>
        <v/>
      </c>
      <c r="G350" s="167" t="str">
        <f>IF(ISBLANK(DaqBook_RAW_Data!V340),"",DaqBook_RAW_Data!V340)</f>
        <v/>
      </c>
      <c r="H350" s="167" t="str">
        <f>IF(ISBLANK(DaqBook_RAW_Data!W340),"",DaqBook_RAW_Data!W340)</f>
        <v/>
      </c>
      <c r="I350" s="167" t="str">
        <f>IF(ISBLANK(DaqBook_RAW_Data!X340),"",DaqBook_RAW_Data!X340)</f>
        <v/>
      </c>
      <c r="J350" s="167" t="str">
        <f>IF(ISBLANK(DaqBook_RAW_Data!Y340),"",DaqBook_RAW_Data!Y340)</f>
        <v/>
      </c>
      <c r="K350" s="167" t="str">
        <f>IF(ISBLANK(DaqBook_RAW_Data!Z340),"",DaqBook_RAW_Data!Z340)</f>
        <v/>
      </c>
      <c r="L350" s="167" t="str">
        <f>IF(ISBLANK(DaqBook_RAW_Data!AA340),"",DaqBook_RAW_Data!AA340)</f>
        <v/>
      </c>
      <c r="M350" s="167" t="str">
        <f>IF(ISBLANK(DaqBook_RAW_Data!AB340),"",DaqBook_RAW_Data!AB340)</f>
        <v/>
      </c>
      <c r="N350" s="167" t="str">
        <f>IF(ISBLANK(DaqBook_RAW_Data!AC340),"",DaqBook_RAW_Data!AC340)</f>
        <v/>
      </c>
      <c r="O350" s="167" t="str">
        <f>IF(ISBLANK(DaqBook_RAW_Data!AD340),"",DaqBook_RAW_Data!AD340)</f>
        <v/>
      </c>
      <c r="P350" s="167" t="str">
        <f>IF(ISBLANK(DaqBook_RAW_Data!AE340),"",DaqBook_RAW_Data!AE340)</f>
        <v/>
      </c>
    </row>
    <row r="351" spans="1:16" x14ac:dyDescent="0.2">
      <c r="A351" s="58" t="e">
        <f t="shared" si="5"/>
        <v>#VALUE!</v>
      </c>
      <c r="B351" s="144" t="str">
        <f>IF(ISBLANK(DaqBook_RAW_Data!Q341),IF(DaqBook_RAW_Data!A341="","",TIMEVALUE(DaqBook_RAW_Data!A341)),TIMEVALUE(DaqBook_RAW_Data!Q341))</f>
        <v/>
      </c>
      <c r="C351" s="167" t="str">
        <f>IF(ISBLANK(DaqBook_RAW_Data!R341),"",DaqBook_RAW_Data!R341)</f>
        <v/>
      </c>
      <c r="D351" s="167" t="str">
        <f>IF(ISBLANK(DaqBook_RAW_Data!S341),"",DaqBook_RAW_Data!S341)</f>
        <v/>
      </c>
      <c r="E351" s="167" t="str">
        <f>IF(ISBLANK(DaqBook_RAW_Data!T341),"",DaqBook_RAW_Data!T341)</f>
        <v/>
      </c>
      <c r="F351" s="167" t="str">
        <f>IF(ISBLANK(DaqBook_RAW_Data!U341),"",DaqBook_RAW_Data!U341)</f>
        <v/>
      </c>
      <c r="G351" s="167" t="str">
        <f>IF(ISBLANK(DaqBook_RAW_Data!V341),"",DaqBook_RAW_Data!V341)</f>
        <v/>
      </c>
      <c r="H351" s="167" t="str">
        <f>IF(ISBLANK(DaqBook_RAW_Data!W341),"",DaqBook_RAW_Data!W341)</f>
        <v/>
      </c>
      <c r="I351" s="167" t="str">
        <f>IF(ISBLANK(DaqBook_RAW_Data!X341),"",DaqBook_RAW_Data!X341)</f>
        <v/>
      </c>
      <c r="J351" s="167" t="str">
        <f>IF(ISBLANK(DaqBook_RAW_Data!Y341),"",DaqBook_RAW_Data!Y341)</f>
        <v/>
      </c>
      <c r="K351" s="167" t="str">
        <f>IF(ISBLANK(DaqBook_RAW_Data!Z341),"",DaqBook_RAW_Data!Z341)</f>
        <v/>
      </c>
      <c r="L351" s="167" t="str">
        <f>IF(ISBLANK(DaqBook_RAW_Data!AA341),"",DaqBook_RAW_Data!AA341)</f>
        <v/>
      </c>
      <c r="M351" s="167" t="str">
        <f>IF(ISBLANK(DaqBook_RAW_Data!AB341),"",DaqBook_RAW_Data!AB341)</f>
        <v/>
      </c>
      <c r="N351" s="167" t="str">
        <f>IF(ISBLANK(DaqBook_RAW_Data!AC341),"",DaqBook_RAW_Data!AC341)</f>
        <v/>
      </c>
      <c r="O351" s="167" t="str">
        <f>IF(ISBLANK(DaqBook_RAW_Data!AD341),"",DaqBook_RAW_Data!AD341)</f>
        <v/>
      </c>
      <c r="P351" s="167" t="str">
        <f>IF(ISBLANK(DaqBook_RAW_Data!AE341),"",DaqBook_RAW_Data!AE341)</f>
        <v/>
      </c>
    </row>
    <row r="352" spans="1:16" x14ac:dyDescent="0.2">
      <c r="A352" s="58" t="e">
        <f t="shared" si="5"/>
        <v>#VALUE!</v>
      </c>
      <c r="B352" s="144" t="str">
        <f>IF(ISBLANK(DaqBook_RAW_Data!Q342),IF(DaqBook_RAW_Data!A342="","",TIMEVALUE(DaqBook_RAW_Data!A342)),TIMEVALUE(DaqBook_RAW_Data!Q342))</f>
        <v/>
      </c>
      <c r="C352" s="167" t="str">
        <f>IF(ISBLANK(DaqBook_RAW_Data!R342),"",DaqBook_RAW_Data!R342)</f>
        <v/>
      </c>
      <c r="D352" s="167" t="str">
        <f>IF(ISBLANK(DaqBook_RAW_Data!S342),"",DaqBook_RAW_Data!S342)</f>
        <v/>
      </c>
      <c r="E352" s="167" t="str">
        <f>IF(ISBLANK(DaqBook_RAW_Data!T342),"",DaqBook_RAW_Data!T342)</f>
        <v/>
      </c>
      <c r="F352" s="167" t="str">
        <f>IF(ISBLANK(DaqBook_RAW_Data!U342),"",DaqBook_RAW_Data!U342)</f>
        <v/>
      </c>
      <c r="G352" s="167" t="str">
        <f>IF(ISBLANK(DaqBook_RAW_Data!V342),"",DaqBook_RAW_Data!V342)</f>
        <v/>
      </c>
      <c r="H352" s="167" t="str">
        <f>IF(ISBLANK(DaqBook_RAW_Data!W342),"",DaqBook_RAW_Data!W342)</f>
        <v/>
      </c>
      <c r="I352" s="167" t="str">
        <f>IF(ISBLANK(DaqBook_RAW_Data!X342),"",DaqBook_RAW_Data!X342)</f>
        <v/>
      </c>
      <c r="J352" s="167" t="str">
        <f>IF(ISBLANK(DaqBook_RAW_Data!Y342),"",DaqBook_RAW_Data!Y342)</f>
        <v/>
      </c>
      <c r="K352" s="167" t="str">
        <f>IF(ISBLANK(DaqBook_RAW_Data!Z342),"",DaqBook_RAW_Data!Z342)</f>
        <v/>
      </c>
      <c r="L352" s="167" t="str">
        <f>IF(ISBLANK(DaqBook_RAW_Data!AA342),"",DaqBook_RAW_Data!AA342)</f>
        <v/>
      </c>
      <c r="M352" s="167" t="str">
        <f>IF(ISBLANK(DaqBook_RAW_Data!AB342),"",DaqBook_RAW_Data!AB342)</f>
        <v/>
      </c>
      <c r="N352" s="167" t="str">
        <f>IF(ISBLANK(DaqBook_RAW_Data!AC342),"",DaqBook_RAW_Data!AC342)</f>
        <v/>
      </c>
      <c r="O352" s="167" t="str">
        <f>IF(ISBLANK(DaqBook_RAW_Data!AD342),"",DaqBook_RAW_Data!AD342)</f>
        <v/>
      </c>
      <c r="P352" s="167" t="str">
        <f>IF(ISBLANK(DaqBook_RAW_Data!AE342),"",DaqBook_RAW_Data!AE342)</f>
        <v/>
      </c>
    </row>
    <row r="353" spans="1:16" x14ac:dyDescent="0.2">
      <c r="A353" s="58" t="e">
        <f t="shared" si="5"/>
        <v>#VALUE!</v>
      </c>
      <c r="B353" s="144" t="str">
        <f>IF(ISBLANK(DaqBook_RAW_Data!Q343),IF(DaqBook_RAW_Data!A343="","",TIMEVALUE(DaqBook_RAW_Data!A343)),TIMEVALUE(DaqBook_RAW_Data!Q343))</f>
        <v/>
      </c>
      <c r="C353" s="167" t="str">
        <f>IF(ISBLANK(DaqBook_RAW_Data!R343),"",DaqBook_RAW_Data!R343)</f>
        <v/>
      </c>
      <c r="D353" s="167" t="str">
        <f>IF(ISBLANK(DaqBook_RAW_Data!S343),"",DaqBook_RAW_Data!S343)</f>
        <v/>
      </c>
      <c r="E353" s="167" t="str">
        <f>IF(ISBLANK(DaqBook_RAW_Data!T343),"",DaqBook_RAW_Data!T343)</f>
        <v/>
      </c>
      <c r="F353" s="167" t="str">
        <f>IF(ISBLANK(DaqBook_RAW_Data!U343),"",DaqBook_RAW_Data!U343)</f>
        <v/>
      </c>
      <c r="G353" s="167" t="str">
        <f>IF(ISBLANK(DaqBook_RAW_Data!V343),"",DaqBook_RAW_Data!V343)</f>
        <v/>
      </c>
      <c r="H353" s="167" t="str">
        <f>IF(ISBLANK(DaqBook_RAW_Data!W343),"",DaqBook_RAW_Data!W343)</f>
        <v/>
      </c>
      <c r="I353" s="167" t="str">
        <f>IF(ISBLANK(DaqBook_RAW_Data!X343),"",DaqBook_RAW_Data!X343)</f>
        <v/>
      </c>
      <c r="J353" s="167" t="str">
        <f>IF(ISBLANK(DaqBook_RAW_Data!Y343),"",DaqBook_RAW_Data!Y343)</f>
        <v/>
      </c>
      <c r="K353" s="167" t="str">
        <f>IF(ISBLANK(DaqBook_RAW_Data!Z343),"",DaqBook_RAW_Data!Z343)</f>
        <v/>
      </c>
      <c r="L353" s="167" t="str">
        <f>IF(ISBLANK(DaqBook_RAW_Data!AA343),"",DaqBook_RAW_Data!AA343)</f>
        <v/>
      </c>
      <c r="M353" s="167" t="str">
        <f>IF(ISBLANK(DaqBook_RAW_Data!AB343),"",DaqBook_RAW_Data!AB343)</f>
        <v/>
      </c>
      <c r="N353" s="167" t="str">
        <f>IF(ISBLANK(DaqBook_RAW_Data!AC343),"",DaqBook_RAW_Data!AC343)</f>
        <v/>
      </c>
      <c r="O353" s="167" t="str">
        <f>IF(ISBLANK(DaqBook_RAW_Data!AD343),"",DaqBook_RAW_Data!AD343)</f>
        <v/>
      </c>
      <c r="P353" s="167" t="str">
        <f>IF(ISBLANK(DaqBook_RAW_Data!AE343),"",DaqBook_RAW_Data!AE343)</f>
        <v/>
      </c>
    </row>
    <row r="354" spans="1:16" x14ac:dyDescent="0.2">
      <c r="A354" s="58" t="e">
        <f t="shared" si="5"/>
        <v>#VALUE!</v>
      </c>
      <c r="B354" s="144" t="str">
        <f>IF(ISBLANK(DaqBook_RAW_Data!Q344),IF(DaqBook_RAW_Data!A344="","",TIMEVALUE(DaqBook_RAW_Data!A344)),TIMEVALUE(DaqBook_RAW_Data!Q344))</f>
        <v/>
      </c>
      <c r="C354" s="167" t="str">
        <f>IF(ISBLANK(DaqBook_RAW_Data!R344),"",DaqBook_RAW_Data!R344)</f>
        <v/>
      </c>
      <c r="D354" s="167" t="str">
        <f>IF(ISBLANK(DaqBook_RAW_Data!S344),"",DaqBook_RAW_Data!S344)</f>
        <v/>
      </c>
      <c r="E354" s="167" t="str">
        <f>IF(ISBLANK(DaqBook_RAW_Data!T344),"",DaqBook_RAW_Data!T344)</f>
        <v/>
      </c>
      <c r="F354" s="167" t="str">
        <f>IF(ISBLANK(DaqBook_RAW_Data!U344),"",DaqBook_RAW_Data!U344)</f>
        <v/>
      </c>
      <c r="G354" s="167" t="str">
        <f>IF(ISBLANK(DaqBook_RAW_Data!V344),"",DaqBook_RAW_Data!V344)</f>
        <v/>
      </c>
      <c r="H354" s="167" t="str">
        <f>IF(ISBLANK(DaqBook_RAW_Data!W344),"",DaqBook_RAW_Data!W344)</f>
        <v/>
      </c>
      <c r="I354" s="167" t="str">
        <f>IF(ISBLANK(DaqBook_RAW_Data!X344),"",DaqBook_RAW_Data!X344)</f>
        <v/>
      </c>
      <c r="J354" s="167" t="str">
        <f>IF(ISBLANK(DaqBook_RAW_Data!Y344),"",DaqBook_RAW_Data!Y344)</f>
        <v/>
      </c>
      <c r="K354" s="167" t="str">
        <f>IF(ISBLANK(DaqBook_RAW_Data!Z344),"",DaqBook_RAW_Data!Z344)</f>
        <v/>
      </c>
      <c r="L354" s="167" t="str">
        <f>IF(ISBLANK(DaqBook_RAW_Data!AA344),"",DaqBook_RAW_Data!AA344)</f>
        <v/>
      </c>
      <c r="M354" s="167" t="str">
        <f>IF(ISBLANK(DaqBook_RAW_Data!AB344),"",DaqBook_RAW_Data!AB344)</f>
        <v/>
      </c>
      <c r="N354" s="167" t="str">
        <f>IF(ISBLANK(DaqBook_RAW_Data!AC344),"",DaqBook_RAW_Data!AC344)</f>
        <v/>
      </c>
      <c r="O354" s="167" t="str">
        <f>IF(ISBLANK(DaqBook_RAW_Data!AD344),"",DaqBook_RAW_Data!AD344)</f>
        <v/>
      </c>
      <c r="P354" s="167" t="str">
        <f>IF(ISBLANK(DaqBook_RAW_Data!AE344),"",DaqBook_RAW_Data!AE344)</f>
        <v/>
      </c>
    </row>
    <row r="355" spans="1:16" x14ac:dyDescent="0.2">
      <c r="A355" s="58" t="e">
        <f t="shared" si="5"/>
        <v>#VALUE!</v>
      </c>
      <c r="B355" s="144" t="str">
        <f>IF(ISBLANK(DaqBook_RAW_Data!Q345),IF(DaqBook_RAW_Data!A345="","",TIMEVALUE(DaqBook_RAW_Data!A345)),TIMEVALUE(DaqBook_RAW_Data!Q345))</f>
        <v/>
      </c>
      <c r="C355" s="167" t="str">
        <f>IF(ISBLANK(DaqBook_RAW_Data!R345),"",DaqBook_RAW_Data!R345)</f>
        <v/>
      </c>
      <c r="D355" s="167" t="str">
        <f>IF(ISBLANK(DaqBook_RAW_Data!S345),"",DaqBook_RAW_Data!S345)</f>
        <v/>
      </c>
      <c r="E355" s="167" t="str">
        <f>IF(ISBLANK(DaqBook_RAW_Data!T345),"",DaqBook_RAW_Data!T345)</f>
        <v/>
      </c>
      <c r="F355" s="167" t="str">
        <f>IF(ISBLANK(DaqBook_RAW_Data!U345),"",DaqBook_RAW_Data!U345)</f>
        <v/>
      </c>
      <c r="G355" s="167" t="str">
        <f>IF(ISBLANK(DaqBook_RAW_Data!V345),"",DaqBook_RAW_Data!V345)</f>
        <v/>
      </c>
      <c r="H355" s="167" t="str">
        <f>IF(ISBLANK(DaqBook_RAW_Data!W345),"",DaqBook_RAW_Data!W345)</f>
        <v/>
      </c>
      <c r="I355" s="167" t="str">
        <f>IF(ISBLANK(DaqBook_RAW_Data!X345),"",DaqBook_RAW_Data!X345)</f>
        <v/>
      </c>
      <c r="J355" s="167" t="str">
        <f>IF(ISBLANK(DaqBook_RAW_Data!Y345),"",DaqBook_RAW_Data!Y345)</f>
        <v/>
      </c>
      <c r="K355" s="167" t="str">
        <f>IF(ISBLANK(DaqBook_RAW_Data!Z345),"",DaqBook_RAW_Data!Z345)</f>
        <v/>
      </c>
      <c r="L355" s="167" t="str">
        <f>IF(ISBLANK(DaqBook_RAW_Data!AA345),"",DaqBook_RAW_Data!AA345)</f>
        <v/>
      </c>
      <c r="M355" s="167" t="str">
        <f>IF(ISBLANK(DaqBook_RAW_Data!AB345),"",DaqBook_RAW_Data!AB345)</f>
        <v/>
      </c>
      <c r="N355" s="167" t="str">
        <f>IF(ISBLANK(DaqBook_RAW_Data!AC345),"",DaqBook_RAW_Data!AC345)</f>
        <v/>
      </c>
      <c r="O355" s="167" t="str">
        <f>IF(ISBLANK(DaqBook_RAW_Data!AD345),"",DaqBook_RAW_Data!AD345)</f>
        <v/>
      </c>
      <c r="P355" s="167" t="str">
        <f>IF(ISBLANK(DaqBook_RAW_Data!AE345),"",DaqBook_RAW_Data!AE345)</f>
        <v/>
      </c>
    </row>
    <row r="356" spans="1:16" x14ac:dyDescent="0.2">
      <c r="A356" s="58" t="e">
        <f t="shared" si="5"/>
        <v>#VALUE!</v>
      </c>
      <c r="B356" s="144" t="str">
        <f>IF(ISBLANK(DaqBook_RAW_Data!Q346),IF(DaqBook_RAW_Data!A346="","",TIMEVALUE(DaqBook_RAW_Data!A346)),TIMEVALUE(DaqBook_RAW_Data!Q346))</f>
        <v/>
      </c>
      <c r="C356" s="167" t="str">
        <f>IF(ISBLANK(DaqBook_RAW_Data!R346),"",DaqBook_RAW_Data!R346)</f>
        <v/>
      </c>
      <c r="D356" s="167" t="str">
        <f>IF(ISBLANK(DaqBook_RAW_Data!S346),"",DaqBook_RAW_Data!S346)</f>
        <v/>
      </c>
      <c r="E356" s="167" t="str">
        <f>IF(ISBLANK(DaqBook_RAW_Data!T346),"",DaqBook_RAW_Data!T346)</f>
        <v/>
      </c>
      <c r="F356" s="167" t="str">
        <f>IF(ISBLANK(DaqBook_RAW_Data!U346),"",DaqBook_RAW_Data!U346)</f>
        <v/>
      </c>
      <c r="G356" s="167" t="str">
        <f>IF(ISBLANK(DaqBook_RAW_Data!V346),"",DaqBook_RAW_Data!V346)</f>
        <v/>
      </c>
      <c r="H356" s="167" t="str">
        <f>IF(ISBLANK(DaqBook_RAW_Data!W346),"",DaqBook_RAW_Data!W346)</f>
        <v/>
      </c>
      <c r="I356" s="167" t="str">
        <f>IF(ISBLANK(DaqBook_RAW_Data!X346),"",DaqBook_RAW_Data!X346)</f>
        <v/>
      </c>
      <c r="J356" s="167" t="str">
        <f>IF(ISBLANK(DaqBook_RAW_Data!Y346),"",DaqBook_RAW_Data!Y346)</f>
        <v/>
      </c>
      <c r="K356" s="167" t="str">
        <f>IF(ISBLANK(DaqBook_RAW_Data!Z346),"",DaqBook_RAW_Data!Z346)</f>
        <v/>
      </c>
      <c r="L356" s="167" t="str">
        <f>IF(ISBLANK(DaqBook_RAW_Data!AA346),"",DaqBook_RAW_Data!AA346)</f>
        <v/>
      </c>
      <c r="M356" s="167" t="str">
        <f>IF(ISBLANK(DaqBook_RAW_Data!AB346),"",DaqBook_RAW_Data!AB346)</f>
        <v/>
      </c>
      <c r="N356" s="167" t="str">
        <f>IF(ISBLANK(DaqBook_RAW_Data!AC346),"",DaqBook_RAW_Data!AC346)</f>
        <v/>
      </c>
      <c r="O356" s="167" t="str">
        <f>IF(ISBLANK(DaqBook_RAW_Data!AD346),"",DaqBook_RAW_Data!AD346)</f>
        <v/>
      </c>
      <c r="P356" s="167" t="str">
        <f>IF(ISBLANK(DaqBook_RAW_Data!AE346),"",DaqBook_RAW_Data!AE346)</f>
        <v/>
      </c>
    </row>
    <row r="357" spans="1:16" x14ac:dyDescent="0.2">
      <c r="A357" s="58" t="e">
        <f t="shared" si="5"/>
        <v>#VALUE!</v>
      </c>
      <c r="B357" s="144" t="str">
        <f>IF(ISBLANK(DaqBook_RAW_Data!Q347),IF(DaqBook_RAW_Data!A347="","",TIMEVALUE(DaqBook_RAW_Data!A347)),TIMEVALUE(DaqBook_RAW_Data!Q347))</f>
        <v/>
      </c>
      <c r="C357" s="167" t="str">
        <f>IF(ISBLANK(DaqBook_RAW_Data!R347),"",DaqBook_RAW_Data!R347)</f>
        <v/>
      </c>
      <c r="D357" s="167" t="str">
        <f>IF(ISBLANK(DaqBook_RAW_Data!S347),"",DaqBook_RAW_Data!S347)</f>
        <v/>
      </c>
      <c r="E357" s="167" t="str">
        <f>IF(ISBLANK(DaqBook_RAW_Data!T347),"",DaqBook_RAW_Data!T347)</f>
        <v/>
      </c>
      <c r="F357" s="167" t="str">
        <f>IF(ISBLANK(DaqBook_RAW_Data!U347),"",DaqBook_RAW_Data!U347)</f>
        <v/>
      </c>
      <c r="G357" s="167" t="str">
        <f>IF(ISBLANK(DaqBook_RAW_Data!V347),"",DaqBook_RAW_Data!V347)</f>
        <v/>
      </c>
      <c r="H357" s="167" t="str">
        <f>IF(ISBLANK(DaqBook_RAW_Data!W347),"",DaqBook_RAW_Data!W347)</f>
        <v/>
      </c>
      <c r="I357" s="167" t="str">
        <f>IF(ISBLANK(DaqBook_RAW_Data!X347),"",DaqBook_RAW_Data!X347)</f>
        <v/>
      </c>
      <c r="J357" s="167" t="str">
        <f>IF(ISBLANK(DaqBook_RAW_Data!Y347),"",DaqBook_RAW_Data!Y347)</f>
        <v/>
      </c>
      <c r="K357" s="167" t="str">
        <f>IF(ISBLANK(DaqBook_RAW_Data!Z347),"",DaqBook_RAW_Data!Z347)</f>
        <v/>
      </c>
      <c r="L357" s="167" t="str">
        <f>IF(ISBLANK(DaqBook_RAW_Data!AA347),"",DaqBook_RAW_Data!AA347)</f>
        <v/>
      </c>
      <c r="M357" s="167" t="str">
        <f>IF(ISBLANK(DaqBook_RAW_Data!AB347),"",DaqBook_RAW_Data!AB347)</f>
        <v/>
      </c>
      <c r="N357" s="167" t="str">
        <f>IF(ISBLANK(DaqBook_RAW_Data!AC347),"",DaqBook_RAW_Data!AC347)</f>
        <v/>
      </c>
      <c r="O357" s="167" t="str">
        <f>IF(ISBLANK(DaqBook_RAW_Data!AD347),"",DaqBook_RAW_Data!AD347)</f>
        <v/>
      </c>
      <c r="P357" s="167" t="str">
        <f>IF(ISBLANK(DaqBook_RAW_Data!AE347),"",DaqBook_RAW_Data!AE347)</f>
        <v/>
      </c>
    </row>
    <row r="358" spans="1:16" x14ac:dyDescent="0.2">
      <c r="A358" s="58" t="e">
        <f t="shared" si="5"/>
        <v>#VALUE!</v>
      </c>
      <c r="B358" s="144" t="str">
        <f>IF(ISBLANK(DaqBook_RAW_Data!Q348),IF(DaqBook_RAW_Data!A348="","",TIMEVALUE(DaqBook_RAW_Data!A348)),TIMEVALUE(DaqBook_RAW_Data!Q348))</f>
        <v/>
      </c>
      <c r="C358" s="167" t="str">
        <f>IF(ISBLANK(DaqBook_RAW_Data!R348),"",DaqBook_RAW_Data!R348)</f>
        <v/>
      </c>
      <c r="D358" s="167" t="str">
        <f>IF(ISBLANK(DaqBook_RAW_Data!S348),"",DaqBook_RAW_Data!S348)</f>
        <v/>
      </c>
      <c r="E358" s="167" t="str">
        <f>IF(ISBLANK(DaqBook_RAW_Data!T348),"",DaqBook_RAW_Data!T348)</f>
        <v/>
      </c>
      <c r="F358" s="167" t="str">
        <f>IF(ISBLANK(DaqBook_RAW_Data!U348),"",DaqBook_RAW_Data!U348)</f>
        <v/>
      </c>
      <c r="G358" s="167" t="str">
        <f>IF(ISBLANK(DaqBook_RAW_Data!V348),"",DaqBook_RAW_Data!V348)</f>
        <v/>
      </c>
      <c r="H358" s="167" t="str">
        <f>IF(ISBLANK(DaqBook_RAW_Data!W348),"",DaqBook_RAW_Data!W348)</f>
        <v/>
      </c>
      <c r="I358" s="167" t="str">
        <f>IF(ISBLANK(DaqBook_RAW_Data!X348),"",DaqBook_RAW_Data!X348)</f>
        <v/>
      </c>
      <c r="J358" s="167" t="str">
        <f>IF(ISBLANK(DaqBook_RAW_Data!Y348),"",DaqBook_RAW_Data!Y348)</f>
        <v/>
      </c>
      <c r="K358" s="167" t="str">
        <f>IF(ISBLANK(DaqBook_RAW_Data!Z348),"",DaqBook_RAW_Data!Z348)</f>
        <v/>
      </c>
      <c r="L358" s="167" t="str">
        <f>IF(ISBLANK(DaqBook_RAW_Data!AA348),"",DaqBook_RAW_Data!AA348)</f>
        <v/>
      </c>
      <c r="M358" s="167" t="str">
        <f>IF(ISBLANK(DaqBook_RAW_Data!AB348),"",DaqBook_RAW_Data!AB348)</f>
        <v/>
      </c>
      <c r="N358" s="167" t="str">
        <f>IF(ISBLANK(DaqBook_RAW_Data!AC348),"",DaqBook_RAW_Data!AC348)</f>
        <v/>
      </c>
      <c r="O358" s="167" t="str">
        <f>IF(ISBLANK(DaqBook_RAW_Data!AD348),"",DaqBook_RAW_Data!AD348)</f>
        <v/>
      </c>
      <c r="P358" s="167" t="str">
        <f>IF(ISBLANK(DaqBook_RAW_Data!AE348),"",DaqBook_RAW_Data!AE348)</f>
        <v/>
      </c>
    </row>
    <row r="359" spans="1:16" x14ac:dyDescent="0.2">
      <c r="A359" s="58" t="e">
        <f t="shared" si="5"/>
        <v>#VALUE!</v>
      </c>
      <c r="B359" s="144" t="str">
        <f>IF(ISBLANK(DaqBook_RAW_Data!Q349),IF(DaqBook_RAW_Data!A349="","",TIMEVALUE(DaqBook_RAW_Data!A349)),TIMEVALUE(DaqBook_RAW_Data!Q349))</f>
        <v/>
      </c>
      <c r="C359" s="167" t="str">
        <f>IF(ISBLANK(DaqBook_RAW_Data!R349),"",DaqBook_RAW_Data!R349)</f>
        <v/>
      </c>
      <c r="D359" s="167" t="str">
        <f>IF(ISBLANK(DaqBook_RAW_Data!S349),"",DaqBook_RAW_Data!S349)</f>
        <v/>
      </c>
      <c r="E359" s="167" t="str">
        <f>IF(ISBLANK(DaqBook_RAW_Data!T349),"",DaqBook_RAW_Data!T349)</f>
        <v/>
      </c>
      <c r="F359" s="167" t="str">
        <f>IF(ISBLANK(DaqBook_RAW_Data!U349),"",DaqBook_RAW_Data!U349)</f>
        <v/>
      </c>
      <c r="G359" s="167" t="str">
        <f>IF(ISBLANK(DaqBook_RAW_Data!V349),"",DaqBook_RAW_Data!V349)</f>
        <v/>
      </c>
      <c r="H359" s="167" t="str">
        <f>IF(ISBLANK(DaqBook_RAW_Data!W349),"",DaqBook_RAW_Data!W349)</f>
        <v/>
      </c>
      <c r="I359" s="167" t="str">
        <f>IF(ISBLANK(DaqBook_RAW_Data!X349),"",DaqBook_RAW_Data!X349)</f>
        <v/>
      </c>
      <c r="J359" s="167" t="str">
        <f>IF(ISBLANK(DaqBook_RAW_Data!Y349),"",DaqBook_RAW_Data!Y349)</f>
        <v/>
      </c>
      <c r="K359" s="167" t="str">
        <f>IF(ISBLANK(DaqBook_RAW_Data!Z349),"",DaqBook_RAW_Data!Z349)</f>
        <v/>
      </c>
      <c r="L359" s="167" t="str">
        <f>IF(ISBLANK(DaqBook_RAW_Data!AA349),"",DaqBook_RAW_Data!AA349)</f>
        <v/>
      </c>
      <c r="M359" s="167" t="str">
        <f>IF(ISBLANK(DaqBook_RAW_Data!AB349),"",DaqBook_RAW_Data!AB349)</f>
        <v/>
      </c>
      <c r="N359" s="167" t="str">
        <f>IF(ISBLANK(DaqBook_RAW_Data!AC349),"",DaqBook_RAW_Data!AC349)</f>
        <v/>
      </c>
      <c r="O359" s="167" t="str">
        <f>IF(ISBLANK(DaqBook_RAW_Data!AD349),"",DaqBook_RAW_Data!AD349)</f>
        <v/>
      </c>
      <c r="P359" s="167" t="str">
        <f>IF(ISBLANK(DaqBook_RAW_Data!AE349),"",DaqBook_RAW_Data!AE349)</f>
        <v/>
      </c>
    </row>
    <row r="360" spans="1:16" x14ac:dyDescent="0.2">
      <c r="A360" s="58" t="e">
        <f t="shared" si="5"/>
        <v>#VALUE!</v>
      </c>
      <c r="B360" s="144" t="str">
        <f>IF(ISBLANK(DaqBook_RAW_Data!Q350),IF(DaqBook_RAW_Data!A350="","",TIMEVALUE(DaqBook_RAW_Data!A350)),TIMEVALUE(DaqBook_RAW_Data!Q350))</f>
        <v/>
      </c>
      <c r="C360" s="167" t="str">
        <f>IF(ISBLANK(DaqBook_RAW_Data!R350),"",DaqBook_RAW_Data!R350)</f>
        <v/>
      </c>
      <c r="D360" s="167" t="str">
        <f>IF(ISBLANK(DaqBook_RAW_Data!S350),"",DaqBook_RAW_Data!S350)</f>
        <v/>
      </c>
      <c r="E360" s="167" t="str">
        <f>IF(ISBLANK(DaqBook_RAW_Data!T350),"",DaqBook_RAW_Data!T350)</f>
        <v/>
      </c>
      <c r="F360" s="167" t="str">
        <f>IF(ISBLANK(DaqBook_RAW_Data!U350),"",DaqBook_RAW_Data!U350)</f>
        <v/>
      </c>
      <c r="G360" s="167" t="str">
        <f>IF(ISBLANK(DaqBook_RAW_Data!V350),"",DaqBook_RAW_Data!V350)</f>
        <v/>
      </c>
      <c r="H360" s="167" t="str">
        <f>IF(ISBLANK(DaqBook_RAW_Data!W350),"",DaqBook_RAW_Data!W350)</f>
        <v/>
      </c>
      <c r="I360" s="167" t="str">
        <f>IF(ISBLANK(DaqBook_RAW_Data!X350),"",DaqBook_RAW_Data!X350)</f>
        <v/>
      </c>
      <c r="J360" s="167" t="str">
        <f>IF(ISBLANK(DaqBook_RAW_Data!Y350),"",DaqBook_RAW_Data!Y350)</f>
        <v/>
      </c>
      <c r="K360" s="167" t="str">
        <f>IF(ISBLANK(DaqBook_RAW_Data!Z350),"",DaqBook_RAW_Data!Z350)</f>
        <v/>
      </c>
      <c r="L360" s="167" t="str">
        <f>IF(ISBLANK(DaqBook_RAW_Data!AA350),"",DaqBook_RAW_Data!AA350)</f>
        <v/>
      </c>
      <c r="M360" s="167" t="str">
        <f>IF(ISBLANK(DaqBook_RAW_Data!AB350),"",DaqBook_RAW_Data!AB350)</f>
        <v/>
      </c>
      <c r="N360" s="167" t="str">
        <f>IF(ISBLANK(DaqBook_RAW_Data!AC350),"",DaqBook_RAW_Data!AC350)</f>
        <v/>
      </c>
      <c r="O360" s="167" t="str">
        <f>IF(ISBLANK(DaqBook_RAW_Data!AD350),"",DaqBook_RAW_Data!AD350)</f>
        <v/>
      </c>
      <c r="P360" s="167" t="str">
        <f>IF(ISBLANK(DaqBook_RAW_Data!AE350),"",DaqBook_RAW_Data!AE350)</f>
        <v/>
      </c>
    </row>
    <row r="361" spans="1:16" x14ac:dyDescent="0.2">
      <c r="A361" s="58" t="e">
        <f t="shared" si="5"/>
        <v>#VALUE!</v>
      </c>
      <c r="B361" s="144" t="str">
        <f>IF(ISBLANK(DaqBook_RAW_Data!Q351),IF(DaqBook_RAW_Data!A351="","",TIMEVALUE(DaqBook_RAW_Data!A351)),TIMEVALUE(DaqBook_RAW_Data!Q351))</f>
        <v/>
      </c>
      <c r="C361" s="167" t="str">
        <f>IF(ISBLANK(DaqBook_RAW_Data!R351),"",DaqBook_RAW_Data!R351)</f>
        <v/>
      </c>
      <c r="D361" s="167" t="str">
        <f>IF(ISBLANK(DaqBook_RAW_Data!S351),"",DaqBook_RAW_Data!S351)</f>
        <v/>
      </c>
      <c r="E361" s="167" t="str">
        <f>IF(ISBLANK(DaqBook_RAW_Data!T351),"",DaqBook_RAW_Data!T351)</f>
        <v/>
      </c>
      <c r="F361" s="167" t="str">
        <f>IF(ISBLANK(DaqBook_RAW_Data!U351),"",DaqBook_RAW_Data!U351)</f>
        <v/>
      </c>
      <c r="G361" s="167" t="str">
        <f>IF(ISBLANK(DaqBook_RAW_Data!V351),"",DaqBook_RAW_Data!V351)</f>
        <v/>
      </c>
      <c r="H361" s="167" t="str">
        <f>IF(ISBLANK(DaqBook_RAW_Data!W351),"",DaqBook_RAW_Data!W351)</f>
        <v/>
      </c>
      <c r="I361" s="167" t="str">
        <f>IF(ISBLANK(DaqBook_RAW_Data!X351),"",DaqBook_RAW_Data!X351)</f>
        <v/>
      </c>
      <c r="J361" s="167" t="str">
        <f>IF(ISBLANK(DaqBook_RAW_Data!Y351),"",DaqBook_RAW_Data!Y351)</f>
        <v/>
      </c>
      <c r="K361" s="167" t="str">
        <f>IF(ISBLANK(DaqBook_RAW_Data!Z351),"",DaqBook_RAW_Data!Z351)</f>
        <v/>
      </c>
      <c r="L361" s="167" t="str">
        <f>IF(ISBLANK(DaqBook_RAW_Data!AA351),"",DaqBook_RAW_Data!AA351)</f>
        <v/>
      </c>
      <c r="M361" s="167" t="str">
        <f>IF(ISBLANK(DaqBook_RAW_Data!AB351),"",DaqBook_RAW_Data!AB351)</f>
        <v/>
      </c>
      <c r="N361" s="167" t="str">
        <f>IF(ISBLANK(DaqBook_RAW_Data!AC351),"",DaqBook_RAW_Data!AC351)</f>
        <v/>
      </c>
      <c r="O361" s="167" t="str">
        <f>IF(ISBLANK(DaqBook_RAW_Data!AD351),"",DaqBook_RAW_Data!AD351)</f>
        <v/>
      </c>
      <c r="P361" s="167" t="str">
        <f>IF(ISBLANK(DaqBook_RAW_Data!AE351),"",DaqBook_RAW_Data!AE351)</f>
        <v/>
      </c>
    </row>
    <row r="362" spans="1:16" x14ac:dyDescent="0.2">
      <c r="A362" s="58" t="e">
        <f t="shared" si="5"/>
        <v>#VALUE!</v>
      </c>
      <c r="B362" s="144" t="str">
        <f>IF(ISBLANK(DaqBook_RAW_Data!Q352),IF(DaqBook_RAW_Data!A352="","",TIMEVALUE(DaqBook_RAW_Data!A352)),TIMEVALUE(DaqBook_RAW_Data!Q352))</f>
        <v/>
      </c>
      <c r="C362" s="167" t="str">
        <f>IF(ISBLANK(DaqBook_RAW_Data!R352),"",DaqBook_RAW_Data!R352)</f>
        <v/>
      </c>
      <c r="D362" s="167" t="str">
        <f>IF(ISBLANK(DaqBook_RAW_Data!S352),"",DaqBook_RAW_Data!S352)</f>
        <v/>
      </c>
      <c r="E362" s="167" t="str">
        <f>IF(ISBLANK(DaqBook_RAW_Data!T352),"",DaqBook_RAW_Data!T352)</f>
        <v/>
      </c>
      <c r="F362" s="167" t="str">
        <f>IF(ISBLANK(DaqBook_RAW_Data!U352),"",DaqBook_RAW_Data!U352)</f>
        <v/>
      </c>
      <c r="G362" s="167" t="str">
        <f>IF(ISBLANK(DaqBook_RAW_Data!V352),"",DaqBook_RAW_Data!V352)</f>
        <v/>
      </c>
      <c r="H362" s="167" t="str">
        <f>IF(ISBLANK(DaqBook_RAW_Data!W352),"",DaqBook_RAW_Data!W352)</f>
        <v/>
      </c>
      <c r="I362" s="167" t="str">
        <f>IF(ISBLANK(DaqBook_RAW_Data!X352),"",DaqBook_RAW_Data!X352)</f>
        <v/>
      </c>
      <c r="J362" s="167" t="str">
        <f>IF(ISBLANK(DaqBook_RAW_Data!Y352),"",DaqBook_RAW_Data!Y352)</f>
        <v/>
      </c>
      <c r="K362" s="167" t="str">
        <f>IF(ISBLANK(DaqBook_RAW_Data!Z352),"",DaqBook_RAW_Data!Z352)</f>
        <v/>
      </c>
      <c r="L362" s="167" t="str">
        <f>IF(ISBLANK(DaqBook_RAW_Data!AA352),"",DaqBook_RAW_Data!AA352)</f>
        <v/>
      </c>
      <c r="M362" s="167" t="str">
        <f>IF(ISBLANK(DaqBook_RAW_Data!AB352),"",DaqBook_RAW_Data!AB352)</f>
        <v/>
      </c>
      <c r="N362" s="167" t="str">
        <f>IF(ISBLANK(DaqBook_RAW_Data!AC352),"",DaqBook_RAW_Data!AC352)</f>
        <v/>
      </c>
      <c r="O362" s="167" t="str">
        <f>IF(ISBLANK(DaqBook_RAW_Data!AD352),"",DaqBook_RAW_Data!AD352)</f>
        <v/>
      </c>
      <c r="P362" s="167" t="str">
        <f>IF(ISBLANK(DaqBook_RAW_Data!AE352),"",DaqBook_RAW_Data!AE352)</f>
        <v/>
      </c>
    </row>
    <row r="363" spans="1:16" x14ac:dyDescent="0.2">
      <c r="A363" s="58" t="e">
        <f t="shared" si="5"/>
        <v>#VALUE!</v>
      </c>
      <c r="B363" s="144" t="str">
        <f>IF(ISBLANK(DaqBook_RAW_Data!Q353),IF(DaqBook_RAW_Data!A353="","",TIMEVALUE(DaqBook_RAW_Data!A353)),TIMEVALUE(DaqBook_RAW_Data!Q353))</f>
        <v/>
      </c>
      <c r="C363" s="167" t="str">
        <f>IF(ISBLANK(DaqBook_RAW_Data!R353),"",DaqBook_RAW_Data!R353)</f>
        <v/>
      </c>
      <c r="D363" s="167" t="str">
        <f>IF(ISBLANK(DaqBook_RAW_Data!S353),"",DaqBook_RAW_Data!S353)</f>
        <v/>
      </c>
      <c r="E363" s="167" t="str">
        <f>IF(ISBLANK(DaqBook_RAW_Data!T353),"",DaqBook_RAW_Data!T353)</f>
        <v/>
      </c>
      <c r="F363" s="167" t="str">
        <f>IF(ISBLANK(DaqBook_RAW_Data!U353),"",DaqBook_RAW_Data!U353)</f>
        <v/>
      </c>
      <c r="G363" s="167" t="str">
        <f>IF(ISBLANK(DaqBook_RAW_Data!V353),"",DaqBook_RAW_Data!V353)</f>
        <v/>
      </c>
      <c r="H363" s="167" t="str">
        <f>IF(ISBLANK(DaqBook_RAW_Data!W353),"",DaqBook_RAW_Data!W353)</f>
        <v/>
      </c>
      <c r="I363" s="167" t="str">
        <f>IF(ISBLANK(DaqBook_RAW_Data!X353),"",DaqBook_RAW_Data!X353)</f>
        <v/>
      </c>
      <c r="J363" s="167" t="str">
        <f>IF(ISBLANK(DaqBook_RAW_Data!Y353),"",DaqBook_RAW_Data!Y353)</f>
        <v/>
      </c>
      <c r="K363" s="167" t="str">
        <f>IF(ISBLANK(DaqBook_RAW_Data!Z353),"",DaqBook_RAW_Data!Z353)</f>
        <v/>
      </c>
      <c r="L363" s="167" t="str">
        <f>IF(ISBLANK(DaqBook_RAW_Data!AA353),"",DaqBook_RAW_Data!AA353)</f>
        <v/>
      </c>
      <c r="M363" s="167" t="str">
        <f>IF(ISBLANK(DaqBook_RAW_Data!AB353),"",DaqBook_RAW_Data!AB353)</f>
        <v/>
      </c>
      <c r="N363" s="167" t="str">
        <f>IF(ISBLANK(DaqBook_RAW_Data!AC353),"",DaqBook_RAW_Data!AC353)</f>
        <v/>
      </c>
      <c r="O363" s="167" t="str">
        <f>IF(ISBLANK(DaqBook_RAW_Data!AD353),"",DaqBook_RAW_Data!AD353)</f>
        <v/>
      </c>
      <c r="P363" s="167" t="str">
        <f>IF(ISBLANK(DaqBook_RAW_Data!AE353),"",DaqBook_RAW_Data!AE353)</f>
        <v/>
      </c>
    </row>
    <row r="364" spans="1:16" x14ac:dyDescent="0.2">
      <c r="A364" s="58" t="e">
        <f t="shared" si="5"/>
        <v>#VALUE!</v>
      </c>
      <c r="B364" s="144" t="str">
        <f>IF(ISBLANK(DaqBook_RAW_Data!Q354),IF(DaqBook_RAW_Data!A354="","",TIMEVALUE(DaqBook_RAW_Data!A354)),TIMEVALUE(DaqBook_RAW_Data!Q354))</f>
        <v/>
      </c>
      <c r="C364" s="167" t="str">
        <f>IF(ISBLANK(DaqBook_RAW_Data!R354),"",DaqBook_RAW_Data!R354)</f>
        <v/>
      </c>
      <c r="D364" s="167" t="str">
        <f>IF(ISBLANK(DaqBook_RAW_Data!S354),"",DaqBook_RAW_Data!S354)</f>
        <v/>
      </c>
      <c r="E364" s="167" t="str">
        <f>IF(ISBLANK(DaqBook_RAW_Data!T354),"",DaqBook_RAW_Data!T354)</f>
        <v/>
      </c>
      <c r="F364" s="167" t="str">
        <f>IF(ISBLANK(DaqBook_RAW_Data!U354),"",DaqBook_RAW_Data!U354)</f>
        <v/>
      </c>
      <c r="G364" s="167" t="str">
        <f>IF(ISBLANK(DaqBook_RAW_Data!V354),"",DaqBook_RAW_Data!V354)</f>
        <v/>
      </c>
      <c r="H364" s="167" t="str">
        <f>IF(ISBLANK(DaqBook_RAW_Data!W354),"",DaqBook_RAW_Data!W354)</f>
        <v/>
      </c>
      <c r="I364" s="167" t="str">
        <f>IF(ISBLANK(DaqBook_RAW_Data!X354),"",DaqBook_RAW_Data!X354)</f>
        <v/>
      </c>
      <c r="J364" s="167" t="str">
        <f>IF(ISBLANK(DaqBook_RAW_Data!Y354),"",DaqBook_RAW_Data!Y354)</f>
        <v/>
      </c>
      <c r="K364" s="167" t="str">
        <f>IF(ISBLANK(DaqBook_RAW_Data!Z354),"",DaqBook_RAW_Data!Z354)</f>
        <v/>
      </c>
      <c r="L364" s="167" t="str">
        <f>IF(ISBLANK(DaqBook_RAW_Data!AA354),"",DaqBook_RAW_Data!AA354)</f>
        <v/>
      </c>
      <c r="M364" s="167" t="str">
        <f>IF(ISBLANK(DaqBook_RAW_Data!AB354),"",DaqBook_RAW_Data!AB354)</f>
        <v/>
      </c>
      <c r="N364" s="167" t="str">
        <f>IF(ISBLANK(DaqBook_RAW_Data!AC354),"",DaqBook_RAW_Data!AC354)</f>
        <v/>
      </c>
      <c r="O364" s="167" t="str">
        <f>IF(ISBLANK(DaqBook_RAW_Data!AD354),"",DaqBook_RAW_Data!AD354)</f>
        <v/>
      </c>
      <c r="P364" s="167" t="str">
        <f>IF(ISBLANK(DaqBook_RAW_Data!AE354),"",DaqBook_RAW_Data!AE354)</f>
        <v/>
      </c>
    </row>
    <row r="365" spans="1:16" x14ac:dyDescent="0.2">
      <c r="A365" s="58" t="e">
        <f t="shared" si="5"/>
        <v>#VALUE!</v>
      </c>
      <c r="B365" s="144" t="str">
        <f>IF(ISBLANK(DaqBook_RAW_Data!Q355),IF(DaqBook_RAW_Data!A355="","",TIMEVALUE(DaqBook_RAW_Data!A355)),TIMEVALUE(DaqBook_RAW_Data!Q355))</f>
        <v/>
      </c>
      <c r="C365" s="167" t="str">
        <f>IF(ISBLANK(DaqBook_RAW_Data!R355),"",DaqBook_RAW_Data!R355)</f>
        <v/>
      </c>
      <c r="D365" s="167" t="str">
        <f>IF(ISBLANK(DaqBook_RAW_Data!S355),"",DaqBook_RAW_Data!S355)</f>
        <v/>
      </c>
      <c r="E365" s="167" t="str">
        <f>IF(ISBLANK(DaqBook_RAW_Data!T355),"",DaqBook_RAW_Data!T355)</f>
        <v/>
      </c>
      <c r="F365" s="167" t="str">
        <f>IF(ISBLANK(DaqBook_RAW_Data!U355),"",DaqBook_RAW_Data!U355)</f>
        <v/>
      </c>
      <c r="G365" s="167" t="str">
        <f>IF(ISBLANK(DaqBook_RAW_Data!V355),"",DaqBook_RAW_Data!V355)</f>
        <v/>
      </c>
      <c r="H365" s="167" t="str">
        <f>IF(ISBLANK(DaqBook_RAW_Data!W355),"",DaqBook_RAW_Data!W355)</f>
        <v/>
      </c>
      <c r="I365" s="167" t="str">
        <f>IF(ISBLANK(DaqBook_RAW_Data!X355),"",DaqBook_RAW_Data!X355)</f>
        <v/>
      </c>
      <c r="J365" s="167" t="str">
        <f>IF(ISBLANK(DaqBook_RAW_Data!Y355),"",DaqBook_RAW_Data!Y355)</f>
        <v/>
      </c>
      <c r="K365" s="167" t="str">
        <f>IF(ISBLANK(DaqBook_RAW_Data!Z355),"",DaqBook_RAW_Data!Z355)</f>
        <v/>
      </c>
      <c r="L365" s="167" t="str">
        <f>IF(ISBLANK(DaqBook_RAW_Data!AA355),"",DaqBook_RAW_Data!AA355)</f>
        <v/>
      </c>
      <c r="M365" s="167" t="str">
        <f>IF(ISBLANK(DaqBook_RAW_Data!AB355),"",DaqBook_RAW_Data!AB355)</f>
        <v/>
      </c>
      <c r="N365" s="167" t="str">
        <f>IF(ISBLANK(DaqBook_RAW_Data!AC355),"",DaqBook_RAW_Data!AC355)</f>
        <v/>
      </c>
      <c r="O365" s="167" t="str">
        <f>IF(ISBLANK(DaqBook_RAW_Data!AD355),"",DaqBook_RAW_Data!AD355)</f>
        <v/>
      </c>
      <c r="P365" s="167" t="str">
        <f>IF(ISBLANK(DaqBook_RAW_Data!AE355),"",DaqBook_RAW_Data!AE355)</f>
        <v/>
      </c>
    </row>
    <row r="366" spans="1:16" x14ac:dyDescent="0.2">
      <c r="A366" s="58" t="e">
        <f t="shared" si="5"/>
        <v>#VALUE!</v>
      </c>
      <c r="B366" s="144" t="str">
        <f>IF(ISBLANK(DaqBook_RAW_Data!Q356),IF(DaqBook_RAW_Data!A356="","",TIMEVALUE(DaqBook_RAW_Data!A356)),TIMEVALUE(DaqBook_RAW_Data!Q356))</f>
        <v/>
      </c>
      <c r="C366" s="167" t="str">
        <f>IF(ISBLANK(DaqBook_RAW_Data!R356),"",DaqBook_RAW_Data!R356)</f>
        <v/>
      </c>
      <c r="D366" s="167" t="str">
        <f>IF(ISBLANK(DaqBook_RAW_Data!S356),"",DaqBook_RAW_Data!S356)</f>
        <v/>
      </c>
      <c r="E366" s="167" t="str">
        <f>IF(ISBLANK(DaqBook_RAW_Data!T356),"",DaqBook_RAW_Data!T356)</f>
        <v/>
      </c>
      <c r="F366" s="167" t="str">
        <f>IF(ISBLANK(DaqBook_RAW_Data!U356),"",DaqBook_RAW_Data!U356)</f>
        <v/>
      </c>
      <c r="G366" s="167" t="str">
        <f>IF(ISBLANK(DaqBook_RAW_Data!V356),"",DaqBook_RAW_Data!V356)</f>
        <v/>
      </c>
      <c r="H366" s="167" t="str">
        <f>IF(ISBLANK(DaqBook_RAW_Data!W356),"",DaqBook_RAW_Data!W356)</f>
        <v/>
      </c>
      <c r="I366" s="167" t="str">
        <f>IF(ISBLANK(DaqBook_RAW_Data!X356),"",DaqBook_RAW_Data!X356)</f>
        <v/>
      </c>
      <c r="J366" s="167" t="str">
        <f>IF(ISBLANK(DaqBook_RAW_Data!Y356),"",DaqBook_RAW_Data!Y356)</f>
        <v/>
      </c>
      <c r="K366" s="167" t="str">
        <f>IF(ISBLANK(DaqBook_RAW_Data!Z356),"",DaqBook_RAW_Data!Z356)</f>
        <v/>
      </c>
      <c r="L366" s="167" t="str">
        <f>IF(ISBLANK(DaqBook_RAW_Data!AA356),"",DaqBook_RAW_Data!AA356)</f>
        <v/>
      </c>
      <c r="M366" s="167" t="str">
        <f>IF(ISBLANK(DaqBook_RAW_Data!AB356),"",DaqBook_RAW_Data!AB356)</f>
        <v/>
      </c>
      <c r="N366" s="167" t="str">
        <f>IF(ISBLANK(DaqBook_RAW_Data!AC356),"",DaqBook_RAW_Data!AC356)</f>
        <v/>
      </c>
      <c r="O366" s="167" t="str">
        <f>IF(ISBLANK(DaqBook_RAW_Data!AD356),"",DaqBook_RAW_Data!AD356)</f>
        <v/>
      </c>
      <c r="P366" s="167" t="str">
        <f>IF(ISBLANK(DaqBook_RAW_Data!AE356),"",DaqBook_RAW_Data!AE356)</f>
        <v/>
      </c>
    </row>
    <row r="367" spans="1:16" x14ac:dyDescent="0.2">
      <c r="A367" s="58" t="e">
        <f t="shared" si="5"/>
        <v>#VALUE!</v>
      </c>
      <c r="B367" s="144" t="str">
        <f>IF(ISBLANK(DaqBook_RAW_Data!Q357),IF(DaqBook_RAW_Data!A357="","",TIMEVALUE(DaqBook_RAW_Data!A357)),TIMEVALUE(DaqBook_RAW_Data!Q357))</f>
        <v/>
      </c>
      <c r="C367" s="167" t="str">
        <f>IF(ISBLANK(DaqBook_RAW_Data!R357),"",DaqBook_RAW_Data!R357)</f>
        <v/>
      </c>
      <c r="D367" s="167" t="str">
        <f>IF(ISBLANK(DaqBook_RAW_Data!S357),"",DaqBook_RAW_Data!S357)</f>
        <v/>
      </c>
      <c r="E367" s="167" t="str">
        <f>IF(ISBLANK(DaqBook_RAW_Data!T357),"",DaqBook_RAW_Data!T357)</f>
        <v/>
      </c>
      <c r="F367" s="167" t="str">
        <f>IF(ISBLANK(DaqBook_RAW_Data!U357),"",DaqBook_RAW_Data!U357)</f>
        <v/>
      </c>
      <c r="G367" s="167" t="str">
        <f>IF(ISBLANK(DaqBook_RAW_Data!V357),"",DaqBook_RAW_Data!V357)</f>
        <v/>
      </c>
      <c r="H367" s="167" t="str">
        <f>IF(ISBLANK(DaqBook_RAW_Data!W357),"",DaqBook_RAW_Data!W357)</f>
        <v/>
      </c>
      <c r="I367" s="167" t="str">
        <f>IF(ISBLANK(DaqBook_RAW_Data!X357),"",DaqBook_RAW_Data!X357)</f>
        <v/>
      </c>
      <c r="J367" s="167" t="str">
        <f>IF(ISBLANK(DaqBook_RAW_Data!Y357),"",DaqBook_RAW_Data!Y357)</f>
        <v/>
      </c>
      <c r="K367" s="167" t="str">
        <f>IF(ISBLANK(DaqBook_RAW_Data!Z357),"",DaqBook_RAW_Data!Z357)</f>
        <v/>
      </c>
      <c r="L367" s="167" t="str">
        <f>IF(ISBLANK(DaqBook_RAW_Data!AA357),"",DaqBook_RAW_Data!AA357)</f>
        <v/>
      </c>
      <c r="M367" s="167" t="str">
        <f>IF(ISBLANK(DaqBook_RAW_Data!AB357),"",DaqBook_RAW_Data!AB357)</f>
        <v/>
      </c>
      <c r="N367" s="167" t="str">
        <f>IF(ISBLANK(DaqBook_RAW_Data!AC357),"",DaqBook_RAW_Data!AC357)</f>
        <v/>
      </c>
      <c r="O367" s="167" t="str">
        <f>IF(ISBLANK(DaqBook_RAW_Data!AD357),"",DaqBook_RAW_Data!AD357)</f>
        <v/>
      </c>
      <c r="P367" s="167" t="str">
        <f>IF(ISBLANK(DaqBook_RAW_Data!AE357),"",DaqBook_RAW_Data!AE357)</f>
        <v/>
      </c>
    </row>
    <row r="368" spans="1:16" x14ac:dyDescent="0.2">
      <c r="A368" s="58" t="e">
        <f t="shared" si="5"/>
        <v>#VALUE!</v>
      </c>
      <c r="B368" s="144" t="str">
        <f>IF(ISBLANK(DaqBook_RAW_Data!Q358),IF(DaqBook_RAW_Data!A358="","",TIMEVALUE(DaqBook_RAW_Data!A358)),TIMEVALUE(DaqBook_RAW_Data!Q358))</f>
        <v/>
      </c>
      <c r="C368" s="167" t="str">
        <f>IF(ISBLANK(DaqBook_RAW_Data!R358),"",DaqBook_RAW_Data!R358)</f>
        <v/>
      </c>
      <c r="D368" s="167" t="str">
        <f>IF(ISBLANK(DaqBook_RAW_Data!S358),"",DaqBook_RAW_Data!S358)</f>
        <v/>
      </c>
      <c r="E368" s="167" t="str">
        <f>IF(ISBLANK(DaqBook_RAW_Data!T358),"",DaqBook_RAW_Data!T358)</f>
        <v/>
      </c>
      <c r="F368" s="167" t="str">
        <f>IF(ISBLANK(DaqBook_RAW_Data!U358),"",DaqBook_RAW_Data!U358)</f>
        <v/>
      </c>
      <c r="G368" s="167" t="str">
        <f>IF(ISBLANK(DaqBook_RAW_Data!V358),"",DaqBook_RAW_Data!V358)</f>
        <v/>
      </c>
      <c r="H368" s="167" t="str">
        <f>IF(ISBLANK(DaqBook_RAW_Data!W358),"",DaqBook_RAW_Data!W358)</f>
        <v/>
      </c>
      <c r="I368" s="167" t="str">
        <f>IF(ISBLANK(DaqBook_RAW_Data!X358),"",DaqBook_RAW_Data!X358)</f>
        <v/>
      </c>
      <c r="J368" s="167" t="str">
        <f>IF(ISBLANK(DaqBook_RAW_Data!Y358),"",DaqBook_RAW_Data!Y358)</f>
        <v/>
      </c>
      <c r="K368" s="167" t="str">
        <f>IF(ISBLANK(DaqBook_RAW_Data!Z358),"",DaqBook_RAW_Data!Z358)</f>
        <v/>
      </c>
      <c r="L368" s="167" t="str">
        <f>IF(ISBLANK(DaqBook_RAW_Data!AA358),"",DaqBook_RAW_Data!AA358)</f>
        <v/>
      </c>
      <c r="M368" s="167" t="str">
        <f>IF(ISBLANK(DaqBook_RAW_Data!AB358),"",DaqBook_RAW_Data!AB358)</f>
        <v/>
      </c>
      <c r="N368" s="167" t="str">
        <f>IF(ISBLANK(DaqBook_RAW_Data!AC358),"",DaqBook_RAW_Data!AC358)</f>
        <v/>
      </c>
      <c r="O368" s="167" t="str">
        <f>IF(ISBLANK(DaqBook_RAW_Data!AD358),"",DaqBook_RAW_Data!AD358)</f>
        <v/>
      </c>
      <c r="P368" s="167" t="str">
        <f>IF(ISBLANK(DaqBook_RAW_Data!AE358),"",DaqBook_RAW_Data!AE358)</f>
        <v/>
      </c>
    </row>
    <row r="369" spans="1:16" x14ac:dyDescent="0.2">
      <c r="A369" s="58" t="e">
        <f t="shared" si="5"/>
        <v>#VALUE!</v>
      </c>
      <c r="B369" s="144" t="str">
        <f>IF(ISBLANK(DaqBook_RAW_Data!Q359),IF(DaqBook_RAW_Data!A359="","",TIMEVALUE(DaqBook_RAW_Data!A359)),TIMEVALUE(DaqBook_RAW_Data!Q359))</f>
        <v/>
      </c>
      <c r="C369" s="167" t="str">
        <f>IF(ISBLANK(DaqBook_RAW_Data!R359),"",DaqBook_RAW_Data!R359)</f>
        <v/>
      </c>
      <c r="D369" s="167" t="str">
        <f>IF(ISBLANK(DaqBook_RAW_Data!S359),"",DaqBook_RAW_Data!S359)</f>
        <v/>
      </c>
      <c r="E369" s="167" t="str">
        <f>IF(ISBLANK(DaqBook_RAW_Data!T359),"",DaqBook_RAW_Data!T359)</f>
        <v/>
      </c>
      <c r="F369" s="167" t="str">
        <f>IF(ISBLANK(DaqBook_RAW_Data!U359),"",DaqBook_RAW_Data!U359)</f>
        <v/>
      </c>
      <c r="G369" s="167" t="str">
        <f>IF(ISBLANK(DaqBook_RAW_Data!V359),"",DaqBook_RAW_Data!V359)</f>
        <v/>
      </c>
      <c r="H369" s="167" t="str">
        <f>IF(ISBLANK(DaqBook_RAW_Data!W359),"",DaqBook_RAW_Data!W359)</f>
        <v/>
      </c>
      <c r="I369" s="167" t="str">
        <f>IF(ISBLANK(DaqBook_RAW_Data!X359),"",DaqBook_RAW_Data!X359)</f>
        <v/>
      </c>
      <c r="J369" s="167" t="str">
        <f>IF(ISBLANK(DaqBook_RAW_Data!Y359),"",DaqBook_RAW_Data!Y359)</f>
        <v/>
      </c>
      <c r="K369" s="167" t="str">
        <f>IF(ISBLANK(DaqBook_RAW_Data!Z359),"",DaqBook_RAW_Data!Z359)</f>
        <v/>
      </c>
      <c r="L369" s="167" t="str">
        <f>IF(ISBLANK(DaqBook_RAW_Data!AA359),"",DaqBook_RAW_Data!AA359)</f>
        <v/>
      </c>
      <c r="M369" s="167" t="str">
        <f>IF(ISBLANK(DaqBook_RAW_Data!AB359),"",DaqBook_RAW_Data!AB359)</f>
        <v/>
      </c>
      <c r="N369" s="167" t="str">
        <f>IF(ISBLANK(DaqBook_RAW_Data!AC359),"",DaqBook_RAW_Data!AC359)</f>
        <v/>
      </c>
      <c r="O369" s="167" t="str">
        <f>IF(ISBLANK(DaqBook_RAW_Data!AD359),"",DaqBook_RAW_Data!AD359)</f>
        <v/>
      </c>
      <c r="P369" s="167" t="str">
        <f>IF(ISBLANK(DaqBook_RAW_Data!AE359),"",DaqBook_RAW_Data!AE359)</f>
        <v/>
      </c>
    </row>
    <row r="370" spans="1:16" x14ac:dyDescent="0.2">
      <c r="A370" s="58" t="e">
        <f t="shared" si="5"/>
        <v>#VALUE!</v>
      </c>
      <c r="B370" s="144" t="str">
        <f>IF(ISBLANK(DaqBook_RAW_Data!Q360),IF(DaqBook_RAW_Data!A360="","",TIMEVALUE(DaqBook_RAW_Data!A360)),TIMEVALUE(DaqBook_RAW_Data!Q360))</f>
        <v/>
      </c>
      <c r="C370" s="167" t="str">
        <f>IF(ISBLANK(DaqBook_RAW_Data!R360),"",DaqBook_RAW_Data!R360)</f>
        <v/>
      </c>
      <c r="D370" s="167" t="str">
        <f>IF(ISBLANK(DaqBook_RAW_Data!S360),"",DaqBook_RAW_Data!S360)</f>
        <v/>
      </c>
      <c r="E370" s="167" t="str">
        <f>IF(ISBLANK(DaqBook_RAW_Data!T360),"",DaqBook_RAW_Data!T360)</f>
        <v/>
      </c>
      <c r="F370" s="167" t="str">
        <f>IF(ISBLANK(DaqBook_RAW_Data!U360),"",DaqBook_RAW_Data!U360)</f>
        <v/>
      </c>
      <c r="G370" s="167" t="str">
        <f>IF(ISBLANK(DaqBook_RAW_Data!V360),"",DaqBook_RAW_Data!V360)</f>
        <v/>
      </c>
      <c r="H370" s="167" t="str">
        <f>IF(ISBLANK(DaqBook_RAW_Data!W360),"",DaqBook_RAW_Data!W360)</f>
        <v/>
      </c>
      <c r="I370" s="167" t="str">
        <f>IF(ISBLANK(DaqBook_RAW_Data!X360),"",DaqBook_RAW_Data!X360)</f>
        <v/>
      </c>
      <c r="J370" s="167" t="str">
        <f>IF(ISBLANK(DaqBook_RAW_Data!Y360),"",DaqBook_RAW_Data!Y360)</f>
        <v/>
      </c>
      <c r="K370" s="167" t="str">
        <f>IF(ISBLANK(DaqBook_RAW_Data!Z360),"",DaqBook_RAW_Data!Z360)</f>
        <v/>
      </c>
      <c r="L370" s="167" t="str">
        <f>IF(ISBLANK(DaqBook_RAW_Data!AA360),"",DaqBook_RAW_Data!AA360)</f>
        <v/>
      </c>
      <c r="M370" s="167" t="str">
        <f>IF(ISBLANK(DaqBook_RAW_Data!AB360),"",DaqBook_RAW_Data!AB360)</f>
        <v/>
      </c>
      <c r="N370" s="167" t="str">
        <f>IF(ISBLANK(DaqBook_RAW_Data!AC360),"",DaqBook_RAW_Data!AC360)</f>
        <v/>
      </c>
      <c r="O370" s="167" t="str">
        <f>IF(ISBLANK(DaqBook_RAW_Data!AD360),"",DaqBook_RAW_Data!AD360)</f>
        <v/>
      </c>
      <c r="P370" s="167" t="str">
        <f>IF(ISBLANK(DaqBook_RAW_Data!AE360),"",DaqBook_RAW_Data!AE360)</f>
        <v/>
      </c>
    </row>
    <row r="371" spans="1:16" x14ac:dyDescent="0.2">
      <c r="A371" s="58" t="e">
        <f t="shared" si="5"/>
        <v>#VALUE!</v>
      </c>
      <c r="B371" s="144" t="str">
        <f>IF(ISBLANK(DaqBook_RAW_Data!Q361),IF(DaqBook_RAW_Data!A361="","",TIMEVALUE(DaqBook_RAW_Data!A361)),TIMEVALUE(DaqBook_RAW_Data!Q361))</f>
        <v/>
      </c>
      <c r="C371" s="167" t="str">
        <f>IF(ISBLANK(DaqBook_RAW_Data!R361),"",DaqBook_RAW_Data!R361)</f>
        <v/>
      </c>
      <c r="D371" s="167" t="str">
        <f>IF(ISBLANK(DaqBook_RAW_Data!S361),"",DaqBook_RAW_Data!S361)</f>
        <v/>
      </c>
      <c r="E371" s="167" t="str">
        <f>IF(ISBLANK(DaqBook_RAW_Data!T361),"",DaqBook_RAW_Data!T361)</f>
        <v/>
      </c>
      <c r="F371" s="167" t="str">
        <f>IF(ISBLANK(DaqBook_RAW_Data!U361),"",DaqBook_RAW_Data!U361)</f>
        <v/>
      </c>
      <c r="G371" s="167" t="str">
        <f>IF(ISBLANK(DaqBook_RAW_Data!V361),"",DaqBook_RAW_Data!V361)</f>
        <v/>
      </c>
      <c r="H371" s="167" t="str">
        <f>IF(ISBLANK(DaqBook_RAW_Data!W361),"",DaqBook_RAW_Data!W361)</f>
        <v/>
      </c>
      <c r="I371" s="167" t="str">
        <f>IF(ISBLANK(DaqBook_RAW_Data!X361),"",DaqBook_RAW_Data!X361)</f>
        <v/>
      </c>
      <c r="J371" s="167" t="str">
        <f>IF(ISBLANK(DaqBook_RAW_Data!Y361),"",DaqBook_RAW_Data!Y361)</f>
        <v/>
      </c>
      <c r="K371" s="167" t="str">
        <f>IF(ISBLANK(DaqBook_RAW_Data!Z361),"",DaqBook_RAW_Data!Z361)</f>
        <v/>
      </c>
      <c r="L371" s="167" t="str">
        <f>IF(ISBLANK(DaqBook_RAW_Data!AA361),"",DaqBook_RAW_Data!AA361)</f>
        <v/>
      </c>
      <c r="M371" s="167" t="str">
        <f>IF(ISBLANK(DaqBook_RAW_Data!AB361),"",DaqBook_RAW_Data!AB361)</f>
        <v/>
      </c>
      <c r="N371" s="167" t="str">
        <f>IF(ISBLANK(DaqBook_RAW_Data!AC361),"",DaqBook_RAW_Data!AC361)</f>
        <v/>
      </c>
      <c r="O371" s="167" t="str">
        <f>IF(ISBLANK(DaqBook_RAW_Data!AD361),"",DaqBook_RAW_Data!AD361)</f>
        <v/>
      </c>
      <c r="P371" s="167" t="str">
        <f>IF(ISBLANK(DaqBook_RAW_Data!AE361),"",DaqBook_RAW_Data!AE361)</f>
        <v/>
      </c>
    </row>
    <row r="372" spans="1:16" x14ac:dyDescent="0.2">
      <c r="A372" s="58" t="e">
        <f t="shared" si="5"/>
        <v>#VALUE!</v>
      </c>
      <c r="B372" s="144" t="str">
        <f>IF(ISBLANK(DaqBook_RAW_Data!Q362),IF(DaqBook_RAW_Data!A362="","",TIMEVALUE(DaqBook_RAW_Data!A362)),TIMEVALUE(DaqBook_RAW_Data!Q362))</f>
        <v/>
      </c>
      <c r="C372" s="167" t="str">
        <f>IF(ISBLANK(DaqBook_RAW_Data!R362),"",DaqBook_RAW_Data!R362)</f>
        <v/>
      </c>
      <c r="D372" s="167" t="str">
        <f>IF(ISBLANK(DaqBook_RAW_Data!S362),"",DaqBook_RAW_Data!S362)</f>
        <v/>
      </c>
      <c r="E372" s="167" t="str">
        <f>IF(ISBLANK(DaqBook_RAW_Data!T362),"",DaqBook_RAW_Data!T362)</f>
        <v/>
      </c>
      <c r="F372" s="167" t="str">
        <f>IF(ISBLANK(DaqBook_RAW_Data!U362),"",DaqBook_RAW_Data!U362)</f>
        <v/>
      </c>
      <c r="G372" s="167" t="str">
        <f>IF(ISBLANK(DaqBook_RAW_Data!V362),"",DaqBook_RAW_Data!V362)</f>
        <v/>
      </c>
      <c r="H372" s="167" t="str">
        <f>IF(ISBLANK(DaqBook_RAW_Data!W362),"",DaqBook_RAW_Data!W362)</f>
        <v/>
      </c>
      <c r="I372" s="167" t="str">
        <f>IF(ISBLANK(DaqBook_RAW_Data!X362),"",DaqBook_RAW_Data!X362)</f>
        <v/>
      </c>
      <c r="J372" s="167" t="str">
        <f>IF(ISBLANK(DaqBook_RAW_Data!Y362),"",DaqBook_RAW_Data!Y362)</f>
        <v/>
      </c>
      <c r="K372" s="167" t="str">
        <f>IF(ISBLANK(DaqBook_RAW_Data!Z362),"",DaqBook_RAW_Data!Z362)</f>
        <v/>
      </c>
      <c r="L372" s="167" t="str">
        <f>IF(ISBLANK(DaqBook_RAW_Data!AA362),"",DaqBook_RAW_Data!AA362)</f>
        <v/>
      </c>
      <c r="M372" s="167" t="str">
        <f>IF(ISBLANK(DaqBook_RAW_Data!AB362),"",DaqBook_RAW_Data!AB362)</f>
        <v/>
      </c>
      <c r="N372" s="167" t="str">
        <f>IF(ISBLANK(DaqBook_RAW_Data!AC362),"",DaqBook_RAW_Data!AC362)</f>
        <v/>
      </c>
      <c r="O372" s="167" t="str">
        <f>IF(ISBLANK(DaqBook_RAW_Data!AD362),"",DaqBook_RAW_Data!AD362)</f>
        <v/>
      </c>
      <c r="P372" s="167" t="str">
        <f>IF(ISBLANK(DaqBook_RAW_Data!AE362),"",DaqBook_RAW_Data!AE362)</f>
        <v/>
      </c>
    </row>
    <row r="373" spans="1:16" x14ac:dyDescent="0.2">
      <c r="A373" s="58" t="e">
        <f t="shared" si="5"/>
        <v>#VALUE!</v>
      </c>
      <c r="B373" s="144" t="str">
        <f>IF(ISBLANK(DaqBook_RAW_Data!Q363),IF(DaqBook_RAW_Data!A363="","",TIMEVALUE(DaqBook_RAW_Data!A363)),TIMEVALUE(DaqBook_RAW_Data!Q363))</f>
        <v/>
      </c>
      <c r="C373" s="167" t="str">
        <f>IF(ISBLANK(DaqBook_RAW_Data!R363),"",DaqBook_RAW_Data!R363)</f>
        <v/>
      </c>
      <c r="D373" s="167" t="str">
        <f>IF(ISBLANK(DaqBook_RAW_Data!S363),"",DaqBook_RAW_Data!S363)</f>
        <v/>
      </c>
      <c r="E373" s="167" t="str">
        <f>IF(ISBLANK(DaqBook_RAW_Data!T363),"",DaqBook_RAW_Data!T363)</f>
        <v/>
      </c>
      <c r="F373" s="167" t="str">
        <f>IF(ISBLANK(DaqBook_RAW_Data!U363),"",DaqBook_RAW_Data!U363)</f>
        <v/>
      </c>
      <c r="G373" s="167" t="str">
        <f>IF(ISBLANK(DaqBook_RAW_Data!V363),"",DaqBook_RAW_Data!V363)</f>
        <v/>
      </c>
      <c r="H373" s="167" t="str">
        <f>IF(ISBLANK(DaqBook_RAW_Data!W363),"",DaqBook_RAW_Data!W363)</f>
        <v/>
      </c>
      <c r="I373" s="167" t="str">
        <f>IF(ISBLANK(DaqBook_RAW_Data!X363),"",DaqBook_RAW_Data!X363)</f>
        <v/>
      </c>
      <c r="J373" s="167" t="str">
        <f>IF(ISBLANK(DaqBook_RAW_Data!Y363),"",DaqBook_RAW_Data!Y363)</f>
        <v/>
      </c>
      <c r="K373" s="167" t="str">
        <f>IF(ISBLANK(DaqBook_RAW_Data!Z363),"",DaqBook_RAW_Data!Z363)</f>
        <v/>
      </c>
      <c r="L373" s="167" t="str">
        <f>IF(ISBLANK(DaqBook_RAW_Data!AA363),"",DaqBook_RAW_Data!AA363)</f>
        <v/>
      </c>
      <c r="M373" s="167" t="str">
        <f>IF(ISBLANK(DaqBook_RAW_Data!AB363),"",DaqBook_RAW_Data!AB363)</f>
        <v/>
      </c>
      <c r="N373" s="167" t="str">
        <f>IF(ISBLANK(DaqBook_RAW_Data!AC363),"",DaqBook_RAW_Data!AC363)</f>
        <v/>
      </c>
      <c r="O373" s="167" t="str">
        <f>IF(ISBLANK(DaqBook_RAW_Data!AD363),"",DaqBook_RAW_Data!AD363)</f>
        <v/>
      </c>
      <c r="P373" s="167" t="str">
        <f>IF(ISBLANK(DaqBook_RAW_Data!AE363),"",DaqBook_RAW_Data!AE363)</f>
        <v/>
      </c>
    </row>
    <row r="374" spans="1:16" x14ac:dyDescent="0.2">
      <c r="A374" s="58" t="e">
        <f t="shared" si="5"/>
        <v>#VALUE!</v>
      </c>
      <c r="B374" s="144" t="str">
        <f>IF(ISBLANK(DaqBook_RAW_Data!Q364),IF(DaqBook_RAW_Data!A364="","",TIMEVALUE(DaqBook_RAW_Data!A364)),TIMEVALUE(DaqBook_RAW_Data!Q364))</f>
        <v/>
      </c>
      <c r="C374" s="167" t="str">
        <f>IF(ISBLANK(DaqBook_RAW_Data!R364),"",DaqBook_RAW_Data!R364)</f>
        <v/>
      </c>
      <c r="D374" s="167" t="str">
        <f>IF(ISBLANK(DaqBook_RAW_Data!S364),"",DaqBook_RAW_Data!S364)</f>
        <v/>
      </c>
      <c r="E374" s="167" t="str">
        <f>IF(ISBLANK(DaqBook_RAW_Data!T364),"",DaqBook_RAW_Data!T364)</f>
        <v/>
      </c>
      <c r="F374" s="167" t="str">
        <f>IF(ISBLANK(DaqBook_RAW_Data!U364),"",DaqBook_RAW_Data!U364)</f>
        <v/>
      </c>
      <c r="G374" s="167" t="str">
        <f>IF(ISBLANK(DaqBook_RAW_Data!V364),"",DaqBook_RAW_Data!V364)</f>
        <v/>
      </c>
      <c r="H374" s="167" t="str">
        <f>IF(ISBLANK(DaqBook_RAW_Data!W364),"",DaqBook_RAW_Data!W364)</f>
        <v/>
      </c>
      <c r="I374" s="167" t="str">
        <f>IF(ISBLANK(DaqBook_RAW_Data!X364),"",DaqBook_RAW_Data!X364)</f>
        <v/>
      </c>
      <c r="J374" s="167" t="str">
        <f>IF(ISBLANK(DaqBook_RAW_Data!Y364),"",DaqBook_RAW_Data!Y364)</f>
        <v/>
      </c>
      <c r="K374" s="167" t="str">
        <f>IF(ISBLANK(DaqBook_RAW_Data!Z364),"",DaqBook_RAW_Data!Z364)</f>
        <v/>
      </c>
      <c r="L374" s="167" t="str">
        <f>IF(ISBLANK(DaqBook_RAW_Data!AA364),"",DaqBook_RAW_Data!AA364)</f>
        <v/>
      </c>
      <c r="M374" s="167" t="str">
        <f>IF(ISBLANK(DaqBook_RAW_Data!AB364),"",DaqBook_RAW_Data!AB364)</f>
        <v/>
      </c>
      <c r="N374" s="167" t="str">
        <f>IF(ISBLANK(DaqBook_RAW_Data!AC364),"",DaqBook_RAW_Data!AC364)</f>
        <v/>
      </c>
      <c r="O374" s="167" t="str">
        <f>IF(ISBLANK(DaqBook_RAW_Data!AD364),"",DaqBook_RAW_Data!AD364)</f>
        <v/>
      </c>
      <c r="P374" s="167" t="str">
        <f>IF(ISBLANK(DaqBook_RAW_Data!AE364),"",DaqBook_RAW_Data!AE364)</f>
        <v/>
      </c>
    </row>
    <row r="375" spans="1:16" x14ac:dyDescent="0.2">
      <c r="A375" s="58" t="e">
        <f t="shared" si="5"/>
        <v>#VALUE!</v>
      </c>
      <c r="B375" s="144" t="str">
        <f>IF(ISBLANK(DaqBook_RAW_Data!Q365),IF(DaqBook_RAW_Data!A365="","",TIMEVALUE(DaqBook_RAW_Data!A365)),TIMEVALUE(DaqBook_RAW_Data!Q365))</f>
        <v/>
      </c>
      <c r="C375" s="167" t="str">
        <f>IF(ISBLANK(DaqBook_RAW_Data!R365),"",DaqBook_RAW_Data!R365)</f>
        <v/>
      </c>
      <c r="D375" s="167" t="str">
        <f>IF(ISBLANK(DaqBook_RAW_Data!S365),"",DaqBook_RAW_Data!S365)</f>
        <v/>
      </c>
      <c r="E375" s="167" t="str">
        <f>IF(ISBLANK(DaqBook_RAW_Data!T365),"",DaqBook_RAW_Data!T365)</f>
        <v/>
      </c>
      <c r="F375" s="167" t="str">
        <f>IF(ISBLANK(DaqBook_RAW_Data!U365),"",DaqBook_RAW_Data!U365)</f>
        <v/>
      </c>
      <c r="G375" s="167" t="str">
        <f>IF(ISBLANK(DaqBook_RAW_Data!V365),"",DaqBook_RAW_Data!V365)</f>
        <v/>
      </c>
      <c r="H375" s="167" t="str">
        <f>IF(ISBLANK(DaqBook_RAW_Data!W365),"",DaqBook_RAW_Data!W365)</f>
        <v/>
      </c>
      <c r="I375" s="167" t="str">
        <f>IF(ISBLANK(DaqBook_RAW_Data!X365),"",DaqBook_RAW_Data!X365)</f>
        <v/>
      </c>
      <c r="J375" s="167" t="str">
        <f>IF(ISBLANK(DaqBook_RAW_Data!Y365),"",DaqBook_RAW_Data!Y365)</f>
        <v/>
      </c>
      <c r="K375" s="167" t="str">
        <f>IF(ISBLANK(DaqBook_RAW_Data!Z365),"",DaqBook_RAW_Data!Z365)</f>
        <v/>
      </c>
      <c r="L375" s="167" t="str">
        <f>IF(ISBLANK(DaqBook_RAW_Data!AA365),"",DaqBook_RAW_Data!AA365)</f>
        <v/>
      </c>
      <c r="M375" s="167" t="str">
        <f>IF(ISBLANK(DaqBook_RAW_Data!AB365),"",DaqBook_RAW_Data!AB365)</f>
        <v/>
      </c>
      <c r="N375" s="167" t="str">
        <f>IF(ISBLANK(DaqBook_RAW_Data!AC365),"",DaqBook_RAW_Data!AC365)</f>
        <v/>
      </c>
      <c r="O375" s="167" t="str">
        <f>IF(ISBLANK(DaqBook_RAW_Data!AD365),"",DaqBook_RAW_Data!AD365)</f>
        <v/>
      </c>
      <c r="P375" s="167" t="str">
        <f>IF(ISBLANK(DaqBook_RAW_Data!AE365),"",DaqBook_RAW_Data!AE365)</f>
        <v/>
      </c>
    </row>
    <row r="376" spans="1:16" x14ac:dyDescent="0.2">
      <c r="A376" s="58" t="e">
        <f t="shared" si="5"/>
        <v>#VALUE!</v>
      </c>
      <c r="B376" s="144" t="str">
        <f>IF(ISBLANK(DaqBook_RAW_Data!Q366),IF(DaqBook_RAW_Data!A366="","",TIMEVALUE(DaqBook_RAW_Data!A366)),TIMEVALUE(DaqBook_RAW_Data!Q366))</f>
        <v/>
      </c>
      <c r="C376" s="167" t="str">
        <f>IF(ISBLANK(DaqBook_RAW_Data!R366),"",DaqBook_RAW_Data!R366)</f>
        <v/>
      </c>
      <c r="D376" s="167" t="str">
        <f>IF(ISBLANK(DaqBook_RAW_Data!S366),"",DaqBook_RAW_Data!S366)</f>
        <v/>
      </c>
      <c r="E376" s="167" t="str">
        <f>IF(ISBLANK(DaqBook_RAW_Data!T366),"",DaqBook_RAW_Data!T366)</f>
        <v/>
      </c>
      <c r="F376" s="167" t="str">
        <f>IF(ISBLANK(DaqBook_RAW_Data!U366),"",DaqBook_RAW_Data!U366)</f>
        <v/>
      </c>
      <c r="G376" s="167" t="str">
        <f>IF(ISBLANK(DaqBook_RAW_Data!V366),"",DaqBook_RAW_Data!V366)</f>
        <v/>
      </c>
      <c r="H376" s="167" t="str">
        <f>IF(ISBLANK(DaqBook_RAW_Data!W366),"",DaqBook_RAW_Data!W366)</f>
        <v/>
      </c>
      <c r="I376" s="167" t="str">
        <f>IF(ISBLANK(DaqBook_RAW_Data!X366),"",DaqBook_RAW_Data!X366)</f>
        <v/>
      </c>
      <c r="J376" s="167" t="str">
        <f>IF(ISBLANK(DaqBook_RAW_Data!Y366),"",DaqBook_RAW_Data!Y366)</f>
        <v/>
      </c>
      <c r="K376" s="167" t="str">
        <f>IF(ISBLANK(DaqBook_RAW_Data!Z366),"",DaqBook_RAW_Data!Z366)</f>
        <v/>
      </c>
      <c r="L376" s="167" t="str">
        <f>IF(ISBLANK(DaqBook_RAW_Data!AA366),"",DaqBook_RAW_Data!AA366)</f>
        <v/>
      </c>
      <c r="M376" s="167" t="str">
        <f>IF(ISBLANK(DaqBook_RAW_Data!AB366),"",DaqBook_RAW_Data!AB366)</f>
        <v/>
      </c>
      <c r="N376" s="167" t="str">
        <f>IF(ISBLANK(DaqBook_RAW_Data!AC366),"",DaqBook_RAW_Data!AC366)</f>
        <v/>
      </c>
      <c r="O376" s="167" t="str">
        <f>IF(ISBLANK(DaqBook_RAW_Data!AD366),"",DaqBook_RAW_Data!AD366)</f>
        <v/>
      </c>
      <c r="P376" s="167" t="str">
        <f>IF(ISBLANK(DaqBook_RAW_Data!AE366),"",DaqBook_RAW_Data!AE366)</f>
        <v/>
      </c>
    </row>
    <row r="377" spans="1:16" x14ac:dyDescent="0.2">
      <c r="A377" s="58" t="e">
        <f t="shared" si="5"/>
        <v>#VALUE!</v>
      </c>
      <c r="B377" s="144" t="str">
        <f>IF(ISBLANK(DaqBook_RAW_Data!Q367),IF(DaqBook_RAW_Data!A367="","",TIMEVALUE(DaqBook_RAW_Data!A367)),TIMEVALUE(DaqBook_RAW_Data!Q367))</f>
        <v/>
      </c>
      <c r="C377" s="167" t="str">
        <f>IF(ISBLANK(DaqBook_RAW_Data!R367),"",DaqBook_RAW_Data!R367)</f>
        <v/>
      </c>
      <c r="D377" s="167" t="str">
        <f>IF(ISBLANK(DaqBook_RAW_Data!S367),"",DaqBook_RAW_Data!S367)</f>
        <v/>
      </c>
      <c r="E377" s="167" t="str">
        <f>IF(ISBLANK(DaqBook_RAW_Data!T367),"",DaqBook_RAW_Data!T367)</f>
        <v/>
      </c>
      <c r="F377" s="167" t="str">
        <f>IF(ISBLANK(DaqBook_RAW_Data!U367),"",DaqBook_RAW_Data!U367)</f>
        <v/>
      </c>
      <c r="G377" s="167" t="str">
        <f>IF(ISBLANK(DaqBook_RAW_Data!V367),"",DaqBook_RAW_Data!V367)</f>
        <v/>
      </c>
      <c r="H377" s="167" t="str">
        <f>IF(ISBLANK(DaqBook_RAW_Data!W367),"",DaqBook_RAW_Data!W367)</f>
        <v/>
      </c>
      <c r="I377" s="167" t="str">
        <f>IF(ISBLANK(DaqBook_RAW_Data!X367),"",DaqBook_RAW_Data!X367)</f>
        <v/>
      </c>
      <c r="J377" s="167" t="str">
        <f>IF(ISBLANK(DaqBook_RAW_Data!Y367),"",DaqBook_RAW_Data!Y367)</f>
        <v/>
      </c>
      <c r="K377" s="167" t="str">
        <f>IF(ISBLANK(DaqBook_RAW_Data!Z367),"",DaqBook_RAW_Data!Z367)</f>
        <v/>
      </c>
      <c r="L377" s="167" t="str">
        <f>IF(ISBLANK(DaqBook_RAW_Data!AA367),"",DaqBook_RAW_Data!AA367)</f>
        <v/>
      </c>
      <c r="M377" s="167" t="str">
        <f>IF(ISBLANK(DaqBook_RAW_Data!AB367),"",DaqBook_RAW_Data!AB367)</f>
        <v/>
      </c>
      <c r="N377" s="167" t="str">
        <f>IF(ISBLANK(DaqBook_RAW_Data!AC367),"",DaqBook_RAW_Data!AC367)</f>
        <v/>
      </c>
      <c r="O377" s="167" t="str">
        <f>IF(ISBLANK(DaqBook_RAW_Data!AD367),"",DaqBook_RAW_Data!AD367)</f>
        <v/>
      </c>
      <c r="P377" s="167" t="str">
        <f>IF(ISBLANK(DaqBook_RAW_Data!AE367),"",DaqBook_RAW_Data!AE367)</f>
        <v/>
      </c>
    </row>
    <row r="378" spans="1:16" x14ac:dyDescent="0.2">
      <c r="A378" s="58" t="e">
        <f t="shared" si="5"/>
        <v>#VALUE!</v>
      </c>
      <c r="B378" s="144" t="str">
        <f>IF(ISBLANK(DaqBook_RAW_Data!Q368),IF(DaqBook_RAW_Data!A368="","",TIMEVALUE(DaqBook_RAW_Data!A368)),TIMEVALUE(DaqBook_RAW_Data!Q368))</f>
        <v/>
      </c>
      <c r="C378" s="167" t="str">
        <f>IF(ISBLANK(DaqBook_RAW_Data!R368),"",DaqBook_RAW_Data!R368)</f>
        <v/>
      </c>
      <c r="D378" s="167" t="str">
        <f>IF(ISBLANK(DaqBook_RAW_Data!S368),"",DaqBook_RAW_Data!S368)</f>
        <v/>
      </c>
      <c r="E378" s="167" t="str">
        <f>IF(ISBLANK(DaqBook_RAW_Data!T368),"",DaqBook_RAW_Data!T368)</f>
        <v/>
      </c>
      <c r="F378" s="167" t="str">
        <f>IF(ISBLANK(DaqBook_RAW_Data!U368),"",DaqBook_RAW_Data!U368)</f>
        <v/>
      </c>
      <c r="G378" s="167" t="str">
        <f>IF(ISBLANK(DaqBook_RAW_Data!V368),"",DaqBook_RAW_Data!V368)</f>
        <v/>
      </c>
      <c r="H378" s="167" t="str">
        <f>IF(ISBLANK(DaqBook_RAW_Data!W368),"",DaqBook_RAW_Data!W368)</f>
        <v/>
      </c>
      <c r="I378" s="167" t="str">
        <f>IF(ISBLANK(DaqBook_RAW_Data!X368),"",DaqBook_RAW_Data!X368)</f>
        <v/>
      </c>
      <c r="J378" s="167" t="str">
        <f>IF(ISBLANK(DaqBook_RAW_Data!Y368),"",DaqBook_RAW_Data!Y368)</f>
        <v/>
      </c>
      <c r="K378" s="167" t="str">
        <f>IF(ISBLANK(DaqBook_RAW_Data!Z368),"",DaqBook_RAW_Data!Z368)</f>
        <v/>
      </c>
      <c r="L378" s="167" t="str">
        <f>IF(ISBLANK(DaqBook_RAW_Data!AA368),"",DaqBook_RAW_Data!AA368)</f>
        <v/>
      </c>
      <c r="M378" s="167" t="str">
        <f>IF(ISBLANK(DaqBook_RAW_Data!AB368),"",DaqBook_RAW_Data!AB368)</f>
        <v/>
      </c>
      <c r="N378" s="167" t="str">
        <f>IF(ISBLANK(DaqBook_RAW_Data!AC368),"",DaqBook_RAW_Data!AC368)</f>
        <v/>
      </c>
      <c r="O378" s="167" t="str">
        <f>IF(ISBLANK(DaqBook_RAW_Data!AD368),"",DaqBook_RAW_Data!AD368)</f>
        <v/>
      </c>
      <c r="P378" s="167" t="str">
        <f>IF(ISBLANK(DaqBook_RAW_Data!AE368),"",DaqBook_RAW_Data!AE368)</f>
        <v/>
      </c>
    </row>
    <row r="379" spans="1:16" x14ac:dyDescent="0.2">
      <c r="A379" s="58" t="e">
        <f t="shared" si="5"/>
        <v>#VALUE!</v>
      </c>
      <c r="B379" s="144" t="str">
        <f>IF(ISBLANK(DaqBook_RAW_Data!Q369),IF(DaqBook_RAW_Data!A369="","",TIMEVALUE(DaqBook_RAW_Data!A369)),TIMEVALUE(DaqBook_RAW_Data!Q369))</f>
        <v/>
      </c>
      <c r="C379" s="167" t="str">
        <f>IF(ISBLANK(DaqBook_RAW_Data!R369),"",DaqBook_RAW_Data!R369)</f>
        <v/>
      </c>
      <c r="D379" s="167" t="str">
        <f>IF(ISBLANK(DaqBook_RAW_Data!S369),"",DaqBook_RAW_Data!S369)</f>
        <v/>
      </c>
      <c r="E379" s="167" t="str">
        <f>IF(ISBLANK(DaqBook_RAW_Data!T369),"",DaqBook_RAW_Data!T369)</f>
        <v/>
      </c>
      <c r="F379" s="167" t="str">
        <f>IF(ISBLANK(DaqBook_RAW_Data!U369),"",DaqBook_RAW_Data!U369)</f>
        <v/>
      </c>
      <c r="G379" s="167" t="str">
        <f>IF(ISBLANK(DaqBook_RAW_Data!V369),"",DaqBook_RAW_Data!V369)</f>
        <v/>
      </c>
      <c r="H379" s="167" t="str">
        <f>IF(ISBLANK(DaqBook_RAW_Data!W369),"",DaqBook_RAW_Data!W369)</f>
        <v/>
      </c>
      <c r="I379" s="167" t="str">
        <f>IF(ISBLANK(DaqBook_RAW_Data!X369),"",DaqBook_RAW_Data!X369)</f>
        <v/>
      </c>
      <c r="J379" s="167" t="str">
        <f>IF(ISBLANK(DaqBook_RAW_Data!Y369),"",DaqBook_RAW_Data!Y369)</f>
        <v/>
      </c>
      <c r="K379" s="167" t="str">
        <f>IF(ISBLANK(DaqBook_RAW_Data!Z369),"",DaqBook_RAW_Data!Z369)</f>
        <v/>
      </c>
      <c r="L379" s="167" t="str">
        <f>IF(ISBLANK(DaqBook_RAW_Data!AA369),"",DaqBook_RAW_Data!AA369)</f>
        <v/>
      </c>
      <c r="M379" s="167" t="str">
        <f>IF(ISBLANK(DaqBook_RAW_Data!AB369),"",DaqBook_RAW_Data!AB369)</f>
        <v/>
      </c>
      <c r="N379" s="167" t="str">
        <f>IF(ISBLANK(DaqBook_RAW_Data!AC369),"",DaqBook_RAW_Data!AC369)</f>
        <v/>
      </c>
      <c r="O379" s="167" t="str">
        <f>IF(ISBLANK(DaqBook_RAW_Data!AD369),"",DaqBook_RAW_Data!AD369)</f>
        <v/>
      </c>
      <c r="P379" s="167" t="str">
        <f>IF(ISBLANK(DaqBook_RAW_Data!AE369),"",DaqBook_RAW_Data!AE369)</f>
        <v/>
      </c>
    </row>
    <row r="380" spans="1:16" x14ac:dyDescent="0.2">
      <c r="A380" s="58" t="e">
        <f t="shared" si="5"/>
        <v>#VALUE!</v>
      </c>
      <c r="B380" s="144" t="str">
        <f>IF(ISBLANK(DaqBook_RAW_Data!Q370),IF(DaqBook_RAW_Data!A370="","",TIMEVALUE(DaqBook_RAW_Data!A370)),TIMEVALUE(DaqBook_RAW_Data!Q370))</f>
        <v/>
      </c>
      <c r="C380" s="167" t="str">
        <f>IF(ISBLANK(DaqBook_RAW_Data!R370),"",DaqBook_RAW_Data!R370)</f>
        <v/>
      </c>
      <c r="D380" s="167" t="str">
        <f>IF(ISBLANK(DaqBook_RAW_Data!S370),"",DaqBook_RAW_Data!S370)</f>
        <v/>
      </c>
      <c r="E380" s="167" t="str">
        <f>IF(ISBLANK(DaqBook_RAW_Data!T370),"",DaqBook_RAW_Data!T370)</f>
        <v/>
      </c>
      <c r="F380" s="167" t="str">
        <f>IF(ISBLANK(DaqBook_RAW_Data!U370),"",DaqBook_RAW_Data!U370)</f>
        <v/>
      </c>
      <c r="G380" s="167" t="str">
        <f>IF(ISBLANK(DaqBook_RAW_Data!V370),"",DaqBook_RAW_Data!V370)</f>
        <v/>
      </c>
      <c r="H380" s="167" t="str">
        <f>IF(ISBLANK(DaqBook_RAW_Data!W370),"",DaqBook_RAW_Data!W370)</f>
        <v/>
      </c>
      <c r="I380" s="167" t="str">
        <f>IF(ISBLANK(DaqBook_RAW_Data!X370),"",DaqBook_RAW_Data!X370)</f>
        <v/>
      </c>
      <c r="J380" s="167" t="str">
        <f>IF(ISBLANK(DaqBook_RAW_Data!Y370),"",DaqBook_RAW_Data!Y370)</f>
        <v/>
      </c>
      <c r="K380" s="167" t="str">
        <f>IF(ISBLANK(DaqBook_RAW_Data!Z370),"",DaqBook_RAW_Data!Z370)</f>
        <v/>
      </c>
      <c r="L380" s="167" t="str">
        <f>IF(ISBLANK(DaqBook_RAW_Data!AA370),"",DaqBook_RAW_Data!AA370)</f>
        <v/>
      </c>
      <c r="M380" s="167" t="str">
        <f>IF(ISBLANK(DaqBook_RAW_Data!AB370),"",DaqBook_RAW_Data!AB370)</f>
        <v/>
      </c>
      <c r="N380" s="167" t="str">
        <f>IF(ISBLANK(DaqBook_RAW_Data!AC370),"",DaqBook_RAW_Data!AC370)</f>
        <v/>
      </c>
      <c r="O380" s="167" t="str">
        <f>IF(ISBLANK(DaqBook_RAW_Data!AD370),"",DaqBook_RAW_Data!AD370)</f>
        <v/>
      </c>
      <c r="P380" s="167" t="str">
        <f>IF(ISBLANK(DaqBook_RAW_Data!AE370),"",DaqBook_RAW_Data!AE370)</f>
        <v/>
      </c>
    </row>
    <row r="381" spans="1:16" x14ac:dyDescent="0.2">
      <c r="A381" s="58" t="e">
        <f t="shared" si="5"/>
        <v>#VALUE!</v>
      </c>
      <c r="B381" s="144" t="str">
        <f>IF(ISBLANK(DaqBook_RAW_Data!Q371),IF(DaqBook_RAW_Data!A371="","",TIMEVALUE(DaqBook_RAW_Data!A371)),TIMEVALUE(DaqBook_RAW_Data!Q371))</f>
        <v/>
      </c>
      <c r="C381" s="167" t="str">
        <f>IF(ISBLANK(DaqBook_RAW_Data!R371),"",DaqBook_RAW_Data!R371)</f>
        <v/>
      </c>
      <c r="D381" s="167" t="str">
        <f>IF(ISBLANK(DaqBook_RAW_Data!S371),"",DaqBook_RAW_Data!S371)</f>
        <v/>
      </c>
      <c r="E381" s="167" t="str">
        <f>IF(ISBLANK(DaqBook_RAW_Data!T371),"",DaqBook_RAW_Data!T371)</f>
        <v/>
      </c>
      <c r="F381" s="167" t="str">
        <f>IF(ISBLANK(DaqBook_RAW_Data!U371),"",DaqBook_RAW_Data!U371)</f>
        <v/>
      </c>
      <c r="G381" s="167" t="str">
        <f>IF(ISBLANK(DaqBook_RAW_Data!V371),"",DaqBook_RAW_Data!V371)</f>
        <v/>
      </c>
      <c r="H381" s="167" t="str">
        <f>IF(ISBLANK(DaqBook_RAW_Data!W371),"",DaqBook_RAW_Data!W371)</f>
        <v/>
      </c>
      <c r="I381" s="167" t="str">
        <f>IF(ISBLANK(DaqBook_RAW_Data!X371),"",DaqBook_RAW_Data!X371)</f>
        <v/>
      </c>
      <c r="J381" s="167" t="str">
        <f>IF(ISBLANK(DaqBook_RAW_Data!Y371),"",DaqBook_RAW_Data!Y371)</f>
        <v/>
      </c>
      <c r="K381" s="167" t="str">
        <f>IF(ISBLANK(DaqBook_RAW_Data!Z371),"",DaqBook_RAW_Data!Z371)</f>
        <v/>
      </c>
      <c r="L381" s="167" t="str">
        <f>IF(ISBLANK(DaqBook_RAW_Data!AA371),"",DaqBook_RAW_Data!AA371)</f>
        <v/>
      </c>
      <c r="M381" s="167" t="str">
        <f>IF(ISBLANK(DaqBook_RAW_Data!AB371),"",DaqBook_RAW_Data!AB371)</f>
        <v/>
      </c>
      <c r="N381" s="167" t="str">
        <f>IF(ISBLANK(DaqBook_RAW_Data!AC371),"",DaqBook_RAW_Data!AC371)</f>
        <v/>
      </c>
      <c r="O381" s="167" t="str">
        <f>IF(ISBLANK(DaqBook_RAW_Data!AD371),"",DaqBook_RAW_Data!AD371)</f>
        <v/>
      </c>
      <c r="P381" s="167" t="str">
        <f>IF(ISBLANK(DaqBook_RAW_Data!AE371),"",DaqBook_RAW_Data!AE371)</f>
        <v/>
      </c>
    </row>
    <row r="382" spans="1:16" x14ac:dyDescent="0.2">
      <c r="A382" s="58" t="e">
        <f t="shared" si="5"/>
        <v>#VALUE!</v>
      </c>
      <c r="B382" s="144" t="str">
        <f>IF(ISBLANK(DaqBook_RAW_Data!Q372),IF(DaqBook_RAW_Data!A372="","",TIMEVALUE(DaqBook_RAW_Data!A372)),TIMEVALUE(DaqBook_RAW_Data!Q372))</f>
        <v/>
      </c>
      <c r="C382" s="167" t="str">
        <f>IF(ISBLANK(DaqBook_RAW_Data!R372),"",DaqBook_RAW_Data!R372)</f>
        <v/>
      </c>
      <c r="D382" s="167" t="str">
        <f>IF(ISBLANK(DaqBook_RAW_Data!S372),"",DaqBook_RAW_Data!S372)</f>
        <v/>
      </c>
      <c r="E382" s="167" t="str">
        <f>IF(ISBLANK(DaqBook_RAW_Data!T372),"",DaqBook_RAW_Data!T372)</f>
        <v/>
      </c>
      <c r="F382" s="167" t="str">
        <f>IF(ISBLANK(DaqBook_RAW_Data!U372),"",DaqBook_RAW_Data!U372)</f>
        <v/>
      </c>
      <c r="G382" s="167" t="str">
        <f>IF(ISBLANK(DaqBook_RAW_Data!V372),"",DaqBook_RAW_Data!V372)</f>
        <v/>
      </c>
      <c r="H382" s="167" t="str">
        <f>IF(ISBLANK(DaqBook_RAW_Data!W372),"",DaqBook_RAW_Data!W372)</f>
        <v/>
      </c>
      <c r="I382" s="167" t="str">
        <f>IF(ISBLANK(DaqBook_RAW_Data!X372),"",DaqBook_RAW_Data!X372)</f>
        <v/>
      </c>
      <c r="J382" s="167" t="str">
        <f>IF(ISBLANK(DaqBook_RAW_Data!Y372),"",DaqBook_RAW_Data!Y372)</f>
        <v/>
      </c>
      <c r="K382" s="167" t="str">
        <f>IF(ISBLANK(DaqBook_RAW_Data!Z372),"",DaqBook_RAW_Data!Z372)</f>
        <v/>
      </c>
      <c r="L382" s="167" t="str">
        <f>IF(ISBLANK(DaqBook_RAW_Data!AA372),"",DaqBook_RAW_Data!AA372)</f>
        <v/>
      </c>
      <c r="M382" s="167" t="str">
        <f>IF(ISBLANK(DaqBook_RAW_Data!AB372),"",DaqBook_RAW_Data!AB372)</f>
        <v/>
      </c>
      <c r="N382" s="167" t="str">
        <f>IF(ISBLANK(DaqBook_RAW_Data!AC372),"",DaqBook_RAW_Data!AC372)</f>
        <v/>
      </c>
      <c r="O382" s="167" t="str">
        <f>IF(ISBLANK(DaqBook_RAW_Data!AD372),"",DaqBook_RAW_Data!AD372)</f>
        <v/>
      </c>
      <c r="P382" s="167" t="str">
        <f>IF(ISBLANK(DaqBook_RAW_Data!AE372),"",DaqBook_RAW_Data!AE372)</f>
        <v/>
      </c>
    </row>
    <row r="383" spans="1:16" x14ac:dyDescent="0.2">
      <c r="A383" s="58" t="e">
        <f t="shared" si="5"/>
        <v>#VALUE!</v>
      </c>
      <c r="B383" s="144" t="str">
        <f>IF(ISBLANK(DaqBook_RAW_Data!Q373),IF(DaqBook_RAW_Data!A373="","",TIMEVALUE(DaqBook_RAW_Data!A373)),TIMEVALUE(DaqBook_RAW_Data!Q373))</f>
        <v/>
      </c>
      <c r="C383" s="167" t="str">
        <f>IF(ISBLANK(DaqBook_RAW_Data!R373),"",DaqBook_RAW_Data!R373)</f>
        <v/>
      </c>
      <c r="D383" s="167" t="str">
        <f>IF(ISBLANK(DaqBook_RAW_Data!S373),"",DaqBook_RAW_Data!S373)</f>
        <v/>
      </c>
      <c r="E383" s="167" t="str">
        <f>IF(ISBLANK(DaqBook_RAW_Data!T373),"",DaqBook_RAW_Data!T373)</f>
        <v/>
      </c>
      <c r="F383" s="167" t="str">
        <f>IF(ISBLANK(DaqBook_RAW_Data!U373),"",DaqBook_RAW_Data!U373)</f>
        <v/>
      </c>
      <c r="G383" s="167" t="str">
        <f>IF(ISBLANK(DaqBook_RAW_Data!V373),"",DaqBook_RAW_Data!V373)</f>
        <v/>
      </c>
      <c r="H383" s="167" t="str">
        <f>IF(ISBLANK(DaqBook_RAW_Data!W373),"",DaqBook_RAW_Data!W373)</f>
        <v/>
      </c>
      <c r="I383" s="167" t="str">
        <f>IF(ISBLANK(DaqBook_RAW_Data!X373),"",DaqBook_RAW_Data!X373)</f>
        <v/>
      </c>
      <c r="J383" s="167" t="str">
        <f>IF(ISBLANK(DaqBook_RAW_Data!Y373),"",DaqBook_RAW_Data!Y373)</f>
        <v/>
      </c>
      <c r="K383" s="167" t="str">
        <f>IF(ISBLANK(DaqBook_RAW_Data!Z373),"",DaqBook_RAW_Data!Z373)</f>
        <v/>
      </c>
      <c r="L383" s="167" t="str">
        <f>IF(ISBLANK(DaqBook_RAW_Data!AA373),"",DaqBook_RAW_Data!AA373)</f>
        <v/>
      </c>
      <c r="M383" s="167" t="str">
        <f>IF(ISBLANK(DaqBook_RAW_Data!AB373),"",DaqBook_RAW_Data!AB373)</f>
        <v/>
      </c>
      <c r="N383" s="167" t="str">
        <f>IF(ISBLANK(DaqBook_RAW_Data!AC373),"",DaqBook_RAW_Data!AC373)</f>
        <v/>
      </c>
      <c r="O383" s="167" t="str">
        <f>IF(ISBLANK(DaqBook_RAW_Data!AD373),"",DaqBook_RAW_Data!AD373)</f>
        <v/>
      </c>
      <c r="P383" s="167" t="str">
        <f>IF(ISBLANK(DaqBook_RAW_Data!AE373),"",DaqBook_RAW_Data!AE373)</f>
        <v/>
      </c>
    </row>
    <row r="384" spans="1:16" x14ac:dyDescent="0.2">
      <c r="A384" s="58" t="e">
        <f t="shared" si="5"/>
        <v>#VALUE!</v>
      </c>
      <c r="B384" s="144" t="str">
        <f>IF(ISBLANK(DaqBook_RAW_Data!Q374),IF(DaqBook_RAW_Data!A374="","",TIMEVALUE(DaqBook_RAW_Data!A374)),TIMEVALUE(DaqBook_RAW_Data!Q374))</f>
        <v/>
      </c>
      <c r="C384" s="167" t="str">
        <f>IF(ISBLANK(DaqBook_RAW_Data!R374),"",DaqBook_RAW_Data!R374)</f>
        <v/>
      </c>
      <c r="D384" s="167" t="str">
        <f>IF(ISBLANK(DaqBook_RAW_Data!S374),"",DaqBook_RAW_Data!S374)</f>
        <v/>
      </c>
      <c r="E384" s="167" t="str">
        <f>IF(ISBLANK(DaqBook_RAW_Data!T374),"",DaqBook_RAW_Data!T374)</f>
        <v/>
      </c>
      <c r="F384" s="167" t="str">
        <f>IF(ISBLANK(DaqBook_RAW_Data!U374),"",DaqBook_RAW_Data!U374)</f>
        <v/>
      </c>
      <c r="G384" s="167" t="str">
        <f>IF(ISBLANK(DaqBook_RAW_Data!V374),"",DaqBook_RAW_Data!V374)</f>
        <v/>
      </c>
      <c r="H384" s="167" t="str">
        <f>IF(ISBLANK(DaqBook_RAW_Data!W374),"",DaqBook_RAW_Data!W374)</f>
        <v/>
      </c>
      <c r="I384" s="167" t="str">
        <f>IF(ISBLANK(DaqBook_RAW_Data!X374),"",DaqBook_RAW_Data!X374)</f>
        <v/>
      </c>
      <c r="J384" s="167" t="str">
        <f>IF(ISBLANK(DaqBook_RAW_Data!Y374),"",DaqBook_RAW_Data!Y374)</f>
        <v/>
      </c>
      <c r="K384" s="167" t="str">
        <f>IF(ISBLANK(DaqBook_RAW_Data!Z374),"",DaqBook_RAW_Data!Z374)</f>
        <v/>
      </c>
      <c r="L384" s="167" t="str">
        <f>IF(ISBLANK(DaqBook_RAW_Data!AA374),"",DaqBook_RAW_Data!AA374)</f>
        <v/>
      </c>
      <c r="M384" s="167" t="str">
        <f>IF(ISBLANK(DaqBook_RAW_Data!AB374),"",DaqBook_RAW_Data!AB374)</f>
        <v/>
      </c>
      <c r="N384" s="167" t="str">
        <f>IF(ISBLANK(DaqBook_RAW_Data!AC374),"",DaqBook_RAW_Data!AC374)</f>
        <v/>
      </c>
      <c r="O384" s="167" t="str">
        <f>IF(ISBLANK(DaqBook_RAW_Data!AD374),"",DaqBook_RAW_Data!AD374)</f>
        <v/>
      </c>
      <c r="P384" s="167" t="str">
        <f>IF(ISBLANK(DaqBook_RAW_Data!AE374),"",DaqBook_RAW_Data!AE374)</f>
        <v/>
      </c>
    </row>
    <row r="385" spans="1:16" x14ac:dyDescent="0.2">
      <c r="A385" s="58" t="e">
        <f t="shared" si="5"/>
        <v>#VALUE!</v>
      </c>
      <c r="B385" s="144" t="str">
        <f>IF(ISBLANK(DaqBook_RAW_Data!Q375),IF(DaqBook_RAW_Data!A375="","",TIMEVALUE(DaqBook_RAW_Data!A375)),TIMEVALUE(DaqBook_RAW_Data!Q375))</f>
        <v/>
      </c>
      <c r="C385" s="167" t="str">
        <f>IF(ISBLANK(DaqBook_RAW_Data!R375),"",DaqBook_RAW_Data!R375)</f>
        <v/>
      </c>
      <c r="D385" s="167" t="str">
        <f>IF(ISBLANK(DaqBook_RAW_Data!S375),"",DaqBook_RAW_Data!S375)</f>
        <v/>
      </c>
      <c r="E385" s="167" t="str">
        <f>IF(ISBLANK(DaqBook_RAW_Data!T375),"",DaqBook_RAW_Data!T375)</f>
        <v/>
      </c>
      <c r="F385" s="167" t="str">
        <f>IF(ISBLANK(DaqBook_RAW_Data!U375),"",DaqBook_RAW_Data!U375)</f>
        <v/>
      </c>
      <c r="G385" s="167" t="str">
        <f>IF(ISBLANK(DaqBook_RAW_Data!V375),"",DaqBook_RAW_Data!V375)</f>
        <v/>
      </c>
      <c r="H385" s="167" t="str">
        <f>IF(ISBLANK(DaqBook_RAW_Data!W375),"",DaqBook_RAW_Data!W375)</f>
        <v/>
      </c>
      <c r="I385" s="167" t="str">
        <f>IF(ISBLANK(DaqBook_RAW_Data!X375),"",DaqBook_RAW_Data!X375)</f>
        <v/>
      </c>
      <c r="J385" s="167" t="str">
        <f>IF(ISBLANK(DaqBook_RAW_Data!Y375),"",DaqBook_RAW_Data!Y375)</f>
        <v/>
      </c>
      <c r="K385" s="167" t="str">
        <f>IF(ISBLANK(DaqBook_RAW_Data!Z375),"",DaqBook_RAW_Data!Z375)</f>
        <v/>
      </c>
      <c r="L385" s="167" t="str">
        <f>IF(ISBLANK(DaqBook_RAW_Data!AA375),"",DaqBook_RAW_Data!AA375)</f>
        <v/>
      </c>
      <c r="M385" s="167" t="str">
        <f>IF(ISBLANK(DaqBook_RAW_Data!AB375),"",DaqBook_RAW_Data!AB375)</f>
        <v/>
      </c>
      <c r="N385" s="167" t="str">
        <f>IF(ISBLANK(DaqBook_RAW_Data!AC375),"",DaqBook_RAW_Data!AC375)</f>
        <v/>
      </c>
      <c r="O385" s="167" t="str">
        <f>IF(ISBLANK(DaqBook_RAW_Data!AD375),"",DaqBook_RAW_Data!AD375)</f>
        <v/>
      </c>
      <c r="P385" s="167" t="str">
        <f>IF(ISBLANK(DaqBook_RAW_Data!AE375),"",DaqBook_RAW_Data!AE375)</f>
        <v/>
      </c>
    </row>
    <row r="386" spans="1:16" x14ac:dyDescent="0.2">
      <c r="A386" s="58" t="e">
        <f t="shared" si="5"/>
        <v>#VALUE!</v>
      </c>
      <c r="B386" s="144" t="str">
        <f>IF(ISBLANK(DaqBook_RAW_Data!Q376),IF(DaqBook_RAW_Data!A376="","",TIMEVALUE(DaqBook_RAW_Data!A376)),TIMEVALUE(DaqBook_RAW_Data!Q376))</f>
        <v/>
      </c>
      <c r="C386" s="167" t="str">
        <f>IF(ISBLANK(DaqBook_RAW_Data!R376),"",DaqBook_RAW_Data!R376)</f>
        <v/>
      </c>
      <c r="D386" s="167" t="str">
        <f>IF(ISBLANK(DaqBook_RAW_Data!S376),"",DaqBook_RAW_Data!S376)</f>
        <v/>
      </c>
      <c r="E386" s="167" t="str">
        <f>IF(ISBLANK(DaqBook_RAW_Data!T376),"",DaqBook_RAW_Data!T376)</f>
        <v/>
      </c>
      <c r="F386" s="167" t="str">
        <f>IF(ISBLANK(DaqBook_RAW_Data!U376),"",DaqBook_RAW_Data!U376)</f>
        <v/>
      </c>
      <c r="G386" s="167" t="str">
        <f>IF(ISBLANK(DaqBook_RAW_Data!V376),"",DaqBook_RAW_Data!V376)</f>
        <v/>
      </c>
      <c r="H386" s="167" t="str">
        <f>IF(ISBLANK(DaqBook_RAW_Data!W376),"",DaqBook_RAW_Data!W376)</f>
        <v/>
      </c>
      <c r="I386" s="167" t="str">
        <f>IF(ISBLANK(DaqBook_RAW_Data!X376),"",DaqBook_RAW_Data!X376)</f>
        <v/>
      </c>
      <c r="J386" s="167" t="str">
        <f>IF(ISBLANK(DaqBook_RAW_Data!Y376),"",DaqBook_RAW_Data!Y376)</f>
        <v/>
      </c>
      <c r="K386" s="167" t="str">
        <f>IF(ISBLANK(DaqBook_RAW_Data!Z376),"",DaqBook_RAW_Data!Z376)</f>
        <v/>
      </c>
      <c r="L386" s="167" t="str">
        <f>IF(ISBLANK(DaqBook_RAW_Data!AA376),"",DaqBook_RAW_Data!AA376)</f>
        <v/>
      </c>
      <c r="M386" s="167" t="str">
        <f>IF(ISBLANK(DaqBook_RAW_Data!AB376),"",DaqBook_RAW_Data!AB376)</f>
        <v/>
      </c>
      <c r="N386" s="167" t="str">
        <f>IF(ISBLANK(DaqBook_RAW_Data!AC376),"",DaqBook_RAW_Data!AC376)</f>
        <v/>
      </c>
      <c r="O386" s="167" t="str">
        <f>IF(ISBLANK(DaqBook_RAW_Data!AD376),"",DaqBook_RAW_Data!AD376)</f>
        <v/>
      </c>
      <c r="P386" s="167" t="str">
        <f>IF(ISBLANK(DaqBook_RAW_Data!AE376),"",DaqBook_RAW_Data!AE376)</f>
        <v/>
      </c>
    </row>
    <row r="387" spans="1:16" x14ac:dyDescent="0.2">
      <c r="A387" s="58" t="e">
        <f t="shared" si="5"/>
        <v>#VALUE!</v>
      </c>
      <c r="B387" s="144" t="str">
        <f>IF(ISBLANK(DaqBook_RAW_Data!Q377),IF(DaqBook_RAW_Data!A377="","",TIMEVALUE(DaqBook_RAW_Data!A377)),TIMEVALUE(DaqBook_RAW_Data!Q377))</f>
        <v/>
      </c>
      <c r="C387" s="167" t="str">
        <f>IF(ISBLANK(DaqBook_RAW_Data!R377),"",DaqBook_RAW_Data!R377)</f>
        <v/>
      </c>
      <c r="D387" s="167" t="str">
        <f>IF(ISBLANK(DaqBook_RAW_Data!S377),"",DaqBook_RAW_Data!S377)</f>
        <v/>
      </c>
      <c r="E387" s="167" t="str">
        <f>IF(ISBLANK(DaqBook_RAW_Data!T377),"",DaqBook_RAW_Data!T377)</f>
        <v/>
      </c>
      <c r="F387" s="167" t="str">
        <f>IF(ISBLANK(DaqBook_RAW_Data!U377),"",DaqBook_RAW_Data!U377)</f>
        <v/>
      </c>
      <c r="G387" s="167" t="str">
        <f>IF(ISBLANK(DaqBook_RAW_Data!V377),"",DaqBook_RAW_Data!V377)</f>
        <v/>
      </c>
      <c r="H387" s="167" t="str">
        <f>IF(ISBLANK(DaqBook_RAW_Data!W377),"",DaqBook_RAW_Data!W377)</f>
        <v/>
      </c>
      <c r="I387" s="167" t="str">
        <f>IF(ISBLANK(DaqBook_RAW_Data!X377),"",DaqBook_RAW_Data!X377)</f>
        <v/>
      </c>
      <c r="J387" s="167" t="str">
        <f>IF(ISBLANK(DaqBook_RAW_Data!Y377),"",DaqBook_RAW_Data!Y377)</f>
        <v/>
      </c>
      <c r="K387" s="167" t="str">
        <f>IF(ISBLANK(DaqBook_RAW_Data!Z377),"",DaqBook_RAW_Data!Z377)</f>
        <v/>
      </c>
      <c r="L387" s="167" t="str">
        <f>IF(ISBLANK(DaqBook_RAW_Data!AA377),"",DaqBook_RAW_Data!AA377)</f>
        <v/>
      </c>
      <c r="M387" s="167" t="str">
        <f>IF(ISBLANK(DaqBook_RAW_Data!AB377),"",DaqBook_RAW_Data!AB377)</f>
        <v/>
      </c>
      <c r="N387" s="167" t="str">
        <f>IF(ISBLANK(DaqBook_RAW_Data!AC377),"",DaqBook_RAW_Data!AC377)</f>
        <v/>
      </c>
      <c r="O387" s="167" t="str">
        <f>IF(ISBLANK(DaqBook_RAW_Data!AD377),"",DaqBook_RAW_Data!AD377)</f>
        <v/>
      </c>
      <c r="P387" s="167" t="str">
        <f>IF(ISBLANK(DaqBook_RAW_Data!AE377),"",DaqBook_RAW_Data!AE377)</f>
        <v/>
      </c>
    </row>
    <row r="388" spans="1:16" x14ac:dyDescent="0.2">
      <c r="A388" s="58" t="e">
        <f t="shared" si="5"/>
        <v>#VALUE!</v>
      </c>
      <c r="B388" s="144" t="str">
        <f>IF(ISBLANK(DaqBook_RAW_Data!Q378),IF(DaqBook_RAW_Data!A378="","",TIMEVALUE(DaqBook_RAW_Data!A378)),TIMEVALUE(DaqBook_RAW_Data!Q378))</f>
        <v/>
      </c>
      <c r="C388" s="167" t="str">
        <f>IF(ISBLANK(DaqBook_RAW_Data!R378),"",DaqBook_RAW_Data!R378)</f>
        <v/>
      </c>
      <c r="D388" s="167" t="str">
        <f>IF(ISBLANK(DaqBook_RAW_Data!S378),"",DaqBook_RAW_Data!S378)</f>
        <v/>
      </c>
      <c r="E388" s="167" t="str">
        <f>IF(ISBLANK(DaqBook_RAW_Data!T378),"",DaqBook_RAW_Data!T378)</f>
        <v/>
      </c>
      <c r="F388" s="167" t="str">
        <f>IF(ISBLANK(DaqBook_RAW_Data!U378),"",DaqBook_RAW_Data!U378)</f>
        <v/>
      </c>
      <c r="G388" s="167" t="str">
        <f>IF(ISBLANK(DaqBook_RAW_Data!V378),"",DaqBook_RAW_Data!V378)</f>
        <v/>
      </c>
      <c r="H388" s="167" t="str">
        <f>IF(ISBLANK(DaqBook_RAW_Data!W378),"",DaqBook_RAW_Data!W378)</f>
        <v/>
      </c>
      <c r="I388" s="167" t="str">
        <f>IF(ISBLANK(DaqBook_RAW_Data!X378),"",DaqBook_RAW_Data!X378)</f>
        <v/>
      </c>
      <c r="J388" s="167" t="str">
        <f>IF(ISBLANK(DaqBook_RAW_Data!Y378),"",DaqBook_RAW_Data!Y378)</f>
        <v/>
      </c>
      <c r="K388" s="167" t="str">
        <f>IF(ISBLANK(DaqBook_RAW_Data!Z378),"",DaqBook_RAW_Data!Z378)</f>
        <v/>
      </c>
      <c r="L388" s="167" t="str">
        <f>IF(ISBLANK(DaqBook_RAW_Data!AA378),"",DaqBook_RAW_Data!AA378)</f>
        <v/>
      </c>
      <c r="M388" s="167" t="str">
        <f>IF(ISBLANK(DaqBook_RAW_Data!AB378),"",DaqBook_RAW_Data!AB378)</f>
        <v/>
      </c>
      <c r="N388" s="167" t="str">
        <f>IF(ISBLANK(DaqBook_RAW_Data!AC378),"",DaqBook_RAW_Data!AC378)</f>
        <v/>
      </c>
      <c r="O388" s="167" t="str">
        <f>IF(ISBLANK(DaqBook_RAW_Data!AD378),"",DaqBook_RAW_Data!AD378)</f>
        <v/>
      </c>
      <c r="P388" s="167" t="str">
        <f>IF(ISBLANK(DaqBook_RAW_Data!AE378),"",DaqBook_RAW_Data!AE378)</f>
        <v/>
      </c>
    </row>
    <row r="389" spans="1:16" x14ac:dyDescent="0.2">
      <c r="A389" s="58" t="e">
        <f t="shared" si="5"/>
        <v>#VALUE!</v>
      </c>
      <c r="B389" s="144" t="str">
        <f>IF(ISBLANK(DaqBook_RAW_Data!Q379),IF(DaqBook_RAW_Data!A379="","",TIMEVALUE(DaqBook_RAW_Data!A379)),TIMEVALUE(DaqBook_RAW_Data!Q379))</f>
        <v/>
      </c>
      <c r="C389" s="167" t="str">
        <f>IF(ISBLANK(DaqBook_RAW_Data!R379),"",DaqBook_RAW_Data!R379)</f>
        <v/>
      </c>
      <c r="D389" s="167" t="str">
        <f>IF(ISBLANK(DaqBook_RAW_Data!S379),"",DaqBook_RAW_Data!S379)</f>
        <v/>
      </c>
      <c r="E389" s="167" t="str">
        <f>IF(ISBLANK(DaqBook_RAW_Data!T379),"",DaqBook_RAW_Data!T379)</f>
        <v/>
      </c>
      <c r="F389" s="167" t="str">
        <f>IF(ISBLANK(DaqBook_RAW_Data!U379),"",DaqBook_RAW_Data!U379)</f>
        <v/>
      </c>
      <c r="G389" s="167" t="str">
        <f>IF(ISBLANK(DaqBook_RAW_Data!V379),"",DaqBook_RAW_Data!V379)</f>
        <v/>
      </c>
      <c r="H389" s="167" t="str">
        <f>IF(ISBLANK(DaqBook_RAW_Data!W379),"",DaqBook_RAW_Data!W379)</f>
        <v/>
      </c>
      <c r="I389" s="167" t="str">
        <f>IF(ISBLANK(DaqBook_RAW_Data!X379),"",DaqBook_RAW_Data!X379)</f>
        <v/>
      </c>
      <c r="J389" s="167" t="str">
        <f>IF(ISBLANK(DaqBook_RAW_Data!Y379),"",DaqBook_RAW_Data!Y379)</f>
        <v/>
      </c>
      <c r="K389" s="167" t="str">
        <f>IF(ISBLANK(DaqBook_RAW_Data!Z379),"",DaqBook_RAW_Data!Z379)</f>
        <v/>
      </c>
      <c r="L389" s="167" t="str">
        <f>IF(ISBLANK(DaqBook_RAW_Data!AA379),"",DaqBook_RAW_Data!AA379)</f>
        <v/>
      </c>
      <c r="M389" s="167" t="str">
        <f>IF(ISBLANK(DaqBook_RAW_Data!AB379),"",DaqBook_RAW_Data!AB379)</f>
        <v/>
      </c>
      <c r="N389" s="167" t="str">
        <f>IF(ISBLANK(DaqBook_RAW_Data!AC379),"",DaqBook_RAW_Data!AC379)</f>
        <v/>
      </c>
      <c r="O389" s="167" t="str">
        <f>IF(ISBLANK(DaqBook_RAW_Data!AD379),"",DaqBook_RAW_Data!AD379)</f>
        <v/>
      </c>
      <c r="P389" s="167" t="str">
        <f>IF(ISBLANK(DaqBook_RAW_Data!AE379),"",DaqBook_RAW_Data!AE379)</f>
        <v/>
      </c>
    </row>
    <row r="390" spans="1:16" x14ac:dyDescent="0.2">
      <c r="A390" s="58" t="e">
        <f t="shared" si="5"/>
        <v>#VALUE!</v>
      </c>
      <c r="B390" s="144" t="str">
        <f>IF(ISBLANK(DaqBook_RAW_Data!Q380),IF(DaqBook_RAW_Data!A380="","",TIMEVALUE(DaqBook_RAW_Data!A380)),TIMEVALUE(DaqBook_RAW_Data!Q380))</f>
        <v/>
      </c>
      <c r="C390" s="167" t="str">
        <f>IF(ISBLANK(DaqBook_RAW_Data!R380),"",DaqBook_RAW_Data!R380)</f>
        <v/>
      </c>
      <c r="D390" s="167" t="str">
        <f>IF(ISBLANK(DaqBook_RAW_Data!S380),"",DaqBook_RAW_Data!S380)</f>
        <v/>
      </c>
      <c r="E390" s="167" t="str">
        <f>IF(ISBLANK(DaqBook_RAW_Data!T380),"",DaqBook_RAW_Data!T380)</f>
        <v/>
      </c>
      <c r="F390" s="167" t="str">
        <f>IF(ISBLANK(DaqBook_RAW_Data!U380),"",DaqBook_RAW_Data!U380)</f>
        <v/>
      </c>
      <c r="G390" s="167" t="str">
        <f>IF(ISBLANK(DaqBook_RAW_Data!V380),"",DaqBook_RAW_Data!V380)</f>
        <v/>
      </c>
      <c r="H390" s="167" t="str">
        <f>IF(ISBLANK(DaqBook_RAW_Data!W380),"",DaqBook_RAW_Data!W380)</f>
        <v/>
      </c>
      <c r="I390" s="167" t="str">
        <f>IF(ISBLANK(DaqBook_RAW_Data!X380),"",DaqBook_RAW_Data!X380)</f>
        <v/>
      </c>
      <c r="J390" s="167" t="str">
        <f>IF(ISBLANK(DaqBook_RAW_Data!Y380),"",DaqBook_RAW_Data!Y380)</f>
        <v/>
      </c>
      <c r="K390" s="167" t="str">
        <f>IF(ISBLANK(DaqBook_RAW_Data!Z380),"",DaqBook_RAW_Data!Z380)</f>
        <v/>
      </c>
      <c r="L390" s="167" t="str">
        <f>IF(ISBLANK(DaqBook_RAW_Data!AA380),"",DaqBook_RAW_Data!AA380)</f>
        <v/>
      </c>
      <c r="M390" s="167" t="str">
        <f>IF(ISBLANK(DaqBook_RAW_Data!AB380),"",DaqBook_RAW_Data!AB380)</f>
        <v/>
      </c>
      <c r="N390" s="167" t="str">
        <f>IF(ISBLANK(DaqBook_RAW_Data!AC380),"",DaqBook_RAW_Data!AC380)</f>
        <v/>
      </c>
      <c r="O390" s="167" t="str">
        <f>IF(ISBLANK(DaqBook_RAW_Data!AD380),"",DaqBook_RAW_Data!AD380)</f>
        <v/>
      </c>
      <c r="P390" s="167" t="str">
        <f>IF(ISBLANK(DaqBook_RAW_Data!AE380),"",DaqBook_RAW_Data!AE380)</f>
        <v/>
      </c>
    </row>
    <row r="391" spans="1:16" x14ac:dyDescent="0.2">
      <c r="A391" s="58" t="e">
        <f t="shared" si="5"/>
        <v>#VALUE!</v>
      </c>
      <c r="B391" s="144" t="str">
        <f>IF(ISBLANK(DaqBook_RAW_Data!Q381),IF(DaqBook_RAW_Data!A381="","",TIMEVALUE(DaqBook_RAW_Data!A381)),TIMEVALUE(DaqBook_RAW_Data!Q381))</f>
        <v/>
      </c>
      <c r="C391" s="167" t="str">
        <f>IF(ISBLANK(DaqBook_RAW_Data!R381),"",DaqBook_RAW_Data!R381)</f>
        <v/>
      </c>
      <c r="D391" s="167" t="str">
        <f>IF(ISBLANK(DaqBook_RAW_Data!S381),"",DaqBook_RAW_Data!S381)</f>
        <v/>
      </c>
      <c r="E391" s="167" t="str">
        <f>IF(ISBLANK(DaqBook_RAW_Data!T381),"",DaqBook_RAW_Data!T381)</f>
        <v/>
      </c>
      <c r="F391" s="167" t="str">
        <f>IF(ISBLANK(DaqBook_RAW_Data!U381),"",DaqBook_RAW_Data!U381)</f>
        <v/>
      </c>
      <c r="G391" s="167" t="str">
        <f>IF(ISBLANK(DaqBook_RAW_Data!V381),"",DaqBook_RAW_Data!V381)</f>
        <v/>
      </c>
      <c r="H391" s="167" t="str">
        <f>IF(ISBLANK(DaqBook_RAW_Data!W381),"",DaqBook_RAW_Data!W381)</f>
        <v/>
      </c>
      <c r="I391" s="167" t="str">
        <f>IF(ISBLANK(DaqBook_RAW_Data!X381),"",DaqBook_RAW_Data!X381)</f>
        <v/>
      </c>
      <c r="J391" s="167" t="str">
        <f>IF(ISBLANK(DaqBook_RAW_Data!Y381),"",DaqBook_RAW_Data!Y381)</f>
        <v/>
      </c>
      <c r="K391" s="167" t="str">
        <f>IF(ISBLANK(DaqBook_RAW_Data!Z381),"",DaqBook_RAW_Data!Z381)</f>
        <v/>
      </c>
      <c r="L391" s="167" t="str">
        <f>IF(ISBLANK(DaqBook_RAW_Data!AA381),"",DaqBook_RAW_Data!AA381)</f>
        <v/>
      </c>
      <c r="M391" s="167" t="str">
        <f>IF(ISBLANK(DaqBook_RAW_Data!AB381),"",DaqBook_RAW_Data!AB381)</f>
        <v/>
      </c>
      <c r="N391" s="167" t="str">
        <f>IF(ISBLANK(DaqBook_RAW_Data!AC381),"",DaqBook_RAW_Data!AC381)</f>
        <v/>
      </c>
      <c r="O391" s="167" t="str">
        <f>IF(ISBLANK(DaqBook_RAW_Data!AD381),"",DaqBook_RAW_Data!AD381)</f>
        <v/>
      </c>
      <c r="P391" s="167" t="str">
        <f>IF(ISBLANK(DaqBook_RAW_Data!AE381),"",DaqBook_RAW_Data!AE381)</f>
        <v/>
      </c>
    </row>
    <row r="392" spans="1:16" x14ac:dyDescent="0.2">
      <c r="A392" s="58" t="e">
        <f t="shared" si="5"/>
        <v>#VALUE!</v>
      </c>
      <c r="B392" s="144" t="str">
        <f>IF(ISBLANK(DaqBook_RAW_Data!Q382),IF(DaqBook_RAW_Data!A382="","",TIMEVALUE(DaqBook_RAW_Data!A382)),TIMEVALUE(DaqBook_RAW_Data!Q382))</f>
        <v/>
      </c>
      <c r="C392" s="167" t="str">
        <f>IF(ISBLANK(DaqBook_RAW_Data!R382),"",DaqBook_RAW_Data!R382)</f>
        <v/>
      </c>
      <c r="D392" s="167" t="str">
        <f>IF(ISBLANK(DaqBook_RAW_Data!S382),"",DaqBook_RAW_Data!S382)</f>
        <v/>
      </c>
      <c r="E392" s="167" t="str">
        <f>IF(ISBLANK(DaqBook_RAW_Data!T382),"",DaqBook_RAW_Data!T382)</f>
        <v/>
      </c>
      <c r="F392" s="167" t="str">
        <f>IF(ISBLANK(DaqBook_RAW_Data!U382),"",DaqBook_RAW_Data!U382)</f>
        <v/>
      </c>
      <c r="G392" s="167" t="str">
        <f>IF(ISBLANK(DaqBook_RAW_Data!V382),"",DaqBook_RAW_Data!V382)</f>
        <v/>
      </c>
      <c r="H392" s="167" t="str">
        <f>IF(ISBLANK(DaqBook_RAW_Data!W382),"",DaqBook_RAW_Data!W382)</f>
        <v/>
      </c>
      <c r="I392" s="167" t="str">
        <f>IF(ISBLANK(DaqBook_RAW_Data!X382),"",DaqBook_RAW_Data!X382)</f>
        <v/>
      </c>
      <c r="J392" s="167" t="str">
        <f>IF(ISBLANK(DaqBook_RAW_Data!Y382),"",DaqBook_RAW_Data!Y382)</f>
        <v/>
      </c>
      <c r="K392" s="167" t="str">
        <f>IF(ISBLANK(DaqBook_RAW_Data!Z382),"",DaqBook_RAW_Data!Z382)</f>
        <v/>
      </c>
      <c r="L392" s="167" t="str">
        <f>IF(ISBLANK(DaqBook_RAW_Data!AA382),"",DaqBook_RAW_Data!AA382)</f>
        <v/>
      </c>
      <c r="M392" s="167" t="str">
        <f>IF(ISBLANK(DaqBook_RAW_Data!AB382),"",DaqBook_RAW_Data!AB382)</f>
        <v/>
      </c>
      <c r="N392" s="167" t="str">
        <f>IF(ISBLANK(DaqBook_RAW_Data!AC382),"",DaqBook_RAW_Data!AC382)</f>
        <v/>
      </c>
      <c r="O392" s="167" t="str">
        <f>IF(ISBLANK(DaqBook_RAW_Data!AD382),"",DaqBook_RAW_Data!AD382)</f>
        <v/>
      </c>
      <c r="P392" s="167" t="str">
        <f>IF(ISBLANK(DaqBook_RAW_Data!AE382),"",DaqBook_RAW_Data!AE382)</f>
        <v/>
      </c>
    </row>
    <row r="393" spans="1:16" x14ac:dyDescent="0.2">
      <c r="A393" s="58" t="e">
        <f t="shared" si="5"/>
        <v>#VALUE!</v>
      </c>
      <c r="B393" s="144" t="str">
        <f>IF(ISBLANK(DaqBook_RAW_Data!Q383),IF(DaqBook_RAW_Data!A383="","",TIMEVALUE(DaqBook_RAW_Data!A383)),TIMEVALUE(DaqBook_RAW_Data!Q383))</f>
        <v/>
      </c>
      <c r="C393" s="167" t="str">
        <f>IF(ISBLANK(DaqBook_RAW_Data!R383),"",DaqBook_RAW_Data!R383)</f>
        <v/>
      </c>
      <c r="D393" s="167" t="str">
        <f>IF(ISBLANK(DaqBook_RAW_Data!S383),"",DaqBook_RAW_Data!S383)</f>
        <v/>
      </c>
      <c r="E393" s="167" t="str">
        <f>IF(ISBLANK(DaqBook_RAW_Data!T383),"",DaqBook_RAW_Data!T383)</f>
        <v/>
      </c>
      <c r="F393" s="167" t="str">
        <f>IF(ISBLANK(DaqBook_RAW_Data!U383),"",DaqBook_RAW_Data!U383)</f>
        <v/>
      </c>
      <c r="G393" s="167" t="str">
        <f>IF(ISBLANK(DaqBook_RAW_Data!V383),"",DaqBook_RAW_Data!V383)</f>
        <v/>
      </c>
      <c r="H393" s="167" t="str">
        <f>IF(ISBLANK(DaqBook_RAW_Data!W383),"",DaqBook_RAW_Data!W383)</f>
        <v/>
      </c>
      <c r="I393" s="167" t="str">
        <f>IF(ISBLANK(DaqBook_RAW_Data!X383),"",DaqBook_RAW_Data!X383)</f>
        <v/>
      </c>
      <c r="J393" s="167" t="str">
        <f>IF(ISBLANK(DaqBook_RAW_Data!Y383),"",DaqBook_RAW_Data!Y383)</f>
        <v/>
      </c>
      <c r="K393" s="167" t="str">
        <f>IF(ISBLANK(DaqBook_RAW_Data!Z383),"",DaqBook_RAW_Data!Z383)</f>
        <v/>
      </c>
      <c r="L393" s="167" t="str">
        <f>IF(ISBLANK(DaqBook_RAW_Data!AA383),"",DaqBook_RAW_Data!AA383)</f>
        <v/>
      </c>
      <c r="M393" s="167" t="str">
        <f>IF(ISBLANK(DaqBook_RAW_Data!AB383),"",DaqBook_RAW_Data!AB383)</f>
        <v/>
      </c>
      <c r="N393" s="167" t="str">
        <f>IF(ISBLANK(DaqBook_RAW_Data!AC383),"",DaqBook_RAW_Data!AC383)</f>
        <v/>
      </c>
      <c r="O393" s="167" t="str">
        <f>IF(ISBLANK(DaqBook_RAW_Data!AD383),"",DaqBook_RAW_Data!AD383)</f>
        <v/>
      </c>
      <c r="P393" s="167" t="str">
        <f>IF(ISBLANK(DaqBook_RAW_Data!AE383),"",DaqBook_RAW_Data!AE383)</f>
        <v/>
      </c>
    </row>
    <row r="394" spans="1:16" x14ac:dyDescent="0.2">
      <c r="A394" s="58" t="e">
        <f t="shared" si="5"/>
        <v>#VALUE!</v>
      </c>
      <c r="B394" s="144" t="str">
        <f>IF(ISBLANK(DaqBook_RAW_Data!Q384),IF(DaqBook_RAW_Data!A384="","",TIMEVALUE(DaqBook_RAW_Data!A384)),TIMEVALUE(DaqBook_RAW_Data!Q384))</f>
        <v/>
      </c>
      <c r="C394" s="167" t="str">
        <f>IF(ISBLANK(DaqBook_RAW_Data!R384),"",DaqBook_RAW_Data!R384)</f>
        <v/>
      </c>
      <c r="D394" s="167" t="str">
        <f>IF(ISBLANK(DaqBook_RAW_Data!S384),"",DaqBook_RAW_Data!S384)</f>
        <v/>
      </c>
      <c r="E394" s="167" t="str">
        <f>IF(ISBLANK(DaqBook_RAW_Data!T384),"",DaqBook_RAW_Data!T384)</f>
        <v/>
      </c>
      <c r="F394" s="167" t="str">
        <f>IF(ISBLANK(DaqBook_RAW_Data!U384),"",DaqBook_RAW_Data!U384)</f>
        <v/>
      </c>
      <c r="G394" s="167" t="str">
        <f>IF(ISBLANK(DaqBook_RAW_Data!V384),"",DaqBook_RAW_Data!V384)</f>
        <v/>
      </c>
      <c r="H394" s="167" t="str">
        <f>IF(ISBLANK(DaqBook_RAW_Data!W384),"",DaqBook_RAW_Data!W384)</f>
        <v/>
      </c>
      <c r="I394" s="167" t="str">
        <f>IF(ISBLANK(DaqBook_RAW_Data!X384),"",DaqBook_RAW_Data!X384)</f>
        <v/>
      </c>
      <c r="J394" s="167" t="str">
        <f>IF(ISBLANK(DaqBook_RAW_Data!Y384),"",DaqBook_RAW_Data!Y384)</f>
        <v/>
      </c>
      <c r="K394" s="167" t="str">
        <f>IF(ISBLANK(DaqBook_RAW_Data!Z384),"",DaqBook_RAW_Data!Z384)</f>
        <v/>
      </c>
      <c r="L394" s="167" t="str">
        <f>IF(ISBLANK(DaqBook_RAW_Data!AA384),"",DaqBook_RAW_Data!AA384)</f>
        <v/>
      </c>
      <c r="M394" s="167" t="str">
        <f>IF(ISBLANK(DaqBook_RAW_Data!AB384),"",DaqBook_RAW_Data!AB384)</f>
        <v/>
      </c>
      <c r="N394" s="167" t="str">
        <f>IF(ISBLANK(DaqBook_RAW_Data!AC384),"",DaqBook_RAW_Data!AC384)</f>
        <v/>
      </c>
      <c r="O394" s="167" t="str">
        <f>IF(ISBLANK(DaqBook_RAW_Data!AD384),"",DaqBook_RAW_Data!AD384)</f>
        <v/>
      </c>
      <c r="P394" s="167" t="str">
        <f>IF(ISBLANK(DaqBook_RAW_Data!AE384),"",DaqBook_RAW_Data!AE384)</f>
        <v/>
      </c>
    </row>
    <row r="395" spans="1:16" x14ac:dyDescent="0.2">
      <c r="A395" s="58" t="e">
        <f t="shared" si="5"/>
        <v>#VALUE!</v>
      </c>
      <c r="B395" s="144" t="str">
        <f>IF(ISBLANK(DaqBook_RAW_Data!Q385),IF(DaqBook_RAW_Data!A385="","",TIMEVALUE(DaqBook_RAW_Data!A385)),TIMEVALUE(DaqBook_RAW_Data!Q385))</f>
        <v/>
      </c>
      <c r="C395" s="167" t="str">
        <f>IF(ISBLANK(DaqBook_RAW_Data!R385),"",DaqBook_RAW_Data!R385)</f>
        <v/>
      </c>
      <c r="D395" s="167" t="str">
        <f>IF(ISBLANK(DaqBook_RAW_Data!S385),"",DaqBook_RAW_Data!S385)</f>
        <v/>
      </c>
      <c r="E395" s="167" t="str">
        <f>IF(ISBLANK(DaqBook_RAW_Data!T385),"",DaqBook_RAW_Data!T385)</f>
        <v/>
      </c>
      <c r="F395" s="167" t="str">
        <f>IF(ISBLANK(DaqBook_RAW_Data!U385),"",DaqBook_RAW_Data!U385)</f>
        <v/>
      </c>
      <c r="G395" s="167" t="str">
        <f>IF(ISBLANK(DaqBook_RAW_Data!V385),"",DaqBook_RAW_Data!V385)</f>
        <v/>
      </c>
      <c r="H395" s="167" t="str">
        <f>IF(ISBLANK(DaqBook_RAW_Data!W385),"",DaqBook_RAW_Data!W385)</f>
        <v/>
      </c>
      <c r="I395" s="167" t="str">
        <f>IF(ISBLANK(DaqBook_RAW_Data!X385),"",DaqBook_RAW_Data!X385)</f>
        <v/>
      </c>
      <c r="J395" s="167" t="str">
        <f>IF(ISBLANK(DaqBook_RAW_Data!Y385),"",DaqBook_RAW_Data!Y385)</f>
        <v/>
      </c>
      <c r="K395" s="167" t="str">
        <f>IF(ISBLANK(DaqBook_RAW_Data!Z385),"",DaqBook_RAW_Data!Z385)</f>
        <v/>
      </c>
      <c r="L395" s="167" t="str">
        <f>IF(ISBLANK(DaqBook_RAW_Data!AA385),"",DaqBook_RAW_Data!AA385)</f>
        <v/>
      </c>
      <c r="M395" s="167" t="str">
        <f>IF(ISBLANK(DaqBook_RAW_Data!AB385),"",DaqBook_RAW_Data!AB385)</f>
        <v/>
      </c>
      <c r="N395" s="167" t="str">
        <f>IF(ISBLANK(DaqBook_RAW_Data!AC385),"",DaqBook_RAW_Data!AC385)</f>
        <v/>
      </c>
      <c r="O395" s="167" t="str">
        <f>IF(ISBLANK(DaqBook_RAW_Data!AD385),"",DaqBook_RAW_Data!AD385)</f>
        <v/>
      </c>
      <c r="P395" s="167" t="str">
        <f>IF(ISBLANK(DaqBook_RAW_Data!AE385),"",DaqBook_RAW_Data!AE385)</f>
        <v/>
      </c>
    </row>
    <row r="396" spans="1:16" x14ac:dyDescent="0.2">
      <c r="A396" s="58" t="e">
        <f t="shared" si="5"/>
        <v>#VALUE!</v>
      </c>
      <c r="B396" s="144" t="str">
        <f>IF(ISBLANK(DaqBook_RAW_Data!Q386),IF(DaqBook_RAW_Data!A386="","",TIMEVALUE(DaqBook_RAW_Data!A386)),TIMEVALUE(DaqBook_RAW_Data!Q386))</f>
        <v/>
      </c>
      <c r="C396" s="167" t="str">
        <f>IF(ISBLANK(DaqBook_RAW_Data!R386),"",DaqBook_RAW_Data!R386)</f>
        <v/>
      </c>
      <c r="D396" s="167" t="str">
        <f>IF(ISBLANK(DaqBook_RAW_Data!S386),"",DaqBook_RAW_Data!S386)</f>
        <v/>
      </c>
      <c r="E396" s="167" t="str">
        <f>IF(ISBLANK(DaqBook_RAW_Data!T386),"",DaqBook_RAW_Data!T386)</f>
        <v/>
      </c>
      <c r="F396" s="167" t="str">
        <f>IF(ISBLANK(DaqBook_RAW_Data!U386),"",DaqBook_RAW_Data!U386)</f>
        <v/>
      </c>
      <c r="G396" s="167" t="str">
        <f>IF(ISBLANK(DaqBook_RAW_Data!V386),"",DaqBook_RAW_Data!V386)</f>
        <v/>
      </c>
      <c r="H396" s="167" t="str">
        <f>IF(ISBLANK(DaqBook_RAW_Data!W386),"",DaqBook_RAW_Data!W386)</f>
        <v/>
      </c>
      <c r="I396" s="167" t="str">
        <f>IF(ISBLANK(DaqBook_RAW_Data!X386),"",DaqBook_RAW_Data!X386)</f>
        <v/>
      </c>
      <c r="J396" s="167" t="str">
        <f>IF(ISBLANK(DaqBook_RAW_Data!Y386),"",DaqBook_RAW_Data!Y386)</f>
        <v/>
      </c>
      <c r="K396" s="167" t="str">
        <f>IF(ISBLANK(DaqBook_RAW_Data!Z386),"",DaqBook_RAW_Data!Z386)</f>
        <v/>
      </c>
      <c r="L396" s="167" t="str">
        <f>IF(ISBLANK(DaqBook_RAW_Data!AA386),"",DaqBook_RAW_Data!AA386)</f>
        <v/>
      </c>
      <c r="M396" s="167" t="str">
        <f>IF(ISBLANK(DaqBook_RAW_Data!AB386),"",DaqBook_RAW_Data!AB386)</f>
        <v/>
      </c>
      <c r="N396" s="167" t="str">
        <f>IF(ISBLANK(DaqBook_RAW_Data!AC386),"",DaqBook_RAW_Data!AC386)</f>
        <v/>
      </c>
      <c r="O396" s="167" t="str">
        <f>IF(ISBLANK(DaqBook_RAW_Data!AD386),"",DaqBook_RAW_Data!AD386)</f>
        <v/>
      </c>
      <c r="P396" s="167" t="str">
        <f>IF(ISBLANK(DaqBook_RAW_Data!AE386),"",DaqBook_RAW_Data!AE386)</f>
        <v/>
      </c>
    </row>
    <row r="397" spans="1:16" x14ac:dyDescent="0.2">
      <c r="A397" s="58" t="e">
        <f t="shared" si="5"/>
        <v>#VALUE!</v>
      </c>
      <c r="B397" s="144" t="str">
        <f>IF(ISBLANK(DaqBook_RAW_Data!Q387),IF(DaqBook_RAW_Data!A387="","",TIMEVALUE(DaqBook_RAW_Data!A387)),TIMEVALUE(DaqBook_RAW_Data!Q387))</f>
        <v/>
      </c>
      <c r="C397" s="167" t="str">
        <f>IF(ISBLANK(DaqBook_RAW_Data!R387),"",DaqBook_RAW_Data!R387)</f>
        <v/>
      </c>
      <c r="D397" s="167" t="str">
        <f>IF(ISBLANK(DaqBook_RAW_Data!S387),"",DaqBook_RAW_Data!S387)</f>
        <v/>
      </c>
      <c r="E397" s="167" t="str">
        <f>IF(ISBLANK(DaqBook_RAW_Data!T387),"",DaqBook_RAW_Data!T387)</f>
        <v/>
      </c>
      <c r="F397" s="167" t="str">
        <f>IF(ISBLANK(DaqBook_RAW_Data!U387),"",DaqBook_RAW_Data!U387)</f>
        <v/>
      </c>
      <c r="G397" s="167" t="str">
        <f>IF(ISBLANK(DaqBook_RAW_Data!V387),"",DaqBook_RAW_Data!V387)</f>
        <v/>
      </c>
      <c r="H397" s="167" t="str">
        <f>IF(ISBLANK(DaqBook_RAW_Data!W387),"",DaqBook_RAW_Data!W387)</f>
        <v/>
      </c>
      <c r="I397" s="167" t="str">
        <f>IF(ISBLANK(DaqBook_RAW_Data!X387),"",DaqBook_RAW_Data!X387)</f>
        <v/>
      </c>
      <c r="J397" s="167" t="str">
        <f>IF(ISBLANK(DaqBook_RAW_Data!Y387),"",DaqBook_RAW_Data!Y387)</f>
        <v/>
      </c>
      <c r="K397" s="167" t="str">
        <f>IF(ISBLANK(DaqBook_RAW_Data!Z387),"",DaqBook_RAW_Data!Z387)</f>
        <v/>
      </c>
      <c r="L397" s="167" t="str">
        <f>IF(ISBLANK(DaqBook_RAW_Data!AA387),"",DaqBook_RAW_Data!AA387)</f>
        <v/>
      </c>
      <c r="M397" s="167" t="str">
        <f>IF(ISBLANK(DaqBook_RAW_Data!AB387),"",DaqBook_RAW_Data!AB387)</f>
        <v/>
      </c>
      <c r="N397" s="167" t="str">
        <f>IF(ISBLANK(DaqBook_RAW_Data!AC387),"",DaqBook_RAW_Data!AC387)</f>
        <v/>
      </c>
      <c r="O397" s="167" t="str">
        <f>IF(ISBLANK(DaqBook_RAW_Data!AD387),"",DaqBook_RAW_Data!AD387)</f>
        <v/>
      </c>
      <c r="P397" s="167" t="str">
        <f>IF(ISBLANK(DaqBook_RAW_Data!AE387),"",DaqBook_RAW_Data!AE387)</f>
        <v/>
      </c>
    </row>
    <row r="398" spans="1:16" x14ac:dyDescent="0.2">
      <c r="A398" s="58" t="e">
        <f t="shared" si="5"/>
        <v>#VALUE!</v>
      </c>
      <c r="B398" s="144" t="str">
        <f>IF(ISBLANK(DaqBook_RAW_Data!Q388),IF(DaqBook_RAW_Data!A388="","",TIMEVALUE(DaqBook_RAW_Data!A388)),TIMEVALUE(DaqBook_RAW_Data!Q388))</f>
        <v/>
      </c>
      <c r="C398" s="167" t="str">
        <f>IF(ISBLANK(DaqBook_RAW_Data!R388),"",DaqBook_RAW_Data!R388)</f>
        <v/>
      </c>
      <c r="D398" s="167" t="str">
        <f>IF(ISBLANK(DaqBook_RAW_Data!S388),"",DaqBook_RAW_Data!S388)</f>
        <v/>
      </c>
      <c r="E398" s="167" t="str">
        <f>IF(ISBLANK(DaqBook_RAW_Data!T388),"",DaqBook_RAW_Data!T388)</f>
        <v/>
      </c>
      <c r="F398" s="167" t="str">
        <f>IF(ISBLANK(DaqBook_RAW_Data!U388),"",DaqBook_RAW_Data!U388)</f>
        <v/>
      </c>
      <c r="G398" s="167" t="str">
        <f>IF(ISBLANK(DaqBook_RAW_Data!V388),"",DaqBook_RAW_Data!V388)</f>
        <v/>
      </c>
      <c r="H398" s="167" t="str">
        <f>IF(ISBLANK(DaqBook_RAW_Data!W388),"",DaqBook_RAW_Data!W388)</f>
        <v/>
      </c>
      <c r="I398" s="167" t="str">
        <f>IF(ISBLANK(DaqBook_RAW_Data!X388),"",DaqBook_RAW_Data!X388)</f>
        <v/>
      </c>
      <c r="J398" s="167" t="str">
        <f>IF(ISBLANK(DaqBook_RAW_Data!Y388),"",DaqBook_RAW_Data!Y388)</f>
        <v/>
      </c>
      <c r="K398" s="167" t="str">
        <f>IF(ISBLANK(DaqBook_RAW_Data!Z388),"",DaqBook_RAW_Data!Z388)</f>
        <v/>
      </c>
      <c r="L398" s="167" t="str">
        <f>IF(ISBLANK(DaqBook_RAW_Data!AA388),"",DaqBook_RAW_Data!AA388)</f>
        <v/>
      </c>
      <c r="M398" s="167" t="str">
        <f>IF(ISBLANK(DaqBook_RAW_Data!AB388),"",DaqBook_RAW_Data!AB388)</f>
        <v/>
      </c>
      <c r="N398" s="167" t="str">
        <f>IF(ISBLANK(DaqBook_RAW_Data!AC388),"",DaqBook_RAW_Data!AC388)</f>
        <v/>
      </c>
      <c r="O398" s="167" t="str">
        <f>IF(ISBLANK(DaqBook_RAW_Data!AD388),"",DaqBook_RAW_Data!AD388)</f>
        <v/>
      </c>
      <c r="P398" s="167" t="str">
        <f>IF(ISBLANK(DaqBook_RAW_Data!AE388),"",DaqBook_RAW_Data!AE388)</f>
        <v/>
      </c>
    </row>
    <row r="399" spans="1:16" x14ac:dyDescent="0.2">
      <c r="A399" s="58" t="e">
        <f t="shared" ref="A399:A462" si="6">HOUR(B399)&amp;":"&amp;MINUTE(B399)</f>
        <v>#VALUE!</v>
      </c>
      <c r="B399" s="144" t="str">
        <f>IF(ISBLANK(DaqBook_RAW_Data!Q389),IF(DaqBook_RAW_Data!A389="","",TIMEVALUE(DaqBook_RAW_Data!A389)),TIMEVALUE(DaqBook_RAW_Data!Q389))</f>
        <v/>
      </c>
      <c r="C399" s="167" t="str">
        <f>IF(ISBLANK(DaqBook_RAW_Data!R389),"",DaqBook_RAW_Data!R389)</f>
        <v/>
      </c>
      <c r="D399" s="167" t="str">
        <f>IF(ISBLANK(DaqBook_RAW_Data!S389),"",DaqBook_RAW_Data!S389)</f>
        <v/>
      </c>
      <c r="E399" s="167" t="str">
        <f>IF(ISBLANK(DaqBook_RAW_Data!T389),"",DaqBook_RAW_Data!T389)</f>
        <v/>
      </c>
      <c r="F399" s="167" t="str">
        <f>IF(ISBLANK(DaqBook_RAW_Data!U389),"",DaqBook_RAW_Data!U389)</f>
        <v/>
      </c>
      <c r="G399" s="167" t="str">
        <f>IF(ISBLANK(DaqBook_RAW_Data!V389),"",DaqBook_RAW_Data!V389)</f>
        <v/>
      </c>
      <c r="H399" s="167" t="str">
        <f>IF(ISBLANK(DaqBook_RAW_Data!W389),"",DaqBook_RAW_Data!W389)</f>
        <v/>
      </c>
      <c r="I399" s="167" t="str">
        <f>IF(ISBLANK(DaqBook_RAW_Data!X389),"",DaqBook_RAW_Data!X389)</f>
        <v/>
      </c>
      <c r="J399" s="167" t="str">
        <f>IF(ISBLANK(DaqBook_RAW_Data!Y389),"",DaqBook_RAW_Data!Y389)</f>
        <v/>
      </c>
      <c r="K399" s="167" t="str">
        <f>IF(ISBLANK(DaqBook_RAW_Data!Z389),"",DaqBook_RAW_Data!Z389)</f>
        <v/>
      </c>
      <c r="L399" s="167" t="str">
        <f>IF(ISBLANK(DaqBook_RAW_Data!AA389),"",DaqBook_RAW_Data!AA389)</f>
        <v/>
      </c>
      <c r="M399" s="167" t="str">
        <f>IF(ISBLANK(DaqBook_RAW_Data!AB389),"",DaqBook_RAW_Data!AB389)</f>
        <v/>
      </c>
      <c r="N399" s="167" t="str">
        <f>IF(ISBLANK(DaqBook_RAW_Data!AC389),"",DaqBook_RAW_Data!AC389)</f>
        <v/>
      </c>
      <c r="O399" s="167" t="str">
        <f>IF(ISBLANK(DaqBook_RAW_Data!AD389),"",DaqBook_RAW_Data!AD389)</f>
        <v/>
      </c>
      <c r="P399" s="167" t="str">
        <f>IF(ISBLANK(DaqBook_RAW_Data!AE389),"",DaqBook_RAW_Data!AE389)</f>
        <v/>
      </c>
    </row>
    <row r="400" spans="1:16" x14ac:dyDescent="0.2">
      <c r="A400" s="58" t="e">
        <f t="shared" si="6"/>
        <v>#VALUE!</v>
      </c>
      <c r="B400" s="144" t="str">
        <f>IF(ISBLANK(DaqBook_RAW_Data!Q390),IF(DaqBook_RAW_Data!A390="","",TIMEVALUE(DaqBook_RAW_Data!A390)),TIMEVALUE(DaqBook_RAW_Data!Q390))</f>
        <v/>
      </c>
      <c r="C400" s="167" t="str">
        <f>IF(ISBLANK(DaqBook_RAW_Data!R390),"",DaqBook_RAW_Data!R390)</f>
        <v/>
      </c>
      <c r="D400" s="167" t="str">
        <f>IF(ISBLANK(DaqBook_RAW_Data!S390),"",DaqBook_RAW_Data!S390)</f>
        <v/>
      </c>
      <c r="E400" s="167" t="str">
        <f>IF(ISBLANK(DaqBook_RAW_Data!T390),"",DaqBook_RAW_Data!T390)</f>
        <v/>
      </c>
      <c r="F400" s="167" t="str">
        <f>IF(ISBLANK(DaqBook_RAW_Data!U390),"",DaqBook_RAW_Data!U390)</f>
        <v/>
      </c>
      <c r="G400" s="167" t="str">
        <f>IF(ISBLANK(DaqBook_RAW_Data!V390),"",DaqBook_RAW_Data!V390)</f>
        <v/>
      </c>
      <c r="H400" s="167" t="str">
        <f>IF(ISBLANK(DaqBook_RAW_Data!W390),"",DaqBook_RAW_Data!W390)</f>
        <v/>
      </c>
      <c r="I400" s="167" t="str">
        <f>IF(ISBLANK(DaqBook_RAW_Data!X390),"",DaqBook_RAW_Data!X390)</f>
        <v/>
      </c>
      <c r="J400" s="167" t="str">
        <f>IF(ISBLANK(DaqBook_RAW_Data!Y390),"",DaqBook_RAW_Data!Y390)</f>
        <v/>
      </c>
      <c r="K400" s="167" t="str">
        <f>IF(ISBLANK(DaqBook_RAW_Data!Z390),"",DaqBook_RAW_Data!Z390)</f>
        <v/>
      </c>
      <c r="L400" s="167" t="str">
        <f>IF(ISBLANK(DaqBook_RAW_Data!AA390),"",DaqBook_RAW_Data!AA390)</f>
        <v/>
      </c>
      <c r="M400" s="167" t="str">
        <f>IF(ISBLANK(DaqBook_RAW_Data!AB390),"",DaqBook_RAW_Data!AB390)</f>
        <v/>
      </c>
      <c r="N400" s="167" t="str">
        <f>IF(ISBLANK(DaqBook_RAW_Data!AC390),"",DaqBook_RAW_Data!AC390)</f>
        <v/>
      </c>
      <c r="O400" s="167" t="str">
        <f>IF(ISBLANK(DaqBook_RAW_Data!AD390),"",DaqBook_RAW_Data!AD390)</f>
        <v/>
      </c>
      <c r="P400" s="167" t="str">
        <f>IF(ISBLANK(DaqBook_RAW_Data!AE390),"",DaqBook_RAW_Data!AE390)</f>
        <v/>
      </c>
    </row>
    <row r="401" spans="1:16" x14ac:dyDescent="0.2">
      <c r="A401" s="58" t="e">
        <f t="shared" si="6"/>
        <v>#VALUE!</v>
      </c>
      <c r="B401" s="144" t="str">
        <f>IF(ISBLANK(DaqBook_RAW_Data!Q391),IF(DaqBook_RAW_Data!A391="","",TIMEVALUE(DaqBook_RAW_Data!A391)),TIMEVALUE(DaqBook_RAW_Data!Q391))</f>
        <v/>
      </c>
      <c r="C401" s="167" t="str">
        <f>IF(ISBLANK(DaqBook_RAW_Data!R391),"",DaqBook_RAW_Data!R391)</f>
        <v/>
      </c>
      <c r="D401" s="167" t="str">
        <f>IF(ISBLANK(DaqBook_RAW_Data!S391),"",DaqBook_RAW_Data!S391)</f>
        <v/>
      </c>
      <c r="E401" s="167" t="str">
        <f>IF(ISBLANK(DaqBook_RAW_Data!T391),"",DaqBook_RAW_Data!T391)</f>
        <v/>
      </c>
      <c r="F401" s="167" t="str">
        <f>IF(ISBLANK(DaqBook_RAW_Data!U391),"",DaqBook_RAW_Data!U391)</f>
        <v/>
      </c>
      <c r="G401" s="167" t="str">
        <f>IF(ISBLANK(DaqBook_RAW_Data!V391),"",DaqBook_RAW_Data!V391)</f>
        <v/>
      </c>
      <c r="H401" s="167" t="str">
        <f>IF(ISBLANK(DaqBook_RAW_Data!W391),"",DaqBook_RAW_Data!W391)</f>
        <v/>
      </c>
      <c r="I401" s="167" t="str">
        <f>IF(ISBLANK(DaqBook_RAW_Data!X391),"",DaqBook_RAW_Data!X391)</f>
        <v/>
      </c>
      <c r="J401" s="167" t="str">
        <f>IF(ISBLANK(DaqBook_RAW_Data!Y391),"",DaqBook_RAW_Data!Y391)</f>
        <v/>
      </c>
      <c r="K401" s="167" t="str">
        <f>IF(ISBLANK(DaqBook_RAW_Data!Z391),"",DaqBook_RAW_Data!Z391)</f>
        <v/>
      </c>
      <c r="L401" s="167" t="str">
        <f>IF(ISBLANK(DaqBook_RAW_Data!AA391),"",DaqBook_RAW_Data!AA391)</f>
        <v/>
      </c>
      <c r="M401" s="167" t="str">
        <f>IF(ISBLANK(DaqBook_RAW_Data!AB391),"",DaqBook_RAW_Data!AB391)</f>
        <v/>
      </c>
      <c r="N401" s="167" t="str">
        <f>IF(ISBLANK(DaqBook_RAW_Data!AC391),"",DaqBook_RAW_Data!AC391)</f>
        <v/>
      </c>
      <c r="O401" s="167" t="str">
        <f>IF(ISBLANK(DaqBook_RAW_Data!AD391),"",DaqBook_RAW_Data!AD391)</f>
        <v/>
      </c>
      <c r="P401" s="167" t="str">
        <f>IF(ISBLANK(DaqBook_RAW_Data!AE391),"",DaqBook_RAW_Data!AE391)</f>
        <v/>
      </c>
    </row>
    <row r="402" spans="1:16" x14ac:dyDescent="0.2">
      <c r="A402" s="58" t="e">
        <f t="shared" si="6"/>
        <v>#VALUE!</v>
      </c>
      <c r="B402" s="144" t="str">
        <f>IF(ISBLANK(DaqBook_RAW_Data!Q392),IF(DaqBook_RAW_Data!A392="","",TIMEVALUE(DaqBook_RAW_Data!A392)),TIMEVALUE(DaqBook_RAW_Data!Q392))</f>
        <v/>
      </c>
      <c r="C402" s="167" t="str">
        <f>IF(ISBLANK(DaqBook_RAW_Data!R392),"",DaqBook_RAW_Data!R392)</f>
        <v/>
      </c>
      <c r="D402" s="167" t="str">
        <f>IF(ISBLANK(DaqBook_RAW_Data!S392),"",DaqBook_RAW_Data!S392)</f>
        <v/>
      </c>
      <c r="E402" s="167" t="str">
        <f>IF(ISBLANK(DaqBook_RAW_Data!T392),"",DaqBook_RAW_Data!T392)</f>
        <v/>
      </c>
      <c r="F402" s="167" t="str">
        <f>IF(ISBLANK(DaqBook_RAW_Data!U392),"",DaqBook_RAW_Data!U392)</f>
        <v/>
      </c>
      <c r="G402" s="167" t="str">
        <f>IF(ISBLANK(DaqBook_RAW_Data!V392),"",DaqBook_RAW_Data!V392)</f>
        <v/>
      </c>
      <c r="H402" s="167" t="str">
        <f>IF(ISBLANK(DaqBook_RAW_Data!W392),"",DaqBook_RAW_Data!W392)</f>
        <v/>
      </c>
      <c r="I402" s="167" t="str">
        <f>IF(ISBLANK(DaqBook_RAW_Data!X392),"",DaqBook_RAW_Data!X392)</f>
        <v/>
      </c>
      <c r="J402" s="167" t="str">
        <f>IF(ISBLANK(DaqBook_RAW_Data!Y392),"",DaqBook_RAW_Data!Y392)</f>
        <v/>
      </c>
      <c r="K402" s="167" t="str">
        <f>IF(ISBLANK(DaqBook_RAW_Data!Z392),"",DaqBook_RAW_Data!Z392)</f>
        <v/>
      </c>
      <c r="L402" s="167" t="str">
        <f>IF(ISBLANK(DaqBook_RAW_Data!AA392),"",DaqBook_RAW_Data!AA392)</f>
        <v/>
      </c>
      <c r="M402" s="167" t="str">
        <f>IF(ISBLANK(DaqBook_RAW_Data!AB392),"",DaqBook_RAW_Data!AB392)</f>
        <v/>
      </c>
      <c r="N402" s="167" t="str">
        <f>IF(ISBLANK(DaqBook_RAW_Data!AC392),"",DaqBook_RAW_Data!AC392)</f>
        <v/>
      </c>
      <c r="O402" s="167" t="str">
        <f>IF(ISBLANK(DaqBook_RAW_Data!AD392),"",DaqBook_RAW_Data!AD392)</f>
        <v/>
      </c>
      <c r="P402" s="167" t="str">
        <f>IF(ISBLANK(DaqBook_RAW_Data!AE392),"",DaqBook_RAW_Data!AE392)</f>
        <v/>
      </c>
    </row>
    <row r="403" spans="1:16" x14ac:dyDescent="0.2">
      <c r="A403" s="58" t="e">
        <f t="shared" si="6"/>
        <v>#VALUE!</v>
      </c>
      <c r="B403" s="144" t="str">
        <f>IF(ISBLANK(DaqBook_RAW_Data!Q393),IF(DaqBook_RAW_Data!A393="","",TIMEVALUE(DaqBook_RAW_Data!A393)),TIMEVALUE(DaqBook_RAW_Data!Q393))</f>
        <v/>
      </c>
      <c r="C403" s="167" t="str">
        <f>IF(ISBLANK(DaqBook_RAW_Data!R393),"",DaqBook_RAW_Data!R393)</f>
        <v/>
      </c>
      <c r="D403" s="167" t="str">
        <f>IF(ISBLANK(DaqBook_RAW_Data!S393),"",DaqBook_RAW_Data!S393)</f>
        <v/>
      </c>
      <c r="E403" s="167" t="str">
        <f>IF(ISBLANK(DaqBook_RAW_Data!T393),"",DaqBook_RAW_Data!T393)</f>
        <v/>
      </c>
      <c r="F403" s="167" t="str">
        <f>IF(ISBLANK(DaqBook_RAW_Data!U393),"",DaqBook_RAW_Data!U393)</f>
        <v/>
      </c>
      <c r="G403" s="167" t="str">
        <f>IF(ISBLANK(DaqBook_RAW_Data!V393),"",DaqBook_RAW_Data!V393)</f>
        <v/>
      </c>
      <c r="H403" s="167" t="str">
        <f>IF(ISBLANK(DaqBook_RAW_Data!W393),"",DaqBook_RAW_Data!W393)</f>
        <v/>
      </c>
      <c r="I403" s="167" t="str">
        <f>IF(ISBLANK(DaqBook_RAW_Data!X393),"",DaqBook_RAW_Data!X393)</f>
        <v/>
      </c>
      <c r="J403" s="167" t="str">
        <f>IF(ISBLANK(DaqBook_RAW_Data!Y393),"",DaqBook_RAW_Data!Y393)</f>
        <v/>
      </c>
      <c r="K403" s="167" t="str">
        <f>IF(ISBLANK(DaqBook_RAW_Data!Z393),"",DaqBook_RAW_Data!Z393)</f>
        <v/>
      </c>
      <c r="L403" s="167" t="str">
        <f>IF(ISBLANK(DaqBook_RAW_Data!AA393),"",DaqBook_RAW_Data!AA393)</f>
        <v/>
      </c>
      <c r="M403" s="167" t="str">
        <f>IF(ISBLANK(DaqBook_RAW_Data!AB393),"",DaqBook_RAW_Data!AB393)</f>
        <v/>
      </c>
      <c r="N403" s="167" t="str">
        <f>IF(ISBLANK(DaqBook_RAW_Data!AC393),"",DaqBook_RAW_Data!AC393)</f>
        <v/>
      </c>
      <c r="O403" s="167" t="str">
        <f>IF(ISBLANK(DaqBook_RAW_Data!AD393),"",DaqBook_RAW_Data!AD393)</f>
        <v/>
      </c>
      <c r="P403" s="167" t="str">
        <f>IF(ISBLANK(DaqBook_RAW_Data!AE393),"",DaqBook_RAW_Data!AE393)</f>
        <v/>
      </c>
    </row>
    <row r="404" spans="1:16" x14ac:dyDescent="0.2">
      <c r="A404" s="58" t="e">
        <f t="shared" si="6"/>
        <v>#VALUE!</v>
      </c>
      <c r="B404" s="144" t="str">
        <f>IF(ISBLANK(DaqBook_RAW_Data!Q394),IF(DaqBook_RAW_Data!A394="","",TIMEVALUE(DaqBook_RAW_Data!A394)),TIMEVALUE(DaqBook_RAW_Data!Q394))</f>
        <v/>
      </c>
      <c r="C404" s="167" t="str">
        <f>IF(ISBLANK(DaqBook_RAW_Data!R394),"",DaqBook_RAW_Data!R394)</f>
        <v/>
      </c>
      <c r="D404" s="167" t="str">
        <f>IF(ISBLANK(DaqBook_RAW_Data!S394),"",DaqBook_RAW_Data!S394)</f>
        <v/>
      </c>
      <c r="E404" s="167" t="str">
        <f>IF(ISBLANK(DaqBook_RAW_Data!T394),"",DaqBook_RAW_Data!T394)</f>
        <v/>
      </c>
      <c r="F404" s="167" t="str">
        <f>IF(ISBLANK(DaqBook_RAW_Data!U394),"",DaqBook_RAW_Data!U394)</f>
        <v/>
      </c>
      <c r="G404" s="167" t="str">
        <f>IF(ISBLANK(DaqBook_RAW_Data!V394),"",DaqBook_RAW_Data!V394)</f>
        <v/>
      </c>
      <c r="H404" s="167" t="str">
        <f>IF(ISBLANK(DaqBook_RAW_Data!W394),"",DaqBook_RAW_Data!W394)</f>
        <v/>
      </c>
      <c r="I404" s="167" t="str">
        <f>IF(ISBLANK(DaqBook_RAW_Data!X394),"",DaqBook_RAW_Data!X394)</f>
        <v/>
      </c>
      <c r="J404" s="167" t="str">
        <f>IF(ISBLANK(DaqBook_RAW_Data!Y394),"",DaqBook_RAW_Data!Y394)</f>
        <v/>
      </c>
      <c r="K404" s="167" t="str">
        <f>IF(ISBLANK(DaqBook_RAW_Data!Z394),"",DaqBook_RAW_Data!Z394)</f>
        <v/>
      </c>
      <c r="L404" s="167" t="str">
        <f>IF(ISBLANK(DaqBook_RAW_Data!AA394),"",DaqBook_RAW_Data!AA394)</f>
        <v/>
      </c>
      <c r="M404" s="167" t="str">
        <f>IF(ISBLANK(DaqBook_RAW_Data!AB394),"",DaqBook_RAW_Data!AB394)</f>
        <v/>
      </c>
      <c r="N404" s="167" t="str">
        <f>IF(ISBLANK(DaqBook_RAW_Data!AC394),"",DaqBook_RAW_Data!AC394)</f>
        <v/>
      </c>
      <c r="O404" s="167" t="str">
        <f>IF(ISBLANK(DaqBook_RAW_Data!AD394),"",DaqBook_RAW_Data!AD394)</f>
        <v/>
      </c>
      <c r="P404" s="167" t="str">
        <f>IF(ISBLANK(DaqBook_RAW_Data!AE394),"",DaqBook_RAW_Data!AE394)</f>
        <v/>
      </c>
    </row>
    <row r="405" spans="1:16" x14ac:dyDescent="0.2">
      <c r="A405" s="58" t="e">
        <f t="shared" si="6"/>
        <v>#VALUE!</v>
      </c>
      <c r="B405" s="144" t="str">
        <f>IF(ISBLANK(DaqBook_RAW_Data!Q395),IF(DaqBook_RAW_Data!A395="","",TIMEVALUE(DaqBook_RAW_Data!A395)),TIMEVALUE(DaqBook_RAW_Data!Q395))</f>
        <v/>
      </c>
      <c r="C405" s="167" t="str">
        <f>IF(ISBLANK(DaqBook_RAW_Data!R395),"",DaqBook_RAW_Data!R395)</f>
        <v/>
      </c>
      <c r="D405" s="167" t="str">
        <f>IF(ISBLANK(DaqBook_RAW_Data!S395),"",DaqBook_RAW_Data!S395)</f>
        <v/>
      </c>
      <c r="E405" s="167" t="str">
        <f>IF(ISBLANK(DaqBook_RAW_Data!T395),"",DaqBook_RAW_Data!T395)</f>
        <v/>
      </c>
      <c r="F405" s="167" t="str">
        <f>IF(ISBLANK(DaqBook_RAW_Data!U395),"",DaqBook_RAW_Data!U395)</f>
        <v/>
      </c>
      <c r="G405" s="167" t="str">
        <f>IF(ISBLANK(DaqBook_RAW_Data!V395),"",DaqBook_RAW_Data!V395)</f>
        <v/>
      </c>
      <c r="H405" s="167" t="str">
        <f>IF(ISBLANK(DaqBook_RAW_Data!W395),"",DaqBook_RAW_Data!W395)</f>
        <v/>
      </c>
      <c r="I405" s="167" t="str">
        <f>IF(ISBLANK(DaqBook_RAW_Data!X395),"",DaqBook_RAW_Data!X395)</f>
        <v/>
      </c>
      <c r="J405" s="167" t="str">
        <f>IF(ISBLANK(DaqBook_RAW_Data!Y395),"",DaqBook_RAW_Data!Y395)</f>
        <v/>
      </c>
      <c r="K405" s="167" t="str">
        <f>IF(ISBLANK(DaqBook_RAW_Data!Z395),"",DaqBook_RAW_Data!Z395)</f>
        <v/>
      </c>
      <c r="L405" s="167" t="str">
        <f>IF(ISBLANK(DaqBook_RAW_Data!AA395),"",DaqBook_RAW_Data!AA395)</f>
        <v/>
      </c>
      <c r="M405" s="167" t="str">
        <f>IF(ISBLANK(DaqBook_RAW_Data!AB395),"",DaqBook_RAW_Data!AB395)</f>
        <v/>
      </c>
      <c r="N405" s="167" t="str">
        <f>IF(ISBLANK(DaqBook_RAW_Data!AC395),"",DaqBook_RAW_Data!AC395)</f>
        <v/>
      </c>
      <c r="O405" s="167" t="str">
        <f>IF(ISBLANK(DaqBook_RAW_Data!AD395),"",DaqBook_RAW_Data!AD395)</f>
        <v/>
      </c>
      <c r="P405" s="167" t="str">
        <f>IF(ISBLANK(DaqBook_RAW_Data!AE395),"",DaqBook_RAW_Data!AE395)</f>
        <v/>
      </c>
    </row>
    <row r="406" spans="1:16" x14ac:dyDescent="0.2">
      <c r="A406" s="58" t="e">
        <f t="shared" si="6"/>
        <v>#VALUE!</v>
      </c>
      <c r="B406" s="144" t="str">
        <f>IF(ISBLANK(DaqBook_RAW_Data!Q396),IF(DaqBook_RAW_Data!A396="","",TIMEVALUE(DaqBook_RAW_Data!A396)),TIMEVALUE(DaqBook_RAW_Data!Q396))</f>
        <v/>
      </c>
      <c r="C406" s="167" t="str">
        <f>IF(ISBLANK(DaqBook_RAW_Data!R396),"",DaqBook_RAW_Data!R396)</f>
        <v/>
      </c>
      <c r="D406" s="167" t="str">
        <f>IF(ISBLANK(DaqBook_RAW_Data!S396),"",DaqBook_RAW_Data!S396)</f>
        <v/>
      </c>
      <c r="E406" s="167" t="str">
        <f>IF(ISBLANK(DaqBook_RAW_Data!T396),"",DaqBook_RAW_Data!T396)</f>
        <v/>
      </c>
      <c r="F406" s="167" t="str">
        <f>IF(ISBLANK(DaqBook_RAW_Data!U396),"",DaqBook_RAW_Data!U396)</f>
        <v/>
      </c>
      <c r="G406" s="167" t="str">
        <f>IF(ISBLANK(DaqBook_RAW_Data!V396),"",DaqBook_RAW_Data!V396)</f>
        <v/>
      </c>
      <c r="H406" s="167" t="str">
        <f>IF(ISBLANK(DaqBook_RAW_Data!W396),"",DaqBook_RAW_Data!W396)</f>
        <v/>
      </c>
      <c r="I406" s="167" t="str">
        <f>IF(ISBLANK(DaqBook_RAW_Data!X396),"",DaqBook_RAW_Data!X396)</f>
        <v/>
      </c>
      <c r="J406" s="167" t="str">
        <f>IF(ISBLANK(DaqBook_RAW_Data!Y396),"",DaqBook_RAW_Data!Y396)</f>
        <v/>
      </c>
      <c r="K406" s="167" t="str">
        <f>IF(ISBLANK(DaqBook_RAW_Data!Z396),"",DaqBook_RAW_Data!Z396)</f>
        <v/>
      </c>
      <c r="L406" s="167" t="str">
        <f>IF(ISBLANK(DaqBook_RAW_Data!AA396),"",DaqBook_RAW_Data!AA396)</f>
        <v/>
      </c>
      <c r="M406" s="167" t="str">
        <f>IF(ISBLANK(DaqBook_RAW_Data!AB396),"",DaqBook_RAW_Data!AB396)</f>
        <v/>
      </c>
      <c r="N406" s="167" t="str">
        <f>IF(ISBLANK(DaqBook_RAW_Data!AC396),"",DaqBook_RAW_Data!AC396)</f>
        <v/>
      </c>
      <c r="O406" s="167" t="str">
        <f>IF(ISBLANK(DaqBook_RAW_Data!AD396),"",DaqBook_RAW_Data!AD396)</f>
        <v/>
      </c>
      <c r="P406" s="167" t="str">
        <f>IF(ISBLANK(DaqBook_RAW_Data!AE396),"",DaqBook_RAW_Data!AE396)</f>
        <v/>
      </c>
    </row>
    <row r="407" spans="1:16" x14ac:dyDescent="0.2">
      <c r="A407" s="58" t="e">
        <f t="shared" si="6"/>
        <v>#VALUE!</v>
      </c>
      <c r="B407" s="144" t="str">
        <f>IF(ISBLANK(DaqBook_RAW_Data!Q397),IF(DaqBook_RAW_Data!A397="","",TIMEVALUE(DaqBook_RAW_Data!A397)),TIMEVALUE(DaqBook_RAW_Data!Q397))</f>
        <v/>
      </c>
      <c r="C407" s="167" t="str">
        <f>IF(ISBLANK(DaqBook_RAW_Data!R397),"",DaqBook_RAW_Data!R397)</f>
        <v/>
      </c>
      <c r="D407" s="167" t="str">
        <f>IF(ISBLANK(DaqBook_RAW_Data!S397),"",DaqBook_RAW_Data!S397)</f>
        <v/>
      </c>
      <c r="E407" s="167" t="str">
        <f>IF(ISBLANK(DaqBook_RAW_Data!T397),"",DaqBook_RAW_Data!T397)</f>
        <v/>
      </c>
      <c r="F407" s="167" t="str">
        <f>IF(ISBLANK(DaqBook_RAW_Data!U397),"",DaqBook_RAW_Data!U397)</f>
        <v/>
      </c>
      <c r="G407" s="167" t="str">
        <f>IF(ISBLANK(DaqBook_RAW_Data!V397),"",DaqBook_RAW_Data!V397)</f>
        <v/>
      </c>
      <c r="H407" s="167" t="str">
        <f>IF(ISBLANK(DaqBook_RAW_Data!W397),"",DaqBook_RAW_Data!W397)</f>
        <v/>
      </c>
      <c r="I407" s="167" t="str">
        <f>IF(ISBLANK(DaqBook_RAW_Data!X397),"",DaqBook_RAW_Data!X397)</f>
        <v/>
      </c>
      <c r="J407" s="167" t="str">
        <f>IF(ISBLANK(DaqBook_RAW_Data!Y397),"",DaqBook_RAW_Data!Y397)</f>
        <v/>
      </c>
      <c r="K407" s="167" t="str">
        <f>IF(ISBLANK(DaqBook_RAW_Data!Z397),"",DaqBook_RAW_Data!Z397)</f>
        <v/>
      </c>
      <c r="L407" s="167" t="str">
        <f>IF(ISBLANK(DaqBook_RAW_Data!AA397),"",DaqBook_RAW_Data!AA397)</f>
        <v/>
      </c>
      <c r="M407" s="167" t="str">
        <f>IF(ISBLANK(DaqBook_RAW_Data!AB397),"",DaqBook_RAW_Data!AB397)</f>
        <v/>
      </c>
      <c r="N407" s="167" t="str">
        <f>IF(ISBLANK(DaqBook_RAW_Data!AC397),"",DaqBook_RAW_Data!AC397)</f>
        <v/>
      </c>
      <c r="O407" s="167" t="str">
        <f>IF(ISBLANK(DaqBook_RAW_Data!AD397),"",DaqBook_RAW_Data!AD397)</f>
        <v/>
      </c>
      <c r="P407" s="167" t="str">
        <f>IF(ISBLANK(DaqBook_RAW_Data!AE397),"",DaqBook_RAW_Data!AE397)</f>
        <v/>
      </c>
    </row>
    <row r="408" spans="1:16" x14ac:dyDescent="0.2">
      <c r="A408" s="58" t="e">
        <f t="shared" si="6"/>
        <v>#VALUE!</v>
      </c>
      <c r="B408" s="144" t="str">
        <f>IF(ISBLANK(DaqBook_RAW_Data!Q398),IF(DaqBook_RAW_Data!A398="","",TIMEVALUE(DaqBook_RAW_Data!A398)),TIMEVALUE(DaqBook_RAW_Data!Q398))</f>
        <v/>
      </c>
      <c r="C408" s="167" t="str">
        <f>IF(ISBLANK(DaqBook_RAW_Data!R398),"",DaqBook_RAW_Data!R398)</f>
        <v/>
      </c>
      <c r="D408" s="167" t="str">
        <f>IF(ISBLANK(DaqBook_RAW_Data!S398),"",DaqBook_RAW_Data!S398)</f>
        <v/>
      </c>
      <c r="E408" s="167" t="str">
        <f>IF(ISBLANK(DaqBook_RAW_Data!T398),"",DaqBook_RAW_Data!T398)</f>
        <v/>
      </c>
      <c r="F408" s="167" t="str">
        <f>IF(ISBLANK(DaqBook_RAW_Data!U398),"",DaqBook_RAW_Data!U398)</f>
        <v/>
      </c>
      <c r="G408" s="167" t="str">
        <f>IF(ISBLANK(DaqBook_RAW_Data!V398),"",DaqBook_RAW_Data!V398)</f>
        <v/>
      </c>
      <c r="H408" s="167" t="str">
        <f>IF(ISBLANK(DaqBook_RAW_Data!W398),"",DaqBook_RAW_Data!W398)</f>
        <v/>
      </c>
      <c r="I408" s="167" t="str">
        <f>IF(ISBLANK(DaqBook_RAW_Data!X398),"",DaqBook_RAW_Data!X398)</f>
        <v/>
      </c>
      <c r="J408" s="167" t="str">
        <f>IF(ISBLANK(DaqBook_RAW_Data!Y398),"",DaqBook_RAW_Data!Y398)</f>
        <v/>
      </c>
      <c r="K408" s="167" t="str">
        <f>IF(ISBLANK(DaqBook_RAW_Data!Z398),"",DaqBook_RAW_Data!Z398)</f>
        <v/>
      </c>
      <c r="L408" s="167" t="str">
        <f>IF(ISBLANK(DaqBook_RAW_Data!AA398),"",DaqBook_RAW_Data!AA398)</f>
        <v/>
      </c>
      <c r="M408" s="167" t="str">
        <f>IF(ISBLANK(DaqBook_RAW_Data!AB398),"",DaqBook_RAW_Data!AB398)</f>
        <v/>
      </c>
      <c r="N408" s="167" t="str">
        <f>IF(ISBLANK(DaqBook_RAW_Data!AC398),"",DaqBook_RAW_Data!AC398)</f>
        <v/>
      </c>
      <c r="O408" s="167" t="str">
        <f>IF(ISBLANK(DaqBook_RAW_Data!AD398),"",DaqBook_RAW_Data!AD398)</f>
        <v/>
      </c>
      <c r="P408" s="167" t="str">
        <f>IF(ISBLANK(DaqBook_RAW_Data!AE398),"",DaqBook_RAW_Data!AE398)</f>
        <v/>
      </c>
    </row>
    <row r="409" spans="1:16" x14ac:dyDescent="0.2">
      <c r="A409" s="58" t="e">
        <f t="shared" si="6"/>
        <v>#VALUE!</v>
      </c>
      <c r="B409" s="144" t="str">
        <f>IF(ISBLANK(DaqBook_RAW_Data!Q399),IF(DaqBook_RAW_Data!A399="","",TIMEVALUE(DaqBook_RAW_Data!A399)),TIMEVALUE(DaqBook_RAW_Data!Q399))</f>
        <v/>
      </c>
      <c r="C409" s="167" t="str">
        <f>IF(ISBLANK(DaqBook_RAW_Data!R399),"",DaqBook_RAW_Data!R399)</f>
        <v/>
      </c>
      <c r="D409" s="167" t="str">
        <f>IF(ISBLANK(DaqBook_RAW_Data!S399),"",DaqBook_RAW_Data!S399)</f>
        <v/>
      </c>
      <c r="E409" s="167" t="str">
        <f>IF(ISBLANK(DaqBook_RAW_Data!T399),"",DaqBook_RAW_Data!T399)</f>
        <v/>
      </c>
      <c r="F409" s="167" t="str">
        <f>IF(ISBLANK(DaqBook_RAW_Data!U399),"",DaqBook_RAW_Data!U399)</f>
        <v/>
      </c>
      <c r="G409" s="167" t="str">
        <f>IF(ISBLANK(DaqBook_RAW_Data!V399),"",DaqBook_RAW_Data!V399)</f>
        <v/>
      </c>
      <c r="H409" s="167" t="str">
        <f>IF(ISBLANK(DaqBook_RAW_Data!W399),"",DaqBook_RAW_Data!W399)</f>
        <v/>
      </c>
      <c r="I409" s="167" t="str">
        <f>IF(ISBLANK(DaqBook_RAW_Data!X399),"",DaqBook_RAW_Data!X399)</f>
        <v/>
      </c>
      <c r="J409" s="167" t="str">
        <f>IF(ISBLANK(DaqBook_RAW_Data!Y399),"",DaqBook_RAW_Data!Y399)</f>
        <v/>
      </c>
      <c r="K409" s="167" t="str">
        <f>IF(ISBLANK(DaqBook_RAW_Data!Z399),"",DaqBook_RAW_Data!Z399)</f>
        <v/>
      </c>
      <c r="L409" s="167" t="str">
        <f>IF(ISBLANK(DaqBook_RAW_Data!AA399),"",DaqBook_RAW_Data!AA399)</f>
        <v/>
      </c>
      <c r="M409" s="167" t="str">
        <f>IF(ISBLANK(DaqBook_RAW_Data!AB399),"",DaqBook_RAW_Data!AB399)</f>
        <v/>
      </c>
      <c r="N409" s="167" t="str">
        <f>IF(ISBLANK(DaqBook_RAW_Data!AC399),"",DaqBook_RAW_Data!AC399)</f>
        <v/>
      </c>
      <c r="O409" s="167" t="str">
        <f>IF(ISBLANK(DaqBook_RAW_Data!AD399),"",DaqBook_RAW_Data!AD399)</f>
        <v/>
      </c>
      <c r="P409" s="167" t="str">
        <f>IF(ISBLANK(DaqBook_RAW_Data!AE399),"",DaqBook_RAW_Data!AE399)</f>
        <v/>
      </c>
    </row>
    <row r="410" spans="1:16" x14ac:dyDescent="0.2">
      <c r="A410" s="58" t="e">
        <f t="shared" si="6"/>
        <v>#VALUE!</v>
      </c>
      <c r="B410" s="144" t="str">
        <f>IF(ISBLANK(DaqBook_RAW_Data!Q400),IF(DaqBook_RAW_Data!A400="","",TIMEVALUE(DaqBook_RAW_Data!A400)),TIMEVALUE(DaqBook_RAW_Data!Q400))</f>
        <v/>
      </c>
      <c r="C410" s="167" t="str">
        <f>IF(ISBLANK(DaqBook_RAW_Data!R400),"",DaqBook_RAW_Data!R400)</f>
        <v/>
      </c>
      <c r="D410" s="167" t="str">
        <f>IF(ISBLANK(DaqBook_RAW_Data!S400),"",DaqBook_RAW_Data!S400)</f>
        <v/>
      </c>
      <c r="E410" s="167" t="str">
        <f>IF(ISBLANK(DaqBook_RAW_Data!T400),"",DaqBook_RAW_Data!T400)</f>
        <v/>
      </c>
      <c r="F410" s="167" t="str">
        <f>IF(ISBLANK(DaqBook_RAW_Data!U400),"",DaqBook_RAW_Data!U400)</f>
        <v/>
      </c>
      <c r="G410" s="167" t="str">
        <f>IF(ISBLANK(DaqBook_RAW_Data!V400),"",DaqBook_RAW_Data!V400)</f>
        <v/>
      </c>
      <c r="H410" s="167" t="str">
        <f>IF(ISBLANK(DaqBook_RAW_Data!W400),"",DaqBook_RAW_Data!W400)</f>
        <v/>
      </c>
      <c r="I410" s="167" t="str">
        <f>IF(ISBLANK(DaqBook_RAW_Data!X400),"",DaqBook_RAW_Data!X400)</f>
        <v/>
      </c>
      <c r="J410" s="167" t="str">
        <f>IF(ISBLANK(DaqBook_RAW_Data!Y400),"",DaqBook_RAW_Data!Y400)</f>
        <v/>
      </c>
      <c r="K410" s="167" t="str">
        <f>IF(ISBLANK(DaqBook_RAW_Data!Z400),"",DaqBook_RAW_Data!Z400)</f>
        <v/>
      </c>
      <c r="L410" s="167" t="str">
        <f>IF(ISBLANK(DaqBook_RAW_Data!AA400),"",DaqBook_RAW_Data!AA400)</f>
        <v/>
      </c>
      <c r="M410" s="167" t="str">
        <f>IF(ISBLANK(DaqBook_RAW_Data!AB400),"",DaqBook_RAW_Data!AB400)</f>
        <v/>
      </c>
      <c r="N410" s="167" t="str">
        <f>IF(ISBLANK(DaqBook_RAW_Data!AC400),"",DaqBook_RAW_Data!AC400)</f>
        <v/>
      </c>
      <c r="O410" s="167" t="str">
        <f>IF(ISBLANK(DaqBook_RAW_Data!AD400),"",DaqBook_RAW_Data!AD400)</f>
        <v/>
      </c>
      <c r="P410" s="167" t="str">
        <f>IF(ISBLANK(DaqBook_RAW_Data!AE400),"",DaqBook_RAW_Data!AE400)</f>
        <v/>
      </c>
    </row>
    <row r="411" spans="1:16" x14ac:dyDescent="0.2">
      <c r="A411" s="58" t="e">
        <f t="shared" si="6"/>
        <v>#VALUE!</v>
      </c>
      <c r="B411" s="144" t="str">
        <f>IF(ISBLANK(DaqBook_RAW_Data!Q401),IF(DaqBook_RAW_Data!A401="","",TIMEVALUE(DaqBook_RAW_Data!A401)),TIMEVALUE(DaqBook_RAW_Data!Q401))</f>
        <v/>
      </c>
      <c r="C411" s="167" t="str">
        <f>IF(ISBLANK(DaqBook_RAW_Data!R401),"",DaqBook_RAW_Data!R401)</f>
        <v/>
      </c>
      <c r="D411" s="167" t="str">
        <f>IF(ISBLANK(DaqBook_RAW_Data!S401),"",DaqBook_RAW_Data!S401)</f>
        <v/>
      </c>
      <c r="E411" s="167" t="str">
        <f>IF(ISBLANK(DaqBook_RAW_Data!T401),"",DaqBook_RAW_Data!T401)</f>
        <v/>
      </c>
      <c r="F411" s="167" t="str">
        <f>IF(ISBLANK(DaqBook_RAW_Data!U401),"",DaqBook_RAW_Data!U401)</f>
        <v/>
      </c>
      <c r="G411" s="167" t="str">
        <f>IF(ISBLANK(DaqBook_RAW_Data!V401),"",DaqBook_RAW_Data!V401)</f>
        <v/>
      </c>
      <c r="H411" s="167" t="str">
        <f>IF(ISBLANK(DaqBook_RAW_Data!W401),"",DaqBook_RAW_Data!W401)</f>
        <v/>
      </c>
      <c r="I411" s="167" t="str">
        <f>IF(ISBLANK(DaqBook_RAW_Data!X401),"",DaqBook_RAW_Data!X401)</f>
        <v/>
      </c>
      <c r="J411" s="167" t="str">
        <f>IF(ISBLANK(DaqBook_RAW_Data!Y401),"",DaqBook_RAW_Data!Y401)</f>
        <v/>
      </c>
      <c r="K411" s="167" t="str">
        <f>IF(ISBLANK(DaqBook_RAW_Data!Z401),"",DaqBook_RAW_Data!Z401)</f>
        <v/>
      </c>
      <c r="L411" s="167" t="str">
        <f>IF(ISBLANK(DaqBook_RAW_Data!AA401),"",DaqBook_RAW_Data!AA401)</f>
        <v/>
      </c>
      <c r="M411" s="167" t="str">
        <f>IF(ISBLANK(DaqBook_RAW_Data!AB401),"",DaqBook_RAW_Data!AB401)</f>
        <v/>
      </c>
      <c r="N411" s="167" t="str">
        <f>IF(ISBLANK(DaqBook_RAW_Data!AC401),"",DaqBook_RAW_Data!AC401)</f>
        <v/>
      </c>
      <c r="O411" s="167" t="str">
        <f>IF(ISBLANK(DaqBook_RAW_Data!AD401),"",DaqBook_RAW_Data!AD401)</f>
        <v/>
      </c>
      <c r="P411" s="167" t="str">
        <f>IF(ISBLANK(DaqBook_RAW_Data!AE401),"",DaqBook_RAW_Data!AE401)</f>
        <v/>
      </c>
    </row>
    <row r="412" spans="1:16" x14ac:dyDescent="0.2">
      <c r="A412" s="58" t="e">
        <f t="shared" si="6"/>
        <v>#VALUE!</v>
      </c>
      <c r="B412" s="144" t="str">
        <f>IF(ISBLANK(DaqBook_RAW_Data!Q402),IF(DaqBook_RAW_Data!A402="","",TIMEVALUE(DaqBook_RAW_Data!A402)),TIMEVALUE(DaqBook_RAW_Data!Q402))</f>
        <v/>
      </c>
      <c r="C412" s="167" t="str">
        <f>IF(ISBLANK(DaqBook_RAW_Data!R402),"",DaqBook_RAW_Data!R402)</f>
        <v/>
      </c>
      <c r="D412" s="167" t="str">
        <f>IF(ISBLANK(DaqBook_RAW_Data!S402),"",DaqBook_RAW_Data!S402)</f>
        <v/>
      </c>
      <c r="E412" s="167" t="str">
        <f>IF(ISBLANK(DaqBook_RAW_Data!T402),"",DaqBook_RAW_Data!T402)</f>
        <v/>
      </c>
      <c r="F412" s="167" t="str">
        <f>IF(ISBLANK(DaqBook_RAW_Data!U402),"",DaqBook_RAW_Data!U402)</f>
        <v/>
      </c>
      <c r="G412" s="167" t="str">
        <f>IF(ISBLANK(DaqBook_RAW_Data!V402),"",DaqBook_RAW_Data!V402)</f>
        <v/>
      </c>
      <c r="H412" s="167" t="str">
        <f>IF(ISBLANK(DaqBook_RAW_Data!W402),"",DaqBook_RAW_Data!W402)</f>
        <v/>
      </c>
      <c r="I412" s="167" t="str">
        <f>IF(ISBLANK(DaqBook_RAW_Data!X402),"",DaqBook_RAW_Data!X402)</f>
        <v/>
      </c>
      <c r="J412" s="167" t="str">
        <f>IF(ISBLANK(DaqBook_RAW_Data!Y402),"",DaqBook_RAW_Data!Y402)</f>
        <v/>
      </c>
      <c r="K412" s="167" t="str">
        <f>IF(ISBLANK(DaqBook_RAW_Data!Z402),"",DaqBook_RAW_Data!Z402)</f>
        <v/>
      </c>
      <c r="L412" s="167" t="str">
        <f>IF(ISBLANK(DaqBook_RAW_Data!AA402),"",DaqBook_RAW_Data!AA402)</f>
        <v/>
      </c>
      <c r="M412" s="167" t="str">
        <f>IF(ISBLANK(DaqBook_RAW_Data!AB402),"",DaqBook_RAW_Data!AB402)</f>
        <v/>
      </c>
      <c r="N412" s="167" t="str">
        <f>IF(ISBLANK(DaqBook_RAW_Data!AC402),"",DaqBook_RAW_Data!AC402)</f>
        <v/>
      </c>
      <c r="O412" s="167" t="str">
        <f>IF(ISBLANK(DaqBook_RAW_Data!AD402),"",DaqBook_RAW_Data!AD402)</f>
        <v/>
      </c>
      <c r="P412" s="167" t="str">
        <f>IF(ISBLANK(DaqBook_RAW_Data!AE402),"",DaqBook_RAW_Data!AE402)</f>
        <v/>
      </c>
    </row>
    <row r="413" spans="1:16" x14ac:dyDescent="0.2">
      <c r="A413" s="58" t="e">
        <f t="shared" si="6"/>
        <v>#VALUE!</v>
      </c>
      <c r="B413" s="144" t="str">
        <f>IF(ISBLANK(DaqBook_RAW_Data!Q403),IF(DaqBook_RAW_Data!A403="","",TIMEVALUE(DaqBook_RAW_Data!A403)),TIMEVALUE(DaqBook_RAW_Data!Q403))</f>
        <v/>
      </c>
      <c r="C413" s="167" t="str">
        <f>IF(ISBLANK(DaqBook_RAW_Data!R403),"",DaqBook_RAW_Data!R403)</f>
        <v/>
      </c>
      <c r="D413" s="167" t="str">
        <f>IF(ISBLANK(DaqBook_RAW_Data!S403),"",DaqBook_RAW_Data!S403)</f>
        <v/>
      </c>
      <c r="E413" s="167" t="str">
        <f>IF(ISBLANK(DaqBook_RAW_Data!T403),"",DaqBook_RAW_Data!T403)</f>
        <v/>
      </c>
      <c r="F413" s="167" t="str">
        <f>IF(ISBLANK(DaqBook_RAW_Data!U403),"",DaqBook_RAW_Data!U403)</f>
        <v/>
      </c>
      <c r="G413" s="167" t="str">
        <f>IF(ISBLANK(DaqBook_RAW_Data!V403),"",DaqBook_RAW_Data!V403)</f>
        <v/>
      </c>
      <c r="H413" s="167" t="str">
        <f>IF(ISBLANK(DaqBook_RAW_Data!W403),"",DaqBook_RAW_Data!W403)</f>
        <v/>
      </c>
      <c r="I413" s="167" t="str">
        <f>IF(ISBLANK(DaqBook_RAW_Data!X403),"",DaqBook_RAW_Data!X403)</f>
        <v/>
      </c>
      <c r="J413" s="167" t="str">
        <f>IF(ISBLANK(DaqBook_RAW_Data!Y403),"",DaqBook_RAW_Data!Y403)</f>
        <v/>
      </c>
      <c r="K413" s="167" t="str">
        <f>IF(ISBLANK(DaqBook_RAW_Data!Z403),"",DaqBook_RAW_Data!Z403)</f>
        <v/>
      </c>
      <c r="L413" s="167" t="str">
        <f>IF(ISBLANK(DaqBook_RAW_Data!AA403),"",DaqBook_RAW_Data!AA403)</f>
        <v/>
      </c>
      <c r="M413" s="167" t="str">
        <f>IF(ISBLANK(DaqBook_RAW_Data!AB403),"",DaqBook_RAW_Data!AB403)</f>
        <v/>
      </c>
      <c r="N413" s="167" t="str">
        <f>IF(ISBLANK(DaqBook_RAW_Data!AC403),"",DaqBook_RAW_Data!AC403)</f>
        <v/>
      </c>
      <c r="O413" s="167" t="str">
        <f>IF(ISBLANK(DaqBook_RAW_Data!AD403),"",DaqBook_RAW_Data!AD403)</f>
        <v/>
      </c>
      <c r="P413" s="167" t="str">
        <f>IF(ISBLANK(DaqBook_RAW_Data!AE403),"",DaqBook_RAW_Data!AE403)</f>
        <v/>
      </c>
    </row>
    <row r="414" spans="1:16" x14ac:dyDescent="0.2">
      <c r="A414" s="58" t="e">
        <f t="shared" si="6"/>
        <v>#VALUE!</v>
      </c>
      <c r="B414" s="144" t="str">
        <f>IF(ISBLANK(DaqBook_RAW_Data!Q404),IF(DaqBook_RAW_Data!A404="","",TIMEVALUE(DaqBook_RAW_Data!A404)),TIMEVALUE(DaqBook_RAW_Data!Q404))</f>
        <v/>
      </c>
      <c r="C414" s="167" t="str">
        <f>IF(ISBLANK(DaqBook_RAW_Data!R404),"",DaqBook_RAW_Data!R404)</f>
        <v/>
      </c>
      <c r="D414" s="167" t="str">
        <f>IF(ISBLANK(DaqBook_RAW_Data!S404),"",DaqBook_RAW_Data!S404)</f>
        <v/>
      </c>
      <c r="E414" s="167" t="str">
        <f>IF(ISBLANK(DaqBook_RAW_Data!T404),"",DaqBook_RAW_Data!T404)</f>
        <v/>
      </c>
      <c r="F414" s="167" t="str">
        <f>IF(ISBLANK(DaqBook_RAW_Data!U404),"",DaqBook_RAW_Data!U404)</f>
        <v/>
      </c>
      <c r="G414" s="167" t="str">
        <f>IF(ISBLANK(DaqBook_RAW_Data!V404),"",DaqBook_RAW_Data!V404)</f>
        <v/>
      </c>
      <c r="H414" s="167" t="str">
        <f>IF(ISBLANK(DaqBook_RAW_Data!W404),"",DaqBook_RAW_Data!W404)</f>
        <v/>
      </c>
      <c r="I414" s="167" t="str">
        <f>IF(ISBLANK(DaqBook_RAW_Data!X404),"",DaqBook_RAW_Data!X404)</f>
        <v/>
      </c>
      <c r="J414" s="167" t="str">
        <f>IF(ISBLANK(DaqBook_RAW_Data!Y404),"",DaqBook_RAW_Data!Y404)</f>
        <v/>
      </c>
      <c r="K414" s="167" t="str">
        <f>IF(ISBLANK(DaqBook_RAW_Data!Z404),"",DaqBook_RAW_Data!Z404)</f>
        <v/>
      </c>
      <c r="L414" s="167" t="str">
        <f>IF(ISBLANK(DaqBook_RAW_Data!AA404),"",DaqBook_RAW_Data!AA404)</f>
        <v/>
      </c>
      <c r="M414" s="167" t="str">
        <f>IF(ISBLANK(DaqBook_RAW_Data!AB404),"",DaqBook_RAW_Data!AB404)</f>
        <v/>
      </c>
      <c r="N414" s="167" t="str">
        <f>IF(ISBLANK(DaqBook_RAW_Data!AC404),"",DaqBook_RAW_Data!AC404)</f>
        <v/>
      </c>
      <c r="O414" s="167" t="str">
        <f>IF(ISBLANK(DaqBook_RAW_Data!AD404),"",DaqBook_RAW_Data!AD404)</f>
        <v/>
      </c>
      <c r="P414" s="167" t="str">
        <f>IF(ISBLANK(DaqBook_RAW_Data!AE404),"",DaqBook_RAW_Data!AE404)</f>
        <v/>
      </c>
    </row>
    <row r="415" spans="1:16" x14ac:dyDescent="0.2">
      <c r="A415" s="58" t="e">
        <f t="shared" si="6"/>
        <v>#VALUE!</v>
      </c>
      <c r="B415" s="144" t="str">
        <f>IF(ISBLANK(DaqBook_RAW_Data!Q405),IF(DaqBook_RAW_Data!A405="","",TIMEVALUE(DaqBook_RAW_Data!A405)),TIMEVALUE(DaqBook_RAW_Data!Q405))</f>
        <v/>
      </c>
      <c r="C415" s="167" t="str">
        <f>IF(ISBLANK(DaqBook_RAW_Data!R405),"",DaqBook_RAW_Data!R405)</f>
        <v/>
      </c>
      <c r="D415" s="167" t="str">
        <f>IF(ISBLANK(DaqBook_RAW_Data!S405),"",DaqBook_RAW_Data!S405)</f>
        <v/>
      </c>
      <c r="E415" s="167" t="str">
        <f>IF(ISBLANK(DaqBook_RAW_Data!T405),"",DaqBook_RAW_Data!T405)</f>
        <v/>
      </c>
      <c r="F415" s="167" t="str">
        <f>IF(ISBLANK(DaqBook_RAW_Data!U405),"",DaqBook_RAW_Data!U405)</f>
        <v/>
      </c>
      <c r="G415" s="167" t="str">
        <f>IF(ISBLANK(DaqBook_RAW_Data!V405),"",DaqBook_RAW_Data!V405)</f>
        <v/>
      </c>
      <c r="H415" s="167" t="str">
        <f>IF(ISBLANK(DaqBook_RAW_Data!W405),"",DaqBook_RAW_Data!W405)</f>
        <v/>
      </c>
      <c r="I415" s="167" t="str">
        <f>IF(ISBLANK(DaqBook_RAW_Data!X405),"",DaqBook_RAW_Data!X405)</f>
        <v/>
      </c>
      <c r="J415" s="167" t="str">
        <f>IF(ISBLANK(DaqBook_RAW_Data!Y405),"",DaqBook_RAW_Data!Y405)</f>
        <v/>
      </c>
      <c r="K415" s="167" t="str">
        <f>IF(ISBLANK(DaqBook_RAW_Data!Z405),"",DaqBook_RAW_Data!Z405)</f>
        <v/>
      </c>
      <c r="L415" s="167" t="str">
        <f>IF(ISBLANK(DaqBook_RAW_Data!AA405),"",DaqBook_RAW_Data!AA405)</f>
        <v/>
      </c>
      <c r="M415" s="167" t="str">
        <f>IF(ISBLANK(DaqBook_RAW_Data!AB405),"",DaqBook_RAW_Data!AB405)</f>
        <v/>
      </c>
      <c r="N415" s="167" t="str">
        <f>IF(ISBLANK(DaqBook_RAW_Data!AC405),"",DaqBook_RAW_Data!AC405)</f>
        <v/>
      </c>
      <c r="O415" s="167" t="str">
        <f>IF(ISBLANK(DaqBook_RAW_Data!AD405),"",DaqBook_RAW_Data!AD405)</f>
        <v/>
      </c>
      <c r="P415" s="167" t="str">
        <f>IF(ISBLANK(DaqBook_RAW_Data!AE405),"",DaqBook_RAW_Data!AE405)</f>
        <v/>
      </c>
    </row>
    <row r="416" spans="1:16" x14ac:dyDescent="0.2">
      <c r="A416" s="58" t="e">
        <f t="shared" si="6"/>
        <v>#VALUE!</v>
      </c>
      <c r="B416" s="144" t="str">
        <f>IF(ISBLANK(DaqBook_RAW_Data!Q406),IF(DaqBook_RAW_Data!A406="","",TIMEVALUE(DaqBook_RAW_Data!A406)),TIMEVALUE(DaqBook_RAW_Data!Q406))</f>
        <v/>
      </c>
      <c r="C416" s="167" t="str">
        <f>IF(ISBLANK(DaqBook_RAW_Data!R406),"",DaqBook_RAW_Data!R406)</f>
        <v/>
      </c>
      <c r="D416" s="167" t="str">
        <f>IF(ISBLANK(DaqBook_RAW_Data!S406),"",DaqBook_RAW_Data!S406)</f>
        <v/>
      </c>
      <c r="E416" s="167" t="str">
        <f>IF(ISBLANK(DaqBook_RAW_Data!T406),"",DaqBook_RAW_Data!T406)</f>
        <v/>
      </c>
      <c r="F416" s="167" t="str">
        <f>IF(ISBLANK(DaqBook_RAW_Data!U406),"",DaqBook_RAW_Data!U406)</f>
        <v/>
      </c>
      <c r="G416" s="167" t="str">
        <f>IF(ISBLANK(DaqBook_RAW_Data!V406),"",DaqBook_RAW_Data!V406)</f>
        <v/>
      </c>
      <c r="H416" s="167" t="str">
        <f>IF(ISBLANK(DaqBook_RAW_Data!W406),"",DaqBook_RAW_Data!W406)</f>
        <v/>
      </c>
      <c r="I416" s="167" t="str">
        <f>IF(ISBLANK(DaqBook_RAW_Data!X406),"",DaqBook_RAW_Data!X406)</f>
        <v/>
      </c>
      <c r="J416" s="167" t="str">
        <f>IF(ISBLANK(DaqBook_RAW_Data!Y406),"",DaqBook_RAW_Data!Y406)</f>
        <v/>
      </c>
      <c r="K416" s="167" t="str">
        <f>IF(ISBLANK(DaqBook_RAW_Data!Z406),"",DaqBook_RAW_Data!Z406)</f>
        <v/>
      </c>
      <c r="L416" s="167" t="str">
        <f>IF(ISBLANK(DaqBook_RAW_Data!AA406),"",DaqBook_RAW_Data!AA406)</f>
        <v/>
      </c>
      <c r="M416" s="167" t="str">
        <f>IF(ISBLANK(DaqBook_RAW_Data!AB406),"",DaqBook_RAW_Data!AB406)</f>
        <v/>
      </c>
      <c r="N416" s="167" t="str">
        <f>IF(ISBLANK(DaqBook_RAW_Data!AC406),"",DaqBook_RAW_Data!AC406)</f>
        <v/>
      </c>
      <c r="O416" s="167" t="str">
        <f>IF(ISBLANK(DaqBook_RAW_Data!AD406),"",DaqBook_RAW_Data!AD406)</f>
        <v/>
      </c>
      <c r="P416" s="167" t="str">
        <f>IF(ISBLANK(DaqBook_RAW_Data!AE406),"",DaqBook_RAW_Data!AE406)</f>
        <v/>
      </c>
    </row>
    <row r="417" spans="1:16" x14ac:dyDescent="0.2">
      <c r="A417" s="58" t="e">
        <f t="shared" si="6"/>
        <v>#VALUE!</v>
      </c>
      <c r="B417" s="144" t="str">
        <f>IF(ISBLANK(DaqBook_RAW_Data!Q407),IF(DaqBook_RAW_Data!A407="","",TIMEVALUE(DaqBook_RAW_Data!A407)),TIMEVALUE(DaqBook_RAW_Data!Q407))</f>
        <v/>
      </c>
      <c r="C417" s="167" t="str">
        <f>IF(ISBLANK(DaqBook_RAW_Data!R407),"",DaqBook_RAW_Data!R407)</f>
        <v/>
      </c>
      <c r="D417" s="167" t="str">
        <f>IF(ISBLANK(DaqBook_RAW_Data!S407),"",DaqBook_RAW_Data!S407)</f>
        <v/>
      </c>
      <c r="E417" s="167" t="str">
        <f>IF(ISBLANK(DaqBook_RAW_Data!T407),"",DaqBook_RAW_Data!T407)</f>
        <v/>
      </c>
      <c r="F417" s="167" t="str">
        <f>IF(ISBLANK(DaqBook_RAW_Data!U407),"",DaqBook_RAW_Data!U407)</f>
        <v/>
      </c>
      <c r="G417" s="167" t="str">
        <f>IF(ISBLANK(DaqBook_RAW_Data!V407),"",DaqBook_RAW_Data!V407)</f>
        <v/>
      </c>
      <c r="H417" s="167" t="str">
        <f>IF(ISBLANK(DaqBook_RAW_Data!W407),"",DaqBook_RAW_Data!W407)</f>
        <v/>
      </c>
      <c r="I417" s="167" t="str">
        <f>IF(ISBLANK(DaqBook_RAW_Data!X407),"",DaqBook_RAW_Data!X407)</f>
        <v/>
      </c>
      <c r="J417" s="167" t="str">
        <f>IF(ISBLANK(DaqBook_RAW_Data!Y407),"",DaqBook_RAW_Data!Y407)</f>
        <v/>
      </c>
      <c r="K417" s="167" t="str">
        <f>IF(ISBLANK(DaqBook_RAW_Data!Z407),"",DaqBook_RAW_Data!Z407)</f>
        <v/>
      </c>
      <c r="L417" s="167" t="str">
        <f>IF(ISBLANK(DaqBook_RAW_Data!AA407),"",DaqBook_RAW_Data!AA407)</f>
        <v/>
      </c>
      <c r="M417" s="167" t="str">
        <f>IF(ISBLANK(DaqBook_RAW_Data!AB407),"",DaqBook_RAW_Data!AB407)</f>
        <v/>
      </c>
      <c r="N417" s="167" t="str">
        <f>IF(ISBLANK(DaqBook_RAW_Data!AC407),"",DaqBook_RAW_Data!AC407)</f>
        <v/>
      </c>
      <c r="O417" s="167" t="str">
        <f>IF(ISBLANK(DaqBook_RAW_Data!AD407),"",DaqBook_RAW_Data!AD407)</f>
        <v/>
      </c>
      <c r="P417" s="167" t="str">
        <f>IF(ISBLANK(DaqBook_RAW_Data!AE407),"",DaqBook_RAW_Data!AE407)</f>
        <v/>
      </c>
    </row>
    <row r="418" spans="1:16" x14ac:dyDescent="0.2">
      <c r="A418" s="58" t="e">
        <f t="shared" si="6"/>
        <v>#VALUE!</v>
      </c>
      <c r="B418" s="144" t="str">
        <f>IF(ISBLANK(DaqBook_RAW_Data!Q408),IF(DaqBook_RAW_Data!A408="","",TIMEVALUE(DaqBook_RAW_Data!A408)),TIMEVALUE(DaqBook_RAW_Data!Q408))</f>
        <v/>
      </c>
      <c r="C418" s="167" t="str">
        <f>IF(ISBLANK(DaqBook_RAW_Data!R408),"",DaqBook_RAW_Data!R408)</f>
        <v/>
      </c>
      <c r="D418" s="167" t="str">
        <f>IF(ISBLANK(DaqBook_RAW_Data!S408),"",DaqBook_RAW_Data!S408)</f>
        <v/>
      </c>
      <c r="E418" s="167" t="str">
        <f>IF(ISBLANK(DaqBook_RAW_Data!T408),"",DaqBook_RAW_Data!T408)</f>
        <v/>
      </c>
      <c r="F418" s="167" t="str">
        <f>IF(ISBLANK(DaqBook_RAW_Data!U408),"",DaqBook_RAW_Data!U408)</f>
        <v/>
      </c>
      <c r="G418" s="167" t="str">
        <f>IF(ISBLANK(DaqBook_RAW_Data!V408),"",DaqBook_RAW_Data!V408)</f>
        <v/>
      </c>
      <c r="H418" s="167" t="str">
        <f>IF(ISBLANK(DaqBook_RAW_Data!W408),"",DaqBook_RAW_Data!W408)</f>
        <v/>
      </c>
      <c r="I418" s="167" t="str">
        <f>IF(ISBLANK(DaqBook_RAW_Data!X408),"",DaqBook_RAW_Data!X408)</f>
        <v/>
      </c>
      <c r="J418" s="167" t="str">
        <f>IF(ISBLANK(DaqBook_RAW_Data!Y408),"",DaqBook_RAW_Data!Y408)</f>
        <v/>
      </c>
      <c r="K418" s="167" t="str">
        <f>IF(ISBLANK(DaqBook_RAW_Data!Z408),"",DaqBook_RAW_Data!Z408)</f>
        <v/>
      </c>
      <c r="L418" s="167" t="str">
        <f>IF(ISBLANK(DaqBook_RAW_Data!AA408),"",DaqBook_RAW_Data!AA408)</f>
        <v/>
      </c>
      <c r="M418" s="167" t="str">
        <f>IF(ISBLANK(DaqBook_RAW_Data!AB408),"",DaqBook_RAW_Data!AB408)</f>
        <v/>
      </c>
      <c r="N418" s="167" t="str">
        <f>IF(ISBLANK(DaqBook_RAW_Data!AC408),"",DaqBook_RAW_Data!AC408)</f>
        <v/>
      </c>
      <c r="O418" s="167" t="str">
        <f>IF(ISBLANK(DaqBook_RAW_Data!AD408),"",DaqBook_RAW_Data!AD408)</f>
        <v/>
      </c>
      <c r="P418" s="167" t="str">
        <f>IF(ISBLANK(DaqBook_RAW_Data!AE408),"",DaqBook_RAW_Data!AE408)</f>
        <v/>
      </c>
    </row>
    <row r="419" spans="1:16" x14ac:dyDescent="0.2">
      <c r="A419" s="58" t="e">
        <f t="shared" si="6"/>
        <v>#VALUE!</v>
      </c>
      <c r="B419" s="144" t="str">
        <f>IF(ISBLANK(DaqBook_RAW_Data!Q409),IF(DaqBook_RAW_Data!A409="","",TIMEVALUE(DaqBook_RAW_Data!A409)),TIMEVALUE(DaqBook_RAW_Data!Q409))</f>
        <v/>
      </c>
      <c r="C419" s="167" t="str">
        <f>IF(ISBLANK(DaqBook_RAW_Data!R409),"",DaqBook_RAW_Data!R409)</f>
        <v/>
      </c>
      <c r="D419" s="167" t="str">
        <f>IF(ISBLANK(DaqBook_RAW_Data!S409),"",DaqBook_RAW_Data!S409)</f>
        <v/>
      </c>
      <c r="E419" s="167" t="str">
        <f>IF(ISBLANK(DaqBook_RAW_Data!T409),"",DaqBook_RAW_Data!T409)</f>
        <v/>
      </c>
      <c r="F419" s="167" t="str">
        <f>IF(ISBLANK(DaqBook_RAW_Data!U409),"",DaqBook_RAW_Data!U409)</f>
        <v/>
      </c>
      <c r="G419" s="167" t="str">
        <f>IF(ISBLANK(DaqBook_RAW_Data!V409),"",DaqBook_RAW_Data!V409)</f>
        <v/>
      </c>
      <c r="H419" s="167" t="str">
        <f>IF(ISBLANK(DaqBook_RAW_Data!W409),"",DaqBook_RAW_Data!W409)</f>
        <v/>
      </c>
      <c r="I419" s="167" t="str">
        <f>IF(ISBLANK(DaqBook_RAW_Data!X409),"",DaqBook_RAW_Data!X409)</f>
        <v/>
      </c>
      <c r="J419" s="167" t="str">
        <f>IF(ISBLANK(DaqBook_RAW_Data!Y409),"",DaqBook_RAW_Data!Y409)</f>
        <v/>
      </c>
      <c r="K419" s="167" t="str">
        <f>IF(ISBLANK(DaqBook_RAW_Data!Z409),"",DaqBook_RAW_Data!Z409)</f>
        <v/>
      </c>
      <c r="L419" s="167" t="str">
        <f>IF(ISBLANK(DaqBook_RAW_Data!AA409),"",DaqBook_RAW_Data!AA409)</f>
        <v/>
      </c>
      <c r="M419" s="167" t="str">
        <f>IF(ISBLANK(DaqBook_RAW_Data!AB409),"",DaqBook_RAW_Data!AB409)</f>
        <v/>
      </c>
      <c r="N419" s="167" t="str">
        <f>IF(ISBLANK(DaqBook_RAW_Data!AC409),"",DaqBook_RAW_Data!AC409)</f>
        <v/>
      </c>
      <c r="O419" s="167" t="str">
        <f>IF(ISBLANK(DaqBook_RAW_Data!AD409),"",DaqBook_RAW_Data!AD409)</f>
        <v/>
      </c>
      <c r="P419" s="167" t="str">
        <f>IF(ISBLANK(DaqBook_RAW_Data!AE409),"",DaqBook_RAW_Data!AE409)</f>
        <v/>
      </c>
    </row>
    <row r="420" spans="1:16" x14ac:dyDescent="0.2">
      <c r="A420" s="58" t="e">
        <f t="shared" si="6"/>
        <v>#VALUE!</v>
      </c>
      <c r="B420" s="144" t="str">
        <f>IF(ISBLANK(DaqBook_RAW_Data!Q410),IF(DaqBook_RAW_Data!A410="","",TIMEVALUE(DaqBook_RAW_Data!A410)),TIMEVALUE(DaqBook_RAW_Data!Q410))</f>
        <v/>
      </c>
      <c r="C420" s="167" t="str">
        <f>IF(ISBLANK(DaqBook_RAW_Data!R410),"",DaqBook_RAW_Data!R410)</f>
        <v/>
      </c>
      <c r="D420" s="167" t="str">
        <f>IF(ISBLANK(DaqBook_RAW_Data!S410),"",DaqBook_RAW_Data!S410)</f>
        <v/>
      </c>
      <c r="E420" s="167" t="str">
        <f>IF(ISBLANK(DaqBook_RAW_Data!T410),"",DaqBook_RAW_Data!T410)</f>
        <v/>
      </c>
      <c r="F420" s="167" t="str">
        <f>IF(ISBLANK(DaqBook_RAW_Data!U410),"",DaqBook_RAW_Data!U410)</f>
        <v/>
      </c>
      <c r="G420" s="167" t="str">
        <f>IF(ISBLANK(DaqBook_RAW_Data!V410),"",DaqBook_RAW_Data!V410)</f>
        <v/>
      </c>
      <c r="H420" s="167" t="str">
        <f>IF(ISBLANK(DaqBook_RAW_Data!W410),"",DaqBook_RAW_Data!W410)</f>
        <v/>
      </c>
      <c r="I420" s="167" t="str">
        <f>IF(ISBLANK(DaqBook_RAW_Data!X410),"",DaqBook_RAW_Data!X410)</f>
        <v/>
      </c>
      <c r="J420" s="167" t="str">
        <f>IF(ISBLANK(DaqBook_RAW_Data!Y410),"",DaqBook_RAW_Data!Y410)</f>
        <v/>
      </c>
      <c r="K420" s="167" t="str">
        <f>IF(ISBLANK(DaqBook_RAW_Data!Z410),"",DaqBook_RAW_Data!Z410)</f>
        <v/>
      </c>
      <c r="L420" s="167" t="str">
        <f>IF(ISBLANK(DaqBook_RAW_Data!AA410),"",DaqBook_RAW_Data!AA410)</f>
        <v/>
      </c>
      <c r="M420" s="167" t="str">
        <f>IF(ISBLANK(DaqBook_RAW_Data!AB410),"",DaqBook_RAW_Data!AB410)</f>
        <v/>
      </c>
      <c r="N420" s="167" t="str">
        <f>IF(ISBLANK(DaqBook_RAW_Data!AC410),"",DaqBook_RAW_Data!AC410)</f>
        <v/>
      </c>
      <c r="O420" s="167" t="str">
        <f>IF(ISBLANK(DaqBook_RAW_Data!AD410),"",DaqBook_RAW_Data!AD410)</f>
        <v/>
      </c>
      <c r="P420" s="167" t="str">
        <f>IF(ISBLANK(DaqBook_RAW_Data!AE410),"",DaqBook_RAW_Data!AE410)</f>
        <v/>
      </c>
    </row>
    <row r="421" spans="1:16" x14ac:dyDescent="0.2">
      <c r="A421" s="58" t="e">
        <f t="shared" si="6"/>
        <v>#VALUE!</v>
      </c>
      <c r="B421" s="144" t="str">
        <f>IF(ISBLANK(DaqBook_RAW_Data!Q411),IF(DaqBook_RAW_Data!A411="","",TIMEVALUE(DaqBook_RAW_Data!A411)),TIMEVALUE(DaqBook_RAW_Data!Q411))</f>
        <v/>
      </c>
      <c r="C421" s="167" t="str">
        <f>IF(ISBLANK(DaqBook_RAW_Data!R411),"",DaqBook_RAW_Data!R411)</f>
        <v/>
      </c>
      <c r="D421" s="167" t="str">
        <f>IF(ISBLANK(DaqBook_RAW_Data!S411),"",DaqBook_RAW_Data!S411)</f>
        <v/>
      </c>
      <c r="E421" s="167" t="str">
        <f>IF(ISBLANK(DaqBook_RAW_Data!T411),"",DaqBook_RAW_Data!T411)</f>
        <v/>
      </c>
      <c r="F421" s="167" t="str">
        <f>IF(ISBLANK(DaqBook_RAW_Data!U411),"",DaqBook_RAW_Data!U411)</f>
        <v/>
      </c>
      <c r="G421" s="167" t="str">
        <f>IF(ISBLANK(DaqBook_RAW_Data!V411),"",DaqBook_RAW_Data!V411)</f>
        <v/>
      </c>
      <c r="H421" s="167" t="str">
        <f>IF(ISBLANK(DaqBook_RAW_Data!W411),"",DaqBook_RAW_Data!W411)</f>
        <v/>
      </c>
      <c r="I421" s="167" t="str">
        <f>IF(ISBLANK(DaqBook_RAW_Data!X411),"",DaqBook_RAW_Data!X411)</f>
        <v/>
      </c>
      <c r="J421" s="167" t="str">
        <f>IF(ISBLANK(DaqBook_RAW_Data!Y411),"",DaqBook_RAW_Data!Y411)</f>
        <v/>
      </c>
      <c r="K421" s="167" t="str">
        <f>IF(ISBLANK(DaqBook_RAW_Data!Z411),"",DaqBook_RAW_Data!Z411)</f>
        <v/>
      </c>
      <c r="L421" s="167" t="str">
        <f>IF(ISBLANK(DaqBook_RAW_Data!AA411),"",DaqBook_RAW_Data!AA411)</f>
        <v/>
      </c>
      <c r="M421" s="167" t="str">
        <f>IF(ISBLANK(DaqBook_RAW_Data!AB411),"",DaqBook_RAW_Data!AB411)</f>
        <v/>
      </c>
      <c r="N421" s="167" t="str">
        <f>IF(ISBLANK(DaqBook_RAW_Data!AC411),"",DaqBook_RAW_Data!AC411)</f>
        <v/>
      </c>
      <c r="O421" s="167" t="str">
        <f>IF(ISBLANK(DaqBook_RAW_Data!AD411),"",DaqBook_RAW_Data!AD411)</f>
        <v/>
      </c>
      <c r="P421" s="167" t="str">
        <f>IF(ISBLANK(DaqBook_RAW_Data!AE411),"",DaqBook_RAW_Data!AE411)</f>
        <v/>
      </c>
    </row>
    <row r="422" spans="1:16" x14ac:dyDescent="0.2">
      <c r="A422" s="58" t="e">
        <f t="shared" si="6"/>
        <v>#VALUE!</v>
      </c>
      <c r="B422" s="144" t="str">
        <f>IF(ISBLANK(DaqBook_RAW_Data!Q412),IF(DaqBook_RAW_Data!A412="","",TIMEVALUE(DaqBook_RAW_Data!A412)),TIMEVALUE(DaqBook_RAW_Data!Q412))</f>
        <v/>
      </c>
      <c r="C422" s="167" t="str">
        <f>IF(ISBLANK(DaqBook_RAW_Data!R412),"",DaqBook_RAW_Data!R412)</f>
        <v/>
      </c>
      <c r="D422" s="167" t="str">
        <f>IF(ISBLANK(DaqBook_RAW_Data!S412),"",DaqBook_RAW_Data!S412)</f>
        <v/>
      </c>
      <c r="E422" s="167" t="str">
        <f>IF(ISBLANK(DaqBook_RAW_Data!T412),"",DaqBook_RAW_Data!T412)</f>
        <v/>
      </c>
      <c r="F422" s="167" t="str">
        <f>IF(ISBLANK(DaqBook_RAW_Data!U412),"",DaqBook_RAW_Data!U412)</f>
        <v/>
      </c>
      <c r="G422" s="167" t="str">
        <f>IF(ISBLANK(DaqBook_RAW_Data!V412),"",DaqBook_RAW_Data!V412)</f>
        <v/>
      </c>
      <c r="H422" s="167" t="str">
        <f>IF(ISBLANK(DaqBook_RAW_Data!W412),"",DaqBook_RAW_Data!W412)</f>
        <v/>
      </c>
      <c r="I422" s="167" t="str">
        <f>IF(ISBLANK(DaqBook_RAW_Data!X412),"",DaqBook_RAW_Data!X412)</f>
        <v/>
      </c>
      <c r="J422" s="167" t="str">
        <f>IF(ISBLANK(DaqBook_RAW_Data!Y412),"",DaqBook_RAW_Data!Y412)</f>
        <v/>
      </c>
      <c r="K422" s="167" t="str">
        <f>IF(ISBLANK(DaqBook_RAW_Data!Z412),"",DaqBook_RAW_Data!Z412)</f>
        <v/>
      </c>
      <c r="L422" s="167" t="str">
        <f>IF(ISBLANK(DaqBook_RAW_Data!AA412),"",DaqBook_RAW_Data!AA412)</f>
        <v/>
      </c>
      <c r="M422" s="167" t="str">
        <f>IF(ISBLANK(DaqBook_RAW_Data!AB412),"",DaqBook_RAW_Data!AB412)</f>
        <v/>
      </c>
      <c r="N422" s="167" t="str">
        <f>IF(ISBLANK(DaqBook_RAW_Data!AC412),"",DaqBook_RAW_Data!AC412)</f>
        <v/>
      </c>
      <c r="O422" s="167" t="str">
        <f>IF(ISBLANK(DaqBook_RAW_Data!AD412),"",DaqBook_RAW_Data!AD412)</f>
        <v/>
      </c>
      <c r="P422" s="167" t="str">
        <f>IF(ISBLANK(DaqBook_RAW_Data!AE412),"",DaqBook_RAW_Data!AE412)</f>
        <v/>
      </c>
    </row>
    <row r="423" spans="1:16" x14ac:dyDescent="0.2">
      <c r="A423" s="58" t="e">
        <f t="shared" si="6"/>
        <v>#VALUE!</v>
      </c>
      <c r="B423" s="144" t="str">
        <f>IF(ISBLANK(DaqBook_RAW_Data!Q413),IF(DaqBook_RAW_Data!A413="","",TIMEVALUE(DaqBook_RAW_Data!A413)),TIMEVALUE(DaqBook_RAW_Data!Q413))</f>
        <v/>
      </c>
      <c r="C423" s="167" t="str">
        <f>IF(ISBLANK(DaqBook_RAW_Data!R413),"",DaqBook_RAW_Data!R413)</f>
        <v/>
      </c>
      <c r="D423" s="167" t="str">
        <f>IF(ISBLANK(DaqBook_RAW_Data!S413),"",DaqBook_RAW_Data!S413)</f>
        <v/>
      </c>
      <c r="E423" s="167" t="str">
        <f>IF(ISBLANK(DaqBook_RAW_Data!T413),"",DaqBook_RAW_Data!T413)</f>
        <v/>
      </c>
      <c r="F423" s="167" t="str">
        <f>IF(ISBLANK(DaqBook_RAW_Data!U413),"",DaqBook_RAW_Data!U413)</f>
        <v/>
      </c>
      <c r="G423" s="167" t="str">
        <f>IF(ISBLANK(DaqBook_RAW_Data!V413),"",DaqBook_RAW_Data!V413)</f>
        <v/>
      </c>
      <c r="H423" s="167" t="str">
        <f>IF(ISBLANK(DaqBook_RAW_Data!W413),"",DaqBook_RAW_Data!W413)</f>
        <v/>
      </c>
      <c r="I423" s="167" t="str">
        <f>IF(ISBLANK(DaqBook_RAW_Data!X413),"",DaqBook_RAW_Data!X413)</f>
        <v/>
      </c>
      <c r="J423" s="167" t="str">
        <f>IF(ISBLANK(DaqBook_RAW_Data!Y413),"",DaqBook_RAW_Data!Y413)</f>
        <v/>
      </c>
      <c r="K423" s="167" t="str">
        <f>IF(ISBLANK(DaqBook_RAW_Data!Z413),"",DaqBook_RAW_Data!Z413)</f>
        <v/>
      </c>
      <c r="L423" s="167" t="str">
        <f>IF(ISBLANK(DaqBook_RAW_Data!AA413),"",DaqBook_RAW_Data!AA413)</f>
        <v/>
      </c>
      <c r="M423" s="167" t="str">
        <f>IF(ISBLANK(DaqBook_RAW_Data!AB413),"",DaqBook_RAW_Data!AB413)</f>
        <v/>
      </c>
      <c r="N423" s="167" t="str">
        <f>IF(ISBLANK(DaqBook_RAW_Data!AC413),"",DaqBook_RAW_Data!AC413)</f>
        <v/>
      </c>
      <c r="O423" s="167" t="str">
        <f>IF(ISBLANK(DaqBook_RAW_Data!AD413),"",DaqBook_RAW_Data!AD413)</f>
        <v/>
      </c>
      <c r="P423" s="167" t="str">
        <f>IF(ISBLANK(DaqBook_RAW_Data!AE413),"",DaqBook_RAW_Data!AE413)</f>
        <v/>
      </c>
    </row>
    <row r="424" spans="1:16" x14ac:dyDescent="0.2">
      <c r="A424" s="58" t="e">
        <f t="shared" si="6"/>
        <v>#VALUE!</v>
      </c>
      <c r="B424" s="144" t="str">
        <f>IF(ISBLANK(DaqBook_RAW_Data!Q414),IF(DaqBook_RAW_Data!A414="","",TIMEVALUE(DaqBook_RAW_Data!A414)),TIMEVALUE(DaqBook_RAW_Data!Q414))</f>
        <v/>
      </c>
      <c r="C424" s="167" t="str">
        <f>IF(ISBLANK(DaqBook_RAW_Data!R414),"",DaqBook_RAW_Data!R414)</f>
        <v/>
      </c>
      <c r="D424" s="167" t="str">
        <f>IF(ISBLANK(DaqBook_RAW_Data!S414),"",DaqBook_RAW_Data!S414)</f>
        <v/>
      </c>
      <c r="E424" s="167" t="str">
        <f>IF(ISBLANK(DaqBook_RAW_Data!T414),"",DaqBook_RAW_Data!T414)</f>
        <v/>
      </c>
      <c r="F424" s="167" t="str">
        <f>IF(ISBLANK(DaqBook_RAW_Data!U414),"",DaqBook_RAW_Data!U414)</f>
        <v/>
      </c>
      <c r="G424" s="167" t="str">
        <f>IF(ISBLANK(DaqBook_RAW_Data!V414),"",DaqBook_RAW_Data!V414)</f>
        <v/>
      </c>
      <c r="H424" s="167" t="str">
        <f>IF(ISBLANK(DaqBook_RAW_Data!W414),"",DaqBook_RAW_Data!W414)</f>
        <v/>
      </c>
      <c r="I424" s="167" t="str">
        <f>IF(ISBLANK(DaqBook_RAW_Data!X414),"",DaqBook_RAW_Data!X414)</f>
        <v/>
      </c>
      <c r="J424" s="167" t="str">
        <f>IF(ISBLANK(DaqBook_RAW_Data!Y414),"",DaqBook_RAW_Data!Y414)</f>
        <v/>
      </c>
      <c r="K424" s="167" t="str">
        <f>IF(ISBLANK(DaqBook_RAW_Data!Z414),"",DaqBook_RAW_Data!Z414)</f>
        <v/>
      </c>
      <c r="L424" s="167" t="str">
        <f>IF(ISBLANK(DaqBook_RAW_Data!AA414),"",DaqBook_RAW_Data!AA414)</f>
        <v/>
      </c>
      <c r="M424" s="167" t="str">
        <f>IF(ISBLANK(DaqBook_RAW_Data!AB414),"",DaqBook_RAW_Data!AB414)</f>
        <v/>
      </c>
      <c r="N424" s="167" t="str">
        <f>IF(ISBLANK(DaqBook_RAW_Data!AC414),"",DaqBook_RAW_Data!AC414)</f>
        <v/>
      </c>
      <c r="O424" s="167" t="str">
        <f>IF(ISBLANK(DaqBook_RAW_Data!AD414),"",DaqBook_RAW_Data!AD414)</f>
        <v/>
      </c>
      <c r="P424" s="167" t="str">
        <f>IF(ISBLANK(DaqBook_RAW_Data!AE414),"",DaqBook_RAW_Data!AE414)</f>
        <v/>
      </c>
    </row>
    <row r="425" spans="1:16" x14ac:dyDescent="0.2">
      <c r="A425" s="58" t="e">
        <f t="shared" si="6"/>
        <v>#VALUE!</v>
      </c>
      <c r="B425" s="144" t="str">
        <f>IF(ISBLANK(DaqBook_RAW_Data!Q415),IF(DaqBook_RAW_Data!A415="","",TIMEVALUE(DaqBook_RAW_Data!A415)),TIMEVALUE(DaqBook_RAW_Data!Q415))</f>
        <v/>
      </c>
      <c r="C425" s="167" t="str">
        <f>IF(ISBLANK(DaqBook_RAW_Data!R415),"",DaqBook_RAW_Data!R415)</f>
        <v/>
      </c>
      <c r="D425" s="167" t="str">
        <f>IF(ISBLANK(DaqBook_RAW_Data!S415),"",DaqBook_RAW_Data!S415)</f>
        <v/>
      </c>
      <c r="E425" s="167" t="str">
        <f>IF(ISBLANK(DaqBook_RAW_Data!T415),"",DaqBook_RAW_Data!T415)</f>
        <v/>
      </c>
      <c r="F425" s="167" t="str">
        <f>IF(ISBLANK(DaqBook_RAW_Data!U415),"",DaqBook_RAW_Data!U415)</f>
        <v/>
      </c>
      <c r="G425" s="167" t="str">
        <f>IF(ISBLANK(DaqBook_RAW_Data!V415),"",DaqBook_RAW_Data!V415)</f>
        <v/>
      </c>
      <c r="H425" s="167" t="str">
        <f>IF(ISBLANK(DaqBook_RAW_Data!W415),"",DaqBook_RAW_Data!W415)</f>
        <v/>
      </c>
      <c r="I425" s="167" t="str">
        <f>IF(ISBLANK(DaqBook_RAW_Data!X415),"",DaqBook_RAW_Data!X415)</f>
        <v/>
      </c>
      <c r="J425" s="167" t="str">
        <f>IF(ISBLANK(DaqBook_RAW_Data!Y415),"",DaqBook_RAW_Data!Y415)</f>
        <v/>
      </c>
      <c r="K425" s="167" t="str">
        <f>IF(ISBLANK(DaqBook_RAW_Data!Z415),"",DaqBook_RAW_Data!Z415)</f>
        <v/>
      </c>
      <c r="L425" s="167" t="str">
        <f>IF(ISBLANK(DaqBook_RAW_Data!AA415),"",DaqBook_RAW_Data!AA415)</f>
        <v/>
      </c>
      <c r="M425" s="167" t="str">
        <f>IF(ISBLANK(DaqBook_RAW_Data!AB415),"",DaqBook_RAW_Data!AB415)</f>
        <v/>
      </c>
      <c r="N425" s="167" t="str">
        <f>IF(ISBLANK(DaqBook_RAW_Data!AC415),"",DaqBook_RAW_Data!AC415)</f>
        <v/>
      </c>
      <c r="O425" s="167" t="str">
        <f>IF(ISBLANK(DaqBook_RAW_Data!AD415),"",DaqBook_RAW_Data!AD415)</f>
        <v/>
      </c>
      <c r="P425" s="167" t="str">
        <f>IF(ISBLANK(DaqBook_RAW_Data!AE415),"",DaqBook_RAW_Data!AE415)</f>
        <v/>
      </c>
    </row>
    <row r="426" spans="1:16" x14ac:dyDescent="0.2">
      <c r="A426" s="58" t="e">
        <f t="shared" si="6"/>
        <v>#VALUE!</v>
      </c>
      <c r="B426" s="144" t="str">
        <f>IF(ISBLANK(DaqBook_RAW_Data!Q416),IF(DaqBook_RAW_Data!A416="","",TIMEVALUE(DaqBook_RAW_Data!A416)),TIMEVALUE(DaqBook_RAW_Data!Q416))</f>
        <v/>
      </c>
      <c r="C426" s="167" t="str">
        <f>IF(ISBLANK(DaqBook_RAW_Data!R416),"",DaqBook_RAW_Data!R416)</f>
        <v/>
      </c>
      <c r="D426" s="167" t="str">
        <f>IF(ISBLANK(DaqBook_RAW_Data!S416),"",DaqBook_RAW_Data!S416)</f>
        <v/>
      </c>
      <c r="E426" s="167" t="str">
        <f>IF(ISBLANK(DaqBook_RAW_Data!T416),"",DaqBook_RAW_Data!T416)</f>
        <v/>
      </c>
      <c r="F426" s="167" t="str">
        <f>IF(ISBLANK(DaqBook_RAW_Data!U416),"",DaqBook_RAW_Data!U416)</f>
        <v/>
      </c>
      <c r="G426" s="167" t="str">
        <f>IF(ISBLANK(DaqBook_RAW_Data!V416),"",DaqBook_RAW_Data!V416)</f>
        <v/>
      </c>
      <c r="H426" s="167" t="str">
        <f>IF(ISBLANK(DaqBook_RAW_Data!W416),"",DaqBook_RAW_Data!W416)</f>
        <v/>
      </c>
      <c r="I426" s="167" t="str">
        <f>IF(ISBLANK(DaqBook_RAW_Data!X416),"",DaqBook_RAW_Data!X416)</f>
        <v/>
      </c>
      <c r="J426" s="167" t="str">
        <f>IF(ISBLANK(DaqBook_RAW_Data!Y416),"",DaqBook_RAW_Data!Y416)</f>
        <v/>
      </c>
      <c r="K426" s="167" t="str">
        <f>IF(ISBLANK(DaqBook_RAW_Data!Z416),"",DaqBook_RAW_Data!Z416)</f>
        <v/>
      </c>
      <c r="L426" s="167" t="str">
        <f>IF(ISBLANK(DaqBook_RAW_Data!AA416),"",DaqBook_RAW_Data!AA416)</f>
        <v/>
      </c>
      <c r="M426" s="167" t="str">
        <f>IF(ISBLANK(DaqBook_RAW_Data!AB416),"",DaqBook_RAW_Data!AB416)</f>
        <v/>
      </c>
      <c r="N426" s="167" t="str">
        <f>IF(ISBLANK(DaqBook_RAW_Data!AC416),"",DaqBook_RAW_Data!AC416)</f>
        <v/>
      </c>
      <c r="O426" s="167" t="str">
        <f>IF(ISBLANK(DaqBook_RAW_Data!AD416),"",DaqBook_RAW_Data!AD416)</f>
        <v/>
      </c>
      <c r="P426" s="167" t="str">
        <f>IF(ISBLANK(DaqBook_RAW_Data!AE416),"",DaqBook_RAW_Data!AE416)</f>
        <v/>
      </c>
    </row>
    <row r="427" spans="1:16" x14ac:dyDescent="0.2">
      <c r="A427" s="58" t="e">
        <f t="shared" si="6"/>
        <v>#VALUE!</v>
      </c>
      <c r="B427" s="144" t="str">
        <f>IF(ISBLANK(DaqBook_RAW_Data!Q417),IF(DaqBook_RAW_Data!A417="","",TIMEVALUE(DaqBook_RAW_Data!A417)),TIMEVALUE(DaqBook_RAW_Data!Q417))</f>
        <v/>
      </c>
      <c r="C427" s="167" t="str">
        <f>IF(ISBLANK(DaqBook_RAW_Data!R417),"",DaqBook_RAW_Data!R417)</f>
        <v/>
      </c>
      <c r="D427" s="167" t="str">
        <f>IF(ISBLANK(DaqBook_RAW_Data!S417),"",DaqBook_RAW_Data!S417)</f>
        <v/>
      </c>
      <c r="E427" s="167" t="str">
        <f>IF(ISBLANK(DaqBook_RAW_Data!T417),"",DaqBook_RAW_Data!T417)</f>
        <v/>
      </c>
      <c r="F427" s="167" t="str">
        <f>IF(ISBLANK(DaqBook_RAW_Data!U417),"",DaqBook_RAW_Data!U417)</f>
        <v/>
      </c>
      <c r="G427" s="167" t="str">
        <f>IF(ISBLANK(DaqBook_RAW_Data!V417),"",DaqBook_RAW_Data!V417)</f>
        <v/>
      </c>
      <c r="H427" s="167" t="str">
        <f>IF(ISBLANK(DaqBook_RAW_Data!W417),"",DaqBook_RAW_Data!W417)</f>
        <v/>
      </c>
      <c r="I427" s="167" t="str">
        <f>IF(ISBLANK(DaqBook_RAW_Data!X417),"",DaqBook_RAW_Data!X417)</f>
        <v/>
      </c>
      <c r="J427" s="167" t="str">
        <f>IF(ISBLANK(DaqBook_RAW_Data!Y417),"",DaqBook_RAW_Data!Y417)</f>
        <v/>
      </c>
      <c r="K427" s="167" t="str">
        <f>IF(ISBLANK(DaqBook_RAW_Data!Z417),"",DaqBook_RAW_Data!Z417)</f>
        <v/>
      </c>
      <c r="L427" s="167" t="str">
        <f>IF(ISBLANK(DaqBook_RAW_Data!AA417),"",DaqBook_RAW_Data!AA417)</f>
        <v/>
      </c>
      <c r="M427" s="167" t="str">
        <f>IF(ISBLANK(DaqBook_RAW_Data!AB417),"",DaqBook_RAW_Data!AB417)</f>
        <v/>
      </c>
      <c r="N427" s="167" t="str">
        <f>IF(ISBLANK(DaqBook_RAW_Data!AC417),"",DaqBook_RAW_Data!AC417)</f>
        <v/>
      </c>
      <c r="O427" s="167" t="str">
        <f>IF(ISBLANK(DaqBook_RAW_Data!AD417),"",DaqBook_RAW_Data!AD417)</f>
        <v/>
      </c>
      <c r="P427" s="167" t="str">
        <f>IF(ISBLANK(DaqBook_RAW_Data!AE417),"",DaqBook_RAW_Data!AE417)</f>
        <v/>
      </c>
    </row>
    <row r="428" spans="1:16" x14ac:dyDescent="0.2">
      <c r="A428" s="58" t="e">
        <f t="shared" si="6"/>
        <v>#VALUE!</v>
      </c>
      <c r="B428" s="144" t="str">
        <f>IF(ISBLANK(DaqBook_RAW_Data!Q418),IF(DaqBook_RAW_Data!A418="","",TIMEVALUE(DaqBook_RAW_Data!A418)),TIMEVALUE(DaqBook_RAW_Data!Q418))</f>
        <v/>
      </c>
      <c r="C428" s="167" t="str">
        <f>IF(ISBLANK(DaqBook_RAW_Data!R418),"",DaqBook_RAW_Data!R418)</f>
        <v/>
      </c>
      <c r="D428" s="167" t="str">
        <f>IF(ISBLANK(DaqBook_RAW_Data!S418),"",DaqBook_RAW_Data!S418)</f>
        <v/>
      </c>
      <c r="E428" s="167" t="str">
        <f>IF(ISBLANK(DaqBook_RAW_Data!T418),"",DaqBook_RAW_Data!T418)</f>
        <v/>
      </c>
      <c r="F428" s="167" t="str">
        <f>IF(ISBLANK(DaqBook_RAW_Data!U418),"",DaqBook_RAW_Data!U418)</f>
        <v/>
      </c>
      <c r="G428" s="167" t="str">
        <f>IF(ISBLANK(DaqBook_RAW_Data!V418),"",DaqBook_RAW_Data!V418)</f>
        <v/>
      </c>
      <c r="H428" s="167" t="str">
        <f>IF(ISBLANK(DaqBook_RAW_Data!W418),"",DaqBook_RAW_Data!W418)</f>
        <v/>
      </c>
      <c r="I428" s="167" t="str">
        <f>IF(ISBLANK(DaqBook_RAW_Data!X418),"",DaqBook_RAW_Data!X418)</f>
        <v/>
      </c>
      <c r="J428" s="167" t="str">
        <f>IF(ISBLANK(DaqBook_RAW_Data!Y418),"",DaqBook_RAW_Data!Y418)</f>
        <v/>
      </c>
      <c r="K428" s="167" t="str">
        <f>IF(ISBLANK(DaqBook_RAW_Data!Z418),"",DaqBook_RAW_Data!Z418)</f>
        <v/>
      </c>
      <c r="L428" s="167" t="str">
        <f>IF(ISBLANK(DaqBook_RAW_Data!AA418),"",DaqBook_RAW_Data!AA418)</f>
        <v/>
      </c>
      <c r="M428" s="167" t="str">
        <f>IF(ISBLANK(DaqBook_RAW_Data!AB418),"",DaqBook_RAW_Data!AB418)</f>
        <v/>
      </c>
      <c r="N428" s="167" t="str">
        <f>IF(ISBLANK(DaqBook_RAW_Data!AC418),"",DaqBook_RAW_Data!AC418)</f>
        <v/>
      </c>
      <c r="O428" s="167" t="str">
        <f>IF(ISBLANK(DaqBook_RAW_Data!AD418),"",DaqBook_RAW_Data!AD418)</f>
        <v/>
      </c>
      <c r="P428" s="167" t="str">
        <f>IF(ISBLANK(DaqBook_RAW_Data!AE418),"",DaqBook_RAW_Data!AE418)</f>
        <v/>
      </c>
    </row>
    <row r="429" spans="1:16" x14ac:dyDescent="0.2">
      <c r="A429" s="58" t="e">
        <f t="shared" si="6"/>
        <v>#VALUE!</v>
      </c>
      <c r="B429" s="144" t="str">
        <f>IF(ISBLANK(DaqBook_RAW_Data!Q419),IF(DaqBook_RAW_Data!A419="","",TIMEVALUE(DaqBook_RAW_Data!A419)),TIMEVALUE(DaqBook_RAW_Data!Q419))</f>
        <v/>
      </c>
      <c r="C429" s="167" t="str">
        <f>IF(ISBLANK(DaqBook_RAW_Data!R419),"",DaqBook_RAW_Data!R419)</f>
        <v/>
      </c>
      <c r="D429" s="167" t="str">
        <f>IF(ISBLANK(DaqBook_RAW_Data!S419),"",DaqBook_RAW_Data!S419)</f>
        <v/>
      </c>
      <c r="E429" s="167" t="str">
        <f>IF(ISBLANK(DaqBook_RAW_Data!T419),"",DaqBook_RAW_Data!T419)</f>
        <v/>
      </c>
      <c r="F429" s="167" t="str">
        <f>IF(ISBLANK(DaqBook_RAW_Data!U419),"",DaqBook_RAW_Data!U419)</f>
        <v/>
      </c>
      <c r="G429" s="167" t="str">
        <f>IF(ISBLANK(DaqBook_RAW_Data!V419),"",DaqBook_RAW_Data!V419)</f>
        <v/>
      </c>
      <c r="H429" s="167" t="str">
        <f>IF(ISBLANK(DaqBook_RAW_Data!W419),"",DaqBook_RAW_Data!W419)</f>
        <v/>
      </c>
      <c r="I429" s="167" t="str">
        <f>IF(ISBLANK(DaqBook_RAW_Data!X419),"",DaqBook_RAW_Data!X419)</f>
        <v/>
      </c>
      <c r="J429" s="167" t="str">
        <f>IF(ISBLANK(DaqBook_RAW_Data!Y419),"",DaqBook_RAW_Data!Y419)</f>
        <v/>
      </c>
      <c r="K429" s="167" t="str">
        <f>IF(ISBLANK(DaqBook_RAW_Data!Z419),"",DaqBook_RAW_Data!Z419)</f>
        <v/>
      </c>
      <c r="L429" s="167" t="str">
        <f>IF(ISBLANK(DaqBook_RAW_Data!AA419),"",DaqBook_RAW_Data!AA419)</f>
        <v/>
      </c>
      <c r="M429" s="167" t="str">
        <f>IF(ISBLANK(DaqBook_RAW_Data!AB419),"",DaqBook_RAW_Data!AB419)</f>
        <v/>
      </c>
      <c r="N429" s="167" t="str">
        <f>IF(ISBLANK(DaqBook_RAW_Data!AC419),"",DaqBook_RAW_Data!AC419)</f>
        <v/>
      </c>
      <c r="O429" s="167" t="str">
        <f>IF(ISBLANK(DaqBook_RAW_Data!AD419),"",DaqBook_RAW_Data!AD419)</f>
        <v/>
      </c>
      <c r="P429" s="167" t="str">
        <f>IF(ISBLANK(DaqBook_RAW_Data!AE419),"",DaqBook_RAW_Data!AE419)</f>
        <v/>
      </c>
    </row>
    <row r="430" spans="1:16" x14ac:dyDescent="0.2">
      <c r="A430" s="58" t="e">
        <f t="shared" si="6"/>
        <v>#VALUE!</v>
      </c>
      <c r="B430" s="144" t="str">
        <f>IF(ISBLANK(DaqBook_RAW_Data!Q420),IF(DaqBook_RAW_Data!A420="","",TIMEVALUE(DaqBook_RAW_Data!A420)),TIMEVALUE(DaqBook_RAW_Data!Q420))</f>
        <v/>
      </c>
      <c r="C430" s="167" t="str">
        <f>IF(ISBLANK(DaqBook_RAW_Data!R420),"",DaqBook_RAW_Data!R420)</f>
        <v/>
      </c>
      <c r="D430" s="167" t="str">
        <f>IF(ISBLANK(DaqBook_RAW_Data!S420),"",DaqBook_RAW_Data!S420)</f>
        <v/>
      </c>
      <c r="E430" s="167" t="str">
        <f>IF(ISBLANK(DaqBook_RAW_Data!T420),"",DaqBook_RAW_Data!T420)</f>
        <v/>
      </c>
      <c r="F430" s="167" t="str">
        <f>IF(ISBLANK(DaqBook_RAW_Data!U420),"",DaqBook_RAW_Data!U420)</f>
        <v/>
      </c>
      <c r="G430" s="167" t="str">
        <f>IF(ISBLANK(DaqBook_RAW_Data!V420),"",DaqBook_RAW_Data!V420)</f>
        <v/>
      </c>
      <c r="H430" s="167" t="str">
        <f>IF(ISBLANK(DaqBook_RAW_Data!W420),"",DaqBook_RAW_Data!W420)</f>
        <v/>
      </c>
      <c r="I430" s="167" t="str">
        <f>IF(ISBLANK(DaqBook_RAW_Data!X420),"",DaqBook_RAW_Data!X420)</f>
        <v/>
      </c>
      <c r="J430" s="167" t="str">
        <f>IF(ISBLANK(DaqBook_RAW_Data!Y420),"",DaqBook_RAW_Data!Y420)</f>
        <v/>
      </c>
      <c r="K430" s="167" t="str">
        <f>IF(ISBLANK(DaqBook_RAW_Data!Z420),"",DaqBook_RAW_Data!Z420)</f>
        <v/>
      </c>
      <c r="L430" s="167" t="str">
        <f>IF(ISBLANK(DaqBook_RAW_Data!AA420),"",DaqBook_RAW_Data!AA420)</f>
        <v/>
      </c>
      <c r="M430" s="167" t="str">
        <f>IF(ISBLANK(DaqBook_RAW_Data!AB420),"",DaqBook_RAW_Data!AB420)</f>
        <v/>
      </c>
      <c r="N430" s="167" t="str">
        <f>IF(ISBLANK(DaqBook_RAW_Data!AC420),"",DaqBook_RAW_Data!AC420)</f>
        <v/>
      </c>
      <c r="O430" s="167" t="str">
        <f>IF(ISBLANK(DaqBook_RAW_Data!AD420),"",DaqBook_RAW_Data!AD420)</f>
        <v/>
      </c>
      <c r="P430" s="167" t="str">
        <f>IF(ISBLANK(DaqBook_RAW_Data!AE420),"",DaqBook_RAW_Data!AE420)</f>
        <v/>
      </c>
    </row>
    <row r="431" spans="1:16" x14ac:dyDescent="0.2">
      <c r="A431" s="58" t="e">
        <f t="shared" si="6"/>
        <v>#VALUE!</v>
      </c>
      <c r="B431" s="144" t="str">
        <f>IF(ISBLANK(DaqBook_RAW_Data!Q421),IF(DaqBook_RAW_Data!A421="","",TIMEVALUE(DaqBook_RAW_Data!A421)),TIMEVALUE(DaqBook_RAW_Data!Q421))</f>
        <v/>
      </c>
      <c r="C431" s="167" t="str">
        <f>IF(ISBLANK(DaqBook_RAW_Data!R421),"",DaqBook_RAW_Data!R421)</f>
        <v/>
      </c>
      <c r="D431" s="167" t="str">
        <f>IF(ISBLANK(DaqBook_RAW_Data!S421),"",DaqBook_RAW_Data!S421)</f>
        <v/>
      </c>
      <c r="E431" s="167" t="str">
        <f>IF(ISBLANK(DaqBook_RAW_Data!T421),"",DaqBook_RAW_Data!T421)</f>
        <v/>
      </c>
      <c r="F431" s="167" t="str">
        <f>IF(ISBLANK(DaqBook_RAW_Data!U421),"",DaqBook_RAW_Data!U421)</f>
        <v/>
      </c>
      <c r="G431" s="167" t="str">
        <f>IF(ISBLANK(DaqBook_RAW_Data!V421),"",DaqBook_RAW_Data!V421)</f>
        <v/>
      </c>
      <c r="H431" s="167" t="str">
        <f>IF(ISBLANK(DaqBook_RAW_Data!W421),"",DaqBook_RAW_Data!W421)</f>
        <v/>
      </c>
      <c r="I431" s="167" t="str">
        <f>IF(ISBLANK(DaqBook_RAW_Data!X421),"",DaqBook_RAW_Data!X421)</f>
        <v/>
      </c>
      <c r="J431" s="167" t="str">
        <f>IF(ISBLANK(DaqBook_RAW_Data!Y421),"",DaqBook_RAW_Data!Y421)</f>
        <v/>
      </c>
      <c r="K431" s="167" t="str">
        <f>IF(ISBLANK(DaqBook_RAW_Data!Z421),"",DaqBook_RAW_Data!Z421)</f>
        <v/>
      </c>
      <c r="L431" s="167" t="str">
        <f>IF(ISBLANK(DaqBook_RAW_Data!AA421),"",DaqBook_RAW_Data!AA421)</f>
        <v/>
      </c>
      <c r="M431" s="167" t="str">
        <f>IF(ISBLANK(DaqBook_RAW_Data!AB421),"",DaqBook_RAW_Data!AB421)</f>
        <v/>
      </c>
      <c r="N431" s="167" t="str">
        <f>IF(ISBLANK(DaqBook_RAW_Data!AC421),"",DaqBook_RAW_Data!AC421)</f>
        <v/>
      </c>
      <c r="O431" s="167" t="str">
        <f>IF(ISBLANK(DaqBook_RAW_Data!AD421),"",DaqBook_RAW_Data!AD421)</f>
        <v/>
      </c>
      <c r="P431" s="167" t="str">
        <f>IF(ISBLANK(DaqBook_RAW_Data!AE421),"",DaqBook_RAW_Data!AE421)</f>
        <v/>
      </c>
    </row>
    <row r="432" spans="1:16" x14ac:dyDescent="0.2">
      <c r="A432" s="58" t="e">
        <f t="shared" si="6"/>
        <v>#VALUE!</v>
      </c>
      <c r="B432" s="144" t="str">
        <f>IF(ISBLANK(DaqBook_RAW_Data!Q422),IF(DaqBook_RAW_Data!A422="","",TIMEVALUE(DaqBook_RAW_Data!A422)),TIMEVALUE(DaqBook_RAW_Data!Q422))</f>
        <v/>
      </c>
      <c r="C432" s="167" t="str">
        <f>IF(ISBLANK(DaqBook_RAW_Data!R422),"",DaqBook_RAW_Data!R422)</f>
        <v/>
      </c>
      <c r="D432" s="167" t="str">
        <f>IF(ISBLANK(DaqBook_RAW_Data!S422),"",DaqBook_RAW_Data!S422)</f>
        <v/>
      </c>
      <c r="E432" s="167" t="str">
        <f>IF(ISBLANK(DaqBook_RAW_Data!T422),"",DaqBook_RAW_Data!T422)</f>
        <v/>
      </c>
      <c r="F432" s="167" t="str">
        <f>IF(ISBLANK(DaqBook_RAW_Data!U422),"",DaqBook_RAW_Data!U422)</f>
        <v/>
      </c>
      <c r="G432" s="167" t="str">
        <f>IF(ISBLANK(DaqBook_RAW_Data!V422),"",DaqBook_RAW_Data!V422)</f>
        <v/>
      </c>
      <c r="H432" s="167" t="str">
        <f>IF(ISBLANK(DaqBook_RAW_Data!W422),"",DaqBook_RAW_Data!W422)</f>
        <v/>
      </c>
      <c r="I432" s="167" t="str">
        <f>IF(ISBLANK(DaqBook_RAW_Data!X422),"",DaqBook_RAW_Data!X422)</f>
        <v/>
      </c>
      <c r="J432" s="167" t="str">
        <f>IF(ISBLANK(DaqBook_RAW_Data!Y422),"",DaqBook_RAW_Data!Y422)</f>
        <v/>
      </c>
      <c r="K432" s="167" t="str">
        <f>IF(ISBLANK(DaqBook_RAW_Data!Z422),"",DaqBook_RAW_Data!Z422)</f>
        <v/>
      </c>
      <c r="L432" s="167" t="str">
        <f>IF(ISBLANK(DaqBook_RAW_Data!AA422),"",DaqBook_RAW_Data!AA422)</f>
        <v/>
      </c>
      <c r="M432" s="167" t="str">
        <f>IF(ISBLANK(DaqBook_RAW_Data!AB422),"",DaqBook_RAW_Data!AB422)</f>
        <v/>
      </c>
      <c r="N432" s="167" t="str">
        <f>IF(ISBLANK(DaqBook_RAW_Data!AC422),"",DaqBook_RAW_Data!AC422)</f>
        <v/>
      </c>
      <c r="O432" s="167" t="str">
        <f>IF(ISBLANK(DaqBook_RAW_Data!AD422),"",DaqBook_RAW_Data!AD422)</f>
        <v/>
      </c>
      <c r="P432" s="167" t="str">
        <f>IF(ISBLANK(DaqBook_RAW_Data!AE422),"",DaqBook_RAW_Data!AE422)</f>
        <v/>
      </c>
    </row>
    <row r="433" spans="1:16" x14ac:dyDescent="0.2">
      <c r="A433" s="58" t="e">
        <f t="shared" si="6"/>
        <v>#VALUE!</v>
      </c>
      <c r="B433" s="144" t="str">
        <f>IF(ISBLANK(DaqBook_RAW_Data!Q423),IF(DaqBook_RAW_Data!A423="","",TIMEVALUE(DaqBook_RAW_Data!A423)),TIMEVALUE(DaqBook_RAW_Data!Q423))</f>
        <v/>
      </c>
      <c r="C433" s="167" t="str">
        <f>IF(ISBLANK(DaqBook_RAW_Data!R423),"",DaqBook_RAW_Data!R423)</f>
        <v/>
      </c>
      <c r="D433" s="167" t="str">
        <f>IF(ISBLANK(DaqBook_RAW_Data!S423),"",DaqBook_RAW_Data!S423)</f>
        <v/>
      </c>
      <c r="E433" s="167" t="str">
        <f>IF(ISBLANK(DaqBook_RAW_Data!T423),"",DaqBook_RAW_Data!T423)</f>
        <v/>
      </c>
      <c r="F433" s="167" t="str">
        <f>IF(ISBLANK(DaqBook_RAW_Data!U423),"",DaqBook_RAW_Data!U423)</f>
        <v/>
      </c>
      <c r="G433" s="167" t="str">
        <f>IF(ISBLANK(DaqBook_RAW_Data!V423),"",DaqBook_RAW_Data!V423)</f>
        <v/>
      </c>
      <c r="H433" s="167" t="str">
        <f>IF(ISBLANK(DaqBook_RAW_Data!W423),"",DaqBook_RAW_Data!W423)</f>
        <v/>
      </c>
      <c r="I433" s="167" t="str">
        <f>IF(ISBLANK(DaqBook_RAW_Data!X423),"",DaqBook_RAW_Data!X423)</f>
        <v/>
      </c>
      <c r="J433" s="167" t="str">
        <f>IF(ISBLANK(DaqBook_RAW_Data!Y423),"",DaqBook_RAW_Data!Y423)</f>
        <v/>
      </c>
      <c r="K433" s="167" t="str">
        <f>IF(ISBLANK(DaqBook_RAW_Data!Z423),"",DaqBook_RAW_Data!Z423)</f>
        <v/>
      </c>
      <c r="L433" s="167" t="str">
        <f>IF(ISBLANK(DaqBook_RAW_Data!AA423),"",DaqBook_RAW_Data!AA423)</f>
        <v/>
      </c>
      <c r="M433" s="167" t="str">
        <f>IF(ISBLANK(DaqBook_RAW_Data!AB423),"",DaqBook_RAW_Data!AB423)</f>
        <v/>
      </c>
      <c r="N433" s="167" t="str">
        <f>IF(ISBLANK(DaqBook_RAW_Data!AC423),"",DaqBook_RAW_Data!AC423)</f>
        <v/>
      </c>
      <c r="O433" s="167" t="str">
        <f>IF(ISBLANK(DaqBook_RAW_Data!AD423),"",DaqBook_RAW_Data!AD423)</f>
        <v/>
      </c>
      <c r="P433" s="167" t="str">
        <f>IF(ISBLANK(DaqBook_RAW_Data!AE423),"",DaqBook_RAW_Data!AE423)</f>
        <v/>
      </c>
    </row>
    <row r="434" spans="1:16" x14ac:dyDescent="0.2">
      <c r="A434" s="58" t="e">
        <f t="shared" si="6"/>
        <v>#VALUE!</v>
      </c>
      <c r="B434" s="144" t="str">
        <f>IF(ISBLANK(DaqBook_RAW_Data!Q424),IF(DaqBook_RAW_Data!A424="","",TIMEVALUE(DaqBook_RAW_Data!A424)),TIMEVALUE(DaqBook_RAW_Data!Q424))</f>
        <v/>
      </c>
      <c r="C434" s="167" t="str">
        <f>IF(ISBLANK(DaqBook_RAW_Data!R424),"",DaqBook_RAW_Data!R424)</f>
        <v/>
      </c>
      <c r="D434" s="167" t="str">
        <f>IF(ISBLANK(DaqBook_RAW_Data!S424),"",DaqBook_RAW_Data!S424)</f>
        <v/>
      </c>
      <c r="E434" s="167" t="str">
        <f>IF(ISBLANK(DaqBook_RAW_Data!T424),"",DaqBook_RAW_Data!T424)</f>
        <v/>
      </c>
      <c r="F434" s="167" t="str">
        <f>IF(ISBLANK(DaqBook_RAW_Data!U424),"",DaqBook_RAW_Data!U424)</f>
        <v/>
      </c>
      <c r="G434" s="167" t="str">
        <f>IF(ISBLANK(DaqBook_RAW_Data!V424),"",DaqBook_RAW_Data!V424)</f>
        <v/>
      </c>
      <c r="H434" s="167" t="str">
        <f>IF(ISBLANK(DaqBook_RAW_Data!W424),"",DaqBook_RAW_Data!W424)</f>
        <v/>
      </c>
      <c r="I434" s="167" t="str">
        <f>IF(ISBLANK(DaqBook_RAW_Data!X424),"",DaqBook_RAW_Data!X424)</f>
        <v/>
      </c>
      <c r="J434" s="167" t="str">
        <f>IF(ISBLANK(DaqBook_RAW_Data!Y424),"",DaqBook_RAW_Data!Y424)</f>
        <v/>
      </c>
      <c r="K434" s="167" t="str">
        <f>IF(ISBLANK(DaqBook_RAW_Data!Z424),"",DaqBook_RAW_Data!Z424)</f>
        <v/>
      </c>
      <c r="L434" s="167" t="str">
        <f>IF(ISBLANK(DaqBook_RAW_Data!AA424),"",DaqBook_RAW_Data!AA424)</f>
        <v/>
      </c>
      <c r="M434" s="167" t="str">
        <f>IF(ISBLANK(DaqBook_RAW_Data!AB424),"",DaqBook_RAW_Data!AB424)</f>
        <v/>
      </c>
      <c r="N434" s="167" t="str">
        <f>IF(ISBLANK(DaqBook_RAW_Data!AC424),"",DaqBook_RAW_Data!AC424)</f>
        <v/>
      </c>
      <c r="O434" s="167" t="str">
        <f>IF(ISBLANK(DaqBook_RAW_Data!AD424),"",DaqBook_RAW_Data!AD424)</f>
        <v/>
      </c>
      <c r="P434" s="167" t="str">
        <f>IF(ISBLANK(DaqBook_RAW_Data!AE424),"",DaqBook_RAW_Data!AE424)</f>
        <v/>
      </c>
    </row>
    <row r="435" spans="1:16" x14ac:dyDescent="0.2">
      <c r="A435" s="58" t="e">
        <f t="shared" si="6"/>
        <v>#VALUE!</v>
      </c>
      <c r="B435" s="144" t="str">
        <f>IF(ISBLANK(DaqBook_RAW_Data!Q425),IF(DaqBook_RAW_Data!A425="","",TIMEVALUE(DaqBook_RAW_Data!A425)),TIMEVALUE(DaqBook_RAW_Data!Q425))</f>
        <v/>
      </c>
      <c r="C435" s="167" t="str">
        <f>IF(ISBLANK(DaqBook_RAW_Data!R425),"",DaqBook_RAW_Data!R425)</f>
        <v/>
      </c>
      <c r="D435" s="167" t="str">
        <f>IF(ISBLANK(DaqBook_RAW_Data!S425),"",DaqBook_RAW_Data!S425)</f>
        <v/>
      </c>
      <c r="E435" s="167" t="str">
        <f>IF(ISBLANK(DaqBook_RAW_Data!T425),"",DaqBook_RAW_Data!T425)</f>
        <v/>
      </c>
      <c r="F435" s="167" t="str">
        <f>IF(ISBLANK(DaqBook_RAW_Data!U425),"",DaqBook_RAW_Data!U425)</f>
        <v/>
      </c>
      <c r="G435" s="167" t="str">
        <f>IF(ISBLANK(DaqBook_RAW_Data!V425),"",DaqBook_RAW_Data!V425)</f>
        <v/>
      </c>
      <c r="H435" s="167" t="str">
        <f>IF(ISBLANK(DaqBook_RAW_Data!W425),"",DaqBook_RAW_Data!W425)</f>
        <v/>
      </c>
      <c r="I435" s="167" t="str">
        <f>IF(ISBLANK(DaqBook_RAW_Data!X425),"",DaqBook_RAW_Data!X425)</f>
        <v/>
      </c>
      <c r="J435" s="167" t="str">
        <f>IF(ISBLANK(DaqBook_RAW_Data!Y425),"",DaqBook_RAW_Data!Y425)</f>
        <v/>
      </c>
      <c r="K435" s="167" t="str">
        <f>IF(ISBLANK(DaqBook_RAW_Data!Z425),"",DaqBook_RAW_Data!Z425)</f>
        <v/>
      </c>
      <c r="L435" s="167" t="str">
        <f>IF(ISBLANK(DaqBook_RAW_Data!AA425),"",DaqBook_RAW_Data!AA425)</f>
        <v/>
      </c>
      <c r="M435" s="167" t="str">
        <f>IF(ISBLANK(DaqBook_RAW_Data!AB425),"",DaqBook_RAW_Data!AB425)</f>
        <v/>
      </c>
      <c r="N435" s="167" t="str">
        <f>IF(ISBLANK(DaqBook_RAW_Data!AC425),"",DaqBook_RAW_Data!AC425)</f>
        <v/>
      </c>
      <c r="O435" s="167" t="str">
        <f>IF(ISBLANK(DaqBook_RAW_Data!AD425),"",DaqBook_RAW_Data!AD425)</f>
        <v/>
      </c>
      <c r="P435" s="167" t="str">
        <f>IF(ISBLANK(DaqBook_RAW_Data!AE425),"",DaqBook_RAW_Data!AE425)</f>
        <v/>
      </c>
    </row>
    <row r="436" spans="1:16" x14ac:dyDescent="0.2">
      <c r="A436" s="58" t="e">
        <f t="shared" si="6"/>
        <v>#VALUE!</v>
      </c>
      <c r="B436" s="144" t="str">
        <f>IF(ISBLANK(DaqBook_RAW_Data!Q426),IF(DaqBook_RAW_Data!A426="","",TIMEVALUE(DaqBook_RAW_Data!A426)),TIMEVALUE(DaqBook_RAW_Data!Q426))</f>
        <v/>
      </c>
      <c r="C436" s="167" t="str">
        <f>IF(ISBLANK(DaqBook_RAW_Data!R426),"",DaqBook_RAW_Data!R426)</f>
        <v/>
      </c>
      <c r="D436" s="167" t="str">
        <f>IF(ISBLANK(DaqBook_RAW_Data!S426),"",DaqBook_RAW_Data!S426)</f>
        <v/>
      </c>
      <c r="E436" s="167" t="str">
        <f>IF(ISBLANK(DaqBook_RAW_Data!T426),"",DaqBook_RAW_Data!T426)</f>
        <v/>
      </c>
      <c r="F436" s="167" t="str">
        <f>IF(ISBLANK(DaqBook_RAW_Data!U426),"",DaqBook_RAW_Data!U426)</f>
        <v/>
      </c>
      <c r="G436" s="167" t="str">
        <f>IF(ISBLANK(DaqBook_RAW_Data!V426),"",DaqBook_RAW_Data!V426)</f>
        <v/>
      </c>
      <c r="H436" s="167" t="str">
        <f>IF(ISBLANK(DaqBook_RAW_Data!W426),"",DaqBook_RAW_Data!W426)</f>
        <v/>
      </c>
      <c r="I436" s="167" t="str">
        <f>IF(ISBLANK(DaqBook_RAW_Data!X426),"",DaqBook_RAW_Data!X426)</f>
        <v/>
      </c>
      <c r="J436" s="167" t="str">
        <f>IF(ISBLANK(DaqBook_RAW_Data!Y426),"",DaqBook_RAW_Data!Y426)</f>
        <v/>
      </c>
      <c r="K436" s="167" t="str">
        <f>IF(ISBLANK(DaqBook_RAW_Data!Z426),"",DaqBook_RAW_Data!Z426)</f>
        <v/>
      </c>
      <c r="L436" s="167" t="str">
        <f>IF(ISBLANK(DaqBook_RAW_Data!AA426),"",DaqBook_RAW_Data!AA426)</f>
        <v/>
      </c>
      <c r="M436" s="167" t="str">
        <f>IF(ISBLANK(DaqBook_RAW_Data!AB426),"",DaqBook_RAW_Data!AB426)</f>
        <v/>
      </c>
      <c r="N436" s="167" t="str">
        <f>IF(ISBLANK(DaqBook_RAW_Data!AC426),"",DaqBook_RAW_Data!AC426)</f>
        <v/>
      </c>
      <c r="O436" s="167" t="str">
        <f>IF(ISBLANK(DaqBook_RAW_Data!AD426),"",DaqBook_RAW_Data!AD426)</f>
        <v/>
      </c>
      <c r="P436" s="167" t="str">
        <f>IF(ISBLANK(DaqBook_RAW_Data!AE426),"",DaqBook_RAW_Data!AE426)</f>
        <v/>
      </c>
    </row>
    <row r="437" spans="1:16" x14ac:dyDescent="0.2">
      <c r="A437" s="58" t="e">
        <f t="shared" si="6"/>
        <v>#VALUE!</v>
      </c>
      <c r="B437" s="144" t="str">
        <f>IF(ISBLANK(DaqBook_RAW_Data!Q427),IF(DaqBook_RAW_Data!A427="","",TIMEVALUE(DaqBook_RAW_Data!A427)),TIMEVALUE(DaqBook_RAW_Data!Q427))</f>
        <v/>
      </c>
      <c r="C437" s="167" t="str">
        <f>IF(ISBLANK(DaqBook_RAW_Data!R427),"",DaqBook_RAW_Data!R427)</f>
        <v/>
      </c>
      <c r="D437" s="167" t="str">
        <f>IF(ISBLANK(DaqBook_RAW_Data!S427),"",DaqBook_RAW_Data!S427)</f>
        <v/>
      </c>
      <c r="E437" s="167" t="str">
        <f>IF(ISBLANK(DaqBook_RAW_Data!T427),"",DaqBook_RAW_Data!T427)</f>
        <v/>
      </c>
      <c r="F437" s="167" t="str">
        <f>IF(ISBLANK(DaqBook_RAW_Data!U427),"",DaqBook_RAW_Data!U427)</f>
        <v/>
      </c>
      <c r="G437" s="167" t="str">
        <f>IF(ISBLANK(DaqBook_RAW_Data!V427),"",DaqBook_RAW_Data!V427)</f>
        <v/>
      </c>
      <c r="H437" s="167" t="str">
        <f>IF(ISBLANK(DaqBook_RAW_Data!W427),"",DaqBook_RAW_Data!W427)</f>
        <v/>
      </c>
      <c r="I437" s="167" t="str">
        <f>IF(ISBLANK(DaqBook_RAW_Data!X427),"",DaqBook_RAW_Data!X427)</f>
        <v/>
      </c>
      <c r="J437" s="167" t="str">
        <f>IF(ISBLANK(DaqBook_RAW_Data!Y427),"",DaqBook_RAW_Data!Y427)</f>
        <v/>
      </c>
      <c r="K437" s="167" t="str">
        <f>IF(ISBLANK(DaqBook_RAW_Data!Z427),"",DaqBook_RAW_Data!Z427)</f>
        <v/>
      </c>
      <c r="L437" s="167" t="str">
        <f>IF(ISBLANK(DaqBook_RAW_Data!AA427),"",DaqBook_RAW_Data!AA427)</f>
        <v/>
      </c>
      <c r="M437" s="167" t="str">
        <f>IF(ISBLANK(DaqBook_RAW_Data!AB427),"",DaqBook_RAW_Data!AB427)</f>
        <v/>
      </c>
      <c r="N437" s="167" t="str">
        <f>IF(ISBLANK(DaqBook_RAW_Data!AC427),"",DaqBook_RAW_Data!AC427)</f>
        <v/>
      </c>
      <c r="O437" s="167" t="str">
        <f>IF(ISBLANK(DaqBook_RAW_Data!AD427),"",DaqBook_RAW_Data!AD427)</f>
        <v/>
      </c>
      <c r="P437" s="167" t="str">
        <f>IF(ISBLANK(DaqBook_RAW_Data!AE427),"",DaqBook_RAW_Data!AE427)</f>
        <v/>
      </c>
    </row>
    <row r="438" spans="1:16" x14ac:dyDescent="0.2">
      <c r="A438" s="58" t="e">
        <f t="shared" si="6"/>
        <v>#VALUE!</v>
      </c>
      <c r="B438" s="144" t="str">
        <f>IF(ISBLANK(DaqBook_RAW_Data!Q428),IF(DaqBook_RAW_Data!A428="","",TIMEVALUE(DaqBook_RAW_Data!A428)),TIMEVALUE(DaqBook_RAW_Data!Q428))</f>
        <v/>
      </c>
      <c r="C438" s="167" t="str">
        <f>IF(ISBLANK(DaqBook_RAW_Data!R428),"",DaqBook_RAW_Data!R428)</f>
        <v/>
      </c>
      <c r="D438" s="167" t="str">
        <f>IF(ISBLANK(DaqBook_RAW_Data!S428),"",DaqBook_RAW_Data!S428)</f>
        <v/>
      </c>
      <c r="E438" s="167" t="str">
        <f>IF(ISBLANK(DaqBook_RAW_Data!T428),"",DaqBook_RAW_Data!T428)</f>
        <v/>
      </c>
      <c r="F438" s="167" t="str">
        <f>IF(ISBLANK(DaqBook_RAW_Data!U428),"",DaqBook_RAW_Data!U428)</f>
        <v/>
      </c>
      <c r="G438" s="167" t="str">
        <f>IF(ISBLANK(DaqBook_RAW_Data!V428),"",DaqBook_RAW_Data!V428)</f>
        <v/>
      </c>
      <c r="H438" s="167" t="str">
        <f>IF(ISBLANK(DaqBook_RAW_Data!W428),"",DaqBook_RAW_Data!W428)</f>
        <v/>
      </c>
      <c r="I438" s="167" t="str">
        <f>IF(ISBLANK(DaqBook_RAW_Data!X428),"",DaqBook_RAW_Data!X428)</f>
        <v/>
      </c>
      <c r="J438" s="167" t="str">
        <f>IF(ISBLANK(DaqBook_RAW_Data!Y428),"",DaqBook_RAW_Data!Y428)</f>
        <v/>
      </c>
      <c r="K438" s="167" t="str">
        <f>IF(ISBLANK(DaqBook_RAW_Data!Z428),"",DaqBook_RAW_Data!Z428)</f>
        <v/>
      </c>
      <c r="L438" s="167" t="str">
        <f>IF(ISBLANK(DaqBook_RAW_Data!AA428),"",DaqBook_RAW_Data!AA428)</f>
        <v/>
      </c>
      <c r="M438" s="167" t="str">
        <f>IF(ISBLANK(DaqBook_RAW_Data!AB428),"",DaqBook_RAW_Data!AB428)</f>
        <v/>
      </c>
      <c r="N438" s="167" t="str">
        <f>IF(ISBLANK(DaqBook_RAW_Data!AC428),"",DaqBook_RAW_Data!AC428)</f>
        <v/>
      </c>
      <c r="O438" s="167" t="str">
        <f>IF(ISBLANK(DaqBook_RAW_Data!AD428),"",DaqBook_RAW_Data!AD428)</f>
        <v/>
      </c>
      <c r="P438" s="167" t="str">
        <f>IF(ISBLANK(DaqBook_RAW_Data!AE428),"",DaqBook_RAW_Data!AE428)</f>
        <v/>
      </c>
    </row>
    <row r="439" spans="1:16" x14ac:dyDescent="0.2">
      <c r="A439" s="58" t="e">
        <f t="shared" si="6"/>
        <v>#VALUE!</v>
      </c>
      <c r="B439" s="144" t="str">
        <f>IF(ISBLANK(DaqBook_RAW_Data!Q429),IF(DaqBook_RAW_Data!A429="","",TIMEVALUE(DaqBook_RAW_Data!A429)),TIMEVALUE(DaqBook_RAW_Data!Q429))</f>
        <v/>
      </c>
      <c r="C439" s="167" t="str">
        <f>IF(ISBLANK(DaqBook_RAW_Data!R429),"",DaqBook_RAW_Data!R429)</f>
        <v/>
      </c>
      <c r="D439" s="167" t="str">
        <f>IF(ISBLANK(DaqBook_RAW_Data!S429),"",DaqBook_RAW_Data!S429)</f>
        <v/>
      </c>
      <c r="E439" s="167" t="str">
        <f>IF(ISBLANK(DaqBook_RAW_Data!T429),"",DaqBook_RAW_Data!T429)</f>
        <v/>
      </c>
      <c r="F439" s="167" t="str">
        <f>IF(ISBLANK(DaqBook_RAW_Data!U429),"",DaqBook_RAW_Data!U429)</f>
        <v/>
      </c>
      <c r="G439" s="167" t="str">
        <f>IF(ISBLANK(DaqBook_RAW_Data!V429),"",DaqBook_RAW_Data!V429)</f>
        <v/>
      </c>
      <c r="H439" s="167" t="str">
        <f>IF(ISBLANK(DaqBook_RAW_Data!W429),"",DaqBook_RAW_Data!W429)</f>
        <v/>
      </c>
      <c r="I439" s="167" t="str">
        <f>IF(ISBLANK(DaqBook_RAW_Data!X429),"",DaqBook_RAW_Data!X429)</f>
        <v/>
      </c>
      <c r="J439" s="167" t="str">
        <f>IF(ISBLANK(DaqBook_RAW_Data!Y429),"",DaqBook_RAW_Data!Y429)</f>
        <v/>
      </c>
      <c r="K439" s="167" t="str">
        <f>IF(ISBLANK(DaqBook_RAW_Data!Z429),"",DaqBook_RAW_Data!Z429)</f>
        <v/>
      </c>
      <c r="L439" s="167" t="str">
        <f>IF(ISBLANK(DaqBook_RAW_Data!AA429),"",DaqBook_RAW_Data!AA429)</f>
        <v/>
      </c>
      <c r="M439" s="167" t="str">
        <f>IF(ISBLANK(DaqBook_RAW_Data!AB429),"",DaqBook_RAW_Data!AB429)</f>
        <v/>
      </c>
      <c r="N439" s="167" t="str">
        <f>IF(ISBLANK(DaqBook_RAW_Data!AC429),"",DaqBook_RAW_Data!AC429)</f>
        <v/>
      </c>
      <c r="O439" s="167" t="str">
        <f>IF(ISBLANK(DaqBook_RAW_Data!AD429),"",DaqBook_RAW_Data!AD429)</f>
        <v/>
      </c>
      <c r="P439" s="167" t="str">
        <f>IF(ISBLANK(DaqBook_RAW_Data!AE429),"",DaqBook_RAW_Data!AE429)</f>
        <v/>
      </c>
    </row>
    <row r="440" spans="1:16" x14ac:dyDescent="0.2">
      <c r="A440" s="58" t="e">
        <f t="shared" si="6"/>
        <v>#VALUE!</v>
      </c>
      <c r="B440" s="144" t="str">
        <f>IF(ISBLANK(DaqBook_RAW_Data!Q430),IF(DaqBook_RAW_Data!A430="","",TIMEVALUE(DaqBook_RAW_Data!A430)),TIMEVALUE(DaqBook_RAW_Data!Q430))</f>
        <v/>
      </c>
      <c r="C440" s="167" t="str">
        <f>IF(ISBLANK(DaqBook_RAW_Data!R430),"",DaqBook_RAW_Data!R430)</f>
        <v/>
      </c>
      <c r="D440" s="167" t="str">
        <f>IF(ISBLANK(DaqBook_RAW_Data!S430),"",DaqBook_RAW_Data!S430)</f>
        <v/>
      </c>
      <c r="E440" s="167" t="str">
        <f>IF(ISBLANK(DaqBook_RAW_Data!T430),"",DaqBook_RAW_Data!T430)</f>
        <v/>
      </c>
      <c r="F440" s="167" t="str">
        <f>IF(ISBLANK(DaqBook_RAW_Data!U430),"",DaqBook_RAW_Data!U430)</f>
        <v/>
      </c>
      <c r="G440" s="167" t="str">
        <f>IF(ISBLANK(DaqBook_RAW_Data!V430),"",DaqBook_RAW_Data!V430)</f>
        <v/>
      </c>
      <c r="H440" s="167" t="str">
        <f>IF(ISBLANK(DaqBook_RAW_Data!W430),"",DaqBook_RAW_Data!W430)</f>
        <v/>
      </c>
      <c r="I440" s="167" t="str">
        <f>IF(ISBLANK(DaqBook_RAW_Data!X430),"",DaqBook_RAW_Data!X430)</f>
        <v/>
      </c>
      <c r="J440" s="167" t="str">
        <f>IF(ISBLANK(DaqBook_RAW_Data!Y430),"",DaqBook_RAW_Data!Y430)</f>
        <v/>
      </c>
      <c r="K440" s="167" t="str">
        <f>IF(ISBLANK(DaqBook_RAW_Data!Z430),"",DaqBook_RAW_Data!Z430)</f>
        <v/>
      </c>
      <c r="L440" s="167" t="str">
        <f>IF(ISBLANK(DaqBook_RAW_Data!AA430),"",DaqBook_RAW_Data!AA430)</f>
        <v/>
      </c>
      <c r="M440" s="167" t="str">
        <f>IF(ISBLANK(DaqBook_RAW_Data!AB430),"",DaqBook_RAW_Data!AB430)</f>
        <v/>
      </c>
      <c r="N440" s="167" t="str">
        <f>IF(ISBLANK(DaqBook_RAW_Data!AC430),"",DaqBook_RAW_Data!AC430)</f>
        <v/>
      </c>
      <c r="O440" s="167" t="str">
        <f>IF(ISBLANK(DaqBook_RAW_Data!AD430),"",DaqBook_RAW_Data!AD430)</f>
        <v/>
      </c>
      <c r="P440" s="167" t="str">
        <f>IF(ISBLANK(DaqBook_RAW_Data!AE430),"",DaqBook_RAW_Data!AE430)</f>
        <v/>
      </c>
    </row>
    <row r="441" spans="1:16" x14ac:dyDescent="0.2">
      <c r="A441" s="58" t="e">
        <f t="shared" si="6"/>
        <v>#VALUE!</v>
      </c>
      <c r="B441" s="144" t="str">
        <f>IF(ISBLANK(DaqBook_RAW_Data!Q431),IF(DaqBook_RAW_Data!A431="","",TIMEVALUE(DaqBook_RAW_Data!A431)),TIMEVALUE(DaqBook_RAW_Data!Q431))</f>
        <v/>
      </c>
      <c r="C441" s="167" t="str">
        <f>IF(ISBLANK(DaqBook_RAW_Data!R431),"",DaqBook_RAW_Data!R431)</f>
        <v/>
      </c>
      <c r="D441" s="167" t="str">
        <f>IF(ISBLANK(DaqBook_RAW_Data!S431),"",DaqBook_RAW_Data!S431)</f>
        <v/>
      </c>
      <c r="E441" s="167" t="str">
        <f>IF(ISBLANK(DaqBook_RAW_Data!T431),"",DaqBook_RAW_Data!T431)</f>
        <v/>
      </c>
      <c r="F441" s="167" t="str">
        <f>IF(ISBLANK(DaqBook_RAW_Data!U431),"",DaqBook_RAW_Data!U431)</f>
        <v/>
      </c>
      <c r="G441" s="167" t="str">
        <f>IF(ISBLANK(DaqBook_RAW_Data!V431),"",DaqBook_RAW_Data!V431)</f>
        <v/>
      </c>
      <c r="H441" s="167" t="str">
        <f>IF(ISBLANK(DaqBook_RAW_Data!W431),"",DaqBook_RAW_Data!W431)</f>
        <v/>
      </c>
      <c r="I441" s="167" t="str">
        <f>IF(ISBLANK(DaqBook_RAW_Data!X431),"",DaqBook_RAW_Data!X431)</f>
        <v/>
      </c>
      <c r="J441" s="167" t="str">
        <f>IF(ISBLANK(DaqBook_RAW_Data!Y431),"",DaqBook_RAW_Data!Y431)</f>
        <v/>
      </c>
      <c r="K441" s="167" t="str">
        <f>IF(ISBLANK(DaqBook_RAW_Data!Z431),"",DaqBook_RAW_Data!Z431)</f>
        <v/>
      </c>
      <c r="L441" s="167" t="str">
        <f>IF(ISBLANK(DaqBook_RAW_Data!AA431),"",DaqBook_RAW_Data!AA431)</f>
        <v/>
      </c>
      <c r="M441" s="167" t="str">
        <f>IF(ISBLANK(DaqBook_RAW_Data!AB431),"",DaqBook_RAW_Data!AB431)</f>
        <v/>
      </c>
      <c r="N441" s="167" t="str">
        <f>IF(ISBLANK(DaqBook_RAW_Data!AC431),"",DaqBook_RAW_Data!AC431)</f>
        <v/>
      </c>
      <c r="O441" s="167" t="str">
        <f>IF(ISBLANK(DaqBook_RAW_Data!AD431),"",DaqBook_RAW_Data!AD431)</f>
        <v/>
      </c>
      <c r="P441" s="167" t="str">
        <f>IF(ISBLANK(DaqBook_RAW_Data!AE431),"",DaqBook_RAW_Data!AE431)</f>
        <v/>
      </c>
    </row>
    <row r="442" spans="1:16" x14ac:dyDescent="0.2">
      <c r="A442" s="58" t="e">
        <f t="shared" si="6"/>
        <v>#VALUE!</v>
      </c>
      <c r="B442" s="144" t="str">
        <f>IF(ISBLANK(DaqBook_RAW_Data!Q432),IF(DaqBook_RAW_Data!A432="","",TIMEVALUE(DaqBook_RAW_Data!A432)),TIMEVALUE(DaqBook_RAW_Data!Q432))</f>
        <v/>
      </c>
      <c r="C442" s="167" t="str">
        <f>IF(ISBLANK(DaqBook_RAW_Data!R432),"",DaqBook_RAW_Data!R432)</f>
        <v/>
      </c>
      <c r="D442" s="167" t="str">
        <f>IF(ISBLANK(DaqBook_RAW_Data!S432),"",DaqBook_RAW_Data!S432)</f>
        <v/>
      </c>
      <c r="E442" s="167" t="str">
        <f>IF(ISBLANK(DaqBook_RAW_Data!T432),"",DaqBook_RAW_Data!T432)</f>
        <v/>
      </c>
      <c r="F442" s="167" t="str">
        <f>IF(ISBLANK(DaqBook_RAW_Data!U432),"",DaqBook_RAW_Data!U432)</f>
        <v/>
      </c>
      <c r="G442" s="167" t="str">
        <f>IF(ISBLANK(DaqBook_RAW_Data!V432),"",DaqBook_RAW_Data!V432)</f>
        <v/>
      </c>
      <c r="H442" s="167" t="str">
        <f>IF(ISBLANK(DaqBook_RAW_Data!W432),"",DaqBook_RAW_Data!W432)</f>
        <v/>
      </c>
      <c r="I442" s="167" t="str">
        <f>IF(ISBLANK(DaqBook_RAW_Data!X432),"",DaqBook_RAW_Data!X432)</f>
        <v/>
      </c>
      <c r="J442" s="167" t="str">
        <f>IF(ISBLANK(DaqBook_RAW_Data!Y432),"",DaqBook_RAW_Data!Y432)</f>
        <v/>
      </c>
      <c r="K442" s="167" t="str">
        <f>IF(ISBLANK(DaqBook_RAW_Data!Z432),"",DaqBook_RAW_Data!Z432)</f>
        <v/>
      </c>
      <c r="L442" s="167" t="str">
        <f>IF(ISBLANK(DaqBook_RAW_Data!AA432),"",DaqBook_RAW_Data!AA432)</f>
        <v/>
      </c>
      <c r="M442" s="167" t="str">
        <f>IF(ISBLANK(DaqBook_RAW_Data!AB432),"",DaqBook_RAW_Data!AB432)</f>
        <v/>
      </c>
      <c r="N442" s="167" t="str">
        <f>IF(ISBLANK(DaqBook_RAW_Data!AC432),"",DaqBook_RAW_Data!AC432)</f>
        <v/>
      </c>
      <c r="O442" s="167" t="str">
        <f>IF(ISBLANK(DaqBook_RAW_Data!AD432),"",DaqBook_RAW_Data!AD432)</f>
        <v/>
      </c>
      <c r="P442" s="167" t="str">
        <f>IF(ISBLANK(DaqBook_RAW_Data!AE432),"",DaqBook_RAW_Data!AE432)</f>
        <v/>
      </c>
    </row>
    <row r="443" spans="1:16" x14ac:dyDescent="0.2">
      <c r="A443" s="58" t="e">
        <f t="shared" si="6"/>
        <v>#VALUE!</v>
      </c>
      <c r="B443" s="144" t="str">
        <f>IF(ISBLANK(DaqBook_RAW_Data!Q433),IF(DaqBook_RAW_Data!A433="","",TIMEVALUE(DaqBook_RAW_Data!A433)),TIMEVALUE(DaqBook_RAW_Data!Q433))</f>
        <v/>
      </c>
      <c r="C443" s="167" t="str">
        <f>IF(ISBLANK(DaqBook_RAW_Data!R433),"",DaqBook_RAW_Data!R433)</f>
        <v/>
      </c>
      <c r="D443" s="167" t="str">
        <f>IF(ISBLANK(DaqBook_RAW_Data!S433),"",DaqBook_RAW_Data!S433)</f>
        <v/>
      </c>
      <c r="E443" s="167" t="str">
        <f>IF(ISBLANK(DaqBook_RAW_Data!T433),"",DaqBook_RAW_Data!T433)</f>
        <v/>
      </c>
      <c r="F443" s="167" t="str">
        <f>IF(ISBLANK(DaqBook_RAW_Data!U433),"",DaqBook_RAW_Data!U433)</f>
        <v/>
      </c>
      <c r="G443" s="167" t="str">
        <f>IF(ISBLANK(DaqBook_RAW_Data!V433),"",DaqBook_RAW_Data!V433)</f>
        <v/>
      </c>
      <c r="H443" s="167" t="str">
        <f>IF(ISBLANK(DaqBook_RAW_Data!W433),"",DaqBook_RAW_Data!W433)</f>
        <v/>
      </c>
      <c r="I443" s="167" t="str">
        <f>IF(ISBLANK(DaqBook_RAW_Data!X433),"",DaqBook_RAW_Data!X433)</f>
        <v/>
      </c>
      <c r="J443" s="167" t="str">
        <f>IF(ISBLANK(DaqBook_RAW_Data!Y433),"",DaqBook_RAW_Data!Y433)</f>
        <v/>
      </c>
      <c r="K443" s="167" t="str">
        <f>IF(ISBLANK(DaqBook_RAW_Data!Z433),"",DaqBook_RAW_Data!Z433)</f>
        <v/>
      </c>
      <c r="L443" s="167" t="str">
        <f>IF(ISBLANK(DaqBook_RAW_Data!AA433),"",DaqBook_RAW_Data!AA433)</f>
        <v/>
      </c>
      <c r="M443" s="167" t="str">
        <f>IF(ISBLANK(DaqBook_RAW_Data!AB433),"",DaqBook_RAW_Data!AB433)</f>
        <v/>
      </c>
      <c r="N443" s="167" t="str">
        <f>IF(ISBLANK(DaqBook_RAW_Data!AC433),"",DaqBook_RAW_Data!AC433)</f>
        <v/>
      </c>
      <c r="O443" s="167" t="str">
        <f>IF(ISBLANK(DaqBook_RAW_Data!AD433),"",DaqBook_RAW_Data!AD433)</f>
        <v/>
      </c>
      <c r="P443" s="167" t="str">
        <f>IF(ISBLANK(DaqBook_RAW_Data!AE433),"",DaqBook_RAW_Data!AE433)</f>
        <v/>
      </c>
    </row>
    <row r="444" spans="1:16" x14ac:dyDescent="0.2">
      <c r="A444" s="58" t="e">
        <f t="shared" si="6"/>
        <v>#VALUE!</v>
      </c>
      <c r="B444" s="144" t="str">
        <f>IF(ISBLANK(DaqBook_RAW_Data!Q434),IF(DaqBook_RAW_Data!A434="","",TIMEVALUE(DaqBook_RAW_Data!A434)),TIMEVALUE(DaqBook_RAW_Data!Q434))</f>
        <v/>
      </c>
      <c r="C444" s="167" t="str">
        <f>IF(ISBLANK(DaqBook_RAW_Data!R434),"",DaqBook_RAW_Data!R434)</f>
        <v/>
      </c>
      <c r="D444" s="167" t="str">
        <f>IF(ISBLANK(DaqBook_RAW_Data!S434),"",DaqBook_RAW_Data!S434)</f>
        <v/>
      </c>
      <c r="E444" s="167" t="str">
        <f>IF(ISBLANK(DaqBook_RAW_Data!T434),"",DaqBook_RAW_Data!T434)</f>
        <v/>
      </c>
      <c r="F444" s="167" t="str">
        <f>IF(ISBLANK(DaqBook_RAW_Data!U434),"",DaqBook_RAW_Data!U434)</f>
        <v/>
      </c>
      <c r="G444" s="167" t="str">
        <f>IF(ISBLANK(DaqBook_RAW_Data!V434),"",DaqBook_RAW_Data!V434)</f>
        <v/>
      </c>
      <c r="H444" s="167" t="str">
        <f>IF(ISBLANK(DaqBook_RAW_Data!W434),"",DaqBook_RAW_Data!W434)</f>
        <v/>
      </c>
      <c r="I444" s="167" t="str">
        <f>IF(ISBLANK(DaqBook_RAW_Data!X434),"",DaqBook_RAW_Data!X434)</f>
        <v/>
      </c>
      <c r="J444" s="167" t="str">
        <f>IF(ISBLANK(DaqBook_RAW_Data!Y434),"",DaqBook_RAW_Data!Y434)</f>
        <v/>
      </c>
      <c r="K444" s="167" t="str">
        <f>IF(ISBLANK(DaqBook_RAW_Data!Z434),"",DaqBook_RAW_Data!Z434)</f>
        <v/>
      </c>
      <c r="L444" s="167" t="str">
        <f>IF(ISBLANK(DaqBook_RAW_Data!AA434),"",DaqBook_RAW_Data!AA434)</f>
        <v/>
      </c>
      <c r="M444" s="167" t="str">
        <f>IF(ISBLANK(DaqBook_RAW_Data!AB434),"",DaqBook_RAW_Data!AB434)</f>
        <v/>
      </c>
      <c r="N444" s="167" t="str">
        <f>IF(ISBLANK(DaqBook_RAW_Data!AC434),"",DaqBook_RAW_Data!AC434)</f>
        <v/>
      </c>
      <c r="O444" s="167" t="str">
        <f>IF(ISBLANK(DaqBook_RAW_Data!AD434),"",DaqBook_RAW_Data!AD434)</f>
        <v/>
      </c>
      <c r="P444" s="167" t="str">
        <f>IF(ISBLANK(DaqBook_RAW_Data!AE434),"",DaqBook_RAW_Data!AE434)</f>
        <v/>
      </c>
    </row>
    <row r="445" spans="1:16" x14ac:dyDescent="0.2">
      <c r="A445" s="58" t="e">
        <f t="shared" si="6"/>
        <v>#VALUE!</v>
      </c>
      <c r="B445" s="144" t="str">
        <f>IF(ISBLANK(DaqBook_RAW_Data!Q435),IF(DaqBook_RAW_Data!A435="","",TIMEVALUE(DaqBook_RAW_Data!A435)),TIMEVALUE(DaqBook_RAW_Data!Q435))</f>
        <v/>
      </c>
      <c r="C445" s="167" t="str">
        <f>IF(ISBLANK(DaqBook_RAW_Data!R435),"",DaqBook_RAW_Data!R435)</f>
        <v/>
      </c>
      <c r="D445" s="167" t="str">
        <f>IF(ISBLANK(DaqBook_RAW_Data!S435),"",DaqBook_RAW_Data!S435)</f>
        <v/>
      </c>
      <c r="E445" s="167" t="str">
        <f>IF(ISBLANK(DaqBook_RAW_Data!T435),"",DaqBook_RAW_Data!T435)</f>
        <v/>
      </c>
      <c r="F445" s="167" t="str">
        <f>IF(ISBLANK(DaqBook_RAW_Data!U435),"",DaqBook_RAW_Data!U435)</f>
        <v/>
      </c>
      <c r="G445" s="167" t="str">
        <f>IF(ISBLANK(DaqBook_RAW_Data!V435),"",DaqBook_RAW_Data!V435)</f>
        <v/>
      </c>
      <c r="H445" s="167" t="str">
        <f>IF(ISBLANK(DaqBook_RAW_Data!W435),"",DaqBook_RAW_Data!W435)</f>
        <v/>
      </c>
      <c r="I445" s="167" t="str">
        <f>IF(ISBLANK(DaqBook_RAW_Data!X435),"",DaqBook_RAW_Data!X435)</f>
        <v/>
      </c>
      <c r="J445" s="167" t="str">
        <f>IF(ISBLANK(DaqBook_RAW_Data!Y435),"",DaqBook_RAW_Data!Y435)</f>
        <v/>
      </c>
      <c r="K445" s="167" t="str">
        <f>IF(ISBLANK(DaqBook_RAW_Data!Z435),"",DaqBook_RAW_Data!Z435)</f>
        <v/>
      </c>
      <c r="L445" s="167" t="str">
        <f>IF(ISBLANK(DaqBook_RAW_Data!AA435),"",DaqBook_RAW_Data!AA435)</f>
        <v/>
      </c>
      <c r="M445" s="167" t="str">
        <f>IF(ISBLANK(DaqBook_RAW_Data!AB435),"",DaqBook_RAW_Data!AB435)</f>
        <v/>
      </c>
      <c r="N445" s="167" t="str">
        <f>IF(ISBLANK(DaqBook_RAW_Data!AC435),"",DaqBook_RAW_Data!AC435)</f>
        <v/>
      </c>
      <c r="O445" s="167" t="str">
        <f>IF(ISBLANK(DaqBook_RAW_Data!AD435),"",DaqBook_RAW_Data!AD435)</f>
        <v/>
      </c>
      <c r="P445" s="167" t="str">
        <f>IF(ISBLANK(DaqBook_RAW_Data!AE435),"",DaqBook_RAW_Data!AE435)</f>
        <v/>
      </c>
    </row>
    <row r="446" spans="1:16" x14ac:dyDescent="0.2">
      <c r="A446" s="58" t="e">
        <f t="shared" si="6"/>
        <v>#VALUE!</v>
      </c>
      <c r="B446" s="144" t="str">
        <f>IF(ISBLANK(DaqBook_RAW_Data!Q436),IF(DaqBook_RAW_Data!A436="","",TIMEVALUE(DaqBook_RAW_Data!A436)),TIMEVALUE(DaqBook_RAW_Data!Q436))</f>
        <v/>
      </c>
      <c r="C446" s="167" t="str">
        <f>IF(ISBLANK(DaqBook_RAW_Data!R436),"",DaqBook_RAW_Data!R436)</f>
        <v/>
      </c>
      <c r="D446" s="167" t="str">
        <f>IF(ISBLANK(DaqBook_RAW_Data!S436),"",DaqBook_RAW_Data!S436)</f>
        <v/>
      </c>
      <c r="E446" s="167" t="str">
        <f>IF(ISBLANK(DaqBook_RAW_Data!T436),"",DaqBook_RAW_Data!T436)</f>
        <v/>
      </c>
      <c r="F446" s="167" t="str">
        <f>IF(ISBLANK(DaqBook_RAW_Data!U436),"",DaqBook_RAW_Data!U436)</f>
        <v/>
      </c>
      <c r="G446" s="167" t="str">
        <f>IF(ISBLANK(DaqBook_RAW_Data!V436),"",DaqBook_RAW_Data!V436)</f>
        <v/>
      </c>
      <c r="H446" s="167" t="str">
        <f>IF(ISBLANK(DaqBook_RAW_Data!W436),"",DaqBook_RAW_Data!W436)</f>
        <v/>
      </c>
      <c r="I446" s="167" t="str">
        <f>IF(ISBLANK(DaqBook_RAW_Data!X436),"",DaqBook_RAW_Data!X436)</f>
        <v/>
      </c>
      <c r="J446" s="167" t="str">
        <f>IF(ISBLANK(DaqBook_RAW_Data!Y436),"",DaqBook_RAW_Data!Y436)</f>
        <v/>
      </c>
      <c r="K446" s="167" t="str">
        <f>IF(ISBLANK(DaqBook_RAW_Data!Z436),"",DaqBook_RAW_Data!Z436)</f>
        <v/>
      </c>
      <c r="L446" s="167" t="str">
        <f>IF(ISBLANK(DaqBook_RAW_Data!AA436),"",DaqBook_RAW_Data!AA436)</f>
        <v/>
      </c>
      <c r="M446" s="167" t="str">
        <f>IF(ISBLANK(DaqBook_RAW_Data!AB436),"",DaqBook_RAW_Data!AB436)</f>
        <v/>
      </c>
      <c r="N446" s="167" t="str">
        <f>IF(ISBLANK(DaqBook_RAW_Data!AC436),"",DaqBook_RAW_Data!AC436)</f>
        <v/>
      </c>
      <c r="O446" s="167" t="str">
        <f>IF(ISBLANK(DaqBook_RAW_Data!AD436),"",DaqBook_RAW_Data!AD436)</f>
        <v/>
      </c>
      <c r="P446" s="167" t="str">
        <f>IF(ISBLANK(DaqBook_RAW_Data!AE436),"",DaqBook_RAW_Data!AE436)</f>
        <v/>
      </c>
    </row>
    <row r="447" spans="1:16" x14ac:dyDescent="0.2">
      <c r="A447" s="58" t="e">
        <f t="shared" si="6"/>
        <v>#VALUE!</v>
      </c>
      <c r="B447" s="144" t="str">
        <f>IF(ISBLANK(DaqBook_RAW_Data!Q437),IF(DaqBook_RAW_Data!A437="","",TIMEVALUE(DaqBook_RAW_Data!A437)),TIMEVALUE(DaqBook_RAW_Data!Q437))</f>
        <v/>
      </c>
      <c r="C447" s="167" t="str">
        <f>IF(ISBLANK(DaqBook_RAW_Data!R437),"",DaqBook_RAW_Data!R437)</f>
        <v/>
      </c>
      <c r="D447" s="167" t="str">
        <f>IF(ISBLANK(DaqBook_RAW_Data!S437),"",DaqBook_RAW_Data!S437)</f>
        <v/>
      </c>
      <c r="E447" s="167" t="str">
        <f>IF(ISBLANK(DaqBook_RAW_Data!T437),"",DaqBook_RAW_Data!T437)</f>
        <v/>
      </c>
      <c r="F447" s="167" t="str">
        <f>IF(ISBLANK(DaqBook_RAW_Data!U437),"",DaqBook_RAW_Data!U437)</f>
        <v/>
      </c>
      <c r="G447" s="167" t="str">
        <f>IF(ISBLANK(DaqBook_RAW_Data!V437),"",DaqBook_RAW_Data!V437)</f>
        <v/>
      </c>
      <c r="H447" s="167" t="str">
        <f>IF(ISBLANK(DaqBook_RAW_Data!W437),"",DaqBook_RAW_Data!W437)</f>
        <v/>
      </c>
      <c r="I447" s="167" t="str">
        <f>IF(ISBLANK(DaqBook_RAW_Data!X437),"",DaqBook_RAW_Data!X437)</f>
        <v/>
      </c>
      <c r="J447" s="167" t="str">
        <f>IF(ISBLANK(DaqBook_RAW_Data!Y437),"",DaqBook_RAW_Data!Y437)</f>
        <v/>
      </c>
      <c r="K447" s="167" t="str">
        <f>IF(ISBLANK(DaqBook_RAW_Data!Z437),"",DaqBook_RAW_Data!Z437)</f>
        <v/>
      </c>
      <c r="L447" s="167" t="str">
        <f>IF(ISBLANK(DaqBook_RAW_Data!AA437),"",DaqBook_RAW_Data!AA437)</f>
        <v/>
      </c>
      <c r="M447" s="167" t="str">
        <f>IF(ISBLANK(DaqBook_RAW_Data!AB437),"",DaqBook_RAW_Data!AB437)</f>
        <v/>
      </c>
      <c r="N447" s="167" t="str">
        <f>IF(ISBLANK(DaqBook_RAW_Data!AC437),"",DaqBook_RAW_Data!AC437)</f>
        <v/>
      </c>
      <c r="O447" s="167" t="str">
        <f>IF(ISBLANK(DaqBook_RAW_Data!AD437),"",DaqBook_RAW_Data!AD437)</f>
        <v/>
      </c>
      <c r="P447" s="167" t="str">
        <f>IF(ISBLANK(DaqBook_RAW_Data!AE437),"",DaqBook_RAW_Data!AE437)</f>
        <v/>
      </c>
    </row>
    <row r="448" spans="1:16" x14ac:dyDescent="0.2">
      <c r="A448" s="58" t="e">
        <f t="shared" si="6"/>
        <v>#VALUE!</v>
      </c>
      <c r="B448" s="144" t="str">
        <f>IF(ISBLANK(DaqBook_RAW_Data!Q438),IF(DaqBook_RAW_Data!A438="","",TIMEVALUE(DaqBook_RAW_Data!A438)),TIMEVALUE(DaqBook_RAW_Data!Q438))</f>
        <v/>
      </c>
      <c r="C448" s="167" t="str">
        <f>IF(ISBLANK(DaqBook_RAW_Data!R438),"",DaqBook_RAW_Data!R438)</f>
        <v/>
      </c>
      <c r="D448" s="167" t="str">
        <f>IF(ISBLANK(DaqBook_RAW_Data!S438),"",DaqBook_RAW_Data!S438)</f>
        <v/>
      </c>
      <c r="E448" s="167" t="str">
        <f>IF(ISBLANK(DaqBook_RAW_Data!T438),"",DaqBook_RAW_Data!T438)</f>
        <v/>
      </c>
      <c r="F448" s="167" t="str">
        <f>IF(ISBLANK(DaqBook_RAW_Data!U438),"",DaqBook_RAW_Data!U438)</f>
        <v/>
      </c>
      <c r="G448" s="167" t="str">
        <f>IF(ISBLANK(DaqBook_RAW_Data!V438),"",DaqBook_RAW_Data!V438)</f>
        <v/>
      </c>
      <c r="H448" s="167" t="str">
        <f>IF(ISBLANK(DaqBook_RAW_Data!W438),"",DaqBook_RAW_Data!W438)</f>
        <v/>
      </c>
      <c r="I448" s="167" t="str">
        <f>IF(ISBLANK(DaqBook_RAW_Data!X438),"",DaqBook_RAW_Data!X438)</f>
        <v/>
      </c>
      <c r="J448" s="167" t="str">
        <f>IF(ISBLANK(DaqBook_RAW_Data!Y438),"",DaqBook_RAW_Data!Y438)</f>
        <v/>
      </c>
      <c r="K448" s="167" t="str">
        <f>IF(ISBLANK(DaqBook_RAW_Data!Z438),"",DaqBook_RAW_Data!Z438)</f>
        <v/>
      </c>
      <c r="L448" s="167" t="str">
        <f>IF(ISBLANK(DaqBook_RAW_Data!AA438),"",DaqBook_RAW_Data!AA438)</f>
        <v/>
      </c>
      <c r="M448" s="167" t="str">
        <f>IF(ISBLANK(DaqBook_RAW_Data!AB438),"",DaqBook_RAW_Data!AB438)</f>
        <v/>
      </c>
      <c r="N448" s="167" t="str">
        <f>IF(ISBLANK(DaqBook_RAW_Data!AC438),"",DaqBook_RAW_Data!AC438)</f>
        <v/>
      </c>
      <c r="O448" s="167" t="str">
        <f>IF(ISBLANK(DaqBook_RAW_Data!AD438),"",DaqBook_RAW_Data!AD438)</f>
        <v/>
      </c>
      <c r="P448" s="167" t="str">
        <f>IF(ISBLANK(DaqBook_RAW_Data!AE438),"",DaqBook_RAW_Data!AE438)</f>
        <v/>
      </c>
    </row>
    <row r="449" spans="1:16" x14ac:dyDescent="0.2">
      <c r="A449" s="58" t="e">
        <f t="shared" si="6"/>
        <v>#VALUE!</v>
      </c>
      <c r="B449" s="144" t="str">
        <f>IF(ISBLANK(DaqBook_RAW_Data!Q439),IF(DaqBook_RAW_Data!A439="","",TIMEVALUE(DaqBook_RAW_Data!A439)),TIMEVALUE(DaqBook_RAW_Data!Q439))</f>
        <v/>
      </c>
      <c r="C449" s="167" t="str">
        <f>IF(ISBLANK(DaqBook_RAW_Data!R439),"",DaqBook_RAW_Data!R439)</f>
        <v/>
      </c>
      <c r="D449" s="167" t="str">
        <f>IF(ISBLANK(DaqBook_RAW_Data!S439),"",DaqBook_RAW_Data!S439)</f>
        <v/>
      </c>
      <c r="E449" s="167" t="str">
        <f>IF(ISBLANK(DaqBook_RAW_Data!T439),"",DaqBook_RAW_Data!T439)</f>
        <v/>
      </c>
      <c r="F449" s="167" t="str">
        <f>IF(ISBLANK(DaqBook_RAW_Data!U439),"",DaqBook_RAW_Data!U439)</f>
        <v/>
      </c>
      <c r="G449" s="167" t="str">
        <f>IF(ISBLANK(DaqBook_RAW_Data!V439),"",DaqBook_RAW_Data!V439)</f>
        <v/>
      </c>
      <c r="H449" s="167" t="str">
        <f>IF(ISBLANK(DaqBook_RAW_Data!W439),"",DaqBook_RAW_Data!W439)</f>
        <v/>
      </c>
      <c r="I449" s="167" t="str">
        <f>IF(ISBLANK(DaqBook_RAW_Data!X439),"",DaqBook_RAW_Data!X439)</f>
        <v/>
      </c>
      <c r="J449" s="167" t="str">
        <f>IF(ISBLANK(DaqBook_RAW_Data!Y439),"",DaqBook_RAW_Data!Y439)</f>
        <v/>
      </c>
      <c r="K449" s="167" t="str">
        <f>IF(ISBLANK(DaqBook_RAW_Data!Z439),"",DaqBook_RAW_Data!Z439)</f>
        <v/>
      </c>
      <c r="L449" s="167" t="str">
        <f>IF(ISBLANK(DaqBook_RAW_Data!AA439),"",DaqBook_RAW_Data!AA439)</f>
        <v/>
      </c>
      <c r="M449" s="167" t="str">
        <f>IF(ISBLANK(DaqBook_RAW_Data!AB439),"",DaqBook_RAW_Data!AB439)</f>
        <v/>
      </c>
      <c r="N449" s="167" t="str">
        <f>IF(ISBLANK(DaqBook_RAW_Data!AC439),"",DaqBook_RAW_Data!AC439)</f>
        <v/>
      </c>
      <c r="O449" s="167" t="str">
        <f>IF(ISBLANK(DaqBook_RAW_Data!AD439),"",DaqBook_RAW_Data!AD439)</f>
        <v/>
      </c>
      <c r="P449" s="167" t="str">
        <f>IF(ISBLANK(DaqBook_RAW_Data!AE439),"",DaqBook_RAW_Data!AE439)</f>
        <v/>
      </c>
    </row>
    <row r="450" spans="1:16" x14ac:dyDescent="0.2">
      <c r="A450" s="58" t="e">
        <f t="shared" si="6"/>
        <v>#VALUE!</v>
      </c>
      <c r="B450" s="144" t="str">
        <f>IF(ISBLANK(DaqBook_RAW_Data!Q440),IF(DaqBook_RAW_Data!A440="","",TIMEVALUE(DaqBook_RAW_Data!A440)),TIMEVALUE(DaqBook_RAW_Data!Q440))</f>
        <v/>
      </c>
      <c r="C450" s="167" t="str">
        <f>IF(ISBLANK(DaqBook_RAW_Data!R440),"",DaqBook_RAW_Data!R440)</f>
        <v/>
      </c>
      <c r="D450" s="167" t="str">
        <f>IF(ISBLANK(DaqBook_RAW_Data!S440),"",DaqBook_RAW_Data!S440)</f>
        <v/>
      </c>
      <c r="E450" s="167" t="str">
        <f>IF(ISBLANK(DaqBook_RAW_Data!T440),"",DaqBook_RAW_Data!T440)</f>
        <v/>
      </c>
      <c r="F450" s="167" t="str">
        <f>IF(ISBLANK(DaqBook_RAW_Data!U440),"",DaqBook_RAW_Data!U440)</f>
        <v/>
      </c>
      <c r="G450" s="167" t="str">
        <f>IF(ISBLANK(DaqBook_RAW_Data!V440),"",DaqBook_RAW_Data!V440)</f>
        <v/>
      </c>
      <c r="H450" s="167" t="str">
        <f>IF(ISBLANK(DaqBook_RAW_Data!W440),"",DaqBook_RAW_Data!W440)</f>
        <v/>
      </c>
      <c r="I450" s="167" t="str">
        <f>IF(ISBLANK(DaqBook_RAW_Data!X440),"",DaqBook_RAW_Data!X440)</f>
        <v/>
      </c>
      <c r="J450" s="167" t="str">
        <f>IF(ISBLANK(DaqBook_RAW_Data!Y440),"",DaqBook_RAW_Data!Y440)</f>
        <v/>
      </c>
      <c r="K450" s="167" t="str">
        <f>IF(ISBLANK(DaqBook_RAW_Data!Z440),"",DaqBook_RAW_Data!Z440)</f>
        <v/>
      </c>
      <c r="L450" s="167" t="str">
        <f>IF(ISBLANK(DaqBook_RAW_Data!AA440),"",DaqBook_RAW_Data!AA440)</f>
        <v/>
      </c>
      <c r="M450" s="167" t="str">
        <f>IF(ISBLANK(DaqBook_RAW_Data!AB440),"",DaqBook_RAW_Data!AB440)</f>
        <v/>
      </c>
      <c r="N450" s="167" t="str">
        <f>IF(ISBLANK(DaqBook_RAW_Data!AC440),"",DaqBook_RAW_Data!AC440)</f>
        <v/>
      </c>
      <c r="O450" s="167" t="str">
        <f>IF(ISBLANK(DaqBook_RAW_Data!AD440),"",DaqBook_RAW_Data!AD440)</f>
        <v/>
      </c>
      <c r="P450" s="167" t="str">
        <f>IF(ISBLANK(DaqBook_RAW_Data!AE440),"",DaqBook_RAW_Data!AE440)</f>
        <v/>
      </c>
    </row>
    <row r="451" spans="1:16" x14ac:dyDescent="0.2">
      <c r="A451" s="58" t="e">
        <f t="shared" si="6"/>
        <v>#VALUE!</v>
      </c>
      <c r="B451" s="144" t="str">
        <f>IF(ISBLANK(DaqBook_RAW_Data!Q441),IF(DaqBook_RAW_Data!A441="","",TIMEVALUE(DaqBook_RAW_Data!A441)),TIMEVALUE(DaqBook_RAW_Data!Q441))</f>
        <v/>
      </c>
      <c r="C451" s="167" t="str">
        <f>IF(ISBLANK(DaqBook_RAW_Data!R441),"",DaqBook_RAW_Data!R441)</f>
        <v/>
      </c>
      <c r="D451" s="167" t="str">
        <f>IF(ISBLANK(DaqBook_RAW_Data!S441),"",DaqBook_RAW_Data!S441)</f>
        <v/>
      </c>
      <c r="E451" s="167" t="str">
        <f>IF(ISBLANK(DaqBook_RAW_Data!T441),"",DaqBook_RAW_Data!T441)</f>
        <v/>
      </c>
      <c r="F451" s="167" t="str">
        <f>IF(ISBLANK(DaqBook_RAW_Data!U441),"",DaqBook_RAW_Data!U441)</f>
        <v/>
      </c>
      <c r="G451" s="167" t="str">
        <f>IF(ISBLANK(DaqBook_RAW_Data!V441),"",DaqBook_RAW_Data!V441)</f>
        <v/>
      </c>
      <c r="H451" s="167" t="str">
        <f>IF(ISBLANK(DaqBook_RAW_Data!W441),"",DaqBook_RAW_Data!W441)</f>
        <v/>
      </c>
      <c r="I451" s="167" t="str">
        <f>IF(ISBLANK(DaqBook_RAW_Data!X441),"",DaqBook_RAW_Data!X441)</f>
        <v/>
      </c>
      <c r="J451" s="167" t="str">
        <f>IF(ISBLANK(DaqBook_RAW_Data!Y441),"",DaqBook_RAW_Data!Y441)</f>
        <v/>
      </c>
      <c r="K451" s="167" t="str">
        <f>IF(ISBLANK(DaqBook_RAW_Data!Z441),"",DaqBook_RAW_Data!Z441)</f>
        <v/>
      </c>
      <c r="L451" s="167" t="str">
        <f>IF(ISBLANK(DaqBook_RAW_Data!AA441),"",DaqBook_RAW_Data!AA441)</f>
        <v/>
      </c>
      <c r="M451" s="167" t="str">
        <f>IF(ISBLANK(DaqBook_RAW_Data!AB441),"",DaqBook_RAW_Data!AB441)</f>
        <v/>
      </c>
      <c r="N451" s="167" t="str">
        <f>IF(ISBLANK(DaqBook_RAW_Data!AC441),"",DaqBook_RAW_Data!AC441)</f>
        <v/>
      </c>
      <c r="O451" s="167" t="str">
        <f>IF(ISBLANK(DaqBook_RAW_Data!AD441),"",DaqBook_RAW_Data!AD441)</f>
        <v/>
      </c>
      <c r="P451" s="167" t="str">
        <f>IF(ISBLANK(DaqBook_RAW_Data!AE441),"",DaqBook_RAW_Data!AE441)</f>
        <v/>
      </c>
    </row>
    <row r="452" spans="1:16" x14ac:dyDescent="0.2">
      <c r="A452" s="58" t="e">
        <f t="shared" si="6"/>
        <v>#VALUE!</v>
      </c>
      <c r="B452" s="144" t="str">
        <f>IF(ISBLANK(DaqBook_RAW_Data!Q442),IF(DaqBook_RAW_Data!A442="","",TIMEVALUE(DaqBook_RAW_Data!A442)),TIMEVALUE(DaqBook_RAW_Data!Q442))</f>
        <v/>
      </c>
      <c r="C452" s="167" t="str">
        <f>IF(ISBLANK(DaqBook_RAW_Data!R442),"",DaqBook_RAW_Data!R442)</f>
        <v/>
      </c>
      <c r="D452" s="167" t="str">
        <f>IF(ISBLANK(DaqBook_RAW_Data!S442),"",DaqBook_RAW_Data!S442)</f>
        <v/>
      </c>
      <c r="E452" s="167" t="str">
        <f>IF(ISBLANK(DaqBook_RAW_Data!T442),"",DaqBook_RAW_Data!T442)</f>
        <v/>
      </c>
      <c r="F452" s="167" t="str">
        <f>IF(ISBLANK(DaqBook_RAW_Data!U442),"",DaqBook_RAW_Data!U442)</f>
        <v/>
      </c>
      <c r="G452" s="167" t="str">
        <f>IF(ISBLANK(DaqBook_RAW_Data!V442),"",DaqBook_RAW_Data!V442)</f>
        <v/>
      </c>
      <c r="H452" s="167" t="str">
        <f>IF(ISBLANK(DaqBook_RAW_Data!W442),"",DaqBook_RAW_Data!W442)</f>
        <v/>
      </c>
      <c r="I452" s="167" t="str">
        <f>IF(ISBLANK(DaqBook_RAW_Data!X442),"",DaqBook_RAW_Data!X442)</f>
        <v/>
      </c>
      <c r="J452" s="167" t="str">
        <f>IF(ISBLANK(DaqBook_RAW_Data!Y442),"",DaqBook_RAW_Data!Y442)</f>
        <v/>
      </c>
      <c r="K452" s="167" t="str">
        <f>IF(ISBLANK(DaqBook_RAW_Data!Z442),"",DaqBook_RAW_Data!Z442)</f>
        <v/>
      </c>
      <c r="L452" s="167" t="str">
        <f>IF(ISBLANK(DaqBook_RAW_Data!AA442),"",DaqBook_RAW_Data!AA442)</f>
        <v/>
      </c>
      <c r="M452" s="167" t="str">
        <f>IF(ISBLANK(DaqBook_RAW_Data!AB442),"",DaqBook_RAW_Data!AB442)</f>
        <v/>
      </c>
      <c r="N452" s="167" t="str">
        <f>IF(ISBLANK(DaqBook_RAW_Data!AC442),"",DaqBook_RAW_Data!AC442)</f>
        <v/>
      </c>
      <c r="O452" s="167" t="str">
        <f>IF(ISBLANK(DaqBook_RAW_Data!AD442),"",DaqBook_RAW_Data!AD442)</f>
        <v/>
      </c>
      <c r="P452" s="167" t="str">
        <f>IF(ISBLANK(DaqBook_RAW_Data!AE442),"",DaqBook_RAW_Data!AE442)</f>
        <v/>
      </c>
    </row>
    <row r="453" spans="1:16" x14ac:dyDescent="0.2">
      <c r="A453" s="58" t="e">
        <f t="shared" si="6"/>
        <v>#VALUE!</v>
      </c>
      <c r="B453" s="144" t="str">
        <f>IF(ISBLANK(DaqBook_RAW_Data!Q443),IF(DaqBook_RAW_Data!A443="","",TIMEVALUE(DaqBook_RAW_Data!A443)),TIMEVALUE(DaqBook_RAW_Data!Q443))</f>
        <v/>
      </c>
      <c r="C453" s="167" t="str">
        <f>IF(ISBLANK(DaqBook_RAW_Data!R443),"",DaqBook_RAW_Data!R443)</f>
        <v/>
      </c>
      <c r="D453" s="167" t="str">
        <f>IF(ISBLANK(DaqBook_RAW_Data!S443),"",DaqBook_RAW_Data!S443)</f>
        <v/>
      </c>
      <c r="E453" s="167" t="str">
        <f>IF(ISBLANK(DaqBook_RAW_Data!T443),"",DaqBook_RAW_Data!T443)</f>
        <v/>
      </c>
      <c r="F453" s="167" t="str">
        <f>IF(ISBLANK(DaqBook_RAW_Data!U443),"",DaqBook_RAW_Data!U443)</f>
        <v/>
      </c>
      <c r="G453" s="167" t="str">
        <f>IF(ISBLANK(DaqBook_RAW_Data!V443),"",DaqBook_RAW_Data!V443)</f>
        <v/>
      </c>
      <c r="H453" s="167" t="str">
        <f>IF(ISBLANK(DaqBook_RAW_Data!W443),"",DaqBook_RAW_Data!W443)</f>
        <v/>
      </c>
      <c r="I453" s="167" t="str">
        <f>IF(ISBLANK(DaqBook_RAW_Data!X443),"",DaqBook_RAW_Data!X443)</f>
        <v/>
      </c>
      <c r="J453" s="167" t="str">
        <f>IF(ISBLANK(DaqBook_RAW_Data!Y443),"",DaqBook_RAW_Data!Y443)</f>
        <v/>
      </c>
      <c r="K453" s="167" t="str">
        <f>IF(ISBLANK(DaqBook_RAW_Data!Z443),"",DaqBook_RAW_Data!Z443)</f>
        <v/>
      </c>
      <c r="L453" s="167" t="str">
        <f>IF(ISBLANK(DaqBook_RAW_Data!AA443),"",DaqBook_RAW_Data!AA443)</f>
        <v/>
      </c>
      <c r="M453" s="167" t="str">
        <f>IF(ISBLANK(DaqBook_RAW_Data!AB443),"",DaqBook_RAW_Data!AB443)</f>
        <v/>
      </c>
      <c r="N453" s="167" t="str">
        <f>IF(ISBLANK(DaqBook_RAW_Data!AC443),"",DaqBook_RAW_Data!AC443)</f>
        <v/>
      </c>
      <c r="O453" s="167" t="str">
        <f>IF(ISBLANK(DaqBook_RAW_Data!AD443),"",DaqBook_RAW_Data!AD443)</f>
        <v/>
      </c>
      <c r="P453" s="167" t="str">
        <f>IF(ISBLANK(DaqBook_RAW_Data!AE443),"",DaqBook_RAW_Data!AE443)</f>
        <v/>
      </c>
    </row>
    <row r="454" spans="1:16" x14ac:dyDescent="0.2">
      <c r="A454" s="58" t="e">
        <f t="shared" si="6"/>
        <v>#VALUE!</v>
      </c>
      <c r="B454" s="144" t="str">
        <f>IF(ISBLANK(DaqBook_RAW_Data!Q444),IF(DaqBook_RAW_Data!A444="","",TIMEVALUE(DaqBook_RAW_Data!A444)),TIMEVALUE(DaqBook_RAW_Data!Q444))</f>
        <v/>
      </c>
      <c r="C454" s="167" t="str">
        <f>IF(ISBLANK(DaqBook_RAW_Data!R444),"",DaqBook_RAW_Data!R444)</f>
        <v/>
      </c>
      <c r="D454" s="167" t="str">
        <f>IF(ISBLANK(DaqBook_RAW_Data!S444),"",DaqBook_RAW_Data!S444)</f>
        <v/>
      </c>
      <c r="E454" s="167" t="str">
        <f>IF(ISBLANK(DaqBook_RAW_Data!T444),"",DaqBook_RAW_Data!T444)</f>
        <v/>
      </c>
      <c r="F454" s="167" t="str">
        <f>IF(ISBLANK(DaqBook_RAW_Data!U444),"",DaqBook_RAW_Data!U444)</f>
        <v/>
      </c>
      <c r="G454" s="167" t="str">
        <f>IF(ISBLANK(DaqBook_RAW_Data!V444),"",DaqBook_RAW_Data!V444)</f>
        <v/>
      </c>
      <c r="H454" s="167" t="str">
        <f>IF(ISBLANK(DaqBook_RAW_Data!W444),"",DaqBook_RAW_Data!W444)</f>
        <v/>
      </c>
      <c r="I454" s="167" t="str">
        <f>IF(ISBLANK(DaqBook_RAW_Data!X444),"",DaqBook_RAW_Data!X444)</f>
        <v/>
      </c>
      <c r="J454" s="167" t="str">
        <f>IF(ISBLANK(DaqBook_RAW_Data!Y444),"",DaqBook_RAW_Data!Y444)</f>
        <v/>
      </c>
      <c r="K454" s="167" t="str">
        <f>IF(ISBLANK(DaqBook_RAW_Data!Z444),"",DaqBook_RAW_Data!Z444)</f>
        <v/>
      </c>
      <c r="L454" s="167" t="str">
        <f>IF(ISBLANK(DaqBook_RAW_Data!AA444),"",DaqBook_RAW_Data!AA444)</f>
        <v/>
      </c>
      <c r="M454" s="167" t="str">
        <f>IF(ISBLANK(DaqBook_RAW_Data!AB444),"",DaqBook_RAW_Data!AB444)</f>
        <v/>
      </c>
      <c r="N454" s="167" t="str">
        <f>IF(ISBLANK(DaqBook_RAW_Data!AC444),"",DaqBook_RAW_Data!AC444)</f>
        <v/>
      </c>
      <c r="O454" s="167" t="str">
        <f>IF(ISBLANK(DaqBook_RAW_Data!AD444),"",DaqBook_RAW_Data!AD444)</f>
        <v/>
      </c>
      <c r="P454" s="167" t="str">
        <f>IF(ISBLANK(DaqBook_RAW_Data!AE444),"",DaqBook_RAW_Data!AE444)</f>
        <v/>
      </c>
    </row>
    <row r="455" spans="1:16" x14ac:dyDescent="0.2">
      <c r="A455" s="58" t="e">
        <f t="shared" si="6"/>
        <v>#VALUE!</v>
      </c>
      <c r="B455" s="144" t="str">
        <f>IF(ISBLANK(DaqBook_RAW_Data!Q445),IF(DaqBook_RAW_Data!A445="","",TIMEVALUE(DaqBook_RAW_Data!A445)),TIMEVALUE(DaqBook_RAW_Data!Q445))</f>
        <v/>
      </c>
      <c r="C455" s="167" t="str">
        <f>IF(ISBLANK(DaqBook_RAW_Data!R445),"",DaqBook_RAW_Data!R445)</f>
        <v/>
      </c>
      <c r="D455" s="167" t="str">
        <f>IF(ISBLANK(DaqBook_RAW_Data!S445),"",DaqBook_RAW_Data!S445)</f>
        <v/>
      </c>
      <c r="E455" s="167" t="str">
        <f>IF(ISBLANK(DaqBook_RAW_Data!T445),"",DaqBook_RAW_Data!T445)</f>
        <v/>
      </c>
      <c r="F455" s="167" t="str">
        <f>IF(ISBLANK(DaqBook_RAW_Data!U445),"",DaqBook_RAW_Data!U445)</f>
        <v/>
      </c>
      <c r="G455" s="167" t="str">
        <f>IF(ISBLANK(DaqBook_RAW_Data!V445),"",DaqBook_RAW_Data!V445)</f>
        <v/>
      </c>
      <c r="H455" s="167" t="str">
        <f>IF(ISBLANK(DaqBook_RAW_Data!W445),"",DaqBook_RAW_Data!W445)</f>
        <v/>
      </c>
      <c r="I455" s="167" t="str">
        <f>IF(ISBLANK(DaqBook_RAW_Data!X445),"",DaqBook_RAW_Data!X445)</f>
        <v/>
      </c>
      <c r="J455" s="167" t="str">
        <f>IF(ISBLANK(DaqBook_RAW_Data!Y445),"",DaqBook_RAW_Data!Y445)</f>
        <v/>
      </c>
      <c r="K455" s="167" t="str">
        <f>IF(ISBLANK(DaqBook_RAW_Data!Z445),"",DaqBook_RAW_Data!Z445)</f>
        <v/>
      </c>
      <c r="L455" s="167" t="str">
        <f>IF(ISBLANK(DaqBook_RAW_Data!AA445),"",DaqBook_RAW_Data!AA445)</f>
        <v/>
      </c>
      <c r="M455" s="167" t="str">
        <f>IF(ISBLANK(DaqBook_RAW_Data!AB445),"",DaqBook_RAW_Data!AB445)</f>
        <v/>
      </c>
      <c r="N455" s="167" t="str">
        <f>IF(ISBLANK(DaqBook_RAW_Data!AC445),"",DaqBook_RAW_Data!AC445)</f>
        <v/>
      </c>
      <c r="O455" s="167" t="str">
        <f>IF(ISBLANK(DaqBook_RAW_Data!AD445),"",DaqBook_RAW_Data!AD445)</f>
        <v/>
      </c>
      <c r="P455" s="167" t="str">
        <f>IF(ISBLANK(DaqBook_RAW_Data!AE445),"",DaqBook_RAW_Data!AE445)</f>
        <v/>
      </c>
    </row>
    <row r="456" spans="1:16" x14ac:dyDescent="0.2">
      <c r="A456" s="58" t="e">
        <f t="shared" si="6"/>
        <v>#VALUE!</v>
      </c>
      <c r="B456" s="144" t="str">
        <f>IF(ISBLANK(DaqBook_RAW_Data!Q446),IF(DaqBook_RAW_Data!A446="","",TIMEVALUE(DaqBook_RAW_Data!A446)),TIMEVALUE(DaqBook_RAW_Data!Q446))</f>
        <v/>
      </c>
      <c r="C456" s="167" t="str">
        <f>IF(ISBLANK(DaqBook_RAW_Data!R446),"",DaqBook_RAW_Data!R446)</f>
        <v/>
      </c>
      <c r="D456" s="167" t="str">
        <f>IF(ISBLANK(DaqBook_RAW_Data!S446),"",DaqBook_RAW_Data!S446)</f>
        <v/>
      </c>
      <c r="E456" s="167" t="str">
        <f>IF(ISBLANK(DaqBook_RAW_Data!T446),"",DaqBook_RAW_Data!T446)</f>
        <v/>
      </c>
      <c r="F456" s="167" t="str">
        <f>IF(ISBLANK(DaqBook_RAW_Data!U446),"",DaqBook_RAW_Data!U446)</f>
        <v/>
      </c>
      <c r="G456" s="167" t="str">
        <f>IF(ISBLANK(DaqBook_RAW_Data!V446),"",DaqBook_RAW_Data!V446)</f>
        <v/>
      </c>
      <c r="H456" s="167" t="str">
        <f>IF(ISBLANK(DaqBook_RAW_Data!W446),"",DaqBook_RAW_Data!W446)</f>
        <v/>
      </c>
      <c r="I456" s="167" t="str">
        <f>IF(ISBLANK(DaqBook_RAW_Data!X446),"",DaqBook_RAW_Data!X446)</f>
        <v/>
      </c>
      <c r="J456" s="167" t="str">
        <f>IF(ISBLANK(DaqBook_RAW_Data!Y446),"",DaqBook_RAW_Data!Y446)</f>
        <v/>
      </c>
      <c r="K456" s="167" t="str">
        <f>IF(ISBLANK(DaqBook_RAW_Data!Z446),"",DaqBook_RAW_Data!Z446)</f>
        <v/>
      </c>
      <c r="L456" s="167" t="str">
        <f>IF(ISBLANK(DaqBook_RAW_Data!AA446),"",DaqBook_RAW_Data!AA446)</f>
        <v/>
      </c>
      <c r="M456" s="167" t="str">
        <f>IF(ISBLANK(DaqBook_RAW_Data!AB446),"",DaqBook_RAW_Data!AB446)</f>
        <v/>
      </c>
      <c r="N456" s="167" t="str">
        <f>IF(ISBLANK(DaqBook_RAW_Data!AC446),"",DaqBook_RAW_Data!AC446)</f>
        <v/>
      </c>
      <c r="O456" s="167" t="str">
        <f>IF(ISBLANK(DaqBook_RAW_Data!AD446),"",DaqBook_RAW_Data!AD446)</f>
        <v/>
      </c>
      <c r="P456" s="167" t="str">
        <f>IF(ISBLANK(DaqBook_RAW_Data!AE446),"",DaqBook_RAW_Data!AE446)</f>
        <v/>
      </c>
    </row>
    <row r="457" spans="1:16" x14ac:dyDescent="0.2">
      <c r="A457" s="58" t="e">
        <f t="shared" si="6"/>
        <v>#VALUE!</v>
      </c>
      <c r="B457" s="144" t="str">
        <f>IF(ISBLANK(DaqBook_RAW_Data!Q447),IF(DaqBook_RAW_Data!A447="","",TIMEVALUE(DaqBook_RAW_Data!A447)),TIMEVALUE(DaqBook_RAW_Data!Q447))</f>
        <v/>
      </c>
      <c r="C457" s="167" t="str">
        <f>IF(ISBLANK(DaqBook_RAW_Data!R447),"",DaqBook_RAW_Data!R447)</f>
        <v/>
      </c>
      <c r="D457" s="167" t="str">
        <f>IF(ISBLANK(DaqBook_RAW_Data!S447),"",DaqBook_RAW_Data!S447)</f>
        <v/>
      </c>
      <c r="E457" s="167" t="str">
        <f>IF(ISBLANK(DaqBook_RAW_Data!T447),"",DaqBook_RAW_Data!T447)</f>
        <v/>
      </c>
      <c r="F457" s="167" t="str">
        <f>IF(ISBLANK(DaqBook_RAW_Data!U447),"",DaqBook_RAW_Data!U447)</f>
        <v/>
      </c>
      <c r="G457" s="167" t="str">
        <f>IF(ISBLANK(DaqBook_RAW_Data!V447),"",DaqBook_RAW_Data!V447)</f>
        <v/>
      </c>
      <c r="H457" s="167" t="str">
        <f>IF(ISBLANK(DaqBook_RAW_Data!W447),"",DaqBook_RAW_Data!W447)</f>
        <v/>
      </c>
      <c r="I457" s="167" t="str">
        <f>IF(ISBLANK(DaqBook_RAW_Data!X447),"",DaqBook_RAW_Data!X447)</f>
        <v/>
      </c>
      <c r="J457" s="167" t="str">
        <f>IF(ISBLANK(DaqBook_RAW_Data!Y447),"",DaqBook_RAW_Data!Y447)</f>
        <v/>
      </c>
      <c r="K457" s="167" t="str">
        <f>IF(ISBLANK(DaqBook_RAW_Data!Z447),"",DaqBook_RAW_Data!Z447)</f>
        <v/>
      </c>
      <c r="L457" s="167" t="str">
        <f>IF(ISBLANK(DaqBook_RAW_Data!AA447),"",DaqBook_RAW_Data!AA447)</f>
        <v/>
      </c>
      <c r="M457" s="167" t="str">
        <f>IF(ISBLANK(DaqBook_RAW_Data!AB447),"",DaqBook_RAW_Data!AB447)</f>
        <v/>
      </c>
      <c r="N457" s="167" t="str">
        <f>IF(ISBLANK(DaqBook_RAW_Data!AC447),"",DaqBook_RAW_Data!AC447)</f>
        <v/>
      </c>
      <c r="O457" s="167" t="str">
        <f>IF(ISBLANK(DaqBook_RAW_Data!AD447),"",DaqBook_RAW_Data!AD447)</f>
        <v/>
      </c>
      <c r="P457" s="167" t="str">
        <f>IF(ISBLANK(DaqBook_RAW_Data!AE447),"",DaqBook_RAW_Data!AE447)</f>
        <v/>
      </c>
    </row>
    <row r="458" spans="1:16" x14ac:dyDescent="0.2">
      <c r="A458" s="58" t="e">
        <f t="shared" si="6"/>
        <v>#VALUE!</v>
      </c>
      <c r="B458" s="144" t="str">
        <f>IF(ISBLANK(DaqBook_RAW_Data!Q448),IF(DaqBook_RAW_Data!A448="","",TIMEVALUE(DaqBook_RAW_Data!A448)),TIMEVALUE(DaqBook_RAW_Data!Q448))</f>
        <v/>
      </c>
      <c r="C458" s="167" t="str">
        <f>IF(ISBLANK(DaqBook_RAW_Data!R448),"",DaqBook_RAW_Data!R448)</f>
        <v/>
      </c>
      <c r="D458" s="167" t="str">
        <f>IF(ISBLANK(DaqBook_RAW_Data!S448),"",DaqBook_RAW_Data!S448)</f>
        <v/>
      </c>
      <c r="E458" s="167" t="str">
        <f>IF(ISBLANK(DaqBook_RAW_Data!T448),"",DaqBook_RAW_Data!T448)</f>
        <v/>
      </c>
      <c r="F458" s="167" t="str">
        <f>IF(ISBLANK(DaqBook_RAW_Data!U448),"",DaqBook_RAW_Data!U448)</f>
        <v/>
      </c>
      <c r="G458" s="167" t="str">
        <f>IF(ISBLANK(DaqBook_RAW_Data!V448),"",DaqBook_RAW_Data!V448)</f>
        <v/>
      </c>
      <c r="H458" s="167" t="str">
        <f>IF(ISBLANK(DaqBook_RAW_Data!W448),"",DaqBook_RAW_Data!W448)</f>
        <v/>
      </c>
      <c r="I458" s="167" t="str">
        <f>IF(ISBLANK(DaqBook_RAW_Data!X448),"",DaqBook_RAW_Data!X448)</f>
        <v/>
      </c>
      <c r="J458" s="167" t="str">
        <f>IF(ISBLANK(DaqBook_RAW_Data!Y448),"",DaqBook_RAW_Data!Y448)</f>
        <v/>
      </c>
      <c r="K458" s="167" t="str">
        <f>IF(ISBLANK(DaqBook_RAW_Data!Z448),"",DaqBook_RAW_Data!Z448)</f>
        <v/>
      </c>
      <c r="L458" s="167" t="str">
        <f>IF(ISBLANK(DaqBook_RAW_Data!AA448),"",DaqBook_RAW_Data!AA448)</f>
        <v/>
      </c>
      <c r="M458" s="167" t="str">
        <f>IF(ISBLANK(DaqBook_RAW_Data!AB448),"",DaqBook_RAW_Data!AB448)</f>
        <v/>
      </c>
      <c r="N458" s="167" t="str">
        <f>IF(ISBLANK(DaqBook_RAW_Data!AC448),"",DaqBook_RAW_Data!AC448)</f>
        <v/>
      </c>
      <c r="O458" s="167" t="str">
        <f>IF(ISBLANK(DaqBook_RAW_Data!AD448),"",DaqBook_RAW_Data!AD448)</f>
        <v/>
      </c>
      <c r="P458" s="167" t="str">
        <f>IF(ISBLANK(DaqBook_RAW_Data!AE448),"",DaqBook_RAW_Data!AE448)</f>
        <v/>
      </c>
    </row>
    <row r="459" spans="1:16" x14ac:dyDescent="0.2">
      <c r="A459" s="58" t="e">
        <f t="shared" si="6"/>
        <v>#VALUE!</v>
      </c>
      <c r="B459" s="144" t="str">
        <f>IF(ISBLANK(DaqBook_RAW_Data!Q449),IF(DaqBook_RAW_Data!A449="","",TIMEVALUE(DaqBook_RAW_Data!A449)),TIMEVALUE(DaqBook_RAW_Data!Q449))</f>
        <v/>
      </c>
      <c r="C459" s="167" t="str">
        <f>IF(ISBLANK(DaqBook_RAW_Data!R449),"",DaqBook_RAW_Data!R449)</f>
        <v/>
      </c>
      <c r="D459" s="167" t="str">
        <f>IF(ISBLANK(DaqBook_RAW_Data!S449),"",DaqBook_RAW_Data!S449)</f>
        <v/>
      </c>
      <c r="E459" s="167" t="str">
        <f>IF(ISBLANK(DaqBook_RAW_Data!T449),"",DaqBook_RAW_Data!T449)</f>
        <v/>
      </c>
      <c r="F459" s="167" t="str">
        <f>IF(ISBLANK(DaqBook_RAW_Data!U449),"",DaqBook_RAW_Data!U449)</f>
        <v/>
      </c>
      <c r="G459" s="167" t="str">
        <f>IF(ISBLANK(DaqBook_RAW_Data!V449),"",DaqBook_RAW_Data!V449)</f>
        <v/>
      </c>
      <c r="H459" s="167" t="str">
        <f>IF(ISBLANK(DaqBook_RAW_Data!W449),"",DaqBook_RAW_Data!W449)</f>
        <v/>
      </c>
      <c r="I459" s="167" t="str">
        <f>IF(ISBLANK(DaqBook_RAW_Data!X449),"",DaqBook_RAW_Data!X449)</f>
        <v/>
      </c>
      <c r="J459" s="167" t="str">
        <f>IF(ISBLANK(DaqBook_RAW_Data!Y449),"",DaqBook_RAW_Data!Y449)</f>
        <v/>
      </c>
      <c r="K459" s="167" t="str">
        <f>IF(ISBLANK(DaqBook_RAW_Data!Z449),"",DaqBook_RAW_Data!Z449)</f>
        <v/>
      </c>
      <c r="L459" s="167" t="str">
        <f>IF(ISBLANK(DaqBook_RAW_Data!AA449),"",DaqBook_RAW_Data!AA449)</f>
        <v/>
      </c>
      <c r="M459" s="167" t="str">
        <f>IF(ISBLANK(DaqBook_RAW_Data!AB449),"",DaqBook_RAW_Data!AB449)</f>
        <v/>
      </c>
      <c r="N459" s="167" t="str">
        <f>IF(ISBLANK(DaqBook_RAW_Data!AC449),"",DaqBook_RAW_Data!AC449)</f>
        <v/>
      </c>
      <c r="O459" s="167" t="str">
        <f>IF(ISBLANK(DaqBook_RAW_Data!AD449),"",DaqBook_RAW_Data!AD449)</f>
        <v/>
      </c>
      <c r="P459" s="167" t="str">
        <f>IF(ISBLANK(DaqBook_RAW_Data!AE449),"",DaqBook_RAW_Data!AE449)</f>
        <v/>
      </c>
    </row>
    <row r="460" spans="1:16" x14ac:dyDescent="0.2">
      <c r="A460" s="58" t="e">
        <f t="shared" si="6"/>
        <v>#VALUE!</v>
      </c>
      <c r="B460" s="144" t="str">
        <f>IF(ISBLANK(DaqBook_RAW_Data!Q450),IF(DaqBook_RAW_Data!A450="","",TIMEVALUE(DaqBook_RAW_Data!A450)),TIMEVALUE(DaqBook_RAW_Data!Q450))</f>
        <v/>
      </c>
      <c r="C460" s="167" t="str">
        <f>IF(ISBLANK(DaqBook_RAW_Data!R450),"",DaqBook_RAW_Data!R450)</f>
        <v/>
      </c>
      <c r="D460" s="167" t="str">
        <f>IF(ISBLANK(DaqBook_RAW_Data!S450),"",DaqBook_RAW_Data!S450)</f>
        <v/>
      </c>
      <c r="E460" s="167" t="str">
        <f>IF(ISBLANK(DaqBook_RAW_Data!T450),"",DaqBook_RAW_Data!T450)</f>
        <v/>
      </c>
      <c r="F460" s="167" t="str">
        <f>IF(ISBLANK(DaqBook_RAW_Data!U450),"",DaqBook_RAW_Data!U450)</f>
        <v/>
      </c>
      <c r="G460" s="167" t="str">
        <f>IF(ISBLANK(DaqBook_RAW_Data!V450),"",DaqBook_RAW_Data!V450)</f>
        <v/>
      </c>
      <c r="H460" s="167" t="str">
        <f>IF(ISBLANK(DaqBook_RAW_Data!W450),"",DaqBook_RAW_Data!W450)</f>
        <v/>
      </c>
      <c r="I460" s="167" t="str">
        <f>IF(ISBLANK(DaqBook_RAW_Data!X450),"",DaqBook_RAW_Data!X450)</f>
        <v/>
      </c>
      <c r="J460" s="167" t="str">
        <f>IF(ISBLANK(DaqBook_RAW_Data!Y450),"",DaqBook_RAW_Data!Y450)</f>
        <v/>
      </c>
      <c r="K460" s="167" t="str">
        <f>IF(ISBLANK(DaqBook_RAW_Data!Z450),"",DaqBook_RAW_Data!Z450)</f>
        <v/>
      </c>
      <c r="L460" s="167" t="str">
        <f>IF(ISBLANK(DaqBook_RAW_Data!AA450),"",DaqBook_RAW_Data!AA450)</f>
        <v/>
      </c>
      <c r="M460" s="167" t="str">
        <f>IF(ISBLANK(DaqBook_RAW_Data!AB450),"",DaqBook_RAW_Data!AB450)</f>
        <v/>
      </c>
      <c r="N460" s="167" t="str">
        <f>IF(ISBLANK(DaqBook_RAW_Data!AC450),"",DaqBook_RAW_Data!AC450)</f>
        <v/>
      </c>
      <c r="O460" s="167" t="str">
        <f>IF(ISBLANK(DaqBook_RAW_Data!AD450),"",DaqBook_RAW_Data!AD450)</f>
        <v/>
      </c>
      <c r="P460" s="167" t="str">
        <f>IF(ISBLANK(DaqBook_RAW_Data!AE450),"",DaqBook_RAW_Data!AE450)</f>
        <v/>
      </c>
    </row>
    <row r="461" spans="1:16" x14ac:dyDescent="0.2">
      <c r="A461" s="58" t="e">
        <f t="shared" si="6"/>
        <v>#VALUE!</v>
      </c>
      <c r="B461" s="144" t="str">
        <f>IF(ISBLANK(DaqBook_RAW_Data!Q451),IF(DaqBook_RAW_Data!A451="","",TIMEVALUE(DaqBook_RAW_Data!A451)),TIMEVALUE(DaqBook_RAW_Data!Q451))</f>
        <v/>
      </c>
      <c r="C461" s="167" t="str">
        <f>IF(ISBLANK(DaqBook_RAW_Data!R451),"",DaqBook_RAW_Data!R451)</f>
        <v/>
      </c>
      <c r="D461" s="167" t="str">
        <f>IF(ISBLANK(DaqBook_RAW_Data!S451),"",DaqBook_RAW_Data!S451)</f>
        <v/>
      </c>
      <c r="E461" s="167" t="str">
        <f>IF(ISBLANK(DaqBook_RAW_Data!T451),"",DaqBook_RAW_Data!T451)</f>
        <v/>
      </c>
      <c r="F461" s="167" t="str">
        <f>IF(ISBLANK(DaqBook_RAW_Data!U451),"",DaqBook_RAW_Data!U451)</f>
        <v/>
      </c>
      <c r="G461" s="167" t="str">
        <f>IF(ISBLANK(DaqBook_RAW_Data!V451),"",DaqBook_RAW_Data!V451)</f>
        <v/>
      </c>
      <c r="H461" s="167" t="str">
        <f>IF(ISBLANK(DaqBook_RAW_Data!W451),"",DaqBook_RAW_Data!W451)</f>
        <v/>
      </c>
      <c r="I461" s="167" t="str">
        <f>IF(ISBLANK(DaqBook_RAW_Data!X451),"",DaqBook_RAW_Data!X451)</f>
        <v/>
      </c>
      <c r="J461" s="167" t="str">
        <f>IF(ISBLANK(DaqBook_RAW_Data!Y451),"",DaqBook_RAW_Data!Y451)</f>
        <v/>
      </c>
      <c r="K461" s="167" t="str">
        <f>IF(ISBLANK(DaqBook_RAW_Data!Z451),"",DaqBook_RAW_Data!Z451)</f>
        <v/>
      </c>
      <c r="L461" s="167" t="str">
        <f>IF(ISBLANK(DaqBook_RAW_Data!AA451),"",DaqBook_RAW_Data!AA451)</f>
        <v/>
      </c>
      <c r="M461" s="167" t="str">
        <f>IF(ISBLANK(DaqBook_RAW_Data!AB451),"",DaqBook_RAW_Data!AB451)</f>
        <v/>
      </c>
      <c r="N461" s="167" t="str">
        <f>IF(ISBLANK(DaqBook_RAW_Data!AC451),"",DaqBook_RAW_Data!AC451)</f>
        <v/>
      </c>
      <c r="O461" s="167" t="str">
        <f>IF(ISBLANK(DaqBook_RAW_Data!AD451),"",DaqBook_RAW_Data!AD451)</f>
        <v/>
      </c>
      <c r="P461" s="167" t="str">
        <f>IF(ISBLANK(DaqBook_RAW_Data!AE451),"",DaqBook_RAW_Data!AE451)</f>
        <v/>
      </c>
    </row>
    <row r="462" spans="1:16" x14ac:dyDescent="0.2">
      <c r="A462" s="58" t="e">
        <f t="shared" si="6"/>
        <v>#VALUE!</v>
      </c>
      <c r="B462" s="144" t="str">
        <f>IF(ISBLANK(DaqBook_RAW_Data!Q452),IF(DaqBook_RAW_Data!A452="","",TIMEVALUE(DaqBook_RAW_Data!A452)),TIMEVALUE(DaqBook_RAW_Data!Q452))</f>
        <v/>
      </c>
      <c r="C462" s="167" t="str">
        <f>IF(ISBLANK(DaqBook_RAW_Data!R452),"",DaqBook_RAW_Data!R452)</f>
        <v/>
      </c>
      <c r="D462" s="167" t="str">
        <f>IF(ISBLANK(DaqBook_RAW_Data!S452),"",DaqBook_RAW_Data!S452)</f>
        <v/>
      </c>
      <c r="E462" s="167" t="str">
        <f>IF(ISBLANK(DaqBook_RAW_Data!T452),"",DaqBook_RAW_Data!T452)</f>
        <v/>
      </c>
      <c r="F462" s="167" t="str">
        <f>IF(ISBLANK(DaqBook_RAW_Data!U452),"",DaqBook_RAW_Data!U452)</f>
        <v/>
      </c>
      <c r="G462" s="167" t="str">
        <f>IF(ISBLANK(DaqBook_RAW_Data!V452),"",DaqBook_RAW_Data!V452)</f>
        <v/>
      </c>
      <c r="H462" s="167" t="str">
        <f>IF(ISBLANK(DaqBook_RAW_Data!W452),"",DaqBook_RAW_Data!W452)</f>
        <v/>
      </c>
      <c r="I462" s="167" t="str">
        <f>IF(ISBLANK(DaqBook_RAW_Data!X452),"",DaqBook_RAW_Data!X452)</f>
        <v/>
      </c>
      <c r="J462" s="167" t="str">
        <f>IF(ISBLANK(DaqBook_RAW_Data!Y452),"",DaqBook_RAW_Data!Y452)</f>
        <v/>
      </c>
      <c r="K462" s="167" t="str">
        <f>IF(ISBLANK(DaqBook_RAW_Data!Z452),"",DaqBook_RAW_Data!Z452)</f>
        <v/>
      </c>
      <c r="L462" s="167" t="str">
        <f>IF(ISBLANK(DaqBook_RAW_Data!AA452),"",DaqBook_RAW_Data!AA452)</f>
        <v/>
      </c>
      <c r="M462" s="167" t="str">
        <f>IF(ISBLANK(DaqBook_RAW_Data!AB452),"",DaqBook_RAW_Data!AB452)</f>
        <v/>
      </c>
      <c r="N462" s="167" t="str">
        <f>IF(ISBLANK(DaqBook_RAW_Data!AC452),"",DaqBook_RAW_Data!AC452)</f>
        <v/>
      </c>
      <c r="O462" s="167" t="str">
        <f>IF(ISBLANK(DaqBook_RAW_Data!AD452),"",DaqBook_RAW_Data!AD452)</f>
        <v/>
      </c>
      <c r="P462" s="167" t="str">
        <f>IF(ISBLANK(DaqBook_RAW_Data!AE452),"",DaqBook_RAW_Data!AE452)</f>
        <v/>
      </c>
    </row>
    <row r="463" spans="1:16" x14ac:dyDescent="0.2">
      <c r="A463" s="58" t="e">
        <f t="shared" ref="A463:A526" si="7">HOUR(B463)&amp;":"&amp;MINUTE(B463)</f>
        <v>#VALUE!</v>
      </c>
      <c r="B463" s="144" t="str">
        <f>IF(ISBLANK(DaqBook_RAW_Data!Q453),IF(DaqBook_RAW_Data!A453="","",TIMEVALUE(DaqBook_RAW_Data!A453)),TIMEVALUE(DaqBook_RAW_Data!Q453))</f>
        <v/>
      </c>
      <c r="C463" s="167" t="str">
        <f>IF(ISBLANK(DaqBook_RAW_Data!R453),"",DaqBook_RAW_Data!R453)</f>
        <v/>
      </c>
      <c r="D463" s="167" t="str">
        <f>IF(ISBLANK(DaqBook_RAW_Data!S453),"",DaqBook_RAW_Data!S453)</f>
        <v/>
      </c>
      <c r="E463" s="167" t="str">
        <f>IF(ISBLANK(DaqBook_RAW_Data!T453),"",DaqBook_RAW_Data!T453)</f>
        <v/>
      </c>
      <c r="F463" s="167" t="str">
        <f>IF(ISBLANK(DaqBook_RAW_Data!U453),"",DaqBook_RAW_Data!U453)</f>
        <v/>
      </c>
      <c r="G463" s="167" t="str">
        <f>IF(ISBLANK(DaqBook_RAW_Data!V453),"",DaqBook_RAW_Data!V453)</f>
        <v/>
      </c>
      <c r="H463" s="167" t="str">
        <f>IF(ISBLANK(DaqBook_RAW_Data!W453),"",DaqBook_RAW_Data!W453)</f>
        <v/>
      </c>
      <c r="I463" s="167" t="str">
        <f>IF(ISBLANK(DaqBook_RAW_Data!X453),"",DaqBook_RAW_Data!X453)</f>
        <v/>
      </c>
      <c r="J463" s="167" t="str">
        <f>IF(ISBLANK(DaqBook_RAW_Data!Y453),"",DaqBook_RAW_Data!Y453)</f>
        <v/>
      </c>
      <c r="K463" s="167" t="str">
        <f>IF(ISBLANK(DaqBook_RAW_Data!Z453),"",DaqBook_RAW_Data!Z453)</f>
        <v/>
      </c>
      <c r="L463" s="167" t="str">
        <f>IF(ISBLANK(DaqBook_RAW_Data!AA453),"",DaqBook_RAW_Data!AA453)</f>
        <v/>
      </c>
      <c r="M463" s="167" t="str">
        <f>IF(ISBLANK(DaqBook_RAW_Data!AB453),"",DaqBook_RAW_Data!AB453)</f>
        <v/>
      </c>
      <c r="N463" s="167" t="str">
        <f>IF(ISBLANK(DaqBook_RAW_Data!AC453),"",DaqBook_RAW_Data!AC453)</f>
        <v/>
      </c>
      <c r="O463" s="167" t="str">
        <f>IF(ISBLANK(DaqBook_RAW_Data!AD453),"",DaqBook_RAW_Data!AD453)</f>
        <v/>
      </c>
      <c r="P463" s="167" t="str">
        <f>IF(ISBLANK(DaqBook_RAW_Data!AE453),"",DaqBook_RAW_Data!AE453)</f>
        <v/>
      </c>
    </row>
    <row r="464" spans="1:16" x14ac:dyDescent="0.2">
      <c r="A464" s="58" t="e">
        <f t="shared" si="7"/>
        <v>#VALUE!</v>
      </c>
      <c r="B464" s="144" t="str">
        <f>IF(ISBLANK(DaqBook_RAW_Data!Q454),IF(DaqBook_RAW_Data!A454="","",TIMEVALUE(DaqBook_RAW_Data!A454)),TIMEVALUE(DaqBook_RAW_Data!Q454))</f>
        <v/>
      </c>
      <c r="C464" s="167" t="str">
        <f>IF(ISBLANK(DaqBook_RAW_Data!R454),"",DaqBook_RAW_Data!R454)</f>
        <v/>
      </c>
      <c r="D464" s="167" t="str">
        <f>IF(ISBLANK(DaqBook_RAW_Data!S454),"",DaqBook_RAW_Data!S454)</f>
        <v/>
      </c>
      <c r="E464" s="167" t="str">
        <f>IF(ISBLANK(DaqBook_RAW_Data!T454),"",DaqBook_RAW_Data!T454)</f>
        <v/>
      </c>
      <c r="F464" s="167" t="str">
        <f>IF(ISBLANK(DaqBook_RAW_Data!U454),"",DaqBook_RAW_Data!U454)</f>
        <v/>
      </c>
      <c r="G464" s="167" t="str">
        <f>IF(ISBLANK(DaqBook_RAW_Data!V454),"",DaqBook_RAW_Data!V454)</f>
        <v/>
      </c>
      <c r="H464" s="167" t="str">
        <f>IF(ISBLANK(DaqBook_RAW_Data!W454),"",DaqBook_RAW_Data!W454)</f>
        <v/>
      </c>
      <c r="I464" s="167" t="str">
        <f>IF(ISBLANK(DaqBook_RAW_Data!X454),"",DaqBook_RAW_Data!X454)</f>
        <v/>
      </c>
      <c r="J464" s="167" t="str">
        <f>IF(ISBLANK(DaqBook_RAW_Data!Y454),"",DaqBook_RAW_Data!Y454)</f>
        <v/>
      </c>
      <c r="K464" s="167" t="str">
        <f>IF(ISBLANK(DaqBook_RAW_Data!Z454),"",DaqBook_RAW_Data!Z454)</f>
        <v/>
      </c>
      <c r="L464" s="167" t="str">
        <f>IF(ISBLANK(DaqBook_RAW_Data!AA454),"",DaqBook_RAW_Data!AA454)</f>
        <v/>
      </c>
      <c r="M464" s="167" t="str">
        <f>IF(ISBLANK(DaqBook_RAW_Data!AB454),"",DaqBook_RAW_Data!AB454)</f>
        <v/>
      </c>
      <c r="N464" s="167" t="str">
        <f>IF(ISBLANK(DaqBook_RAW_Data!AC454),"",DaqBook_RAW_Data!AC454)</f>
        <v/>
      </c>
      <c r="O464" s="167" t="str">
        <f>IF(ISBLANK(DaqBook_RAW_Data!AD454),"",DaqBook_RAW_Data!AD454)</f>
        <v/>
      </c>
      <c r="P464" s="167" t="str">
        <f>IF(ISBLANK(DaqBook_RAW_Data!AE454),"",DaqBook_RAW_Data!AE454)</f>
        <v/>
      </c>
    </row>
    <row r="465" spans="1:16" x14ac:dyDescent="0.2">
      <c r="A465" s="58" t="e">
        <f t="shared" si="7"/>
        <v>#VALUE!</v>
      </c>
      <c r="B465" s="144" t="str">
        <f>IF(ISBLANK(DaqBook_RAW_Data!Q455),IF(DaqBook_RAW_Data!A455="","",TIMEVALUE(DaqBook_RAW_Data!A455)),TIMEVALUE(DaqBook_RAW_Data!Q455))</f>
        <v/>
      </c>
      <c r="C465" s="167" t="str">
        <f>IF(ISBLANK(DaqBook_RAW_Data!R455),"",DaqBook_RAW_Data!R455)</f>
        <v/>
      </c>
      <c r="D465" s="167" t="str">
        <f>IF(ISBLANK(DaqBook_RAW_Data!S455),"",DaqBook_RAW_Data!S455)</f>
        <v/>
      </c>
      <c r="E465" s="167" t="str">
        <f>IF(ISBLANK(DaqBook_RAW_Data!T455),"",DaqBook_RAW_Data!T455)</f>
        <v/>
      </c>
      <c r="F465" s="167" t="str">
        <f>IF(ISBLANK(DaqBook_RAW_Data!U455),"",DaqBook_RAW_Data!U455)</f>
        <v/>
      </c>
      <c r="G465" s="167" t="str">
        <f>IF(ISBLANK(DaqBook_RAW_Data!V455),"",DaqBook_RAW_Data!V455)</f>
        <v/>
      </c>
      <c r="H465" s="167" t="str">
        <f>IF(ISBLANK(DaqBook_RAW_Data!W455),"",DaqBook_RAW_Data!W455)</f>
        <v/>
      </c>
      <c r="I465" s="167" t="str">
        <f>IF(ISBLANK(DaqBook_RAW_Data!X455),"",DaqBook_RAW_Data!X455)</f>
        <v/>
      </c>
      <c r="J465" s="167" t="str">
        <f>IF(ISBLANK(DaqBook_RAW_Data!Y455),"",DaqBook_RAW_Data!Y455)</f>
        <v/>
      </c>
      <c r="K465" s="167" t="str">
        <f>IF(ISBLANK(DaqBook_RAW_Data!Z455),"",DaqBook_RAW_Data!Z455)</f>
        <v/>
      </c>
      <c r="L465" s="167" t="str">
        <f>IF(ISBLANK(DaqBook_RAW_Data!AA455),"",DaqBook_RAW_Data!AA455)</f>
        <v/>
      </c>
      <c r="M465" s="167" t="str">
        <f>IF(ISBLANK(DaqBook_RAW_Data!AB455),"",DaqBook_RAW_Data!AB455)</f>
        <v/>
      </c>
      <c r="N465" s="167" t="str">
        <f>IF(ISBLANK(DaqBook_RAW_Data!AC455),"",DaqBook_RAW_Data!AC455)</f>
        <v/>
      </c>
      <c r="O465" s="167" t="str">
        <f>IF(ISBLANK(DaqBook_RAW_Data!AD455),"",DaqBook_RAW_Data!AD455)</f>
        <v/>
      </c>
      <c r="P465" s="167" t="str">
        <f>IF(ISBLANK(DaqBook_RAW_Data!AE455),"",DaqBook_RAW_Data!AE455)</f>
        <v/>
      </c>
    </row>
    <row r="466" spans="1:16" x14ac:dyDescent="0.2">
      <c r="A466" s="58" t="e">
        <f t="shared" si="7"/>
        <v>#VALUE!</v>
      </c>
      <c r="B466" s="144" t="str">
        <f>IF(ISBLANK(DaqBook_RAW_Data!Q456),IF(DaqBook_RAW_Data!A456="","",TIMEVALUE(DaqBook_RAW_Data!A456)),TIMEVALUE(DaqBook_RAW_Data!Q456))</f>
        <v/>
      </c>
      <c r="C466" s="167" t="str">
        <f>IF(ISBLANK(DaqBook_RAW_Data!R456),"",DaqBook_RAW_Data!R456)</f>
        <v/>
      </c>
      <c r="D466" s="167" t="str">
        <f>IF(ISBLANK(DaqBook_RAW_Data!S456),"",DaqBook_RAW_Data!S456)</f>
        <v/>
      </c>
      <c r="E466" s="167" t="str">
        <f>IF(ISBLANK(DaqBook_RAW_Data!T456),"",DaqBook_RAW_Data!T456)</f>
        <v/>
      </c>
      <c r="F466" s="167" t="str">
        <f>IF(ISBLANK(DaqBook_RAW_Data!U456),"",DaqBook_RAW_Data!U456)</f>
        <v/>
      </c>
      <c r="G466" s="167" t="str">
        <f>IF(ISBLANK(DaqBook_RAW_Data!V456),"",DaqBook_RAW_Data!V456)</f>
        <v/>
      </c>
      <c r="H466" s="167" t="str">
        <f>IF(ISBLANK(DaqBook_RAW_Data!W456),"",DaqBook_RAW_Data!W456)</f>
        <v/>
      </c>
      <c r="I466" s="167" t="str">
        <f>IF(ISBLANK(DaqBook_RAW_Data!X456),"",DaqBook_RAW_Data!X456)</f>
        <v/>
      </c>
      <c r="J466" s="167" t="str">
        <f>IF(ISBLANK(DaqBook_RAW_Data!Y456),"",DaqBook_RAW_Data!Y456)</f>
        <v/>
      </c>
      <c r="K466" s="167" t="str">
        <f>IF(ISBLANK(DaqBook_RAW_Data!Z456),"",DaqBook_RAW_Data!Z456)</f>
        <v/>
      </c>
      <c r="L466" s="167" t="str">
        <f>IF(ISBLANK(DaqBook_RAW_Data!AA456),"",DaqBook_RAW_Data!AA456)</f>
        <v/>
      </c>
      <c r="M466" s="167" t="str">
        <f>IF(ISBLANK(DaqBook_RAW_Data!AB456),"",DaqBook_RAW_Data!AB456)</f>
        <v/>
      </c>
      <c r="N466" s="167" t="str">
        <f>IF(ISBLANK(DaqBook_RAW_Data!AC456),"",DaqBook_RAW_Data!AC456)</f>
        <v/>
      </c>
      <c r="O466" s="167" t="str">
        <f>IF(ISBLANK(DaqBook_RAW_Data!AD456),"",DaqBook_RAW_Data!AD456)</f>
        <v/>
      </c>
      <c r="P466" s="167" t="str">
        <f>IF(ISBLANK(DaqBook_RAW_Data!AE456),"",DaqBook_RAW_Data!AE456)</f>
        <v/>
      </c>
    </row>
    <row r="467" spans="1:16" x14ac:dyDescent="0.2">
      <c r="A467" s="58" t="e">
        <f t="shared" si="7"/>
        <v>#VALUE!</v>
      </c>
      <c r="B467" s="144" t="str">
        <f>IF(ISBLANK(DaqBook_RAW_Data!Q457),IF(DaqBook_RAW_Data!A457="","",TIMEVALUE(DaqBook_RAW_Data!A457)),TIMEVALUE(DaqBook_RAW_Data!Q457))</f>
        <v/>
      </c>
      <c r="C467" s="167" t="str">
        <f>IF(ISBLANK(DaqBook_RAW_Data!R457),"",DaqBook_RAW_Data!R457)</f>
        <v/>
      </c>
      <c r="D467" s="167" t="str">
        <f>IF(ISBLANK(DaqBook_RAW_Data!S457),"",DaqBook_RAW_Data!S457)</f>
        <v/>
      </c>
      <c r="E467" s="167" t="str">
        <f>IF(ISBLANK(DaqBook_RAW_Data!T457),"",DaqBook_RAW_Data!T457)</f>
        <v/>
      </c>
      <c r="F467" s="167" t="str">
        <f>IF(ISBLANK(DaqBook_RAW_Data!U457),"",DaqBook_RAW_Data!U457)</f>
        <v/>
      </c>
      <c r="G467" s="167" t="str">
        <f>IF(ISBLANK(DaqBook_RAW_Data!V457),"",DaqBook_RAW_Data!V457)</f>
        <v/>
      </c>
      <c r="H467" s="167" t="str">
        <f>IF(ISBLANK(DaqBook_RAW_Data!W457),"",DaqBook_RAW_Data!W457)</f>
        <v/>
      </c>
      <c r="I467" s="167" t="str">
        <f>IF(ISBLANK(DaqBook_RAW_Data!X457),"",DaqBook_RAW_Data!X457)</f>
        <v/>
      </c>
      <c r="J467" s="167" t="str">
        <f>IF(ISBLANK(DaqBook_RAW_Data!Y457),"",DaqBook_RAW_Data!Y457)</f>
        <v/>
      </c>
      <c r="K467" s="167" t="str">
        <f>IF(ISBLANK(DaqBook_RAW_Data!Z457),"",DaqBook_RAW_Data!Z457)</f>
        <v/>
      </c>
      <c r="L467" s="167" t="str">
        <f>IF(ISBLANK(DaqBook_RAW_Data!AA457),"",DaqBook_RAW_Data!AA457)</f>
        <v/>
      </c>
      <c r="M467" s="167" t="str">
        <f>IF(ISBLANK(DaqBook_RAW_Data!AB457),"",DaqBook_RAW_Data!AB457)</f>
        <v/>
      </c>
      <c r="N467" s="167" t="str">
        <f>IF(ISBLANK(DaqBook_RAW_Data!AC457),"",DaqBook_RAW_Data!AC457)</f>
        <v/>
      </c>
      <c r="O467" s="167" t="str">
        <f>IF(ISBLANK(DaqBook_RAW_Data!AD457),"",DaqBook_RAW_Data!AD457)</f>
        <v/>
      </c>
      <c r="P467" s="167" t="str">
        <f>IF(ISBLANK(DaqBook_RAW_Data!AE457),"",DaqBook_RAW_Data!AE457)</f>
        <v/>
      </c>
    </row>
    <row r="468" spans="1:16" x14ac:dyDescent="0.2">
      <c r="A468" s="58" t="e">
        <f t="shared" si="7"/>
        <v>#VALUE!</v>
      </c>
      <c r="B468" s="144" t="str">
        <f>IF(ISBLANK(DaqBook_RAW_Data!Q458),IF(DaqBook_RAW_Data!A458="","",TIMEVALUE(DaqBook_RAW_Data!A458)),TIMEVALUE(DaqBook_RAW_Data!Q458))</f>
        <v/>
      </c>
      <c r="C468" s="167" t="str">
        <f>IF(ISBLANK(DaqBook_RAW_Data!R458),"",DaqBook_RAW_Data!R458)</f>
        <v/>
      </c>
      <c r="D468" s="167" t="str">
        <f>IF(ISBLANK(DaqBook_RAW_Data!S458),"",DaqBook_RAW_Data!S458)</f>
        <v/>
      </c>
      <c r="E468" s="167" t="str">
        <f>IF(ISBLANK(DaqBook_RAW_Data!T458),"",DaqBook_RAW_Data!T458)</f>
        <v/>
      </c>
      <c r="F468" s="167" t="str">
        <f>IF(ISBLANK(DaqBook_RAW_Data!U458),"",DaqBook_RAW_Data!U458)</f>
        <v/>
      </c>
      <c r="G468" s="167" t="str">
        <f>IF(ISBLANK(DaqBook_RAW_Data!V458),"",DaqBook_RAW_Data!V458)</f>
        <v/>
      </c>
      <c r="H468" s="167" t="str">
        <f>IF(ISBLANK(DaqBook_RAW_Data!W458),"",DaqBook_RAW_Data!W458)</f>
        <v/>
      </c>
      <c r="I468" s="167" t="str">
        <f>IF(ISBLANK(DaqBook_RAW_Data!X458),"",DaqBook_RAW_Data!X458)</f>
        <v/>
      </c>
      <c r="J468" s="167" t="str">
        <f>IF(ISBLANK(DaqBook_RAW_Data!Y458),"",DaqBook_RAW_Data!Y458)</f>
        <v/>
      </c>
      <c r="K468" s="167" t="str">
        <f>IF(ISBLANK(DaqBook_RAW_Data!Z458),"",DaqBook_RAW_Data!Z458)</f>
        <v/>
      </c>
      <c r="L468" s="167" t="str">
        <f>IF(ISBLANK(DaqBook_RAW_Data!AA458),"",DaqBook_RAW_Data!AA458)</f>
        <v/>
      </c>
      <c r="M468" s="167" t="str">
        <f>IF(ISBLANK(DaqBook_RAW_Data!AB458),"",DaqBook_RAW_Data!AB458)</f>
        <v/>
      </c>
      <c r="N468" s="167" t="str">
        <f>IF(ISBLANK(DaqBook_RAW_Data!AC458),"",DaqBook_RAW_Data!AC458)</f>
        <v/>
      </c>
      <c r="O468" s="167" t="str">
        <f>IF(ISBLANK(DaqBook_RAW_Data!AD458),"",DaqBook_RAW_Data!AD458)</f>
        <v/>
      </c>
      <c r="P468" s="167" t="str">
        <f>IF(ISBLANK(DaqBook_RAW_Data!AE458),"",DaqBook_RAW_Data!AE458)</f>
        <v/>
      </c>
    </row>
    <row r="469" spans="1:16" x14ac:dyDescent="0.2">
      <c r="A469" s="58" t="e">
        <f t="shared" si="7"/>
        <v>#VALUE!</v>
      </c>
      <c r="B469" s="144" t="str">
        <f>IF(ISBLANK(DaqBook_RAW_Data!Q459),IF(DaqBook_RAW_Data!A459="","",TIMEVALUE(DaqBook_RAW_Data!A459)),TIMEVALUE(DaqBook_RAW_Data!Q459))</f>
        <v/>
      </c>
      <c r="C469" s="167" t="str">
        <f>IF(ISBLANK(DaqBook_RAW_Data!R459),"",DaqBook_RAW_Data!R459)</f>
        <v/>
      </c>
      <c r="D469" s="167" t="str">
        <f>IF(ISBLANK(DaqBook_RAW_Data!S459),"",DaqBook_RAW_Data!S459)</f>
        <v/>
      </c>
      <c r="E469" s="167" t="str">
        <f>IF(ISBLANK(DaqBook_RAW_Data!T459),"",DaqBook_RAW_Data!T459)</f>
        <v/>
      </c>
      <c r="F469" s="167" t="str">
        <f>IF(ISBLANK(DaqBook_RAW_Data!U459),"",DaqBook_RAW_Data!U459)</f>
        <v/>
      </c>
      <c r="G469" s="167" t="str">
        <f>IF(ISBLANK(DaqBook_RAW_Data!V459),"",DaqBook_RAW_Data!V459)</f>
        <v/>
      </c>
      <c r="H469" s="167" t="str">
        <f>IF(ISBLANK(DaqBook_RAW_Data!W459),"",DaqBook_RAW_Data!W459)</f>
        <v/>
      </c>
      <c r="I469" s="167" t="str">
        <f>IF(ISBLANK(DaqBook_RAW_Data!X459),"",DaqBook_RAW_Data!X459)</f>
        <v/>
      </c>
      <c r="J469" s="167" t="str">
        <f>IF(ISBLANK(DaqBook_RAW_Data!Y459),"",DaqBook_RAW_Data!Y459)</f>
        <v/>
      </c>
      <c r="K469" s="167" t="str">
        <f>IF(ISBLANK(DaqBook_RAW_Data!Z459),"",DaqBook_RAW_Data!Z459)</f>
        <v/>
      </c>
      <c r="L469" s="167" t="str">
        <f>IF(ISBLANK(DaqBook_RAW_Data!AA459),"",DaqBook_RAW_Data!AA459)</f>
        <v/>
      </c>
      <c r="M469" s="167" t="str">
        <f>IF(ISBLANK(DaqBook_RAW_Data!AB459),"",DaqBook_RAW_Data!AB459)</f>
        <v/>
      </c>
      <c r="N469" s="167" t="str">
        <f>IF(ISBLANK(DaqBook_RAW_Data!AC459),"",DaqBook_RAW_Data!AC459)</f>
        <v/>
      </c>
      <c r="O469" s="167" t="str">
        <f>IF(ISBLANK(DaqBook_RAW_Data!AD459),"",DaqBook_RAW_Data!AD459)</f>
        <v/>
      </c>
      <c r="P469" s="167" t="str">
        <f>IF(ISBLANK(DaqBook_RAW_Data!AE459),"",DaqBook_RAW_Data!AE459)</f>
        <v/>
      </c>
    </row>
    <row r="470" spans="1:16" x14ac:dyDescent="0.2">
      <c r="A470" s="58" t="e">
        <f t="shared" si="7"/>
        <v>#VALUE!</v>
      </c>
      <c r="B470" s="144" t="str">
        <f>IF(ISBLANK(DaqBook_RAW_Data!Q460),IF(DaqBook_RAW_Data!A460="","",TIMEVALUE(DaqBook_RAW_Data!A460)),TIMEVALUE(DaqBook_RAW_Data!Q460))</f>
        <v/>
      </c>
      <c r="C470" s="167" t="str">
        <f>IF(ISBLANK(DaqBook_RAW_Data!R460),"",DaqBook_RAW_Data!R460)</f>
        <v/>
      </c>
      <c r="D470" s="167" t="str">
        <f>IF(ISBLANK(DaqBook_RAW_Data!S460),"",DaqBook_RAW_Data!S460)</f>
        <v/>
      </c>
      <c r="E470" s="167" t="str">
        <f>IF(ISBLANK(DaqBook_RAW_Data!T460),"",DaqBook_RAW_Data!T460)</f>
        <v/>
      </c>
      <c r="F470" s="167" t="str">
        <f>IF(ISBLANK(DaqBook_RAW_Data!U460),"",DaqBook_RAW_Data!U460)</f>
        <v/>
      </c>
      <c r="G470" s="167" t="str">
        <f>IF(ISBLANK(DaqBook_RAW_Data!V460),"",DaqBook_RAW_Data!V460)</f>
        <v/>
      </c>
      <c r="H470" s="167" t="str">
        <f>IF(ISBLANK(DaqBook_RAW_Data!W460),"",DaqBook_RAW_Data!W460)</f>
        <v/>
      </c>
      <c r="I470" s="167" t="str">
        <f>IF(ISBLANK(DaqBook_RAW_Data!X460),"",DaqBook_RAW_Data!X460)</f>
        <v/>
      </c>
      <c r="J470" s="167" t="str">
        <f>IF(ISBLANK(DaqBook_RAW_Data!Y460),"",DaqBook_RAW_Data!Y460)</f>
        <v/>
      </c>
      <c r="K470" s="167" t="str">
        <f>IF(ISBLANK(DaqBook_RAW_Data!Z460),"",DaqBook_RAW_Data!Z460)</f>
        <v/>
      </c>
      <c r="L470" s="167" t="str">
        <f>IF(ISBLANK(DaqBook_RAW_Data!AA460),"",DaqBook_RAW_Data!AA460)</f>
        <v/>
      </c>
      <c r="M470" s="167" t="str">
        <f>IF(ISBLANK(DaqBook_RAW_Data!AB460),"",DaqBook_RAW_Data!AB460)</f>
        <v/>
      </c>
      <c r="N470" s="167" t="str">
        <f>IF(ISBLANK(DaqBook_RAW_Data!AC460),"",DaqBook_RAW_Data!AC460)</f>
        <v/>
      </c>
      <c r="O470" s="167" t="str">
        <f>IF(ISBLANK(DaqBook_RAW_Data!AD460),"",DaqBook_RAW_Data!AD460)</f>
        <v/>
      </c>
      <c r="P470" s="167" t="str">
        <f>IF(ISBLANK(DaqBook_RAW_Data!AE460),"",DaqBook_RAW_Data!AE460)</f>
        <v/>
      </c>
    </row>
    <row r="471" spans="1:16" x14ac:dyDescent="0.2">
      <c r="A471" s="58" t="e">
        <f t="shared" si="7"/>
        <v>#VALUE!</v>
      </c>
      <c r="B471" s="144" t="str">
        <f>IF(ISBLANK(DaqBook_RAW_Data!Q461),IF(DaqBook_RAW_Data!A461="","",TIMEVALUE(DaqBook_RAW_Data!A461)),TIMEVALUE(DaqBook_RAW_Data!Q461))</f>
        <v/>
      </c>
      <c r="C471" s="167" t="str">
        <f>IF(ISBLANK(DaqBook_RAW_Data!R461),"",DaqBook_RAW_Data!R461)</f>
        <v/>
      </c>
      <c r="D471" s="167" t="str">
        <f>IF(ISBLANK(DaqBook_RAW_Data!S461),"",DaqBook_RAW_Data!S461)</f>
        <v/>
      </c>
      <c r="E471" s="167" t="str">
        <f>IF(ISBLANK(DaqBook_RAW_Data!T461),"",DaqBook_RAW_Data!T461)</f>
        <v/>
      </c>
      <c r="F471" s="167" t="str">
        <f>IF(ISBLANK(DaqBook_RAW_Data!U461),"",DaqBook_RAW_Data!U461)</f>
        <v/>
      </c>
      <c r="G471" s="167" t="str">
        <f>IF(ISBLANK(DaqBook_RAW_Data!V461),"",DaqBook_RAW_Data!V461)</f>
        <v/>
      </c>
      <c r="H471" s="167" t="str">
        <f>IF(ISBLANK(DaqBook_RAW_Data!W461),"",DaqBook_RAW_Data!W461)</f>
        <v/>
      </c>
      <c r="I471" s="167" t="str">
        <f>IF(ISBLANK(DaqBook_RAW_Data!X461),"",DaqBook_RAW_Data!X461)</f>
        <v/>
      </c>
      <c r="J471" s="167" t="str">
        <f>IF(ISBLANK(DaqBook_RAW_Data!Y461),"",DaqBook_RAW_Data!Y461)</f>
        <v/>
      </c>
      <c r="K471" s="167" t="str">
        <f>IF(ISBLANK(DaqBook_RAW_Data!Z461),"",DaqBook_RAW_Data!Z461)</f>
        <v/>
      </c>
      <c r="L471" s="167" t="str">
        <f>IF(ISBLANK(DaqBook_RAW_Data!AA461),"",DaqBook_RAW_Data!AA461)</f>
        <v/>
      </c>
      <c r="M471" s="167" t="str">
        <f>IF(ISBLANK(DaqBook_RAW_Data!AB461),"",DaqBook_RAW_Data!AB461)</f>
        <v/>
      </c>
      <c r="N471" s="167" t="str">
        <f>IF(ISBLANK(DaqBook_RAW_Data!AC461),"",DaqBook_RAW_Data!AC461)</f>
        <v/>
      </c>
      <c r="O471" s="167" t="str">
        <f>IF(ISBLANK(DaqBook_RAW_Data!AD461),"",DaqBook_RAW_Data!AD461)</f>
        <v/>
      </c>
      <c r="P471" s="167" t="str">
        <f>IF(ISBLANK(DaqBook_RAW_Data!AE461),"",DaqBook_RAW_Data!AE461)</f>
        <v/>
      </c>
    </row>
    <row r="472" spans="1:16" x14ac:dyDescent="0.2">
      <c r="A472" s="58" t="e">
        <f t="shared" si="7"/>
        <v>#VALUE!</v>
      </c>
      <c r="B472" s="144" t="str">
        <f>IF(ISBLANK(DaqBook_RAW_Data!Q462),IF(DaqBook_RAW_Data!A462="","",TIMEVALUE(DaqBook_RAW_Data!A462)),TIMEVALUE(DaqBook_RAW_Data!Q462))</f>
        <v/>
      </c>
      <c r="C472" s="167" t="str">
        <f>IF(ISBLANK(DaqBook_RAW_Data!R462),"",DaqBook_RAW_Data!R462)</f>
        <v/>
      </c>
      <c r="D472" s="167" t="str">
        <f>IF(ISBLANK(DaqBook_RAW_Data!S462),"",DaqBook_RAW_Data!S462)</f>
        <v/>
      </c>
      <c r="E472" s="167" t="str">
        <f>IF(ISBLANK(DaqBook_RAW_Data!T462),"",DaqBook_RAW_Data!T462)</f>
        <v/>
      </c>
      <c r="F472" s="167" t="str">
        <f>IF(ISBLANK(DaqBook_RAW_Data!U462),"",DaqBook_RAW_Data!U462)</f>
        <v/>
      </c>
      <c r="G472" s="167" t="str">
        <f>IF(ISBLANK(DaqBook_RAW_Data!V462),"",DaqBook_RAW_Data!V462)</f>
        <v/>
      </c>
      <c r="H472" s="167" t="str">
        <f>IF(ISBLANK(DaqBook_RAW_Data!W462),"",DaqBook_RAW_Data!W462)</f>
        <v/>
      </c>
      <c r="I472" s="167" t="str">
        <f>IF(ISBLANK(DaqBook_RAW_Data!X462),"",DaqBook_RAW_Data!X462)</f>
        <v/>
      </c>
      <c r="J472" s="167" t="str">
        <f>IF(ISBLANK(DaqBook_RAW_Data!Y462),"",DaqBook_RAW_Data!Y462)</f>
        <v/>
      </c>
      <c r="K472" s="167" t="str">
        <f>IF(ISBLANK(DaqBook_RAW_Data!Z462),"",DaqBook_RAW_Data!Z462)</f>
        <v/>
      </c>
      <c r="L472" s="167" t="str">
        <f>IF(ISBLANK(DaqBook_RAW_Data!AA462),"",DaqBook_RAW_Data!AA462)</f>
        <v/>
      </c>
      <c r="M472" s="167" t="str">
        <f>IF(ISBLANK(DaqBook_RAW_Data!AB462),"",DaqBook_RAW_Data!AB462)</f>
        <v/>
      </c>
      <c r="N472" s="167" t="str">
        <f>IF(ISBLANK(DaqBook_RAW_Data!AC462),"",DaqBook_RAW_Data!AC462)</f>
        <v/>
      </c>
      <c r="O472" s="167" t="str">
        <f>IF(ISBLANK(DaqBook_RAW_Data!AD462),"",DaqBook_RAW_Data!AD462)</f>
        <v/>
      </c>
      <c r="P472" s="167" t="str">
        <f>IF(ISBLANK(DaqBook_RAW_Data!AE462),"",DaqBook_RAW_Data!AE462)</f>
        <v/>
      </c>
    </row>
    <row r="473" spans="1:16" x14ac:dyDescent="0.2">
      <c r="A473" s="58" t="e">
        <f t="shared" si="7"/>
        <v>#VALUE!</v>
      </c>
      <c r="B473" s="144" t="str">
        <f>IF(ISBLANK(DaqBook_RAW_Data!Q463),IF(DaqBook_RAW_Data!A463="","",TIMEVALUE(DaqBook_RAW_Data!A463)),TIMEVALUE(DaqBook_RAW_Data!Q463))</f>
        <v/>
      </c>
      <c r="C473" s="167" t="str">
        <f>IF(ISBLANK(DaqBook_RAW_Data!R463),"",DaqBook_RAW_Data!R463)</f>
        <v/>
      </c>
      <c r="D473" s="167" t="str">
        <f>IF(ISBLANK(DaqBook_RAW_Data!S463),"",DaqBook_RAW_Data!S463)</f>
        <v/>
      </c>
      <c r="E473" s="167" t="str">
        <f>IF(ISBLANK(DaqBook_RAW_Data!T463),"",DaqBook_RAW_Data!T463)</f>
        <v/>
      </c>
      <c r="F473" s="167" t="str">
        <f>IF(ISBLANK(DaqBook_RAW_Data!U463),"",DaqBook_RAW_Data!U463)</f>
        <v/>
      </c>
      <c r="G473" s="167" t="str">
        <f>IF(ISBLANK(DaqBook_RAW_Data!V463),"",DaqBook_RAW_Data!V463)</f>
        <v/>
      </c>
      <c r="H473" s="167" t="str">
        <f>IF(ISBLANK(DaqBook_RAW_Data!W463),"",DaqBook_RAW_Data!W463)</f>
        <v/>
      </c>
      <c r="I473" s="167" t="str">
        <f>IF(ISBLANK(DaqBook_RAW_Data!X463),"",DaqBook_RAW_Data!X463)</f>
        <v/>
      </c>
      <c r="J473" s="167" t="str">
        <f>IF(ISBLANK(DaqBook_RAW_Data!Y463),"",DaqBook_RAW_Data!Y463)</f>
        <v/>
      </c>
      <c r="K473" s="167" t="str">
        <f>IF(ISBLANK(DaqBook_RAW_Data!Z463),"",DaqBook_RAW_Data!Z463)</f>
        <v/>
      </c>
      <c r="L473" s="167" t="str">
        <f>IF(ISBLANK(DaqBook_RAW_Data!AA463),"",DaqBook_RAW_Data!AA463)</f>
        <v/>
      </c>
      <c r="M473" s="167" t="str">
        <f>IF(ISBLANK(DaqBook_RAW_Data!AB463),"",DaqBook_RAW_Data!AB463)</f>
        <v/>
      </c>
      <c r="N473" s="167" t="str">
        <f>IF(ISBLANK(DaqBook_RAW_Data!AC463),"",DaqBook_RAW_Data!AC463)</f>
        <v/>
      </c>
      <c r="O473" s="167" t="str">
        <f>IF(ISBLANK(DaqBook_RAW_Data!AD463),"",DaqBook_RAW_Data!AD463)</f>
        <v/>
      </c>
      <c r="P473" s="167" t="str">
        <f>IF(ISBLANK(DaqBook_RAW_Data!AE463),"",DaqBook_RAW_Data!AE463)</f>
        <v/>
      </c>
    </row>
    <row r="474" spans="1:16" x14ac:dyDescent="0.2">
      <c r="A474" s="58" t="e">
        <f t="shared" si="7"/>
        <v>#VALUE!</v>
      </c>
      <c r="B474" s="144" t="str">
        <f>IF(ISBLANK(DaqBook_RAW_Data!Q464),IF(DaqBook_RAW_Data!A464="","",TIMEVALUE(DaqBook_RAW_Data!A464)),TIMEVALUE(DaqBook_RAW_Data!Q464))</f>
        <v/>
      </c>
      <c r="C474" s="167" t="str">
        <f>IF(ISBLANK(DaqBook_RAW_Data!R464),"",DaqBook_RAW_Data!R464)</f>
        <v/>
      </c>
      <c r="D474" s="167" t="str">
        <f>IF(ISBLANK(DaqBook_RAW_Data!S464),"",DaqBook_RAW_Data!S464)</f>
        <v/>
      </c>
      <c r="E474" s="167" t="str">
        <f>IF(ISBLANK(DaqBook_RAW_Data!T464),"",DaqBook_RAW_Data!T464)</f>
        <v/>
      </c>
      <c r="F474" s="167" t="str">
        <f>IF(ISBLANK(DaqBook_RAW_Data!U464),"",DaqBook_RAW_Data!U464)</f>
        <v/>
      </c>
      <c r="G474" s="167" t="str">
        <f>IF(ISBLANK(DaqBook_RAW_Data!V464),"",DaqBook_RAW_Data!V464)</f>
        <v/>
      </c>
      <c r="H474" s="167" t="str">
        <f>IF(ISBLANK(DaqBook_RAW_Data!W464),"",DaqBook_RAW_Data!W464)</f>
        <v/>
      </c>
      <c r="I474" s="167" t="str">
        <f>IF(ISBLANK(DaqBook_RAW_Data!X464),"",DaqBook_RAW_Data!X464)</f>
        <v/>
      </c>
      <c r="J474" s="167" t="str">
        <f>IF(ISBLANK(DaqBook_RAW_Data!Y464),"",DaqBook_RAW_Data!Y464)</f>
        <v/>
      </c>
      <c r="K474" s="167" t="str">
        <f>IF(ISBLANK(DaqBook_RAW_Data!Z464),"",DaqBook_RAW_Data!Z464)</f>
        <v/>
      </c>
      <c r="L474" s="167" t="str">
        <f>IF(ISBLANK(DaqBook_RAW_Data!AA464),"",DaqBook_RAW_Data!AA464)</f>
        <v/>
      </c>
      <c r="M474" s="167" t="str">
        <f>IF(ISBLANK(DaqBook_RAW_Data!AB464),"",DaqBook_RAW_Data!AB464)</f>
        <v/>
      </c>
      <c r="N474" s="167" t="str">
        <f>IF(ISBLANK(DaqBook_RAW_Data!AC464),"",DaqBook_RAW_Data!AC464)</f>
        <v/>
      </c>
      <c r="O474" s="167" t="str">
        <f>IF(ISBLANK(DaqBook_RAW_Data!AD464),"",DaqBook_RAW_Data!AD464)</f>
        <v/>
      </c>
      <c r="P474" s="167" t="str">
        <f>IF(ISBLANK(DaqBook_RAW_Data!AE464),"",DaqBook_RAW_Data!AE464)</f>
        <v/>
      </c>
    </row>
    <row r="475" spans="1:16" x14ac:dyDescent="0.2">
      <c r="A475" s="58" t="e">
        <f t="shared" si="7"/>
        <v>#VALUE!</v>
      </c>
      <c r="B475" s="144" t="str">
        <f>IF(ISBLANK(DaqBook_RAW_Data!Q465),IF(DaqBook_RAW_Data!A465="","",TIMEVALUE(DaqBook_RAW_Data!A465)),TIMEVALUE(DaqBook_RAW_Data!Q465))</f>
        <v/>
      </c>
      <c r="C475" s="167" t="str">
        <f>IF(ISBLANK(DaqBook_RAW_Data!R465),"",DaqBook_RAW_Data!R465)</f>
        <v/>
      </c>
      <c r="D475" s="167" t="str">
        <f>IF(ISBLANK(DaqBook_RAW_Data!S465),"",DaqBook_RAW_Data!S465)</f>
        <v/>
      </c>
      <c r="E475" s="167" t="str">
        <f>IF(ISBLANK(DaqBook_RAW_Data!T465),"",DaqBook_RAW_Data!T465)</f>
        <v/>
      </c>
      <c r="F475" s="167" t="str">
        <f>IF(ISBLANK(DaqBook_RAW_Data!U465),"",DaqBook_RAW_Data!U465)</f>
        <v/>
      </c>
      <c r="G475" s="167" t="str">
        <f>IF(ISBLANK(DaqBook_RAW_Data!V465),"",DaqBook_RAW_Data!V465)</f>
        <v/>
      </c>
      <c r="H475" s="167" t="str">
        <f>IF(ISBLANK(DaqBook_RAW_Data!W465),"",DaqBook_RAW_Data!W465)</f>
        <v/>
      </c>
      <c r="I475" s="167" t="str">
        <f>IF(ISBLANK(DaqBook_RAW_Data!X465),"",DaqBook_RAW_Data!X465)</f>
        <v/>
      </c>
      <c r="J475" s="167" t="str">
        <f>IF(ISBLANK(DaqBook_RAW_Data!Y465),"",DaqBook_RAW_Data!Y465)</f>
        <v/>
      </c>
      <c r="K475" s="167" t="str">
        <f>IF(ISBLANK(DaqBook_RAW_Data!Z465),"",DaqBook_RAW_Data!Z465)</f>
        <v/>
      </c>
      <c r="L475" s="167" t="str">
        <f>IF(ISBLANK(DaqBook_RAW_Data!AA465),"",DaqBook_RAW_Data!AA465)</f>
        <v/>
      </c>
      <c r="M475" s="167" t="str">
        <f>IF(ISBLANK(DaqBook_RAW_Data!AB465),"",DaqBook_RAW_Data!AB465)</f>
        <v/>
      </c>
      <c r="N475" s="167" t="str">
        <f>IF(ISBLANK(DaqBook_RAW_Data!AC465),"",DaqBook_RAW_Data!AC465)</f>
        <v/>
      </c>
      <c r="O475" s="167" t="str">
        <f>IF(ISBLANK(DaqBook_RAW_Data!AD465),"",DaqBook_RAW_Data!AD465)</f>
        <v/>
      </c>
      <c r="P475" s="167" t="str">
        <f>IF(ISBLANK(DaqBook_RAW_Data!AE465),"",DaqBook_RAW_Data!AE465)</f>
        <v/>
      </c>
    </row>
    <row r="476" spans="1:16" x14ac:dyDescent="0.2">
      <c r="A476" s="58" t="e">
        <f t="shared" si="7"/>
        <v>#VALUE!</v>
      </c>
      <c r="B476" s="144" t="str">
        <f>IF(ISBLANK(DaqBook_RAW_Data!Q466),IF(DaqBook_RAW_Data!A466="","",TIMEVALUE(DaqBook_RAW_Data!A466)),TIMEVALUE(DaqBook_RAW_Data!Q466))</f>
        <v/>
      </c>
      <c r="C476" s="167" t="str">
        <f>IF(ISBLANK(DaqBook_RAW_Data!R466),"",DaqBook_RAW_Data!R466)</f>
        <v/>
      </c>
      <c r="D476" s="167" t="str">
        <f>IF(ISBLANK(DaqBook_RAW_Data!S466),"",DaqBook_RAW_Data!S466)</f>
        <v/>
      </c>
      <c r="E476" s="167" t="str">
        <f>IF(ISBLANK(DaqBook_RAW_Data!T466),"",DaqBook_RAW_Data!T466)</f>
        <v/>
      </c>
      <c r="F476" s="167" t="str">
        <f>IF(ISBLANK(DaqBook_RAW_Data!U466),"",DaqBook_RAW_Data!U466)</f>
        <v/>
      </c>
      <c r="G476" s="167" t="str">
        <f>IF(ISBLANK(DaqBook_RAW_Data!V466),"",DaqBook_RAW_Data!V466)</f>
        <v/>
      </c>
      <c r="H476" s="167" t="str">
        <f>IF(ISBLANK(DaqBook_RAW_Data!W466),"",DaqBook_RAW_Data!W466)</f>
        <v/>
      </c>
      <c r="I476" s="167" t="str">
        <f>IF(ISBLANK(DaqBook_RAW_Data!X466),"",DaqBook_RAW_Data!X466)</f>
        <v/>
      </c>
      <c r="J476" s="167" t="str">
        <f>IF(ISBLANK(DaqBook_RAW_Data!Y466),"",DaqBook_RAW_Data!Y466)</f>
        <v/>
      </c>
      <c r="K476" s="167" t="str">
        <f>IF(ISBLANK(DaqBook_RAW_Data!Z466),"",DaqBook_RAW_Data!Z466)</f>
        <v/>
      </c>
      <c r="L476" s="167" t="str">
        <f>IF(ISBLANK(DaqBook_RAW_Data!AA466),"",DaqBook_RAW_Data!AA466)</f>
        <v/>
      </c>
      <c r="M476" s="167" t="str">
        <f>IF(ISBLANK(DaqBook_RAW_Data!AB466),"",DaqBook_RAW_Data!AB466)</f>
        <v/>
      </c>
      <c r="N476" s="167" t="str">
        <f>IF(ISBLANK(DaqBook_RAW_Data!AC466),"",DaqBook_RAW_Data!AC466)</f>
        <v/>
      </c>
      <c r="O476" s="167" t="str">
        <f>IF(ISBLANK(DaqBook_RAW_Data!AD466),"",DaqBook_RAW_Data!AD466)</f>
        <v/>
      </c>
      <c r="P476" s="167" t="str">
        <f>IF(ISBLANK(DaqBook_RAW_Data!AE466),"",DaqBook_RAW_Data!AE466)</f>
        <v/>
      </c>
    </row>
    <row r="477" spans="1:16" x14ac:dyDescent="0.2">
      <c r="A477" s="58" t="e">
        <f t="shared" si="7"/>
        <v>#VALUE!</v>
      </c>
      <c r="B477" s="144" t="str">
        <f>IF(ISBLANK(DaqBook_RAW_Data!Q467),IF(DaqBook_RAW_Data!A467="","",TIMEVALUE(DaqBook_RAW_Data!A467)),TIMEVALUE(DaqBook_RAW_Data!Q467))</f>
        <v/>
      </c>
      <c r="C477" s="167" t="str">
        <f>IF(ISBLANK(DaqBook_RAW_Data!R467),"",DaqBook_RAW_Data!R467)</f>
        <v/>
      </c>
      <c r="D477" s="167" t="str">
        <f>IF(ISBLANK(DaqBook_RAW_Data!S467),"",DaqBook_RAW_Data!S467)</f>
        <v/>
      </c>
      <c r="E477" s="167" t="str">
        <f>IF(ISBLANK(DaqBook_RAW_Data!T467),"",DaqBook_RAW_Data!T467)</f>
        <v/>
      </c>
      <c r="F477" s="167" t="str">
        <f>IF(ISBLANK(DaqBook_RAW_Data!U467),"",DaqBook_RAW_Data!U467)</f>
        <v/>
      </c>
      <c r="G477" s="167" t="str">
        <f>IF(ISBLANK(DaqBook_RAW_Data!V467),"",DaqBook_RAW_Data!V467)</f>
        <v/>
      </c>
      <c r="H477" s="167" t="str">
        <f>IF(ISBLANK(DaqBook_RAW_Data!W467),"",DaqBook_RAW_Data!W467)</f>
        <v/>
      </c>
      <c r="I477" s="167" t="str">
        <f>IF(ISBLANK(DaqBook_RAW_Data!X467),"",DaqBook_RAW_Data!X467)</f>
        <v/>
      </c>
      <c r="J477" s="167" t="str">
        <f>IF(ISBLANK(DaqBook_RAW_Data!Y467),"",DaqBook_RAW_Data!Y467)</f>
        <v/>
      </c>
      <c r="K477" s="167" t="str">
        <f>IF(ISBLANK(DaqBook_RAW_Data!Z467),"",DaqBook_RAW_Data!Z467)</f>
        <v/>
      </c>
      <c r="L477" s="167" t="str">
        <f>IF(ISBLANK(DaqBook_RAW_Data!AA467),"",DaqBook_RAW_Data!AA467)</f>
        <v/>
      </c>
      <c r="M477" s="167" t="str">
        <f>IF(ISBLANK(DaqBook_RAW_Data!AB467),"",DaqBook_RAW_Data!AB467)</f>
        <v/>
      </c>
      <c r="N477" s="167" t="str">
        <f>IF(ISBLANK(DaqBook_RAW_Data!AC467),"",DaqBook_RAW_Data!AC467)</f>
        <v/>
      </c>
      <c r="O477" s="167" t="str">
        <f>IF(ISBLANK(DaqBook_RAW_Data!AD467),"",DaqBook_RAW_Data!AD467)</f>
        <v/>
      </c>
      <c r="P477" s="167" t="str">
        <f>IF(ISBLANK(DaqBook_RAW_Data!AE467),"",DaqBook_RAW_Data!AE467)</f>
        <v/>
      </c>
    </row>
    <row r="478" spans="1:16" x14ac:dyDescent="0.2">
      <c r="A478" s="58" t="e">
        <f t="shared" si="7"/>
        <v>#VALUE!</v>
      </c>
      <c r="B478" s="144" t="str">
        <f>IF(ISBLANK(DaqBook_RAW_Data!Q468),IF(DaqBook_RAW_Data!A468="","",TIMEVALUE(DaqBook_RAW_Data!A468)),TIMEVALUE(DaqBook_RAW_Data!Q468))</f>
        <v/>
      </c>
      <c r="C478" s="167" t="str">
        <f>IF(ISBLANK(DaqBook_RAW_Data!R468),"",DaqBook_RAW_Data!R468)</f>
        <v/>
      </c>
      <c r="D478" s="167" t="str">
        <f>IF(ISBLANK(DaqBook_RAW_Data!S468),"",DaqBook_RAW_Data!S468)</f>
        <v/>
      </c>
      <c r="E478" s="167" t="str">
        <f>IF(ISBLANK(DaqBook_RAW_Data!T468),"",DaqBook_RAW_Data!T468)</f>
        <v/>
      </c>
      <c r="F478" s="167" t="str">
        <f>IF(ISBLANK(DaqBook_RAW_Data!U468),"",DaqBook_RAW_Data!U468)</f>
        <v/>
      </c>
      <c r="G478" s="167" t="str">
        <f>IF(ISBLANK(DaqBook_RAW_Data!V468),"",DaqBook_RAW_Data!V468)</f>
        <v/>
      </c>
      <c r="H478" s="167" t="str">
        <f>IF(ISBLANK(DaqBook_RAW_Data!W468),"",DaqBook_RAW_Data!W468)</f>
        <v/>
      </c>
      <c r="I478" s="167" t="str">
        <f>IF(ISBLANK(DaqBook_RAW_Data!X468),"",DaqBook_RAW_Data!X468)</f>
        <v/>
      </c>
      <c r="J478" s="167" t="str">
        <f>IF(ISBLANK(DaqBook_RAW_Data!Y468),"",DaqBook_RAW_Data!Y468)</f>
        <v/>
      </c>
      <c r="K478" s="167" t="str">
        <f>IF(ISBLANK(DaqBook_RAW_Data!Z468),"",DaqBook_RAW_Data!Z468)</f>
        <v/>
      </c>
      <c r="L478" s="167" t="str">
        <f>IF(ISBLANK(DaqBook_RAW_Data!AA468),"",DaqBook_RAW_Data!AA468)</f>
        <v/>
      </c>
      <c r="M478" s="167" t="str">
        <f>IF(ISBLANK(DaqBook_RAW_Data!AB468),"",DaqBook_RAW_Data!AB468)</f>
        <v/>
      </c>
      <c r="N478" s="167" t="str">
        <f>IF(ISBLANK(DaqBook_RAW_Data!AC468),"",DaqBook_RAW_Data!AC468)</f>
        <v/>
      </c>
      <c r="O478" s="167" t="str">
        <f>IF(ISBLANK(DaqBook_RAW_Data!AD468),"",DaqBook_RAW_Data!AD468)</f>
        <v/>
      </c>
      <c r="P478" s="167" t="str">
        <f>IF(ISBLANK(DaqBook_RAW_Data!AE468),"",DaqBook_RAW_Data!AE468)</f>
        <v/>
      </c>
    </row>
    <row r="479" spans="1:16" x14ac:dyDescent="0.2">
      <c r="A479" s="58" t="e">
        <f t="shared" si="7"/>
        <v>#VALUE!</v>
      </c>
      <c r="B479" s="144" t="str">
        <f>IF(ISBLANK(DaqBook_RAW_Data!Q469),IF(DaqBook_RAW_Data!A469="","",TIMEVALUE(DaqBook_RAW_Data!A469)),TIMEVALUE(DaqBook_RAW_Data!Q469))</f>
        <v/>
      </c>
      <c r="C479" s="167" t="str">
        <f>IF(ISBLANK(DaqBook_RAW_Data!R469),"",DaqBook_RAW_Data!R469)</f>
        <v/>
      </c>
      <c r="D479" s="167" t="str">
        <f>IF(ISBLANK(DaqBook_RAW_Data!S469),"",DaqBook_RAW_Data!S469)</f>
        <v/>
      </c>
      <c r="E479" s="167" t="str">
        <f>IF(ISBLANK(DaqBook_RAW_Data!T469),"",DaqBook_RAW_Data!T469)</f>
        <v/>
      </c>
      <c r="F479" s="167" t="str">
        <f>IF(ISBLANK(DaqBook_RAW_Data!U469),"",DaqBook_RAW_Data!U469)</f>
        <v/>
      </c>
      <c r="G479" s="167" t="str">
        <f>IF(ISBLANK(DaqBook_RAW_Data!V469),"",DaqBook_RAW_Data!V469)</f>
        <v/>
      </c>
      <c r="H479" s="167" t="str">
        <f>IF(ISBLANK(DaqBook_RAW_Data!W469),"",DaqBook_RAW_Data!W469)</f>
        <v/>
      </c>
      <c r="I479" s="167" t="str">
        <f>IF(ISBLANK(DaqBook_RAW_Data!X469),"",DaqBook_RAW_Data!X469)</f>
        <v/>
      </c>
      <c r="J479" s="167" t="str">
        <f>IF(ISBLANK(DaqBook_RAW_Data!Y469),"",DaqBook_RAW_Data!Y469)</f>
        <v/>
      </c>
      <c r="K479" s="167" t="str">
        <f>IF(ISBLANK(DaqBook_RAW_Data!Z469),"",DaqBook_RAW_Data!Z469)</f>
        <v/>
      </c>
      <c r="L479" s="167" t="str">
        <f>IF(ISBLANK(DaqBook_RAW_Data!AA469),"",DaqBook_RAW_Data!AA469)</f>
        <v/>
      </c>
      <c r="M479" s="167" t="str">
        <f>IF(ISBLANK(DaqBook_RAW_Data!AB469),"",DaqBook_RAW_Data!AB469)</f>
        <v/>
      </c>
      <c r="N479" s="167" t="str">
        <f>IF(ISBLANK(DaqBook_RAW_Data!AC469),"",DaqBook_RAW_Data!AC469)</f>
        <v/>
      </c>
      <c r="O479" s="167" t="str">
        <f>IF(ISBLANK(DaqBook_RAW_Data!AD469),"",DaqBook_RAW_Data!AD469)</f>
        <v/>
      </c>
      <c r="P479" s="167" t="str">
        <f>IF(ISBLANK(DaqBook_RAW_Data!AE469),"",DaqBook_RAW_Data!AE469)</f>
        <v/>
      </c>
    </row>
    <row r="480" spans="1:16" x14ac:dyDescent="0.2">
      <c r="A480" s="58" t="e">
        <f t="shared" si="7"/>
        <v>#VALUE!</v>
      </c>
      <c r="B480" s="144" t="str">
        <f>IF(ISBLANK(DaqBook_RAW_Data!Q470),IF(DaqBook_RAW_Data!A470="","",TIMEVALUE(DaqBook_RAW_Data!A470)),TIMEVALUE(DaqBook_RAW_Data!Q470))</f>
        <v/>
      </c>
      <c r="C480" s="167" t="str">
        <f>IF(ISBLANK(DaqBook_RAW_Data!R470),"",DaqBook_RAW_Data!R470)</f>
        <v/>
      </c>
      <c r="D480" s="167" t="str">
        <f>IF(ISBLANK(DaqBook_RAW_Data!S470),"",DaqBook_RAW_Data!S470)</f>
        <v/>
      </c>
      <c r="E480" s="167" t="str">
        <f>IF(ISBLANK(DaqBook_RAW_Data!T470),"",DaqBook_RAW_Data!T470)</f>
        <v/>
      </c>
      <c r="F480" s="167" t="str">
        <f>IF(ISBLANK(DaqBook_RAW_Data!U470),"",DaqBook_RAW_Data!U470)</f>
        <v/>
      </c>
      <c r="G480" s="167" t="str">
        <f>IF(ISBLANK(DaqBook_RAW_Data!V470),"",DaqBook_RAW_Data!V470)</f>
        <v/>
      </c>
      <c r="H480" s="167" t="str">
        <f>IF(ISBLANK(DaqBook_RAW_Data!W470),"",DaqBook_RAW_Data!W470)</f>
        <v/>
      </c>
      <c r="I480" s="167" t="str">
        <f>IF(ISBLANK(DaqBook_RAW_Data!X470),"",DaqBook_RAW_Data!X470)</f>
        <v/>
      </c>
      <c r="J480" s="167" t="str">
        <f>IF(ISBLANK(DaqBook_RAW_Data!Y470),"",DaqBook_RAW_Data!Y470)</f>
        <v/>
      </c>
      <c r="K480" s="167" t="str">
        <f>IF(ISBLANK(DaqBook_RAW_Data!Z470),"",DaqBook_RAW_Data!Z470)</f>
        <v/>
      </c>
      <c r="L480" s="167" t="str">
        <f>IF(ISBLANK(DaqBook_RAW_Data!AA470),"",DaqBook_RAW_Data!AA470)</f>
        <v/>
      </c>
      <c r="M480" s="167" t="str">
        <f>IF(ISBLANK(DaqBook_RAW_Data!AB470),"",DaqBook_RAW_Data!AB470)</f>
        <v/>
      </c>
      <c r="N480" s="167" t="str">
        <f>IF(ISBLANK(DaqBook_RAW_Data!AC470),"",DaqBook_RAW_Data!AC470)</f>
        <v/>
      </c>
      <c r="O480" s="167" t="str">
        <f>IF(ISBLANK(DaqBook_RAW_Data!AD470),"",DaqBook_RAW_Data!AD470)</f>
        <v/>
      </c>
      <c r="P480" s="167" t="str">
        <f>IF(ISBLANK(DaqBook_RAW_Data!AE470),"",DaqBook_RAW_Data!AE470)</f>
        <v/>
      </c>
    </row>
    <row r="481" spans="1:16" x14ac:dyDescent="0.2">
      <c r="A481" s="58" t="e">
        <f t="shared" si="7"/>
        <v>#VALUE!</v>
      </c>
      <c r="B481" s="144" t="str">
        <f>IF(ISBLANK(DaqBook_RAW_Data!Q471),IF(DaqBook_RAW_Data!A471="","",TIMEVALUE(DaqBook_RAW_Data!A471)),TIMEVALUE(DaqBook_RAW_Data!Q471))</f>
        <v/>
      </c>
      <c r="C481" s="167" t="str">
        <f>IF(ISBLANK(DaqBook_RAW_Data!R471),"",DaqBook_RAW_Data!R471)</f>
        <v/>
      </c>
      <c r="D481" s="167" t="str">
        <f>IF(ISBLANK(DaqBook_RAW_Data!S471),"",DaqBook_RAW_Data!S471)</f>
        <v/>
      </c>
      <c r="E481" s="167" t="str">
        <f>IF(ISBLANK(DaqBook_RAW_Data!T471),"",DaqBook_RAW_Data!T471)</f>
        <v/>
      </c>
      <c r="F481" s="167" t="str">
        <f>IF(ISBLANK(DaqBook_RAW_Data!U471),"",DaqBook_RAW_Data!U471)</f>
        <v/>
      </c>
      <c r="G481" s="167" t="str">
        <f>IF(ISBLANK(DaqBook_RAW_Data!V471),"",DaqBook_RAW_Data!V471)</f>
        <v/>
      </c>
      <c r="H481" s="167" t="str">
        <f>IF(ISBLANK(DaqBook_RAW_Data!W471),"",DaqBook_RAW_Data!W471)</f>
        <v/>
      </c>
      <c r="I481" s="167" t="str">
        <f>IF(ISBLANK(DaqBook_RAW_Data!X471),"",DaqBook_RAW_Data!X471)</f>
        <v/>
      </c>
      <c r="J481" s="167" t="str">
        <f>IF(ISBLANK(DaqBook_RAW_Data!Y471),"",DaqBook_RAW_Data!Y471)</f>
        <v/>
      </c>
      <c r="K481" s="167" t="str">
        <f>IF(ISBLANK(DaqBook_RAW_Data!Z471),"",DaqBook_RAW_Data!Z471)</f>
        <v/>
      </c>
      <c r="L481" s="167" t="str">
        <f>IF(ISBLANK(DaqBook_RAW_Data!AA471),"",DaqBook_RAW_Data!AA471)</f>
        <v/>
      </c>
      <c r="M481" s="167" t="str">
        <f>IF(ISBLANK(DaqBook_RAW_Data!AB471),"",DaqBook_RAW_Data!AB471)</f>
        <v/>
      </c>
      <c r="N481" s="167" t="str">
        <f>IF(ISBLANK(DaqBook_RAW_Data!AC471),"",DaqBook_RAW_Data!AC471)</f>
        <v/>
      </c>
      <c r="O481" s="167" t="str">
        <f>IF(ISBLANK(DaqBook_RAW_Data!AD471),"",DaqBook_RAW_Data!AD471)</f>
        <v/>
      </c>
      <c r="P481" s="167" t="str">
        <f>IF(ISBLANK(DaqBook_RAW_Data!AE471),"",DaqBook_RAW_Data!AE471)</f>
        <v/>
      </c>
    </row>
    <row r="482" spans="1:16" x14ac:dyDescent="0.2">
      <c r="A482" s="58" t="e">
        <f t="shared" si="7"/>
        <v>#VALUE!</v>
      </c>
      <c r="B482" s="144" t="str">
        <f>IF(ISBLANK(DaqBook_RAW_Data!Q472),IF(DaqBook_RAW_Data!A472="","",TIMEVALUE(DaqBook_RAW_Data!A472)),TIMEVALUE(DaqBook_RAW_Data!Q472))</f>
        <v/>
      </c>
      <c r="C482" s="167" t="str">
        <f>IF(ISBLANK(DaqBook_RAW_Data!R472),"",DaqBook_RAW_Data!R472)</f>
        <v/>
      </c>
      <c r="D482" s="167" t="str">
        <f>IF(ISBLANK(DaqBook_RAW_Data!S472),"",DaqBook_RAW_Data!S472)</f>
        <v/>
      </c>
      <c r="E482" s="167" t="str">
        <f>IF(ISBLANK(DaqBook_RAW_Data!T472),"",DaqBook_RAW_Data!T472)</f>
        <v/>
      </c>
      <c r="F482" s="167" t="str">
        <f>IF(ISBLANK(DaqBook_RAW_Data!U472),"",DaqBook_RAW_Data!U472)</f>
        <v/>
      </c>
      <c r="G482" s="167" t="str">
        <f>IF(ISBLANK(DaqBook_RAW_Data!V472),"",DaqBook_RAW_Data!V472)</f>
        <v/>
      </c>
      <c r="H482" s="167" t="str">
        <f>IF(ISBLANK(DaqBook_RAW_Data!W472),"",DaqBook_RAW_Data!W472)</f>
        <v/>
      </c>
      <c r="I482" s="167" t="str">
        <f>IF(ISBLANK(DaqBook_RAW_Data!X472),"",DaqBook_RAW_Data!X472)</f>
        <v/>
      </c>
      <c r="J482" s="167" t="str">
        <f>IF(ISBLANK(DaqBook_RAW_Data!Y472),"",DaqBook_RAW_Data!Y472)</f>
        <v/>
      </c>
      <c r="K482" s="167" t="str">
        <f>IF(ISBLANK(DaqBook_RAW_Data!Z472),"",DaqBook_RAW_Data!Z472)</f>
        <v/>
      </c>
      <c r="L482" s="167" t="str">
        <f>IF(ISBLANK(DaqBook_RAW_Data!AA472),"",DaqBook_RAW_Data!AA472)</f>
        <v/>
      </c>
      <c r="M482" s="167" t="str">
        <f>IF(ISBLANK(DaqBook_RAW_Data!AB472),"",DaqBook_RAW_Data!AB472)</f>
        <v/>
      </c>
      <c r="N482" s="167" t="str">
        <f>IF(ISBLANK(DaqBook_RAW_Data!AC472),"",DaqBook_RAW_Data!AC472)</f>
        <v/>
      </c>
      <c r="O482" s="167" t="str">
        <f>IF(ISBLANK(DaqBook_RAW_Data!AD472),"",DaqBook_RAW_Data!AD472)</f>
        <v/>
      </c>
      <c r="P482" s="167" t="str">
        <f>IF(ISBLANK(DaqBook_RAW_Data!AE472),"",DaqBook_RAW_Data!AE472)</f>
        <v/>
      </c>
    </row>
    <row r="483" spans="1:16" x14ac:dyDescent="0.2">
      <c r="A483" s="58" t="e">
        <f t="shared" si="7"/>
        <v>#VALUE!</v>
      </c>
      <c r="B483" s="144" t="str">
        <f>IF(ISBLANK(DaqBook_RAW_Data!Q473),IF(DaqBook_RAW_Data!A473="","",TIMEVALUE(DaqBook_RAW_Data!A473)),TIMEVALUE(DaqBook_RAW_Data!Q473))</f>
        <v/>
      </c>
      <c r="C483" s="167" t="str">
        <f>IF(ISBLANK(DaqBook_RAW_Data!R473),"",DaqBook_RAW_Data!R473)</f>
        <v/>
      </c>
      <c r="D483" s="167" t="str">
        <f>IF(ISBLANK(DaqBook_RAW_Data!S473),"",DaqBook_RAW_Data!S473)</f>
        <v/>
      </c>
      <c r="E483" s="167" t="str">
        <f>IF(ISBLANK(DaqBook_RAW_Data!T473),"",DaqBook_RAW_Data!T473)</f>
        <v/>
      </c>
      <c r="F483" s="167" t="str">
        <f>IF(ISBLANK(DaqBook_RAW_Data!U473),"",DaqBook_RAW_Data!U473)</f>
        <v/>
      </c>
      <c r="G483" s="167" t="str">
        <f>IF(ISBLANK(DaqBook_RAW_Data!V473),"",DaqBook_RAW_Data!V473)</f>
        <v/>
      </c>
      <c r="H483" s="167" t="str">
        <f>IF(ISBLANK(DaqBook_RAW_Data!W473),"",DaqBook_RAW_Data!W473)</f>
        <v/>
      </c>
      <c r="I483" s="167" t="str">
        <f>IF(ISBLANK(DaqBook_RAW_Data!X473),"",DaqBook_RAW_Data!X473)</f>
        <v/>
      </c>
      <c r="J483" s="167" t="str">
        <f>IF(ISBLANK(DaqBook_RAW_Data!Y473),"",DaqBook_RAW_Data!Y473)</f>
        <v/>
      </c>
      <c r="K483" s="167" t="str">
        <f>IF(ISBLANK(DaqBook_RAW_Data!Z473),"",DaqBook_RAW_Data!Z473)</f>
        <v/>
      </c>
      <c r="L483" s="167" t="str">
        <f>IF(ISBLANK(DaqBook_RAW_Data!AA473),"",DaqBook_RAW_Data!AA473)</f>
        <v/>
      </c>
      <c r="M483" s="167" t="str">
        <f>IF(ISBLANK(DaqBook_RAW_Data!AB473),"",DaqBook_RAW_Data!AB473)</f>
        <v/>
      </c>
      <c r="N483" s="167" t="str">
        <f>IF(ISBLANK(DaqBook_RAW_Data!AC473),"",DaqBook_RAW_Data!AC473)</f>
        <v/>
      </c>
      <c r="O483" s="167" t="str">
        <f>IF(ISBLANK(DaqBook_RAW_Data!AD473),"",DaqBook_RAW_Data!AD473)</f>
        <v/>
      </c>
      <c r="P483" s="167" t="str">
        <f>IF(ISBLANK(DaqBook_RAW_Data!AE473),"",DaqBook_RAW_Data!AE473)</f>
        <v/>
      </c>
    </row>
    <row r="484" spans="1:16" x14ac:dyDescent="0.2">
      <c r="A484" s="58" t="e">
        <f t="shared" si="7"/>
        <v>#VALUE!</v>
      </c>
      <c r="B484" s="144" t="str">
        <f>IF(ISBLANK(DaqBook_RAW_Data!Q474),IF(DaqBook_RAW_Data!A474="","",TIMEVALUE(DaqBook_RAW_Data!A474)),TIMEVALUE(DaqBook_RAW_Data!Q474))</f>
        <v/>
      </c>
      <c r="C484" s="167" t="str">
        <f>IF(ISBLANK(DaqBook_RAW_Data!R474),"",DaqBook_RAW_Data!R474)</f>
        <v/>
      </c>
      <c r="D484" s="167" t="str">
        <f>IF(ISBLANK(DaqBook_RAW_Data!S474),"",DaqBook_RAW_Data!S474)</f>
        <v/>
      </c>
      <c r="E484" s="167" t="str">
        <f>IF(ISBLANK(DaqBook_RAW_Data!T474),"",DaqBook_RAW_Data!T474)</f>
        <v/>
      </c>
      <c r="F484" s="167" t="str">
        <f>IF(ISBLANK(DaqBook_RAW_Data!U474),"",DaqBook_RAW_Data!U474)</f>
        <v/>
      </c>
      <c r="G484" s="167" t="str">
        <f>IF(ISBLANK(DaqBook_RAW_Data!V474),"",DaqBook_RAW_Data!V474)</f>
        <v/>
      </c>
      <c r="H484" s="167" t="str">
        <f>IF(ISBLANK(DaqBook_RAW_Data!W474),"",DaqBook_RAW_Data!W474)</f>
        <v/>
      </c>
      <c r="I484" s="167" t="str">
        <f>IF(ISBLANK(DaqBook_RAW_Data!X474),"",DaqBook_RAW_Data!X474)</f>
        <v/>
      </c>
      <c r="J484" s="167" t="str">
        <f>IF(ISBLANK(DaqBook_RAW_Data!Y474),"",DaqBook_RAW_Data!Y474)</f>
        <v/>
      </c>
      <c r="K484" s="167" t="str">
        <f>IF(ISBLANK(DaqBook_RAW_Data!Z474),"",DaqBook_RAW_Data!Z474)</f>
        <v/>
      </c>
      <c r="L484" s="167" t="str">
        <f>IF(ISBLANK(DaqBook_RAW_Data!AA474),"",DaqBook_RAW_Data!AA474)</f>
        <v/>
      </c>
      <c r="M484" s="167" t="str">
        <f>IF(ISBLANK(DaqBook_RAW_Data!AB474),"",DaqBook_RAW_Data!AB474)</f>
        <v/>
      </c>
      <c r="N484" s="167" t="str">
        <f>IF(ISBLANK(DaqBook_RAW_Data!AC474),"",DaqBook_RAW_Data!AC474)</f>
        <v/>
      </c>
      <c r="O484" s="167" t="str">
        <f>IF(ISBLANK(DaqBook_RAW_Data!AD474),"",DaqBook_RAW_Data!AD474)</f>
        <v/>
      </c>
      <c r="P484" s="167" t="str">
        <f>IF(ISBLANK(DaqBook_RAW_Data!AE474),"",DaqBook_RAW_Data!AE474)</f>
        <v/>
      </c>
    </row>
    <row r="485" spans="1:16" x14ac:dyDescent="0.2">
      <c r="A485" s="58" t="e">
        <f t="shared" si="7"/>
        <v>#VALUE!</v>
      </c>
      <c r="B485" s="144" t="str">
        <f>IF(ISBLANK(DaqBook_RAW_Data!Q475),IF(DaqBook_RAW_Data!A475="","",TIMEVALUE(DaqBook_RAW_Data!A475)),TIMEVALUE(DaqBook_RAW_Data!Q475))</f>
        <v/>
      </c>
      <c r="C485" s="167" t="str">
        <f>IF(ISBLANK(DaqBook_RAW_Data!R475),"",DaqBook_RAW_Data!R475)</f>
        <v/>
      </c>
      <c r="D485" s="167" t="str">
        <f>IF(ISBLANK(DaqBook_RAW_Data!S475),"",DaqBook_RAW_Data!S475)</f>
        <v/>
      </c>
      <c r="E485" s="167" t="str">
        <f>IF(ISBLANK(DaqBook_RAW_Data!T475),"",DaqBook_RAW_Data!T475)</f>
        <v/>
      </c>
      <c r="F485" s="167" t="str">
        <f>IF(ISBLANK(DaqBook_RAW_Data!U475),"",DaqBook_RAW_Data!U475)</f>
        <v/>
      </c>
      <c r="G485" s="167" t="str">
        <f>IF(ISBLANK(DaqBook_RAW_Data!V475),"",DaqBook_RAW_Data!V475)</f>
        <v/>
      </c>
      <c r="H485" s="167" t="str">
        <f>IF(ISBLANK(DaqBook_RAW_Data!W475),"",DaqBook_RAW_Data!W475)</f>
        <v/>
      </c>
      <c r="I485" s="167" t="str">
        <f>IF(ISBLANK(DaqBook_RAW_Data!X475),"",DaqBook_RAW_Data!X475)</f>
        <v/>
      </c>
      <c r="J485" s="167" t="str">
        <f>IF(ISBLANK(DaqBook_RAW_Data!Y475),"",DaqBook_RAW_Data!Y475)</f>
        <v/>
      </c>
      <c r="K485" s="167" t="str">
        <f>IF(ISBLANK(DaqBook_RAW_Data!Z475),"",DaqBook_RAW_Data!Z475)</f>
        <v/>
      </c>
      <c r="L485" s="167" t="str">
        <f>IF(ISBLANK(DaqBook_RAW_Data!AA475),"",DaqBook_RAW_Data!AA475)</f>
        <v/>
      </c>
      <c r="M485" s="167" t="str">
        <f>IF(ISBLANK(DaqBook_RAW_Data!AB475),"",DaqBook_RAW_Data!AB475)</f>
        <v/>
      </c>
      <c r="N485" s="167" t="str">
        <f>IF(ISBLANK(DaqBook_RAW_Data!AC475),"",DaqBook_RAW_Data!AC475)</f>
        <v/>
      </c>
      <c r="O485" s="167" t="str">
        <f>IF(ISBLANK(DaqBook_RAW_Data!AD475),"",DaqBook_RAW_Data!AD475)</f>
        <v/>
      </c>
      <c r="P485" s="167" t="str">
        <f>IF(ISBLANK(DaqBook_RAW_Data!AE475),"",DaqBook_RAW_Data!AE475)</f>
        <v/>
      </c>
    </row>
    <row r="486" spans="1:16" x14ac:dyDescent="0.2">
      <c r="A486" s="58" t="e">
        <f t="shared" si="7"/>
        <v>#VALUE!</v>
      </c>
      <c r="B486" s="144" t="str">
        <f>IF(ISBLANK(DaqBook_RAW_Data!Q476),IF(DaqBook_RAW_Data!A476="","",TIMEVALUE(DaqBook_RAW_Data!A476)),TIMEVALUE(DaqBook_RAW_Data!Q476))</f>
        <v/>
      </c>
      <c r="C486" s="167" t="str">
        <f>IF(ISBLANK(DaqBook_RAW_Data!R476),"",DaqBook_RAW_Data!R476)</f>
        <v/>
      </c>
      <c r="D486" s="167" t="str">
        <f>IF(ISBLANK(DaqBook_RAW_Data!S476),"",DaqBook_RAW_Data!S476)</f>
        <v/>
      </c>
      <c r="E486" s="167" t="str">
        <f>IF(ISBLANK(DaqBook_RAW_Data!T476),"",DaqBook_RAW_Data!T476)</f>
        <v/>
      </c>
      <c r="F486" s="167" t="str">
        <f>IF(ISBLANK(DaqBook_RAW_Data!U476),"",DaqBook_RAW_Data!U476)</f>
        <v/>
      </c>
      <c r="G486" s="167" t="str">
        <f>IF(ISBLANK(DaqBook_RAW_Data!V476),"",DaqBook_RAW_Data!V476)</f>
        <v/>
      </c>
      <c r="H486" s="167" t="str">
        <f>IF(ISBLANK(DaqBook_RAW_Data!W476),"",DaqBook_RAW_Data!W476)</f>
        <v/>
      </c>
      <c r="I486" s="167" t="str">
        <f>IF(ISBLANK(DaqBook_RAW_Data!X476),"",DaqBook_RAW_Data!X476)</f>
        <v/>
      </c>
      <c r="J486" s="167" t="str">
        <f>IF(ISBLANK(DaqBook_RAW_Data!Y476),"",DaqBook_RAW_Data!Y476)</f>
        <v/>
      </c>
      <c r="K486" s="167" t="str">
        <f>IF(ISBLANK(DaqBook_RAW_Data!Z476),"",DaqBook_RAW_Data!Z476)</f>
        <v/>
      </c>
      <c r="L486" s="167" t="str">
        <f>IF(ISBLANK(DaqBook_RAW_Data!AA476),"",DaqBook_RAW_Data!AA476)</f>
        <v/>
      </c>
      <c r="M486" s="167" t="str">
        <f>IF(ISBLANK(DaqBook_RAW_Data!AB476),"",DaqBook_RAW_Data!AB476)</f>
        <v/>
      </c>
      <c r="N486" s="167" t="str">
        <f>IF(ISBLANK(DaqBook_RAW_Data!AC476),"",DaqBook_RAW_Data!AC476)</f>
        <v/>
      </c>
      <c r="O486" s="167" t="str">
        <f>IF(ISBLANK(DaqBook_RAW_Data!AD476),"",DaqBook_RAW_Data!AD476)</f>
        <v/>
      </c>
      <c r="P486" s="167" t="str">
        <f>IF(ISBLANK(DaqBook_RAW_Data!AE476),"",DaqBook_RAW_Data!AE476)</f>
        <v/>
      </c>
    </row>
    <row r="487" spans="1:16" x14ac:dyDescent="0.2">
      <c r="A487" s="58" t="e">
        <f t="shared" si="7"/>
        <v>#VALUE!</v>
      </c>
      <c r="B487" s="144" t="str">
        <f>IF(ISBLANK(DaqBook_RAW_Data!Q477),IF(DaqBook_RAW_Data!A477="","",TIMEVALUE(DaqBook_RAW_Data!A477)),TIMEVALUE(DaqBook_RAW_Data!Q477))</f>
        <v/>
      </c>
      <c r="C487" s="167" t="str">
        <f>IF(ISBLANK(DaqBook_RAW_Data!R477),"",DaqBook_RAW_Data!R477)</f>
        <v/>
      </c>
      <c r="D487" s="167" t="str">
        <f>IF(ISBLANK(DaqBook_RAW_Data!S477),"",DaqBook_RAW_Data!S477)</f>
        <v/>
      </c>
      <c r="E487" s="167" t="str">
        <f>IF(ISBLANK(DaqBook_RAW_Data!T477),"",DaqBook_RAW_Data!T477)</f>
        <v/>
      </c>
      <c r="F487" s="167" t="str">
        <f>IF(ISBLANK(DaqBook_RAW_Data!U477),"",DaqBook_RAW_Data!U477)</f>
        <v/>
      </c>
      <c r="G487" s="167" t="str">
        <f>IF(ISBLANK(DaqBook_RAW_Data!V477),"",DaqBook_RAW_Data!V477)</f>
        <v/>
      </c>
      <c r="H487" s="167" t="str">
        <f>IF(ISBLANK(DaqBook_RAW_Data!W477),"",DaqBook_RAW_Data!W477)</f>
        <v/>
      </c>
      <c r="I487" s="167" t="str">
        <f>IF(ISBLANK(DaqBook_RAW_Data!X477),"",DaqBook_RAW_Data!X477)</f>
        <v/>
      </c>
      <c r="J487" s="167" t="str">
        <f>IF(ISBLANK(DaqBook_RAW_Data!Y477),"",DaqBook_RAW_Data!Y477)</f>
        <v/>
      </c>
      <c r="K487" s="167" t="str">
        <f>IF(ISBLANK(DaqBook_RAW_Data!Z477),"",DaqBook_RAW_Data!Z477)</f>
        <v/>
      </c>
      <c r="L487" s="167" t="str">
        <f>IF(ISBLANK(DaqBook_RAW_Data!AA477),"",DaqBook_RAW_Data!AA477)</f>
        <v/>
      </c>
      <c r="M487" s="167" t="str">
        <f>IF(ISBLANK(DaqBook_RAW_Data!AB477),"",DaqBook_RAW_Data!AB477)</f>
        <v/>
      </c>
      <c r="N487" s="167" t="str">
        <f>IF(ISBLANK(DaqBook_RAW_Data!AC477),"",DaqBook_RAW_Data!AC477)</f>
        <v/>
      </c>
      <c r="O487" s="167" t="str">
        <f>IF(ISBLANK(DaqBook_RAW_Data!AD477),"",DaqBook_RAW_Data!AD477)</f>
        <v/>
      </c>
      <c r="P487" s="167" t="str">
        <f>IF(ISBLANK(DaqBook_RAW_Data!AE477),"",DaqBook_RAW_Data!AE477)</f>
        <v/>
      </c>
    </row>
    <row r="488" spans="1:16" x14ac:dyDescent="0.2">
      <c r="A488" s="58" t="e">
        <f t="shared" si="7"/>
        <v>#VALUE!</v>
      </c>
      <c r="B488" s="144" t="str">
        <f>IF(ISBLANK(DaqBook_RAW_Data!Q478),IF(DaqBook_RAW_Data!A478="","",TIMEVALUE(DaqBook_RAW_Data!A478)),TIMEVALUE(DaqBook_RAW_Data!Q478))</f>
        <v/>
      </c>
      <c r="C488" s="167" t="str">
        <f>IF(ISBLANK(DaqBook_RAW_Data!R478),"",DaqBook_RAW_Data!R478)</f>
        <v/>
      </c>
      <c r="D488" s="167" t="str">
        <f>IF(ISBLANK(DaqBook_RAW_Data!S478),"",DaqBook_RAW_Data!S478)</f>
        <v/>
      </c>
      <c r="E488" s="167" t="str">
        <f>IF(ISBLANK(DaqBook_RAW_Data!T478),"",DaqBook_RAW_Data!T478)</f>
        <v/>
      </c>
      <c r="F488" s="167" t="str">
        <f>IF(ISBLANK(DaqBook_RAW_Data!U478),"",DaqBook_RAW_Data!U478)</f>
        <v/>
      </c>
      <c r="G488" s="167" t="str">
        <f>IF(ISBLANK(DaqBook_RAW_Data!V478),"",DaqBook_RAW_Data!V478)</f>
        <v/>
      </c>
      <c r="H488" s="167" t="str">
        <f>IF(ISBLANK(DaqBook_RAW_Data!W478),"",DaqBook_RAW_Data!W478)</f>
        <v/>
      </c>
      <c r="I488" s="167" t="str">
        <f>IF(ISBLANK(DaqBook_RAW_Data!X478),"",DaqBook_RAW_Data!X478)</f>
        <v/>
      </c>
      <c r="J488" s="167" t="str">
        <f>IF(ISBLANK(DaqBook_RAW_Data!Y478),"",DaqBook_RAW_Data!Y478)</f>
        <v/>
      </c>
      <c r="K488" s="167" t="str">
        <f>IF(ISBLANK(DaqBook_RAW_Data!Z478),"",DaqBook_RAW_Data!Z478)</f>
        <v/>
      </c>
      <c r="L488" s="167" t="str">
        <f>IF(ISBLANK(DaqBook_RAW_Data!AA478),"",DaqBook_RAW_Data!AA478)</f>
        <v/>
      </c>
      <c r="M488" s="167" t="str">
        <f>IF(ISBLANK(DaqBook_RAW_Data!AB478),"",DaqBook_RAW_Data!AB478)</f>
        <v/>
      </c>
      <c r="N488" s="167" t="str">
        <f>IF(ISBLANK(DaqBook_RAW_Data!AC478),"",DaqBook_RAW_Data!AC478)</f>
        <v/>
      </c>
      <c r="O488" s="167" t="str">
        <f>IF(ISBLANK(DaqBook_RAW_Data!AD478),"",DaqBook_RAW_Data!AD478)</f>
        <v/>
      </c>
      <c r="P488" s="167" t="str">
        <f>IF(ISBLANK(DaqBook_RAW_Data!AE478),"",DaqBook_RAW_Data!AE478)</f>
        <v/>
      </c>
    </row>
    <row r="489" spans="1:16" x14ac:dyDescent="0.2">
      <c r="A489" s="58" t="e">
        <f t="shared" si="7"/>
        <v>#VALUE!</v>
      </c>
      <c r="B489" s="144" t="str">
        <f>IF(ISBLANK(DaqBook_RAW_Data!Q479),IF(DaqBook_RAW_Data!A479="","",TIMEVALUE(DaqBook_RAW_Data!A479)),TIMEVALUE(DaqBook_RAW_Data!Q479))</f>
        <v/>
      </c>
      <c r="C489" s="167" t="str">
        <f>IF(ISBLANK(DaqBook_RAW_Data!R479),"",DaqBook_RAW_Data!R479)</f>
        <v/>
      </c>
      <c r="D489" s="167" t="str">
        <f>IF(ISBLANK(DaqBook_RAW_Data!S479),"",DaqBook_RAW_Data!S479)</f>
        <v/>
      </c>
      <c r="E489" s="167" t="str">
        <f>IF(ISBLANK(DaqBook_RAW_Data!T479),"",DaqBook_RAW_Data!T479)</f>
        <v/>
      </c>
      <c r="F489" s="167" t="str">
        <f>IF(ISBLANK(DaqBook_RAW_Data!U479),"",DaqBook_RAW_Data!U479)</f>
        <v/>
      </c>
      <c r="G489" s="167" t="str">
        <f>IF(ISBLANK(DaqBook_RAW_Data!V479),"",DaqBook_RAW_Data!V479)</f>
        <v/>
      </c>
      <c r="H489" s="167" t="str">
        <f>IF(ISBLANK(DaqBook_RAW_Data!W479),"",DaqBook_RAW_Data!W479)</f>
        <v/>
      </c>
      <c r="I489" s="167" t="str">
        <f>IF(ISBLANK(DaqBook_RAW_Data!X479),"",DaqBook_RAW_Data!X479)</f>
        <v/>
      </c>
      <c r="J489" s="167" t="str">
        <f>IF(ISBLANK(DaqBook_RAW_Data!Y479),"",DaqBook_RAW_Data!Y479)</f>
        <v/>
      </c>
      <c r="K489" s="167" t="str">
        <f>IF(ISBLANK(DaqBook_RAW_Data!Z479),"",DaqBook_RAW_Data!Z479)</f>
        <v/>
      </c>
      <c r="L489" s="167" t="str">
        <f>IF(ISBLANK(DaqBook_RAW_Data!AA479),"",DaqBook_RAW_Data!AA479)</f>
        <v/>
      </c>
      <c r="M489" s="167" t="str">
        <f>IF(ISBLANK(DaqBook_RAW_Data!AB479),"",DaqBook_RAW_Data!AB479)</f>
        <v/>
      </c>
      <c r="N489" s="167" t="str">
        <f>IF(ISBLANK(DaqBook_RAW_Data!AC479),"",DaqBook_RAW_Data!AC479)</f>
        <v/>
      </c>
      <c r="O489" s="167" t="str">
        <f>IF(ISBLANK(DaqBook_RAW_Data!AD479),"",DaqBook_RAW_Data!AD479)</f>
        <v/>
      </c>
      <c r="P489" s="167" t="str">
        <f>IF(ISBLANK(DaqBook_RAW_Data!AE479),"",DaqBook_RAW_Data!AE479)</f>
        <v/>
      </c>
    </row>
    <row r="490" spans="1:16" x14ac:dyDescent="0.2">
      <c r="A490" s="58" t="e">
        <f t="shared" si="7"/>
        <v>#VALUE!</v>
      </c>
      <c r="B490" s="144" t="str">
        <f>IF(ISBLANK(DaqBook_RAW_Data!Q480),IF(DaqBook_RAW_Data!A480="","",TIMEVALUE(DaqBook_RAW_Data!A480)),TIMEVALUE(DaqBook_RAW_Data!Q480))</f>
        <v/>
      </c>
      <c r="C490" s="167" t="str">
        <f>IF(ISBLANK(DaqBook_RAW_Data!R480),"",DaqBook_RAW_Data!R480)</f>
        <v/>
      </c>
      <c r="D490" s="167" t="str">
        <f>IF(ISBLANK(DaqBook_RAW_Data!S480),"",DaqBook_RAW_Data!S480)</f>
        <v/>
      </c>
      <c r="E490" s="167" t="str">
        <f>IF(ISBLANK(DaqBook_RAW_Data!T480),"",DaqBook_RAW_Data!T480)</f>
        <v/>
      </c>
      <c r="F490" s="167" t="str">
        <f>IF(ISBLANK(DaqBook_RAW_Data!U480),"",DaqBook_RAW_Data!U480)</f>
        <v/>
      </c>
      <c r="G490" s="167" t="str">
        <f>IF(ISBLANK(DaqBook_RAW_Data!V480),"",DaqBook_RAW_Data!V480)</f>
        <v/>
      </c>
      <c r="H490" s="167" t="str">
        <f>IF(ISBLANK(DaqBook_RAW_Data!W480),"",DaqBook_RAW_Data!W480)</f>
        <v/>
      </c>
      <c r="I490" s="167" t="str">
        <f>IF(ISBLANK(DaqBook_RAW_Data!X480),"",DaqBook_RAW_Data!X480)</f>
        <v/>
      </c>
      <c r="J490" s="167" t="str">
        <f>IF(ISBLANK(DaqBook_RAW_Data!Y480),"",DaqBook_RAW_Data!Y480)</f>
        <v/>
      </c>
      <c r="K490" s="167" t="str">
        <f>IF(ISBLANK(DaqBook_RAW_Data!Z480),"",DaqBook_RAW_Data!Z480)</f>
        <v/>
      </c>
      <c r="L490" s="167" t="str">
        <f>IF(ISBLANK(DaqBook_RAW_Data!AA480),"",DaqBook_RAW_Data!AA480)</f>
        <v/>
      </c>
      <c r="M490" s="167" t="str">
        <f>IF(ISBLANK(DaqBook_RAW_Data!AB480),"",DaqBook_RAW_Data!AB480)</f>
        <v/>
      </c>
      <c r="N490" s="167" t="str">
        <f>IF(ISBLANK(DaqBook_RAW_Data!AC480),"",DaqBook_RAW_Data!AC480)</f>
        <v/>
      </c>
      <c r="O490" s="167" t="str">
        <f>IF(ISBLANK(DaqBook_RAW_Data!AD480),"",DaqBook_RAW_Data!AD480)</f>
        <v/>
      </c>
      <c r="P490" s="167" t="str">
        <f>IF(ISBLANK(DaqBook_RAW_Data!AE480),"",DaqBook_RAW_Data!AE480)</f>
        <v/>
      </c>
    </row>
    <row r="491" spans="1:16" x14ac:dyDescent="0.2">
      <c r="A491" s="58" t="e">
        <f t="shared" si="7"/>
        <v>#VALUE!</v>
      </c>
      <c r="B491" s="144" t="str">
        <f>IF(ISBLANK(DaqBook_RAW_Data!Q481),IF(DaqBook_RAW_Data!A481="","",TIMEVALUE(DaqBook_RAW_Data!A481)),TIMEVALUE(DaqBook_RAW_Data!Q481))</f>
        <v/>
      </c>
      <c r="C491" s="167" t="str">
        <f>IF(ISBLANK(DaqBook_RAW_Data!R481),"",DaqBook_RAW_Data!R481)</f>
        <v/>
      </c>
      <c r="D491" s="167" t="str">
        <f>IF(ISBLANK(DaqBook_RAW_Data!S481),"",DaqBook_RAW_Data!S481)</f>
        <v/>
      </c>
      <c r="E491" s="167" t="str">
        <f>IF(ISBLANK(DaqBook_RAW_Data!T481),"",DaqBook_RAW_Data!T481)</f>
        <v/>
      </c>
      <c r="F491" s="167" t="str">
        <f>IF(ISBLANK(DaqBook_RAW_Data!U481),"",DaqBook_RAW_Data!U481)</f>
        <v/>
      </c>
      <c r="G491" s="167" t="str">
        <f>IF(ISBLANK(DaqBook_RAW_Data!V481),"",DaqBook_RAW_Data!V481)</f>
        <v/>
      </c>
      <c r="H491" s="167" t="str">
        <f>IF(ISBLANK(DaqBook_RAW_Data!W481),"",DaqBook_RAW_Data!W481)</f>
        <v/>
      </c>
      <c r="I491" s="167" t="str">
        <f>IF(ISBLANK(DaqBook_RAW_Data!X481),"",DaqBook_RAW_Data!X481)</f>
        <v/>
      </c>
      <c r="J491" s="167" t="str">
        <f>IF(ISBLANK(DaqBook_RAW_Data!Y481),"",DaqBook_RAW_Data!Y481)</f>
        <v/>
      </c>
      <c r="K491" s="167" t="str">
        <f>IF(ISBLANK(DaqBook_RAW_Data!Z481),"",DaqBook_RAW_Data!Z481)</f>
        <v/>
      </c>
      <c r="L491" s="167" t="str">
        <f>IF(ISBLANK(DaqBook_RAW_Data!AA481),"",DaqBook_RAW_Data!AA481)</f>
        <v/>
      </c>
      <c r="M491" s="167" t="str">
        <f>IF(ISBLANK(DaqBook_RAW_Data!AB481),"",DaqBook_RAW_Data!AB481)</f>
        <v/>
      </c>
      <c r="N491" s="167" t="str">
        <f>IF(ISBLANK(DaqBook_RAW_Data!AC481),"",DaqBook_RAW_Data!AC481)</f>
        <v/>
      </c>
      <c r="O491" s="167" t="str">
        <f>IF(ISBLANK(DaqBook_RAW_Data!AD481),"",DaqBook_RAW_Data!AD481)</f>
        <v/>
      </c>
      <c r="P491" s="167" t="str">
        <f>IF(ISBLANK(DaqBook_RAW_Data!AE481),"",DaqBook_RAW_Data!AE481)</f>
        <v/>
      </c>
    </row>
    <row r="492" spans="1:16" x14ac:dyDescent="0.2">
      <c r="A492" s="58" t="e">
        <f t="shared" si="7"/>
        <v>#VALUE!</v>
      </c>
      <c r="B492" s="144" t="str">
        <f>IF(ISBLANK(DaqBook_RAW_Data!Q482),IF(DaqBook_RAW_Data!A482="","",TIMEVALUE(DaqBook_RAW_Data!A482)),TIMEVALUE(DaqBook_RAW_Data!Q482))</f>
        <v/>
      </c>
      <c r="C492" s="167" t="str">
        <f>IF(ISBLANK(DaqBook_RAW_Data!R482),"",DaqBook_RAW_Data!R482)</f>
        <v/>
      </c>
      <c r="D492" s="167" t="str">
        <f>IF(ISBLANK(DaqBook_RAW_Data!S482),"",DaqBook_RAW_Data!S482)</f>
        <v/>
      </c>
      <c r="E492" s="167" t="str">
        <f>IF(ISBLANK(DaqBook_RAW_Data!T482),"",DaqBook_RAW_Data!T482)</f>
        <v/>
      </c>
      <c r="F492" s="167" t="str">
        <f>IF(ISBLANK(DaqBook_RAW_Data!U482),"",DaqBook_RAW_Data!U482)</f>
        <v/>
      </c>
      <c r="G492" s="167" t="str">
        <f>IF(ISBLANK(DaqBook_RAW_Data!V482),"",DaqBook_RAW_Data!V482)</f>
        <v/>
      </c>
      <c r="H492" s="167" t="str">
        <f>IF(ISBLANK(DaqBook_RAW_Data!W482),"",DaqBook_RAW_Data!W482)</f>
        <v/>
      </c>
      <c r="I492" s="167" t="str">
        <f>IF(ISBLANK(DaqBook_RAW_Data!X482),"",DaqBook_RAW_Data!X482)</f>
        <v/>
      </c>
      <c r="J492" s="167" t="str">
        <f>IF(ISBLANK(DaqBook_RAW_Data!Y482),"",DaqBook_RAW_Data!Y482)</f>
        <v/>
      </c>
      <c r="K492" s="167" t="str">
        <f>IF(ISBLANK(DaqBook_RAW_Data!Z482),"",DaqBook_RAW_Data!Z482)</f>
        <v/>
      </c>
      <c r="L492" s="167" t="str">
        <f>IF(ISBLANK(DaqBook_RAW_Data!AA482),"",DaqBook_RAW_Data!AA482)</f>
        <v/>
      </c>
      <c r="M492" s="167" t="str">
        <f>IF(ISBLANK(DaqBook_RAW_Data!AB482),"",DaqBook_RAW_Data!AB482)</f>
        <v/>
      </c>
      <c r="N492" s="167" t="str">
        <f>IF(ISBLANK(DaqBook_RAW_Data!AC482),"",DaqBook_RAW_Data!AC482)</f>
        <v/>
      </c>
      <c r="O492" s="167" t="str">
        <f>IF(ISBLANK(DaqBook_RAW_Data!AD482),"",DaqBook_RAW_Data!AD482)</f>
        <v/>
      </c>
      <c r="P492" s="167" t="str">
        <f>IF(ISBLANK(DaqBook_RAW_Data!AE482),"",DaqBook_RAW_Data!AE482)</f>
        <v/>
      </c>
    </row>
    <row r="493" spans="1:16" x14ac:dyDescent="0.2">
      <c r="A493" s="58" t="e">
        <f t="shared" si="7"/>
        <v>#VALUE!</v>
      </c>
      <c r="B493" s="144" t="str">
        <f>IF(ISBLANK(DaqBook_RAW_Data!Q483),IF(DaqBook_RAW_Data!A483="","",TIMEVALUE(DaqBook_RAW_Data!A483)),TIMEVALUE(DaqBook_RAW_Data!Q483))</f>
        <v/>
      </c>
      <c r="C493" s="167" t="str">
        <f>IF(ISBLANK(DaqBook_RAW_Data!R483),"",DaqBook_RAW_Data!R483)</f>
        <v/>
      </c>
      <c r="D493" s="167" t="str">
        <f>IF(ISBLANK(DaqBook_RAW_Data!S483),"",DaqBook_RAW_Data!S483)</f>
        <v/>
      </c>
      <c r="E493" s="167" t="str">
        <f>IF(ISBLANK(DaqBook_RAW_Data!T483),"",DaqBook_RAW_Data!T483)</f>
        <v/>
      </c>
      <c r="F493" s="167" t="str">
        <f>IF(ISBLANK(DaqBook_RAW_Data!U483),"",DaqBook_RAW_Data!U483)</f>
        <v/>
      </c>
      <c r="G493" s="167" t="str">
        <f>IF(ISBLANK(DaqBook_RAW_Data!V483),"",DaqBook_RAW_Data!V483)</f>
        <v/>
      </c>
      <c r="H493" s="167" t="str">
        <f>IF(ISBLANK(DaqBook_RAW_Data!W483),"",DaqBook_RAW_Data!W483)</f>
        <v/>
      </c>
      <c r="I493" s="167" t="str">
        <f>IF(ISBLANK(DaqBook_RAW_Data!X483),"",DaqBook_RAW_Data!X483)</f>
        <v/>
      </c>
      <c r="J493" s="167" t="str">
        <f>IF(ISBLANK(DaqBook_RAW_Data!Y483),"",DaqBook_RAW_Data!Y483)</f>
        <v/>
      </c>
      <c r="K493" s="167" t="str">
        <f>IF(ISBLANK(DaqBook_RAW_Data!Z483),"",DaqBook_RAW_Data!Z483)</f>
        <v/>
      </c>
      <c r="L493" s="167" t="str">
        <f>IF(ISBLANK(DaqBook_RAW_Data!AA483),"",DaqBook_RAW_Data!AA483)</f>
        <v/>
      </c>
      <c r="M493" s="167" t="str">
        <f>IF(ISBLANK(DaqBook_RAW_Data!AB483),"",DaqBook_RAW_Data!AB483)</f>
        <v/>
      </c>
      <c r="N493" s="167" t="str">
        <f>IF(ISBLANK(DaqBook_RAW_Data!AC483),"",DaqBook_RAW_Data!AC483)</f>
        <v/>
      </c>
      <c r="O493" s="167" t="str">
        <f>IF(ISBLANK(DaqBook_RAW_Data!AD483),"",DaqBook_RAW_Data!AD483)</f>
        <v/>
      </c>
      <c r="P493" s="167" t="str">
        <f>IF(ISBLANK(DaqBook_RAW_Data!AE483),"",DaqBook_RAW_Data!AE483)</f>
        <v/>
      </c>
    </row>
    <row r="494" spans="1:16" x14ac:dyDescent="0.2">
      <c r="A494" s="58" t="e">
        <f t="shared" si="7"/>
        <v>#VALUE!</v>
      </c>
      <c r="B494" s="144" t="str">
        <f>IF(ISBLANK(DaqBook_RAW_Data!Q484),IF(DaqBook_RAW_Data!A484="","",TIMEVALUE(DaqBook_RAW_Data!A484)),TIMEVALUE(DaqBook_RAW_Data!Q484))</f>
        <v/>
      </c>
      <c r="C494" s="167" t="str">
        <f>IF(ISBLANK(DaqBook_RAW_Data!R484),"",DaqBook_RAW_Data!R484)</f>
        <v/>
      </c>
      <c r="D494" s="167" t="str">
        <f>IF(ISBLANK(DaqBook_RAW_Data!S484),"",DaqBook_RAW_Data!S484)</f>
        <v/>
      </c>
      <c r="E494" s="167" t="str">
        <f>IF(ISBLANK(DaqBook_RAW_Data!T484),"",DaqBook_RAW_Data!T484)</f>
        <v/>
      </c>
      <c r="F494" s="167" t="str">
        <f>IF(ISBLANK(DaqBook_RAW_Data!U484),"",DaqBook_RAW_Data!U484)</f>
        <v/>
      </c>
      <c r="G494" s="167" t="str">
        <f>IF(ISBLANK(DaqBook_RAW_Data!V484),"",DaqBook_RAW_Data!V484)</f>
        <v/>
      </c>
      <c r="H494" s="167" t="str">
        <f>IF(ISBLANK(DaqBook_RAW_Data!W484),"",DaqBook_RAW_Data!W484)</f>
        <v/>
      </c>
      <c r="I494" s="167" t="str">
        <f>IF(ISBLANK(DaqBook_RAW_Data!X484),"",DaqBook_RAW_Data!X484)</f>
        <v/>
      </c>
      <c r="J494" s="167" t="str">
        <f>IF(ISBLANK(DaqBook_RAW_Data!Y484),"",DaqBook_RAW_Data!Y484)</f>
        <v/>
      </c>
      <c r="K494" s="167" t="str">
        <f>IF(ISBLANK(DaqBook_RAW_Data!Z484),"",DaqBook_RAW_Data!Z484)</f>
        <v/>
      </c>
      <c r="L494" s="167" t="str">
        <f>IF(ISBLANK(DaqBook_RAW_Data!AA484),"",DaqBook_RAW_Data!AA484)</f>
        <v/>
      </c>
      <c r="M494" s="167" t="str">
        <f>IF(ISBLANK(DaqBook_RAW_Data!AB484),"",DaqBook_RAW_Data!AB484)</f>
        <v/>
      </c>
      <c r="N494" s="167" t="str">
        <f>IF(ISBLANK(DaqBook_RAW_Data!AC484),"",DaqBook_RAW_Data!AC484)</f>
        <v/>
      </c>
      <c r="O494" s="167" t="str">
        <f>IF(ISBLANK(DaqBook_RAW_Data!AD484),"",DaqBook_RAW_Data!AD484)</f>
        <v/>
      </c>
      <c r="P494" s="167" t="str">
        <f>IF(ISBLANK(DaqBook_RAW_Data!AE484),"",DaqBook_RAW_Data!AE484)</f>
        <v/>
      </c>
    </row>
    <row r="495" spans="1:16" x14ac:dyDescent="0.2">
      <c r="A495" s="58" t="e">
        <f t="shared" si="7"/>
        <v>#VALUE!</v>
      </c>
      <c r="B495" s="144" t="str">
        <f>IF(ISBLANK(DaqBook_RAW_Data!Q485),IF(DaqBook_RAW_Data!A485="","",TIMEVALUE(DaqBook_RAW_Data!A485)),TIMEVALUE(DaqBook_RAW_Data!Q485))</f>
        <v/>
      </c>
      <c r="C495" s="167" t="str">
        <f>IF(ISBLANK(DaqBook_RAW_Data!R485),"",DaqBook_RAW_Data!R485)</f>
        <v/>
      </c>
      <c r="D495" s="167" t="str">
        <f>IF(ISBLANK(DaqBook_RAW_Data!S485),"",DaqBook_RAW_Data!S485)</f>
        <v/>
      </c>
      <c r="E495" s="167" t="str">
        <f>IF(ISBLANK(DaqBook_RAW_Data!T485),"",DaqBook_RAW_Data!T485)</f>
        <v/>
      </c>
      <c r="F495" s="167" t="str">
        <f>IF(ISBLANK(DaqBook_RAW_Data!U485),"",DaqBook_RAW_Data!U485)</f>
        <v/>
      </c>
      <c r="G495" s="167" t="str">
        <f>IF(ISBLANK(DaqBook_RAW_Data!V485),"",DaqBook_RAW_Data!V485)</f>
        <v/>
      </c>
      <c r="H495" s="167" t="str">
        <f>IF(ISBLANK(DaqBook_RAW_Data!W485),"",DaqBook_RAW_Data!W485)</f>
        <v/>
      </c>
      <c r="I495" s="167" t="str">
        <f>IF(ISBLANK(DaqBook_RAW_Data!X485),"",DaqBook_RAW_Data!X485)</f>
        <v/>
      </c>
      <c r="J495" s="167" t="str">
        <f>IF(ISBLANK(DaqBook_RAW_Data!Y485),"",DaqBook_RAW_Data!Y485)</f>
        <v/>
      </c>
      <c r="K495" s="167" t="str">
        <f>IF(ISBLANK(DaqBook_RAW_Data!Z485),"",DaqBook_RAW_Data!Z485)</f>
        <v/>
      </c>
      <c r="L495" s="167" t="str">
        <f>IF(ISBLANK(DaqBook_RAW_Data!AA485),"",DaqBook_RAW_Data!AA485)</f>
        <v/>
      </c>
      <c r="M495" s="167" t="str">
        <f>IF(ISBLANK(DaqBook_RAW_Data!AB485),"",DaqBook_RAW_Data!AB485)</f>
        <v/>
      </c>
      <c r="N495" s="167" t="str">
        <f>IF(ISBLANK(DaqBook_RAW_Data!AC485),"",DaqBook_RAW_Data!AC485)</f>
        <v/>
      </c>
      <c r="O495" s="167" t="str">
        <f>IF(ISBLANK(DaqBook_RAW_Data!AD485),"",DaqBook_RAW_Data!AD485)</f>
        <v/>
      </c>
      <c r="P495" s="167" t="str">
        <f>IF(ISBLANK(DaqBook_RAW_Data!AE485),"",DaqBook_RAW_Data!AE485)</f>
        <v/>
      </c>
    </row>
    <row r="496" spans="1:16" x14ac:dyDescent="0.2">
      <c r="A496" s="58" t="e">
        <f t="shared" si="7"/>
        <v>#VALUE!</v>
      </c>
      <c r="B496" s="144" t="str">
        <f>IF(ISBLANK(DaqBook_RAW_Data!Q486),IF(DaqBook_RAW_Data!A486="","",TIMEVALUE(DaqBook_RAW_Data!A486)),TIMEVALUE(DaqBook_RAW_Data!Q486))</f>
        <v/>
      </c>
      <c r="C496" s="167" t="str">
        <f>IF(ISBLANK(DaqBook_RAW_Data!R486),"",DaqBook_RAW_Data!R486)</f>
        <v/>
      </c>
      <c r="D496" s="167" t="str">
        <f>IF(ISBLANK(DaqBook_RAW_Data!S486),"",DaqBook_RAW_Data!S486)</f>
        <v/>
      </c>
      <c r="E496" s="167" t="str">
        <f>IF(ISBLANK(DaqBook_RAW_Data!T486),"",DaqBook_RAW_Data!T486)</f>
        <v/>
      </c>
      <c r="F496" s="167" t="str">
        <f>IF(ISBLANK(DaqBook_RAW_Data!U486),"",DaqBook_RAW_Data!U486)</f>
        <v/>
      </c>
      <c r="G496" s="167" t="str">
        <f>IF(ISBLANK(DaqBook_RAW_Data!V486),"",DaqBook_RAW_Data!V486)</f>
        <v/>
      </c>
      <c r="H496" s="167" t="str">
        <f>IF(ISBLANK(DaqBook_RAW_Data!W486),"",DaqBook_RAW_Data!W486)</f>
        <v/>
      </c>
      <c r="I496" s="167" t="str">
        <f>IF(ISBLANK(DaqBook_RAW_Data!X486),"",DaqBook_RAW_Data!X486)</f>
        <v/>
      </c>
      <c r="J496" s="167" t="str">
        <f>IF(ISBLANK(DaqBook_RAW_Data!Y486),"",DaqBook_RAW_Data!Y486)</f>
        <v/>
      </c>
      <c r="K496" s="167" t="str">
        <f>IF(ISBLANK(DaqBook_RAW_Data!Z486),"",DaqBook_RAW_Data!Z486)</f>
        <v/>
      </c>
      <c r="L496" s="167" t="str">
        <f>IF(ISBLANK(DaqBook_RAW_Data!AA486),"",DaqBook_RAW_Data!AA486)</f>
        <v/>
      </c>
      <c r="M496" s="167" t="str">
        <f>IF(ISBLANK(DaqBook_RAW_Data!AB486),"",DaqBook_RAW_Data!AB486)</f>
        <v/>
      </c>
      <c r="N496" s="167" t="str">
        <f>IF(ISBLANK(DaqBook_RAW_Data!AC486),"",DaqBook_RAW_Data!AC486)</f>
        <v/>
      </c>
      <c r="O496" s="167" t="str">
        <f>IF(ISBLANK(DaqBook_RAW_Data!AD486),"",DaqBook_RAW_Data!AD486)</f>
        <v/>
      </c>
      <c r="P496" s="167" t="str">
        <f>IF(ISBLANK(DaqBook_RAW_Data!AE486),"",DaqBook_RAW_Data!AE486)</f>
        <v/>
      </c>
    </row>
    <row r="497" spans="1:16" x14ac:dyDescent="0.2">
      <c r="A497" s="58" t="e">
        <f t="shared" si="7"/>
        <v>#VALUE!</v>
      </c>
      <c r="B497" s="144" t="str">
        <f>IF(ISBLANK(DaqBook_RAW_Data!Q487),IF(DaqBook_RAW_Data!A487="","",TIMEVALUE(DaqBook_RAW_Data!A487)),TIMEVALUE(DaqBook_RAW_Data!Q487))</f>
        <v/>
      </c>
      <c r="C497" s="167" t="str">
        <f>IF(ISBLANK(DaqBook_RAW_Data!R487),"",DaqBook_RAW_Data!R487)</f>
        <v/>
      </c>
      <c r="D497" s="167" t="str">
        <f>IF(ISBLANK(DaqBook_RAW_Data!S487),"",DaqBook_RAW_Data!S487)</f>
        <v/>
      </c>
      <c r="E497" s="167" t="str">
        <f>IF(ISBLANK(DaqBook_RAW_Data!T487),"",DaqBook_RAW_Data!T487)</f>
        <v/>
      </c>
      <c r="F497" s="167" t="str">
        <f>IF(ISBLANK(DaqBook_RAW_Data!U487),"",DaqBook_RAW_Data!U487)</f>
        <v/>
      </c>
      <c r="G497" s="167" t="str">
        <f>IF(ISBLANK(DaqBook_RAW_Data!V487),"",DaqBook_RAW_Data!V487)</f>
        <v/>
      </c>
      <c r="H497" s="167" t="str">
        <f>IF(ISBLANK(DaqBook_RAW_Data!W487),"",DaqBook_RAW_Data!W487)</f>
        <v/>
      </c>
      <c r="I497" s="167" t="str">
        <f>IF(ISBLANK(DaqBook_RAW_Data!X487),"",DaqBook_RAW_Data!X487)</f>
        <v/>
      </c>
      <c r="J497" s="167" t="str">
        <f>IF(ISBLANK(DaqBook_RAW_Data!Y487),"",DaqBook_RAW_Data!Y487)</f>
        <v/>
      </c>
      <c r="K497" s="167" t="str">
        <f>IF(ISBLANK(DaqBook_RAW_Data!Z487),"",DaqBook_RAW_Data!Z487)</f>
        <v/>
      </c>
      <c r="L497" s="167" t="str">
        <f>IF(ISBLANK(DaqBook_RAW_Data!AA487),"",DaqBook_RAW_Data!AA487)</f>
        <v/>
      </c>
      <c r="M497" s="167" t="str">
        <f>IF(ISBLANK(DaqBook_RAW_Data!AB487),"",DaqBook_RAW_Data!AB487)</f>
        <v/>
      </c>
      <c r="N497" s="167" t="str">
        <f>IF(ISBLANK(DaqBook_RAW_Data!AC487),"",DaqBook_RAW_Data!AC487)</f>
        <v/>
      </c>
      <c r="O497" s="167" t="str">
        <f>IF(ISBLANK(DaqBook_RAW_Data!AD487),"",DaqBook_RAW_Data!AD487)</f>
        <v/>
      </c>
      <c r="P497" s="167" t="str">
        <f>IF(ISBLANK(DaqBook_RAW_Data!AE487),"",DaqBook_RAW_Data!AE487)</f>
        <v/>
      </c>
    </row>
    <row r="498" spans="1:16" x14ac:dyDescent="0.2">
      <c r="A498" s="58" t="e">
        <f t="shared" si="7"/>
        <v>#VALUE!</v>
      </c>
      <c r="B498" s="144" t="str">
        <f>IF(ISBLANK(DaqBook_RAW_Data!Q488),IF(DaqBook_RAW_Data!A488="","",TIMEVALUE(DaqBook_RAW_Data!A488)),TIMEVALUE(DaqBook_RAW_Data!Q488))</f>
        <v/>
      </c>
      <c r="C498" s="167" t="str">
        <f>IF(ISBLANK(DaqBook_RAW_Data!R488),"",DaqBook_RAW_Data!R488)</f>
        <v/>
      </c>
      <c r="D498" s="167" t="str">
        <f>IF(ISBLANK(DaqBook_RAW_Data!S488),"",DaqBook_RAW_Data!S488)</f>
        <v/>
      </c>
      <c r="E498" s="167" t="str">
        <f>IF(ISBLANK(DaqBook_RAW_Data!T488),"",DaqBook_RAW_Data!T488)</f>
        <v/>
      </c>
      <c r="F498" s="167" t="str">
        <f>IF(ISBLANK(DaqBook_RAW_Data!U488),"",DaqBook_RAW_Data!U488)</f>
        <v/>
      </c>
      <c r="G498" s="167" t="str">
        <f>IF(ISBLANK(DaqBook_RAW_Data!V488),"",DaqBook_RAW_Data!V488)</f>
        <v/>
      </c>
      <c r="H498" s="167" t="str">
        <f>IF(ISBLANK(DaqBook_RAW_Data!W488),"",DaqBook_RAW_Data!W488)</f>
        <v/>
      </c>
      <c r="I498" s="167" t="str">
        <f>IF(ISBLANK(DaqBook_RAW_Data!X488),"",DaqBook_RAW_Data!X488)</f>
        <v/>
      </c>
      <c r="J498" s="167" t="str">
        <f>IF(ISBLANK(DaqBook_RAW_Data!Y488),"",DaqBook_RAW_Data!Y488)</f>
        <v/>
      </c>
      <c r="K498" s="167" t="str">
        <f>IF(ISBLANK(DaqBook_RAW_Data!Z488),"",DaqBook_RAW_Data!Z488)</f>
        <v/>
      </c>
      <c r="L498" s="167" t="str">
        <f>IF(ISBLANK(DaqBook_RAW_Data!AA488),"",DaqBook_RAW_Data!AA488)</f>
        <v/>
      </c>
      <c r="M498" s="167" t="str">
        <f>IF(ISBLANK(DaqBook_RAW_Data!AB488),"",DaqBook_RAW_Data!AB488)</f>
        <v/>
      </c>
      <c r="N498" s="167" t="str">
        <f>IF(ISBLANK(DaqBook_RAW_Data!AC488),"",DaqBook_RAW_Data!AC488)</f>
        <v/>
      </c>
      <c r="O498" s="167" t="str">
        <f>IF(ISBLANK(DaqBook_RAW_Data!AD488),"",DaqBook_RAW_Data!AD488)</f>
        <v/>
      </c>
      <c r="P498" s="167" t="str">
        <f>IF(ISBLANK(DaqBook_RAW_Data!AE488),"",DaqBook_RAW_Data!AE488)</f>
        <v/>
      </c>
    </row>
    <row r="499" spans="1:16" x14ac:dyDescent="0.2">
      <c r="A499" s="58" t="e">
        <f t="shared" si="7"/>
        <v>#VALUE!</v>
      </c>
      <c r="B499" s="144" t="str">
        <f>IF(ISBLANK(DaqBook_RAW_Data!Q489),IF(DaqBook_RAW_Data!A489="","",TIMEVALUE(DaqBook_RAW_Data!A489)),TIMEVALUE(DaqBook_RAW_Data!Q489))</f>
        <v/>
      </c>
      <c r="C499" s="167" t="str">
        <f>IF(ISBLANK(DaqBook_RAW_Data!R489),"",DaqBook_RAW_Data!R489)</f>
        <v/>
      </c>
      <c r="D499" s="167" t="str">
        <f>IF(ISBLANK(DaqBook_RAW_Data!S489),"",DaqBook_RAW_Data!S489)</f>
        <v/>
      </c>
      <c r="E499" s="167" t="str">
        <f>IF(ISBLANK(DaqBook_RAW_Data!T489),"",DaqBook_RAW_Data!T489)</f>
        <v/>
      </c>
      <c r="F499" s="167" t="str">
        <f>IF(ISBLANK(DaqBook_RAW_Data!U489),"",DaqBook_RAW_Data!U489)</f>
        <v/>
      </c>
      <c r="G499" s="167" t="str">
        <f>IF(ISBLANK(DaqBook_RAW_Data!V489),"",DaqBook_RAW_Data!V489)</f>
        <v/>
      </c>
      <c r="H499" s="167" t="str">
        <f>IF(ISBLANK(DaqBook_RAW_Data!W489),"",DaqBook_RAW_Data!W489)</f>
        <v/>
      </c>
      <c r="I499" s="167" t="str">
        <f>IF(ISBLANK(DaqBook_RAW_Data!X489),"",DaqBook_RAW_Data!X489)</f>
        <v/>
      </c>
      <c r="J499" s="167" t="str">
        <f>IF(ISBLANK(DaqBook_RAW_Data!Y489),"",DaqBook_RAW_Data!Y489)</f>
        <v/>
      </c>
      <c r="K499" s="167" t="str">
        <f>IF(ISBLANK(DaqBook_RAW_Data!Z489),"",DaqBook_RAW_Data!Z489)</f>
        <v/>
      </c>
      <c r="L499" s="167" t="str">
        <f>IF(ISBLANK(DaqBook_RAW_Data!AA489),"",DaqBook_RAW_Data!AA489)</f>
        <v/>
      </c>
      <c r="M499" s="167" t="str">
        <f>IF(ISBLANK(DaqBook_RAW_Data!AB489),"",DaqBook_RAW_Data!AB489)</f>
        <v/>
      </c>
      <c r="N499" s="167" t="str">
        <f>IF(ISBLANK(DaqBook_RAW_Data!AC489),"",DaqBook_RAW_Data!AC489)</f>
        <v/>
      </c>
      <c r="O499" s="167" t="str">
        <f>IF(ISBLANK(DaqBook_RAW_Data!AD489),"",DaqBook_RAW_Data!AD489)</f>
        <v/>
      </c>
      <c r="P499" s="167" t="str">
        <f>IF(ISBLANK(DaqBook_RAW_Data!AE489),"",DaqBook_RAW_Data!AE489)</f>
        <v/>
      </c>
    </row>
    <row r="500" spans="1:16" x14ac:dyDescent="0.2">
      <c r="A500" s="58" t="e">
        <f t="shared" si="7"/>
        <v>#VALUE!</v>
      </c>
      <c r="B500" s="144" t="str">
        <f>IF(ISBLANK(DaqBook_RAW_Data!Q490),IF(DaqBook_RAW_Data!A490="","",TIMEVALUE(DaqBook_RAW_Data!A490)),TIMEVALUE(DaqBook_RAW_Data!Q490))</f>
        <v/>
      </c>
      <c r="C500" s="167" t="str">
        <f>IF(ISBLANK(DaqBook_RAW_Data!R490),"",DaqBook_RAW_Data!R490)</f>
        <v/>
      </c>
      <c r="D500" s="167" t="str">
        <f>IF(ISBLANK(DaqBook_RAW_Data!S490),"",DaqBook_RAW_Data!S490)</f>
        <v/>
      </c>
      <c r="E500" s="167" t="str">
        <f>IF(ISBLANK(DaqBook_RAW_Data!T490),"",DaqBook_RAW_Data!T490)</f>
        <v/>
      </c>
      <c r="F500" s="167" t="str">
        <f>IF(ISBLANK(DaqBook_RAW_Data!U490),"",DaqBook_RAW_Data!U490)</f>
        <v/>
      </c>
      <c r="G500" s="167" t="str">
        <f>IF(ISBLANK(DaqBook_RAW_Data!V490),"",DaqBook_RAW_Data!V490)</f>
        <v/>
      </c>
      <c r="H500" s="167" t="str">
        <f>IF(ISBLANK(DaqBook_RAW_Data!W490),"",DaqBook_RAW_Data!W490)</f>
        <v/>
      </c>
      <c r="I500" s="167" t="str">
        <f>IF(ISBLANK(DaqBook_RAW_Data!X490),"",DaqBook_RAW_Data!X490)</f>
        <v/>
      </c>
      <c r="J500" s="167" t="str">
        <f>IF(ISBLANK(DaqBook_RAW_Data!Y490),"",DaqBook_RAW_Data!Y490)</f>
        <v/>
      </c>
      <c r="K500" s="167" t="str">
        <f>IF(ISBLANK(DaqBook_RAW_Data!Z490),"",DaqBook_RAW_Data!Z490)</f>
        <v/>
      </c>
      <c r="L500" s="167" t="str">
        <f>IF(ISBLANK(DaqBook_RAW_Data!AA490),"",DaqBook_RAW_Data!AA490)</f>
        <v/>
      </c>
      <c r="M500" s="167" t="str">
        <f>IF(ISBLANK(DaqBook_RAW_Data!AB490),"",DaqBook_RAW_Data!AB490)</f>
        <v/>
      </c>
      <c r="N500" s="167" t="str">
        <f>IF(ISBLANK(DaqBook_RAW_Data!AC490),"",DaqBook_RAW_Data!AC490)</f>
        <v/>
      </c>
      <c r="O500" s="167" t="str">
        <f>IF(ISBLANK(DaqBook_RAW_Data!AD490),"",DaqBook_RAW_Data!AD490)</f>
        <v/>
      </c>
      <c r="P500" s="167" t="str">
        <f>IF(ISBLANK(DaqBook_RAW_Data!AE490),"",DaqBook_RAW_Data!AE490)</f>
        <v/>
      </c>
    </row>
    <row r="501" spans="1:16" x14ac:dyDescent="0.2">
      <c r="A501" s="58" t="e">
        <f t="shared" si="7"/>
        <v>#VALUE!</v>
      </c>
      <c r="B501" s="144" t="str">
        <f>IF(ISBLANK(DaqBook_RAW_Data!Q491),IF(DaqBook_RAW_Data!A491="","",TIMEVALUE(DaqBook_RAW_Data!A491)),TIMEVALUE(DaqBook_RAW_Data!Q491))</f>
        <v/>
      </c>
      <c r="C501" s="167" t="str">
        <f>IF(ISBLANK(DaqBook_RAW_Data!R491),"",DaqBook_RAW_Data!R491)</f>
        <v/>
      </c>
      <c r="D501" s="167" t="str">
        <f>IF(ISBLANK(DaqBook_RAW_Data!S491),"",DaqBook_RAW_Data!S491)</f>
        <v/>
      </c>
      <c r="E501" s="167" t="str">
        <f>IF(ISBLANK(DaqBook_RAW_Data!T491),"",DaqBook_RAW_Data!T491)</f>
        <v/>
      </c>
      <c r="F501" s="167" t="str">
        <f>IF(ISBLANK(DaqBook_RAW_Data!U491),"",DaqBook_RAW_Data!U491)</f>
        <v/>
      </c>
      <c r="G501" s="167" t="str">
        <f>IF(ISBLANK(DaqBook_RAW_Data!V491),"",DaqBook_RAW_Data!V491)</f>
        <v/>
      </c>
      <c r="H501" s="167" t="str">
        <f>IF(ISBLANK(DaqBook_RAW_Data!W491),"",DaqBook_RAW_Data!W491)</f>
        <v/>
      </c>
      <c r="I501" s="167" t="str">
        <f>IF(ISBLANK(DaqBook_RAW_Data!X491),"",DaqBook_RAW_Data!X491)</f>
        <v/>
      </c>
      <c r="J501" s="167" t="str">
        <f>IF(ISBLANK(DaqBook_RAW_Data!Y491),"",DaqBook_RAW_Data!Y491)</f>
        <v/>
      </c>
      <c r="K501" s="167" t="str">
        <f>IF(ISBLANK(DaqBook_RAW_Data!Z491),"",DaqBook_RAW_Data!Z491)</f>
        <v/>
      </c>
      <c r="L501" s="167" t="str">
        <f>IF(ISBLANK(DaqBook_RAW_Data!AA491),"",DaqBook_RAW_Data!AA491)</f>
        <v/>
      </c>
      <c r="M501" s="167" t="str">
        <f>IF(ISBLANK(DaqBook_RAW_Data!AB491),"",DaqBook_RAW_Data!AB491)</f>
        <v/>
      </c>
      <c r="N501" s="167" t="str">
        <f>IF(ISBLANK(DaqBook_RAW_Data!AC491),"",DaqBook_RAW_Data!AC491)</f>
        <v/>
      </c>
      <c r="O501" s="167" t="str">
        <f>IF(ISBLANK(DaqBook_RAW_Data!AD491),"",DaqBook_RAW_Data!AD491)</f>
        <v/>
      </c>
      <c r="P501" s="167" t="str">
        <f>IF(ISBLANK(DaqBook_RAW_Data!AE491),"",DaqBook_RAW_Data!AE491)</f>
        <v/>
      </c>
    </row>
    <row r="502" spans="1:16" x14ac:dyDescent="0.2">
      <c r="A502" s="58" t="e">
        <f t="shared" si="7"/>
        <v>#VALUE!</v>
      </c>
      <c r="B502" s="144" t="str">
        <f>IF(ISBLANK(DaqBook_RAW_Data!Q492),IF(DaqBook_RAW_Data!A492="","",TIMEVALUE(DaqBook_RAW_Data!A492)),TIMEVALUE(DaqBook_RAW_Data!Q492))</f>
        <v/>
      </c>
      <c r="C502" s="167" t="str">
        <f>IF(ISBLANK(DaqBook_RAW_Data!R492),"",DaqBook_RAW_Data!R492)</f>
        <v/>
      </c>
      <c r="D502" s="167" t="str">
        <f>IF(ISBLANK(DaqBook_RAW_Data!S492),"",DaqBook_RAW_Data!S492)</f>
        <v/>
      </c>
      <c r="E502" s="167" t="str">
        <f>IF(ISBLANK(DaqBook_RAW_Data!T492),"",DaqBook_RAW_Data!T492)</f>
        <v/>
      </c>
      <c r="F502" s="167" t="str">
        <f>IF(ISBLANK(DaqBook_RAW_Data!U492),"",DaqBook_RAW_Data!U492)</f>
        <v/>
      </c>
      <c r="G502" s="167" t="str">
        <f>IF(ISBLANK(DaqBook_RAW_Data!V492),"",DaqBook_RAW_Data!V492)</f>
        <v/>
      </c>
      <c r="H502" s="167" t="str">
        <f>IF(ISBLANK(DaqBook_RAW_Data!W492),"",DaqBook_RAW_Data!W492)</f>
        <v/>
      </c>
      <c r="I502" s="167" t="str">
        <f>IF(ISBLANK(DaqBook_RAW_Data!X492),"",DaqBook_RAW_Data!X492)</f>
        <v/>
      </c>
      <c r="J502" s="167" t="str">
        <f>IF(ISBLANK(DaqBook_RAW_Data!Y492),"",DaqBook_RAW_Data!Y492)</f>
        <v/>
      </c>
      <c r="K502" s="167" t="str">
        <f>IF(ISBLANK(DaqBook_RAW_Data!Z492),"",DaqBook_RAW_Data!Z492)</f>
        <v/>
      </c>
      <c r="L502" s="167" t="str">
        <f>IF(ISBLANK(DaqBook_RAW_Data!AA492),"",DaqBook_RAW_Data!AA492)</f>
        <v/>
      </c>
      <c r="M502" s="167" t="str">
        <f>IF(ISBLANK(DaqBook_RAW_Data!AB492),"",DaqBook_RAW_Data!AB492)</f>
        <v/>
      </c>
      <c r="N502" s="167" t="str">
        <f>IF(ISBLANK(DaqBook_RAW_Data!AC492),"",DaqBook_RAW_Data!AC492)</f>
        <v/>
      </c>
      <c r="O502" s="167" t="str">
        <f>IF(ISBLANK(DaqBook_RAW_Data!AD492),"",DaqBook_RAW_Data!AD492)</f>
        <v/>
      </c>
      <c r="P502" s="167" t="str">
        <f>IF(ISBLANK(DaqBook_RAW_Data!AE492),"",DaqBook_RAW_Data!AE492)</f>
        <v/>
      </c>
    </row>
    <row r="503" spans="1:16" x14ac:dyDescent="0.2">
      <c r="A503" s="58" t="e">
        <f t="shared" si="7"/>
        <v>#VALUE!</v>
      </c>
      <c r="B503" s="144" t="str">
        <f>IF(ISBLANK(DaqBook_RAW_Data!Q493),IF(DaqBook_RAW_Data!A493="","",TIMEVALUE(DaqBook_RAW_Data!A493)),TIMEVALUE(DaqBook_RAW_Data!Q493))</f>
        <v/>
      </c>
      <c r="C503" s="167" t="str">
        <f>IF(ISBLANK(DaqBook_RAW_Data!R493),"",DaqBook_RAW_Data!R493)</f>
        <v/>
      </c>
      <c r="D503" s="167" t="str">
        <f>IF(ISBLANK(DaqBook_RAW_Data!S493),"",DaqBook_RAW_Data!S493)</f>
        <v/>
      </c>
      <c r="E503" s="167" t="str">
        <f>IF(ISBLANK(DaqBook_RAW_Data!T493),"",DaqBook_RAW_Data!T493)</f>
        <v/>
      </c>
      <c r="F503" s="167" t="str">
        <f>IF(ISBLANK(DaqBook_RAW_Data!U493),"",DaqBook_RAW_Data!U493)</f>
        <v/>
      </c>
      <c r="G503" s="167" t="str">
        <f>IF(ISBLANK(DaqBook_RAW_Data!V493),"",DaqBook_RAW_Data!V493)</f>
        <v/>
      </c>
      <c r="H503" s="167" t="str">
        <f>IF(ISBLANK(DaqBook_RAW_Data!W493),"",DaqBook_RAW_Data!W493)</f>
        <v/>
      </c>
      <c r="I503" s="167" t="str">
        <f>IF(ISBLANK(DaqBook_RAW_Data!X493),"",DaqBook_RAW_Data!X493)</f>
        <v/>
      </c>
      <c r="J503" s="167" t="str">
        <f>IF(ISBLANK(DaqBook_RAW_Data!Y493),"",DaqBook_RAW_Data!Y493)</f>
        <v/>
      </c>
      <c r="K503" s="167" t="str">
        <f>IF(ISBLANK(DaqBook_RAW_Data!Z493),"",DaqBook_RAW_Data!Z493)</f>
        <v/>
      </c>
      <c r="L503" s="167" t="str">
        <f>IF(ISBLANK(DaqBook_RAW_Data!AA493),"",DaqBook_RAW_Data!AA493)</f>
        <v/>
      </c>
      <c r="M503" s="167" t="str">
        <f>IF(ISBLANK(DaqBook_RAW_Data!AB493),"",DaqBook_RAW_Data!AB493)</f>
        <v/>
      </c>
      <c r="N503" s="167" t="str">
        <f>IF(ISBLANK(DaqBook_RAW_Data!AC493),"",DaqBook_RAW_Data!AC493)</f>
        <v/>
      </c>
      <c r="O503" s="167" t="str">
        <f>IF(ISBLANK(DaqBook_RAW_Data!AD493),"",DaqBook_RAW_Data!AD493)</f>
        <v/>
      </c>
      <c r="P503" s="167" t="str">
        <f>IF(ISBLANK(DaqBook_RAW_Data!AE493),"",DaqBook_RAW_Data!AE493)</f>
        <v/>
      </c>
    </row>
    <row r="504" spans="1:16" x14ac:dyDescent="0.2">
      <c r="A504" s="58" t="e">
        <f t="shared" si="7"/>
        <v>#VALUE!</v>
      </c>
      <c r="B504" s="144" t="str">
        <f>IF(ISBLANK(DaqBook_RAW_Data!Q494),IF(DaqBook_RAW_Data!A494="","",TIMEVALUE(DaqBook_RAW_Data!A494)),TIMEVALUE(DaqBook_RAW_Data!Q494))</f>
        <v/>
      </c>
      <c r="C504" s="167" t="str">
        <f>IF(ISBLANK(DaqBook_RAW_Data!R494),"",DaqBook_RAW_Data!R494)</f>
        <v/>
      </c>
      <c r="D504" s="167" t="str">
        <f>IF(ISBLANK(DaqBook_RAW_Data!S494),"",DaqBook_RAW_Data!S494)</f>
        <v/>
      </c>
      <c r="E504" s="167" t="str">
        <f>IF(ISBLANK(DaqBook_RAW_Data!T494),"",DaqBook_RAW_Data!T494)</f>
        <v/>
      </c>
      <c r="F504" s="167" t="str">
        <f>IF(ISBLANK(DaqBook_RAW_Data!U494),"",DaqBook_RAW_Data!U494)</f>
        <v/>
      </c>
      <c r="G504" s="167" t="str">
        <f>IF(ISBLANK(DaqBook_RAW_Data!V494),"",DaqBook_RAW_Data!V494)</f>
        <v/>
      </c>
      <c r="H504" s="167" t="str">
        <f>IF(ISBLANK(DaqBook_RAW_Data!W494),"",DaqBook_RAW_Data!W494)</f>
        <v/>
      </c>
      <c r="I504" s="167" t="str">
        <f>IF(ISBLANK(DaqBook_RAW_Data!X494),"",DaqBook_RAW_Data!X494)</f>
        <v/>
      </c>
      <c r="J504" s="167" t="str">
        <f>IF(ISBLANK(DaqBook_RAW_Data!Y494),"",DaqBook_RAW_Data!Y494)</f>
        <v/>
      </c>
      <c r="K504" s="167" t="str">
        <f>IF(ISBLANK(DaqBook_RAW_Data!Z494),"",DaqBook_RAW_Data!Z494)</f>
        <v/>
      </c>
      <c r="L504" s="167" t="str">
        <f>IF(ISBLANK(DaqBook_RAW_Data!AA494),"",DaqBook_RAW_Data!AA494)</f>
        <v/>
      </c>
      <c r="M504" s="167" t="str">
        <f>IF(ISBLANK(DaqBook_RAW_Data!AB494),"",DaqBook_RAW_Data!AB494)</f>
        <v/>
      </c>
      <c r="N504" s="167" t="str">
        <f>IF(ISBLANK(DaqBook_RAW_Data!AC494),"",DaqBook_RAW_Data!AC494)</f>
        <v/>
      </c>
      <c r="O504" s="167" t="str">
        <f>IF(ISBLANK(DaqBook_RAW_Data!AD494),"",DaqBook_RAW_Data!AD494)</f>
        <v/>
      </c>
      <c r="P504" s="167" t="str">
        <f>IF(ISBLANK(DaqBook_RAW_Data!AE494),"",DaqBook_RAW_Data!AE494)</f>
        <v/>
      </c>
    </row>
    <row r="505" spans="1:16" x14ac:dyDescent="0.2">
      <c r="A505" s="58" t="e">
        <f t="shared" si="7"/>
        <v>#VALUE!</v>
      </c>
      <c r="B505" s="144" t="str">
        <f>IF(ISBLANK(DaqBook_RAW_Data!Q495),IF(DaqBook_RAW_Data!A495="","",TIMEVALUE(DaqBook_RAW_Data!A495)),TIMEVALUE(DaqBook_RAW_Data!Q495))</f>
        <v/>
      </c>
      <c r="C505" s="167" t="str">
        <f>IF(ISBLANK(DaqBook_RAW_Data!R495),"",DaqBook_RAW_Data!R495)</f>
        <v/>
      </c>
      <c r="D505" s="167" t="str">
        <f>IF(ISBLANK(DaqBook_RAW_Data!S495),"",DaqBook_RAW_Data!S495)</f>
        <v/>
      </c>
      <c r="E505" s="167" t="str">
        <f>IF(ISBLANK(DaqBook_RAW_Data!T495),"",DaqBook_RAW_Data!T495)</f>
        <v/>
      </c>
      <c r="F505" s="167" t="str">
        <f>IF(ISBLANK(DaqBook_RAW_Data!U495),"",DaqBook_RAW_Data!U495)</f>
        <v/>
      </c>
      <c r="G505" s="167" t="str">
        <f>IF(ISBLANK(DaqBook_RAW_Data!V495),"",DaqBook_RAW_Data!V495)</f>
        <v/>
      </c>
      <c r="H505" s="167" t="str">
        <f>IF(ISBLANK(DaqBook_RAW_Data!W495),"",DaqBook_RAW_Data!W495)</f>
        <v/>
      </c>
      <c r="I505" s="167" t="str">
        <f>IF(ISBLANK(DaqBook_RAW_Data!X495),"",DaqBook_RAW_Data!X495)</f>
        <v/>
      </c>
      <c r="J505" s="167" t="str">
        <f>IF(ISBLANK(DaqBook_RAW_Data!Y495),"",DaqBook_RAW_Data!Y495)</f>
        <v/>
      </c>
      <c r="K505" s="167" t="str">
        <f>IF(ISBLANK(DaqBook_RAW_Data!Z495),"",DaqBook_RAW_Data!Z495)</f>
        <v/>
      </c>
      <c r="L505" s="167" t="str">
        <f>IF(ISBLANK(DaqBook_RAW_Data!AA495),"",DaqBook_RAW_Data!AA495)</f>
        <v/>
      </c>
      <c r="M505" s="167" t="str">
        <f>IF(ISBLANK(DaqBook_RAW_Data!AB495),"",DaqBook_RAW_Data!AB495)</f>
        <v/>
      </c>
      <c r="N505" s="167" t="str">
        <f>IF(ISBLANK(DaqBook_RAW_Data!AC495),"",DaqBook_RAW_Data!AC495)</f>
        <v/>
      </c>
      <c r="O505" s="167" t="str">
        <f>IF(ISBLANK(DaqBook_RAW_Data!AD495),"",DaqBook_RAW_Data!AD495)</f>
        <v/>
      </c>
      <c r="P505" s="167" t="str">
        <f>IF(ISBLANK(DaqBook_RAW_Data!AE495),"",DaqBook_RAW_Data!AE495)</f>
        <v/>
      </c>
    </row>
    <row r="506" spans="1:16" x14ac:dyDescent="0.2">
      <c r="A506" s="58" t="e">
        <f t="shared" si="7"/>
        <v>#VALUE!</v>
      </c>
      <c r="B506" s="144" t="str">
        <f>IF(ISBLANK(DaqBook_RAW_Data!Q496),IF(DaqBook_RAW_Data!A496="","",TIMEVALUE(DaqBook_RAW_Data!A496)),TIMEVALUE(DaqBook_RAW_Data!Q496))</f>
        <v/>
      </c>
      <c r="C506" s="167" t="str">
        <f>IF(ISBLANK(DaqBook_RAW_Data!R496),"",DaqBook_RAW_Data!R496)</f>
        <v/>
      </c>
      <c r="D506" s="167" t="str">
        <f>IF(ISBLANK(DaqBook_RAW_Data!S496),"",DaqBook_RAW_Data!S496)</f>
        <v/>
      </c>
      <c r="E506" s="167" t="str">
        <f>IF(ISBLANK(DaqBook_RAW_Data!T496),"",DaqBook_RAW_Data!T496)</f>
        <v/>
      </c>
      <c r="F506" s="167" t="str">
        <f>IF(ISBLANK(DaqBook_RAW_Data!U496),"",DaqBook_RAW_Data!U496)</f>
        <v/>
      </c>
      <c r="G506" s="167" t="str">
        <f>IF(ISBLANK(DaqBook_RAW_Data!V496),"",DaqBook_RAW_Data!V496)</f>
        <v/>
      </c>
      <c r="H506" s="167" t="str">
        <f>IF(ISBLANK(DaqBook_RAW_Data!W496),"",DaqBook_RAW_Data!W496)</f>
        <v/>
      </c>
      <c r="I506" s="167" t="str">
        <f>IF(ISBLANK(DaqBook_RAW_Data!X496),"",DaqBook_RAW_Data!X496)</f>
        <v/>
      </c>
      <c r="J506" s="167" t="str">
        <f>IF(ISBLANK(DaqBook_RAW_Data!Y496),"",DaqBook_RAW_Data!Y496)</f>
        <v/>
      </c>
      <c r="K506" s="167" t="str">
        <f>IF(ISBLANK(DaqBook_RAW_Data!Z496),"",DaqBook_RAW_Data!Z496)</f>
        <v/>
      </c>
      <c r="L506" s="167" t="str">
        <f>IF(ISBLANK(DaqBook_RAW_Data!AA496),"",DaqBook_RAW_Data!AA496)</f>
        <v/>
      </c>
      <c r="M506" s="167" t="str">
        <f>IF(ISBLANK(DaqBook_RAW_Data!AB496),"",DaqBook_RAW_Data!AB496)</f>
        <v/>
      </c>
      <c r="N506" s="167" t="str">
        <f>IF(ISBLANK(DaqBook_RAW_Data!AC496),"",DaqBook_RAW_Data!AC496)</f>
        <v/>
      </c>
      <c r="O506" s="167" t="str">
        <f>IF(ISBLANK(DaqBook_RAW_Data!AD496),"",DaqBook_RAW_Data!AD496)</f>
        <v/>
      </c>
      <c r="P506" s="167" t="str">
        <f>IF(ISBLANK(DaqBook_RAW_Data!AE496),"",DaqBook_RAW_Data!AE496)</f>
        <v/>
      </c>
    </row>
    <row r="507" spans="1:16" x14ac:dyDescent="0.2">
      <c r="A507" s="58" t="e">
        <f t="shared" si="7"/>
        <v>#VALUE!</v>
      </c>
      <c r="B507" s="144" t="str">
        <f>IF(ISBLANK(DaqBook_RAW_Data!Q497),IF(DaqBook_RAW_Data!A497="","",TIMEVALUE(DaqBook_RAW_Data!A497)),TIMEVALUE(DaqBook_RAW_Data!Q497))</f>
        <v/>
      </c>
      <c r="C507" s="167" t="str">
        <f>IF(ISBLANK(DaqBook_RAW_Data!R497),"",DaqBook_RAW_Data!R497)</f>
        <v/>
      </c>
      <c r="D507" s="167" t="str">
        <f>IF(ISBLANK(DaqBook_RAW_Data!S497),"",DaqBook_RAW_Data!S497)</f>
        <v/>
      </c>
      <c r="E507" s="167" t="str">
        <f>IF(ISBLANK(DaqBook_RAW_Data!T497),"",DaqBook_RAW_Data!T497)</f>
        <v/>
      </c>
      <c r="F507" s="167" t="str">
        <f>IF(ISBLANK(DaqBook_RAW_Data!U497),"",DaqBook_RAW_Data!U497)</f>
        <v/>
      </c>
      <c r="G507" s="167" t="str">
        <f>IF(ISBLANK(DaqBook_RAW_Data!V497),"",DaqBook_RAW_Data!V497)</f>
        <v/>
      </c>
      <c r="H507" s="167" t="str">
        <f>IF(ISBLANK(DaqBook_RAW_Data!W497),"",DaqBook_RAW_Data!W497)</f>
        <v/>
      </c>
      <c r="I507" s="167" t="str">
        <f>IF(ISBLANK(DaqBook_RAW_Data!X497),"",DaqBook_RAW_Data!X497)</f>
        <v/>
      </c>
      <c r="J507" s="167" t="str">
        <f>IF(ISBLANK(DaqBook_RAW_Data!Y497),"",DaqBook_RAW_Data!Y497)</f>
        <v/>
      </c>
      <c r="K507" s="167" t="str">
        <f>IF(ISBLANK(DaqBook_RAW_Data!Z497),"",DaqBook_RAW_Data!Z497)</f>
        <v/>
      </c>
      <c r="L507" s="167" t="str">
        <f>IF(ISBLANK(DaqBook_RAW_Data!AA497),"",DaqBook_RAW_Data!AA497)</f>
        <v/>
      </c>
      <c r="M507" s="167" t="str">
        <f>IF(ISBLANK(DaqBook_RAW_Data!AB497),"",DaqBook_RAW_Data!AB497)</f>
        <v/>
      </c>
      <c r="N507" s="167" t="str">
        <f>IF(ISBLANK(DaqBook_RAW_Data!AC497),"",DaqBook_RAW_Data!AC497)</f>
        <v/>
      </c>
      <c r="O507" s="167" t="str">
        <f>IF(ISBLANK(DaqBook_RAW_Data!AD497),"",DaqBook_RAW_Data!AD497)</f>
        <v/>
      </c>
      <c r="P507" s="167" t="str">
        <f>IF(ISBLANK(DaqBook_RAW_Data!AE497),"",DaqBook_RAW_Data!AE497)</f>
        <v/>
      </c>
    </row>
    <row r="508" spans="1:16" x14ac:dyDescent="0.2">
      <c r="A508" s="58" t="e">
        <f t="shared" si="7"/>
        <v>#VALUE!</v>
      </c>
      <c r="B508" s="144" t="str">
        <f>IF(ISBLANK(DaqBook_RAW_Data!Q498),IF(DaqBook_RAW_Data!A498="","",TIMEVALUE(DaqBook_RAW_Data!A498)),TIMEVALUE(DaqBook_RAW_Data!Q498))</f>
        <v/>
      </c>
      <c r="C508" s="167" t="str">
        <f>IF(ISBLANK(DaqBook_RAW_Data!R498),"",DaqBook_RAW_Data!R498)</f>
        <v/>
      </c>
      <c r="D508" s="167" t="str">
        <f>IF(ISBLANK(DaqBook_RAW_Data!S498),"",DaqBook_RAW_Data!S498)</f>
        <v/>
      </c>
      <c r="E508" s="167" t="str">
        <f>IF(ISBLANK(DaqBook_RAW_Data!T498),"",DaqBook_RAW_Data!T498)</f>
        <v/>
      </c>
      <c r="F508" s="167" t="str">
        <f>IF(ISBLANK(DaqBook_RAW_Data!U498),"",DaqBook_RAW_Data!U498)</f>
        <v/>
      </c>
      <c r="G508" s="167" t="str">
        <f>IF(ISBLANK(DaqBook_RAW_Data!V498),"",DaqBook_RAW_Data!V498)</f>
        <v/>
      </c>
      <c r="H508" s="167" t="str">
        <f>IF(ISBLANK(DaqBook_RAW_Data!W498),"",DaqBook_RAW_Data!W498)</f>
        <v/>
      </c>
      <c r="I508" s="167" t="str">
        <f>IF(ISBLANK(DaqBook_RAW_Data!X498),"",DaqBook_RAW_Data!X498)</f>
        <v/>
      </c>
      <c r="J508" s="167" t="str">
        <f>IF(ISBLANK(DaqBook_RAW_Data!Y498),"",DaqBook_RAW_Data!Y498)</f>
        <v/>
      </c>
      <c r="K508" s="167" t="str">
        <f>IF(ISBLANK(DaqBook_RAW_Data!Z498),"",DaqBook_RAW_Data!Z498)</f>
        <v/>
      </c>
      <c r="L508" s="167" t="str">
        <f>IF(ISBLANK(DaqBook_RAW_Data!AA498),"",DaqBook_RAW_Data!AA498)</f>
        <v/>
      </c>
      <c r="M508" s="167" t="str">
        <f>IF(ISBLANK(DaqBook_RAW_Data!AB498),"",DaqBook_RAW_Data!AB498)</f>
        <v/>
      </c>
      <c r="N508" s="167" t="str">
        <f>IF(ISBLANK(DaqBook_RAW_Data!AC498),"",DaqBook_RAW_Data!AC498)</f>
        <v/>
      </c>
      <c r="O508" s="167" t="str">
        <f>IF(ISBLANK(DaqBook_RAW_Data!AD498),"",DaqBook_RAW_Data!AD498)</f>
        <v/>
      </c>
      <c r="P508" s="167" t="str">
        <f>IF(ISBLANK(DaqBook_RAW_Data!AE498),"",DaqBook_RAW_Data!AE498)</f>
        <v/>
      </c>
    </row>
    <row r="509" spans="1:16" x14ac:dyDescent="0.2">
      <c r="A509" s="58" t="e">
        <f t="shared" si="7"/>
        <v>#VALUE!</v>
      </c>
      <c r="B509" s="144" t="str">
        <f>IF(ISBLANK(DaqBook_RAW_Data!Q499),IF(DaqBook_RAW_Data!A499="","",TIMEVALUE(DaqBook_RAW_Data!A499)),TIMEVALUE(DaqBook_RAW_Data!Q499))</f>
        <v/>
      </c>
      <c r="C509" s="167" t="str">
        <f>IF(ISBLANK(DaqBook_RAW_Data!R499),"",DaqBook_RAW_Data!R499)</f>
        <v/>
      </c>
      <c r="D509" s="167" t="str">
        <f>IF(ISBLANK(DaqBook_RAW_Data!S499),"",DaqBook_RAW_Data!S499)</f>
        <v/>
      </c>
      <c r="E509" s="167" t="str">
        <f>IF(ISBLANK(DaqBook_RAW_Data!T499),"",DaqBook_RAW_Data!T499)</f>
        <v/>
      </c>
      <c r="F509" s="167" t="str">
        <f>IF(ISBLANK(DaqBook_RAW_Data!U499),"",DaqBook_RAW_Data!U499)</f>
        <v/>
      </c>
      <c r="G509" s="167" t="str">
        <f>IF(ISBLANK(DaqBook_RAW_Data!V499),"",DaqBook_RAW_Data!V499)</f>
        <v/>
      </c>
      <c r="H509" s="167" t="str">
        <f>IF(ISBLANK(DaqBook_RAW_Data!W499),"",DaqBook_RAW_Data!W499)</f>
        <v/>
      </c>
      <c r="I509" s="167" t="str">
        <f>IF(ISBLANK(DaqBook_RAW_Data!X499),"",DaqBook_RAW_Data!X499)</f>
        <v/>
      </c>
      <c r="J509" s="167" t="str">
        <f>IF(ISBLANK(DaqBook_RAW_Data!Y499),"",DaqBook_RAW_Data!Y499)</f>
        <v/>
      </c>
      <c r="K509" s="167" t="str">
        <f>IF(ISBLANK(DaqBook_RAW_Data!Z499),"",DaqBook_RAW_Data!Z499)</f>
        <v/>
      </c>
      <c r="L509" s="167" t="str">
        <f>IF(ISBLANK(DaqBook_RAW_Data!AA499),"",DaqBook_RAW_Data!AA499)</f>
        <v/>
      </c>
      <c r="M509" s="167" t="str">
        <f>IF(ISBLANK(DaqBook_RAW_Data!AB499),"",DaqBook_RAW_Data!AB499)</f>
        <v/>
      </c>
      <c r="N509" s="167" t="str">
        <f>IF(ISBLANK(DaqBook_RAW_Data!AC499),"",DaqBook_RAW_Data!AC499)</f>
        <v/>
      </c>
      <c r="O509" s="167" t="str">
        <f>IF(ISBLANK(DaqBook_RAW_Data!AD499),"",DaqBook_RAW_Data!AD499)</f>
        <v/>
      </c>
      <c r="P509" s="167" t="str">
        <f>IF(ISBLANK(DaqBook_RAW_Data!AE499),"",DaqBook_RAW_Data!AE499)</f>
        <v/>
      </c>
    </row>
    <row r="510" spans="1:16" x14ac:dyDescent="0.2">
      <c r="A510" s="58" t="e">
        <f t="shared" si="7"/>
        <v>#VALUE!</v>
      </c>
      <c r="B510" s="144" t="str">
        <f>IF(ISBLANK(DaqBook_RAW_Data!Q500),IF(DaqBook_RAW_Data!A500="","",TIMEVALUE(DaqBook_RAW_Data!A500)),TIMEVALUE(DaqBook_RAW_Data!Q500))</f>
        <v/>
      </c>
      <c r="C510" s="167" t="str">
        <f>IF(ISBLANK(DaqBook_RAW_Data!R500),"",DaqBook_RAW_Data!R500)</f>
        <v/>
      </c>
      <c r="D510" s="167" t="str">
        <f>IF(ISBLANK(DaqBook_RAW_Data!S500),"",DaqBook_RAW_Data!S500)</f>
        <v/>
      </c>
      <c r="E510" s="167" t="str">
        <f>IF(ISBLANK(DaqBook_RAW_Data!T500),"",DaqBook_RAW_Data!T500)</f>
        <v/>
      </c>
      <c r="F510" s="167" t="str">
        <f>IF(ISBLANK(DaqBook_RAW_Data!U500),"",DaqBook_RAW_Data!U500)</f>
        <v/>
      </c>
      <c r="G510" s="167" t="str">
        <f>IF(ISBLANK(DaqBook_RAW_Data!V500),"",DaqBook_RAW_Data!V500)</f>
        <v/>
      </c>
      <c r="H510" s="167" t="str">
        <f>IF(ISBLANK(DaqBook_RAW_Data!W500),"",DaqBook_RAW_Data!W500)</f>
        <v/>
      </c>
      <c r="I510" s="167" t="str">
        <f>IF(ISBLANK(DaqBook_RAW_Data!X500),"",DaqBook_RAW_Data!X500)</f>
        <v/>
      </c>
      <c r="J510" s="167" t="str">
        <f>IF(ISBLANK(DaqBook_RAW_Data!Y500),"",DaqBook_RAW_Data!Y500)</f>
        <v/>
      </c>
      <c r="K510" s="167" t="str">
        <f>IF(ISBLANK(DaqBook_RAW_Data!Z500),"",DaqBook_RAW_Data!Z500)</f>
        <v/>
      </c>
      <c r="L510" s="167" t="str">
        <f>IF(ISBLANK(DaqBook_RAW_Data!AA500),"",DaqBook_RAW_Data!AA500)</f>
        <v/>
      </c>
      <c r="M510" s="167" t="str">
        <f>IF(ISBLANK(DaqBook_RAW_Data!AB500),"",DaqBook_RAW_Data!AB500)</f>
        <v/>
      </c>
      <c r="N510" s="167" t="str">
        <f>IF(ISBLANK(DaqBook_RAW_Data!AC500),"",DaqBook_RAW_Data!AC500)</f>
        <v/>
      </c>
      <c r="O510" s="167" t="str">
        <f>IF(ISBLANK(DaqBook_RAW_Data!AD500),"",DaqBook_RAW_Data!AD500)</f>
        <v/>
      </c>
      <c r="P510" s="167" t="str">
        <f>IF(ISBLANK(DaqBook_RAW_Data!AE500),"",DaqBook_RAW_Data!AE500)</f>
        <v/>
      </c>
    </row>
    <row r="511" spans="1:16" x14ac:dyDescent="0.2">
      <c r="A511" s="58" t="e">
        <f t="shared" si="7"/>
        <v>#VALUE!</v>
      </c>
      <c r="B511" s="144" t="str">
        <f>IF(ISBLANK(DaqBook_RAW_Data!Q501),IF(DaqBook_RAW_Data!A501="","",TIMEVALUE(DaqBook_RAW_Data!A501)),TIMEVALUE(DaqBook_RAW_Data!Q501))</f>
        <v/>
      </c>
      <c r="C511" s="167" t="str">
        <f>IF(ISBLANK(DaqBook_RAW_Data!R501),"",DaqBook_RAW_Data!R501)</f>
        <v/>
      </c>
      <c r="D511" s="167" t="str">
        <f>IF(ISBLANK(DaqBook_RAW_Data!S501),"",DaqBook_RAW_Data!S501)</f>
        <v/>
      </c>
      <c r="E511" s="167" t="str">
        <f>IF(ISBLANK(DaqBook_RAW_Data!T501),"",DaqBook_RAW_Data!T501)</f>
        <v/>
      </c>
      <c r="F511" s="167" t="str">
        <f>IF(ISBLANK(DaqBook_RAW_Data!U501),"",DaqBook_RAW_Data!U501)</f>
        <v/>
      </c>
      <c r="G511" s="167" t="str">
        <f>IF(ISBLANK(DaqBook_RAW_Data!V501),"",DaqBook_RAW_Data!V501)</f>
        <v/>
      </c>
      <c r="H511" s="167" t="str">
        <f>IF(ISBLANK(DaqBook_RAW_Data!W501),"",DaqBook_RAW_Data!W501)</f>
        <v/>
      </c>
      <c r="I511" s="167" t="str">
        <f>IF(ISBLANK(DaqBook_RAW_Data!X501),"",DaqBook_RAW_Data!X501)</f>
        <v/>
      </c>
      <c r="J511" s="167" t="str">
        <f>IF(ISBLANK(DaqBook_RAW_Data!Y501),"",DaqBook_RAW_Data!Y501)</f>
        <v/>
      </c>
      <c r="K511" s="167" t="str">
        <f>IF(ISBLANK(DaqBook_RAW_Data!Z501),"",DaqBook_RAW_Data!Z501)</f>
        <v/>
      </c>
      <c r="L511" s="167" t="str">
        <f>IF(ISBLANK(DaqBook_RAW_Data!AA501),"",DaqBook_RAW_Data!AA501)</f>
        <v/>
      </c>
      <c r="M511" s="167" t="str">
        <f>IF(ISBLANK(DaqBook_RAW_Data!AB501),"",DaqBook_RAW_Data!AB501)</f>
        <v/>
      </c>
      <c r="N511" s="167" t="str">
        <f>IF(ISBLANK(DaqBook_RAW_Data!AC501),"",DaqBook_RAW_Data!AC501)</f>
        <v/>
      </c>
      <c r="O511" s="167" t="str">
        <f>IF(ISBLANK(DaqBook_RAW_Data!AD501),"",DaqBook_RAW_Data!AD501)</f>
        <v/>
      </c>
      <c r="P511" s="167" t="str">
        <f>IF(ISBLANK(DaqBook_RAW_Data!AE501),"",DaqBook_RAW_Data!AE501)</f>
        <v/>
      </c>
    </row>
    <row r="512" spans="1:16" x14ac:dyDescent="0.2">
      <c r="A512" s="58" t="e">
        <f t="shared" si="7"/>
        <v>#VALUE!</v>
      </c>
      <c r="B512" s="144" t="str">
        <f>IF(ISBLANK(DaqBook_RAW_Data!Q502),IF(DaqBook_RAW_Data!A502="","",TIMEVALUE(DaqBook_RAW_Data!A502)),TIMEVALUE(DaqBook_RAW_Data!Q502))</f>
        <v/>
      </c>
      <c r="C512" s="167" t="str">
        <f>IF(ISBLANK(DaqBook_RAW_Data!R502),"",DaqBook_RAW_Data!R502)</f>
        <v/>
      </c>
      <c r="D512" s="167" t="str">
        <f>IF(ISBLANK(DaqBook_RAW_Data!S502),"",DaqBook_RAW_Data!S502)</f>
        <v/>
      </c>
      <c r="E512" s="167" t="str">
        <f>IF(ISBLANK(DaqBook_RAW_Data!T502),"",DaqBook_RAW_Data!T502)</f>
        <v/>
      </c>
      <c r="F512" s="167" t="str">
        <f>IF(ISBLANK(DaqBook_RAW_Data!U502),"",DaqBook_RAW_Data!U502)</f>
        <v/>
      </c>
      <c r="G512" s="167" t="str">
        <f>IF(ISBLANK(DaqBook_RAW_Data!V502),"",DaqBook_RAW_Data!V502)</f>
        <v/>
      </c>
      <c r="H512" s="167" t="str">
        <f>IF(ISBLANK(DaqBook_RAW_Data!W502),"",DaqBook_RAW_Data!W502)</f>
        <v/>
      </c>
      <c r="I512" s="167" t="str">
        <f>IF(ISBLANK(DaqBook_RAW_Data!X502),"",DaqBook_RAW_Data!X502)</f>
        <v/>
      </c>
      <c r="J512" s="167" t="str">
        <f>IF(ISBLANK(DaqBook_RAW_Data!Y502),"",DaqBook_RAW_Data!Y502)</f>
        <v/>
      </c>
      <c r="K512" s="167" t="str">
        <f>IF(ISBLANK(DaqBook_RAW_Data!Z502),"",DaqBook_RAW_Data!Z502)</f>
        <v/>
      </c>
      <c r="L512" s="167" t="str">
        <f>IF(ISBLANK(DaqBook_RAW_Data!AA502),"",DaqBook_RAW_Data!AA502)</f>
        <v/>
      </c>
      <c r="M512" s="167" t="str">
        <f>IF(ISBLANK(DaqBook_RAW_Data!AB502),"",DaqBook_RAW_Data!AB502)</f>
        <v/>
      </c>
      <c r="N512" s="167" t="str">
        <f>IF(ISBLANK(DaqBook_RAW_Data!AC502),"",DaqBook_RAW_Data!AC502)</f>
        <v/>
      </c>
      <c r="O512" s="167" t="str">
        <f>IF(ISBLANK(DaqBook_RAW_Data!AD502),"",DaqBook_RAW_Data!AD502)</f>
        <v/>
      </c>
      <c r="P512" s="167" t="str">
        <f>IF(ISBLANK(DaqBook_RAW_Data!AE502),"",DaqBook_RAW_Data!AE502)</f>
        <v/>
      </c>
    </row>
    <row r="513" spans="1:16" x14ac:dyDescent="0.2">
      <c r="A513" s="58" t="e">
        <f t="shared" si="7"/>
        <v>#VALUE!</v>
      </c>
      <c r="B513" s="144" t="str">
        <f>IF(ISBLANK(DaqBook_RAW_Data!Q503),IF(DaqBook_RAW_Data!A503="","",TIMEVALUE(DaqBook_RAW_Data!A503)),TIMEVALUE(DaqBook_RAW_Data!Q503))</f>
        <v/>
      </c>
      <c r="C513" s="167" t="str">
        <f>IF(ISBLANK(DaqBook_RAW_Data!R503),"",DaqBook_RAW_Data!R503)</f>
        <v/>
      </c>
      <c r="D513" s="167" t="str">
        <f>IF(ISBLANK(DaqBook_RAW_Data!S503),"",DaqBook_RAW_Data!S503)</f>
        <v/>
      </c>
      <c r="E513" s="167" t="str">
        <f>IF(ISBLANK(DaqBook_RAW_Data!T503),"",DaqBook_RAW_Data!T503)</f>
        <v/>
      </c>
      <c r="F513" s="167" t="str">
        <f>IF(ISBLANK(DaqBook_RAW_Data!U503),"",DaqBook_RAW_Data!U503)</f>
        <v/>
      </c>
      <c r="G513" s="167" t="str">
        <f>IF(ISBLANK(DaqBook_RAW_Data!V503),"",DaqBook_RAW_Data!V503)</f>
        <v/>
      </c>
      <c r="H513" s="167" t="str">
        <f>IF(ISBLANK(DaqBook_RAW_Data!W503),"",DaqBook_RAW_Data!W503)</f>
        <v/>
      </c>
      <c r="I513" s="167" t="str">
        <f>IF(ISBLANK(DaqBook_RAW_Data!X503),"",DaqBook_RAW_Data!X503)</f>
        <v/>
      </c>
      <c r="J513" s="167" t="str">
        <f>IF(ISBLANK(DaqBook_RAW_Data!Y503),"",DaqBook_RAW_Data!Y503)</f>
        <v/>
      </c>
      <c r="K513" s="167" t="str">
        <f>IF(ISBLANK(DaqBook_RAW_Data!Z503),"",DaqBook_RAW_Data!Z503)</f>
        <v/>
      </c>
      <c r="L513" s="167" t="str">
        <f>IF(ISBLANK(DaqBook_RAW_Data!AA503),"",DaqBook_RAW_Data!AA503)</f>
        <v/>
      </c>
      <c r="M513" s="167" t="str">
        <f>IF(ISBLANK(DaqBook_RAW_Data!AB503),"",DaqBook_RAW_Data!AB503)</f>
        <v/>
      </c>
      <c r="N513" s="167" t="str">
        <f>IF(ISBLANK(DaqBook_RAW_Data!AC503),"",DaqBook_RAW_Data!AC503)</f>
        <v/>
      </c>
      <c r="O513" s="167" t="str">
        <f>IF(ISBLANK(DaqBook_RAW_Data!AD503),"",DaqBook_RAW_Data!AD503)</f>
        <v/>
      </c>
      <c r="P513" s="167" t="str">
        <f>IF(ISBLANK(DaqBook_RAW_Data!AE503),"",DaqBook_RAW_Data!AE503)</f>
        <v/>
      </c>
    </row>
    <row r="514" spans="1:16" x14ac:dyDescent="0.2">
      <c r="A514" s="58" t="e">
        <f t="shared" si="7"/>
        <v>#VALUE!</v>
      </c>
      <c r="B514" s="144" t="str">
        <f>IF(ISBLANK(DaqBook_RAW_Data!Q504),IF(DaqBook_RAW_Data!A504="","",TIMEVALUE(DaqBook_RAW_Data!A504)),TIMEVALUE(DaqBook_RAW_Data!Q504))</f>
        <v/>
      </c>
      <c r="C514" s="167" t="str">
        <f>IF(ISBLANK(DaqBook_RAW_Data!R504),"",DaqBook_RAW_Data!R504)</f>
        <v/>
      </c>
      <c r="D514" s="167" t="str">
        <f>IF(ISBLANK(DaqBook_RAW_Data!S504),"",DaqBook_RAW_Data!S504)</f>
        <v/>
      </c>
      <c r="E514" s="167" t="str">
        <f>IF(ISBLANK(DaqBook_RAW_Data!T504),"",DaqBook_RAW_Data!T504)</f>
        <v/>
      </c>
      <c r="F514" s="167" t="str">
        <f>IF(ISBLANK(DaqBook_RAW_Data!U504),"",DaqBook_RAW_Data!U504)</f>
        <v/>
      </c>
      <c r="G514" s="167" t="str">
        <f>IF(ISBLANK(DaqBook_RAW_Data!V504),"",DaqBook_RAW_Data!V504)</f>
        <v/>
      </c>
      <c r="H514" s="167" t="str">
        <f>IF(ISBLANK(DaqBook_RAW_Data!W504),"",DaqBook_RAW_Data!W504)</f>
        <v/>
      </c>
      <c r="I514" s="167" t="str">
        <f>IF(ISBLANK(DaqBook_RAW_Data!X504),"",DaqBook_RAW_Data!X504)</f>
        <v/>
      </c>
      <c r="J514" s="167" t="str">
        <f>IF(ISBLANK(DaqBook_RAW_Data!Y504),"",DaqBook_RAW_Data!Y504)</f>
        <v/>
      </c>
      <c r="K514" s="167" t="str">
        <f>IF(ISBLANK(DaqBook_RAW_Data!Z504),"",DaqBook_RAW_Data!Z504)</f>
        <v/>
      </c>
      <c r="L514" s="167" t="str">
        <f>IF(ISBLANK(DaqBook_RAW_Data!AA504),"",DaqBook_RAW_Data!AA504)</f>
        <v/>
      </c>
      <c r="M514" s="167" t="str">
        <f>IF(ISBLANK(DaqBook_RAW_Data!AB504),"",DaqBook_RAW_Data!AB504)</f>
        <v/>
      </c>
      <c r="N514" s="167" t="str">
        <f>IF(ISBLANK(DaqBook_RAW_Data!AC504),"",DaqBook_RAW_Data!AC504)</f>
        <v/>
      </c>
      <c r="O514" s="167" t="str">
        <f>IF(ISBLANK(DaqBook_RAW_Data!AD504),"",DaqBook_RAW_Data!AD504)</f>
        <v/>
      </c>
      <c r="P514" s="167" t="str">
        <f>IF(ISBLANK(DaqBook_RAW_Data!AE504),"",DaqBook_RAW_Data!AE504)</f>
        <v/>
      </c>
    </row>
    <row r="515" spans="1:16" x14ac:dyDescent="0.2">
      <c r="A515" s="58" t="e">
        <f t="shared" si="7"/>
        <v>#VALUE!</v>
      </c>
      <c r="B515" s="144" t="str">
        <f>IF(ISBLANK(DaqBook_RAW_Data!Q505),IF(DaqBook_RAW_Data!A505="","",TIMEVALUE(DaqBook_RAW_Data!A505)),TIMEVALUE(DaqBook_RAW_Data!Q505))</f>
        <v/>
      </c>
      <c r="C515" s="167" t="str">
        <f>IF(ISBLANK(DaqBook_RAW_Data!R505),"",DaqBook_RAW_Data!R505)</f>
        <v/>
      </c>
      <c r="D515" s="167" t="str">
        <f>IF(ISBLANK(DaqBook_RAW_Data!S505),"",DaqBook_RAW_Data!S505)</f>
        <v/>
      </c>
      <c r="E515" s="167" t="str">
        <f>IF(ISBLANK(DaqBook_RAW_Data!T505),"",DaqBook_RAW_Data!T505)</f>
        <v/>
      </c>
      <c r="F515" s="167" t="str">
        <f>IF(ISBLANK(DaqBook_RAW_Data!U505),"",DaqBook_RAW_Data!U505)</f>
        <v/>
      </c>
      <c r="G515" s="167" t="str">
        <f>IF(ISBLANK(DaqBook_RAW_Data!V505),"",DaqBook_RAW_Data!V505)</f>
        <v/>
      </c>
      <c r="H515" s="167" t="str">
        <f>IF(ISBLANK(DaqBook_RAW_Data!W505),"",DaqBook_RAW_Data!W505)</f>
        <v/>
      </c>
      <c r="I515" s="167" t="str">
        <f>IF(ISBLANK(DaqBook_RAW_Data!X505),"",DaqBook_RAW_Data!X505)</f>
        <v/>
      </c>
      <c r="J515" s="167" t="str">
        <f>IF(ISBLANK(DaqBook_RAW_Data!Y505),"",DaqBook_RAW_Data!Y505)</f>
        <v/>
      </c>
      <c r="K515" s="167" t="str">
        <f>IF(ISBLANK(DaqBook_RAW_Data!Z505),"",DaqBook_RAW_Data!Z505)</f>
        <v/>
      </c>
      <c r="L515" s="167" t="str">
        <f>IF(ISBLANK(DaqBook_RAW_Data!AA505),"",DaqBook_RAW_Data!AA505)</f>
        <v/>
      </c>
      <c r="M515" s="167" t="str">
        <f>IF(ISBLANK(DaqBook_RAW_Data!AB505),"",DaqBook_RAW_Data!AB505)</f>
        <v/>
      </c>
      <c r="N515" s="167" t="str">
        <f>IF(ISBLANK(DaqBook_RAW_Data!AC505),"",DaqBook_RAW_Data!AC505)</f>
        <v/>
      </c>
      <c r="O515" s="167" t="str">
        <f>IF(ISBLANK(DaqBook_RAW_Data!AD505),"",DaqBook_RAW_Data!AD505)</f>
        <v/>
      </c>
      <c r="P515" s="167" t="str">
        <f>IF(ISBLANK(DaqBook_RAW_Data!AE505),"",DaqBook_RAW_Data!AE505)</f>
        <v/>
      </c>
    </row>
    <row r="516" spans="1:16" x14ac:dyDescent="0.2">
      <c r="A516" s="58" t="e">
        <f t="shared" si="7"/>
        <v>#VALUE!</v>
      </c>
      <c r="B516" s="144" t="str">
        <f>IF(ISBLANK(DaqBook_RAW_Data!Q506),IF(DaqBook_RAW_Data!A506="","",TIMEVALUE(DaqBook_RAW_Data!A506)),TIMEVALUE(DaqBook_RAW_Data!Q506))</f>
        <v/>
      </c>
      <c r="C516" s="167" t="str">
        <f>IF(ISBLANK(DaqBook_RAW_Data!R506),"",DaqBook_RAW_Data!R506)</f>
        <v/>
      </c>
      <c r="D516" s="167" t="str">
        <f>IF(ISBLANK(DaqBook_RAW_Data!S506),"",DaqBook_RAW_Data!S506)</f>
        <v/>
      </c>
      <c r="E516" s="167" t="str">
        <f>IF(ISBLANK(DaqBook_RAW_Data!T506),"",DaqBook_RAW_Data!T506)</f>
        <v/>
      </c>
      <c r="F516" s="167" t="str">
        <f>IF(ISBLANK(DaqBook_RAW_Data!U506),"",DaqBook_RAW_Data!U506)</f>
        <v/>
      </c>
      <c r="G516" s="167" t="str">
        <f>IF(ISBLANK(DaqBook_RAW_Data!V506),"",DaqBook_RAW_Data!V506)</f>
        <v/>
      </c>
      <c r="H516" s="167" t="str">
        <f>IF(ISBLANK(DaqBook_RAW_Data!W506),"",DaqBook_RAW_Data!W506)</f>
        <v/>
      </c>
      <c r="I516" s="167" t="str">
        <f>IF(ISBLANK(DaqBook_RAW_Data!X506),"",DaqBook_RAW_Data!X506)</f>
        <v/>
      </c>
      <c r="J516" s="167" t="str">
        <f>IF(ISBLANK(DaqBook_RAW_Data!Y506),"",DaqBook_RAW_Data!Y506)</f>
        <v/>
      </c>
      <c r="K516" s="167" t="str">
        <f>IF(ISBLANK(DaqBook_RAW_Data!Z506),"",DaqBook_RAW_Data!Z506)</f>
        <v/>
      </c>
      <c r="L516" s="167" t="str">
        <f>IF(ISBLANK(DaqBook_RAW_Data!AA506),"",DaqBook_RAW_Data!AA506)</f>
        <v/>
      </c>
      <c r="M516" s="167" t="str">
        <f>IF(ISBLANK(DaqBook_RAW_Data!AB506),"",DaqBook_RAW_Data!AB506)</f>
        <v/>
      </c>
      <c r="N516" s="167" t="str">
        <f>IF(ISBLANK(DaqBook_RAW_Data!AC506),"",DaqBook_RAW_Data!AC506)</f>
        <v/>
      </c>
      <c r="O516" s="167" t="str">
        <f>IF(ISBLANK(DaqBook_RAW_Data!AD506),"",DaqBook_RAW_Data!AD506)</f>
        <v/>
      </c>
      <c r="P516" s="167" t="str">
        <f>IF(ISBLANK(DaqBook_RAW_Data!AE506),"",DaqBook_RAW_Data!AE506)</f>
        <v/>
      </c>
    </row>
    <row r="517" spans="1:16" x14ac:dyDescent="0.2">
      <c r="A517" s="58" t="e">
        <f t="shared" si="7"/>
        <v>#VALUE!</v>
      </c>
      <c r="B517" s="144" t="str">
        <f>IF(ISBLANK(DaqBook_RAW_Data!Q507),IF(DaqBook_RAW_Data!A507="","",TIMEVALUE(DaqBook_RAW_Data!A507)),TIMEVALUE(DaqBook_RAW_Data!Q507))</f>
        <v/>
      </c>
      <c r="C517" s="167" t="str">
        <f>IF(ISBLANK(DaqBook_RAW_Data!R507),"",DaqBook_RAW_Data!R507)</f>
        <v/>
      </c>
      <c r="D517" s="167" t="str">
        <f>IF(ISBLANK(DaqBook_RAW_Data!S507),"",DaqBook_RAW_Data!S507)</f>
        <v/>
      </c>
      <c r="E517" s="167" t="str">
        <f>IF(ISBLANK(DaqBook_RAW_Data!T507),"",DaqBook_RAW_Data!T507)</f>
        <v/>
      </c>
      <c r="F517" s="167" t="str">
        <f>IF(ISBLANK(DaqBook_RAW_Data!U507),"",DaqBook_RAW_Data!U507)</f>
        <v/>
      </c>
      <c r="G517" s="167" t="str">
        <f>IF(ISBLANK(DaqBook_RAW_Data!V507),"",DaqBook_RAW_Data!V507)</f>
        <v/>
      </c>
      <c r="H517" s="167" t="str">
        <f>IF(ISBLANK(DaqBook_RAW_Data!W507),"",DaqBook_RAW_Data!W507)</f>
        <v/>
      </c>
      <c r="I517" s="167" t="str">
        <f>IF(ISBLANK(DaqBook_RAW_Data!X507),"",DaqBook_RAW_Data!X507)</f>
        <v/>
      </c>
      <c r="J517" s="167" t="str">
        <f>IF(ISBLANK(DaqBook_RAW_Data!Y507),"",DaqBook_RAW_Data!Y507)</f>
        <v/>
      </c>
      <c r="K517" s="167" t="str">
        <f>IF(ISBLANK(DaqBook_RAW_Data!Z507),"",DaqBook_RAW_Data!Z507)</f>
        <v/>
      </c>
      <c r="L517" s="167" t="str">
        <f>IF(ISBLANK(DaqBook_RAW_Data!AA507),"",DaqBook_RAW_Data!AA507)</f>
        <v/>
      </c>
      <c r="M517" s="167" t="str">
        <f>IF(ISBLANK(DaqBook_RAW_Data!AB507),"",DaqBook_RAW_Data!AB507)</f>
        <v/>
      </c>
      <c r="N517" s="167" t="str">
        <f>IF(ISBLANK(DaqBook_RAW_Data!AC507),"",DaqBook_RAW_Data!AC507)</f>
        <v/>
      </c>
      <c r="O517" s="167" t="str">
        <f>IF(ISBLANK(DaqBook_RAW_Data!AD507),"",DaqBook_RAW_Data!AD507)</f>
        <v/>
      </c>
      <c r="P517" s="167" t="str">
        <f>IF(ISBLANK(DaqBook_RAW_Data!AE507),"",DaqBook_RAW_Data!AE507)</f>
        <v/>
      </c>
    </row>
    <row r="518" spans="1:16" x14ac:dyDescent="0.2">
      <c r="A518" s="58" t="e">
        <f t="shared" si="7"/>
        <v>#VALUE!</v>
      </c>
      <c r="B518" s="144" t="str">
        <f>IF(ISBLANK(DaqBook_RAW_Data!Q508),IF(DaqBook_RAW_Data!A508="","",TIMEVALUE(DaqBook_RAW_Data!A508)),TIMEVALUE(DaqBook_RAW_Data!Q508))</f>
        <v/>
      </c>
      <c r="C518" s="167" t="str">
        <f>IF(ISBLANK(DaqBook_RAW_Data!R508),"",DaqBook_RAW_Data!R508)</f>
        <v/>
      </c>
      <c r="D518" s="167" t="str">
        <f>IF(ISBLANK(DaqBook_RAW_Data!S508),"",DaqBook_RAW_Data!S508)</f>
        <v/>
      </c>
      <c r="E518" s="167" t="str">
        <f>IF(ISBLANK(DaqBook_RAW_Data!T508),"",DaqBook_RAW_Data!T508)</f>
        <v/>
      </c>
      <c r="F518" s="167" t="str">
        <f>IF(ISBLANK(DaqBook_RAW_Data!U508),"",DaqBook_RAW_Data!U508)</f>
        <v/>
      </c>
      <c r="G518" s="167" t="str">
        <f>IF(ISBLANK(DaqBook_RAW_Data!V508),"",DaqBook_RAW_Data!V508)</f>
        <v/>
      </c>
      <c r="H518" s="167" t="str">
        <f>IF(ISBLANK(DaqBook_RAW_Data!W508),"",DaqBook_RAW_Data!W508)</f>
        <v/>
      </c>
      <c r="I518" s="167" t="str">
        <f>IF(ISBLANK(DaqBook_RAW_Data!X508),"",DaqBook_RAW_Data!X508)</f>
        <v/>
      </c>
      <c r="J518" s="167" t="str">
        <f>IF(ISBLANK(DaqBook_RAW_Data!Y508),"",DaqBook_RAW_Data!Y508)</f>
        <v/>
      </c>
      <c r="K518" s="167" t="str">
        <f>IF(ISBLANK(DaqBook_RAW_Data!Z508),"",DaqBook_RAW_Data!Z508)</f>
        <v/>
      </c>
      <c r="L518" s="167" t="str">
        <f>IF(ISBLANK(DaqBook_RAW_Data!AA508),"",DaqBook_RAW_Data!AA508)</f>
        <v/>
      </c>
      <c r="M518" s="167" t="str">
        <f>IF(ISBLANK(DaqBook_RAW_Data!AB508),"",DaqBook_RAW_Data!AB508)</f>
        <v/>
      </c>
      <c r="N518" s="167" t="str">
        <f>IF(ISBLANK(DaqBook_RAW_Data!AC508),"",DaqBook_RAW_Data!AC508)</f>
        <v/>
      </c>
      <c r="O518" s="167" t="str">
        <f>IF(ISBLANK(DaqBook_RAW_Data!AD508),"",DaqBook_RAW_Data!AD508)</f>
        <v/>
      </c>
      <c r="P518" s="167" t="str">
        <f>IF(ISBLANK(DaqBook_RAW_Data!AE508),"",DaqBook_RAW_Data!AE508)</f>
        <v/>
      </c>
    </row>
    <row r="519" spans="1:16" x14ac:dyDescent="0.2">
      <c r="A519" s="58" t="e">
        <f t="shared" si="7"/>
        <v>#VALUE!</v>
      </c>
      <c r="B519" s="144" t="str">
        <f>IF(ISBLANK(DaqBook_RAW_Data!Q509),IF(DaqBook_RAW_Data!A509="","",TIMEVALUE(DaqBook_RAW_Data!A509)),TIMEVALUE(DaqBook_RAW_Data!Q509))</f>
        <v/>
      </c>
      <c r="C519" s="167" t="str">
        <f>IF(ISBLANK(DaqBook_RAW_Data!R509),"",DaqBook_RAW_Data!R509)</f>
        <v/>
      </c>
      <c r="D519" s="167" t="str">
        <f>IF(ISBLANK(DaqBook_RAW_Data!S509),"",DaqBook_RAW_Data!S509)</f>
        <v/>
      </c>
      <c r="E519" s="167" t="str">
        <f>IF(ISBLANK(DaqBook_RAW_Data!T509),"",DaqBook_RAW_Data!T509)</f>
        <v/>
      </c>
      <c r="F519" s="167" t="str">
        <f>IF(ISBLANK(DaqBook_RAW_Data!U509),"",DaqBook_RAW_Data!U509)</f>
        <v/>
      </c>
      <c r="G519" s="167" t="str">
        <f>IF(ISBLANK(DaqBook_RAW_Data!V509),"",DaqBook_RAW_Data!V509)</f>
        <v/>
      </c>
      <c r="H519" s="167" t="str">
        <f>IF(ISBLANK(DaqBook_RAW_Data!W509),"",DaqBook_RAW_Data!W509)</f>
        <v/>
      </c>
      <c r="I519" s="167" t="str">
        <f>IF(ISBLANK(DaqBook_RAW_Data!X509),"",DaqBook_RAW_Data!X509)</f>
        <v/>
      </c>
      <c r="J519" s="167" t="str">
        <f>IF(ISBLANK(DaqBook_RAW_Data!Y509),"",DaqBook_RAW_Data!Y509)</f>
        <v/>
      </c>
      <c r="K519" s="167" t="str">
        <f>IF(ISBLANK(DaqBook_RAW_Data!Z509),"",DaqBook_RAW_Data!Z509)</f>
        <v/>
      </c>
      <c r="L519" s="167" t="str">
        <f>IF(ISBLANK(DaqBook_RAW_Data!AA509),"",DaqBook_RAW_Data!AA509)</f>
        <v/>
      </c>
      <c r="M519" s="167" t="str">
        <f>IF(ISBLANK(DaqBook_RAW_Data!AB509),"",DaqBook_RAW_Data!AB509)</f>
        <v/>
      </c>
      <c r="N519" s="167" t="str">
        <f>IF(ISBLANK(DaqBook_RAW_Data!AC509),"",DaqBook_RAW_Data!AC509)</f>
        <v/>
      </c>
      <c r="O519" s="167" t="str">
        <f>IF(ISBLANK(DaqBook_RAW_Data!AD509),"",DaqBook_RAW_Data!AD509)</f>
        <v/>
      </c>
      <c r="P519" s="167" t="str">
        <f>IF(ISBLANK(DaqBook_RAW_Data!AE509),"",DaqBook_RAW_Data!AE509)</f>
        <v/>
      </c>
    </row>
    <row r="520" spans="1:16" x14ac:dyDescent="0.2">
      <c r="A520" s="58" t="e">
        <f t="shared" si="7"/>
        <v>#VALUE!</v>
      </c>
      <c r="B520" s="144" t="str">
        <f>IF(ISBLANK(DaqBook_RAW_Data!Q510),IF(DaqBook_RAW_Data!A510="","",TIMEVALUE(DaqBook_RAW_Data!A510)),TIMEVALUE(DaqBook_RAW_Data!Q510))</f>
        <v/>
      </c>
      <c r="C520" s="167" t="str">
        <f>IF(ISBLANK(DaqBook_RAW_Data!R510),"",DaqBook_RAW_Data!R510)</f>
        <v/>
      </c>
      <c r="D520" s="167" t="str">
        <f>IF(ISBLANK(DaqBook_RAW_Data!S510),"",DaqBook_RAW_Data!S510)</f>
        <v/>
      </c>
      <c r="E520" s="167" t="str">
        <f>IF(ISBLANK(DaqBook_RAW_Data!T510),"",DaqBook_RAW_Data!T510)</f>
        <v/>
      </c>
      <c r="F520" s="167" t="str">
        <f>IF(ISBLANK(DaqBook_RAW_Data!U510),"",DaqBook_RAW_Data!U510)</f>
        <v/>
      </c>
      <c r="G520" s="167" t="str">
        <f>IF(ISBLANK(DaqBook_RAW_Data!V510),"",DaqBook_RAW_Data!V510)</f>
        <v/>
      </c>
      <c r="H520" s="167" t="str">
        <f>IF(ISBLANK(DaqBook_RAW_Data!W510),"",DaqBook_RAW_Data!W510)</f>
        <v/>
      </c>
      <c r="I520" s="167" t="str">
        <f>IF(ISBLANK(DaqBook_RAW_Data!X510),"",DaqBook_RAW_Data!X510)</f>
        <v/>
      </c>
      <c r="J520" s="167" t="str">
        <f>IF(ISBLANK(DaqBook_RAW_Data!Y510),"",DaqBook_RAW_Data!Y510)</f>
        <v/>
      </c>
      <c r="K520" s="167" t="str">
        <f>IF(ISBLANK(DaqBook_RAW_Data!Z510),"",DaqBook_RAW_Data!Z510)</f>
        <v/>
      </c>
      <c r="L520" s="167" t="str">
        <f>IF(ISBLANK(DaqBook_RAW_Data!AA510),"",DaqBook_RAW_Data!AA510)</f>
        <v/>
      </c>
      <c r="M520" s="167" t="str">
        <f>IF(ISBLANK(DaqBook_RAW_Data!AB510),"",DaqBook_RAW_Data!AB510)</f>
        <v/>
      </c>
      <c r="N520" s="167" t="str">
        <f>IF(ISBLANK(DaqBook_RAW_Data!AC510),"",DaqBook_RAW_Data!AC510)</f>
        <v/>
      </c>
      <c r="O520" s="167" t="str">
        <f>IF(ISBLANK(DaqBook_RAW_Data!AD510),"",DaqBook_RAW_Data!AD510)</f>
        <v/>
      </c>
      <c r="P520" s="167" t="str">
        <f>IF(ISBLANK(DaqBook_RAW_Data!AE510),"",DaqBook_RAW_Data!AE510)</f>
        <v/>
      </c>
    </row>
    <row r="521" spans="1:16" x14ac:dyDescent="0.2">
      <c r="A521" s="58" t="e">
        <f t="shared" si="7"/>
        <v>#VALUE!</v>
      </c>
      <c r="B521" s="144" t="str">
        <f>IF(ISBLANK(DaqBook_RAW_Data!Q511),IF(DaqBook_RAW_Data!A511="","",TIMEVALUE(DaqBook_RAW_Data!A511)),TIMEVALUE(DaqBook_RAW_Data!Q511))</f>
        <v/>
      </c>
      <c r="C521" s="167" t="str">
        <f>IF(ISBLANK(DaqBook_RAW_Data!R511),"",DaqBook_RAW_Data!R511)</f>
        <v/>
      </c>
      <c r="D521" s="167" t="str">
        <f>IF(ISBLANK(DaqBook_RAW_Data!S511),"",DaqBook_RAW_Data!S511)</f>
        <v/>
      </c>
      <c r="E521" s="167" t="str">
        <f>IF(ISBLANK(DaqBook_RAW_Data!T511),"",DaqBook_RAW_Data!T511)</f>
        <v/>
      </c>
      <c r="F521" s="167" t="str">
        <f>IF(ISBLANK(DaqBook_RAW_Data!U511),"",DaqBook_RAW_Data!U511)</f>
        <v/>
      </c>
      <c r="G521" s="167" t="str">
        <f>IF(ISBLANK(DaqBook_RAW_Data!V511),"",DaqBook_RAW_Data!V511)</f>
        <v/>
      </c>
      <c r="H521" s="167" t="str">
        <f>IF(ISBLANK(DaqBook_RAW_Data!W511),"",DaqBook_RAW_Data!W511)</f>
        <v/>
      </c>
      <c r="I521" s="167" t="str">
        <f>IF(ISBLANK(DaqBook_RAW_Data!X511),"",DaqBook_RAW_Data!X511)</f>
        <v/>
      </c>
      <c r="J521" s="167" t="str">
        <f>IF(ISBLANK(DaqBook_RAW_Data!Y511),"",DaqBook_RAW_Data!Y511)</f>
        <v/>
      </c>
      <c r="K521" s="167" t="str">
        <f>IF(ISBLANK(DaqBook_RAW_Data!Z511),"",DaqBook_RAW_Data!Z511)</f>
        <v/>
      </c>
      <c r="L521" s="167" t="str">
        <f>IF(ISBLANK(DaqBook_RAW_Data!AA511),"",DaqBook_RAW_Data!AA511)</f>
        <v/>
      </c>
      <c r="M521" s="167" t="str">
        <f>IF(ISBLANK(DaqBook_RAW_Data!AB511),"",DaqBook_RAW_Data!AB511)</f>
        <v/>
      </c>
      <c r="N521" s="167" t="str">
        <f>IF(ISBLANK(DaqBook_RAW_Data!AC511),"",DaqBook_RAW_Data!AC511)</f>
        <v/>
      </c>
      <c r="O521" s="167" t="str">
        <f>IF(ISBLANK(DaqBook_RAW_Data!AD511),"",DaqBook_RAW_Data!AD511)</f>
        <v/>
      </c>
      <c r="P521" s="167" t="str">
        <f>IF(ISBLANK(DaqBook_RAW_Data!AE511),"",DaqBook_RAW_Data!AE511)</f>
        <v/>
      </c>
    </row>
    <row r="522" spans="1:16" x14ac:dyDescent="0.2">
      <c r="A522" s="58" t="e">
        <f t="shared" si="7"/>
        <v>#VALUE!</v>
      </c>
      <c r="B522" s="144" t="str">
        <f>IF(ISBLANK(DaqBook_RAW_Data!Q512),IF(DaqBook_RAW_Data!A512="","",TIMEVALUE(DaqBook_RAW_Data!A512)),TIMEVALUE(DaqBook_RAW_Data!Q512))</f>
        <v/>
      </c>
      <c r="C522" s="167" t="str">
        <f>IF(ISBLANK(DaqBook_RAW_Data!R512),"",DaqBook_RAW_Data!R512)</f>
        <v/>
      </c>
      <c r="D522" s="167" t="str">
        <f>IF(ISBLANK(DaqBook_RAW_Data!S512),"",DaqBook_RAW_Data!S512)</f>
        <v/>
      </c>
      <c r="E522" s="167" t="str">
        <f>IF(ISBLANK(DaqBook_RAW_Data!T512),"",DaqBook_RAW_Data!T512)</f>
        <v/>
      </c>
      <c r="F522" s="167" t="str">
        <f>IF(ISBLANK(DaqBook_RAW_Data!U512),"",DaqBook_RAW_Data!U512)</f>
        <v/>
      </c>
      <c r="G522" s="167" t="str">
        <f>IF(ISBLANK(DaqBook_RAW_Data!V512),"",DaqBook_RAW_Data!V512)</f>
        <v/>
      </c>
      <c r="H522" s="167" t="str">
        <f>IF(ISBLANK(DaqBook_RAW_Data!W512),"",DaqBook_RAW_Data!W512)</f>
        <v/>
      </c>
      <c r="I522" s="167" t="str">
        <f>IF(ISBLANK(DaqBook_RAW_Data!X512),"",DaqBook_RAW_Data!X512)</f>
        <v/>
      </c>
      <c r="J522" s="167" t="str">
        <f>IF(ISBLANK(DaqBook_RAW_Data!Y512),"",DaqBook_RAW_Data!Y512)</f>
        <v/>
      </c>
      <c r="K522" s="167" t="str">
        <f>IF(ISBLANK(DaqBook_RAW_Data!Z512),"",DaqBook_RAW_Data!Z512)</f>
        <v/>
      </c>
      <c r="L522" s="167" t="str">
        <f>IF(ISBLANK(DaqBook_RAW_Data!AA512),"",DaqBook_RAW_Data!AA512)</f>
        <v/>
      </c>
      <c r="M522" s="167" t="str">
        <f>IF(ISBLANK(DaqBook_RAW_Data!AB512),"",DaqBook_RAW_Data!AB512)</f>
        <v/>
      </c>
      <c r="N522" s="167" t="str">
        <f>IF(ISBLANK(DaqBook_RAW_Data!AC512),"",DaqBook_RAW_Data!AC512)</f>
        <v/>
      </c>
      <c r="O522" s="167" t="str">
        <f>IF(ISBLANK(DaqBook_RAW_Data!AD512),"",DaqBook_RAW_Data!AD512)</f>
        <v/>
      </c>
      <c r="P522" s="167" t="str">
        <f>IF(ISBLANK(DaqBook_RAW_Data!AE512),"",DaqBook_RAW_Data!AE512)</f>
        <v/>
      </c>
    </row>
    <row r="523" spans="1:16" x14ac:dyDescent="0.2">
      <c r="A523" s="58" t="e">
        <f t="shared" si="7"/>
        <v>#VALUE!</v>
      </c>
      <c r="B523" s="144" t="str">
        <f>IF(ISBLANK(DaqBook_RAW_Data!Q513),IF(DaqBook_RAW_Data!A513="","",TIMEVALUE(DaqBook_RAW_Data!A513)),TIMEVALUE(DaqBook_RAW_Data!Q513))</f>
        <v/>
      </c>
      <c r="C523" s="167" t="str">
        <f>IF(ISBLANK(DaqBook_RAW_Data!R513),"",DaqBook_RAW_Data!R513)</f>
        <v/>
      </c>
      <c r="D523" s="167" t="str">
        <f>IF(ISBLANK(DaqBook_RAW_Data!S513),"",DaqBook_RAW_Data!S513)</f>
        <v/>
      </c>
      <c r="E523" s="167" t="str">
        <f>IF(ISBLANK(DaqBook_RAW_Data!T513),"",DaqBook_RAW_Data!T513)</f>
        <v/>
      </c>
      <c r="F523" s="167" t="str">
        <f>IF(ISBLANK(DaqBook_RAW_Data!U513),"",DaqBook_RAW_Data!U513)</f>
        <v/>
      </c>
      <c r="G523" s="167" t="str">
        <f>IF(ISBLANK(DaqBook_RAW_Data!V513),"",DaqBook_RAW_Data!V513)</f>
        <v/>
      </c>
      <c r="H523" s="167" t="str">
        <f>IF(ISBLANK(DaqBook_RAW_Data!W513),"",DaqBook_RAW_Data!W513)</f>
        <v/>
      </c>
      <c r="I523" s="167" t="str">
        <f>IF(ISBLANK(DaqBook_RAW_Data!X513),"",DaqBook_RAW_Data!X513)</f>
        <v/>
      </c>
      <c r="J523" s="167" t="str">
        <f>IF(ISBLANK(DaqBook_RAW_Data!Y513),"",DaqBook_RAW_Data!Y513)</f>
        <v/>
      </c>
      <c r="K523" s="167" t="str">
        <f>IF(ISBLANK(DaqBook_RAW_Data!Z513),"",DaqBook_RAW_Data!Z513)</f>
        <v/>
      </c>
      <c r="L523" s="167" t="str">
        <f>IF(ISBLANK(DaqBook_RAW_Data!AA513),"",DaqBook_RAW_Data!AA513)</f>
        <v/>
      </c>
      <c r="M523" s="167" t="str">
        <f>IF(ISBLANK(DaqBook_RAW_Data!AB513),"",DaqBook_RAW_Data!AB513)</f>
        <v/>
      </c>
      <c r="N523" s="167" t="str">
        <f>IF(ISBLANK(DaqBook_RAW_Data!AC513),"",DaqBook_RAW_Data!AC513)</f>
        <v/>
      </c>
      <c r="O523" s="167" t="str">
        <f>IF(ISBLANK(DaqBook_RAW_Data!AD513),"",DaqBook_RAW_Data!AD513)</f>
        <v/>
      </c>
      <c r="P523" s="167" t="str">
        <f>IF(ISBLANK(DaqBook_RAW_Data!AE513),"",DaqBook_RAW_Data!AE513)</f>
        <v/>
      </c>
    </row>
    <row r="524" spans="1:16" x14ac:dyDescent="0.2">
      <c r="A524" s="58" t="e">
        <f t="shared" si="7"/>
        <v>#VALUE!</v>
      </c>
      <c r="B524" s="144" t="str">
        <f>IF(ISBLANK(DaqBook_RAW_Data!Q514),IF(DaqBook_RAW_Data!A514="","",TIMEVALUE(DaqBook_RAW_Data!A514)),TIMEVALUE(DaqBook_RAW_Data!Q514))</f>
        <v/>
      </c>
      <c r="C524" s="167" t="str">
        <f>IF(ISBLANK(DaqBook_RAW_Data!R514),"",DaqBook_RAW_Data!R514)</f>
        <v/>
      </c>
      <c r="D524" s="167" t="str">
        <f>IF(ISBLANK(DaqBook_RAW_Data!S514),"",DaqBook_RAW_Data!S514)</f>
        <v/>
      </c>
      <c r="E524" s="167" t="str">
        <f>IF(ISBLANK(DaqBook_RAW_Data!T514),"",DaqBook_RAW_Data!T514)</f>
        <v/>
      </c>
      <c r="F524" s="167" t="str">
        <f>IF(ISBLANK(DaqBook_RAW_Data!U514),"",DaqBook_RAW_Data!U514)</f>
        <v/>
      </c>
      <c r="G524" s="167" t="str">
        <f>IF(ISBLANK(DaqBook_RAW_Data!V514),"",DaqBook_RAW_Data!V514)</f>
        <v/>
      </c>
      <c r="H524" s="167" t="str">
        <f>IF(ISBLANK(DaqBook_RAW_Data!W514),"",DaqBook_RAW_Data!W514)</f>
        <v/>
      </c>
      <c r="I524" s="167" t="str">
        <f>IF(ISBLANK(DaqBook_RAW_Data!X514),"",DaqBook_RAW_Data!X514)</f>
        <v/>
      </c>
      <c r="J524" s="167" t="str">
        <f>IF(ISBLANK(DaqBook_RAW_Data!Y514),"",DaqBook_RAW_Data!Y514)</f>
        <v/>
      </c>
      <c r="K524" s="167" t="str">
        <f>IF(ISBLANK(DaqBook_RAW_Data!Z514),"",DaqBook_RAW_Data!Z514)</f>
        <v/>
      </c>
      <c r="L524" s="167" t="str">
        <f>IF(ISBLANK(DaqBook_RAW_Data!AA514),"",DaqBook_RAW_Data!AA514)</f>
        <v/>
      </c>
      <c r="M524" s="167" t="str">
        <f>IF(ISBLANK(DaqBook_RAW_Data!AB514),"",DaqBook_RAW_Data!AB514)</f>
        <v/>
      </c>
      <c r="N524" s="167" t="str">
        <f>IF(ISBLANK(DaqBook_RAW_Data!AC514),"",DaqBook_RAW_Data!AC514)</f>
        <v/>
      </c>
      <c r="O524" s="167" t="str">
        <f>IF(ISBLANK(DaqBook_RAW_Data!AD514),"",DaqBook_RAW_Data!AD514)</f>
        <v/>
      </c>
      <c r="P524" s="167" t="str">
        <f>IF(ISBLANK(DaqBook_RAW_Data!AE514),"",DaqBook_RAW_Data!AE514)</f>
        <v/>
      </c>
    </row>
    <row r="525" spans="1:16" x14ac:dyDescent="0.2">
      <c r="A525" s="58" t="e">
        <f t="shared" si="7"/>
        <v>#VALUE!</v>
      </c>
      <c r="B525" s="144" t="str">
        <f>IF(ISBLANK(DaqBook_RAW_Data!Q515),IF(DaqBook_RAW_Data!A515="","",TIMEVALUE(DaqBook_RAW_Data!A515)),TIMEVALUE(DaqBook_RAW_Data!Q515))</f>
        <v/>
      </c>
      <c r="C525" s="167" t="str">
        <f>IF(ISBLANK(DaqBook_RAW_Data!R515),"",DaqBook_RAW_Data!R515)</f>
        <v/>
      </c>
      <c r="D525" s="167" t="str">
        <f>IF(ISBLANK(DaqBook_RAW_Data!S515),"",DaqBook_RAW_Data!S515)</f>
        <v/>
      </c>
      <c r="E525" s="167" t="str">
        <f>IF(ISBLANK(DaqBook_RAW_Data!T515),"",DaqBook_RAW_Data!T515)</f>
        <v/>
      </c>
      <c r="F525" s="167" t="str">
        <f>IF(ISBLANK(DaqBook_RAW_Data!U515),"",DaqBook_RAW_Data!U515)</f>
        <v/>
      </c>
      <c r="G525" s="167" t="str">
        <f>IF(ISBLANK(DaqBook_RAW_Data!V515),"",DaqBook_RAW_Data!V515)</f>
        <v/>
      </c>
      <c r="H525" s="167" t="str">
        <f>IF(ISBLANK(DaqBook_RAW_Data!W515),"",DaqBook_RAW_Data!W515)</f>
        <v/>
      </c>
      <c r="I525" s="167" t="str">
        <f>IF(ISBLANK(DaqBook_RAW_Data!X515),"",DaqBook_RAW_Data!X515)</f>
        <v/>
      </c>
      <c r="J525" s="167" t="str">
        <f>IF(ISBLANK(DaqBook_RAW_Data!Y515),"",DaqBook_RAW_Data!Y515)</f>
        <v/>
      </c>
      <c r="K525" s="167" t="str">
        <f>IF(ISBLANK(DaqBook_RAW_Data!Z515),"",DaqBook_RAW_Data!Z515)</f>
        <v/>
      </c>
      <c r="L525" s="167" t="str">
        <f>IF(ISBLANK(DaqBook_RAW_Data!AA515),"",DaqBook_RAW_Data!AA515)</f>
        <v/>
      </c>
      <c r="M525" s="167" t="str">
        <f>IF(ISBLANK(DaqBook_RAW_Data!AB515),"",DaqBook_RAW_Data!AB515)</f>
        <v/>
      </c>
      <c r="N525" s="167" t="str">
        <f>IF(ISBLANK(DaqBook_RAW_Data!AC515),"",DaqBook_RAW_Data!AC515)</f>
        <v/>
      </c>
      <c r="O525" s="167" t="str">
        <f>IF(ISBLANK(DaqBook_RAW_Data!AD515),"",DaqBook_RAW_Data!AD515)</f>
        <v/>
      </c>
      <c r="P525" s="167" t="str">
        <f>IF(ISBLANK(DaqBook_RAW_Data!AE515),"",DaqBook_RAW_Data!AE515)</f>
        <v/>
      </c>
    </row>
    <row r="526" spans="1:16" x14ac:dyDescent="0.2">
      <c r="A526" s="58" t="e">
        <f t="shared" si="7"/>
        <v>#VALUE!</v>
      </c>
      <c r="B526" s="144" t="str">
        <f>IF(ISBLANK(DaqBook_RAW_Data!Q516),IF(DaqBook_RAW_Data!A516="","",TIMEVALUE(DaqBook_RAW_Data!A516)),TIMEVALUE(DaqBook_RAW_Data!Q516))</f>
        <v/>
      </c>
      <c r="C526" s="167" t="str">
        <f>IF(ISBLANK(DaqBook_RAW_Data!R516),"",DaqBook_RAW_Data!R516)</f>
        <v/>
      </c>
      <c r="D526" s="167" t="str">
        <f>IF(ISBLANK(DaqBook_RAW_Data!S516),"",DaqBook_RAW_Data!S516)</f>
        <v/>
      </c>
      <c r="E526" s="167" t="str">
        <f>IF(ISBLANK(DaqBook_RAW_Data!T516),"",DaqBook_RAW_Data!T516)</f>
        <v/>
      </c>
      <c r="F526" s="167" t="str">
        <f>IF(ISBLANK(DaqBook_RAW_Data!U516),"",DaqBook_RAW_Data!U516)</f>
        <v/>
      </c>
      <c r="G526" s="167" t="str">
        <f>IF(ISBLANK(DaqBook_RAW_Data!V516),"",DaqBook_RAW_Data!V516)</f>
        <v/>
      </c>
      <c r="H526" s="167" t="str">
        <f>IF(ISBLANK(DaqBook_RAW_Data!W516),"",DaqBook_RAW_Data!W516)</f>
        <v/>
      </c>
      <c r="I526" s="167" t="str">
        <f>IF(ISBLANK(DaqBook_RAW_Data!X516),"",DaqBook_RAW_Data!X516)</f>
        <v/>
      </c>
      <c r="J526" s="167" t="str">
        <f>IF(ISBLANK(DaqBook_RAW_Data!Y516),"",DaqBook_RAW_Data!Y516)</f>
        <v/>
      </c>
      <c r="K526" s="167" t="str">
        <f>IF(ISBLANK(DaqBook_RAW_Data!Z516),"",DaqBook_RAW_Data!Z516)</f>
        <v/>
      </c>
      <c r="L526" s="167" t="str">
        <f>IF(ISBLANK(DaqBook_RAW_Data!AA516),"",DaqBook_RAW_Data!AA516)</f>
        <v/>
      </c>
      <c r="M526" s="167" t="str">
        <f>IF(ISBLANK(DaqBook_RAW_Data!AB516),"",DaqBook_RAW_Data!AB516)</f>
        <v/>
      </c>
      <c r="N526" s="167" t="str">
        <f>IF(ISBLANK(DaqBook_RAW_Data!AC516),"",DaqBook_RAW_Data!AC516)</f>
        <v/>
      </c>
      <c r="O526" s="167" t="str">
        <f>IF(ISBLANK(DaqBook_RAW_Data!AD516),"",DaqBook_RAW_Data!AD516)</f>
        <v/>
      </c>
      <c r="P526" s="167" t="str">
        <f>IF(ISBLANK(DaqBook_RAW_Data!AE516),"",DaqBook_RAW_Data!AE516)</f>
        <v/>
      </c>
    </row>
    <row r="527" spans="1:16" x14ac:dyDescent="0.2">
      <c r="A527" s="58" t="e">
        <f t="shared" ref="A527:A590" si="8">HOUR(B527)&amp;":"&amp;MINUTE(B527)</f>
        <v>#VALUE!</v>
      </c>
      <c r="B527" s="144" t="str">
        <f>IF(ISBLANK(DaqBook_RAW_Data!Q517),IF(DaqBook_RAW_Data!A517="","",TIMEVALUE(DaqBook_RAW_Data!A517)),TIMEVALUE(DaqBook_RAW_Data!Q517))</f>
        <v/>
      </c>
      <c r="C527" s="167" t="str">
        <f>IF(ISBLANK(DaqBook_RAW_Data!R517),"",DaqBook_RAW_Data!R517)</f>
        <v/>
      </c>
      <c r="D527" s="167" t="str">
        <f>IF(ISBLANK(DaqBook_RAW_Data!S517),"",DaqBook_RAW_Data!S517)</f>
        <v/>
      </c>
      <c r="E527" s="167" t="str">
        <f>IF(ISBLANK(DaqBook_RAW_Data!T517),"",DaqBook_RAW_Data!T517)</f>
        <v/>
      </c>
      <c r="F527" s="167" t="str">
        <f>IF(ISBLANK(DaqBook_RAW_Data!U517),"",DaqBook_RAW_Data!U517)</f>
        <v/>
      </c>
      <c r="G527" s="167" t="str">
        <f>IF(ISBLANK(DaqBook_RAW_Data!V517),"",DaqBook_RAW_Data!V517)</f>
        <v/>
      </c>
      <c r="H527" s="167" t="str">
        <f>IF(ISBLANK(DaqBook_RAW_Data!W517),"",DaqBook_RAW_Data!W517)</f>
        <v/>
      </c>
      <c r="I527" s="167" t="str">
        <f>IF(ISBLANK(DaqBook_RAW_Data!X517),"",DaqBook_RAW_Data!X517)</f>
        <v/>
      </c>
      <c r="J527" s="167" t="str">
        <f>IF(ISBLANK(DaqBook_RAW_Data!Y517),"",DaqBook_RAW_Data!Y517)</f>
        <v/>
      </c>
      <c r="K527" s="167" t="str">
        <f>IF(ISBLANK(DaqBook_RAW_Data!Z517),"",DaqBook_RAW_Data!Z517)</f>
        <v/>
      </c>
      <c r="L527" s="167" t="str">
        <f>IF(ISBLANK(DaqBook_RAW_Data!AA517),"",DaqBook_RAW_Data!AA517)</f>
        <v/>
      </c>
      <c r="M527" s="167" t="str">
        <f>IF(ISBLANK(DaqBook_RAW_Data!AB517),"",DaqBook_RAW_Data!AB517)</f>
        <v/>
      </c>
      <c r="N527" s="167" t="str">
        <f>IF(ISBLANK(DaqBook_RAW_Data!AC517),"",DaqBook_RAW_Data!AC517)</f>
        <v/>
      </c>
      <c r="O527" s="167" t="str">
        <f>IF(ISBLANK(DaqBook_RAW_Data!AD517),"",DaqBook_RAW_Data!AD517)</f>
        <v/>
      </c>
      <c r="P527" s="167" t="str">
        <f>IF(ISBLANK(DaqBook_RAW_Data!AE517),"",DaqBook_RAW_Data!AE517)</f>
        <v/>
      </c>
    </row>
    <row r="528" spans="1:16" x14ac:dyDescent="0.2">
      <c r="A528" s="58" t="e">
        <f t="shared" si="8"/>
        <v>#VALUE!</v>
      </c>
      <c r="B528" s="144" t="str">
        <f>IF(ISBLANK(DaqBook_RAW_Data!Q518),IF(DaqBook_RAW_Data!A518="","",TIMEVALUE(DaqBook_RAW_Data!A518)),TIMEVALUE(DaqBook_RAW_Data!Q518))</f>
        <v/>
      </c>
      <c r="C528" s="167" t="str">
        <f>IF(ISBLANK(DaqBook_RAW_Data!R518),"",DaqBook_RAW_Data!R518)</f>
        <v/>
      </c>
      <c r="D528" s="167" t="str">
        <f>IF(ISBLANK(DaqBook_RAW_Data!S518),"",DaqBook_RAW_Data!S518)</f>
        <v/>
      </c>
      <c r="E528" s="167" t="str">
        <f>IF(ISBLANK(DaqBook_RAW_Data!T518),"",DaqBook_RAW_Data!T518)</f>
        <v/>
      </c>
      <c r="F528" s="167" t="str">
        <f>IF(ISBLANK(DaqBook_RAW_Data!U518),"",DaqBook_RAW_Data!U518)</f>
        <v/>
      </c>
      <c r="G528" s="167" t="str">
        <f>IF(ISBLANK(DaqBook_RAW_Data!V518),"",DaqBook_RAW_Data!V518)</f>
        <v/>
      </c>
      <c r="H528" s="167" t="str">
        <f>IF(ISBLANK(DaqBook_RAW_Data!W518),"",DaqBook_RAW_Data!W518)</f>
        <v/>
      </c>
      <c r="I528" s="167" t="str">
        <f>IF(ISBLANK(DaqBook_RAW_Data!X518),"",DaqBook_RAW_Data!X518)</f>
        <v/>
      </c>
      <c r="J528" s="167" t="str">
        <f>IF(ISBLANK(DaqBook_RAW_Data!Y518),"",DaqBook_RAW_Data!Y518)</f>
        <v/>
      </c>
      <c r="K528" s="167" t="str">
        <f>IF(ISBLANK(DaqBook_RAW_Data!Z518),"",DaqBook_RAW_Data!Z518)</f>
        <v/>
      </c>
      <c r="L528" s="167" t="str">
        <f>IF(ISBLANK(DaqBook_RAW_Data!AA518),"",DaqBook_RAW_Data!AA518)</f>
        <v/>
      </c>
      <c r="M528" s="167" t="str">
        <f>IF(ISBLANK(DaqBook_RAW_Data!AB518),"",DaqBook_RAW_Data!AB518)</f>
        <v/>
      </c>
      <c r="N528" s="167" t="str">
        <f>IF(ISBLANK(DaqBook_RAW_Data!AC518),"",DaqBook_RAW_Data!AC518)</f>
        <v/>
      </c>
      <c r="O528" s="167" t="str">
        <f>IF(ISBLANK(DaqBook_RAW_Data!AD518),"",DaqBook_RAW_Data!AD518)</f>
        <v/>
      </c>
      <c r="P528" s="167" t="str">
        <f>IF(ISBLANK(DaqBook_RAW_Data!AE518),"",DaqBook_RAW_Data!AE518)</f>
        <v/>
      </c>
    </row>
    <row r="529" spans="1:16" x14ac:dyDescent="0.2">
      <c r="A529" s="58" t="e">
        <f t="shared" si="8"/>
        <v>#VALUE!</v>
      </c>
      <c r="B529" s="144" t="str">
        <f>IF(ISBLANK(DaqBook_RAW_Data!Q519),IF(DaqBook_RAW_Data!A519="","",TIMEVALUE(DaqBook_RAW_Data!A519)),TIMEVALUE(DaqBook_RAW_Data!Q519))</f>
        <v/>
      </c>
      <c r="C529" s="167" t="str">
        <f>IF(ISBLANK(DaqBook_RAW_Data!R519),"",DaqBook_RAW_Data!R519)</f>
        <v/>
      </c>
      <c r="D529" s="167" t="str">
        <f>IF(ISBLANK(DaqBook_RAW_Data!S519),"",DaqBook_RAW_Data!S519)</f>
        <v/>
      </c>
      <c r="E529" s="167" t="str">
        <f>IF(ISBLANK(DaqBook_RAW_Data!T519),"",DaqBook_RAW_Data!T519)</f>
        <v/>
      </c>
      <c r="F529" s="167" t="str">
        <f>IF(ISBLANK(DaqBook_RAW_Data!U519),"",DaqBook_RAW_Data!U519)</f>
        <v/>
      </c>
      <c r="G529" s="167" t="str">
        <f>IF(ISBLANK(DaqBook_RAW_Data!V519),"",DaqBook_RAW_Data!V519)</f>
        <v/>
      </c>
      <c r="H529" s="167" t="str">
        <f>IF(ISBLANK(DaqBook_RAW_Data!W519),"",DaqBook_RAW_Data!W519)</f>
        <v/>
      </c>
      <c r="I529" s="167" t="str">
        <f>IF(ISBLANK(DaqBook_RAW_Data!X519),"",DaqBook_RAW_Data!X519)</f>
        <v/>
      </c>
      <c r="J529" s="167" t="str">
        <f>IF(ISBLANK(DaqBook_RAW_Data!Y519),"",DaqBook_RAW_Data!Y519)</f>
        <v/>
      </c>
      <c r="K529" s="167" t="str">
        <f>IF(ISBLANK(DaqBook_RAW_Data!Z519),"",DaqBook_RAW_Data!Z519)</f>
        <v/>
      </c>
      <c r="L529" s="167" t="str">
        <f>IF(ISBLANK(DaqBook_RAW_Data!AA519),"",DaqBook_RAW_Data!AA519)</f>
        <v/>
      </c>
      <c r="M529" s="167" t="str">
        <f>IF(ISBLANK(DaqBook_RAW_Data!AB519),"",DaqBook_RAW_Data!AB519)</f>
        <v/>
      </c>
      <c r="N529" s="167" t="str">
        <f>IF(ISBLANK(DaqBook_RAW_Data!AC519),"",DaqBook_RAW_Data!AC519)</f>
        <v/>
      </c>
      <c r="O529" s="167" t="str">
        <f>IF(ISBLANK(DaqBook_RAW_Data!AD519),"",DaqBook_RAW_Data!AD519)</f>
        <v/>
      </c>
      <c r="P529" s="167" t="str">
        <f>IF(ISBLANK(DaqBook_RAW_Data!AE519),"",DaqBook_RAW_Data!AE519)</f>
        <v/>
      </c>
    </row>
    <row r="530" spans="1:16" x14ac:dyDescent="0.2">
      <c r="A530" s="58" t="e">
        <f t="shared" si="8"/>
        <v>#VALUE!</v>
      </c>
      <c r="B530" s="144" t="str">
        <f>IF(ISBLANK(DaqBook_RAW_Data!Q520),IF(DaqBook_RAW_Data!A520="","",TIMEVALUE(DaqBook_RAW_Data!A520)),TIMEVALUE(DaqBook_RAW_Data!Q520))</f>
        <v/>
      </c>
      <c r="C530" s="167" t="str">
        <f>IF(ISBLANK(DaqBook_RAW_Data!R520),"",DaqBook_RAW_Data!R520)</f>
        <v/>
      </c>
      <c r="D530" s="167" t="str">
        <f>IF(ISBLANK(DaqBook_RAW_Data!S520),"",DaqBook_RAW_Data!S520)</f>
        <v/>
      </c>
      <c r="E530" s="167" t="str">
        <f>IF(ISBLANK(DaqBook_RAW_Data!T520),"",DaqBook_RAW_Data!T520)</f>
        <v/>
      </c>
      <c r="F530" s="167" t="str">
        <f>IF(ISBLANK(DaqBook_RAW_Data!U520),"",DaqBook_RAW_Data!U520)</f>
        <v/>
      </c>
      <c r="G530" s="167" t="str">
        <f>IF(ISBLANK(DaqBook_RAW_Data!V520),"",DaqBook_RAW_Data!V520)</f>
        <v/>
      </c>
      <c r="H530" s="167" t="str">
        <f>IF(ISBLANK(DaqBook_RAW_Data!W520),"",DaqBook_RAW_Data!W520)</f>
        <v/>
      </c>
      <c r="I530" s="167" t="str">
        <f>IF(ISBLANK(DaqBook_RAW_Data!X520),"",DaqBook_RAW_Data!X520)</f>
        <v/>
      </c>
      <c r="J530" s="167" t="str">
        <f>IF(ISBLANK(DaqBook_RAW_Data!Y520),"",DaqBook_RAW_Data!Y520)</f>
        <v/>
      </c>
      <c r="K530" s="167" t="str">
        <f>IF(ISBLANK(DaqBook_RAW_Data!Z520),"",DaqBook_RAW_Data!Z520)</f>
        <v/>
      </c>
      <c r="L530" s="167" t="str">
        <f>IF(ISBLANK(DaqBook_RAW_Data!AA520),"",DaqBook_RAW_Data!AA520)</f>
        <v/>
      </c>
      <c r="M530" s="167" t="str">
        <f>IF(ISBLANK(DaqBook_RAW_Data!AB520),"",DaqBook_RAW_Data!AB520)</f>
        <v/>
      </c>
      <c r="N530" s="167" t="str">
        <f>IF(ISBLANK(DaqBook_RAW_Data!AC520),"",DaqBook_RAW_Data!AC520)</f>
        <v/>
      </c>
      <c r="O530" s="167" t="str">
        <f>IF(ISBLANK(DaqBook_RAW_Data!AD520),"",DaqBook_RAW_Data!AD520)</f>
        <v/>
      </c>
      <c r="P530" s="167" t="str">
        <f>IF(ISBLANK(DaqBook_RAW_Data!AE520),"",DaqBook_RAW_Data!AE520)</f>
        <v/>
      </c>
    </row>
    <row r="531" spans="1:16" x14ac:dyDescent="0.2">
      <c r="A531" s="58" t="e">
        <f t="shared" si="8"/>
        <v>#VALUE!</v>
      </c>
      <c r="B531" s="144" t="str">
        <f>IF(ISBLANK(DaqBook_RAW_Data!Q521),IF(DaqBook_RAW_Data!A521="","",TIMEVALUE(DaqBook_RAW_Data!A521)),TIMEVALUE(DaqBook_RAW_Data!Q521))</f>
        <v/>
      </c>
      <c r="C531" s="167" t="str">
        <f>IF(ISBLANK(DaqBook_RAW_Data!R521),"",DaqBook_RAW_Data!R521)</f>
        <v/>
      </c>
      <c r="D531" s="167" t="str">
        <f>IF(ISBLANK(DaqBook_RAW_Data!S521),"",DaqBook_RAW_Data!S521)</f>
        <v/>
      </c>
      <c r="E531" s="167" t="str">
        <f>IF(ISBLANK(DaqBook_RAW_Data!T521),"",DaqBook_RAW_Data!T521)</f>
        <v/>
      </c>
      <c r="F531" s="167" t="str">
        <f>IF(ISBLANK(DaqBook_RAW_Data!U521),"",DaqBook_RAW_Data!U521)</f>
        <v/>
      </c>
      <c r="G531" s="167" t="str">
        <f>IF(ISBLANK(DaqBook_RAW_Data!V521),"",DaqBook_RAW_Data!V521)</f>
        <v/>
      </c>
      <c r="H531" s="167" t="str">
        <f>IF(ISBLANK(DaqBook_RAW_Data!W521),"",DaqBook_RAW_Data!W521)</f>
        <v/>
      </c>
      <c r="I531" s="167" t="str">
        <f>IF(ISBLANK(DaqBook_RAW_Data!X521),"",DaqBook_RAW_Data!X521)</f>
        <v/>
      </c>
      <c r="J531" s="167" t="str">
        <f>IF(ISBLANK(DaqBook_RAW_Data!Y521),"",DaqBook_RAW_Data!Y521)</f>
        <v/>
      </c>
      <c r="K531" s="167" t="str">
        <f>IF(ISBLANK(DaqBook_RAW_Data!Z521),"",DaqBook_RAW_Data!Z521)</f>
        <v/>
      </c>
      <c r="L531" s="167" t="str">
        <f>IF(ISBLANK(DaqBook_RAW_Data!AA521),"",DaqBook_RAW_Data!AA521)</f>
        <v/>
      </c>
      <c r="M531" s="167" t="str">
        <f>IF(ISBLANK(DaqBook_RAW_Data!AB521),"",DaqBook_RAW_Data!AB521)</f>
        <v/>
      </c>
      <c r="N531" s="167" t="str">
        <f>IF(ISBLANK(DaqBook_RAW_Data!AC521),"",DaqBook_RAW_Data!AC521)</f>
        <v/>
      </c>
      <c r="O531" s="167" t="str">
        <f>IF(ISBLANK(DaqBook_RAW_Data!AD521),"",DaqBook_RAW_Data!AD521)</f>
        <v/>
      </c>
      <c r="P531" s="167" t="str">
        <f>IF(ISBLANK(DaqBook_RAW_Data!AE521),"",DaqBook_RAW_Data!AE521)</f>
        <v/>
      </c>
    </row>
    <row r="532" spans="1:16" x14ac:dyDescent="0.2">
      <c r="A532" s="58" t="e">
        <f t="shared" si="8"/>
        <v>#VALUE!</v>
      </c>
      <c r="B532" s="144" t="str">
        <f>IF(ISBLANK(DaqBook_RAW_Data!Q522),IF(DaqBook_RAW_Data!A522="","",TIMEVALUE(DaqBook_RAW_Data!A522)),TIMEVALUE(DaqBook_RAW_Data!Q522))</f>
        <v/>
      </c>
      <c r="C532" s="167" t="str">
        <f>IF(ISBLANK(DaqBook_RAW_Data!R522),"",DaqBook_RAW_Data!R522)</f>
        <v/>
      </c>
      <c r="D532" s="167" t="str">
        <f>IF(ISBLANK(DaqBook_RAW_Data!S522),"",DaqBook_RAW_Data!S522)</f>
        <v/>
      </c>
      <c r="E532" s="167" t="str">
        <f>IF(ISBLANK(DaqBook_RAW_Data!T522),"",DaqBook_RAW_Data!T522)</f>
        <v/>
      </c>
      <c r="F532" s="167" t="str">
        <f>IF(ISBLANK(DaqBook_RAW_Data!U522),"",DaqBook_RAW_Data!U522)</f>
        <v/>
      </c>
      <c r="G532" s="167" t="str">
        <f>IF(ISBLANK(DaqBook_RAW_Data!V522),"",DaqBook_RAW_Data!V522)</f>
        <v/>
      </c>
      <c r="H532" s="167" t="str">
        <f>IF(ISBLANK(DaqBook_RAW_Data!W522),"",DaqBook_RAW_Data!W522)</f>
        <v/>
      </c>
      <c r="I532" s="167" t="str">
        <f>IF(ISBLANK(DaqBook_RAW_Data!X522),"",DaqBook_RAW_Data!X522)</f>
        <v/>
      </c>
      <c r="J532" s="167" t="str">
        <f>IF(ISBLANK(DaqBook_RAW_Data!Y522),"",DaqBook_RAW_Data!Y522)</f>
        <v/>
      </c>
      <c r="K532" s="167" t="str">
        <f>IF(ISBLANK(DaqBook_RAW_Data!Z522),"",DaqBook_RAW_Data!Z522)</f>
        <v/>
      </c>
      <c r="L532" s="167" t="str">
        <f>IF(ISBLANK(DaqBook_RAW_Data!AA522),"",DaqBook_RAW_Data!AA522)</f>
        <v/>
      </c>
      <c r="M532" s="167" t="str">
        <f>IF(ISBLANK(DaqBook_RAW_Data!AB522),"",DaqBook_RAW_Data!AB522)</f>
        <v/>
      </c>
      <c r="N532" s="167" t="str">
        <f>IF(ISBLANK(DaqBook_RAW_Data!AC522),"",DaqBook_RAW_Data!AC522)</f>
        <v/>
      </c>
      <c r="O532" s="167" t="str">
        <f>IF(ISBLANK(DaqBook_RAW_Data!AD522),"",DaqBook_RAW_Data!AD522)</f>
        <v/>
      </c>
      <c r="P532" s="167" t="str">
        <f>IF(ISBLANK(DaqBook_RAW_Data!AE522),"",DaqBook_RAW_Data!AE522)</f>
        <v/>
      </c>
    </row>
    <row r="533" spans="1:16" x14ac:dyDescent="0.2">
      <c r="A533" s="58" t="e">
        <f t="shared" si="8"/>
        <v>#VALUE!</v>
      </c>
      <c r="B533" s="144" t="str">
        <f>IF(ISBLANK(DaqBook_RAW_Data!Q523),IF(DaqBook_RAW_Data!A523="","",TIMEVALUE(DaqBook_RAW_Data!A523)),TIMEVALUE(DaqBook_RAW_Data!Q523))</f>
        <v/>
      </c>
      <c r="C533" s="167" t="str">
        <f>IF(ISBLANK(DaqBook_RAW_Data!R523),"",DaqBook_RAW_Data!R523)</f>
        <v/>
      </c>
      <c r="D533" s="167" t="str">
        <f>IF(ISBLANK(DaqBook_RAW_Data!S523),"",DaqBook_RAW_Data!S523)</f>
        <v/>
      </c>
      <c r="E533" s="167" t="str">
        <f>IF(ISBLANK(DaqBook_RAW_Data!T523),"",DaqBook_RAW_Data!T523)</f>
        <v/>
      </c>
      <c r="F533" s="167" t="str">
        <f>IF(ISBLANK(DaqBook_RAW_Data!U523),"",DaqBook_RAW_Data!U523)</f>
        <v/>
      </c>
      <c r="G533" s="167" t="str">
        <f>IF(ISBLANK(DaqBook_RAW_Data!V523),"",DaqBook_RAW_Data!V523)</f>
        <v/>
      </c>
      <c r="H533" s="167" t="str">
        <f>IF(ISBLANK(DaqBook_RAW_Data!W523),"",DaqBook_RAW_Data!W523)</f>
        <v/>
      </c>
      <c r="I533" s="167" t="str">
        <f>IF(ISBLANK(DaqBook_RAW_Data!X523),"",DaqBook_RAW_Data!X523)</f>
        <v/>
      </c>
      <c r="J533" s="167" t="str">
        <f>IF(ISBLANK(DaqBook_RAW_Data!Y523),"",DaqBook_RAW_Data!Y523)</f>
        <v/>
      </c>
      <c r="K533" s="167" t="str">
        <f>IF(ISBLANK(DaqBook_RAW_Data!Z523),"",DaqBook_RAW_Data!Z523)</f>
        <v/>
      </c>
      <c r="L533" s="167" t="str">
        <f>IF(ISBLANK(DaqBook_RAW_Data!AA523),"",DaqBook_RAW_Data!AA523)</f>
        <v/>
      </c>
      <c r="M533" s="167" t="str">
        <f>IF(ISBLANK(DaqBook_RAW_Data!AB523),"",DaqBook_RAW_Data!AB523)</f>
        <v/>
      </c>
      <c r="N533" s="167" t="str">
        <f>IF(ISBLANK(DaqBook_RAW_Data!AC523),"",DaqBook_RAW_Data!AC523)</f>
        <v/>
      </c>
      <c r="O533" s="167" t="str">
        <f>IF(ISBLANK(DaqBook_RAW_Data!AD523),"",DaqBook_RAW_Data!AD523)</f>
        <v/>
      </c>
      <c r="P533" s="167" t="str">
        <f>IF(ISBLANK(DaqBook_RAW_Data!AE523),"",DaqBook_RAW_Data!AE523)</f>
        <v/>
      </c>
    </row>
    <row r="534" spans="1:16" x14ac:dyDescent="0.2">
      <c r="A534" s="58" t="e">
        <f t="shared" si="8"/>
        <v>#VALUE!</v>
      </c>
      <c r="B534" s="144" t="str">
        <f>IF(ISBLANK(DaqBook_RAW_Data!Q524),IF(DaqBook_RAW_Data!A524="","",TIMEVALUE(DaqBook_RAW_Data!A524)),TIMEVALUE(DaqBook_RAW_Data!Q524))</f>
        <v/>
      </c>
      <c r="C534" s="167" t="str">
        <f>IF(ISBLANK(DaqBook_RAW_Data!R524),"",DaqBook_RAW_Data!R524)</f>
        <v/>
      </c>
      <c r="D534" s="167" t="str">
        <f>IF(ISBLANK(DaqBook_RAW_Data!S524),"",DaqBook_RAW_Data!S524)</f>
        <v/>
      </c>
      <c r="E534" s="167" t="str">
        <f>IF(ISBLANK(DaqBook_RAW_Data!T524),"",DaqBook_RAW_Data!T524)</f>
        <v/>
      </c>
      <c r="F534" s="167" t="str">
        <f>IF(ISBLANK(DaqBook_RAW_Data!U524),"",DaqBook_RAW_Data!U524)</f>
        <v/>
      </c>
      <c r="G534" s="167" t="str">
        <f>IF(ISBLANK(DaqBook_RAW_Data!V524),"",DaqBook_RAW_Data!V524)</f>
        <v/>
      </c>
      <c r="H534" s="167" t="str">
        <f>IF(ISBLANK(DaqBook_RAW_Data!W524),"",DaqBook_RAW_Data!W524)</f>
        <v/>
      </c>
      <c r="I534" s="167" t="str">
        <f>IF(ISBLANK(DaqBook_RAW_Data!X524),"",DaqBook_RAW_Data!X524)</f>
        <v/>
      </c>
      <c r="J534" s="167" t="str">
        <f>IF(ISBLANK(DaqBook_RAW_Data!Y524),"",DaqBook_RAW_Data!Y524)</f>
        <v/>
      </c>
      <c r="K534" s="167" t="str">
        <f>IF(ISBLANK(DaqBook_RAW_Data!Z524),"",DaqBook_RAW_Data!Z524)</f>
        <v/>
      </c>
      <c r="L534" s="167" t="str">
        <f>IF(ISBLANK(DaqBook_RAW_Data!AA524),"",DaqBook_RAW_Data!AA524)</f>
        <v/>
      </c>
      <c r="M534" s="167" t="str">
        <f>IF(ISBLANK(DaqBook_RAW_Data!AB524),"",DaqBook_RAW_Data!AB524)</f>
        <v/>
      </c>
      <c r="N534" s="167" t="str">
        <f>IF(ISBLANK(DaqBook_RAW_Data!AC524),"",DaqBook_RAW_Data!AC524)</f>
        <v/>
      </c>
      <c r="O534" s="167" t="str">
        <f>IF(ISBLANK(DaqBook_RAW_Data!AD524),"",DaqBook_RAW_Data!AD524)</f>
        <v/>
      </c>
      <c r="P534" s="167" t="str">
        <f>IF(ISBLANK(DaqBook_RAW_Data!AE524),"",DaqBook_RAW_Data!AE524)</f>
        <v/>
      </c>
    </row>
    <row r="535" spans="1:16" x14ac:dyDescent="0.2">
      <c r="A535" s="58" t="e">
        <f t="shared" si="8"/>
        <v>#VALUE!</v>
      </c>
      <c r="B535" s="144" t="str">
        <f>IF(ISBLANK(DaqBook_RAW_Data!Q525),IF(DaqBook_RAW_Data!A525="","",TIMEVALUE(DaqBook_RAW_Data!A525)),TIMEVALUE(DaqBook_RAW_Data!Q525))</f>
        <v/>
      </c>
      <c r="C535" s="167" t="str">
        <f>IF(ISBLANK(DaqBook_RAW_Data!R525),"",DaqBook_RAW_Data!R525)</f>
        <v/>
      </c>
      <c r="D535" s="167" t="str">
        <f>IF(ISBLANK(DaqBook_RAW_Data!S525),"",DaqBook_RAW_Data!S525)</f>
        <v/>
      </c>
      <c r="E535" s="167" t="str">
        <f>IF(ISBLANK(DaqBook_RAW_Data!T525),"",DaqBook_RAW_Data!T525)</f>
        <v/>
      </c>
      <c r="F535" s="167" t="str">
        <f>IF(ISBLANK(DaqBook_RAW_Data!U525),"",DaqBook_RAW_Data!U525)</f>
        <v/>
      </c>
      <c r="G535" s="167" t="str">
        <f>IF(ISBLANK(DaqBook_RAW_Data!V525),"",DaqBook_RAW_Data!V525)</f>
        <v/>
      </c>
      <c r="H535" s="167" t="str">
        <f>IF(ISBLANK(DaqBook_RAW_Data!W525),"",DaqBook_RAW_Data!W525)</f>
        <v/>
      </c>
      <c r="I535" s="167" t="str">
        <f>IF(ISBLANK(DaqBook_RAW_Data!X525),"",DaqBook_RAW_Data!X525)</f>
        <v/>
      </c>
      <c r="J535" s="167" t="str">
        <f>IF(ISBLANK(DaqBook_RAW_Data!Y525),"",DaqBook_RAW_Data!Y525)</f>
        <v/>
      </c>
      <c r="K535" s="167" t="str">
        <f>IF(ISBLANK(DaqBook_RAW_Data!Z525),"",DaqBook_RAW_Data!Z525)</f>
        <v/>
      </c>
      <c r="L535" s="167" t="str">
        <f>IF(ISBLANK(DaqBook_RAW_Data!AA525),"",DaqBook_RAW_Data!AA525)</f>
        <v/>
      </c>
      <c r="M535" s="167" t="str">
        <f>IF(ISBLANK(DaqBook_RAW_Data!AB525),"",DaqBook_RAW_Data!AB525)</f>
        <v/>
      </c>
      <c r="N535" s="167" t="str">
        <f>IF(ISBLANK(DaqBook_RAW_Data!AC525),"",DaqBook_RAW_Data!AC525)</f>
        <v/>
      </c>
      <c r="O535" s="167" t="str">
        <f>IF(ISBLANK(DaqBook_RAW_Data!AD525),"",DaqBook_RAW_Data!AD525)</f>
        <v/>
      </c>
      <c r="P535" s="167" t="str">
        <f>IF(ISBLANK(DaqBook_RAW_Data!AE525),"",DaqBook_RAW_Data!AE525)</f>
        <v/>
      </c>
    </row>
    <row r="536" spans="1:16" x14ac:dyDescent="0.2">
      <c r="A536" s="58" t="e">
        <f t="shared" si="8"/>
        <v>#VALUE!</v>
      </c>
      <c r="B536" s="144" t="str">
        <f>IF(ISBLANK(DaqBook_RAW_Data!Q526),IF(DaqBook_RAW_Data!A526="","",TIMEVALUE(DaqBook_RAW_Data!A526)),TIMEVALUE(DaqBook_RAW_Data!Q526))</f>
        <v/>
      </c>
      <c r="C536" s="167" t="str">
        <f>IF(ISBLANK(DaqBook_RAW_Data!R526),"",DaqBook_RAW_Data!R526)</f>
        <v/>
      </c>
      <c r="D536" s="167" t="str">
        <f>IF(ISBLANK(DaqBook_RAW_Data!S526),"",DaqBook_RAW_Data!S526)</f>
        <v/>
      </c>
      <c r="E536" s="167" t="str">
        <f>IF(ISBLANK(DaqBook_RAW_Data!T526),"",DaqBook_RAW_Data!T526)</f>
        <v/>
      </c>
      <c r="F536" s="167" t="str">
        <f>IF(ISBLANK(DaqBook_RAW_Data!U526),"",DaqBook_RAW_Data!U526)</f>
        <v/>
      </c>
      <c r="G536" s="167" t="str">
        <f>IF(ISBLANK(DaqBook_RAW_Data!V526),"",DaqBook_RAW_Data!V526)</f>
        <v/>
      </c>
      <c r="H536" s="167" t="str">
        <f>IF(ISBLANK(DaqBook_RAW_Data!W526),"",DaqBook_RAW_Data!W526)</f>
        <v/>
      </c>
      <c r="I536" s="167" t="str">
        <f>IF(ISBLANK(DaqBook_RAW_Data!X526),"",DaqBook_RAW_Data!X526)</f>
        <v/>
      </c>
      <c r="J536" s="167" t="str">
        <f>IF(ISBLANK(DaqBook_RAW_Data!Y526),"",DaqBook_RAW_Data!Y526)</f>
        <v/>
      </c>
      <c r="K536" s="167" t="str">
        <f>IF(ISBLANK(DaqBook_RAW_Data!Z526),"",DaqBook_RAW_Data!Z526)</f>
        <v/>
      </c>
      <c r="L536" s="167" t="str">
        <f>IF(ISBLANK(DaqBook_RAW_Data!AA526),"",DaqBook_RAW_Data!AA526)</f>
        <v/>
      </c>
      <c r="M536" s="167" t="str">
        <f>IF(ISBLANK(DaqBook_RAW_Data!AB526),"",DaqBook_RAW_Data!AB526)</f>
        <v/>
      </c>
      <c r="N536" s="167" t="str">
        <f>IF(ISBLANK(DaqBook_RAW_Data!AC526),"",DaqBook_RAW_Data!AC526)</f>
        <v/>
      </c>
      <c r="O536" s="167" t="str">
        <f>IF(ISBLANK(DaqBook_RAW_Data!AD526),"",DaqBook_RAW_Data!AD526)</f>
        <v/>
      </c>
      <c r="P536" s="167" t="str">
        <f>IF(ISBLANK(DaqBook_RAW_Data!AE526),"",DaqBook_RAW_Data!AE526)</f>
        <v/>
      </c>
    </row>
    <row r="537" spans="1:16" x14ac:dyDescent="0.2">
      <c r="A537" s="58" t="e">
        <f t="shared" si="8"/>
        <v>#VALUE!</v>
      </c>
      <c r="B537" s="144" t="str">
        <f>IF(ISBLANK(DaqBook_RAW_Data!Q527),IF(DaqBook_RAW_Data!A527="","",TIMEVALUE(DaqBook_RAW_Data!A527)),TIMEVALUE(DaqBook_RAW_Data!Q527))</f>
        <v/>
      </c>
      <c r="C537" s="167" t="str">
        <f>IF(ISBLANK(DaqBook_RAW_Data!R527),"",DaqBook_RAW_Data!R527)</f>
        <v/>
      </c>
      <c r="D537" s="167" t="str">
        <f>IF(ISBLANK(DaqBook_RAW_Data!S527),"",DaqBook_RAW_Data!S527)</f>
        <v/>
      </c>
      <c r="E537" s="167" t="str">
        <f>IF(ISBLANK(DaqBook_RAW_Data!T527),"",DaqBook_RAW_Data!T527)</f>
        <v/>
      </c>
      <c r="F537" s="167" t="str">
        <f>IF(ISBLANK(DaqBook_RAW_Data!U527),"",DaqBook_RAW_Data!U527)</f>
        <v/>
      </c>
      <c r="G537" s="167" t="str">
        <f>IF(ISBLANK(DaqBook_RAW_Data!V527),"",DaqBook_RAW_Data!V527)</f>
        <v/>
      </c>
      <c r="H537" s="167" t="str">
        <f>IF(ISBLANK(DaqBook_RAW_Data!W527),"",DaqBook_RAW_Data!W527)</f>
        <v/>
      </c>
      <c r="I537" s="167" t="str">
        <f>IF(ISBLANK(DaqBook_RAW_Data!X527),"",DaqBook_RAW_Data!X527)</f>
        <v/>
      </c>
      <c r="J537" s="167" t="str">
        <f>IF(ISBLANK(DaqBook_RAW_Data!Y527),"",DaqBook_RAW_Data!Y527)</f>
        <v/>
      </c>
      <c r="K537" s="167" t="str">
        <f>IF(ISBLANK(DaqBook_RAW_Data!Z527),"",DaqBook_RAW_Data!Z527)</f>
        <v/>
      </c>
      <c r="L537" s="167" t="str">
        <f>IF(ISBLANK(DaqBook_RAW_Data!AA527),"",DaqBook_RAW_Data!AA527)</f>
        <v/>
      </c>
      <c r="M537" s="167" t="str">
        <f>IF(ISBLANK(DaqBook_RAW_Data!AB527),"",DaqBook_RAW_Data!AB527)</f>
        <v/>
      </c>
      <c r="N537" s="167" t="str">
        <f>IF(ISBLANK(DaqBook_RAW_Data!AC527),"",DaqBook_RAW_Data!AC527)</f>
        <v/>
      </c>
      <c r="O537" s="167" t="str">
        <f>IF(ISBLANK(DaqBook_RAW_Data!AD527),"",DaqBook_RAW_Data!AD527)</f>
        <v/>
      </c>
      <c r="P537" s="167" t="str">
        <f>IF(ISBLANK(DaqBook_RAW_Data!AE527),"",DaqBook_RAW_Data!AE527)</f>
        <v/>
      </c>
    </row>
    <row r="538" spans="1:16" x14ac:dyDescent="0.2">
      <c r="A538" s="58" t="e">
        <f t="shared" si="8"/>
        <v>#VALUE!</v>
      </c>
      <c r="B538" s="144" t="str">
        <f>IF(ISBLANK(DaqBook_RAW_Data!Q528),IF(DaqBook_RAW_Data!A528="","",TIMEVALUE(DaqBook_RAW_Data!A528)),TIMEVALUE(DaqBook_RAW_Data!Q528))</f>
        <v/>
      </c>
      <c r="C538" s="167" t="str">
        <f>IF(ISBLANK(DaqBook_RAW_Data!R528),"",DaqBook_RAW_Data!R528)</f>
        <v/>
      </c>
      <c r="D538" s="167" t="str">
        <f>IF(ISBLANK(DaqBook_RAW_Data!S528),"",DaqBook_RAW_Data!S528)</f>
        <v/>
      </c>
      <c r="E538" s="167" t="str">
        <f>IF(ISBLANK(DaqBook_RAW_Data!T528),"",DaqBook_RAW_Data!T528)</f>
        <v/>
      </c>
      <c r="F538" s="167" t="str">
        <f>IF(ISBLANK(DaqBook_RAW_Data!U528),"",DaqBook_RAW_Data!U528)</f>
        <v/>
      </c>
      <c r="G538" s="167" t="str">
        <f>IF(ISBLANK(DaqBook_RAW_Data!V528),"",DaqBook_RAW_Data!V528)</f>
        <v/>
      </c>
      <c r="H538" s="167" t="str">
        <f>IF(ISBLANK(DaqBook_RAW_Data!W528),"",DaqBook_RAW_Data!W528)</f>
        <v/>
      </c>
      <c r="I538" s="167" t="str">
        <f>IF(ISBLANK(DaqBook_RAW_Data!X528),"",DaqBook_RAW_Data!X528)</f>
        <v/>
      </c>
      <c r="J538" s="167" t="str">
        <f>IF(ISBLANK(DaqBook_RAW_Data!Y528),"",DaqBook_RAW_Data!Y528)</f>
        <v/>
      </c>
      <c r="K538" s="167" t="str">
        <f>IF(ISBLANK(DaqBook_RAW_Data!Z528),"",DaqBook_RAW_Data!Z528)</f>
        <v/>
      </c>
      <c r="L538" s="167" t="str">
        <f>IF(ISBLANK(DaqBook_RAW_Data!AA528),"",DaqBook_RAW_Data!AA528)</f>
        <v/>
      </c>
      <c r="M538" s="167" t="str">
        <f>IF(ISBLANK(DaqBook_RAW_Data!AB528),"",DaqBook_RAW_Data!AB528)</f>
        <v/>
      </c>
      <c r="N538" s="167" t="str">
        <f>IF(ISBLANK(DaqBook_RAW_Data!AC528),"",DaqBook_RAW_Data!AC528)</f>
        <v/>
      </c>
      <c r="O538" s="167" t="str">
        <f>IF(ISBLANK(DaqBook_RAW_Data!AD528),"",DaqBook_RAW_Data!AD528)</f>
        <v/>
      </c>
      <c r="P538" s="167" t="str">
        <f>IF(ISBLANK(DaqBook_RAW_Data!AE528),"",DaqBook_RAW_Data!AE528)</f>
        <v/>
      </c>
    </row>
    <row r="539" spans="1:16" x14ac:dyDescent="0.2">
      <c r="A539" s="58" t="e">
        <f t="shared" si="8"/>
        <v>#VALUE!</v>
      </c>
      <c r="B539" s="144" t="str">
        <f>IF(ISBLANK(DaqBook_RAW_Data!Q529),IF(DaqBook_RAW_Data!A529="","",TIMEVALUE(DaqBook_RAW_Data!A529)),TIMEVALUE(DaqBook_RAW_Data!Q529))</f>
        <v/>
      </c>
      <c r="C539" s="167" t="str">
        <f>IF(ISBLANK(DaqBook_RAW_Data!R529),"",DaqBook_RAW_Data!R529)</f>
        <v/>
      </c>
      <c r="D539" s="167" t="str">
        <f>IF(ISBLANK(DaqBook_RAW_Data!S529),"",DaqBook_RAW_Data!S529)</f>
        <v/>
      </c>
      <c r="E539" s="167" t="str">
        <f>IF(ISBLANK(DaqBook_RAW_Data!T529),"",DaqBook_RAW_Data!T529)</f>
        <v/>
      </c>
      <c r="F539" s="167" t="str">
        <f>IF(ISBLANK(DaqBook_RAW_Data!U529),"",DaqBook_RAW_Data!U529)</f>
        <v/>
      </c>
      <c r="G539" s="167" t="str">
        <f>IF(ISBLANK(DaqBook_RAW_Data!V529),"",DaqBook_RAW_Data!V529)</f>
        <v/>
      </c>
      <c r="H539" s="167" t="str">
        <f>IF(ISBLANK(DaqBook_RAW_Data!W529),"",DaqBook_RAW_Data!W529)</f>
        <v/>
      </c>
      <c r="I539" s="167" t="str">
        <f>IF(ISBLANK(DaqBook_RAW_Data!X529),"",DaqBook_RAW_Data!X529)</f>
        <v/>
      </c>
      <c r="J539" s="167" t="str">
        <f>IF(ISBLANK(DaqBook_RAW_Data!Y529),"",DaqBook_RAW_Data!Y529)</f>
        <v/>
      </c>
      <c r="K539" s="167" t="str">
        <f>IF(ISBLANK(DaqBook_RAW_Data!Z529),"",DaqBook_RAW_Data!Z529)</f>
        <v/>
      </c>
      <c r="L539" s="167" t="str">
        <f>IF(ISBLANK(DaqBook_RAW_Data!AA529),"",DaqBook_RAW_Data!AA529)</f>
        <v/>
      </c>
      <c r="M539" s="167" t="str">
        <f>IF(ISBLANK(DaqBook_RAW_Data!AB529),"",DaqBook_RAW_Data!AB529)</f>
        <v/>
      </c>
      <c r="N539" s="167" t="str">
        <f>IF(ISBLANK(DaqBook_RAW_Data!AC529),"",DaqBook_RAW_Data!AC529)</f>
        <v/>
      </c>
      <c r="O539" s="167" t="str">
        <f>IF(ISBLANK(DaqBook_RAW_Data!AD529),"",DaqBook_RAW_Data!AD529)</f>
        <v/>
      </c>
      <c r="P539" s="167" t="str">
        <f>IF(ISBLANK(DaqBook_RAW_Data!AE529),"",DaqBook_RAW_Data!AE529)</f>
        <v/>
      </c>
    </row>
    <row r="540" spans="1:16" x14ac:dyDescent="0.2">
      <c r="A540" s="58" t="e">
        <f t="shared" si="8"/>
        <v>#VALUE!</v>
      </c>
      <c r="B540" s="144" t="str">
        <f>IF(ISBLANK(DaqBook_RAW_Data!Q530),IF(DaqBook_RAW_Data!A530="","",TIMEVALUE(DaqBook_RAW_Data!A530)),TIMEVALUE(DaqBook_RAW_Data!Q530))</f>
        <v/>
      </c>
      <c r="C540" s="167" t="str">
        <f>IF(ISBLANK(DaqBook_RAW_Data!R530),"",DaqBook_RAW_Data!R530)</f>
        <v/>
      </c>
      <c r="D540" s="167" t="str">
        <f>IF(ISBLANK(DaqBook_RAW_Data!S530),"",DaqBook_RAW_Data!S530)</f>
        <v/>
      </c>
      <c r="E540" s="167" t="str">
        <f>IF(ISBLANK(DaqBook_RAW_Data!T530),"",DaqBook_RAW_Data!T530)</f>
        <v/>
      </c>
      <c r="F540" s="167" t="str">
        <f>IF(ISBLANK(DaqBook_RAW_Data!U530),"",DaqBook_RAW_Data!U530)</f>
        <v/>
      </c>
      <c r="G540" s="167" t="str">
        <f>IF(ISBLANK(DaqBook_RAW_Data!V530),"",DaqBook_RAW_Data!V530)</f>
        <v/>
      </c>
      <c r="H540" s="167" t="str">
        <f>IF(ISBLANK(DaqBook_RAW_Data!W530),"",DaqBook_RAW_Data!W530)</f>
        <v/>
      </c>
      <c r="I540" s="167" t="str">
        <f>IF(ISBLANK(DaqBook_RAW_Data!X530),"",DaqBook_RAW_Data!X530)</f>
        <v/>
      </c>
      <c r="J540" s="167" t="str">
        <f>IF(ISBLANK(DaqBook_RAW_Data!Y530),"",DaqBook_RAW_Data!Y530)</f>
        <v/>
      </c>
      <c r="K540" s="167" t="str">
        <f>IF(ISBLANK(DaqBook_RAW_Data!Z530),"",DaqBook_RAW_Data!Z530)</f>
        <v/>
      </c>
      <c r="L540" s="167" t="str">
        <f>IF(ISBLANK(DaqBook_RAW_Data!AA530),"",DaqBook_RAW_Data!AA530)</f>
        <v/>
      </c>
      <c r="M540" s="167" t="str">
        <f>IF(ISBLANK(DaqBook_RAW_Data!AB530),"",DaqBook_RAW_Data!AB530)</f>
        <v/>
      </c>
      <c r="N540" s="167" t="str">
        <f>IF(ISBLANK(DaqBook_RAW_Data!AC530),"",DaqBook_RAW_Data!AC530)</f>
        <v/>
      </c>
      <c r="O540" s="167" t="str">
        <f>IF(ISBLANK(DaqBook_RAW_Data!AD530),"",DaqBook_RAW_Data!AD530)</f>
        <v/>
      </c>
      <c r="P540" s="167" t="str">
        <f>IF(ISBLANK(DaqBook_RAW_Data!AE530),"",DaqBook_RAW_Data!AE530)</f>
        <v/>
      </c>
    </row>
    <row r="541" spans="1:16" x14ac:dyDescent="0.2">
      <c r="A541" s="58" t="e">
        <f t="shared" si="8"/>
        <v>#VALUE!</v>
      </c>
      <c r="B541" s="144" t="str">
        <f>IF(ISBLANK(DaqBook_RAW_Data!Q531),IF(DaqBook_RAW_Data!A531="","",TIMEVALUE(DaqBook_RAW_Data!A531)),TIMEVALUE(DaqBook_RAW_Data!Q531))</f>
        <v/>
      </c>
      <c r="C541" s="167" t="str">
        <f>IF(ISBLANK(DaqBook_RAW_Data!R531),"",DaqBook_RAW_Data!R531)</f>
        <v/>
      </c>
      <c r="D541" s="167" t="str">
        <f>IF(ISBLANK(DaqBook_RAW_Data!S531),"",DaqBook_RAW_Data!S531)</f>
        <v/>
      </c>
      <c r="E541" s="167" t="str">
        <f>IF(ISBLANK(DaqBook_RAW_Data!T531),"",DaqBook_RAW_Data!T531)</f>
        <v/>
      </c>
      <c r="F541" s="167" t="str">
        <f>IF(ISBLANK(DaqBook_RAW_Data!U531),"",DaqBook_RAW_Data!U531)</f>
        <v/>
      </c>
      <c r="G541" s="167" t="str">
        <f>IF(ISBLANK(DaqBook_RAW_Data!V531),"",DaqBook_RAW_Data!V531)</f>
        <v/>
      </c>
      <c r="H541" s="167" t="str">
        <f>IF(ISBLANK(DaqBook_RAW_Data!W531),"",DaqBook_RAW_Data!W531)</f>
        <v/>
      </c>
      <c r="I541" s="167" t="str">
        <f>IF(ISBLANK(DaqBook_RAW_Data!X531),"",DaqBook_RAW_Data!X531)</f>
        <v/>
      </c>
      <c r="J541" s="167" t="str">
        <f>IF(ISBLANK(DaqBook_RAW_Data!Y531),"",DaqBook_RAW_Data!Y531)</f>
        <v/>
      </c>
      <c r="K541" s="167" t="str">
        <f>IF(ISBLANK(DaqBook_RAW_Data!Z531),"",DaqBook_RAW_Data!Z531)</f>
        <v/>
      </c>
      <c r="L541" s="167" t="str">
        <f>IF(ISBLANK(DaqBook_RAW_Data!AA531),"",DaqBook_RAW_Data!AA531)</f>
        <v/>
      </c>
      <c r="M541" s="167" t="str">
        <f>IF(ISBLANK(DaqBook_RAW_Data!AB531),"",DaqBook_RAW_Data!AB531)</f>
        <v/>
      </c>
      <c r="N541" s="167" t="str">
        <f>IF(ISBLANK(DaqBook_RAW_Data!AC531),"",DaqBook_RAW_Data!AC531)</f>
        <v/>
      </c>
      <c r="O541" s="167" t="str">
        <f>IF(ISBLANK(DaqBook_RAW_Data!AD531),"",DaqBook_RAW_Data!AD531)</f>
        <v/>
      </c>
      <c r="P541" s="167" t="str">
        <f>IF(ISBLANK(DaqBook_RAW_Data!AE531),"",DaqBook_RAW_Data!AE531)</f>
        <v/>
      </c>
    </row>
    <row r="542" spans="1:16" x14ac:dyDescent="0.2">
      <c r="A542" s="58" t="e">
        <f t="shared" si="8"/>
        <v>#VALUE!</v>
      </c>
      <c r="B542" s="144" t="str">
        <f>IF(ISBLANK(DaqBook_RAW_Data!Q532),IF(DaqBook_RAW_Data!A532="","",TIMEVALUE(DaqBook_RAW_Data!A532)),TIMEVALUE(DaqBook_RAW_Data!Q532))</f>
        <v/>
      </c>
      <c r="C542" s="167" t="str">
        <f>IF(ISBLANK(DaqBook_RAW_Data!R532),"",DaqBook_RAW_Data!R532)</f>
        <v/>
      </c>
      <c r="D542" s="167" t="str">
        <f>IF(ISBLANK(DaqBook_RAW_Data!S532),"",DaqBook_RAW_Data!S532)</f>
        <v/>
      </c>
      <c r="E542" s="167" t="str">
        <f>IF(ISBLANK(DaqBook_RAW_Data!T532),"",DaqBook_RAW_Data!T532)</f>
        <v/>
      </c>
      <c r="F542" s="167" t="str">
        <f>IF(ISBLANK(DaqBook_RAW_Data!U532),"",DaqBook_RAW_Data!U532)</f>
        <v/>
      </c>
      <c r="G542" s="167" t="str">
        <f>IF(ISBLANK(DaqBook_RAW_Data!V532),"",DaqBook_RAW_Data!V532)</f>
        <v/>
      </c>
      <c r="H542" s="167" t="str">
        <f>IF(ISBLANK(DaqBook_RAW_Data!W532),"",DaqBook_RAW_Data!W532)</f>
        <v/>
      </c>
      <c r="I542" s="167" t="str">
        <f>IF(ISBLANK(DaqBook_RAW_Data!X532),"",DaqBook_RAW_Data!X532)</f>
        <v/>
      </c>
      <c r="J542" s="167" t="str">
        <f>IF(ISBLANK(DaqBook_RAW_Data!Y532),"",DaqBook_RAW_Data!Y532)</f>
        <v/>
      </c>
      <c r="K542" s="167" t="str">
        <f>IF(ISBLANK(DaqBook_RAW_Data!Z532),"",DaqBook_RAW_Data!Z532)</f>
        <v/>
      </c>
      <c r="L542" s="167" t="str">
        <f>IF(ISBLANK(DaqBook_RAW_Data!AA532),"",DaqBook_RAW_Data!AA532)</f>
        <v/>
      </c>
      <c r="M542" s="167" t="str">
        <f>IF(ISBLANK(DaqBook_RAW_Data!AB532),"",DaqBook_RAW_Data!AB532)</f>
        <v/>
      </c>
      <c r="N542" s="167" t="str">
        <f>IF(ISBLANK(DaqBook_RAW_Data!AC532),"",DaqBook_RAW_Data!AC532)</f>
        <v/>
      </c>
      <c r="O542" s="167" t="str">
        <f>IF(ISBLANK(DaqBook_RAW_Data!AD532),"",DaqBook_RAW_Data!AD532)</f>
        <v/>
      </c>
      <c r="P542" s="167" t="str">
        <f>IF(ISBLANK(DaqBook_RAW_Data!AE532),"",DaqBook_RAW_Data!AE532)</f>
        <v/>
      </c>
    </row>
    <row r="543" spans="1:16" x14ac:dyDescent="0.2">
      <c r="A543" s="58" t="e">
        <f t="shared" si="8"/>
        <v>#VALUE!</v>
      </c>
      <c r="B543" s="144" t="str">
        <f>IF(ISBLANK(DaqBook_RAW_Data!Q533),IF(DaqBook_RAW_Data!A533="","",TIMEVALUE(DaqBook_RAW_Data!A533)),TIMEVALUE(DaqBook_RAW_Data!Q533))</f>
        <v/>
      </c>
      <c r="C543" s="167" t="str">
        <f>IF(ISBLANK(DaqBook_RAW_Data!R533),"",DaqBook_RAW_Data!R533)</f>
        <v/>
      </c>
      <c r="D543" s="167" t="str">
        <f>IF(ISBLANK(DaqBook_RAW_Data!S533),"",DaqBook_RAW_Data!S533)</f>
        <v/>
      </c>
      <c r="E543" s="167" t="str">
        <f>IF(ISBLANK(DaqBook_RAW_Data!T533),"",DaqBook_RAW_Data!T533)</f>
        <v/>
      </c>
      <c r="F543" s="167" t="str">
        <f>IF(ISBLANK(DaqBook_RAW_Data!U533),"",DaqBook_RAW_Data!U533)</f>
        <v/>
      </c>
      <c r="G543" s="167" t="str">
        <f>IF(ISBLANK(DaqBook_RAW_Data!V533),"",DaqBook_RAW_Data!V533)</f>
        <v/>
      </c>
      <c r="H543" s="167" t="str">
        <f>IF(ISBLANK(DaqBook_RAW_Data!W533),"",DaqBook_RAW_Data!W533)</f>
        <v/>
      </c>
      <c r="I543" s="167" t="str">
        <f>IF(ISBLANK(DaqBook_RAW_Data!X533),"",DaqBook_RAW_Data!X533)</f>
        <v/>
      </c>
      <c r="J543" s="167" t="str">
        <f>IF(ISBLANK(DaqBook_RAW_Data!Y533),"",DaqBook_RAW_Data!Y533)</f>
        <v/>
      </c>
      <c r="K543" s="167" t="str">
        <f>IF(ISBLANK(DaqBook_RAW_Data!Z533),"",DaqBook_RAW_Data!Z533)</f>
        <v/>
      </c>
      <c r="L543" s="167" t="str">
        <f>IF(ISBLANK(DaqBook_RAW_Data!AA533),"",DaqBook_RAW_Data!AA533)</f>
        <v/>
      </c>
      <c r="M543" s="167" t="str">
        <f>IF(ISBLANK(DaqBook_RAW_Data!AB533),"",DaqBook_RAW_Data!AB533)</f>
        <v/>
      </c>
      <c r="N543" s="167" t="str">
        <f>IF(ISBLANK(DaqBook_RAW_Data!AC533),"",DaqBook_RAW_Data!AC533)</f>
        <v/>
      </c>
      <c r="O543" s="167" t="str">
        <f>IF(ISBLANK(DaqBook_RAW_Data!AD533),"",DaqBook_RAW_Data!AD533)</f>
        <v/>
      </c>
      <c r="P543" s="167" t="str">
        <f>IF(ISBLANK(DaqBook_RAW_Data!AE533),"",DaqBook_RAW_Data!AE533)</f>
        <v/>
      </c>
    </row>
    <row r="544" spans="1:16" x14ac:dyDescent="0.2">
      <c r="A544" s="58" t="e">
        <f t="shared" si="8"/>
        <v>#VALUE!</v>
      </c>
      <c r="B544" s="144" t="str">
        <f>IF(ISBLANK(DaqBook_RAW_Data!Q534),IF(DaqBook_RAW_Data!A534="","",TIMEVALUE(DaqBook_RAW_Data!A534)),TIMEVALUE(DaqBook_RAW_Data!Q534))</f>
        <v/>
      </c>
      <c r="C544" s="167" t="str">
        <f>IF(ISBLANK(DaqBook_RAW_Data!R534),"",DaqBook_RAW_Data!R534)</f>
        <v/>
      </c>
      <c r="D544" s="167" t="str">
        <f>IF(ISBLANK(DaqBook_RAW_Data!S534),"",DaqBook_RAW_Data!S534)</f>
        <v/>
      </c>
      <c r="E544" s="167" t="str">
        <f>IF(ISBLANK(DaqBook_RAW_Data!T534),"",DaqBook_RAW_Data!T534)</f>
        <v/>
      </c>
      <c r="F544" s="167" t="str">
        <f>IF(ISBLANK(DaqBook_RAW_Data!U534),"",DaqBook_RAW_Data!U534)</f>
        <v/>
      </c>
      <c r="G544" s="167" t="str">
        <f>IF(ISBLANK(DaqBook_RAW_Data!V534),"",DaqBook_RAW_Data!V534)</f>
        <v/>
      </c>
      <c r="H544" s="167" t="str">
        <f>IF(ISBLANK(DaqBook_RAW_Data!W534),"",DaqBook_RAW_Data!W534)</f>
        <v/>
      </c>
      <c r="I544" s="167" t="str">
        <f>IF(ISBLANK(DaqBook_RAW_Data!X534),"",DaqBook_RAW_Data!X534)</f>
        <v/>
      </c>
      <c r="J544" s="167" t="str">
        <f>IF(ISBLANK(DaqBook_RAW_Data!Y534),"",DaqBook_RAW_Data!Y534)</f>
        <v/>
      </c>
      <c r="K544" s="167" t="str">
        <f>IF(ISBLANK(DaqBook_RAW_Data!Z534),"",DaqBook_RAW_Data!Z534)</f>
        <v/>
      </c>
      <c r="L544" s="167" t="str">
        <f>IF(ISBLANK(DaqBook_RAW_Data!AA534),"",DaqBook_RAW_Data!AA534)</f>
        <v/>
      </c>
      <c r="M544" s="167" t="str">
        <f>IF(ISBLANK(DaqBook_RAW_Data!AB534),"",DaqBook_RAW_Data!AB534)</f>
        <v/>
      </c>
      <c r="N544" s="167" t="str">
        <f>IF(ISBLANK(DaqBook_RAW_Data!AC534),"",DaqBook_RAW_Data!AC534)</f>
        <v/>
      </c>
      <c r="O544" s="167" t="str">
        <f>IF(ISBLANK(DaqBook_RAW_Data!AD534),"",DaqBook_RAW_Data!AD534)</f>
        <v/>
      </c>
      <c r="P544" s="167" t="str">
        <f>IF(ISBLANK(DaqBook_RAW_Data!AE534),"",DaqBook_RAW_Data!AE534)</f>
        <v/>
      </c>
    </row>
    <row r="545" spans="1:16" x14ac:dyDescent="0.2">
      <c r="A545" s="58" t="e">
        <f t="shared" si="8"/>
        <v>#VALUE!</v>
      </c>
      <c r="B545" s="144" t="str">
        <f>IF(ISBLANK(DaqBook_RAW_Data!Q535),IF(DaqBook_RAW_Data!A535="","",TIMEVALUE(DaqBook_RAW_Data!A535)),TIMEVALUE(DaqBook_RAW_Data!Q535))</f>
        <v/>
      </c>
      <c r="C545" s="167" t="str">
        <f>IF(ISBLANK(DaqBook_RAW_Data!R535),"",DaqBook_RAW_Data!R535)</f>
        <v/>
      </c>
      <c r="D545" s="167" t="str">
        <f>IF(ISBLANK(DaqBook_RAW_Data!S535),"",DaqBook_RAW_Data!S535)</f>
        <v/>
      </c>
      <c r="E545" s="167" t="str">
        <f>IF(ISBLANK(DaqBook_RAW_Data!T535),"",DaqBook_RAW_Data!T535)</f>
        <v/>
      </c>
      <c r="F545" s="167" t="str">
        <f>IF(ISBLANK(DaqBook_RAW_Data!U535),"",DaqBook_RAW_Data!U535)</f>
        <v/>
      </c>
      <c r="G545" s="167" t="str">
        <f>IF(ISBLANK(DaqBook_RAW_Data!V535),"",DaqBook_RAW_Data!V535)</f>
        <v/>
      </c>
      <c r="H545" s="167" t="str">
        <f>IF(ISBLANK(DaqBook_RAW_Data!W535),"",DaqBook_RAW_Data!W535)</f>
        <v/>
      </c>
      <c r="I545" s="167" t="str">
        <f>IF(ISBLANK(DaqBook_RAW_Data!X535),"",DaqBook_RAW_Data!X535)</f>
        <v/>
      </c>
      <c r="J545" s="167" t="str">
        <f>IF(ISBLANK(DaqBook_RAW_Data!Y535),"",DaqBook_RAW_Data!Y535)</f>
        <v/>
      </c>
      <c r="K545" s="167" t="str">
        <f>IF(ISBLANK(DaqBook_RAW_Data!Z535),"",DaqBook_RAW_Data!Z535)</f>
        <v/>
      </c>
      <c r="L545" s="167" t="str">
        <f>IF(ISBLANK(DaqBook_RAW_Data!AA535),"",DaqBook_RAW_Data!AA535)</f>
        <v/>
      </c>
      <c r="M545" s="167" t="str">
        <f>IF(ISBLANK(DaqBook_RAW_Data!AB535),"",DaqBook_RAW_Data!AB535)</f>
        <v/>
      </c>
      <c r="N545" s="167" t="str">
        <f>IF(ISBLANK(DaqBook_RAW_Data!AC535),"",DaqBook_RAW_Data!AC535)</f>
        <v/>
      </c>
      <c r="O545" s="167" t="str">
        <f>IF(ISBLANK(DaqBook_RAW_Data!AD535),"",DaqBook_RAW_Data!AD535)</f>
        <v/>
      </c>
      <c r="P545" s="167" t="str">
        <f>IF(ISBLANK(DaqBook_RAW_Data!AE535),"",DaqBook_RAW_Data!AE535)</f>
        <v/>
      </c>
    </row>
    <row r="546" spans="1:16" x14ac:dyDescent="0.2">
      <c r="A546" s="58" t="e">
        <f t="shared" si="8"/>
        <v>#VALUE!</v>
      </c>
      <c r="B546" s="144" t="str">
        <f>IF(ISBLANK(DaqBook_RAW_Data!Q536),IF(DaqBook_RAW_Data!A536="","",TIMEVALUE(DaqBook_RAW_Data!A536)),TIMEVALUE(DaqBook_RAW_Data!Q536))</f>
        <v/>
      </c>
      <c r="C546" s="167" t="str">
        <f>IF(ISBLANK(DaqBook_RAW_Data!R536),"",DaqBook_RAW_Data!R536)</f>
        <v/>
      </c>
      <c r="D546" s="167" t="str">
        <f>IF(ISBLANK(DaqBook_RAW_Data!S536),"",DaqBook_RAW_Data!S536)</f>
        <v/>
      </c>
      <c r="E546" s="167" t="str">
        <f>IF(ISBLANK(DaqBook_RAW_Data!T536),"",DaqBook_RAW_Data!T536)</f>
        <v/>
      </c>
      <c r="F546" s="167" t="str">
        <f>IF(ISBLANK(DaqBook_RAW_Data!U536),"",DaqBook_RAW_Data!U536)</f>
        <v/>
      </c>
      <c r="G546" s="167" t="str">
        <f>IF(ISBLANK(DaqBook_RAW_Data!V536),"",DaqBook_RAW_Data!V536)</f>
        <v/>
      </c>
      <c r="H546" s="167" t="str">
        <f>IF(ISBLANK(DaqBook_RAW_Data!W536),"",DaqBook_RAW_Data!W536)</f>
        <v/>
      </c>
      <c r="I546" s="167" t="str">
        <f>IF(ISBLANK(DaqBook_RAW_Data!X536),"",DaqBook_RAW_Data!X536)</f>
        <v/>
      </c>
      <c r="J546" s="167" t="str">
        <f>IF(ISBLANK(DaqBook_RAW_Data!Y536),"",DaqBook_RAW_Data!Y536)</f>
        <v/>
      </c>
      <c r="K546" s="167" t="str">
        <f>IF(ISBLANK(DaqBook_RAW_Data!Z536),"",DaqBook_RAW_Data!Z536)</f>
        <v/>
      </c>
      <c r="L546" s="167" t="str">
        <f>IF(ISBLANK(DaqBook_RAW_Data!AA536),"",DaqBook_RAW_Data!AA536)</f>
        <v/>
      </c>
      <c r="M546" s="167" t="str">
        <f>IF(ISBLANK(DaqBook_RAW_Data!AB536),"",DaqBook_RAW_Data!AB536)</f>
        <v/>
      </c>
      <c r="N546" s="167" t="str">
        <f>IF(ISBLANK(DaqBook_RAW_Data!AC536),"",DaqBook_RAW_Data!AC536)</f>
        <v/>
      </c>
      <c r="O546" s="167" t="str">
        <f>IF(ISBLANK(DaqBook_RAW_Data!AD536),"",DaqBook_RAW_Data!AD536)</f>
        <v/>
      </c>
      <c r="P546" s="167" t="str">
        <f>IF(ISBLANK(DaqBook_RAW_Data!AE536),"",DaqBook_RAW_Data!AE536)</f>
        <v/>
      </c>
    </row>
    <row r="547" spans="1:16" x14ac:dyDescent="0.2">
      <c r="A547" s="58" t="e">
        <f t="shared" si="8"/>
        <v>#VALUE!</v>
      </c>
      <c r="B547" s="144" t="str">
        <f>IF(ISBLANK(DaqBook_RAW_Data!Q537),IF(DaqBook_RAW_Data!A537="","",TIMEVALUE(DaqBook_RAW_Data!A537)),TIMEVALUE(DaqBook_RAW_Data!Q537))</f>
        <v/>
      </c>
      <c r="C547" s="167" t="str">
        <f>IF(ISBLANK(DaqBook_RAW_Data!R537),"",DaqBook_RAW_Data!R537)</f>
        <v/>
      </c>
      <c r="D547" s="167" t="str">
        <f>IF(ISBLANK(DaqBook_RAW_Data!S537),"",DaqBook_RAW_Data!S537)</f>
        <v/>
      </c>
      <c r="E547" s="167" t="str">
        <f>IF(ISBLANK(DaqBook_RAW_Data!T537),"",DaqBook_RAW_Data!T537)</f>
        <v/>
      </c>
      <c r="F547" s="167" t="str">
        <f>IF(ISBLANK(DaqBook_RAW_Data!U537),"",DaqBook_RAW_Data!U537)</f>
        <v/>
      </c>
      <c r="G547" s="167" t="str">
        <f>IF(ISBLANK(DaqBook_RAW_Data!V537),"",DaqBook_RAW_Data!V537)</f>
        <v/>
      </c>
      <c r="H547" s="167" t="str">
        <f>IF(ISBLANK(DaqBook_RAW_Data!W537),"",DaqBook_RAW_Data!W537)</f>
        <v/>
      </c>
      <c r="I547" s="167" t="str">
        <f>IF(ISBLANK(DaqBook_RAW_Data!X537),"",DaqBook_RAW_Data!X537)</f>
        <v/>
      </c>
      <c r="J547" s="167" t="str">
        <f>IF(ISBLANK(DaqBook_RAW_Data!Y537),"",DaqBook_RAW_Data!Y537)</f>
        <v/>
      </c>
      <c r="K547" s="167" t="str">
        <f>IF(ISBLANK(DaqBook_RAW_Data!Z537),"",DaqBook_RAW_Data!Z537)</f>
        <v/>
      </c>
      <c r="L547" s="167" t="str">
        <f>IF(ISBLANK(DaqBook_RAW_Data!AA537),"",DaqBook_RAW_Data!AA537)</f>
        <v/>
      </c>
      <c r="M547" s="167" t="str">
        <f>IF(ISBLANK(DaqBook_RAW_Data!AB537),"",DaqBook_RAW_Data!AB537)</f>
        <v/>
      </c>
      <c r="N547" s="167" t="str">
        <f>IF(ISBLANK(DaqBook_RAW_Data!AC537),"",DaqBook_RAW_Data!AC537)</f>
        <v/>
      </c>
      <c r="O547" s="167" t="str">
        <f>IF(ISBLANK(DaqBook_RAW_Data!AD537),"",DaqBook_RAW_Data!AD537)</f>
        <v/>
      </c>
      <c r="P547" s="167" t="str">
        <f>IF(ISBLANK(DaqBook_RAW_Data!AE537),"",DaqBook_RAW_Data!AE537)</f>
        <v/>
      </c>
    </row>
    <row r="548" spans="1:16" x14ac:dyDescent="0.2">
      <c r="A548" s="58" t="e">
        <f t="shared" si="8"/>
        <v>#VALUE!</v>
      </c>
      <c r="B548" s="144" t="str">
        <f>IF(ISBLANK(DaqBook_RAW_Data!Q538),IF(DaqBook_RAW_Data!A538="","",TIMEVALUE(DaqBook_RAW_Data!A538)),TIMEVALUE(DaqBook_RAW_Data!Q538))</f>
        <v/>
      </c>
      <c r="C548" s="167" t="str">
        <f>IF(ISBLANK(DaqBook_RAW_Data!R538),"",DaqBook_RAW_Data!R538)</f>
        <v/>
      </c>
      <c r="D548" s="167" t="str">
        <f>IF(ISBLANK(DaqBook_RAW_Data!S538),"",DaqBook_RAW_Data!S538)</f>
        <v/>
      </c>
      <c r="E548" s="167" t="str">
        <f>IF(ISBLANK(DaqBook_RAW_Data!T538),"",DaqBook_RAW_Data!T538)</f>
        <v/>
      </c>
      <c r="F548" s="167" t="str">
        <f>IF(ISBLANK(DaqBook_RAW_Data!U538),"",DaqBook_RAW_Data!U538)</f>
        <v/>
      </c>
      <c r="G548" s="167" t="str">
        <f>IF(ISBLANK(DaqBook_RAW_Data!V538),"",DaqBook_RAW_Data!V538)</f>
        <v/>
      </c>
      <c r="H548" s="167" t="str">
        <f>IF(ISBLANK(DaqBook_RAW_Data!W538),"",DaqBook_RAW_Data!W538)</f>
        <v/>
      </c>
      <c r="I548" s="167" t="str">
        <f>IF(ISBLANK(DaqBook_RAW_Data!X538),"",DaqBook_RAW_Data!X538)</f>
        <v/>
      </c>
      <c r="J548" s="167" t="str">
        <f>IF(ISBLANK(DaqBook_RAW_Data!Y538),"",DaqBook_RAW_Data!Y538)</f>
        <v/>
      </c>
      <c r="K548" s="167" t="str">
        <f>IF(ISBLANK(DaqBook_RAW_Data!Z538),"",DaqBook_RAW_Data!Z538)</f>
        <v/>
      </c>
      <c r="L548" s="167" t="str">
        <f>IF(ISBLANK(DaqBook_RAW_Data!AA538),"",DaqBook_RAW_Data!AA538)</f>
        <v/>
      </c>
      <c r="M548" s="167" t="str">
        <f>IF(ISBLANK(DaqBook_RAW_Data!AB538),"",DaqBook_RAW_Data!AB538)</f>
        <v/>
      </c>
      <c r="N548" s="167" t="str">
        <f>IF(ISBLANK(DaqBook_RAW_Data!AC538),"",DaqBook_RAW_Data!AC538)</f>
        <v/>
      </c>
      <c r="O548" s="167" t="str">
        <f>IF(ISBLANK(DaqBook_RAW_Data!AD538),"",DaqBook_RAW_Data!AD538)</f>
        <v/>
      </c>
      <c r="P548" s="167" t="str">
        <f>IF(ISBLANK(DaqBook_RAW_Data!AE538),"",DaqBook_RAW_Data!AE538)</f>
        <v/>
      </c>
    </row>
    <row r="549" spans="1:16" x14ac:dyDescent="0.2">
      <c r="A549" s="58" t="e">
        <f t="shared" si="8"/>
        <v>#VALUE!</v>
      </c>
      <c r="B549" s="144" t="str">
        <f>IF(ISBLANK(DaqBook_RAW_Data!Q539),IF(DaqBook_RAW_Data!A539="","",TIMEVALUE(DaqBook_RAW_Data!A539)),TIMEVALUE(DaqBook_RAW_Data!Q539))</f>
        <v/>
      </c>
      <c r="C549" s="167" t="str">
        <f>IF(ISBLANK(DaqBook_RAW_Data!R539),"",DaqBook_RAW_Data!R539)</f>
        <v/>
      </c>
      <c r="D549" s="167" t="str">
        <f>IF(ISBLANK(DaqBook_RAW_Data!S539),"",DaqBook_RAW_Data!S539)</f>
        <v/>
      </c>
      <c r="E549" s="167" t="str">
        <f>IF(ISBLANK(DaqBook_RAW_Data!T539),"",DaqBook_RAW_Data!T539)</f>
        <v/>
      </c>
      <c r="F549" s="167" t="str">
        <f>IF(ISBLANK(DaqBook_RAW_Data!U539),"",DaqBook_RAW_Data!U539)</f>
        <v/>
      </c>
      <c r="G549" s="167" t="str">
        <f>IF(ISBLANK(DaqBook_RAW_Data!V539),"",DaqBook_RAW_Data!V539)</f>
        <v/>
      </c>
      <c r="H549" s="167" t="str">
        <f>IF(ISBLANK(DaqBook_RAW_Data!W539),"",DaqBook_RAW_Data!W539)</f>
        <v/>
      </c>
      <c r="I549" s="167" t="str">
        <f>IF(ISBLANK(DaqBook_RAW_Data!X539),"",DaqBook_RAW_Data!X539)</f>
        <v/>
      </c>
      <c r="J549" s="167" t="str">
        <f>IF(ISBLANK(DaqBook_RAW_Data!Y539),"",DaqBook_RAW_Data!Y539)</f>
        <v/>
      </c>
      <c r="K549" s="167" t="str">
        <f>IF(ISBLANK(DaqBook_RAW_Data!Z539),"",DaqBook_RAW_Data!Z539)</f>
        <v/>
      </c>
      <c r="L549" s="167" t="str">
        <f>IF(ISBLANK(DaqBook_RAW_Data!AA539),"",DaqBook_RAW_Data!AA539)</f>
        <v/>
      </c>
      <c r="M549" s="167" t="str">
        <f>IF(ISBLANK(DaqBook_RAW_Data!AB539),"",DaqBook_RAW_Data!AB539)</f>
        <v/>
      </c>
      <c r="N549" s="167" t="str">
        <f>IF(ISBLANK(DaqBook_RAW_Data!AC539),"",DaqBook_RAW_Data!AC539)</f>
        <v/>
      </c>
      <c r="O549" s="167" t="str">
        <f>IF(ISBLANK(DaqBook_RAW_Data!AD539),"",DaqBook_RAW_Data!AD539)</f>
        <v/>
      </c>
      <c r="P549" s="167" t="str">
        <f>IF(ISBLANK(DaqBook_RAW_Data!AE539),"",DaqBook_RAW_Data!AE539)</f>
        <v/>
      </c>
    </row>
    <row r="550" spans="1:16" x14ac:dyDescent="0.2">
      <c r="A550" s="58" t="e">
        <f t="shared" si="8"/>
        <v>#VALUE!</v>
      </c>
      <c r="B550" s="144" t="str">
        <f>IF(ISBLANK(DaqBook_RAW_Data!Q540),IF(DaqBook_RAW_Data!A540="","",TIMEVALUE(DaqBook_RAW_Data!A540)),TIMEVALUE(DaqBook_RAW_Data!Q540))</f>
        <v/>
      </c>
      <c r="C550" s="167" t="str">
        <f>IF(ISBLANK(DaqBook_RAW_Data!R540),"",DaqBook_RAW_Data!R540)</f>
        <v/>
      </c>
      <c r="D550" s="167" t="str">
        <f>IF(ISBLANK(DaqBook_RAW_Data!S540),"",DaqBook_RAW_Data!S540)</f>
        <v/>
      </c>
      <c r="E550" s="167" t="str">
        <f>IF(ISBLANK(DaqBook_RAW_Data!T540),"",DaqBook_RAW_Data!T540)</f>
        <v/>
      </c>
      <c r="F550" s="167" t="str">
        <f>IF(ISBLANK(DaqBook_RAW_Data!U540),"",DaqBook_RAW_Data!U540)</f>
        <v/>
      </c>
      <c r="G550" s="167" t="str">
        <f>IF(ISBLANK(DaqBook_RAW_Data!V540),"",DaqBook_RAW_Data!V540)</f>
        <v/>
      </c>
      <c r="H550" s="167" t="str">
        <f>IF(ISBLANK(DaqBook_RAW_Data!W540),"",DaqBook_RAW_Data!W540)</f>
        <v/>
      </c>
      <c r="I550" s="167" t="str">
        <f>IF(ISBLANK(DaqBook_RAW_Data!X540),"",DaqBook_RAW_Data!X540)</f>
        <v/>
      </c>
      <c r="J550" s="167" t="str">
        <f>IF(ISBLANK(DaqBook_RAW_Data!Y540),"",DaqBook_RAW_Data!Y540)</f>
        <v/>
      </c>
      <c r="K550" s="167" t="str">
        <f>IF(ISBLANK(DaqBook_RAW_Data!Z540),"",DaqBook_RAW_Data!Z540)</f>
        <v/>
      </c>
      <c r="L550" s="167" t="str">
        <f>IF(ISBLANK(DaqBook_RAW_Data!AA540),"",DaqBook_RAW_Data!AA540)</f>
        <v/>
      </c>
      <c r="M550" s="167" t="str">
        <f>IF(ISBLANK(DaqBook_RAW_Data!AB540),"",DaqBook_RAW_Data!AB540)</f>
        <v/>
      </c>
      <c r="N550" s="167" t="str">
        <f>IF(ISBLANK(DaqBook_RAW_Data!AC540),"",DaqBook_RAW_Data!AC540)</f>
        <v/>
      </c>
      <c r="O550" s="167" t="str">
        <f>IF(ISBLANK(DaqBook_RAW_Data!AD540),"",DaqBook_RAW_Data!AD540)</f>
        <v/>
      </c>
      <c r="P550" s="167" t="str">
        <f>IF(ISBLANK(DaqBook_RAW_Data!AE540),"",DaqBook_RAW_Data!AE540)</f>
        <v/>
      </c>
    </row>
    <row r="551" spans="1:16" x14ac:dyDescent="0.2">
      <c r="A551" s="58" t="e">
        <f t="shared" si="8"/>
        <v>#VALUE!</v>
      </c>
      <c r="B551" s="144" t="str">
        <f>IF(ISBLANK(DaqBook_RAW_Data!Q541),IF(DaqBook_RAW_Data!A541="","",TIMEVALUE(DaqBook_RAW_Data!A541)),TIMEVALUE(DaqBook_RAW_Data!Q541))</f>
        <v/>
      </c>
      <c r="C551" s="167" t="str">
        <f>IF(ISBLANK(DaqBook_RAW_Data!R541),"",DaqBook_RAW_Data!R541)</f>
        <v/>
      </c>
      <c r="D551" s="167" t="str">
        <f>IF(ISBLANK(DaqBook_RAW_Data!S541),"",DaqBook_RAW_Data!S541)</f>
        <v/>
      </c>
      <c r="E551" s="167" t="str">
        <f>IF(ISBLANK(DaqBook_RAW_Data!T541),"",DaqBook_RAW_Data!T541)</f>
        <v/>
      </c>
      <c r="F551" s="167" t="str">
        <f>IF(ISBLANK(DaqBook_RAW_Data!U541),"",DaqBook_RAW_Data!U541)</f>
        <v/>
      </c>
      <c r="G551" s="167" t="str">
        <f>IF(ISBLANK(DaqBook_RAW_Data!V541),"",DaqBook_RAW_Data!V541)</f>
        <v/>
      </c>
      <c r="H551" s="167" t="str">
        <f>IF(ISBLANK(DaqBook_RAW_Data!W541),"",DaqBook_RAW_Data!W541)</f>
        <v/>
      </c>
      <c r="I551" s="167" t="str">
        <f>IF(ISBLANK(DaqBook_RAW_Data!X541),"",DaqBook_RAW_Data!X541)</f>
        <v/>
      </c>
      <c r="J551" s="167" t="str">
        <f>IF(ISBLANK(DaqBook_RAW_Data!Y541),"",DaqBook_RAW_Data!Y541)</f>
        <v/>
      </c>
      <c r="K551" s="167" t="str">
        <f>IF(ISBLANK(DaqBook_RAW_Data!Z541),"",DaqBook_RAW_Data!Z541)</f>
        <v/>
      </c>
      <c r="L551" s="167" t="str">
        <f>IF(ISBLANK(DaqBook_RAW_Data!AA541),"",DaqBook_RAW_Data!AA541)</f>
        <v/>
      </c>
      <c r="M551" s="167" t="str">
        <f>IF(ISBLANK(DaqBook_RAW_Data!AB541),"",DaqBook_RAW_Data!AB541)</f>
        <v/>
      </c>
      <c r="N551" s="167" t="str">
        <f>IF(ISBLANK(DaqBook_RAW_Data!AC541),"",DaqBook_RAW_Data!AC541)</f>
        <v/>
      </c>
      <c r="O551" s="167" t="str">
        <f>IF(ISBLANK(DaqBook_RAW_Data!AD541),"",DaqBook_RAW_Data!AD541)</f>
        <v/>
      </c>
      <c r="P551" s="167" t="str">
        <f>IF(ISBLANK(DaqBook_RAW_Data!AE541),"",DaqBook_RAW_Data!AE541)</f>
        <v/>
      </c>
    </row>
    <row r="552" spans="1:16" x14ac:dyDescent="0.2">
      <c r="A552" s="58" t="e">
        <f t="shared" si="8"/>
        <v>#VALUE!</v>
      </c>
      <c r="B552" s="144" t="str">
        <f>IF(ISBLANK(DaqBook_RAW_Data!Q542),IF(DaqBook_RAW_Data!A542="","",TIMEVALUE(DaqBook_RAW_Data!A542)),TIMEVALUE(DaqBook_RAW_Data!Q542))</f>
        <v/>
      </c>
      <c r="C552" s="167" t="str">
        <f>IF(ISBLANK(DaqBook_RAW_Data!R542),"",DaqBook_RAW_Data!R542)</f>
        <v/>
      </c>
      <c r="D552" s="167" t="str">
        <f>IF(ISBLANK(DaqBook_RAW_Data!S542),"",DaqBook_RAW_Data!S542)</f>
        <v/>
      </c>
      <c r="E552" s="167" t="str">
        <f>IF(ISBLANK(DaqBook_RAW_Data!T542),"",DaqBook_RAW_Data!T542)</f>
        <v/>
      </c>
      <c r="F552" s="167" t="str">
        <f>IF(ISBLANK(DaqBook_RAW_Data!U542),"",DaqBook_RAW_Data!U542)</f>
        <v/>
      </c>
      <c r="G552" s="167" t="str">
        <f>IF(ISBLANK(DaqBook_RAW_Data!V542),"",DaqBook_RAW_Data!V542)</f>
        <v/>
      </c>
      <c r="H552" s="167" t="str">
        <f>IF(ISBLANK(DaqBook_RAW_Data!W542),"",DaqBook_RAW_Data!W542)</f>
        <v/>
      </c>
      <c r="I552" s="167" t="str">
        <f>IF(ISBLANK(DaqBook_RAW_Data!X542),"",DaqBook_RAW_Data!X542)</f>
        <v/>
      </c>
      <c r="J552" s="167" t="str">
        <f>IF(ISBLANK(DaqBook_RAW_Data!Y542),"",DaqBook_RAW_Data!Y542)</f>
        <v/>
      </c>
      <c r="K552" s="167" t="str">
        <f>IF(ISBLANK(DaqBook_RAW_Data!Z542),"",DaqBook_RAW_Data!Z542)</f>
        <v/>
      </c>
      <c r="L552" s="167" t="str">
        <f>IF(ISBLANK(DaqBook_RAW_Data!AA542),"",DaqBook_RAW_Data!AA542)</f>
        <v/>
      </c>
      <c r="M552" s="167" t="str">
        <f>IF(ISBLANK(DaqBook_RAW_Data!AB542),"",DaqBook_RAW_Data!AB542)</f>
        <v/>
      </c>
      <c r="N552" s="167" t="str">
        <f>IF(ISBLANK(DaqBook_RAW_Data!AC542),"",DaqBook_RAW_Data!AC542)</f>
        <v/>
      </c>
      <c r="O552" s="167" t="str">
        <f>IF(ISBLANK(DaqBook_RAW_Data!AD542),"",DaqBook_RAW_Data!AD542)</f>
        <v/>
      </c>
      <c r="P552" s="167" t="str">
        <f>IF(ISBLANK(DaqBook_RAW_Data!AE542),"",DaqBook_RAW_Data!AE542)</f>
        <v/>
      </c>
    </row>
    <row r="553" spans="1:16" x14ac:dyDescent="0.2">
      <c r="A553" s="58" t="e">
        <f t="shared" si="8"/>
        <v>#VALUE!</v>
      </c>
      <c r="B553" s="144" t="str">
        <f>IF(ISBLANK(DaqBook_RAW_Data!Q543),IF(DaqBook_RAW_Data!A543="","",TIMEVALUE(DaqBook_RAW_Data!A543)),TIMEVALUE(DaqBook_RAW_Data!Q543))</f>
        <v/>
      </c>
      <c r="C553" s="167" t="str">
        <f>IF(ISBLANK(DaqBook_RAW_Data!R543),"",DaqBook_RAW_Data!R543)</f>
        <v/>
      </c>
      <c r="D553" s="167" t="str">
        <f>IF(ISBLANK(DaqBook_RAW_Data!S543),"",DaqBook_RAW_Data!S543)</f>
        <v/>
      </c>
      <c r="E553" s="167" t="str">
        <f>IF(ISBLANK(DaqBook_RAW_Data!T543),"",DaqBook_RAW_Data!T543)</f>
        <v/>
      </c>
      <c r="F553" s="167" t="str">
        <f>IF(ISBLANK(DaqBook_RAW_Data!U543),"",DaqBook_RAW_Data!U543)</f>
        <v/>
      </c>
      <c r="G553" s="167" t="str">
        <f>IF(ISBLANK(DaqBook_RAW_Data!V543),"",DaqBook_RAW_Data!V543)</f>
        <v/>
      </c>
      <c r="H553" s="167" t="str">
        <f>IF(ISBLANK(DaqBook_RAW_Data!W543),"",DaqBook_RAW_Data!W543)</f>
        <v/>
      </c>
      <c r="I553" s="167" t="str">
        <f>IF(ISBLANK(DaqBook_RAW_Data!X543),"",DaqBook_RAW_Data!X543)</f>
        <v/>
      </c>
      <c r="J553" s="167" t="str">
        <f>IF(ISBLANK(DaqBook_RAW_Data!Y543),"",DaqBook_RAW_Data!Y543)</f>
        <v/>
      </c>
      <c r="K553" s="167" t="str">
        <f>IF(ISBLANK(DaqBook_RAW_Data!Z543),"",DaqBook_RAW_Data!Z543)</f>
        <v/>
      </c>
      <c r="L553" s="167" t="str">
        <f>IF(ISBLANK(DaqBook_RAW_Data!AA543),"",DaqBook_RAW_Data!AA543)</f>
        <v/>
      </c>
      <c r="M553" s="167" t="str">
        <f>IF(ISBLANK(DaqBook_RAW_Data!AB543),"",DaqBook_RAW_Data!AB543)</f>
        <v/>
      </c>
      <c r="N553" s="167" t="str">
        <f>IF(ISBLANK(DaqBook_RAW_Data!AC543),"",DaqBook_RAW_Data!AC543)</f>
        <v/>
      </c>
      <c r="O553" s="167" t="str">
        <f>IF(ISBLANK(DaqBook_RAW_Data!AD543),"",DaqBook_RAW_Data!AD543)</f>
        <v/>
      </c>
      <c r="P553" s="167" t="str">
        <f>IF(ISBLANK(DaqBook_RAW_Data!AE543),"",DaqBook_RAW_Data!AE543)</f>
        <v/>
      </c>
    </row>
    <row r="554" spans="1:16" x14ac:dyDescent="0.2">
      <c r="A554" s="58" t="e">
        <f t="shared" si="8"/>
        <v>#VALUE!</v>
      </c>
      <c r="B554" s="144" t="str">
        <f>IF(ISBLANK(DaqBook_RAW_Data!Q544),IF(DaqBook_RAW_Data!A544="","",TIMEVALUE(DaqBook_RAW_Data!A544)),TIMEVALUE(DaqBook_RAW_Data!Q544))</f>
        <v/>
      </c>
      <c r="C554" s="167" t="str">
        <f>IF(ISBLANK(DaqBook_RAW_Data!R544),"",DaqBook_RAW_Data!R544)</f>
        <v/>
      </c>
      <c r="D554" s="167" t="str">
        <f>IF(ISBLANK(DaqBook_RAW_Data!S544),"",DaqBook_RAW_Data!S544)</f>
        <v/>
      </c>
      <c r="E554" s="167" t="str">
        <f>IF(ISBLANK(DaqBook_RAW_Data!T544),"",DaqBook_RAW_Data!T544)</f>
        <v/>
      </c>
      <c r="F554" s="167" t="str">
        <f>IF(ISBLANK(DaqBook_RAW_Data!U544),"",DaqBook_RAW_Data!U544)</f>
        <v/>
      </c>
      <c r="G554" s="167" t="str">
        <f>IF(ISBLANK(DaqBook_RAW_Data!V544),"",DaqBook_RAW_Data!V544)</f>
        <v/>
      </c>
      <c r="H554" s="167" t="str">
        <f>IF(ISBLANK(DaqBook_RAW_Data!W544),"",DaqBook_RAW_Data!W544)</f>
        <v/>
      </c>
      <c r="I554" s="167" t="str">
        <f>IF(ISBLANK(DaqBook_RAW_Data!X544),"",DaqBook_RAW_Data!X544)</f>
        <v/>
      </c>
      <c r="J554" s="167" t="str">
        <f>IF(ISBLANK(DaqBook_RAW_Data!Y544),"",DaqBook_RAW_Data!Y544)</f>
        <v/>
      </c>
      <c r="K554" s="167" t="str">
        <f>IF(ISBLANK(DaqBook_RAW_Data!Z544),"",DaqBook_RAW_Data!Z544)</f>
        <v/>
      </c>
      <c r="L554" s="167" t="str">
        <f>IF(ISBLANK(DaqBook_RAW_Data!AA544),"",DaqBook_RAW_Data!AA544)</f>
        <v/>
      </c>
      <c r="M554" s="167" t="str">
        <f>IF(ISBLANK(DaqBook_RAW_Data!AB544),"",DaqBook_RAW_Data!AB544)</f>
        <v/>
      </c>
      <c r="N554" s="167" t="str">
        <f>IF(ISBLANK(DaqBook_RAW_Data!AC544),"",DaqBook_RAW_Data!AC544)</f>
        <v/>
      </c>
      <c r="O554" s="167" t="str">
        <f>IF(ISBLANK(DaqBook_RAW_Data!AD544),"",DaqBook_RAW_Data!AD544)</f>
        <v/>
      </c>
      <c r="P554" s="167" t="str">
        <f>IF(ISBLANK(DaqBook_RAW_Data!AE544),"",DaqBook_RAW_Data!AE544)</f>
        <v/>
      </c>
    </row>
    <row r="555" spans="1:16" x14ac:dyDescent="0.2">
      <c r="A555" s="58" t="e">
        <f t="shared" si="8"/>
        <v>#VALUE!</v>
      </c>
      <c r="B555" s="144" t="str">
        <f>IF(ISBLANK(DaqBook_RAW_Data!Q545),IF(DaqBook_RAW_Data!A545="","",TIMEVALUE(DaqBook_RAW_Data!A545)),TIMEVALUE(DaqBook_RAW_Data!Q545))</f>
        <v/>
      </c>
      <c r="C555" s="167" t="str">
        <f>IF(ISBLANK(DaqBook_RAW_Data!R545),"",DaqBook_RAW_Data!R545)</f>
        <v/>
      </c>
      <c r="D555" s="167" t="str">
        <f>IF(ISBLANK(DaqBook_RAW_Data!S545),"",DaqBook_RAW_Data!S545)</f>
        <v/>
      </c>
      <c r="E555" s="167" t="str">
        <f>IF(ISBLANK(DaqBook_RAW_Data!T545),"",DaqBook_RAW_Data!T545)</f>
        <v/>
      </c>
      <c r="F555" s="167" t="str">
        <f>IF(ISBLANK(DaqBook_RAW_Data!U545),"",DaqBook_RAW_Data!U545)</f>
        <v/>
      </c>
      <c r="G555" s="167" t="str">
        <f>IF(ISBLANK(DaqBook_RAW_Data!V545),"",DaqBook_RAW_Data!V545)</f>
        <v/>
      </c>
      <c r="H555" s="167" t="str">
        <f>IF(ISBLANK(DaqBook_RAW_Data!W545),"",DaqBook_RAW_Data!W545)</f>
        <v/>
      </c>
      <c r="I555" s="167" t="str">
        <f>IF(ISBLANK(DaqBook_RAW_Data!X545),"",DaqBook_RAW_Data!X545)</f>
        <v/>
      </c>
      <c r="J555" s="167" t="str">
        <f>IF(ISBLANK(DaqBook_RAW_Data!Y545),"",DaqBook_RAW_Data!Y545)</f>
        <v/>
      </c>
      <c r="K555" s="167" t="str">
        <f>IF(ISBLANK(DaqBook_RAW_Data!Z545),"",DaqBook_RAW_Data!Z545)</f>
        <v/>
      </c>
      <c r="L555" s="167" t="str">
        <f>IF(ISBLANK(DaqBook_RAW_Data!AA545),"",DaqBook_RAW_Data!AA545)</f>
        <v/>
      </c>
      <c r="M555" s="167" t="str">
        <f>IF(ISBLANK(DaqBook_RAW_Data!AB545),"",DaqBook_RAW_Data!AB545)</f>
        <v/>
      </c>
      <c r="N555" s="167" t="str">
        <f>IF(ISBLANK(DaqBook_RAW_Data!AC545),"",DaqBook_RAW_Data!AC545)</f>
        <v/>
      </c>
      <c r="O555" s="167" t="str">
        <f>IF(ISBLANK(DaqBook_RAW_Data!AD545),"",DaqBook_RAW_Data!AD545)</f>
        <v/>
      </c>
      <c r="P555" s="167" t="str">
        <f>IF(ISBLANK(DaqBook_RAW_Data!AE545),"",DaqBook_RAW_Data!AE545)</f>
        <v/>
      </c>
    </row>
    <row r="556" spans="1:16" x14ac:dyDescent="0.2">
      <c r="A556" s="58" t="e">
        <f t="shared" si="8"/>
        <v>#VALUE!</v>
      </c>
      <c r="B556" s="144" t="str">
        <f>IF(ISBLANK(DaqBook_RAW_Data!Q546),IF(DaqBook_RAW_Data!A546="","",TIMEVALUE(DaqBook_RAW_Data!A546)),TIMEVALUE(DaqBook_RAW_Data!Q546))</f>
        <v/>
      </c>
      <c r="C556" s="167" t="str">
        <f>IF(ISBLANK(DaqBook_RAW_Data!R546),"",DaqBook_RAW_Data!R546)</f>
        <v/>
      </c>
      <c r="D556" s="167" t="str">
        <f>IF(ISBLANK(DaqBook_RAW_Data!S546),"",DaqBook_RAW_Data!S546)</f>
        <v/>
      </c>
      <c r="E556" s="167" t="str">
        <f>IF(ISBLANK(DaqBook_RAW_Data!T546),"",DaqBook_RAW_Data!T546)</f>
        <v/>
      </c>
      <c r="F556" s="167" t="str">
        <f>IF(ISBLANK(DaqBook_RAW_Data!U546),"",DaqBook_RAW_Data!U546)</f>
        <v/>
      </c>
      <c r="G556" s="167" t="str">
        <f>IF(ISBLANK(DaqBook_RAW_Data!V546),"",DaqBook_RAW_Data!V546)</f>
        <v/>
      </c>
      <c r="H556" s="167" t="str">
        <f>IF(ISBLANK(DaqBook_RAW_Data!W546),"",DaqBook_RAW_Data!W546)</f>
        <v/>
      </c>
      <c r="I556" s="167" t="str">
        <f>IF(ISBLANK(DaqBook_RAW_Data!X546),"",DaqBook_RAW_Data!X546)</f>
        <v/>
      </c>
      <c r="J556" s="167" t="str">
        <f>IF(ISBLANK(DaqBook_RAW_Data!Y546),"",DaqBook_RAW_Data!Y546)</f>
        <v/>
      </c>
      <c r="K556" s="167" t="str">
        <f>IF(ISBLANK(DaqBook_RAW_Data!Z546),"",DaqBook_RAW_Data!Z546)</f>
        <v/>
      </c>
      <c r="L556" s="167" t="str">
        <f>IF(ISBLANK(DaqBook_RAW_Data!AA546),"",DaqBook_RAW_Data!AA546)</f>
        <v/>
      </c>
      <c r="M556" s="167" t="str">
        <f>IF(ISBLANK(DaqBook_RAW_Data!AB546),"",DaqBook_RAW_Data!AB546)</f>
        <v/>
      </c>
      <c r="N556" s="167" t="str">
        <f>IF(ISBLANK(DaqBook_RAW_Data!AC546),"",DaqBook_RAW_Data!AC546)</f>
        <v/>
      </c>
      <c r="O556" s="167" t="str">
        <f>IF(ISBLANK(DaqBook_RAW_Data!AD546),"",DaqBook_RAW_Data!AD546)</f>
        <v/>
      </c>
      <c r="P556" s="167" t="str">
        <f>IF(ISBLANK(DaqBook_RAW_Data!AE546),"",DaqBook_RAW_Data!AE546)</f>
        <v/>
      </c>
    </row>
    <row r="557" spans="1:16" x14ac:dyDescent="0.2">
      <c r="A557" s="58" t="e">
        <f t="shared" si="8"/>
        <v>#VALUE!</v>
      </c>
      <c r="B557" s="144" t="str">
        <f>IF(ISBLANK(DaqBook_RAW_Data!Q547),IF(DaqBook_RAW_Data!A547="","",TIMEVALUE(DaqBook_RAW_Data!A547)),TIMEVALUE(DaqBook_RAW_Data!Q547))</f>
        <v/>
      </c>
      <c r="C557" s="167" t="str">
        <f>IF(ISBLANK(DaqBook_RAW_Data!R547),"",DaqBook_RAW_Data!R547)</f>
        <v/>
      </c>
      <c r="D557" s="167" t="str">
        <f>IF(ISBLANK(DaqBook_RAW_Data!S547),"",DaqBook_RAW_Data!S547)</f>
        <v/>
      </c>
      <c r="E557" s="167" t="str">
        <f>IF(ISBLANK(DaqBook_RAW_Data!T547),"",DaqBook_RAW_Data!T547)</f>
        <v/>
      </c>
      <c r="F557" s="167" t="str">
        <f>IF(ISBLANK(DaqBook_RAW_Data!U547),"",DaqBook_RAW_Data!U547)</f>
        <v/>
      </c>
      <c r="G557" s="167" t="str">
        <f>IF(ISBLANK(DaqBook_RAW_Data!V547),"",DaqBook_RAW_Data!V547)</f>
        <v/>
      </c>
      <c r="H557" s="167" t="str">
        <f>IF(ISBLANK(DaqBook_RAW_Data!W547),"",DaqBook_RAW_Data!W547)</f>
        <v/>
      </c>
      <c r="I557" s="167" t="str">
        <f>IF(ISBLANK(DaqBook_RAW_Data!X547),"",DaqBook_RAW_Data!X547)</f>
        <v/>
      </c>
      <c r="J557" s="167" t="str">
        <f>IF(ISBLANK(DaqBook_RAW_Data!Y547),"",DaqBook_RAW_Data!Y547)</f>
        <v/>
      </c>
      <c r="K557" s="167" t="str">
        <f>IF(ISBLANK(DaqBook_RAW_Data!Z547),"",DaqBook_RAW_Data!Z547)</f>
        <v/>
      </c>
      <c r="L557" s="167" t="str">
        <f>IF(ISBLANK(DaqBook_RAW_Data!AA547),"",DaqBook_RAW_Data!AA547)</f>
        <v/>
      </c>
      <c r="M557" s="167" t="str">
        <f>IF(ISBLANK(DaqBook_RAW_Data!AB547),"",DaqBook_RAW_Data!AB547)</f>
        <v/>
      </c>
      <c r="N557" s="167" t="str">
        <f>IF(ISBLANK(DaqBook_RAW_Data!AC547),"",DaqBook_RAW_Data!AC547)</f>
        <v/>
      </c>
      <c r="O557" s="167" t="str">
        <f>IF(ISBLANK(DaqBook_RAW_Data!AD547),"",DaqBook_RAW_Data!AD547)</f>
        <v/>
      </c>
      <c r="P557" s="167" t="str">
        <f>IF(ISBLANK(DaqBook_RAW_Data!AE547),"",DaqBook_RAW_Data!AE547)</f>
        <v/>
      </c>
    </row>
    <row r="558" spans="1:16" x14ac:dyDescent="0.2">
      <c r="A558" s="58" t="e">
        <f t="shared" si="8"/>
        <v>#VALUE!</v>
      </c>
      <c r="B558" s="144" t="str">
        <f>IF(ISBLANK(DaqBook_RAW_Data!Q548),IF(DaqBook_RAW_Data!A548="","",TIMEVALUE(DaqBook_RAW_Data!A548)),TIMEVALUE(DaqBook_RAW_Data!Q548))</f>
        <v/>
      </c>
      <c r="C558" s="167" t="str">
        <f>IF(ISBLANK(DaqBook_RAW_Data!R548),"",DaqBook_RAW_Data!R548)</f>
        <v/>
      </c>
      <c r="D558" s="167" t="str">
        <f>IF(ISBLANK(DaqBook_RAW_Data!S548),"",DaqBook_RAW_Data!S548)</f>
        <v/>
      </c>
      <c r="E558" s="167" t="str">
        <f>IF(ISBLANK(DaqBook_RAW_Data!T548),"",DaqBook_RAW_Data!T548)</f>
        <v/>
      </c>
      <c r="F558" s="167" t="str">
        <f>IF(ISBLANK(DaqBook_RAW_Data!U548),"",DaqBook_RAW_Data!U548)</f>
        <v/>
      </c>
      <c r="G558" s="167" t="str">
        <f>IF(ISBLANK(DaqBook_RAW_Data!V548),"",DaqBook_RAW_Data!V548)</f>
        <v/>
      </c>
      <c r="H558" s="167" t="str">
        <f>IF(ISBLANK(DaqBook_RAW_Data!W548),"",DaqBook_RAW_Data!W548)</f>
        <v/>
      </c>
      <c r="I558" s="167" t="str">
        <f>IF(ISBLANK(DaqBook_RAW_Data!X548),"",DaqBook_RAW_Data!X548)</f>
        <v/>
      </c>
      <c r="J558" s="167" t="str">
        <f>IF(ISBLANK(DaqBook_RAW_Data!Y548),"",DaqBook_RAW_Data!Y548)</f>
        <v/>
      </c>
      <c r="K558" s="167" t="str">
        <f>IF(ISBLANK(DaqBook_RAW_Data!Z548),"",DaqBook_RAW_Data!Z548)</f>
        <v/>
      </c>
      <c r="L558" s="167" t="str">
        <f>IF(ISBLANK(DaqBook_RAW_Data!AA548),"",DaqBook_RAW_Data!AA548)</f>
        <v/>
      </c>
      <c r="M558" s="167" t="str">
        <f>IF(ISBLANK(DaqBook_RAW_Data!AB548),"",DaqBook_RAW_Data!AB548)</f>
        <v/>
      </c>
      <c r="N558" s="167" t="str">
        <f>IF(ISBLANK(DaqBook_RAW_Data!AC548),"",DaqBook_RAW_Data!AC548)</f>
        <v/>
      </c>
      <c r="O558" s="167" t="str">
        <f>IF(ISBLANK(DaqBook_RAW_Data!AD548),"",DaqBook_RAW_Data!AD548)</f>
        <v/>
      </c>
      <c r="P558" s="167" t="str">
        <f>IF(ISBLANK(DaqBook_RAW_Data!AE548),"",DaqBook_RAW_Data!AE548)</f>
        <v/>
      </c>
    </row>
    <row r="559" spans="1:16" x14ac:dyDescent="0.2">
      <c r="A559" s="58" t="e">
        <f t="shared" si="8"/>
        <v>#VALUE!</v>
      </c>
      <c r="B559" s="144" t="str">
        <f>IF(ISBLANK(DaqBook_RAW_Data!Q549),IF(DaqBook_RAW_Data!A549="","",TIMEVALUE(DaqBook_RAW_Data!A549)),TIMEVALUE(DaqBook_RAW_Data!Q549))</f>
        <v/>
      </c>
      <c r="C559" s="167" t="str">
        <f>IF(ISBLANK(DaqBook_RAW_Data!R549),"",DaqBook_RAW_Data!R549)</f>
        <v/>
      </c>
      <c r="D559" s="167" t="str">
        <f>IF(ISBLANK(DaqBook_RAW_Data!S549),"",DaqBook_RAW_Data!S549)</f>
        <v/>
      </c>
      <c r="E559" s="167" t="str">
        <f>IF(ISBLANK(DaqBook_RAW_Data!T549),"",DaqBook_RAW_Data!T549)</f>
        <v/>
      </c>
      <c r="F559" s="167" t="str">
        <f>IF(ISBLANK(DaqBook_RAW_Data!U549),"",DaqBook_RAW_Data!U549)</f>
        <v/>
      </c>
      <c r="G559" s="167" t="str">
        <f>IF(ISBLANK(DaqBook_RAW_Data!V549),"",DaqBook_RAW_Data!V549)</f>
        <v/>
      </c>
      <c r="H559" s="167" t="str">
        <f>IF(ISBLANK(DaqBook_RAW_Data!W549),"",DaqBook_RAW_Data!W549)</f>
        <v/>
      </c>
      <c r="I559" s="167" t="str">
        <f>IF(ISBLANK(DaqBook_RAW_Data!X549),"",DaqBook_RAW_Data!X549)</f>
        <v/>
      </c>
      <c r="J559" s="167" t="str">
        <f>IF(ISBLANK(DaqBook_RAW_Data!Y549),"",DaqBook_RAW_Data!Y549)</f>
        <v/>
      </c>
      <c r="K559" s="167" t="str">
        <f>IF(ISBLANK(DaqBook_RAW_Data!Z549),"",DaqBook_RAW_Data!Z549)</f>
        <v/>
      </c>
      <c r="L559" s="167" t="str">
        <f>IF(ISBLANK(DaqBook_RAW_Data!AA549),"",DaqBook_RAW_Data!AA549)</f>
        <v/>
      </c>
      <c r="M559" s="167" t="str">
        <f>IF(ISBLANK(DaqBook_RAW_Data!AB549),"",DaqBook_RAW_Data!AB549)</f>
        <v/>
      </c>
      <c r="N559" s="167" t="str">
        <f>IF(ISBLANK(DaqBook_RAW_Data!AC549),"",DaqBook_RAW_Data!AC549)</f>
        <v/>
      </c>
      <c r="O559" s="167" t="str">
        <f>IF(ISBLANK(DaqBook_RAW_Data!AD549),"",DaqBook_RAW_Data!AD549)</f>
        <v/>
      </c>
      <c r="P559" s="167" t="str">
        <f>IF(ISBLANK(DaqBook_RAW_Data!AE549),"",DaqBook_RAW_Data!AE549)</f>
        <v/>
      </c>
    </row>
    <row r="560" spans="1:16" x14ac:dyDescent="0.2">
      <c r="A560" s="58" t="e">
        <f t="shared" si="8"/>
        <v>#VALUE!</v>
      </c>
      <c r="B560" s="144" t="str">
        <f>IF(ISBLANK(DaqBook_RAW_Data!Q550),IF(DaqBook_RAW_Data!A550="","",TIMEVALUE(DaqBook_RAW_Data!A550)),TIMEVALUE(DaqBook_RAW_Data!Q550))</f>
        <v/>
      </c>
      <c r="C560" s="167" t="str">
        <f>IF(ISBLANK(DaqBook_RAW_Data!R550),"",DaqBook_RAW_Data!R550)</f>
        <v/>
      </c>
      <c r="D560" s="167" t="str">
        <f>IF(ISBLANK(DaqBook_RAW_Data!S550),"",DaqBook_RAW_Data!S550)</f>
        <v/>
      </c>
      <c r="E560" s="167" t="str">
        <f>IF(ISBLANK(DaqBook_RAW_Data!T550),"",DaqBook_RAW_Data!T550)</f>
        <v/>
      </c>
      <c r="F560" s="167" t="str">
        <f>IF(ISBLANK(DaqBook_RAW_Data!U550),"",DaqBook_RAW_Data!U550)</f>
        <v/>
      </c>
      <c r="G560" s="167" t="str">
        <f>IF(ISBLANK(DaqBook_RAW_Data!V550),"",DaqBook_RAW_Data!V550)</f>
        <v/>
      </c>
      <c r="H560" s="167" t="str">
        <f>IF(ISBLANK(DaqBook_RAW_Data!W550),"",DaqBook_RAW_Data!W550)</f>
        <v/>
      </c>
      <c r="I560" s="167" t="str">
        <f>IF(ISBLANK(DaqBook_RAW_Data!X550),"",DaqBook_RAW_Data!X550)</f>
        <v/>
      </c>
      <c r="J560" s="167" t="str">
        <f>IF(ISBLANK(DaqBook_RAW_Data!Y550),"",DaqBook_RAW_Data!Y550)</f>
        <v/>
      </c>
      <c r="K560" s="167" t="str">
        <f>IF(ISBLANK(DaqBook_RAW_Data!Z550),"",DaqBook_RAW_Data!Z550)</f>
        <v/>
      </c>
      <c r="L560" s="167" t="str">
        <f>IF(ISBLANK(DaqBook_RAW_Data!AA550),"",DaqBook_RAW_Data!AA550)</f>
        <v/>
      </c>
      <c r="M560" s="167" t="str">
        <f>IF(ISBLANK(DaqBook_RAW_Data!AB550),"",DaqBook_RAW_Data!AB550)</f>
        <v/>
      </c>
      <c r="N560" s="167" t="str">
        <f>IF(ISBLANK(DaqBook_RAW_Data!AC550),"",DaqBook_RAW_Data!AC550)</f>
        <v/>
      </c>
      <c r="O560" s="167" t="str">
        <f>IF(ISBLANK(DaqBook_RAW_Data!AD550),"",DaqBook_RAW_Data!AD550)</f>
        <v/>
      </c>
      <c r="P560" s="167" t="str">
        <f>IF(ISBLANK(DaqBook_RAW_Data!AE550),"",DaqBook_RAW_Data!AE550)</f>
        <v/>
      </c>
    </row>
    <row r="561" spans="1:16" x14ac:dyDescent="0.2">
      <c r="A561" s="58" t="e">
        <f t="shared" si="8"/>
        <v>#VALUE!</v>
      </c>
      <c r="B561" s="144" t="str">
        <f>IF(ISBLANK(DaqBook_RAW_Data!Q551),IF(DaqBook_RAW_Data!A551="","",TIMEVALUE(DaqBook_RAW_Data!A551)),TIMEVALUE(DaqBook_RAW_Data!Q551))</f>
        <v/>
      </c>
      <c r="C561" s="167" t="str">
        <f>IF(ISBLANK(DaqBook_RAW_Data!R551),"",DaqBook_RAW_Data!R551)</f>
        <v/>
      </c>
      <c r="D561" s="167" t="str">
        <f>IF(ISBLANK(DaqBook_RAW_Data!S551),"",DaqBook_RAW_Data!S551)</f>
        <v/>
      </c>
      <c r="E561" s="167" t="str">
        <f>IF(ISBLANK(DaqBook_RAW_Data!T551),"",DaqBook_RAW_Data!T551)</f>
        <v/>
      </c>
      <c r="F561" s="167" t="str">
        <f>IF(ISBLANK(DaqBook_RAW_Data!U551),"",DaqBook_RAW_Data!U551)</f>
        <v/>
      </c>
      <c r="G561" s="167" t="str">
        <f>IF(ISBLANK(DaqBook_RAW_Data!V551),"",DaqBook_RAW_Data!V551)</f>
        <v/>
      </c>
      <c r="H561" s="167" t="str">
        <f>IF(ISBLANK(DaqBook_RAW_Data!W551),"",DaqBook_RAW_Data!W551)</f>
        <v/>
      </c>
      <c r="I561" s="167" t="str">
        <f>IF(ISBLANK(DaqBook_RAW_Data!X551),"",DaqBook_RAW_Data!X551)</f>
        <v/>
      </c>
      <c r="J561" s="167" t="str">
        <f>IF(ISBLANK(DaqBook_RAW_Data!Y551),"",DaqBook_RAW_Data!Y551)</f>
        <v/>
      </c>
      <c r="K561" s="167" t="str">
        <f>IF(ISBLANK(DaqBook_RAW_Data!Z551),"",DaqBook_RAW_Data!Z551)</f>
        <v/>
      </c>
      <c r="L561" s="167" t="str">
        <f>IF(ISBLANK(DaqBook_RAW_Data!AA551),"",DaqBook_RAW_Data!AA551)</f>
        <v/>
      </c>
      <c r="M561" s="167" t="str">
        <f>IF(ISBLANK(DaqBook_RAW_Data!AB551),"",DaqBook_RAW_Data!AB551)</f>
        <v/>
      </c>
      <c r="N561" s="167" t="str">
        <f>IF(ISBLANK(DaqBook_RAW_Data!AC551),"",DaqBook_RAW_Data!AC551)</f>
        <v/>
      </c>
      <c r="O561" s="167" t="str">
        <f>IF(ISBLANK(DaqBook_RAW_Data!AD551),"",DaqBook_RAW_Data!AD551)</f>
        <v/>
      </c>
      <c r="P561" s="167" t="str">
        <f>IF(ISBLANK(DaqBook_RAW_Data!AE551),"",DaqBook_RAW_Data!AE551)</f>
        <v/>
      </c>
    </row>
    <row r="562" spans="1:16" x14ac:dyDescent="0.2">
      <c r="A562" s="58" t="e">
        <f t="shared" si="8"/>
        <v>#VALUE!</v>
      </c>
      <c r="B562" s="144" t="str">
        <f>IF(ISBLANK(DaqBook_RAW_Data!Q552),IF(DaqBook_RAW_Data!A552="","",TIMEVALUE(DaqBook_RAW_Data!A552)),TIMEVALUE(DaqBook_RAW_Data!Q552))</f>
        <v/>
      </c>
      <c r="C562" s="167" t="str">
        <f>IF(ISBLANK(DaqBook_RAW_Data!R552),"",DaqBook_RAW_Data!R552)</f>
        <v/>
      </c>
      <c r="D562" s="167" t="str">
        <f>IF(ISBLANK(DaqBook_RAW_Data!S552),"",DaqBook_RAW_Data!S552)</f>
        <v/>
      </c>
      <c r="E562" s="167" t="str">
        <f>IF(ISBLANK(DaqBook_RAW_Data!T552),"",DaqBook_RAW_Data!T552)</f>
        <v/>
      </c>
      <c r="F562" s="167" t="str">
        <f>IF(ISBLANK(DaqBook_RAW_Data!U552),"",DaqBook_RAW_Data!U552)</f>
        <v/>
      </c>
      <c r="G562" s="167" t="str">
        <f>IF(ISBLANK(DaqBook_RAW_Data!V552),"",DaqBook_RAW_Data!V552)</f>
        <v/>
      </c>
      <c r="H562" s="167" t="str">
        <f>IF(ISBLANK(DaqBook_RAW_Data!W552),"",DaqBook_RAW_Data!W552)</f>
        <v/>
      </c>
      <c r="I562" s="167" t="str">
        <f>IF(ISBLANK(DaqBook_RAW_Data!X552),"",DaqBook_RAW_Data!X552)</f>
        <v/>
      </c>
      <c r="J562" s="167" t="str">
        <f>IF(ISBLANK(DaqBook_RAW_Data!Y552),"",DaqBook_RAW_Data!Y552)</f>
        <v/>
      </c>
      <c r="K562" s="167" t="str">
        <f>IF(ISBLANK(DaqBook_RAW_Data!Z552),"",DaqBook_RAW_Data!Z552)</f>
        <v/>
      </c>
      <c r="L562" s="167" t="str">
        <f>IF(ISBLANK(DaqBook_RAW_Data!AA552),"",DaqBook_RAW_Data!AA552)</f>
        <v/>
      </c>
      <c r="M562" s="167" t="str">
        <f>IF(ISBLANK(DaqBook_RAW_Data!AB552),"",DaqBook_RAW_Data!AB552)</f>
        <v/>
      </c>
      <c r="N562" s="167" t="str">
        <f>IF(ISBLANK(DaqBook_RAW_Data!AC552),"",DaqBook_RAW_Data!AC552)</f>
        <v/>
      </c>
      <c r="O562" s="167" t="str">
        <f>IF(ISBLANK(DaqBook_RAW_Data!AD552),"",DaqBook_RAW_Data!AD552)</f>
        <v/>
      </c>
      <c r="P562" s="167" t="str">
        <f>IF(ISBLANK(DaqBook_RAW_Data!AE552),"",DaqBook_RAW_Data!AE552)</f>
        <v/>
      </c>
    </row>
    <row r="563" spans="1:16" x14ac:dyDescent="0.2">
      <c r="A563" s="58" t="e">
        <f t="shared" si="8"/>
        <v>#VALUE!</v>
      </c>
      <c r="B563" s="144" t="str">
        <f>IF(ISBLANK(DaqBook_RAW_Data!Q553),IF(DaqBook_RAW_Data!A553="","",TIMEVALUE(DaqBook_RAW_Data!A553)),TIMEVALUE(DaqBook_RAW_Data!Q553))</f>
        <v/>
      </c>
      <c r="C563" s="167" t="str">
        <f>IF(ISBLANK(DaqBook_RAW_Data!R553),"",DaqBook_RAW_Data!R553)</f>
        <v/>
      </c>
      <c r="D563" s="167" t="str">
        <f>IF(ISBLANK(DaqBook_RAW_Data!S553),"",DaqBook_RAW_Data!S553)</f>
        <v/>
      </c>
      <c r="E563" s="167" t="str">
        <f>IF(ISBLANK(DaqBook_RAW_Data!T553),"",DaqBook_RAW_Data!T553)</f>
        <v/>
      </c>
      <c r="F563" s="167" t="str">
        <f>IF(ISBLANK(DaqBook_RAW_Data!U553),"",DaqBook_RAW_Data!U553)</f>
        <v/>
      </c>
      <c r="G563" s="167" t="str">
        <f>IF(ISBLANK(DaqBook_RAW_Data!V553),"",DaqBook_RAW_Data!V553)</f>
        <v/>
      </c>
      <c r="H563" s="167" t="str">
        <f>IF(ISBLANK(DaqBook_RAW_Data!W553),"",DaqBook_RAW_Data!W553)</f>
        <v/>
      </c>
      <c r="I563" s="167" t="str">
        <f>IF(ISBLANK(DaqBook_RAW_Data!X553),"",DaqBook_RAW_Data!X553)</f>
        <v/>
      </c>
      <c r="J563" s="167" t="str">
        <f>IF(ISBLANK(DaqBook_RAW_Data!Y553),"",DaqBook_RAW_Data!Y553)</f>
        <v/>
      </c>
      <c r="K563" s="167" t="str">
        <f>IF(ISBLANK(DaqBook_RAW_Data!Z553),"",DaqBook_RAW_Data!Z553)</f>
        <v/>
      </c>
      <c r="L563" s="167" t="str">
        <f>IF(ISBLANK(DaqBook_RAW_Data!AA553),"",DaqBook_RAW_Data!AA553)</f>
        <v/>
      </c>
      <c r="M563" s="167" t="str">
        <f>IF(ISBLANK(DaqBook_RAW_Data!AB553),"",DaqBook_RAW_Data!AB553)</f>
        <v/>
      </c>
      <c r="N563" s="167" t="str">
        <f>IF(ISBLANK(DaqBook_RAW_Data!AC553),"",DaqBook_RAW_Data!AC553)</f>
        <v/>
      </c>
      <c r="O563" s="167" t="str">
        <f>IF(ISBLANK(DaqBook_RAW_Data!AD553),"",DaqBook_RAW_Data!AD553)</f>
        <v/>
      </c>
      <c r="P563" s="167" t="str">
        <f>IF(ISBLANK(DaqBook_RAW_Data!AE553),"",DaqBook_RAW_Data!AE553)</f>
        <v/>
      </c>
    </row>
    <row r="564" spans="1:16" x14ac:dyDescent="0.2">
      <c r="A564" s="58" t="e">
        <f t="shared" si="8"/>
        <v>#VALUE!</v>
      </c>
      <c r="B564" s="144" t="str">
        <f>IF(ISBLANK(DaqBook_RAW_Data!Q554),IF(DaqBook_RAW_Data!A554="","",TIMEVALUE(DaqBook_RAW_Data!A554)),TIMEVALUE(DaqBook_RAW_Data!Q554))</f>
        <v/>
      </c>
      <c r="C564" s="167" t="str">
        <f>IF(ISBLANK(DaqBook_RAW_Data!R554),"",DaqBook_RAW_Data!R554)</f>
        <v/>
      </c>
      <c r="D564" s="167" t="str">
        <f>IF(ISBLANK(DaqBook_RAW_Data!S554),"",DaqBook_RAW_Data!S554)</f>
        <v/>
      </c>
      <c r="E564" s="167" t="str">
        <f>IF(ISBLANK(DaqBook_RAW_Data!T554),"",DaqBook_RAW_Data!T554)</f>
        <v/>
      </c>
      <c r="F564" s="167" t="str">
        <f>IF(ISBLANK(DaqBook_RAW_Data!U554),"",DaqBook_RAW_Data!U554)</f>
        <v/>
      </c>
      <c r="G564" s="167" t="str">
        <f>IF(ISBLANK(DaqBook_RAW_Data!V554),"",DaqBook_RAW_Data!V554)</f>
        <v/>
      </c>
      <c r="H564" s="167" t="str">
        <f>IF(ISBLANK(DaqBook_RAW_Data!W554),"",DaqBook_RAW_Data!W554)</f>
        <v/>
      </c>
      <c r="I564" s="167" t="str">
        <f>IF(ISBLANK(DaqBook_RAW_Data!X554),"",DaqBook_RAW_Data!X554)</f>
        <v/>
      </c>
      <c r="J564" s="167" t="str">
        <f>IF(ISBLANK(DaqBook_RAW_Data!Y554),"",DaqBook_RAW_Data!Y554)</f>
        <v/>
      </c>
      <c r="K564" s="167" t="str">
        <f>IF(ISBLANK(DaqBook_RAW_Data!Z554),"",DaqBook_RAW_Data!Z554)</f>
        <v/>
      </c>
      <c r="L564" s="167" t="str">
        <f>IF(ISBLANK(DaqBook_RAW_Data!AA554),"",DaqBook_RAW_Data!AA554)</f>
        <v/>
      </c>
      <c r="M564" s="167" t="str">
        <f>IF(ISBLANK(DaqBook_RAW_Data!AB554),"",DaqBook_RAW_Data!AB554)</f>
        <v/>
      </c>
      <c r="N564" s="167" t="str">
        <f>IF(ISBLANK(DaqBook_RAW_Data!AC554),"",DaqBook_RAW_Data!AC554)</f>
        <v/>
      </c>
      <c r="O564" s="167" t="str">
        <f>IF(ISBLANK(DaqBook_RAW_Data!AD554),"",DaqBook_RAW_Data!AD554)</f>
        <v/>
      </c>
      <c r="P564" s="167" t="str">
        <f>IF(ISBLANK(DaqBook_RAW_Data!AE554),"",DaqBook_RAW_Data!AE554)</f>
        <v/>
      </c>
    </row>
    <row r="565" spans="1:16" x14ac:dyDescent="0.2">
      <c r="A565" s="58" t="e">
        <f t="shared" si="8"/>
        <v>#VALUE!</v>
      </c>
      <c r="B565" s="144" t="str">
        <f>IF(ISBLANK(DaqBook_RAW_Data!Q555),IF(DaqBook_RAW_Data!A555="","",TIMEVALUE(DaqBook_RAW_Data!A555)),TIMEVALUE(DaqBook_RAW_Data!Q555))</f>
        <v/>
      </c>
      <c r="C565" s="167" t="str">
        <f>IF(ISBLANK(DaqBook_RAW_Data!R555),"",DaqBook_RAW_Data!R555)</f>
        <v/>
      </c>
      <c r="D565" s="167" t="str">
        <f>IF(ISBLANK(DaqBook_RAW_Data!S555),"",DaqBook_RAW_Data!S555)</f>
        <v/>
      </c>
      <c r="E565" s="167" t="str">
        <f>IF(ISBLANK(DaqBook_RAW_Data!T555),"",DaqBook_RAW_Data!T555)</f>
        <v/>
      </c>
      <c r="F565" s="167" t="str">
        <f>IF(ISBLANK(DaqBook_RAW_Data!U555),"",DaqBook_RAW_Data!U555)</f>
        <v/>
      </c>
      <c r="G565" s="167" t="str">
        <f>IF(ISBLANK(DaqBook_RAW_Data!V555),"",DaqBook_RAW_Data!V555)</f>
        <v/>
      </c>
      <c r="H565" s="167" t="str">
        <f>IF(ISBLANK(DaqBook_RAW_Data!W555),"",DaqBook_RAW_Data!W555)</f>
        <v/>
      </c>
      <c r="I565" s="167" t="str">
        <f>IF(ISBLANK(DaqBook_RAW_Data!X555),"",DaqBook_RAW_Data!X555)</f>
        <v/>
      </c>
      <c r="J565" s="167" t="str">
        <f>IF(ISBLANK(DaqBook_RAW_Data!Y555),"",DaqBook_RAW_Data!Y555)</f>
        <v/>
      </c>
      <c r="K565" s="167" t="str">
        <f>IF(ISBLANK(DaqBook_RAW_Data!Z555),"",DaqBook_RAW_Data!Z555)</f>
        <v/>
      </c>
      <c r="L565" s="167" t="str">
        <f>IF(ISBLANK(DaqBook_RAW_Data!AA555),"",DaqBook_RAW_Data!AA555)</f>
        <v/>
      </c>
      <c r="M565" s="167" t="str">
        <f>IF(ISBLANK(DaqBook_RAW_Data!AB555),"",DaqBook_RAW_Data!AB555)</f>
        <v/>
      </c>
      <c r="N565" s="167" t="str">
        <f>IF(ISBLANK(DaqBook_RAW_Data!AC555),"",DaqBook_RAW_Data!AC555)</f>
        <v/>
      </c>
      <c r="O565" s="167" t="str">
        <f>IF(ISBLANK(DaqBook_RAW_Data!AD555),"",DaqBook_RAW_Data!AD555)</f>
        <v/>
      </c>
      <c r="P565" s="167" t="str">
        <f>IF(ISBLANK(DaqBook_RAW_Data!AE555),"",DaqBook_RAW_Data!AE555)</f>
        <v/>
      </c>
    </row>
    <row r="566" spans="1:16" x14ac:dyDescent="0.2">
      <c r="A566" s="58" t="e">
        <f t="shared" si="8"/>
        <v>#VALUE!</v>
      </c>
      <c r="B566" s="144" t="str">
        <f>IF(ISBLANK(DaqBook_RAW_Data!Q556),IF(DaqBook_RAW_Data!A556="","",TIMEVALUE(DaqBook_RAW_Data!A556)),TIMEVALUE(DaqBook_RAW_Data!Q556))</f>
        <v/>
      </c>
      <c r="C566" s="167" t="str">
        <f>IF(ISBLANK(DaqBook_RAW_Data!R556),"",DaqBook_RAW_Data!R556)</f>
        <v/>
      </c>
      <c r="D566" s="167" t="str">
        <f>IF(ISBLANK(DaqBook_RAW_Data!S556),"",DaqBook_RAW_Data!S556)</f>
        <v/>
      </c>
      <c r="E566" s="167" t="str">
        <f>IF(ISBLANK(DaqBook_RAW_Data!T556),"",DaqBook_RAW_Data!T556)</f>
        <v/>
      </c>
      <c r="F566" s="167" t="str">
        <f>IF(ISBLANK(DaqBook_RAW_Data!U556),"",DaqBook_RAW_Data!U556)</f>
        <v/>
      </c>
      <c r="G566" s="167" t="str">
        <f>IF(ISBLANK(DaqBook_RAW_Data!V556),"",DaqBook_RAW_Data!V556)</f>
        <v/>
      </c>
      <c r="H566" s="167" t="str">
        <f>IF(ISBLANK(DaqBook_RAW_Data!W556),"",DaqBook_RAW_Data!W556)</f>
        <v/>
      </c>
      <c r="I566" s="167" t="str">
        <f>IF(ISBLANK(DaqBook_RAW_Data!X556),"",DaqBook_RAW_Data!X556)</f>
        <v/>
      </c>
      <c r="J566" s="167" t="str">
        <f>IF(ISBLANK(DaqBook_RAW_Data!Y556),"",DaqBook_RAW_Data!Y556)</f>
        <v/>
      </c>
      <c r="K566" s="167" t="str">
        <f>IF(ISBLANK(DaqBook_RAW_Data!Z556),"",DaqBook_RAW_Data!Z556)</f>
        <v/>
      </c>
      <c r="L566" s="167" t="str">
        <f>IF(ISBLANK(DaqBook_RAW_Data!AA556),"",DaqBook_RAW_Data!AA556)</f>
        <v/>
      </c>
      <c r="M566" s="167" t="str">
        <f>IF(ISBLANK(DaqBook_RAW_Data!AB556),"",DaqBook_RAW_Data!AB556)</f>
        <v/>
      </c>
      <c r="N566" s="167" t="str">
        <f>IF(ISBLANK(DaqBook_RAW_Data!AC556),"",DaqBook_RAW_Data!AC556)</f>
        <v/>
      </c>
      <c r="O566" s="167" t="str">
        <f>IF(ISBLANK(DaqBook_RAW_Data!AD556),"",DaqBook_RAW_Data!AD556)</f>
        <v/>
      </c>
      <c r="P566" s="167" t="str">
        <f>IF(ISBLANK(DaqBook_RAW_Data!AE556),"",DaqBook_RAW_Data!AE556)</f>
        <v/>
      </c>
    </row>
    <row r="567" spans="1:16" x14ac:dyDescent="0.2">
      <c r="A567" s="58" t="e">
        <f t="shared" si="8"/>
        <v>#VALUE!</v>
      </c>
      <c r="B567" s="144" t="str">
        <f>IF(ISBLANK(DaqBook_RAW_Data!Q557),IF(DaqBook_RAW_Data!A557="","",TIMEVALUE(DaqBook_RAW_Data!A557)),TIMEVALUE(DaqBook_RAW_Data!Q557))</f>
        <v/>
      </c>
      <c r="C567" s="167" t="str">
        <f>IF(ISBLANK(DaqBook_RAW_Data!R557),"",DaqBook_RAW_Data!R557)</f>
        <v/>
      </c>
      <c r="D567" s="167" t="str">
        <f>IF(ISBLANK(DaqBook_RAW_Data!S557),"",DaqBook_RAW_Data!S557)</f>
        <v/>
      </c>
      <c r="E567" s="167" t="str">
        <f>IF(ISBLANK(DaqBook_RAW_Data!T557),"",DaqBook_RAW_Data!T557)</f>
        <v/>
      </c>
      <c r="F567" s="167" t="str">
        <f>IF(ISBLANK(DaqBook_RAW_Data!U557),"",DaqBook_RAW_Data!U557)</f>
        <v/>
      </c>
      <c r="G567" s="167" t="str">
        <f>IF(ISBLANK(DaqBook_RAW_Data!V557),"",DaqBook_RAW_Data!V557)</f>
        <v/>
      </c>
      <c r="H567" s="167" t="str">
        <f>IF(ISBLANK(DaqBook_RAW_Data!W557),"",DaqBook_RAW_Data!W557)</f>
        <v/>
      </c>
      <c r="I567" s="167" t="str">
        <f>IF(ISBLANK(DaqBook_RAW_Data!X557),"",DaqBook_RAW_Data!X557)</f>
        <v/>
      </c>
      <c r="J567" s="167" t="str">
        <f>IF(ISBLANK(DaqBook_RAW_Data!Y557),"",DaqBook_RAW_Data!Y557)</f>
        <v/>
      </c>
      <c r="K567" s="167" t="str">
        <f>IF(ISBLANK(DaqBook_RAW_Data!Z557),"",DaqBook_RAW_Data!Z557)</f>
        <v/>
      </c>
      <c r="L567" s="167" t="str">
        <f>IF(ISBLANK(DaqBook_RAW_Data!AA557),"",DaqBook_RAW_Data!AA557)</f>
        <v/>
      </c>
      <c r="M567" s="167" t="str">
        <f>IF(ISBLANK(DaqBook_RAW_Data!AB557),"",DaqBook_RAW_Data!AB557)</f>
        <v/>
      </c>
      <c r="N567" s="167" t="str">
        <f>IF(ISBLANK(DaqBook_RAW_Data!AC557),"",DaqBook_RAW_Data!AC557)</f>
        <v/>
      </c>
      <c r="O567" s="167" t="str">
        <f>IF(ISBLANK(DaqBook_RAW_Data!AD557),"",DaqBook_RAW_Data!AD557)</f>
        <v/>
      </c>
      <c r="P567" s="167" t="str">
        <f>IF(ISBLANK(DaqBook_RAW_Data!AE557),"",DaqBook_RAW_Data!AE557)</f>
        <v/>
      </c>
    </row>
    <row r="568" spans="1:16" x14ac:dyDescent="0.2">
      <c r="A568" s="58" t="e">
        <f t="shared" si="8"/>
        <v>#VALUE!</v>
      </c>
      <c r="B568" s="144" t="str">
        <f>IF(ISBLANK(DaqBook_RAW_Data!Q558),IF(DaqBook_RAW_Data!A558="","",TIMEVALUE(DaqBook_RAW_Data!A558)),TIMEVALUE(DaqBook_RAW_Data!Q558))</f>
        <v/>
      </c>
      <c r="C568" s="167" t="str">
        <f>IF(ISBLANK(DaqBook_RAW_Data!R558),"",DaqBook_RAW_Data!R558)</f>
        <v/>
      </c>
      <c r="D568" s="167" t="str">
        <f>IF(ISBLANK(DaqBook_RAW_Data!S558),"",DaqBook_RAW_Data!S558)</f>
        <v/>
      </c>
      <c r="E568" s="167" t="str">
        <f>IF(ISBLANK(DaqBook_RAW_Data!T558),"",DaqBook_RAW_Data!T558)</f>
        <v/>
      </c>
      <c r="F568" s="167" t="str">
        <f>IF(ISBLANK(DaqBook_RAW_Data!U558),"",DaqBook_RAW_Data!U558)</f>
        <v/>
      </c>
      <c r="G568" s="167" t="str">
        <f>IF(ISBLANK(DaqBook_RAW_Data!V558),"",DaqBook_RAW_Data!V558)</f>
        <v/>
      </c>
      <c r="H568" s="167" t="str">
        <f>IF(ISBLANK(DaqBook_RAW_Data!W558),"",DaqBook_RAW_Data!W558)</f>
        <v/>
      </c>
      <c r="I568" s="167" t="str">
        <f>IF(ISBLANK(DaqBook_RAW_Data!X558),"",DaqBook_RAW_Data!X558)</f>
        <v/>
      </c>
      <c r="J568" s="167" t="str">
        <f>IF(ISBLANK(DaqBook_RAW_Data!Y558),"",DaqBook_RAW_Data!Y558)</f>
        <v/>
      </c>
      <c r="K568" s="167" t="str">
        <f>IF(ISBLANK(DaqBook_RAW_Data!Z558),"",DaqBook_RAW_Data!Z558)</f>
        <v/>
      </c>
      <c r="L568" s="167" t="str">
        <f>IF(ISBLANK(DaqBook_RAW_Data!AA558),"",DaqBook_RAW_Data!AA558)</f>
        <v/>
      </c>
      <c r="M568" s="167" t="str">
        <f>IF(ISBLANK(DaqBook_RAW_Data!AB558),"",DaqBook_RAW_Data!AB558)</f>
        <v/>
      </c>
      <c r="N568" s="167" t="str">
        <f>IF(ISBLANK(DaqBook_RAW_Data!AC558),"",DaqBook_RAW_Data!AC558)</f>
        <v/>
      </c>
      <c r="O568" s="167" t="str">
        <f>IF(ISBLANK(DaqBook_RAW_Data!AD558),"",DaqBook_RAW_Data!AD558)</f>
        <v/>
      </c>
      <c r="P568" s="167" t="str">
        <f>IF(ISBLANK(DaqBook_RAW_Data!AE558),"",DaqBook_RAW_Data!AE558)</f>
        <v/>
      </c>
    </row>
    <row r="569" spans="1:16" x14ac:dyDescent="0.2">
      <c r="A569" s="58" t="e">
        <f t="shared" si="8"/>
        <v>#VALUE!</v>
      </c>
      <c r="B569" s="144" t="str">
        <f>IF(ISBLANK(DaqBook_RAW_Data!Q559),IF(DaqBook_RAW_Data!A559="","",TIMEVALUE(DaqBook_RAW_Data!A559)),TIMEVALUE(DaqBook_RAW_Data!Q559))</f>
        <v/>
      </c>
      <c r="C569" s="167" t="str">
        <f>IF(ISBLANK(DaqBook_RAW_Data!R559),"",DaqBook_RAW_Data!R559)</f>
        <v/>
      </c>
      <c r="D569" s="167" t="str">
        <f>IF(ISBLANK(DaqBook_RAW_Data!S559),"",DaqBook_RAW_Data!S559)</f>
        <v/>
      </c>
      <c r="E569" s="167" t="str">
        <f>IF(ISBLANK(DaqBook_RAW_Data!T559),"",DaqBook_RAW_Data!T559)</f>
        <v/>
      </c>
      <c r="F569" s="167" t="str">
        <f>IF(ISBLANK(DaqBook_RAW_Data!U559),"",DaqBook_RAW_Data!U559)</f>
        <v/>
      </c>
      <c r="G569" s="167" t="str">
        <f>IF(ISBLANK(DaqBook_RAW_Data!V559),"",DaqBook_RAW_Data!V559)</f>
        <v/>
      </c>
      <c r="H569" s="167" t="str">
        <f>IF(ISBLANK(DaqBook_RAW_Data!W559),"",DaqBook_RAW_Data!W559)</f>
        <v/>
      </c>
      <c r="I569" s="167" t="str">
        <f>IF(ISBLANK(DaqBook_RAW_Data!X559),"",DaqBook_RAW_Data!X559)</f>
        <v/>
      </c>
      <c r="J569" s="167" t="str">
        <f>IF(ISBLANK(DaqBook_RAW_Data!Y559),"",DaqBook_RAW_Data!Y559)</f>
        <v/>
      </c>
      <c r="K569" s="167" t="str">
        <f>IF(ISBLANK(DaqBook_RAW_Data!Z559),"",DaqBook_RAW_Data!Z559)</f>
        <v/>
      </c>
      <c r="L569" s="167" t="str">
        <f>IF(ISBLANK(DaqBook_RAW_Data!AA559),"",DaqBook_RAW_Data!AA559)</f>
        <v/>
      </c>
      <c r="M569" s="167" t="str">
        <f>IF(ISBLANK(DaqBook_RAW_Data!AB559),"",DaqBook_RAW_Data!AB559)</f>
        <v/>
      </c>
      <c r="N569" s="167" t="str">
        <f>IF(ISBLANK(DaqBook_RAW_Data!AC559),"",DaqBook_RAW_Data!AC559)</f>
        <v/>
      </c>
      <c r="O569" s="167" t="str">
        <f>IF(ISBLANK(DaqBook_RAW_Data!AD559),"",DaqBook_RAW_Data!AD559)</f>
        <v/>
      </c>
      <c r="P569" s="167" t="str">
        <f>IF(ISBLANK(DaqBook_RAW_Data!AE559),"",DaqBook_RAW_Data!AE559)</f>
        <v/>
      </c>
    </row>
    <row r="570" spans="1:16" x14ac:dyDescent="0.2">
      <c r="A570" s="58" t="e">
        <f t="shared" si="8"/>
        <v>#VALUE!</v>
      </c>
      <c r="B570" s="144" t="str">
        <f>IF(ISBLANK(DaqBook_RAW_Data!Q560),IF(DaqBook_RAW_Data!A560="","",TIMEVALUE(DaqBook_RAW_Data!A560)),TIMEVALUE(DaqBook_RAW_Data!Q560))</f>
        <v/>
      </c>
      <c r="C570" s="167" t="str">
        <f>IF(ISBLANK(DaqBook_RAW_Data!R560),"",DaqBook_RAW_Data!R560)</f>
        <v/>
      </c>
      <c r="D570" s="167" t="str">
        <f>IF(ISBLANK(DaqBook_RAW_Data!S560),"",DaqBook_RAW_Data!S560)</f>
        <v/>
      </c>
      <c r="E570" s="167" t="str">
        <f>IF(ISBLANK(DaqBook_RAW_Data!T560),"",DaqBook_RAW_Data!T560)</f>
        <v/>
      </c>
      <c r="F570" s="167" t="str">
        <f>IF(ISBLANK(DaqBook_RAW_Data!U560),"",DaqBook_RAW_Data!U560)</f>
        <v/>
      </c>
      <c r="G570" s="167" t="str">
        <f>IF(ISBLANK(DaqBook_RAW_Data!V560),"",DaqBook_RAW_Data!V560)</f>
        <v/>
      </c>
      <c r="H570" s="167" t="str">
        <f>IF(ISBLANK(DaqBook_RAW_Data!W560),"",DaqBook_RAW_Data!W560)</f>
        <v/>
      </c>
      <c r="I570" s="167" t="str">
        <f>IF(ISBLANK(DaqBook_RAW_Data!X560),"",DaqBook_RAW_Data!X560)</f>
        <v/>
      </c>
      <c r="J570" s="167" t="str">
        <f>IF(ISBLANK(DaqBook_RAW_Data!Y560),"",DaqBook_RAW_Data!Y560)</f>
        <v/>
      </c>
      <c r="K570" s="167" t="str">
        <f>IF(ISBLANK(DaqBook_RAW_Data!Z560),"",DaqBook_RAW_Data!Z560)</f>
        <v/>
      </c>
      <c r="L570" s="167" t="str">
        <f>IF(ISBLANK(DaqBook_RAW_Data!AA560),"",DaqBook_RAW_Data!AA560)</f>
        <v/>
      </c>
      <c r="M570" s="167" t="str">
        <f>IF(ISBLANK(DaqBook_RAW_Data!AB560),"",DaqBook_RAW_Data!AB560)</f>
        <v/>
      </c>
      <c r="N570" s="167" t="str">
        <f>IF(ISBLANK(DaqBook_RAW_Data!AC560),"",DaqBook_RAW_Data!AC560)</f>
        <v/>
      </c>
      <c r="O570" s="167" t="str">
        <f>IF(ISBLANK(DaqBook_RAW_Data!AD560),"",DaqBook_RAW_Data!AD560)</f>
        <v/>
      </c>
      <c r="P570" s="167" t="str">
        <f>IF(ISBLANK(DaqBook_RAW_Data!AE560),"",DaqBook_RAW_Data!AE560)</f>
        <v/>
      </c>
    </row>
    <row r="571" spans="1:16" x14ac:dyDescent="0.2">
      <c r="A571" s="58" t="e">
        <f t="shared" si="8"/>
        <v>#VALUE!</v>
      </c>
      <c r="B571" s="144" t="str">
        <f>IF(ISBLANK(DaqBook_RAW_Data!Q561),IF(DaqBook_RAW_Data!A561="","",TIMEVALUE(DaqBook_RAW_Data!A561)),TIMEVALUE(DaqBook_RAW_Data!Q561))</f>
        <v/>
      </c>
      <c r="C571" s="167" t="str">
        <f>IF(ISBLANK(DaqBook_RAW_Data!R561),"",DaqBook_RAW_Data!R561)</f>
        <v/>
      </c>
      <c r="D571" s="167" t="str">
        <f>IF(ISBLANK(DaqBook_RAW_Data!S561),"",DaqBook_RAW_Data!S561)</f>
        <v/>
      </c>
      <c r="E571" s="167" t="str">
        <f>IF(ISBLANK(DaqBook_RAW_Data!T561),"",DaqBook_RAW_Data!T561)</f>
        <v/>
      </c>
      <c r="F571" s="167" t="str">
        <f>IF(ISBLANK(DaqBook_RAW_Data!U561),"",DaqBook_RAW_Data!U561)</f>
        <v/>
      </c>
      <c r="G571" s="167" t="str">
        <f>IF(ISBLANK(DaqBook_RAW_Data!V561),"",DaqBook_RAW_Data!V561)</f>
        <v/>
      </c>
      <c r="H571" s="167" t="str">
        <f>IF(ISBLANK(DaqBook_RAW_Data!W561),"",DaqBook_RAW_Data!W561)</f>
        <v/>
      </c>
      <c r="I571" s="167" t="str">
        <f>IF(ISBLANK(DaqBook_RAW_Data!X561),"",DaqBook_RAW_Data!X561)</f>
        <v/>
      </c>
      <c r="J571" s="167" t="str">
        <f>IF(ISBLANK(DaqBook_RAW_Data!Y561),"",DaqBook_RAW_Data!Y561)</f>
        <v/>
      </c>
      <c r="K571" s="167" t="str">
        <f>IF(ISBLANK(DaqBook_RAW_Data!Z561),"",DaqBook_RAW_Data!Z561)</f>
        <v/>
      </c>
      <c r="L571" s="167" t="str">
        <f>IF(ISBLANK(DaqBook_RAW_Data!AA561),"",DaqBook_RAW_Data!AA561)</f>
        <v/>
      </c>
      <c r="M571" s="167" t="str">
        <f>IF(ISBLANK(DaqBook_RAW_Data!AB561),"",DaqBook_RAW_Data!AB561)</f>
        <v/>
      </c>
      <c r="N571" s="167" t="str">
        <f>IF(ISBLANK(DaqBook_RAW_Data!AC561),"",DaqBook_RAW_Data!AC561)</f>
        <v/>
      </c>
      <c r="O571" s="167" t="str">
        <f>IF(ISBLANK(DaqBook_RAW_Data!AD561),"",DaqBook_RAW_Data!AD561)</f>
        <v/>
      </c>
      <c r="P571" s="167" t="str">
        <f>IF(ISBLANK(DaqBook_RAW_Data!AE561),"",DaqBook_RAW_Data!AE561)</f>
        <v/>
      </c>
    </row>
    <row r="572" spans="1:16" x14ac:dyDescent="0.2">
      <c r="A572" s="58" t="e">
        <f t="shared" si="8"/>
        <v>#VALUE!</v>
      </c>
      <c r="B572" s="144" t="str">
        <f>IF(ISBLANK(DaqBook_RAW_Data!Q562),IF(DaqBook_RAW_Data!A562="","",TIMEVALUE(DaqBook_RAW_Data!A562)),TIMEVALUE(DaqBook_RAW_Data!Q562))</f>
        <v/>
      </c>
      <c r="C572" s="167" t="str">
        <f>IF(ISBLANK(DaqBook_RAW_Data!R562),"",DaqBook_RAW_Data!R562)</f>
        <v/>
      </c>
      <c r="D572" s="167" t="str">
        <f>IF(ISBLANK(DaqBook_RAW_Data!S562),"",DaqBook_RAW_Data!S562)</f>
        <v/>
      </c>
      <c r="E572" s="167" t="str">
        <f>IF(ISBLANK(DaqBook_RAW_Data!T562),"",DaqBook_RAW_Data!T562)</f>
        <v/>
      </c>
      <c r="F572" s="167" t="str">
        <f>IF(ISBLANK(DaqBook_RAW_Data!U562),"",DaqBook_RAW_Data!U562)</f>
        <v/>
      </c>
      <c r="G572" s="167" t="str">
        <f>IF(ISBLANK(DaqBook_RAW_Data!V562),"",DaqBook_RAW_Data!V562)</f>
        <v/>
      </c>
      <c r="H572" s="167" t="str">
        <f>IF(ISBLANK(DaqBook_RAW_Data!W562),"",DaqBook_RAW_Data!W562)</f>
        <v/>
      </c>
      <c r="I572" s="167" t="str">
        <f>IF(ISBLANK(DaqBook_RAW_Data!X562),"",DaqBook_RAW_Data!X562)</f>
        <v/>
      </c>
      <c r="J572" s="167" t="str">
        <f>IF(ISBLANK(DaqBook_RAW_Data!Y562),"",DaqBook_RAW_Data!Y562)</f>
        <v/>
      </c>
      <c r="K572" s="167" t="str">
        <f>IF(ISBLANK(DaqBook_RAW_Data!Z562),"",DaqBook_RAW_Data!Z562)</f>
        <v/>
      </c>
      <c r="L572" s="167" t="str">
        <f>IF(ISBLANK(DaqBook_RAW_Data!AA562),"",DaqBook_RAW_Data!AA562)</f>
        <v/>
      </c>
      <c r="M572" s="167" t="str">
        <f>IF(ISBLANK(DaqBook_RAW_Data!AB562),"",DaqBook_RAW_Data!AB562)</f>
        <v/>
      </c>
      <c r="N572" s="167" t="str">
        <f>IF(ISBLANK(DaqBook_RAW_Data!AC562),"",DaqBook_RAW_Data!AC562)</f>
        <v/>
      </c>
      <c r="O572" s="167" t="str">
        <f>IF(ISBLANK(DaqBook_RAW_Data!AD562),"",DaqBook_RAW_Data!AD562)</f>
        <v/>
      </c>
      <c r="P572" s="167" t="str">
        <f>IF(ISBLANK(DaqBook_RAW_Data!AE562),"",DaqBook_RAW_Data!AE562)</f>
        <v/>
      </c>
    </row>
    <row r="573" spans="1:16" x14ac:dyDescent="0.2">
      <c r="A573" s="58" t="e">
        <f t="shared" si="8"/>
        <v>#VALUE!</v>
      </c>
      <c r="B573" s="144" t="str">
        <f>IF(ISBLANK(DaqBook_RAW_Data!Q563),IF(DaqBook_RAW_Data!A563="","",TIMEVALUE(DaqBook_RAW_Data!A563)),TIMEVALUE(DaqBook_RAW_Data!Q563))</f>
        <v/>
      </c>
      <c r="C573" s="167" t="str">
        <f>IF(ISBLANK(DaqBook_RAW_Data!R563),"",DaqBook_RAW_Data!R563)</f>
        <v/>
      </c>
      <c r="D573" s="167" t="str">
        <f>IF(ISBLANK(DaqBook_RAW_Data!S563),"",DaqBook_RAW_Data!S563)</f>
        <v/>
      </c>
      <c r="E573" s="167" t="str">
        <f>IF(ISBLANK(DaqBook_RAW_Data!T563),"",DaqBook_RAW_Data!T563)</f>
        <v/>
      </c>
      <c r="F573" s="167" t="str">
        <f>IF(ISBLANK(DaqBook_RAW_Data!U563),"",DaqBook_RAW_Data!U563)</f>
        <v/>
      </c>
      <c r="G573" s="167" t="str">
        <f>IF(ISBLANK(DaqBook_RAW_Data!V563),"",DaqBook_RAW_Data!V563)</f>
        <v/>
      </c>
      <c r="H573" s="167" t="str">
        <f>IF(ISBLANK(DaqBook_RAW_Data!W563),"",DaqBook_RAW_Data!W563)</f>
        <v/>
      </c>
      <c r="I573" s="167" t="str">
        <f>IF(ISBLANK(DaqBook_RAW_Data!X563),"",DaqBook_RAW_Data!X563)</f>
        <v/>
      </c>
      <c r="J573" s="167" t="str">
        <f>IF(ISBLANK(DaqBook_RAW_Data!Y563),"",DaqBook_RAW_Data!Y563)</f>
        <v/>
      </c>
      <c r="K573" s="167" t="str">
        <f>IF(ISBLANK(DaqBook_RAW_Data!Z563),"",DaqBook_RAW_Data!Z563)</f>
        <v/>
      </c>
      <c r="L573" s="167" t="str">
        <f>IF(ISBLANK(DaqBook_RAW_Data!AA563),"",DaqBook_RAW_Data!AA563)</f>
        <v/>
      </c>
      <c r="M573" s="167" t="str">
        <f>IF(ISBLANK(DaqBook_RAW_Data!AB563),"",DaqBook_RAW_Data!AB563)</f>
        <v/>
      </c>
      <c r="N573" s="167" t="str">
        <f>IF(ISBLANK(DaqBook_RAW_Data!AC563),"",DaqBook_RAW_Data!AC563)</f>
        <v/>
      </c>
      <c r="O573" s="167" t="str">
        <f>IF(ISBLANK(DaqBook_RAW_Data!AD563),"",DaqBook_RAW_Data!AD563)</f>
        <v/>
      </c>
      <c r="P573" s="167" t="str">
        <f>IF(ISBLANK(DaqBook_RAW_Data!AE563),"",DaqBook_RAW_Data!AE563)</f>
        <v/>
      </c>
    </row>
    <row r="574" spans="1:16" x14ac:dyDescent="0.2">
      <c r="A574" s="58" t="e">
        <f t="shared" si="8"/>
        <v>#VALUE!</v>
      </c>
      <c r="B574" s="144" t="str">
        <f>IF(ISBLANK(DaqBook_RAW_Data!Q564),IF(DaqBook_RAW_Data!A564="","",TIMEVALUE(DaqBook_RAW_Data!A564)),TIMEVALUE(DaqBook_RAW_Data!Q564))</f>
        <v/>
      </c>
      <c r="C574" s="167" t="str">
        <f>IF(ISBLANK(DaqBook_RAW_Data!R564),"",DaqBook_RAW_Data!R564)</f>
        <v/>
      </c>
      <c r="D574" s="167" t="str">
        <f>IF(ISBLANK(DaqBook_RAW_Data!S564),"",DaqBook_RAW_Data!S564)</f>
        <v/>
      </c>
      <c r="E574" s="167" t="str">
        <f>IF(ISBLANK(DaqBook_RAW_Data!T564),"",DaqBook_RAW_Data!T564)</f>
        <v/>
      </c>
      <c r="F574" s="167" t="str">
        <f>IF(ISBLANK(DaqBook_RAW_Data!U564),"",DaqBook_RAW_Data!U564)</f>
        <v/>
      </c>
      <c r="G574" s="167" t="str">
        <f>IF(ISBLANK(DaqBook_RAW_Data!V564),"",DaqBook_RAW_Data!V564)</f>
        <v/>
      </c>
      <c r="H574" s="167" t="str">
        <f>IF(ISBLANK(DaqBook_RAW_Data!W564),"",DaqBook_RAW_Data!W564)</f>
        <v/>
      </c>
      <c r="I574" s="167" t="str">
        <f>IF(ISBLANK(DaqBook_RAW_Data!X564),"",DaqBook_RAW_Data!X564)</f>
        <v/>
      </c>
      <c r="J574" s="167" t="str">
        <f>IF(ISBLANK(DaqBook_RAW_Data!Y564),"",DaqBook_RAW_Data!Y564)</f>
        <v/>
      </c>
      <c r="K574" s="167" t="str">
        <f>IF(ISBLANK(DaqBook_RAW_Data!Z564),"",DaqBook_RAW_Data!Z564)</f>
        <v/>
      </c>
      <c r="L574" s="167" t="str">
        <f>IF(ISBLANK(DaqBook_RAW_Data!AA564),"",DaqBook_RAW_Data!AA564)</f>
        <v/>
      </c>
      <c r="M574" s="167" t="str">
        <f>IF(ISBLANK(DaqBook_RAW_Data!AB564),"",DaqBook_RAW_Data!AB564)</f>
        <v/>
      </c>
      <c r="N574" s="167" t="str">
        <f>IF(ISBLANK(DaqBook_RAW_Data!AC564),"",DaqBook_RAW_Data!AC564)</f>
        <v/>
      </c>
      <c r="O574" s="167" t="str">
        <f>IF(ISBLANK(DaqBook_RAW_Data!AD564),"",DaqBook_RAW_Data!AD564)</f>
        <v/>
      </c>
      <c r="P574" s="167" t="str">
        <f>IF(ISBLANK(DaqBook_RAW_Data!AE564),"",DaqBook_RAW_Data!AE564)</f>
        <v/>
      </c>
    </row>
    <row r="575" spans="1:16" x14ac:dyDescent="0.2">
      <c r="A575" s="58" t="e">
        <f t="shared" si="8"/>
        <v>#VALUE!</v>
      </c>
      <c r="B575" s="144" t="str">
        <f>IF(ISBLANK(DaqBook_RAW_Data!Q565),IF(DaqBook_RAW_Data!A565="","",TIMEVALUE(DaqBook_RAW_Data!A565)),TIMEVALUE(DaqBook_RAW_Data!Q565))</f>
        <v/>
      </c>
      <c r="C575" s="167" t="str">
        <f>IF(ISBLANK(DaqBook_RAW_Data!R565),"",DaqBook_RAW_Data!R565)</f>
        <v/>
      </c>
      <c r="D575" s="167" t="str">
        <f>IF(ISBLANK(DaqBook_RAW_Data!S565),"",DaqBook_RAW_Data!S565)</f>
        <v/>
      </c>
      <c r="E575" s="167" t="str">
        <f>IF(ISBLANK(DaqBook_RAW_Data!T565),"",DaqBook_RAW_Data!T565)</f>
        <v/>
      </c>
      <c r="F575" s="167" t="str">
        <f>IF(ISBLANK(DaqBook_RAW_Data!U565),"",DaqBook_RAW_Data!U565)</f>
        <v/>
      </c>
      <c r="G575" s="167" t="str">
        <f>IF(ISBLANK(DaqBook_RAW_Data!V565),"",DaqBook_RAW_Data!V565)</f>
        <v/>
      </c>
      <c r="H575" s="167" t="str">
        <f>IF(ISBLANK(DaqBook_RAW_Data!W565),"",DaqBook_RAW_Data!W565)</f>
        <v/>
      </c>
      <c r="I575" s="167" t="str">
        <f>IF(ISBLANK(DaqBook_RAW_Data!X565),"",DaqBook_RAW_Data!X565)</f>
        <v/>
      </c>
      <c r="J575" s="167" t="str">
        <f>IF(ISBLANK(DaqBook_RAW_Data!Y565),"",DaqBook_RAW_Data!Y565)</f>
        <v/>
      </c>
      <c r="K575" s="167" t="str">
        <f>IF(ISBLANK(DaqBook_RAW_Data!Z565),"",DaqBook_RAW_Data!Z565)</f>
        <v/>
      </c>
      <c r="L575" s="167" t="str">
        <f>IF(ISBLANK(DaqBook_RAW_Data!AA565),"",DaqBook_RAW_Data!AA565)</f>
        <v/>
      </c>
      <c r="M575" s="167" t="str">
        <f>IF(ISBLANK(DaqBook_RAW_Data!AB565),"",DaqBook_RAW_Data!AB565)</f>
        <v/>
      </c>
      <c r="N575" s="167" t="str">
        <f>IF(ISBLANK(DaqBook_RAW_Data!AC565),"",DaqBook_RAW_Data!AC565)</f>
        <v/>
      </c>
      <c r="O575" s="167" t="str">
        <f>IF(ISBLANK(DaqBook_RAW_Data!AD565),"",DaqBook_RAW_Data!AD565)</f>
        <v/>
      </c>
      <c r="P575" s="167" t="str">
        <f>IF(ISBLANK(DaqBook_RAW_Data!AE565),"",DaqBook_RAW_Data!AE565)</f>
        <v/>
      </c>
    </row>
    <row r="576" spans="1:16" x14ac:dyDescent="0.2">
      <c r="A576" s="58" t="e">
        <f t="shared" si="8"/>
        <v>#VALUE!</v>
      </c>
      <c r="B576" s="144" t="str">
        <f>IF(ISBLANK(DaqBook_RAW_Data!Q566),IF(DaqBook_RAW_Data!A566="","",TIMEVALUE(DaqBook_RAW_Data!A566)),TIMEVALUE(DaqBook_RAW_Data!Q566))</f>
        <v/>
      </c>
      <c r="C576" s="167" t="str">
        <f>IF(ISBLANK(DaqBook_RAW_Data!R566),"",DaqBook_RAW_Data!R566)</f>
        <v/>
      </c>
      <c r="D576" s="167" t="str">
        <f>IF(ISBLANK(DaqBook_RAW_Data!S566),"",DaqBook_RAW_Data!S566)</f>
        <v/>
      </c>
      <c r="E576" s="167" t="str">
        <f>IF(ISBLANK(DaqBook_RAW_Data!T566),"",DaqBook_RAW_Data!T566)</f>
        <v/>
      </c>
      <c r="F576" s="167" t="str">
        <f>IF(ISBLANK(DaqBook_RAW_Data!U566),"",DaqBook_RAW_Data!U566)</f>
        <v/>
      </c>
      <c r="G576" s="167" t="str">
        <f>IF(ISBLANK(DaqBook_RAW_Data!V566),"",DaqBook_RAW_Data!V566)</f>
        <v/>
      </c>
      <c r="H576" s="167" t="str">
        <f>IF(ISBLANK(DaqBook_RAW_Data!W566),"",DaqBook_RAW_Data!W566)</f>
        <v/>
      </c>
      <c r="I576" s="167" t="str">
        <f>IF(ISBLANK(DaqBook_RAW_Data!X566),"",DaqBook_RAW_Data!X566)</f>
        <v/>
      </c>
      <c r="J576" s="167" t="str">
        <f>IF(ISBLANK(DaqBook_RAW_Data!Y566),"",DaqBook_RAW_Data!Y566)</f>
        <v/>
      </c>
      <c r="K576" s="167" t="str">
        <f>IF(ISBLANK(DaqBook_RAW_Data!Z566),"",DaqBook_RAW_Data!Z566)</f>
        <v/>
      </c>
      <c r="L576" s="167" t="str">
        <f>IF(ISBLANK(DaqBook_RAW_Data!AA566),"",DaqBook_RAW_Data!AA566)</f>
        <v/>
      </c>
      <c r="M576" s="167" t="str">
        <f>IF(ISBLANK(DaqBook_RAW_Data!AB566),"",DaqBook_RAW_Data!AB566)</f>
        <v/>
      </c>
      <c r="N576" s="167" t="str">
        <f>IF(ISBLANK(DaqBook_RAW_Data!AC566),"",DaqBook_RAW_Data!AC566)</f>
        <v/>
      </c>
      <c r="O576" s="167" t="str">
        <f>IF(ISBLANK(DaqBook_RAW_Data!AD566),"",DaqBook_RAW_Data!AD566)</f>
        <v/>
      </c>
      <c r="P576" s="167" t="str">
        <f>IF(ISBLANK(DaqBook_RAW_Data!AE566),"",DaqBook_RAW_Data!AE566)</f>
        <v/>
      </c>
    </row>
    <row r="577" spans="1:16" x14ac:dyDescent="0.2">
      <c r="A577" s="58" t="e">
        <f t="shared" si="8"/>
        <v>#VALUE!</v>
      </c>
      <c r="B577" s="144" t="str">
        <f>IF(ISBLANK(DaqBook_RAW_Data!Q567),IF(DaqBook_RAW_Data!A567="","",TIMEVALUE(DaqBook_RAW_Data!A567)),TIMEVALUE(DaqBook_RAW_Data!Q567))</f>
        <v/>
      </c>
      <c r="C577" s="167" t="str">
        <f>IF(ISBLANK(DaqBook_RAW_Data!R567),"",DaqBook_RAW_Data!R567)</f>
        <v/>
      </c>
      <c r="D577" s="167" t="str">
        <f>IF(ISBLANK(DaqBook_RAW_Data!S567),"",DaqBook_RAW_Data!S567)</f>
        <v/>
      </c>
      <c r="E577" s="167" t="str">
        <f>IF(ISBLANK(DaqBook_RAW_Data!T567),"",DaqBook_RAW_Data!T567)</f>
        <v/>
      </c>
      <c r="F577" s="167" t="str">
        <f>IF(ISBLANK(DaqBook_RAW_Data!U567),"",DaqBook_RAW_Data!U567)</f>
        <v/>
      </c>
      <c r="G577" s="167" t="str">
        <f>IF(ISBLANK(DaqBook_RAW_Data!V567),"",DaqBook_RAW_Data!V567)</f>
        <v/>
      </c>
      <c r="H577" s="167" t="str">
        <f>IF(ISBLANK(DaqBook_RAW_Data!W567),"",DaqBook_RAW_Data!W567)</f>
        <v/>
      </c>
      <c r="I577" s="167" t="str">
        <f>IF(ISBLANK(DaqBook_RAW_Data!X567),"",DaqBook_RAW_Data!X567)</f>
        <v/>
      </c>
      <c r="J577" s="167" t="str">
        <f>IF(ISBLANK(DaqBook_RAW_Data!Y567),"",DaqBook_RAW_Data!Y567)</f>
        <v/>
      </c>
      <c r="K577" s="167" t="str">
        <f>IF(ISBLANK(DaqBook_RAW_Data!Z567),"",DaqBook_RAW_Data!Z567)</f>
        <v/>
      </c>
      <c r="L577" s="167" t="str">
        <f>IF(ISBLANK(DaqBook_RAW_Data!AA567),"",DaqBook_RAW_Data!AA567)</f>
        <v/>
      </c>
      <c r="M577" s="167" t="str">
        <f>IF(ISBLANK(DaqBook_RAW_Data!AB567),"",DaqBook_RAW_Data!AB567)</f>
        <v/>
      </c>
      <c r="N577" s="167" t="str">
        <f>IF(ISBLANK(DaqBook_RAW_Data!AC567),"",DaqBook_RAW_Data!AC567)</f>
        <v/>
      </c>
      <c r="O577" s="167" t="str">
        <f>IF(ISBLANK(DaqBook_RAW_Data!AD567),"",DaqBook_RAW_Data!AD567)</f>
        <v/>
      </c>
      <c r="P577" s="167" t="str">
        <f>IF(ISBLANK(DaqBook_RAW_Data!AE567),"",DaqBook_RAW_Data!AE567)</f>
        <v/>
      </c>
    </row>
    <row r="578" spans="1:16" x14ac:dyDescent="0.2">
      <c r="A578" s="58" t="e">
        <f t="shared" si="8"/>
        <v>#VALUE!</v>
      </c>
      <c r="B578" s="144" t="str">
        <f>IF(ISBLANK(DaqBook_RAW_Data!Q568),IF(DaqBook_RAW_Data!A568="","",TIMEVALUE(DaqBook_RAW_Data!A568)),TIMEVALUE(DaqBook_RAW_Data!Q568))</f>
        <v/>
      </c>
      <c r="C578" s="167" t="str">
        <f>IF(ISBLANK(DaqBook_RAW_Data!R568),"",DaqBook_RAW_Data!R568)</f>
        <v/>
      </c>
      <c r="D578" s="167" t="str">
        <f>IF(ISBLANK(DaqBook_RAW_Data!S568),"",DaqBook_RAW_Data!S568)</f>
        <v/>
      </c>
      <c r="E578" s="167" t="str">
        <f>IF(ISBLANK(DaqBook_RAW_Data!T568),"",DaqBook_RAW_Data!T568)</f>
        <v/>
      </c>
      <c r="F578" s="167" t="str">
        <f>IF(ISBLANK(DaqBook_RAW_Data!U568),"",DaqBook_RAW_Data!U568)</f>
        <v/>
      </c>
      <c r="G578" s="167" t="str">
        <f>IF(ISBLANK(DaqBook_RAW_Data!V568),"",DaqBook_RAW_Data!V568)</f>
        <v/>
      </c>
      <c r="H578" s="167" t="str">
        <f>IF(ISBLANK(DaqBook_RAW_Data!W568),"",DaqBook_RAW_Data!W568)</f>
        <v/>
      </c>
      <c r="I578" s="167" t="str">
        <f>IF(ISBLANK(DaqBook_RAW_Data!X568),"",DaqBook_RAW_Data!X568)</f>
        <v/>
      </c>
      <c r="J578" s="167" t="str">
        <f>IF(ISBLANK(DaqBook_RAW_Data!Y568),"",DaqBook_RAW_Data!Y568)</f>
        <v/>
      </c>
      <c r="K578" s="167" t="str">
        <f>IF(ISBLANK(DaqBook_RAW_Data!Z568),"",DaqBook_RAW_Data!Z568)</f>
        <v/>
      </c>
      <c r="L578" s="167" t="str">
        <f>IF(ISBLANK(DaqBook_RAW_Data!AA568),"",DaqBook_RAW_Data!AA568)</f>
        <v/>
      </c>
      <c r="M578" s="167" t="str">
        <f>IF(ISBLANK(DaqBook_RAW_Data!AB568),"",DaqBook_RAW_Data!AB568)</f>
        <v/>
      </c>
      <c r="N578" s="167" t="str">
        <f>IF(ISBLANK(DaqBook_RAW_Data!AC568),"",DaqBook_RAW_Data!AC568)</f>
        <v/>
      </c>
      <c r="O578" s="167" t="str">
        <f>IF(ISBLANK(DaqBook_RAW_Data!AD568),"",DaqBook_RAW_Data!AD568)</f>
        <v/>
      </c>
      <c r="P578" s="167" t="str">
        <f>IF(ISBLANK(DaqBook_RAW_Data!AE568),"",DaqBook_RAW_Data!AE568)</f>
        <v/>
      </c>
    </row>
    <row r="579" spans="1:16" x14ac:dyDescent="0.2">
      <c r="A579" s="58" t="e">
        <f t="shared" si="8"/>
        <v>#VALUE!</v>
      </c>
      <c r="B579" s="144" t="str">
        <f>IF(ISBLANK(DaqBook_RAW_Data!Q569),IF(DaqBook_RAW_Data!A569="","",TIMEVALUE(DaqBook_RAW_Data!A569)),TIMEVALUE(DaqBook_RAW_Data!Q569))</f>
        <v/>
      </c>
      <c r="C579" s="167" t="str">
        <f>IF(ISBLANK(DaqBook_RAW_Data!R569),"",DaqBook_RAW_Data!R569)</f>
        <v/>
      </c>
      <c r="D579" s="167" t="str">
        <f>IF(ISBLANK(DaqBook_RAW_Data!S569),"",DaqBook_RAW_Data!S569)</f>
        <v/>
      </c>
      <c r="E579" s="167" t="str">
        <f>IF(ISBLANK(DaqBook_RAW_Data!T569),"",DaqBook_RAW_Data!T569)</f>
        <v/>
      </c>
      <c r="F579" s="167" t="str">
        <f>IF(ISBLANK(DaqBook_RAW_Data!U569),"",DaqBook_RAW_Data!U569)</f>
        <v/>
      </c>
      <c r="G579" s="167" t="str">
        <f>IF(ISBLANK(DaqBook_RAW_Data!V569),"",DaqBook_RAW_Data!V569)</f>
        <v/>
      </c>
      <c r="H579" s="167" t="str">
        <f>IF(ISBLANK(DaqBook_RAW_Data!W569),"",DaqBook_RAW_Data!W569)</f>
        <v/>
      </c>
      <c r="I579" s="167" t="str">
        <f>IF(ISBLANK(DaqBook_RAW_Data!X569),"",DaqBook_RAW_Data!X569)</f>
        <v/>
      </c>
      <c r="J579" s="167" t="str">
        <f>IF(ISBLANK(DaqBook_RAW_Data!Y569),"",DaqBook_RAW_Data!Y569)</f>
        <v/>
      </c>
      <c r="K579" s="167" t="str">
        <f>IF(ISBLANK(DaqBook_RAW_Data!Z569),"",DaqBook_RAW_Data!Z569)</f>
        <v/>
      </c>
      <c r="L579" s="167" t="str">
        <f>IF(ISBLANK(DaqBook_RAW_Data!AA569),"",DaqBook_RAW_Data!AA569)</f>
        <v/>
      </c>
      <c r="M579" s="167" t="str">
        <f>IF(ISBLANK(DaqBook_RAW_Data!AB569),"",DaqBook_RAW_Data!AB569)</f>
        <v/>
      </c>
      <c r="N579" s="167" t="str">
        <f>IF(ISBLANK(DaqBook_RAW_Data!AC569),"",DaqBook_RAW_Data!AC569)</f>
        <v/>
      </c>
      <c r="O579" s="167" t="str">
        <f>IF(ISBLANK(DaqBook_RAW_Data!AD569),"",DaqBook_RAW_Data!AD569)</f>
        <v/>
      </c>
      <c r="P579" s="167" t="str">
        <f>IF(ISBLANK(DaqBook_RAW_Data!AE569),"",DaqBook_RAW_Data!AE569)</f>
        <v/>
      </c>
    </row>
    <row r="580" spans="1:16" x14ac:dyDescent="0.2">
      <c r="A580" s="58" t="e">
        <f t="shared" si="8"/>
        <v>#VALUE!</v>
      </c>
      <c r="B580" s="144" t="str">
        <f>IF(ISBLANK(DaqBook_RAW_Data!Q570),IF(DaqBook_RAW_Data!A570="","",TIMEVALUE(DaqBook_RAW_Data!A570)),TIMEVALUE(DaqBook_RAW_Data!Q570))</f>
        <v/>
      </c>
      <c r="C580" s="167" t="str">
        <f>IF(ISBLANK(DaqBook_RAW_Data!R570),"",DaqBook_RAW_Data!R570)</f>
        <v/>
      </c>
      <c r="D580" s="167" t="str">
        <f>IF(ISBLANK(DaqBook_RAW_Data!S570),"",DaqBook_RAW_Data!S570)</f>
        <v/>
      </c>
      <c r="E580" s="167" t="str">
        <f>IF(ISBLANK(DaqBook_RAW_Data!T570),"",DaqBook_RAW_Data!T570)</f>
        <v/>
      </c>
      <c r="F580" s="167" t="str">
        <f>IF(ISBLANK(DaqBook_RAW_Data!U570),"",DaqBook_RAW_Data!U570)</f>
        <v/>
      </c>
      <c r="G580" s="167" t="str">
        <f>IF(ISBLANK(DaqBook_RAW_Data!V570),"",DaqBook_RAW_Data!V570)</f>
        <v/>
      </c>
      <c r="H580" s="167" t="str">
        <f>IF(ISBLANK(DaqBook_RAW_Data!W570),"",DaqBook_RAW_Data!W570)</f>
        <v/>
      </c>
      <c r="I580" s="167" t="str">
        <f>IF(ISBLANK(DaqBook_RAW_Data!X570),"",DaqBook_RAW_Data!X570)</f>
        <v/>
      </c>
      <c r="J580" s="167" t="str">
        <f>IF(ISBLANK(DaqBook_RAW_Data!Y570),"",DaqBook_RAW_Data!Y570)</f>
        <v/>
      </c>
      <c r="K580" s="167" t="str">
        <f>IF(ISBLANK(DaqBook_RAW_Data!Z570),"",DaqBook_RAW_Data!Z570)</f>
        <v/>
      </c>
      <c r="L580" s="167" t="str">
        <f>IF(ISBLANK(DaqBook_RAW_Data!AA570),"",DaqBook_RAW_Data!AA570)</f>
        <v/>
      </c>
      <c r="M580" s="167" t="str">
        <f>IF(ISBLANK(DaqBook_RAW_Data!AB570),"",DaqBook_RAW_Data!AB570)</f>
        <v/>
      </c>
      <c r="N580" s="167" t="str">
        <f>IF(ISBLANK(DaqBook_RAW_Data!AC570),"",DaqBook_RAW_Data!AC570)</f>
        <v/>
      </c>
      <c r="O580" s="167" t="str">
        <f>IF(ISBLANK(DaqBook_RAW_Data!AD570),"",DaqBook_RAW_Data!AD570)</f>
        <v/>
      </c>
      <c r="P580" s="167" t="str">
        <f>IF(ISBLANK(DaqBook_RAW_Data!AE570),"",DaqBook_RAW_Data!AE570)</f>
        <v/>
      </c>
    </row>
    <row r="581" spans="1:16" x14ac:dyDescent="0.2">
      <c r="A581" s="58" t="e">
        <f t="shared" si="8"/>
        <v>#VALUE!</v>
      </c>
      <c r="B581" s="144" t="str">
        <f>IF(ISBLANK(DaqBook_RAW_Data!Q571),IF(DaqBook_RAW_Data!A571="","",TIMEVALUE(DaqBook_RAW_Data!A571)),TIMEVALUE(DaqBook_RAW_Data!Q571))</f>
        <v/>
      </c>
      <c r="C581" s="167" t="str">
        <f>IF(ISBLANK(DaqBook_RAW_Data!R571),"",DaqBook_RAW_Data!R571)</f>
        <v/>
      </c>
      <c r="D581" s="167" t="str">
        <f>IF(ISBLANK(DaqBook_RAW_Data!S571),"",DaqBook_RAW_Data!S571)</f>
        <v/>
      </c>
      <c r="E581" s="167" t="str">
        <f>IF(ISBLANK(DaqBook_RAW_Data!T571),"",DaqBook_RAW_Data!T571)</f>
        <v/>
      </c>
      <c r="F581" s="167" t="str">
        <f>IF(ISBLANK(DaqBook_RAW_Data!U571),"",DaqBook_RAW_Data!U571)</f>
        <v/>
      </c>
      <c r="G581" s="167" t="str">
        <f>IF(ISBLANK(DaqBook_RAW_Data!V571),"",DaqBook_RAW_Data!V571)</f>
        <v/>
      </c>
      <c r="H581" s="167" t="str">
        <f>IF(ISBLANK(DaqBook_RAW_Data!W571),"",DaqBook_RAW_Data!W571)</f>
        <v/>
      </c>
      <c r="I581" s="167" t="str">
        <f>IF(ISBLANK(DaqBook_RAW_Data!X571),"",DaqBook_RAW_Data!X571)</f>
        <v/>
      </c>
      <c r="J581" s="167" t="str">
        <f>IF(ISBLANK(DaqBook_RAW_Data!Y571),"",DaqBook_RAW_Data!Y571)</f>
        <v/>
      </c>
      <c r="K581" s="167" t="str">
        <f>IF(ISBLANK(DaqBook_RAW_Data!Z571),"",DaqBook_RAW_Data!Z571)</f>
        <v/>
      </c>
      <c r="L581" s="167" t="str">
        <f>IF(ISBLANK(DaqBook_RAW_Data!AA571),"",DaqBook_RAW_Data!AA571)</f>
        <v/>
      </c>
      <c r="M581" s="167" t="str">
        <f>IF(ISBLANK(DaqBook_RAW_Data!AB571),"",DaqBook_RAW_Data!AB571)</f>
        <v/>
      </c>
      <c r="N581" s="167" t="str">
        <f>IF(ISBLANK(DaqBook_RAW_Data!AC571),"",DaqBook_RAW_Data!AC571)</f>
        <v/>
      </c>
      <c r="O581" s="167" t="str">
        <f>IF(ISBLANK(DaqBook_RAW_Data!AD571),"",DaqBook_RAW_Data!AD571)</f>
        <v/>
      </c>
      <c r="P581" s="167" t="str">
        <f>IF(ISBLANK(DaqBook_RAW_Data!AE571),"",DaqBook_RAW_Data!AE571)</f>
        <v/>
      </c>
    </row>
    <row r="582" spans="1:16" x14ac:dyDescent="0.2">
      <c r="A582" s="58" t="e">
        <f t="shared" si="8"/>
        <v>#VALUE!</v>
      </c>
      <c r="B582" s="144" t="str">
        <f>IF(ISBLANK(DaqBook_RAW_Data!Q572),IF(DaqBook_RAW_Data!A572="","",TIMEVALUE(DaqBook_RAW_Data!A572)),TIMEVALUE(DaqBook_RAW_Data!Q572))</f>
        <v/>
      </c>
      <c r="C582" s="167" t="str">
        <f>IF(ISBLANK(DaqBook_RAW_Data!R572),"",DaqBook_RAW_Data!R572)</f>
        <v/>
      </c>
      <c r="D582" s="167" t="str">
        <f>IF(ISBLANK(DaqBook_RAW_Data!S572),"",DaqBook_RAW_Data!S572)</f>
        <v/>
      </c>
      <c r="E582" s="167" t="str">
        <f>IF(ISBLANK(DaqBook_RAW_Data!T572),"",DaqBook_RAW_Data!T572)</f>
        <v/>
      </c>
      <c r="F582" s="167" t="str">
        <f>IF(ISBLANK(DaqBook_RAW_Data!U572),"",DaqBook_RAW_Data!U572)</f>
        <v/>
      </c>
      <c r="G582" s="167" t="str">
        <f>IF(ISBLANK(DaqBook_RAW_Data!V572),"",DaqBook_RAW_Data!V572)</f>
        <v/>
      </c>
      <c r="H582" s="167" t="str">
        <f>IF(ISBLANK(DaqBook_RAW_Data!W572),"",DaqBook_RAW_Data!W572)</f>
        <v/>
      </c>
      <c r="I582" s="167" t="str">
        <f>IF(ISBLANK(DaqBook_RAW_Data!X572),"",DaqBook_RAW_Data!X572)</f>
        <v/>
      </c>
      <c r="J582" s="167" t="str">
        <f>IF(ISBLANK(DaqBook_RAW_Data!Y572),"",DaqBook_RAW_Data!Y572)</f>
        <v/>
      </c>
      <c r="K582" s="167" t="str">
        <f>IF(ISBLANK(DaqBook_RAW_Data!Z572),"",DaqBook_RAW_Data!Z572)</f>
        <v/>
      </c>
      <c r="L582" s="167" t="str">
        <f>IF(ISBLANK(DaqBook_RAW_Data!AA572),"",DaqBook_RAW_Data!AA572)</f>
        <v/>
      </c>
      <c r="M582" s="167" t="str">
        <f>IF(ISBLANK(DaqBook_RAW_Data!AB572),"",DaqBook_RAW_Data!AB572)</f>
        <v/>
      </c>
      <c r="N582" s="167" t="str">
        <f>IF(ISBLANK(DaqBook_RAW_Data!AC572),"",DaqBook_RAW_Data!AC572)</f>
        <v/>
      </c>
      <c r="O582" s="167" t="str">
        <f>IF(ISBLANK(DaqBook_RAW_Data!AD572),"",DaqBook_RAW_Data!AD572)</f>
        <v/>
      </c>
      <c r="P582" s="167" t="str">
        <f>IF(ISBLANK(DaqBook_RAW_Data!AE572),"",DaqBook_RAW_Data!AE572)</f>
        <v/>
      </c>
    </row>
    <row r="583" spans="1:16" x14ac:dyDescent="0.2">
      <c r="A583" s="58" t="e">
        <f t="shared" si="8"/>
        <v>#VALUE!</v>
      </c>
      <c r="B583" s="144" t="str">
        <f>IF(ISBLANK(DaqBook_RAW_Data!Q573),IF(DaqBook_RAW_Data!A573="","",TIMEVALUE(DaqBook_RAW_Data!A573)),TIMEVALUE(DaqBook_RAW_Data!Q573))</f>
        <v/>
      </c>
      <c r="C583" s="167" t="str">
        <f>IF(ISBLANK(DaqBook_RAW_Data!R573),"",DaqBook_RAW_Data!R573)</f>
        <v/>
      </c>
      <c r="D583" s="167" t="str">
        <f>IF(ISBLANK(DaqBook_RAW_Data!S573),"",DaqBook_RAW_Data!S573)</f>
        <v/>
      </c>
      <c r="E583" s="167" t="str">
        <f>IF(ISBLANK(DaqBook_RAW_Data!T573),"",DaqBook_RAW_Data!T573)</f>
        <v/>
      </c>
      <c r="F583" s="167" t="str">
        <f>IF(ISBLANK(DaqBook_RAW_Data!U573),"",DaqBook_RAW_Data!U573)</f>
        <v/>
      </c>
      <c r="G583" s="167" t="str">
        <f>IF(ISBLANK(DaqBook_RAW_Data!V573),"",DaqBook_RAW_Data!V573)</f>
        <v/>
      </c>
      <c r="H583" s="167" t="str">
        <f>IF(ISBLANK(DaqBook_RAW_Data!W573),"",DaqBook_RAW_Data!W573)</f>
        <v/>
      </c>
      <c r="I583" s="167" t="str">
        <f>IF(ISBLANK(DaqBook_RAW_Data!X573),"",DaqBook_RAW_Data!X573)</f>
        <v/>
      </c>
      <c r="J583" s="167" t="str">
        <f>IF(ISBLANK(DaqBook_RAW_Data!Y573),"",DaqBook_RAW_Data!Y573)</f>
        <v/>
      </c>
      <c r="K583" s="167" t="str">
        <f>IF(ISBLANK(DaqBook_RAW_Data!Z573),"",DaqBook_RAW_Data!Z573)</f>
        <v/>
      </c>
      <c r="L583" s="167" t="str">
        <f>IF(ISBLANK(DaqBook_RAW_Data!AA573),"",DaqBook_RAW_Data!AA573)</f>
        <v/>
      </c>
      <c r="M583" s="167" t="str">
        <f>IF(ISBLANK(DaqBook_RAW_Data!AB573),"",DaqBook_RAW_Data!AB573)</f>
        <v/>
      </c>
      <c r="N583" s="167" t="str">
        <f>IF(ISBLANK(DaqBook_RAW_Data!AC573),"",DaqBook_RAW_Data!AC573)</f>
        <v/>
      </c>
      <c r="O583" s="167" t="str">
        <f>IF(ISBLANK(DaqBook_RAW_Data!AD573),"",DaqBook_RAW_Data!AD573)</f>
        <v/>
      </c>
      <c r="P583" s="167" t="str">
        <f>IF(ISBLANK(DaqBook_RAW_Data!AE573),"",DaqBook_RAW_Data!AE573)</f>
        <v/>
      </c>
    </row>
    <row r="584" spans="1:16" x14ac:dyDescent="0.2">
      <c r="A584" s="58" t="e">
        <f t="shared" si="8"/>
        <v>#VALUE!</v>
      </c>
      <c r="B584" s="144" t="str">
        <f>IF(ISBLANK(DaqBook_RAW_Data!Q574),IF(DaqBook_RAW_Data!A574="","",TIMEVALUE(DaqBook_RAW_Data!A574)),TIMEVALUE(DaqBook_RAW_Data!Q574))</f>
        <v/>
      </c>
      <c r="C584" s="167" t="str">
        <f>IF(ISBLANK(DaqBook_RAW_Data!R574),"",DaqBook_RAW_Data!R574)</f>
        <v/>
      </c>
      <c r="D584" s="167" t="str">
        <f>IF(ISBLANK(DaqBook_RAW_Data!S574),"",DaqBook_RAW_Data!S574)</f>
        <v/>
      </c>
      <c r="E584" s="167" t="str">
        <f>IF(ISBLANK(DaqBook_RAW_Data!T574),"",DaqBook_RAW_Data!T574)</f>
        <v/>
      </c>
      <c r="F584" s="167" t="str">
        <f>IF(ISBLANK(DaqBook_RAW_Data!U574),"",DaqBook_RAW_Data!U574)</f>
        <v/>
      </c>
      <c r="G584" s="167" t="str">
        <f>IF(ISBLANK(DaqBook_RAW_Data!V574),"",DaqBook_RAW_Data!V574)</f>
        <v/>
      </c>
      <c r="H584" s="167" t="str">
        <f>IF(ISBLANK(DaqBook_RAW_Data!W574),"",DaqBook_RAW_Data!W574)</f>
        <v/>
      </c>
      <c r="I584" s="167" t="str">
        <f>IF(ISBLANK(DaqBook_RAW_Data!X574),"",DaqBook_RAW_Data!X574)</f>
        <v/>
      </c>
      <c r="J584" s="167" t="str">
        <f>IF(ISBLANK(DaqBook_RAW_Data!Y574),"",DaqBook_RAW_Data!Y574)</f>
        <v/>
      </c>
      <c r="K584" s="167" t="str">
        <f>IF(ISBLANK(DaqBook_RAW_Data!Z574),"",DaqBook_RAW_Data!Z574)</f>
        <v/>
      </c>
      <c r="L584" s="167" t="str">
        <f>IF(ISBLANK(DaqBook_RAW_Data!AA574),"",DaqBook_RAW_Data!AA574)</f>
        <v/>
      </c>
      <c r="M584" s="167" t="str">
        <f>IF(ISBLANK(DaqBook_RAW_Data!AB574),"",DaqBook_RAW_Data!AB574)</f>
        <v/>
      </c>
      <c r="N584" s="167" t="str">
        <f>IF(ISBLANK(DaqBook_RAW_Data!AC574),"",DaqBook_RAW_Data!AC574)</f>
        <v/>
      </c>
      <c r="O584" s="167" t="str">
        <f>IF(ISBLANK(DaqBook_RAW_Data!AD574),"",DaqBook_RAW_Data!AD574)</f>
        <v/>
      </c>
      <c r="P584" s="167" t="str">
        <f>IF(ISBLANK(DaqBook_RAW_Data!AE574),"",DaqBook_RAW_Data!AE574)</f>
        <v/>
      </c>
    </row>
    <row r="585" spans="1:16" x14ac:dyDescent="0.2">
      <c r="A585" s="58" t="e">
        <f t="shared" si="8"/>
        <v>#VALUE!</v>
      </c>
      <c r="B585" s="144" t="str">
        <f>IF(ISBLANK(DaqBook_RAW_Data!Q575),IF(DaqBook_RAW_Data!A575="","",TIMEVALUE(DaqBook_RAW_Data!A575)),TIMEVALUE(DaqBook_RAW_Data!Q575))</f>
        <v/>
      </c>
      <c r="C585" s="167" t="str">
        <f>IF(ISBLANK(DaqBook_RAW_Data!R575),"",DaqBook_RAW_Data!R575)</f>
        <v/>
      </c>
      <c r="D585" s="167" t="str">
        <f>IF(ISBLANK(DaqBook_RAW_Data!S575),"",DaqBook_RAW_Data!S575)</f>
        <v/>
      </c>
      <c r="E585" s="167" t="str">
        <f>IF(ISBLANK(DaqBook_RAW_Data!T575),"",DaqBook_RAW_Data!T575)</f>
        <v/>
      </c>
      <c r="F585" s="167" t="str">
        <f>IF(ISBLANK(DaqBook_RAW_Data!U575),"",DaqBook_RAW_Data!U575)</f>
        <v/>
      </c>
      <c r="G585" s="167" t="str">
        <f>IF(ISBLANK(DaqBook_RAW_Data!V575),"",DaqBook_RAW_Data!V575)</f>
        <v/>
      </c>
      <c r="H585" s="167" t="str">
        <f>IF(ISBLANK(DaqBook_RAW_Data!W575),"",DaqBook_RAW_Data!W575)</f>
        <v/>
      </c>
      <c r="I585" s="167" t="str">
        <f>IF(ISBLANK(DaqBook_RAW_Data!X575),"",DaqBook_RAW_Data!X575)</f>
        <v/>
      </c>
      <c r="J585" s="167" t="str">
        <f>IF(ISBLANK(DaqBook_RAW_Data!Y575),"",DaqBook_RAW_Data!Y575)</f>
        <v/>
      </c>
      <c r="K585" s="167" t="str">
        <f>IF(ISBLANK(DaqBook_RAW_Data!Z575),"",DaqBook_RAW_Data!Z575)</f>
        <v/>
      </c>
      <c r="L585" s="167" t="str">
        <f>IF(ISBLANK(DaqBook_RAW_Data!AA575),"",DaqBook_RAW_Data!AA575)</f>
        <v/>
      </c>
      <c r="M585" s="167" t="str">
        <f>IF(ISBLANK(DaqBook_RAW_Data!AB575),"",DaqBook_RAW_Data!AB575)</f>
        <v/>
      </c>
      <c r="N585" s="167" t="str">
        <f>IF(ISBLANK(DaqBook_RAW_Data!AC575),"",DaqBook_RAW_Data!AC575)</f>
        <v/>
      </c>
      <c r="O585" s="167" t="str">
        <f>IF(ISBLANK(DaqBook_RAW_Data!AD575),"",DaqBook_RAW_Data!AD575)</f>
        <v/>
      </c>
      <c r="P585" s="167" t="str">
        <f>IF(ISBLANK(DaqBook_RAW_Data!AE575),"",DaqBook_RAW_Data!AE575)</f>
        <v/>
      </c>
    </row>
    <row r="586" spans="1:16" x14ac:dyDescent="0.2">
      <c r="A586" s="58" t="e">
        <f t="shared" si="8"/>
        <v>#VALUE!</v>
      </c>
      <c r="B586" s="144" t="str">
        <f>IF(ISBLANK(DaqBook_RAW_Data!Q576),IF(DaqBook_RAW_Data!A576="","",TIMEVALUE(DaqBook_RAW_Data!A576)),TIMEVALUE(DaqBook_RAW_Data!Q576))</f>
        <v/>
      </c>
      <c r="C586" s="167" t="str">
        <f>IF(ISBLANK(DaqBook_RAW_Data!R576),"",DaqBook_RAW_Data!R576)</f>
        <v/>
      </c>
      <c r="D586" s="167" t="str">
        <f>IF(ISBLANK(DaqBook_RAW_Data!S576),"",DaqBook_RAW_Data!S576)</f>
        <v/>
      </c>
      <c r="E586" s="167" t="str">
        <f>IF(ISBLANK(DaqBook_RAW_Data!T576),"",DaqBook_RAW_Data!T576)</f>
        <v/>
      </c>
      <c r="F586" s="167" t="str">
        <f>IF(ISBLANK(DaqBook_RAW_Data!U576),"",DaqBook_RAW_Data!U576)</f>
        <v/>
      </c>
      <c r="G586" s="167" t="str">
        <f>IF(ISBLANK(DaqBook_RAW_Data!V576),"",DaqBook_RAW_Data!V576)</f>
        <v/>
      </c>
      <c r="H586" s="167" t="str">
        <f>IF(ISBLANK(DaqBook_RAW_Data!W576),"",DaqBook_RAW_Data!W576)</f>
        <v/>
      </c>
      <c r="I586" s="167" t="str">
        <f>IF(ISBLANK(DaqBook_RAW_Data!X576),"",DaqBook_RAW_Data!X576)</f>
        <v/>
      </c>
      <c r="J586" s="167" t="str">
        <f>IF(ISBLANK(DaqBook_RAW_Data!Y576),"",DaqBook_RAW_Data!Y576)</f>
        <v/>
      </c>
      <c r="K586" s="167" t="str">
        <f>IF(ISBLANK(DaqBook_RAW_Data!Z576),"",DaqBook_RAW_Data!Z576)</f>
        <v/>
      </c>
      <c r="L586" s="167" t="str">
        <f>IF(ISBLANK(DaqBook_RAW_Data!AA576),"",DaqBook_RAW_Data!AA576)</f>
        <v/>
      </c>
      <c r="M586" s="167" t="str">
        <f>IF(ISBLANK(DaqBook_RAW_Data!AB576),"",DaqBook_RAW_Data!AB576)</f>
        <v/>
      </c>
      <c r="N586" s="167" t="str">
        <f>IF(ISBLANK(DaqBook_RAW_Data!AC576),"",DaqBook_RAW_Data!AC576)</f>
        <v/>
      </c>
      <c r="O586" s="167" t="str">
        <f>IF(ISBLANK(DaqBook_RAW_Data!AD576),"",DaqBook_RAW_Data!AD576)</f>
        <v/>
      </c>
      <c r="P586" s="167" t="str">
        <f>IF(ISBLANK(DaqBook_RAW_Data!AE576),"",DaqBook_RAW_Data!AE576)</f>
        <v/>
      </c>
    </row>
    <row r="587" spans="1:16" x14ac:dyDescent="0.2">
      <c r="A587" s="58" t="e">
        <f t="shared" si="8"/>
        <v>#VALUE!</v>
      </c>
      <c r="B587" s="144" t="str">
        <f>IF(ISBLANK(DaqBook_RAW_Data!Q577),IF(DaqBook_RAW_Data!A577="","",TIMEVALUE(DaqBook_RAW_Data!A577)),TIMEVALUE(DaqBook_RAW_Data!Q577))</f>
        <v/>
      </c>
      <c r="C587" s="167" t="str">
        <f>IF(ISBLANK(DaqBook_RAW_Data!R577),"",DaqBook_RAW_Data!R577)</f>
        <v/>
      </c>
      <c r="D587" s="167" t="str">
        <f>IF(ISBLANK(DaqBook_RAW_Data!S577),"",DaqBook_RAW_Data!S577)</f>
        <v/>
      </c>
      <c r="E587" s="167" t="str">
        <f>IF(ISBLANK(DaqBook_RAW_Data!T577),"",DaqBook_RAW_Data!T577)</f>
        <v/>
      </c>
      <c r="F587" s="167" t="str">
        <f>IF(ISBLANK(DaqBook_RAW_Data!U577),"",DaqBook_RAW_Data!U577)</f>
        <v/>
      </c>
      <c r="G587" s="167" t="str">
        <f>IF(ISBLANK(DaqBook_RAW_Data!V577),"",DaqBook_RAW_Data!V577)</f>
        <v/>
      </c>
      <c r="H587" s="167" t="str">
        <f>IF(ISBLANK(DaqBook_RAW_Data!W577),"",DaqBook_RAW_Data!W577)</f>
        <v/>
      </c>
      <c r="I587" s="167" t="str">
        <f>IF(ISBLANK(DaqBook_RAW_Data!X577),"",DaqBook_RAW_Data!X577)</f>
        <v/>
      </c>
      <c r="J587" s="167" t="str">
        <f>IF(ISBLANK(DaqBook_RAW_Data!Y577),"",DaqBook_RAW_Data!Y577)</f>
        <v/>
      </c>
      <c r="K587" s="167" t="str">
        <f>IF(ISBLANK(DaqBook_RAW_Data!Z577),"",DaqBook_RAW_Data!Z577)</f>
        <v/>
      </c>
      <c r="L587" s="167" t="str">
        <f>IF(ISBLANK(DaqBook_RAW_Data!AA577),"",DaqBook_RAW_Data!AA577)</f>
        <v/>
      </c>
      <c r="M587" s="167" t="str">
        <f>IF(ISBLANK(DaqBook_RAW_Data!AB577),"",DaqBook_RAW_Data!AB577)</f>
        <v/>
      </c>
      <c r="N587" s="167" t="str">
        <f>IF(ISBLANK(DaqBook_RAW_Data!AC577),"",DaqBook_RAW_Data!AC577)</f>
        <v/>
      </c>
      <c r="O587" s="167" t="str">
        <f>IF(ISBLANK(DaqBook_RAW_Data!AD577),"",DaqBook_RAW_Data!AD577)</f>
        <v/>
      </c>
      <c r="P587" s="167" t="str">
        <f>IF(ISBLANK(DaqBook_RAW_Data!AE577),"",DaqBook_RAW_Data!AE577)</f>
        <v/>
      </c>
    </row>
    <row r="588" spans="1:16" x14ac:dyDescent="0.2">
      <c r="A588" s="58" t="e">
        <f t="shared" si="8"/>
        <v>#VALUE!</v>
      </c>
      <c r="B588" s="144" t="str">
        <f>IF(ISBLANK(DaqBook_RAW_Data!Q578),IF(DaqBook_RAW_Data!A578="","",TIMEVALUE(DaqBook_RAW_Data!A578)),TIMEVALUE(DaqBook_RAW_Data!Q578))</f>
        <v/>
      </c>
      <c r="C588" s="167" t="str">
        <f>IF(ISBLANK(DaqBook_RAW_Data!R578),"",DaqBook_RAW_Data!R578)</f>
        <v/>
      </c>
      <c r="D588" s="167" t="str">
        <f>IF(ISBLANK(DaqBook_RAW_Data!S578),"",DaqBook_RAW_Data!S578)</f>
        <v/>
      </c>
      <c r="E588" s="167" t="str">
        <f>IF(ISBLANK(DaqBook_RAW_Data!T578),"",DaqBook_RAW_Data!T578)</f>
        <v/>
      </c>
      <c r="F588" s="167" t="str">
        <f>IF(ISBLANK(DaqBook_RAW_Data!U578),"",DaqBook_RAW_Data!U578)</f>
        <v/>
      </c>
      <c r="G588" s="167" t="str">
        <f>IF(ISBLANK(DaqBook_RAW_Data!V578),"",DaqBook_RAW_Data!V578)</f>
        <v/>
      </c>
      <c r="H588" s="167" t="str">
        <f>IF(ISBLANK(DaqBook_RAW_Data!W578),"",DaqBook_RAW_Data!W578)</f>
        <v/>
      </c>
      <c r="I588" s="167" t="str">
        <f>IF(ISBLANK(DaqBook_RAW_Data!X578),"",DaqBook_RAW_Data!X578)</f>
        <v/>
      </c>
      <c r="J588" s="167" t="str">
        <f>IF(ISBLANK(DaqBook_RAW_Data!Y578),"",DaqBook_RAW_Data!Y578)</f>
        <v/>
      </c>
      <c r="K588" s="167" t="str">
        <f>IF(ISBLANK(DaqBook_RAW_Data!Z578),"",DaqBook_RAW_Data!Z578)</f>
        <v/>
      </c>
      <c r="L588" s="167" t="str">
        <f>IF(ISBLANK(DaqBook_RAW_Data!AA578),"",DaqBook_RAW_Data!AA578)</f>
        <v/>
      </c>
      <c r="M588" s="167" t="str">
        <f>IF(ISBLANK(DaqBook_RAW_Data!AB578),"",DaqBook_RAW_Data!AB578)</f>
        <v/>
      </c>
      <c r="N588" s="167" t="str">
        <f>IF(ISBLANK(DaqBook_RAW_Data!AC578),"",DaqBook_RAW_Data!AC578)</f>
        <v/>
      </c>
      <c r="O588" s="167" t="str">
        <f>IF(ISBLANK(DaqBook_RAW_Data!AD578),"",DaqBook_RAW_Data!AD578)</f>
        <v/>
      </c>
      <c r="P588" s="167" t="str">
        <f>IF(ISBLANK(DaqBook_RAW_Data!AE578),"",DaqBook_RAW_Data!AE578)</f>
        <v/>
      </c>
    </row>
    <row r="589" spans="1:16" x14ac:dyDescent="0.2">
      <c r="A589" s="58" t="e">
        <f t="shared" si="8"/>
        <v>#VALUE!</v>
      </c>
      <c r="B589" s="144" t="str">
        <f>IF(ISBLANK(DaqBook_RAW_Data!Q579),IF(DaqBook_RAW_Data!A579="","",TIMEVALUE(DaqBook_RAW_Data!A579)),TIMEVALUE(DaqBook_RAW_Data!Q579))</f>
        <v/>
      </c>
      <c r="C589" s="167" t="str">
        <f>IF(ISBLANK(DaqBook_RAW_Data!R579),"",DaqBook_RAW_Data!R579)</f>
        <v/>
      </c>
      <c r="D589" s="167" t="str">
        <f>IF(ISBLANK(DaqBook_RAW_Data!S579),"",DaqBook_RAW_Data!S579)</f>
        <v/>
      </c>
      <c r="E589" s="167" t="str">
        <f>IF(ISBLANK(DaqBook_RAW_Data!T579),"",DaqBook_RAW_Data!T579)</f>
        <v/>
      </c>
      <c r="F589" s="167" t="str">
        <f>IF(ISBLANK(DaqBook_RAW_Data!U579),"",DaqBook_RAW_Data!U579)</f>
        <v/>
      </c>
      <c r="G589" s="167" t="str">
        <f>IF(ISBLANK(DaqBook_RAW_Data!V579),"",DaqBook_RAW_Data!V579)</f>
        <v/>
      </c>
      <c r="H589" s="167" t="str">
        <f>IF(ISBLANK(DaqBook_RAW_Data!W579),"",DaqBook_RAW_Data!W579)</f>
        <v/>
      </c>
      <c r="I589" s="167" t="str">
        <f>IF(ISBLANK(DaqBook_RAW_Data!X579),"",DaqBook_RAW_Data!X579)</f>
        <v/>
      </c>
      <c r="J589" s="167" t="str">
        <f>IF(ISBLANK(DaqBook_RAW_Data!Y579),"",DaqBook_RAW_Data!Y579)</f>
        <v/>
      </c>
      <c r="K589" s="167" t="str">
        <f>IF(ISBLANK(DaqBook_RAW_Data!Z579),"",DaqBook_RAW_Data!Z579)</f>
        <v/>
      </c>
      <c r="L589" s="167" t="str">
        <f>IF(ISBLANK(DaqBook_RAW_Data!AA579),"",DaqBook_RAW_Data!AA579)</f>
        <v/>
      </c>
      <c r="M589" s="167" t="str">
        <f>IF(ISBLANK(DaqBook_RAW_Data!AB579),"",DaqBook_RAW_Data!AB579)</f>
        <v/>
      </c>
      <c r="N589" s="167" t="str">
        <f>IF(ISBLANK(DaqBook_RAW_Data!AC579),"",DaqBook_RAW_Data!AC579)</f>
        <v/>
      </c>
      <c r="O589" s="167" t="str">
        <f>IF(ISBLANK(DaqBook_RAW_Data!AD579),"",DaqBook_RAW_Data!AD579)</f>
        <v/>
      </c>
      <c r="P589" s="167" t="str">
        <f>IF(ISBLANK(DaqBook_RAW_Data!AE579),"",DaqBook_RAW_Data!AE579)</f>
        <v/>
      </c>
    </row>
    <row r="590" spans="1:16" x14ac:dyDescent="0.2">
      <c r="A590" s="58" t="e">
        <f t="shared" si="8"/>
        <v>#VALUE!</v>
      </c>
      <c r="B590" s="144" t="str">
        <f>IF(ISBLANK(DaqBook_RAW_Data!Q580),IF(DaqBook_RAW_Data!A580="","",TIMEVALUE(DaqBook_RAW_Data!A580)),TIMEVALUE(DaqBook_RAW_Data!Q580))</f>
        <v/>
      </c>
      <c r="C590" s="167" t="str">
        <f>IF(ISBLANK(DaqBook_RAW_Data!R580),"",DaqBook_RAW_Data!R580)</f>
        <v/>
      </c>
      <c r="D590" s="167" t="str">
        <f>IF(ISBLANK(DaqBook_RAW_Data!S580),"",DaqBook_RAW_Data!S580)</f>
        <v/>
      </c>
      <c r="E590" s="167" t="str">
        <f>IF(ISBLANK(DaqBook_RAW_Data!T580),"",DaqBook_RAW_Data!T580)</f>
        <v/>
      </c>
      <c r="F590" s="167" t="str">
        <f>IF(ISBLANK(DaqBook_RAW_Data!U580),"",DaqBook_RAW_Data!U580)</f>
        <v/>
      </c>
      <c r="G590" s="167" t="str">
        <f>IF(ISBLANK(DaqBook_RAW_Data!V580),"",DaqBook_RAW_Data!V580)</f>
        <v/>
      </c>
      <c r="H590" s="167" t="str">
        <f>IF(ISBLANK(DaqBook_RAW_Data!W580),"",DaqBook_RAW_Data!W580)</f>
        <v/>
      </c>
      <c r="I590" s="167" t="str">
        <f>IF(ISBLANK(DaqBook_RAW_Data!X580),"",DaqBook_RAW_Data!X580)</f>
        <v/>
      </c>
      <c r="J590" s="167" t="str">
        <f>IF(ISBLANK(DaqBook_RAW_Data!Y580),"",DaqBook_RAW_Data!Y580)</f>
        <v/>
      </c>
      <c r="K590" s="167" t="str">
        <f>IF(ISBLANK(DaqBook_RAW_Data!Z580),"",DaqBook_RAW_Data!Z580)</f>
        <v/>
      </c>
      <c r="L590" s="167" t="str">
        <f>IF(ISBLANK(DaqBook_RAW_Data!AA580),"",DaqBook_RAW_Data!AA580)</f>
        <v/>
      </c>
      <c r="M590" s="167" t="str">
        <f>IF(ISBLANK(DaqBook_RAW_Data!AB580),"",DaqBook_RAW_Data!AB580)</f>
        <v/>
      </c>
      <c r="N590" s="167" t="str">
        <f>IF(ISBLANK(DaqBook_RAW_Data!AC580),"",DaqBook_RAW_Data!AC580)</f>
        <v/>
      </c>
      <c r="O590" s="167" t="str">
        <f>IF(ISBLANK(DaqBook_RAW_Data!AD580),"",DaqBook_RAW_Data!AD580)</f>
        <v/>
      </c>
      <c r="P590" s="167" t="str">
        <f>IF(ISBLANK(DaqBook_RAW_Data!AE580),"",DaqBook_RAW_Data!AE580)</f>
        <v/>
      </c>
    </row>
    <row r="591" spans="1:16" x14ac:dyDescent="0.2">
      <c r="A591" s="58" t="e">
        <f t="shared" ref="A591:A654" si="9">HOUR(B591)&amp;":"&amp;MINUTE(B591)</f>
        <v>#VALUE!</v>
      </c>
      <c r="B591" s="144" t="str">
        <f>IF(ISBLANK(DaqBook_RAW_Data!Q581),IF(DaqBook_RAW_Data!A581="","",TIMEVALUE(DaqBook_RAW_Data!A581)),TIMEVALUE(DaqBook_RAW_Data!Q581))</f>
        <v/>
      </c>
      <c r="C591" s="167" t="str">
        <f>IF(ISBLANK(DaqBook_RAW_Data!R581),"",DaqBook_RAW_Data!R581)</f>
        <v/>
      </c>
      <c r="D591" s="167" t="str">
        <f>IF(ISBLANK(DaqBook_RAW_Data!S581),"",DaqBook_RAW_Data!S581)</f>
        <v/>
      </c>
      <c r="E591" s="167" t="str">
        <f>IF(ISBLANK(DaqBook_RAW_Data!T581),"",DaqBook_RAW_Data!T581)</f>
        <v/>
      </c>
      <c r="F591" s="167" t="str">
        <f>IF(ISBLANK(DaqBook_RAW_Data!U581),"",DaqBook_RAW_Data!U581)</f>
        <v/>
      </c>
      <c r="G591" s="167" t="str">
        <f>IF(ISBLANK(DaqBook_RAW_Data!V581),"",DaqBook_RAW_Data!V581)</f>
        <v/>
      </c>
      <c r="H591" s="167" t="str">
        <f>IF(ISBLANK(DaqBook_RAW_Data!W581),"",DaqBook_RAW_Data!W581)</f>
        <v/>
      </c>
      <c r="I591" s="167" t="str">
        <f>IF(ISBLANK(DaqBook_RAW_Data!X581),"",DaqBook_RAW_Data!X581)</f>
        <v/>
      </c>
      <c r="J591" s="167" t="str">
        <f>IF(ISBLANK(DaqBook_RAW_Data!Y581),"",DaqBook_RAW_Data!Y581)</f>
        <v/>
      </c>
      <c r="K591" s="167" t="str">
        <f>IF(ISBLANK(DaqBook_RAW_Data!Z581),"",DaqBook_RAW_Data!Z581)</f>
        <v/>
      </c>
      <c r="L591" s="167" t="str">
        <f>IF(ISBLANK(DaqBook_RAW_Data!AA581),"",DaqBook_RAW_Data!AA581)</f>
        <v/>
      </c>
      <c r="M591" s="167" t="str">
        <f>IF(ISBLANK(DaqBook_RAW_Data!AB581),"",DaqBook_RAW_Data!AB581)</f>
        <v/>
      </c>
      <c r="N591" s="167" t="str">
        <f>IF(ISBLANK(DaqBook_RAW_Data!AC581),"",DaqBook_RAW_Data!AC581)</f>
        <v/>
      </c>
      <c r="O591" s="167" t="str">
        <f>IF(ISBLANK(DaqBook_RAW_Data!AD581),"",DaqBook_RAW_Data!AD581)</f>
        <v/>
      </c>
      <c r="P591" s="167" t="str">
        <f>IF(ISBLANK(DaqBook_RAW_Data!AE581),"",DaqBook_RAW_Data!AE581)</f>
        <v/>
      </c>
    </row>
    <row r="592" spans="1:16" x14ac:dyDescent="0.2">
      <c r="A592" s="58" t="e">
        <f t="shared" si="9"/>
        <v>#VALUE!</v>
      </c>
      <c r="B592" s="144" t="str">
        <f>IF(ISBLANK(DaqBook_RAW_Data!Q582),IF(DaqBook_RAW_Data!A582="","",TIMEVALUE(DaqBook_RAW_Data!A582)),TIMEVALUE(DaqBook_RAW_Data!Q582))</f>
        <v/>
      </c>
      <c r="C592" s="167" t="str">
        <f>IF(ISBLANK(DaqBook_RAW_Data!R582),"",DaqBook_RAW_Data!R582)</f>
        <v/>
      </c>
      <c r="D592" s="167" t="str">
        <f>IF(ISBLANK(DaqBook_RAW_Data!S582),"",DaqBook_RAW_Data!S582)</f>
        <v/>
      </c>
      <c r="E592" s="167" t="str">
        <f>IF(ISBLANK(DaqBook_RAW_Data!T582),"",DaqBook_RAW_Data!T582)</f>
        <v/>
      </c>
      <c r="F592" s="167" t="str">
        <f>IF(ISBLANK(DaqBook_RAW_Data!U582),"",DaqBook_RAW_Data!U582)</f>
        <v/>
      </c>
      <c r="G592" s="167" t="str">
        <f>IF(ISBLANK(DaqBook_RAW_Data!V582),"",DaqBook_RAW_Data!V582)</f>
        <v/>
      </c>
      <c r="H592" s="167" t="str">
        <f>IF(ISBLANK(DaqBook_RAW_Data!W582),"",DaqBook_RAW_Data!W582)</f>
        <v/>
      </c>
      <c r="I592" s="167" t="str">
        <f>IF(ISBLANK(DaqBook_RAW_Data!X582),"",DaqBook_RAW_Data!X582)</f>
        <v/>
      </c>
      <c r="J592" s="167" t="str">
        <f>IF(ISBLANK(DaqBook_RAW_Data!Y582),"",DaqBook_RAW_Data!Y582)</f>
        <v/>
      </c>
      <c r="K592" s="167" t="str">
        <f>IF(ISBLANK(DaqBook_RAW_Data!Z582),"",DaqBook_RAW_Data!Z582)</f>
        <v/>
      </c>
      <c r="L592" s="167" t="str">
        <f>IF(ISBLANK(DaqBook_RAW_Data!AA582),"",DaqBook_RAW_Data!AA582)</f>
        <v/>
      </c>
      <c r="M592" s="167" t="str">
        <f>IF(ISBLANK(DaqBook_RAW_Data!AB582),"",DaqBook_RAW_Data!AB582)</f>
        <v/>
      </c>
      <c r="N592" s="167" t="str">
        <f>IF(ISBLANK(DaqBook_RAW_Data!AC582),"",DaqBook_RAW_Data!AC582)</f>
        <v/>
      </c>
      <c r="O592" s="167" t="str">
        <f>IF(ISBLANK(DaqBook_RAW_Data!AD582),"",DaqBook_RAW_Data!AD582)</f>
        <v/>
      </c>
      <c r="P592" s="167" t="str">
        <f>IF(ISBLANK(DaqBook_RAW_Data!AE582),"",DaqBook_RAW_Data!AE582)</f>
        <v/>
      </c>
    </row>
    <row r="593" spans="1:16" x14ac:dyDescent="0.2">
      <c r="A593" s="58" t="e">
        <f t="shared" si="9"/>
        <v>#VALUE!</v>
      </c>
      <c r="B593" s="144" t="str">
        <f>IF(ISBLANK(DaqBook_RAW_Data!Q583),IF(DaqBook_RAW_Data!A583="","",TIMEVALUE(DaqBook_RAW_Data!A583)),TIMEVALUE(DaqBook_RAW_Data!Q583))</f>
        <v/>
      </c>
      <c r="C593" s="167" t="str">
        <f>IF(ISBLANK(DaqBook_RAW_Data!R583),"",DaqBook_RAW_Data!R583)</f>
        <v/>
      </c>
      <c r="D593" s="167" t="str">
        <f>IF(ISBLANK(DaqBook_RAW_Data!S583),"",DaqBook_RAW_Data!S583)</f>
        <v/>
      </c>
      <c r="E593" s="167" t="str">
        <f>IF(ISBLANK(DaqBook_RAW_Data!T583),"",DaqBook_RAW_Data!T583)</f>
        <v/>
      </c>
      <c r="F593" s="167" t="str">
        <f>IF(ISBLANK(DaqBook_RAW_Data!U583),"",DaqBook_RAW_Data!U583)</f>
        <v/>
      </c>
      <c r="G593" s="167" t="str">
        <f>IF(ISBLANK(DaqBook_RAW_Data!V583),"",DaqBook_RAW_Data!V583)</f>
        <v/>
      </c>
      <c r="H593" s="167" t="str">
        <f>IF(ISBLANK(DaqBook_RAW_Data!W583),"",DaqBook_RAW_Data!W583)</f>
        <v/>
      </c>
      <c r="I593" s="167" t="str">
        <f>IF(ISBLANK(DaqBook_RAW_Data!X583),"",DaqBook_RAW_Data!X583)</f>
        <v/>
      </c>
      <c r="J593" s="167" t="str">
        <f>IF(ISBLANK(DaqBook_RAW_Data!Y583),"",DaqBook_RAW_Data!Y583)</f>
        <v/>
      </c>
      <c r="K593" s="167" t="str">
        <f>IF(ISBLANK(DaqBook_RAW_Data!Z583),"",DaqBook_RAW_Data!Z583)</f>
        <v/>
      </c>
      <c r="L593" s="167" t="str">
        <f>IF(ISBLANK(DaqBook_RAW_Data!AA583),"",DaqBook_RAW_Data!AA583)</f>
        <v/>
      </c>
      <c r="M593" s="167" t="str">
        <f>IF(ISBLANK(DaqBook_RAW_Data!AB583),"",DaqBook_RAW_Data!AB583)</f>
        <v/>
      </c>
      <c r="N593" s="167" t="str">
        <f>IF(ISBLANK(DaqBook_RAW_Data!AC583),"",DaqBook_RAW_Data!AC583)</f>
        <v/>
      </c>
      <c r="O593" s="167" t="str">
        <f>IF(ISBLANK(DaqBook_RAW_Data!AD583),"",DaqBook_RAW_Data!AD583)</f>
        <v/>
      </c>
      <c r="P593" s="167" t="str">
        <f>IF(ISBLANK(DaqBook_RAW_Data!AE583),"",DaqBook_RAW_Data!AE583)</f>
        <v/>
      </c>
    </row>
    <row r="594" spans="1:16" x14ac:dyDescent="0.2">
      <c r="A594" s="58" t="e">
        <f t="shared" si="9"/>
        <v>#VALUE!</v>
      </c>
      <c r="B594" s="144" t="str">
        <f>IF(ISBLANK(DaqBook_RAW_Data!Q584),IF(DaqBook_RAW_Data!A584="","",TIMEVALUE(DaqBook_RAW_Data!A584)),TIMEVALUE(DaqBook_RAW_Data!Q584))</f>
        <v/>
      </c>
      <c r="C594" s="167" t="str">
        <f>IF(ISBLANK(DaqBook_RAW_Data!R584),"",DaqBook_RAW_Data!R584)</f>
        <v/>
      </c>
      <c r="D594" s="167" t="str">
        <f>IF(ISBLANK(DaqBook_RAW_Data!S584),"",DaqBook_RAW_Data!S584)</f>
        <v/>
      </c>
      <c r="E594" s="167" t="str">
        <f>IF(ISBLANK(DaqBook_RAW_Data!T584),"",DaqBook_RAW_Data!T584)</f>
        <v/>
      </c>
      <c r="F594" s="167" t="str">
        <f>IF(ISBLANK(DaqBook_RAW_Data!U584),"",DaqBook_RAW_Data!U584)</f>
        <v/>
      </c>
      <c r="G594" s="167" t="str">
        <f>IF(ISBLANK(DaqBook_RAW_Data!V584),"",DaqBook_RAW_Data!V584)</f>
        <v/>
      </c>
      <c r="H594" s="167" t="str">
        <f>IF(ISBLANK(DaqBook_RAW_Data!W584),"",DaqBook_RAW_Data!W584)</f>
        <v/>
      </c>
      <c r="I594" s="167" t="str">
        <f>IF(ISBLANK(DaqBook_RAW_Data!X584),"",DaqBook_RAW_Data!X584)</f>
        <v/>
      </c>
      <c r="J594" s="167" t="str">
        <f>IF(ISBLANK(DaqBook_RAW_Data!Y584),"",DaqBook_RAW_Data!Y584)</f>
        <v/>
      </c>
      <c r="K594" s="167" t="str">
        <f>IF(ISBLANK(DaqBook_RAW_Data!Z584),"",DaqBook_RAW_Data!Z584)</f>
        <v/>
      </c>
      <c r="L594" s="167" t="str">
        <f>IF(ISBLANK(DaqBook_RAW_Data!AA584),"",DaqBook_RAW_Data!AA584)</f>
        <v/>
      </c>
      <c r="M594" s="167" t="str">
        <f>IF(ISBLANK(DaqBook_RAW_Data!AB584),"",DaqBook_RAW_Data!AB584)</f>
        <v/>
      </c>
      <c r="N594" s="167" t="str">
        <f>IF(ISBLANK(DaqBook_RAW_Data!AC584),"",DaqBook_RAW_Data!AC584)</f>
        <v/>
      </c>
      <c r="O594" s="167" t="str">
        <f>IF(ISBLANK(DaqBook_RAW_Data!AD584),"",DaqBook_RAW_Data!AD584)</f>
        <v/>
      </c>
      <c r="P594" s="167" t="str">
        <f>IF(ISBLANK(DaqBook_RAW_Data!AE584),"",DaqBook_RAW_Data!AE584)</f>
        <v/>
      </c>
    </row>
    <row r="595" spans="1:16" x14ac:dyDescent="0.2">
      <c r="A595" s="58" t="e">
        <f t="shared" si="9"/>
        <v>#VALUE!</v>
      </c>
      <c r="B595" s="144" t="str">
        <f>IF(ISBLANK(DaqBook_RAW_Data!Q585),IF(DaqBook_RAW_Data!A585="","",TIMEVALUE(DaqBook_RAW_Data!A585)),TIMEVALUE(DaqBook_RAW_Data!Q585))</f>
        <v/>
      </c>
      <c r="C595" s="167" t="str">
        <f>IF(ISBLANK(DaqBook_RAW_Data!R585),"",DaqBook_RAW_Data!R585)</f>
        <v/>
      </c>
      <c r="D595" s="167" t="str">
        <f>IF(ISBLANK(DaqBook_RAW_Data!S585),"",DaqBook_RAW_Data!S585)</f>
        <v/>
      </c>
      <c r="E595" s="167" t="str">
        <f>IF(ISBLANK(DaqBook_RAW_Data!T585),"",DaqBook_RAW_Data!T585)</f>
        <v/>
      </c>
      <c r="F595" s="167" t="str">
        <f>IF(ISBLANK(DaqBook_RAW_Data!U585),"",DaqBook_RAW_Data!U585)</f>
        <v/>
      </c>
      <c r="G595" s="167" t="str">
        <f>IF(ISBLANK(DaqBook_RAW_Data!V585),"",DaqBook_RAW_Data!V585)</f>
        <v/>
      </c>
      <c r="H595" s="167" t="str">
        <f>IF(ISBLANK(DaqBook_RAW_Data!W585),"",DaqBook_RAW_Data!W585)</f>
        <v/>
      </c>
      <c r="I595" s="167" t="str">
        <f>IF(ISBLANK(DaqBook_RAW_Data!X585),"",DaqBook_RAW_Data!X585)</f>
        <v/>
      </c>
      <c r="J595" s="167" t="str">
        <f>IF(ISBLANK(DaqBook_RAW_Data!Y585),"",DaqBook_RAW_Data!Y585)</f>
        <v/>
      </c>
      <c r="K595" s="167" t="str">
        <f>IF(ISBLANK(DaqBook_RAW_Data!Z585),"",DaqBook_RAW_Data!Z585)</f>
        <v/>
      </c>
      <c r="L595" s="167" t="str">
        <f>IF(ISBLANK(DaqBook_RAW_Data!AA585),"",DaqBook_RAW_Data!AA585)</f>
        <v/>
      </c>
      <c r="M595" s="167" t="str">
        <f>IF(ISBLANK(DaqBook_RAW_Data!AB585),"",DaqBook_RAW_Data!AB585)</f>
        <v/>
      </c>
      <c r="N595" s="167" t="str">
        <f>IF(ISBLANK(DaqBook_RAW_Data!AC585),"",DaqBook_RAW_Data!AC585)</f>
        <v/>
      </c>
      <c r="O595" s="167" t="str">
        <f>IF(ISBLANK(DaqBook_RAW_Data!AD585),"",DaqBook_RAW_Data!AD585)</f>
        <v/>
      </c>
      <c r="P595" s="167" t="str">
        <f>IF(ISBLANK(DaqBook_RAW_Data!AE585),"",DaqBook_RAW_Data!AE585)</f>
        <v/>
      </c>
    </row>
    <row r="596" spans="1:16" x14ac:dyDescent="0.2">
      <c r="A596" s="58" t="e">
        <f t="shared" si="9"/>
        <v>#VALUE!</v>
      </c>
      <c r="B596" s="144" t="str">
        <f>IF(ISBLANK(DaqBook_RAW_Data!Q586),IF(DaqBook_RAW_Data!A586="","",TIMEVALUE(DaqBook_RAW_Data!A586)),TIMEVALUE(DaqBook_RAW_Data!Q586))</f>
        <v/>
      </c>
      <c r="C596" s="167" t="str">
        <f>IF(ISBLANK(DaqBook_RAW_Data!R586),"",DaqBook_RAW_Data!R586)</f>
        <v/>
      </c>
      <c r="D596" s="167" t="str">
        <f>IF(ISBLANK(DaqBook_RAW_Data!S586),"",DaqBook_RAW_Data!S586)</f>
        <v/>
      </c>
      <c r="E596" s="167" t="str">
        <f>IF(ISBLANK(DaqBook_RAW_Data!T586),"",DaqBook_RAW_Data!T586)</f>
        <v/>
      </c>
      <c r="F596" s="167" t="str">
        <f>IF(ISBLANK(DaqBook_RAW_Data!U586),"",DaqBook_RAW_Data!U586)</f>
        <v/>
      </c>
      <c r="G596" s="167" t="str">
        <f>IF(ISBLANK(DaqBook_RAW_Data!V586),"",DaqBook_RAW_Data!V586)</f>
        <v/>
      </c>
      <c r="H596" s="167" t="str">
        <f>IF(ISBLANK(DaqBook_RAW_Data!W586),"",DaqBook_RAW_Data!W586)</f>
        <v/>
      </c>
      <c r="I596" s="167" t="str">
        <f>IF(ISBLANK(DaqBook_RAW_Data!X586),"",DaqBook_RAW_Data!X586)</f>
        <v/>
      </c>
      <c r="J596" s="167" t="str">
        <f>IF(ISBLANK(DaqBook_RAW_Data!Y586),"",DaqBook_RAW_Data!Y586)</f>
        <v/>
      </c>
      <c r="K596" s="167" t="str">
        <f>IF(ISBLANK(DaqBook_RAW_Data!Z586),"",DaqBook_RAW_Data!Z586)</f>
        <v/>
      </c>
      <c r="L596" s="167" t="str">
        <f>IF(ISBLANK(DaqBook_RAW_Data!AA586),"",DaqBook_RAW_Data!AA586)</f>
        <v/>
      </c>
      <c r="M596" s="167" t="str">
        <f>IF(ISBLANK(DaqBook_RAW_Data!AB586),"",DaqBook_RAW_Data!AB586)</f>
        <v/>
      </c>
      <c r="N596" s="167" t="str">
        <f>IF(ISBLANK(DaqBook_RAW_Data!AC586),"",DaqBook_RAW_Data!AC586)</f>
        <v/>
      </c>
      <c r="O596" s="167" t="str">
        <f>IF(ISBLANK(DaqBook_RAW_Data!AD586),"",DaqBook_RAW_Data!AD586)</f>
        <v/>
      </c>
      <c r="P596" s="167" t="str">
        <f>IF(ISBLANK(DaqBook_RAW_Data!AE586),"",DaqBook_RAW_Data!AE586)</f>
        <v/>
      </c>
    </row>
    <row r="597" spans="1:16" x14ac:dyDescent="0.2">
      <c r="A597" s="58" t="e">
        <f t="shared" si="9"/>
        <v>#VALUE!</v>
      </c>
      <c r="B597" s="144" t="str">
        <f>IF(ISBLANK(DaqBook_RAW_Data!Q587),IF(DaqBook_RAW_Data!A587="","",TIMEVALUE(DaqBook_RAW_Data!A587)),TIMEVALUE(DaqBook_RAW_Data!Q587))</f>
        <v/>
      </c>
      <c r="C597" s="167" t="str">
        <f>IF(ISBLANK(DaqBook_RAW_Data!R587),"",DaqBook_RAW_Data!R587)</f>
        <v/>
      </c>
      <c r="D597" s="167" t="str">
        <f>IF(ISBLANK(DaqBook_RAW_Data!S587),"",DaqBook_RAW_Data!S587)</f>
        <v/>
      </c>
      <c r="E597" s="167" t="str">
        <f>IF(ISBLANK(DaqBook_RAW_Data!T587),"",DaqBook_RAW_Data!T587)</f>
        <v/>
      </c>
      <c r="F597" s="167" t="str">
        <f>IF(ISBLANK(DaqBook_RAW_Data!U587),"",DaqBook_RAW_Data!U587)</f>
        <v/>
      </c>
      <c r="G597" s="167" t="str">
        <f>IF(ISBLANK(DaqBook_RAW_Data!V587),"",DaqBook_RAW_Data!V587)</f>
        <v/>
      </c>
      <c r="H597" s="167" t="str">
        <f>IF(ISBLANK(DaqBook_RAW_Data!W587),"",DaqBook_RAW_Data!W587)</f>
        <v/>
      </c>
      <c r="I597" s="167" t="str">
        <f>IF(ISBLANK(DaqBook_RAW_Data!X587),"",DaqBook_RAW_Data!X587)</f>
        <v/>
      </c>
      <c r="J597" s="167" t="str">
        <f>IF(ISBLANK(DaqBook_RAW_Data!Y587),"",DaqBook_RAW_Data!Y587)</f>
        <v/>
      </c>
      <c r="K597" s="167" t="str">
        <f>IF(ISBLANK(DaqBook_RAW_Data!Z587),"",DaqBook_RAW_Data!Z587)</f>
        <v/>
      </c>
      <c r="L597" s="167" t="str">
        <f>IF(ISBLANK(DaqBook_RAW_Data!AA587),"",DaqBook_RAW_Data!AA587)</f>
        <v/>
      </c>
      <c r="M597" s="167" t="str">
        <f>IF(ISBLANK(DaqBook_RAW_Data!AB587),"",DaqBook_RAW_Data!AB587)</f>
        <v/>
      </c>
      <c r="N597" s="167" t="str">
        <f>IF(ISBLANK(DaqBook_RAW_Data!AC587),"",DaqBook_RAW_Data!AC587)</f>
        <v/>
      </c>
      <c r="O597" s="167" t="str">
        <f>IF(ISBLANK(DaqBook_RAW_Data!AD587),"",DaqBook_RAW_Data!AD587)</f>
        <v/>
      </c>
      <c r="P597" s="167" t="str">
        <f>IF(ISBLANK(DaqBook_RAW_Data!AE587),"",DaqBook_RAW_Data!AE587)</f>
        <v/>
      </c>
    </row>
    <row r="598" spans="1:16" x14ac:dyDescent="0.2">
      <c r="A598" s="58" t="e">
        <f t="shared" si="9"/>
        <v>#VALUE!</v>
      </c>
      <c r="B598" s="144" t="str">
        <f>IF(ISBLANK(DaqBook_RAW_Data!Q588),IF(DaqBook_RAW_Data!A588="","",TIMEVALUE(DaqBook_RAW_Data!A588)),TIMEVALUE(DaqBook_RAW_Data!Q588))</f>
        <v/>
      </c>
      <c r="C598" s="167" t="str">
        <f>IF(ISBLANK(DaqBook_RAW_Data!R588),"",DaqBook_RAW_Data!R588)</f>
        <v/>
      </c>
      <c r="D598" s="167" t="str">
        <f>IF(ISBLANK(DaqBook_RAW_Data!S588),"",DaqBook_RAW_Data!S588)</f>
        <v/>
      </c>
      <c r="E598" s="167" t="str">
        <f>IF(ISBLANK(DaqBook_RAW_Data!T588),"",DaqBook_RAW_Data!T588)</f>
        <v/>
      </c>
      <c r="F598" s="167" t="str">
        <f>IF(ISBLANK(DaqBook_RAW_Data!U588),"",DaqBook_RAW_Data!U588)</f>
        <v/>
      </c>
      <c r="G598" s="167" t="str">
        <f>IF(ISBLANK(DaqBook_RAW_Data!V588),"",DaqBook_RAW_Data!V588)</f>
        <v/>
      </c>
      <c r="H598" s="167" t="str">
        <f>IF(ISBLANK(DaqBook_RAW_Data!W588),"",DaqBook_RAW_Data!W588)</f>
        <v/>
      </c>
      <c r="I598" s="167" t="str">
        <f>IF(ISBLANK(DaqBook_RAW_Data!X588),"",DaqBook_RAW_Data!X588)</f>
        <v/>
      </c>
      <c r="J598" s="167" t="str">
        <f>IF(ISBLANK(DaqBook_RAW_Data!Y588),"",DaqBook_RAW_Data!Y588)</f>
        <v/>
      </c>
      <c r="K598" s="167" t="str">
        <f>IF(ISBLANK(DaqBook_RAW_Data!Z588),"",DaqBook_RAW_Data!Z588)</f>
        <v/>
      </c>
      <c r="L598" s="167" t="str">
        <f>IF(ISBLANK(DaqBook_RAW_Data!AA588),"",DaqBook_RAW_Data!AA588)</f>
        <v/>
      </c>
      <c r="M598" s="167" t="str">
        <f>IF(ISBLANK(DaqBook_RAW_Data!AB588),"",DaqBook_RAW_Data!AB588)</f>
        <v/>
      </c>
      <c r="N598" s="167" t="str">
        <f>IF(ISBLANK(DaqBook_RAW_Data!AC588),"",DaqBook_RAW_Data!AC588)</f>
        <v/>
      </c>
      <c r="O598" s="167" t="str">
        <f>IF(ISBLANK(DaqBook_RAW_Data!AD588),"",DaqBook_RAW_Data!AD588)</f>
        <v/>
      </c>
      <c r="P598" s="167" t="str">
        <f>IF(ISBLANK(DaqBook_RAW_Data!AE588),"",DaqBook_RAW_Data!AE588)</f>
        <v/>
      </c>
    </row>
    <row r="599" spans="1:16" x14ac:dyDescent="0.2">
      <c r="A599" s="58" t="e">
        <f t="shared" si="9"/>
        <v>#VALUE!</v>
      </c>
      <c r="B599" s="144" t="str">
        <f>IF(ISBLANK(DaqBook_RAW_Data!Q589),IF(DaqBook_RAW_Data!A589="","",TIMEVALUE(DaqBook_RAW_Data!A589)),TIMEVALUE(DaqBook_RAW_Data!Q589))</f>
        <v/>
      </c>
      <c r="C599" s="167" t="str">
        <f>IF(ISBLANK(DaqBook_RAW_Data!R589),"",DaqBook_RAW_Data!R589)</f>
        <v/>
      </c>
      <c r="D599" s="167" t="str">
        <f>IF(ISBLANK(DaqBook_RAW_Data!S589),"",DaqBook_RAW_Data!S589)</f>
        <v/>
      </c>
      <c r="E599" s="167" t="str">
        <f>IF(ISBLANK(DaqBook_RAW_Data!T589),"",DaqBook_RAW_Data!T589)</f>
        <v/>
      </c>
      <c r="F599" s="167" t="str">
        <f>IF(ISBLANK(DaqBook_RAW_Data!U589),"",DaqBook_RAW_Data!U589)</f>
        <v/>
      </c>
      <c r="G599" s="167" t="str">
        <f>IF(ISBLANK(DaqBook_RAW_Data!V589),"",DaqBook_RAW_Data!V589)</f>
        <v/>
      </c>
      <c r="H599" s="167" t="str">
        <f>IF(ISBLANK(DaqBook_RAW_Data!W589),"",DaqBook_RAW_Data!W589)</f>
        <v/>
      </c>
      <c r="I599" s="167" t="str">
        <f>IF(ISBLANK(DaqBook_RAW_Data!X589),"",DaqBook_RAW_Data!X589)</f>
        <v/>
      </c>
      <c r="J599" s="167" t="str">
        <f>IF(ISBLANK(DaqBook_RAW_Data!Y589),"",DaqBook_RAW_Data!Y589)</f>
        <v/>
      </c>
      <c r="K599" s="167" t="str">
        <f>IF(ISBLANK(DaqBook_RAW_Data!Z589),"",DaqBook_RAW_Data!Z589)</f>
        <v/>
      </c>
      <c r="L599" s="167" t="str">
        <f>IF(ISBLANK(DaqBook_RAW_Data!AA589),"",DaqBook_RAW_Data!AA589)</f>
        <v/>
      </c>
      <c r="M599" s="167" t="str">
        <f>IF(ISBLANK(DaqBook_RAW_Data!AB589),"",DaqBook_RAW_Data!AB589)</f>
        <v/>
      </c>
      <c r="N599" s="167" t="str">
        <f>IF(ISBLANK(DaqBook_RAW_Data!AC589),"",DaqBook_RAW_Data!AC589)</f>
        <v/>
      </c>
      <c r="O599" s="167" t="str">
        <f>IF(ISBLANK(DaqBook_RAW_Data!AD589),"",DaqBook_RAW_Data!AD589)</f>
        <v/>
      </c>
      <c r="P599" s="167" t="str">
        <f>IF(ISBLANK(DaqBook_RAW_Data!AE589),"",DaqBook_RAW_Data!AE589)</f>
        <v/>
      </c>
    </row>
    <row r="600" spans="1:16" x14ac:dyDescent="0.2">
      <c r="A600" s="58" t="e">
        <f t="shared" si="9"/>
        <v>#VALUE!</v>
      </c>
      <c r="B600" s="144" t="str">
        <f>IF(ISBLANK(DaqBook_RAW_Data!Q590),IF(DaqBook_RAW_Data!A590="","",TIMEVALUE(DaqBook_RAW_Data!A590)),TIMEVALUE(DaqBook_RAW_Data!Q590))</f>
        <v/>
      </c>
      <c r="C600" s="167" t="str">
        <f>IF(ISBLANK(DaqBook_RAW_Data!R590),"",DaqBook_RAW_Data!R590)</f>
        <v/>
      </c>
      <c r="D600" s="167" t="str">
        <f>IF(ISBLANK(DaqBook_RAW_Data!S590),"",DaqBook_RAW_Data!S590)</f>
        <v/>
      </c>
      <c r="E600" s="167" t="str">
        <f>IF(ISBLANK(DaqBook_RAW_Data!T590),"",DaqBook_RAW_Data!T590)</f>
        <v/>
      </c>
      <c r="F600" s="167" t="str">
        <f>IF(ISBLANK(DaqBook_RAW_Data!U590),"",DaqBook_RAW_Data!U590)</f>
        <v/>
      </c>
      <c r="G600" s="167" t="str">
        <f>IF(ISBLANK(DaqBook_RAW_Data!V590),"",DaqBook_RAW_Data!V590)</f>
        <v/>
      </c>
      <c r="H600" s="167" t="str">
        <f>IF(ISBLANK(DaqBook_RAW_Data!W590),"",DaqBook_RAW_Data!W590)</f>
        <v/>
      </c>
      <c r="I600" s="167" t="str">
        <f>IF(ISBLANK(DaqBook_RAW_Data!X590),"",DaqBook_RAW_Data!X590)</f>
        <v/>
      </c>
      <c r="J600" s="167" t="str">
        <f>IF(ISBLANK(DaqBook_RAW_Data!Y590),"",DaqBook_RAW_Data!Y590)</f>
        <v/>
      </c>
      <c r="K600" s="167" t="str">
        <f>IF(ISBLANK(DaqBook_RAW_Data!Z590),"",DaqBook_RAW_Data!Z590)</f>
        <v/>
      </c>
      <c r="L600" s="167" t="str">
        <f>IF(ISBLANK(DaqBook_RAW_Data!AA590),"",DaqBook_RAW_Data!AA590)</f>
        <v/>
      </c>
      <c r="M600" s="167" t="str">
        <f>IF(ISBLANK(DaqBook_RAW_Data!AB590),"",DaqBook_RAW_Data!AB590)</f>
        <v/>
      </c>
      <c r="N600" s="167" t="str">
        <f>IF(ISBLANK(DaqBook_RAW_Data!AC590),"",DaqBook_RAW_Data!AC590)</f>
        <v/>
      </c>
      <c r="O600" s="167" t="str">
        <f>IF(ISBLANK(DaqBook_RAW_Data!AD590),"",DaqBook_RAW_Data!AD590)</f>
        <v/>
      </c>
      <c r="P600" s="167" t="str">
        <f>IF(ISBLANK(DaqBook_RAW_Data!AE590),"",DaqBook_RAW_Data!AE590)</f>
        <v/>
      </c>
    </row>
    <row r="601" spans="1:16" x14ac:dyDescent="0.2">
      <c r="A601" s="58" t="e">
        <f t="shared" si="9"/>
        <v>#VALUE!</v>
      </c>
      <c r="B601" s="144" t="str">
        <f>IF(ISBLANK(DaqBook_RAW_Data!Q591),IF(DaqBook_RAW_Data!A591="","",TIMEVALUE(DaqBook_RAW_Data!A591)),TIMEVALUE(DaqBook_RAW_Data!Q591))</f>
        <v/>
      </c>
      <c r="C601" s="167" t="str">
        <f>IF(ISBLANK(DaqBook_RAW_Data!R591),"",DaqBook_RAW_Data!R591)</f>
        <v/>
      </c>
      <c r="D601" s="167" t="str">
        <f>IF(ISBLANK(DaqBook_RAW_Data!S591),"",DaqBook_RAW_Data!S591)</f>
        <v/>
      </c>
      <c r="E601" s="167" t="str">
        <f>IF(ISBLANK(DaqBook_RAW_Data!T591),"",DaqBook_RAW_Data!T591)</f>
        <v/>
      </c>
      <c r="F601" s="167" t="str">
        <f>IF(ISBLANK(DaqBook_RAW_Data!U591),"",DaqBook_RAW_Data!U591)</f>
        <v/>
      </c>
      <c r="G601" s="167" t="str">
        <f>IF(ISBLANK(DaqBook_RAW_Data!V591),"",DaqBook_RAW_Data!V591)</f>
        <v/>
      </c>
      <c r="H601" s="167" t="str">
        <f>IF(ISBLANK(DaqBook_RAW_Data!W591),"",DaqBook_RAW_Data!W591)</f>
        <v/>
      </c>
      <c r="I601" s="167" t="str">
        <f>IF(ISBLANK(DaqBook_RAW_Data!X591),"",DaqBook_RAW_Data!X591)</f>
        <v/>
      </c>
      <c r="J601" s="167" t="str">
        <f>IF(ISBLANK(DaqBook_RAW_Data!Y591),"",DaqBook_RAW_Data!Y591)</f>
        <v/>
      </c>
      <c r="K601" s="167" t="str">
        <f>IF(ISBLANK(DaqBook_RAW_Data!Z591),"",DaqBook_RAW_Data!Z591)</f>
        <v/>
      </c>
      <c r="L601" s="167" t="str">
        <f>IF(ISBLANK(DaqBook_RAW_Data!AA591),"",DaqBook_RAW_Data!AA591)</f>
        <v/>
      </c>
      <c r="M601" s="167" t="str">
        <f>IF(ISBLANK(DaqBook_RAW_Data!AB591),"",DaqBook_RAW_Data!AB591)</f>
        <v/>
      </c>
      <c r="N601" s="167" t="str">
        <f>IF(ISBLANK(DaqBook_RAW_Data!AC591),"",DaqBook_RAW_Data!AC591)</f>
        <v/>
      </c>
      <c r="O601" s="167" t="str">
        <f>IF(ISBLANK(DaqBook_RAW_Data!AD591),"",DaqBook_RAW_Data!AD591)</f>
        <v/>
      </c>
      <c r="P601" s="167" t="str">
        <f>IF(ISBLANK(DaqBook_RAW_Data!AE591),"",DaqBook_RAW_Data!AE591)</f>
        <v/>
      </c>
    </row>
    <row r="602" spans="1:16" x14ac:dyDescent="0.2">
      <c r="A602" s="58" t="e">
        <f t="shared" si="9"/>
        <v>#VALUE!</v>
      </c>
      <c r="B602" s="144" t="str">
        <f>IF(ISBLANK(DaqBook_RAW_Data!Q592),IF(DaqBook_RAW_Data!A592="","",TIMEVALUE(DaqBook_RAW_Data!A592)),TIMEVALUE(DaqBook_RAW_Data!Q592))</f>
        <v/>
      </c>
      <c r="C602" s="167" t="str">
        <f>IF(ISBLANK(DaqBook_RAW_Data!R592),"",DaqBook_RAW_Data!R592)</f>
        <v/>
      </c>
      <c r="D602" s="167" t="str">
        <f>IF(ISBLANK(DaqBook_RAW_Data!S592),"",DaqBook_RAW_Data!S592)</f>
        <v/>
      </c>
      <c r="E602" s="167" t="str">
        <f>IF(ISBLANK(DaqBook_RAW_Data!T592),"",DaqBook_RAW_Data!T592)</f>
        <v/>
      </c>
      <c r="F602" s="167" t="str">
        <f>IF(ISBLANK(DaqBook_RAW_Data!U592),"",DaqBook_RAW_Data!U592)</f>
        <v/>
      </c>
      <c r="G602" s="167" t="str">
        <f>IF(ISBLANK(DaqBook_RAW_Data!V592),"",DaqBook_RAW_Data!V592)</f>
        <v/>
      </c>
      <c r="H602" s="167" t="str">
        <f>IF(ISBLANK(DaqBook_RAW_Data!W592),"",DaqBook_RAW_Data!W592)</f>
        <v/>
      </c>
      <c r="I602" s="167" t="str">
        <f>IF(ISBLANK(DaqBook_RAW_Data!X592),"",DaqBook_RAW_Data!X592)</f>
        <v/>
      </c>
      <c r="J602" s="167" t="str">
        <f>IF(ISBLANK(DaqBook_RAW_Data!Y592),"",DaqBook_RAW_Data!Y592)</f>
        <v/>
      </c>
      <c r="K602" s="167" t="str">
        <f>IF(ISBLANK(DaqBook_RAW_Data!Z592),"",DaqBook_RAW_Data!Z592)</f>
        <v/>
      </c>
      <c r="L602" s="167" t="str">
        <f>IF(ISBLANK(DaqBook_RAW_Data!AA592),"",DaqBook_RAW_Data!AA592)</f>
        <v/>
      </c>
      <c r="M602" s="167" t="str">
        <f>IF(ISBLANK(DaqBook_RAW_Data!AB592),"",DaqBook_RAW_Data!AB592)</f>
        <v/>
      </c>
      <c r="N602" s="167" t="str">
        <f>IF(ISBLANK(DaqBook_RAW_Data!AC592),"",DaqBook_RAW_Data!AC592)</f>
        <v/>
      </c>
      <c r="O602" s="167" t="str">
        <f>IF(ISBLANK(DaqBook_RAW_Data!AD592),"",DaqBook_RAW_Data!AD592)</f>
        <v/>
      </c>
      <c r="P602" s="167" t="str">
        <f>IF(ISBLANK(DaqBook_RAW_Data!AE592),"",DaqBook_RAW_Data!AE592)</f>
        <v/>
      </c>
    </row>
    <row r="603" spans="1:16" x14ac:dyDescent="0.2">
      <c r="A603" s="58" t="e">
        <f t="shared" si="9"/>
        <v>#VALUE!</v>
      </c>
      <c r="B603" s="144" t="str">
        <f>IF(ISBLANK(DaqBook_RAW_Data!Q593),IF(DaqBook_RAW_Data!A593="","",TIMEVALUE(DaqBook_RAW_Data!A593)),TIMEVALUE(DaqBook_RAW_Data!Q593))</f>
        <v/>
      </c>
      <c r="C603" s="167" t="str">
        <f>IF(ISBLANK(DaqBook_RAW_Data!R593),"",DaqBook_RAW_Data!R593)</f>
        <v/>
      </c>
      <c r="D603" s="167" t="str">
        <f>IF(ISBLANK(DaqBook_RAW_Data!S593),"",DaqBook_RAW_Data!S593)</f>
        <v/>
      </c>
      <c r="E603" s="167" t="str">
        <f>IF(ISBLANK(DaqBook_RAW_Data!T593),"",DaqBook_RAW_Data!T593)</f>
        <v/>
      </c>
      <c r="F603" s="167" t="str">
        <f>IF(ISBLANK(DaqBook_RAW_Data!U593),"",DaqBook_RAW_Data!U593)</f>
        <v/>
      </c>
      <c r="G603" s="167" t="str">
        <f>IF(ISBLANK(DaqBook_RAW_Data!V593),"",DaqBook_RAW_Data!V593)</f>
        <v/>
      </c>
      <c r="H603" s="167" t="str">
        <f>IF(ISBLANK(DaqBook_RAW_Data!W593),"",DaqBook_RAW_Data!W593)</f>
        <v/>
      </c>
      <c r="I603" s="167" t="str">
        <f>IF(ISBLANK(DaqBook_RAW_Data!X593),"",DaqBook_RAW_Data!X593)</f>
        <v/>
      </c>
      <c r="J603" s="167" t="str">
        <f>IF(ISBLANK(DaqBook_RAW_Data!Y593),"",DaqBook_RAW_Data!Y593)</f>
        <v/>
      </c>
      <c r="K603" s="167" t="str">
        <f>IF(ISBLANK(DaqBook_RAW_Data!Z593),"",DaqBook_RAW_Data!Z593)</f>
        <v/>
      </c>
      <c r="L603" s="167" t="str">
        <f>IF(ISBLANK(DaqBook_RAW_Data!AA593),"",DaqBook_RAW_Data!AA593)</f>
        <v/>
      </c>
      <c r="M603" s="167" t="str">
        <f>IF(ISBLANK(DaqBook_RAW_Data!AB593),"",DaqBook_RAW_Data!AB593)</f>
        <v/>
      </c>
      <c r="N603" s="167" t="str">
        <f>IF(ISBLANK(DaqBook_RAW_Data!AC593),"",DaqBook_RAW_Data!AC593)</f>
        <v/>
      </c>
      <c r="O603" s="167" t="str">
        <f>IF(ISBLANK(DaqBook_RAW_Data!AD593),"",DaqBook_RAW_Data!AD593)</f>
        <v/>
      </c>
      <c r="P603" s="167" t="str">
        <f>IF(ISBLANK(DaqBook_RAW_Data!AE593),"",DaqBook_RAW_Data!AE593)</f>
        <v/>
      </c>
    </row>
    <row r="604" spans="1:16" x14ac:dyDescent="0.2">
      <c r="A604" s="58" t="e">
        <f t="shared" si="9"/>
        <v>#VALUE!</v>
      </c>
      <c r="B604" s="144" t="str">
        <f>IF(ISBLANK(DaqBook_RAW_Data!Q594),IF(DaqBook_RAW_Data!A594="","",TIMEVALUE(DaqBook_RAW_Data!A594)),TIMEVALUE(DaqBook_RAW_Data!Q594))</f>
        <v/>
      </c>
      <c r="C604" s="167" t="str">
        <f>IF(ISBLANK(DaqBook_RAW_Data!R594),"",DaqBook_RAW_Data!R594)</f>
        <v/>
      </c>
      <c r="D604" s="167" t="str">
        <f>IF(ISBLANK(DaqBook_RAW_Data!S594),"",DaqBook_RAW_Data!S594)</f>
        <v/>
      </c>
      <c r="E604" s="167" t="str">
        <f>IF(ISBLANK(DaqBook_RAW_Data!T594),"",DaqBook_RAW_Data!T594)</f>
        <v/>
      </c>
      <c r="F604" s="167" t="str">
        <f>IF(ISBLANK(DaqBook_RAW_Data!U594),"",DaqBook_RAW_Data!U594)</f>
        <v/>
      </c>
      <c r="G604" s="167" t="str">
        <f>IF(ISBLANK(DaqBook_RAW_Data!V594),"",DaqBook_RAW_Data!V594)</f>
        <v/>
      </c>
      <c r="H604" s="167" t="str">
        <f>IF(ISBLANK(DaqBook_RAW_Data!W594),"",DaqBook_RAW_Data!W594)</f>
        <v/>
      </c>
      <c r="I604" s="167" t="str">
        <f>IF(ISBLANK(DaqBook_RAW_Data!X594),"",DaqBook_RAW_Data!X594)</f>
        <v/>
      </c>
      <c r="J604" s="167" t="str">
        <f>IF(ISBLANK(DaqBook_RAW_Data!Y594),"",DaqBook_RAW_Data!Y594)</f>
        <v/>
      </c>
      <c r="K604" s="167" t="str">
        <f>IF(ISBLANK(DaqBook_RAW_Data!Z594),"",DaqBook_RAW_Data!Z594)</f>
        <v/>
      </c>
      <c r="L604" s="167" t="str">
        <f>IF(ISBLANK(DaqBook_RAW_Data!AA594),"",DaqBook_RAW_Data!AA594)</f>
        <v/>
      </c>
      <c r="M604" s="167" t="str">
        <f>IF(ISBLANK(DaqBook_RAW_Data!AB594),"",DaqBook_RAW_Data!AB594)</f>
        <v/>
      </c>
      <c r="N604" s="167" t="str">
        <f>IF(ISBLANK(DaqBook_RAW_Data!AC594),"",DaqBook_RAW_Data!AC594)</f>
        <v/>
      </c>
      <c r="O604" s="167" t="str">
        <f>IF(ISBLANK(DaqBook_RAW_Data!AD594),"",DaqBook_RAW_Data!AD594)</f>
        <v/>
      </c>
      <c r="P604" s="167" t="str">
        <f>IF(ISBLANK(DaqBook_RAW_Data!AE594),"",DaqBook_RAW_Data!AE594)</f>
        <v/>
      </c>
    </row>
    <row r="605" spans="1:16" x14ac:dyDescent="0.2">
      <c r="A605" s="58" t="e">
        <f t="shared" si="9"/>
        <v>#VALUE!</v>
      </c>
      <c r="B605" s="144" t="str">
        <f>IF(ISBLANK(DaqBook_RAW_Data!Q595),IF(DaqBook_RAW_Data!A595="","",TIMEVALUE(DaqBook_RAW_Data!A595)),TIMEVALUE(DaqBook_RAW_Data!Q595))</f>
        <v/>
      </c>
      <c r="C605" s="167" t="str">
        <f>IF(ISBLANK(DaqBook_RAW_Data!R595),"",DaqBook_RAW_Data!R595)</f>
        <v/>
      </c>
      <c r="D605" s="167" t="str">
        <f>IF(ISBLANK(DaqBook_RAW_Data!S595),"",DaqBook_RAW_Data!S595)</f>
        <v/>
      </c>
      <c r="E605" s="167" t="str">
        <f>IF(ISBLANK(DaqBook_RAW_Data!T595),"",DaqBook_RAW_Data!T595)</f>
        <v/>
      </c>
      <c r="F605" s="167" t="str">
        <f>IF(ISBLANK(DaqBook_RAW_Data!U595),"",DaqBook_RAW_Data!U595)</f>
        <v/>
      </c>
      <c r="G605" s="167" t="str">
        <f>IF(ISBLANK(DaqBook_RAW_Data!V595),"",DaqBook_RAW_Data!V595)</f>
        <v/>
      </c>
      <c r="H605" s="167" t="str">
        <f>IF(ISBLANK(DaqBook_RAW_Data!W595),"",DaqBook_RAW_Data!W595)</f>
        <v/>
      </c>
      <c r="I605" s="167" t="str">
        <f>IF(ISBLANK(DaqBook_RAW_Data!X595),"",DaqBook_RAW_Data!X595)</f>
        <v/>
      </c>
      <c r="J605" s="167" t="str">
        <f>IF(ISBLANK(DaqBook_RAW_Data!Y595),"",DaqBook_RAW_Data!Y595)</f>
        <v/>
      </c>
      <c r="K605" s="167" t="str">
        <f>IF(ISBLANK(DaqBook_RAW_Data!Z595),"",DaqBook_RAW_Data!Z595)</f>
        <v/>
      </c>
      <c r="L605" s="167" t="str">
        <f>IF(ISBLANK(DaqBook_RAW_Data!AA595),"",DaqBook_RAW_Data!AA595)</f>
        <v/>
      </c>
      <c r="M605" s="167" t="str">
        <f>IF(ISBLANK(DaqBook_RAW_Data!AB595),"",DaqBook_RAW_Data!AB595)</f>
        <v/>
      </c>
      <c r="N605" s="167" t="str">
        <f>IF(ISBLANK(DaqBook_RAW_Data!AC595),"",DaqBook_RAW_Data!AC595)</f>
        <v/>
      </c>
      <c r="O605" s="167" t="str">
        <f>IF(ISBLANK(DaqBook_RAW_Data!AD595),"",DaqBook_RAW_Data!AD595)</f>
        <v/>
      </c>
      <c r="P605" s="167" t="str">
        <f>IF(ISBLANK(DaqBook_RAW_Data!AE595),"",DaqBook_RAW_Data!AE595)</f>
        <v/>
      </c>
    </row>
    <row r="606" spans="1:16" x14ac:dyDescent="0.2">
      <c r="A606" s="58" t="e">
        <f t="shared" si="9"/>
        <v>#VALUE!</v>
      </c>
      <c r="B606" s="144" t="str">
        <f>IF(ISBLANK(DaqBook_RAW_Data!Q596),IF(DaqBook_RAW_Data!A596="","",TIMEVALUE(DaqBook_RAW_Data!A596)),TIMEVALUE(DaqBook_RAW_Data!Q596))</f>
        <v/>
      </c>
      <c r="C606" s="167" t="str">
        <f>IF(ISBLANK(DaqBook_RAW_Data!R596),"",DaqBook_RAW_Data!R596)</f>
        <v/>
      </c>
      <c r="D606" s="167" t="str">
        <f>IF(ISBLANK(DaqBook_RAW_Data!S596),"",DaqBook_RAW_Data!S596)</f>
        <v/>
      </c>
      <c r="E606" s="167" t="str">
        <f>IF(ISBLANK(DaqBook_RAW_Data!T596),"",DaqBook_RAW_Data!T596)</f>
        <v/>
      </c>
      <c r="F606" s="167" t="str">
        <f>IF(ISBLANK(DaqBook_RAW_Data!U596),"",DaqBook_RAW_Data!U596)</f>
        <v/>
      </c>
      <c r="G606" s="167" t="str">
        <f>IF(ISBLANK(DaqBook_RAW_Data!V596),"",DaqBook_RAW_Data!V596)</f>
        <v/>
      </c>
      <c r="H606" s="167" t="str">
        <f>IF(ISBLANK(DaqBook_RAW_Data!W596),"",DaqBook_RAW_Data!W596)</f>
        <v/>
      </c>
      <c r="I606" s="167" t="str">
        <f>IF(ISBLANK(DaqBook_RAW_Data!X596),"",DaqBook_RAW_Data!X596)</f>
        <v/>
      </c>
      <c r="J606" s="167" t="str">
        <f>IF(ISBLANK(DaqBook_RAW_Data!Y596),"",DaqBook_RAW_Data!Y596)</f>
        <v/>
      </c>
      <c r="K606" s="167" t="str">
        <f>IF(ISBLANK(DaqBook_RAW_Data!Z596),"",DaqBook_RAW_Data!Z596)</f>
        <v/>
      </c>
      <c r="L606" s="167" t="str">
        <f>IF(ISBLANK(DaqBook_RAW_Data!AA596),"",DaqBook_RAW_Data!AA596)</f>
        <v/>
      </c>
      <c r="M606" s="167" t="str">
        <f>IF(ISBLANK(DaqBook_RAW_Data!AB596),"",DaqBook_RAW_Data!AB596)</f>
        <v/>
      </c>
      <c r="N606" s="167" t="str">
        <f>IF(ISBLANK(DaqBook_RAW_Data!AC596),"",DaqBook_RAW_Data!AC596)</f>
        <v/>
      </c>
      <c r="O606" s="167" t="str">
        <f>IF(ISBLANK(DaqBook_RAW_Data!AD596),"",DaqBook_RAW_Data!AD596)</f>
        <v/>
      </c>
      <c r="P606" s="167" t="str">
        <f>IF(ISBLANK(DaqBook_RAW_Data!AE596),"",DaqBook_RAW_Data!AE596)</f>
        <v/>
      </c>
    </row>
    <row r="607" spans="1:16" x14ac:dyDescent="0.2">
      <c r="A607" s="58" t="e">
        <f t="shared" si="9"/>
        <v>#VALUE!</v>
      </c>
      <c r="B607" s="144" t="str">
        <f>IF(ISBLANK(DaqBook_RAW_Data!Q597),IF(DaqBook_RAW_Data!A597="","",TIMEVALUE(DaqBook_RAW_Data!A597)),TIMEVALUE(DaqBook_RAW_Data!Q597))</f>
        <v/>
      </c>
      <c r="C607" s="167" t="str">
        <f>IF(ISBLANK(DaqBook_RAW_Data!R597),"",DaqBook_RAW_Data!R597)</f>
        <v/>
      </c>
      <c r="D607" s="167" t="str">
        <f>IF(ISBLANK(DaqBook_RAW_Data!S597),"",DaqBook_RAW_Data!S597)</f>
        <v/>
      </c>
      <c r="E607" s="167" t="str">
        <f>IF(ISBLANK(DaqBook_RAW_Data!T597),"",DaqBook_RAW_Data!T597)</f>
        <v/>
      </c>
      <c r="F607" s="167" t="str">
        <f>IF(ISBLANK(DaqBook_RAW_Data!U597),"",DaqBook_RAW_Data!U597)</f>
        <v/>
      </c>
      <c r="G607" s="167" t="str">
        <f>IF(ISBLANK(DaqBook_RAW_Data!V597),"",DaqBook_RAW_Data!V597)</f>
        <v/>
      </c>
      <c r="H607" s="167" t="str">
        <f>IF(ISBLANK(DaqBook_RAW_Data!W597),"",DaqBook_RAW_Data!W597)</f>
        <v/>
      </c>
      <c r="I607" s="167" t="str">
        <f>IF(ISBLANK(DaqBook_RAW_Data!X597),"",DaqBook_RAW_Data!X597)</f>
        <v/>
      </c>
      <c r="J607" s="167" t="str">
        <f>IF(ISBLANK(DaqBook_RAW_Data!Y597),"",DaqBook_RAW_Data!Y597)</f>
        <v/>
      </c>
      <c r="K607" s="167" t="str">
        <f>IF(ISBLANK(DaqBook_RAW_Data!Z597),"",DaqBook_RAW_Data!Z597)</f>
        <v/>
      </c>
      <c r="L607" s="167" t="str">
        <f>IF(ISBLANK(DaqBook_RAW_Data!AA597),"",DaqBook_RAW_Data!AA597)</f>
        <v/>
      </c>
      <c r="M607" s="167" t="str">
        <f>IF(ISBLANK(DaqBook_RAW_Data!AB597),"",DaqBook_RAW_Data!AB597)</f>
        <v/>
      </c>
      <c r="N607" s="167" t="str">
        <f>IF(ISBLANK(DaqBook_RAW_Data!AC597),"",DaqBook_RAW_Data!AC597)</f>
        <v/>
      </c>
      <c r="O607" s="167" t="str">
        <f>IF(ISBLANK(DaqBook_RAW_Data!AD597),"",DaqBook_RAW_Data!AD597)</f>
        <v/>
      </c>
      <c r="P607" s="167" t="str">
        <f>IF(ISBLANK(DaqBook_RAW_Data!AE597),"",DaqBook_RAW_Data!AE597)</f>
        <v/>
      </c>
    </row>
    <row r="608" spans="1:16" x14ac:dyDescent="0.2">
      <c r="A608" s="58" t="e">
        <f t="shared" si="9"/>
        <v>#VALUE!</v>
      </c>
      <c r="B608" s="144" t="str">
        <f>IF(ISBLANK(DaqBook_RAW_Data!Q598),IF(DaqBook_RAW_Data!A598="","",TIMEVALUE(DaqBook_RAW_Data!A598)),TIMEVALUE(DaqBook_RAW_Data!Q598))</f>
        <v/>
      </c>
      <c r="C608" s="167" t="str">
        <f>IF(ISBLANK(DaqBook_RAW_Data!R598),"",DaqBook_RAW_Data!R598)</f>
        <v/>
      </c>
      <c r="D608" s="167" t="str">
        <f>IF(ISBLANK(DaqBook_RAW_Data!S598),"",DaqBook_RAW_Data!S598)</f>
        <v/>
      </c>
      <c r="E608" s="167" t="str">
        <f>IF(ISBLANK(DaqBook_RAW_Data!T598),"",DaqBook_RAW_Data!T598)</f>
        <v/>
      </c>
      <c r="F608" s="167" t="str">
        <f>IF(ISBLANK(DaqBook_RAW_Data!U598),"",DaqBook_RAW_Data!U598)</f>
        <v/>
      </c>
      <c r="G608" s="167" t="str">
        <f>IF(ISBLANK(DaqBook_RAW_Data!V598),"",DaqBook_RAW_Data!V598)</f>
        <v/>
      </c>
      <c r="H608" s="167" t="str">
        <f>IF(ISBLANK(DaqBook_RAW_Data!W598),"",DaqBook_RAW_Data!W598)</f>
        <v/>
      </c>
      <c r="I608" s="167" t="str">
        <f>IF(ISBLANK(DaqBook_RAW_Data!X598),"",DaqBook_RAW_Data!X598)</f>
        <v/>
      </c>
      <c r="J608" s="167" t="str">
        <f>IF(ISBLANK(DaqBook_RAW_Data!Y598),"",DaqBook_RAW_Data!Y598)</f>
        <v/>
      </c>
      <c r="K608" s="167" t="str">
        <f>IF(ISBLANK(DaqBook_RAW_Data!Z598),"",DaqBook_RAW_Data!Z598)</f>
        <v/>
      </c>
      <c r="L608" s="167" t="str">
        <f>IF(ISBLANK(DaqBook_RAW_Data!AA598),"",DaqBook_RAW_Data!AA598)</f>
        <v/>
      </c>
      <c r="M608" s="167" t="str">
        <f>IF(ISBLANK(DaqBook_RAW_Data!AB598),"",DaqBook_RAW_Data!AB598)</f>
        <v/>
      </c>
      <c r="N608" s="167" t="str">
        <f>IF(ISBLANK(DaqBook_RAW_Data!AC598),"",DaqBook_RAW_Data!AC598)</f>
        <v/>
      </c>
      <c r="O608" s="167" t="str">
        <f>IF(ISBLANK(DaqBook_RAW_Data!AD598),"",DaqBook_RAW_Data!AD598)</f>
        <v/>
      </c>
      <c r="P608" s="167" t="str">
        <f>IF(ISBLANK(DaqBook_RAW_Data!AE598),"",DaqBook_RAW_Data!AE598)</f>
        <v/>
      </c>
    </row>
    <row r="609" spans="1:16" x14ac:dyDescent="0.2">
      <c r="A609" s="58" t="e">
        <f t="shared" si="9"/>
        <v>#VALUE!</v>
      </c>
      <c r="B609" s="144" t="str">
        <f>IF(ISBLANK(DaqBook_RAW_Data!Q599),IF(DaqBook_RAW_Data!A599="","",TIMEVALUE(DaqBook_RAW_Data!A599)),TIMEVALUE(DaqBook_RAW_Data!Q599))</f>
        <v/>
      </c>
      <c r="C609" s="167" t="str">
        <f>IF(ISBLANK(DaqBook_RAW_Data!R599),"",DaqBook_RAW_Data!R599)</f>
        <v/>
      </c>
      <c r="D609" s="167" t="str">
        <f>IF(ISBLANK(DaqBook_RAW_Data!S599),"",DaqBook_RAW_Data!S599)</f>
        <v/>
      </c>
      <c r="E609" s="167" t="str">
        <f>IF(ISBLANK(DaqBook_RAW_Data!T599),"",DaqBook_RAW_Data!T599)</f>
        <v/>
      </c>
      <c r="F609" s="167" t="str">
        <f>IF(ISBLANK(DaqBook_RAW_Data!U599),"",DaqBook_RAW_Data!U599)</f>
        <v/>
      </c>
      <c r="G609" s="167" t="str">
        <f>IF(ISBLANK(DaqBook_RAW_Data!V599),"",DaqBook_RAW_Data!V599)</f>
        <v/>
      </c>
      <c r="H609" s="167" t="str">
        <f>IF(ISBLANK(DaqBook_RAW_Data!W599),"",DaqBook_RAW_Data!W599)</f>
        <v/>
      </c>
      <c r="I609" s="167" t="str">
        <f>IF(ISBLANK(DaqBook_RAW_Data!X599),"",DaqBook_RAW_Data!X599)</f>
        <v/>
      </c>
      <c r="J609" s="167" t="str">
        <f>IF(ISBLANK(DaqBook_RAW_Data!Y599),"",DaqBook_RAW_Data!Y599)</f>
        <v/>
      </c>
      <c r="K609" s="167" t="str">
        <f>IF(ISBLANK(DaqBook_RAW_Data!Z599),"",DaqBook_RAW_Data!Z599)</f>
        <v/>
      </c>
      <c r="L609" s="167" t="str">
        <f>IF(ISBLANK(DaqBook_RAW_Data!AA599),"",DaqBook_RAW_Data!AA599)</f>
        <v/>
      </c>
      <c r="M609" s="167" t="str">
        <f>IF(ISBLANK(DaqBook_RAW_Data!AB599),"",DaqBook_RAW_Data!AB599)</f>
        <v/>
      </c>
      <c r="N609" s="167" t="str">
        <f>IF(ISBLANK(DaqBook_RAW_Data!AC599),"",DaqBook_RAW_Data!AC599)</f>
        <v/>
      </c>
      <c r="O609" s="167" t="str">
        <f>IF(ISBLANK(DaqBook_RAW_Data!AD599),"",DaqBook_RAW_Data!AD599)</f>
        <v/>
      </c>
      <c r="P609" s="167" t="str">
        <f>IF(ISBLANK(DaqBook_RAW_Data!AE599),"",DaqBook_RAW_Data!AE599)</f>
        <v/>
      </c>
    </row>
    <row r="610" spans="1:16" x14ac:dyDescent="0.2">
      <c r="A610" s="58" t="e">
        <f t="shared" si="9"/>
        <v>#VALUE!</v>
      </c>
      <c r="B610" s="144" t="str">
        <f>IF(ISBLANK(DaqBook_RAW_Data!Q600),IF(DaqBook_RAW_Data!A600="","",TIMEVALUE(DaqBook_RAW_Data!A600)),TIMEVALUE(DaqBook_RAW_Data!Q600))</f>
        <v/>
      </c>
      <c r="C610" s="167" t="str">
        <f>IF(ISBLANK(DaqBook_RAW_Data!R600),"",DaqBook_RAW_Data!R600)</f>
        <v/>
      </c>
      <c r="D610" s="167" t="str">
        <f>IF(ISBLANK(DaqBook_RAW_Data!S600),"",DaqBook_RAW_Data!S600)</f>
        <v/>
      </c>
      <c r="E610" s="167" t="str">
        <f>IF(ISBLANK(DaqBook_RAW_Data!T600),"",DaqBook_RAW_Data!T600)</f>
        <v/>
      </c>
      <c r="F610" s="167" t="str">
        <f>IF(ISBLANK(DaqBook_RAW_Data!U600),"",DaqBook_RAW_Data!U600)</f>
        <v/>
      </c>
      <c r="G610" s="167" t="str">
        <f>IF(ISBLANK(DaqBook_RAW_Data!V600),"",DaqBook_RAW_Data!V600)</f>
        <v/>
      </c>
      <c r="H610" s="167" t="str">
        <f>IF(ISBLANK(DaqBook_RAW_Data!W600),"",DaqBook_RAW_Data!W600)</f>
        <v/>
      </c>
      <c r="I610" s="167" t="str">
        <f>IF(ISBLANK(DaqBook_RAW_Data!X600),"",DaqBook_RAW_Data!X600)</f>
        <v/>
      </c>
      <c r="J610" s="167" t="str">
        <f>IF(ISBLANK(DaqBook_RAW_Data!Y600),"",DaqBook_RAW_Data!Y600)</f>
        <v/>
      </c>
      <c r="K610" s="167" t="str">
        <f>IF(ISBLANK(DaqBook_RAW_Data!Z600),"",DaqBook_RAW_Data!Z600)</f>
        <v/>
      </c>
      <c r="L610" s="167" t="str">
        <f>IF(ISBLANK(DaqBook_RAW_Data!AA600),"",DaqBook_RAW_Data!AA600)</f>
        <v/>
      </c>
      <c r="M610" s="167" t="str">
        <f>IF(ISBLANK(DaqBook_RAW_Data!AB600),"",DaqBook_RAW_Data!AB600)</f>
        <v/>
      </c>
      <c r="N610" s="167" t="str">
        <f>IF(ISBLANK(DaqBook_RAW_Data!AC600),"",DaqBook_RAW_Data!AC600)</f>
        <v/>
      </c>
      <c r="O610" s="167" t="str">
        <f>IF(ISBLANK(DaqBook_RAW_Data!AD600),"",DaqBook_RAW_Data!AD600)</f>
        <v/>
      </c>
      <c r="P610" s="167" t="str">
        <f>IF(ISBLANK(DaqBook_RAW_Data!AE600),"",DaqBook_RAW_Data!AE600)</f>
        <v/>
      </c>
    </row>
    <row r="611" spans="1:16" x14ac:dyDescent="0.2">
      <c r="A611" s="58" t="e">
        <f t="shared" si="9"/>
        <v>#VALUE!</v>
      </c>
      <c r="B611" s="144" t="str">
        <f>IF(ISBLANK(DaqBook_RAW_Data!Q601),IF(DaqBook_RAW_Data!A601="","",TIMEVALUE(DaqBook_RAW_Data!A601)),TIMEVALUE(DaqBook_RAW_Data!Q601))</f>
        <v/>
      </c>
      <c r="C611" s="167" t="str">
        <f>IF(ISBLANK(DaqBook_RAW_Data!R601),"",DaqBook_RAW_Data!R601)</f>
        <v/>
      </c>
      <c r="D611" s="167" t="str">
        <f>IF(ISBLANK(DaqBook_RAW_Data!S601),"",DaqBook_RAW_Data!S601)</f>
        <v/>
      </c>
      <c r="E611" s="167" t="str">
        <f>IF(ISBLANK(DaqBook_RAW_Data!T601),"",DaqBook_RAW_Data!T601)</f>
        <v/>
      </c>
      <c r="F611" s="167" t="str">
        <f>IF(ISBLANK(DaqBook_RAW_Data!U601),"",DaqBook_RAW_Data!U601)</f>
        <v/>
      </c>
      <c r="G611" s="167" t="str">
        <f>IF(ISBLANK(DaqBook_RAW_Data!V601),"",DaqBook_RAW_Data!V601)</f>
        <v/>
      </c>
      <c r="H611" s="167" t="str">
        <f>IF(ISBLANK(DaqBook_RAW_Data!W601),"",DaqBook_RAW_Data!W601)</f>
        <v/>
      </c>
      <c r="I611" s="167" t="str">
        <f>IF(ISBLANK(DaqBook_RAW_Data!X601),"",DaqBook_RAW_Data!X601)</f>
        <v/>
      </c>
      <c r="J611" s="167" t="str">
        <f>IF(ISBLANK(DaqBook_RAW_Data!Y601),"",DaqBook_RAW_Data!Y601)</f>
        <v/>
      </c>
      <c r="K611" s="167" t="str">
        <f>IF(ISBLANK(DaqBook_RAW_Data!Z601),"",DaqBook_RAW_Data!Z601)</f>
        <v/>
      </c>
      <c r="L611" s="167" t="str">
        <f>IF(ISBLANK(DaqBook_RAW_Data!AA601),"",DaqBook_RAW_Data!AA601)</f>
        <v/>
      </c>
      <c r="M611" s="167" t="str">
        <f>IF(ISBLANK(DaqBook_RAW_Data!AB601),"",DaqBook_RAW_Data!AB601)</f>
        <v/>
      </c>
      <c r="N611" s="167" t="str">
        <f>IF(ISBLANK(DaqBook_RAW_Data!AC601),"",DaqBook_RAW_Data!AC601)</f>
        <v/>
      </c>
      <c r="O611" s="167" t="str">
        <f>IF(ISBLANK(DaqBook_RAW_Data!AD601),"",DaqBook_RAW_Data!AD601)</f>
        <v/>
      </c>
      <c r="P611" s="167" t="str">
        <f>IF(ISBLANK(DaqBook_RAW_Data!AE601),"",DaqBook_RAW_Data!AE601)</f>
        <v/>
      </c>
    </row>
    <row r="612" spans="1:16" x14ac:dyDescent="0.2">
      <c r="A612" s="58" t="e">
        <f t="shared" si="9"/>
        <v>#VALUE!</v>
      </c>
      <c r="B612" s="144" t="str">
        <f>IF(ISBLANK(DaqBook_RAW_Data!Q602),IF(DaqBook_RAW_Data!A602="","",TIMEVALUE(DaqBook_RAW_Data!A602)),TIMEVALUE(DaqBook_RAW_Data!Q602))</f>
        <v/>
      </c>
      <c r="C612" s="167" t="str">
        <f>IF(ISBLANK(DaqBook_RAW_Data!R602),"",DaqBook_RAW_Data!R602)</f>
        <v/>
      </c>
      <c r="D612" s="167" t="str">
        <f>IF(ISBLANK(DaqBook_RAW_Data!S602),"",DaqBook_RAW_Data!S602)</f>
        <v/>
      </c>
      <c r="E612" s="167" t="str">
        <f>IF(ISBLANK(DaqBook_RAW_Data!T602),"",DaqBook_RAW_Data!T602)</f>
        <v/>
      </c>
      <c r="F612" s="167" t="str">
        <f>IF(ISBLANK(DaqBook_RAW_Data!U602),"",DaqBook_RAW_Data!U602)</f>
        <v/>
      </c>
      <c r="G612" s="167" t="str">
        <f>IF(ISBLANK(DaqBook_RAW_Data!V602),"",DaqBook_RAW_Data!V602)</f>
        <v/>
      </c>
      <c r="H612" s="167" t="str">
        <f>IF(ISBLANK(DaqBook_RAW_Data!W602),"",DaqBook_RAW_Data!W602)</f>
        <v/>
      </c>
      <c r="I612" s="167" t="str">
        <f>IF(ISBLANK(DaqBook_RAW_Data!X602),"",DaqBook_RAW_Data!X602)</f>
        <v/>
      </c>
      <c r="J612" s="167" t="str">
        <f>IF(ISBLANK(DaqBook_RAW_Data!Y602),"",DaqBook_RAW_Data!Y602)</f>
        <v/>
      </c>
      <c r="K612" s="167" t="str">
        <f>IF(ISBLANK(DaqBook_RAW_Data!Z602),"",DaqBook_RAW_Data!Z602)</f>
        <v/>
      </c>
      <c r="L612" s="167" t="str">
        <f>IF(ISBLANK(DaqBook_RAW_Data!AA602),"",DaqBook_RAW_Data!AA602)</f>
        <v/>
      </c>
      <c r="M612" s="167" t="str">
        <f>IF(ISBLANK(DaqBook_RAW_Data!AB602),"",DaqBook_RAW_Data!AB602)</f>
        <v/>
      </c>
      <c r="N612" s="167" t="str">
        <f>IF(ISBLANK(DaqBook_RAW_Data!AC602),"",DaqBook_RAW_Data!AC602)</f>
        <v/>
      </c>
      <c r="O612" s="167" t="str">
        <f>IF(ISBLANK(DaqBook_RAW_Data!AD602),"",DaqBook_RAW_Data!AD602)</f>
        <v/>
      </c>
      <c r="P612" s="167" t="str">
        <f>IF(ISBLANK(DaqBook_RAW_Data!AE602),"",DaqBook_RAW_Data!AE602)</f>
        <v/>
      </c>
    </row>
    <row r="613" spans="1:16" x14ac:dyDescent="0.2">
      <c r="A613" s="58" t="e">
        <f t="shared" si="9"/>
        <v>#VALUE!</v>
      </c>
      <c r="B613" s="144" t="str">
        <f>IF(ISBLANK(DaqBook_RAW_Data!Q603),IF(DaqBook_RAW_Data!A603="","",TIMEVALUE(DaqBook_RAW_Data!A603)),TIMEVALUE(DaqBook_RAW_Data!Q603))</f>
        <v/>
      </c>
      <c r="C613" s="167" t="str">
        <f>IF(ISBLANK(DaqBook_RAW_Data!R603),"",DaqBook_RAW_Data!R603)</f>
        <v/>
      </c>
      <c r="D613" s="167" t="str">
        <f>IF(ISBLANK(DaqBook_RAW_Data!S603),"",DaqBook_RAW_Data!S603)</f>
        <v/>
      </c>
      <c r="E613" s="167" t="str">
        <f>IF(ISBLANK(DaqBook_RAW_Data!T603),"",DaqBook_RAW_Data!T603)</f>
        <v/>
      </c>
      <c r="F613" s="167" t="str">
        <f>IF(ISBLANK(DaqBook_RAW_Data!U603),"",DaqBook_RAW_Data!U603)</f>
        <v/>
      </c>
      <c r="G613" s="167" t="str">
        <f>IF(ISBLANK(DaqBook_RAW_Data!V603),"",DaqBook_RAW_Data!V603)</f>
        <v/>
      </c>
      <c r="H613" s="167" t="str">
        <f>IF(ISBLANK(DaqBook_RAW_Data!W603),"",DaqBook_RAW_Data!W603)</f>
        <v/>
      </c>
      <c r="I613" s="167" t="str">
        <f>IF(ISBLANK(DaqBook_RAW_Data!X603),"",DaqBook_RAW_Data!X603)</f>
        <v/>
      </c>
      <c r="J613" s="167" t="str">
        <f>IF(ISBLANK(DaqBook_RAW_Data!Y603),"",DaqBook_RAW_Data!Y603)</f>
        <v/>
      </c>
      <c r="K613" s="167" t="str">
        <f>IF(ISBLANK(DaqBook_RAW_Data!Z603),"",DaqBook_RAW_Data!Z603)</f>
        <v/>
      </c>
      <c r="L613" s="167" t="str">
        <f>IF(ISBLANK(DaqBook_RAW_Data!AA603),"",DaqBook_RAW_Data!AA603)</f>
        <v/>
      </c>
      <c r="M613" s="167" t="str">
        <f>IF(ISBLANK(DaqBook_RAW_Data!AB603),"",DaqBook_RAW_Data!AB603)</f>
        <v/>
      </c>
      <c r="N613" s="167" t="str">
        <f>IF(ISBLANK(DaqBook_RAW_Data!AC603),"",DaqBook_RAW_Data!AC603)</f>
        <v/>
      </c>
      <c r="O613" s="167" t="str">
        <f>IF(ISBLANK(DaqBook_RAW_Data!AD603),"",DaqBook_RAW_Data!AD603)</f>
        <v/>
      </c>
      <c r="P613" s="167" t="str">
        <f>IF(ISBLANK(DaqBook_RAW_Data!AE603),"",DaqBook_RAW_Data!AE603)</f>
        <v/>
      </c>
    </row>
    <row r="614" spans="1:16" x14ac:dyDescent="0.2">
      <c r="A614" s="58" t="e">
        <f t="shared" si="9"/>
        <v>#VALUE!</v>
      </c>
      <c r="B614" s="144" t="str">
        <f>IF(ISBLANK(DaqBook_RAW_Data!Q604),IF(DaqBook_RAW_Data!A604="","",TIMEVALUE(DaqBook_RAW_Data!A604)),TIMEVALUE(DaqBook_RAW_Data!Q604))</f>
        <v/>
      </c>
      <c r="C614" s="167" t="str">
        <f>IF(ISBLANK(DaqBook_RAW_Data!R604),"",DaqBook_RAW_Data!R604)</f>
        <v/>
      </c>
      <c r="D614" s="167" t="str">
        <f>IF(ISBLANK(DaqBook_RAW_Data!S604),"",DaqBook_RAW_Data!S604)</f>
        <v/>
      </c>
      <c r="E614" s="167" t="str">
        <f>IF(ISBLANK(DaqBook_RAW_Data!T604),"",DaqBook_RAW_Data!T604)</f>
        <v/>
      </c>
      <c r="F614" s="167" t="str">
        <f>IF(ISBLANK(DaqBook_RAW_Data!U604),"",DaqBook_RAW_Data!U604)</f>
        <v/>
      </c>
      <c r="G614" s="167" t="str">
        <f>IF(ISBLANK(DaqBook_RAW_Data!V604),"",DaqBook_RAW_Data!V604)</f>
        <v/>
      </c>
      <c r="H614" s="167" t="str">
        <f>IF(ISBLANK(DaqBook_RAW_Data!W604),"",DaqBook_RAW_Data!W604)</f>
        <v/>
      </c>
      <c r="I614" s="167" t="str">
        <f>IF(ISBLANK(DaqBook_RAW_Data!X604),"",DaqBook_RAW_Data!X604)</f>
        <v/>
      </c>
      <c r="J614" s="167" t="str">
        <f>IF(ISBLANK(DaqBook_RAW_Data!Y604),"",DaqBook_RAW_Data!Y604)</f>
        <v/>
      </c>
      <c r="K614" s="167" t="str">
        <f>IF(ISBLANK(DaqBook_RAW_Data!Z604),"",DaqBook_RAW_Data!Z604)</f>
        <v/>
      </c>
      <c r="L614" s="167" t="str">
        <f>IF(ISBLANK(DaqBook_RAW_Data!AA604),"",DaqBook_RAW_Data!AA604)</f>
        <v/>
      </c>
      <c r="M614" s="167" t="str">
        <f>IF(ISBLANK(DaqBook_RAW_Data!AB604),"",DaqBook_RAW_Data!AB604)</f>
        <v/>
      </c>
      <c r="N614" s="167" t="str">
        <f>IF(ISBLANK(DaqBook_RAW_Data!AC604),"",DaqBook_RAW_Data!AC604)</f>
        <v/>
      </c>
      <c r="O614" s="167" t="str">
        <f>IF(ISBLANK(DaqBook_RAW_Data!AD604),"",DaqBook_RAW_Data!AD604)</f>
        <v/>
      </c>
      <c r="P614" s="167" t="str">
        <f>IF(ISBLANK(DaqBook_RAW_Data!AE604),"",DaqBook_RAW_Data!AE604)</f>
        <v/>
      </c>
    </row>
    <row r="615" spans="1:16" x14ac:dyDescent="0.2">
      <c r="A615" s="58" t="e">
        <f t="shared" si="9"/>
        <v>#VALUE!</v>
      </c>
      <c r="B615" s="144" t="str">
        <f>IF(ISBLANK(DaqBook_RAW_Data!Q605),IF(DaqBook_RAW_Data!A605="","",TIMEVALUE(DaqBook_RAW_Data!A605)),TIMEVALUE(DaqBook_RAW_Data!Q605))</f>
        <v/>
      </c>
      <c r="C615" s="167" t="str">
        <f>IF(ISBLANK(DaqBook_RAW_Data!R605),"",DaqBook_RAW_Data!R605)</f>
        <v/>
      </c>
      <c r="D615" s="167" t="str">
        <f>IF(ISBLANK(DaqBook_RAW_Data!S605),"",DaqBook_RAW_Data!S605)</f>
        <v/>
      </c>
      <c r="E615" s="167" t="str">
        <f>IF(ISBLANK(DaqBook_RAW_Data!T605),"",DaqBook_RAW_Data!T605)</f>
        <v/>
      </c>
      <c r="F615" s="167" t="str">
        <f>IF(ISBLANK(DaqBook_RAW_Data!U605),"",DaqBook_RAW_Data!U605)</f>
        <v/>
      </c>
      <c r="G615" s="167" t="str">
        <f>IF(ISBLANK(DaqBook_RAW_Data!V605),"",DaqBook_RAW_Data!V605)</f>
        <v/>
      </c>
      <c r="H615" s="167" t="str">
        <f>IF(ISBLANK(DaqBook_RAW_Data!W605),"",DaqBook_RAW_Data!W605)</f>
        <v/>
      </c>
      <c r="I615" s="167" t="str">
        <f>IF(ISBLANK(DaqBook_RAW_Data!X605),"",DaqBook_RAW_Data!X605)</f>
        <v/>
      </c>
      <c r="J615" s="167" t="str">
        <f>IF(ISBLANK(DaqBook_RAW_Data!Y605),"",DaqBook_RAW_Data!Y605)</f>
        <v/>
      </c>
      <c r="K615" s="167" t="str">
        <f>IF(ISBLANK(DaqBook_RAW_Data!Z605),"",DaqBook_RAW_Data!Z605)</f>
        <v/>
      </c>
      <c r="L615" s="167" t="str">
        <f>IF(ISBLANK(DaqBook_RAW_Data!AA605),"",DaqBook_RAW_Data!AA605)</f>
        <v/>
      </c>
      <c r="M615" s="167" t="str">
        <f>IF(ISBLANK(DaqBook_RAW_Data!AB605),"",DaqBook_RAW_Data!AB605)</f>
        <v/>
      </c>
      <c r="N615" s="167" t="str">
        <f>IF(ISBLANK(DaqBook_RAW_Data!AC605),"",DaqBook_RAW_Data!AC605)</f>
        <v/>
      </c>
      <c r="O615" s="167" t="str">
        <f>IF(ISBLANK(DaqBook_RAW_Data!AD605),"",DaqBook_RAW_Data!AD605)</f>
        <v/>
      </c>
      <c r="P615" s="167" t="str">
        <f>IF(ISBLANK(DaqBook_RAW_Data!AE605),"",DaqBook_RAW_Data!AE605)</f>
        <v/>
      </c>
    </row>
    <row r="616" spans="1:16" x14ac:dyDescent="0.2">
      <c r="A616" s="58" t="e">
        <f t="shared" si="9"/>
        <v>#VALUE!</v>
      </c>
      <c r="B616" s="144" t="str">
        <f>IF(ISBLANK(DaqBook_RAW_Data!Q606),IF(DaqBook_RAW_Data!A606="","",TIMEVALUE(DaqBook_RAW_Data!A606)),TIMEVALUE(DaqBook_RAW_Data!Q606))</f>
        <v/>
      </c>
      <c r="C616" s="167" t="str">
        <f>IF(ISBLANK(DaqBook_RAW_Data!R606),"",DaqBook_RAW_Data!R606)</f>
        <v/>
      </c>
      <c r="D616" s="167" t="str">
        <f>IF(ISBLANK(DaqBook_RAW_Data!S606),"",DaqBook_RAW_Data!S606)</f>
        <v/>
      </c>
      <c r="E616" s="167" t="str">
        <f>IF(ISBLANK(DaqBook_RAW_Data!T606),"",DaqBook_RAW_Data!T606)</f>
        <v/>
      </c>
      <c r="F616" s="167" t="str">
        <f>IF(ISBLANK(DaqBook_RAW_Data!U606),"",DaqBook_RAW_Data!U606)</f>
        <v/>
      </c>
      <c r="G616" s="167" t="str">
        <f>IF(ISBLANK(DaqBook_RAW_Data!V606),"",DaqBook_RAW_Data!V606)</f>
        <v/>
      </c>
      <c r="H616" s="167" t="str">
        <f>IF(ISBLANK(DaqBook_RAW_Data!W606),"",DaqBook_RAW_Data!W606)</f>
        <v/>
      </c>
      <c r="I616" s="167" t="str">
        <f>IF(ISBLANK(DaqBook_RAW_Data!X606),"",DaqBook_RAW_Data!X606)</f>
        <v/>
      </c>
      <c r="J616" s="167" t="str">
        <f>IF(ISBLANK(DaqBook_RAW_Data!Y606),"",DaqBook_RAW_Data!Y606)</f>
        <v/>
      </c>
      <c r="K616" s="167" t="str">
        <f>IF(ISBLANK(DaqBook_RAW_Data!Z606),"",DaqBook_RAW_Data!Z606)</f>
        <v/>
      </c>
      <c r="L616" s="167" t="str">
        <f>IF(ISBLANK(DaqBook_RAW_Data!AA606),"",DaqBook_RAW_Data!AA606)</f>
        <v/>
      </c>
      <c r="M616" s="167" t="str">
        <f>IF(ISBLANK(DaqBook_RAW_Data!AB606),"",DaqBook_RAW_Data!AB606)</f>
        <v/>
      </c>
      <c r="N616" s="167" t="str">
        <f>IF(ISBLANK(DaqBook_RAW_Data!AC606),"",DaqBook_RAW_Data!AC606)</f>
        <v/>
      </c>
      <c r="O616" s="167" t="str">
        <f>IF(ISBLANK(DaqBook_RAW_Data!AD606),"",DaqBook_RAW_Data!AD606)</f>
        <v/>
      </c>
      <c r="P616" s="167" t="str">
        <f>IF(ISBLANK(DaqBook_RAW_Data!AE606),"",DaqBook_RAW_Data!AE606)</f>
        <v/>
      </c>
    </row>
    <row r="617" spans="1:16" x14ac:dyDescent="0.2">
      <c r="A617" s="58" t="e">
        <f t="shared" si="9"/>
        <v>#VALUE!</v>
      </c>
      <c r="B617" s="144" t="str">
        <f>IF(ISBLANK(DaqBook_RAW_Data!Q607),IF(DaqBook_RAW_Data!A607="","",TIMEVALUE(DaqBook_RAW_Data!A607)),TIMEVALUE(DaqBook_RAW_Data!Q607))</f>
        <v/>
      </c>
      <c r="C617" s="167" t="str">
        <f>IF(ISBLANK(DaqBook_RAW_Data!R607),"",DaqBook_RAW_Data!R607)</f>
        <v/>
      </c>
      <c r="D617" s="167" t="str">
        <f>IF(ISBLANK(DaqBook_RAW_Data!S607),"",DaqBook_RAW_Data!S607)</f>
        <v/>
      </c>
      <c r="E617" s="167" t="str">
        <f>IF(ISBLANK(DaqBook_RAW_Data!T607),"",DaqBook_RAW_Data!T607)</f>
        <v/>
      </c>
      <c r="F617" s="167" t="str">
        <f>IF(ISBLANK(DaqBook_RAW_Data!U607),"",DaqBook_RAW_Data!U607)</f>
        <v/>
      </c>
      <c r="G617" s="167" t="str">
        <f>IF(ISBLANK(DaqBook_RAW_Data!V607),"",DaqBook_RAW_Data!V607)</f>
        <v/>
      </c>
      <c r="H617" s="167" t="str">
        <f>IF(ISBLANK(DaqBook_RAW_Data!W607),"",DaqBook_RAW_Data!W607)</f>
        <v/>
      </c>
      <c r="I617" s="167" t="str">
        <f>IF(ISBLANK(DaqBook_RAW_Data!X607),"",DaqBook_RAW_Data!X607)</f>
        <v/>
      </c>
      <c r="J617" s="167" t="str">
        <f>IF(ISBLANK(DaqBook_RAW_Data!Y607),"",DaqBook_RAW_Data!Y607)</f>
        <v/>
      </c>
      <c r="K617" s="167" t="str">
        <f>IF(ISBLANK(DaqBook_RAW_Data!Z607),"",DaqBook_RAW_Data!Z607)</f>
        <v/>
      </c>
      <c r="L617" s="167" t="str">
        <f>IF(ISBLANK(DaqBook_RAW_Data!AA607),"",DaqBook_RAW_Data!AA607)</f>
        <v/>
      </c>
      <c r="M617" s="167" t="str">
        <f>IF(ISBLANK(DaqBook_RAW_Data!AB607),"",DaqBook_RAW_Data!AB607)</f>
        <v/>
      </c>
      <c r="N617" s="167" t="str">
        <f>IF(ISBLANK(DaqBook_RAW_Data!AC607),"",DaqBook_RAW_Data!AC607)</f>
        <v/>
      </c>
      <c r="O617" s="167" t="str">
        <f>IF(ISBLANK(DaqBook_RAW_Data!AD607),"",DaqBook_RAW_Data!AD607)</f>
        <v/>
      </c>
      <c r="P617" s="167" t="str">
        <f>IF(ISBLANK(DaqBook_RAW_Data!AE607),"",DaqBook_RAW_Data!AE607)</f>
        <v/>
      </c>
    </row>
    <row r="618" spans="1:16" x14ac:dyDescent="0.2">
      <c r="A618" s="58" t="e">
        <f t="shared" si="9"/>
        <v>#VALUE!</v>
      </c>
      <c r="B618" s="144" t="str">
        <f>IF(ISBLANK(DaqBook_RAW_Data!Q608),IF(DaqBook_RAW_Data!A608="","",TIMEVALUE(DaqBook_RAW_Data!A608)),TIMEVALUE(DaqBook_RAW_Data!Q608))</f>
        <v/>
      </c>
      <c r="C618" s="167" t="str">
        <f>IF(ISBLANK(DaqBook_RAW_Data!R608),"",DaqBook_RAW_Data!R608)</f>
        <v/>
      </c>
      <c r="D618" s="167" t="str">
        <f>IF(ISBLANK(DaqBook_RAW_Data!S608),"",DaqBook_RAW_Data!S608)</f>
        <v/>
      </c>
      <c r="E618" s="167" t="str">
        <f>IF(ISBLANK(DaqBook_RAW_Data!T608),"",DaqBook_RAW_Data!T608)</f>
        <v/>
      </c>
      <c r="F618" s="167" t="str">
        <f>IF(ISBLANK(DaqBook_RAW_Data!U608),"",DaqBook_RAW_Data!U608)</f>
        <v/>
      </c>
      <c r="G618" s="167" t="str">
        <f>IF(ISBLANK(DaqBook_RAW_Data!V608),"",DaqBook_RAW_Data!V608)</f>
        <v/>
      </c>
      <c r="H618" s="167" t="str">
        <f>IF(ISBLANK(DaqBook_RAW_Data!W608),"",DaqBook_RAW_Data!W608)</f>
        <v/>
      </c>
      <c r="I618" s="167" t="str">
        <f>IF(ISBLANK(DaqBook_RAW_Data!X608),"",DaqBook_RAW_Data!X608)</f>
        <v/>
      </c>
      <c r="J618" s="167" t="str">
        <f>IF(ISBLANK(DaqBook_RAW_Data!Y608),"",DaqBook_RAW_Data!Y608)</f>
        <v/>
      </c>
      <c r="K618" s="167" t="str">
        <f>IF(ISBLANK(DaqBook_RAW_Data!Z608),"",DaqBook_RAW_Data!Z608)</f>
        <v/>
      </c>
      <c r="L618" s="167" t="str">
        <f>IF(ISBLANK(DaqBook_RAW_Data!AA608),"",DaqBook_RAW_Data!AA608)</f>
        <v/>
      </c>
      <c r="M618" s="167" t="str">
        <f>IF(ISBLANK(DaqBook_RAW_Data!AB608),"",DaqBook_RAW_Data!AB608)</f>
        <v/>
      </c>
      <c r="N618" s="167" t="str">
        <f>IF(ISBLANK(DaqBook_RAW_Data!AC608),"",DaqBook_RAW_Data!AC608)</f>
        <v/>
      </c>
      <c r="O618" s="167" t="str">
        <f>IF(ISBLANK(DaqBook_RAW_Data!AD608),"",DaqBook_RAW_Data!AD608)</f>
        <v/>
      </c>
      <c r="P618" s="167" t="str">
        <f>IF(ISBLANK(DaqBook_RAW_Data!AE608),"",DaqBook_RAW_Data!AE608)</f>
        <v/>
      </c>
    </row>
    <row r="619" spans="1:16" x14ac:dyDescent="0.2">
      <c r="A619" s="58" t="e">
        <f t="shared" si="9"/>
        <v>#VALUE!</v>
      </c>
      <c r="B619" s="144" t="str">
        <f>IF(ISBLANK(DaqBook_RAW_Data!Q609),IF(DaqBook_RAW_Data!A609="","",TIMEVALUE(DaqBook_RAW_Data!A609)),TIMEVALUE(DaqBook_RAW_Data!Q609))</f>
        <v/>
      </c>
      <c r="C619" s="167" t="str">
        <f>IF(ISBLANK(DaqBook_RAW_Data!R609),"",DaqBook_RAW_Data!R609)</f>
        <v/>
      </c>
      <c r="D619" s="167" t="str">
        <f>IF(ISBLANK(DaqBook_RAW_Data!S609),"",DaqBook_RAW_Data!S609)</f>
        <v/>
      </c>
      <c r="E619" s="167" t="str">
        <f>IF(ISBLANK(DaqBook_RAW_Data!T609),"",DaqBook_RAW_Data!T609)</f>
        <v/>
      </c>
      <c r="F619" s="167" t="str">
        <f>IF(ISBLANK(DaqBook_RAW_Data!U609),"",DaqBook_RAW_Data!U609)</f>
        <v/>
      </c>
      <c r="G619" s="167" t="str">
        <f>IF(ISBLANK(DaqBook_RAW_Data!V609),"",DaqBook_RAW_Data!V609)</f>
        <v/>
      </c>
      <c r="H619" s="167" t="str">
        <f>IF(ISBLANK(DaqBook_RAW_Data!W609),"",DaqBook_RAW_Data!W609)</f>
        <v/>
      </c>
      <c r="I619" s="167" t="str">
        <f>IF(ISBLANK(DaqBook_RAW_Data!X609),"",DaqBook_RAW_Data!X609)</f>
        <v/>
      </c>
      <c r="J619" s="167" t="str">
        <f>IF(ISBLANK(DaqBook_RAW_Data!Y609),"",DaqBook_RAW_Data!Y609)</f>
        <v/>
      </c>
      <c r="K619" s="167" t="str">
        <f>IF(ISBLANK(DaqBook_RAW_Data!Z609),"",DaqBook_RAW_Data!Z609)</f>
        <v/>
      </c>
      <c r="L619" s="167" t="str">
        <f>IF(ISBLANK(DaqBook_RAW_Data!AA609),"",DaqBook_RAW_Data!AA609)</f>
        <v/>
      </c>
      <c r="M619" s="167" t="str">
        <f>IF(ISBLANK(DaqBook_RAW_Data!AB609),"",DaqBook_RAW_Data!AB609)</f>
        <v/>
      </c>
      <c r="N619" s="167" t="str">
        <f>IF(ISBLANK(DaqBook_RAW_Data!AC609),"",DaqBook_RAW_Data!AC609)</f>
        <v/>
      </c>
      <c r="O619" s="167" t="str">
        <f>IF(ISBLANK(DaqBook_RAW_Data!AD609),"",DaqBook_RAW_Data!AD609)</f>
        <v/>
      </c>
      <c r="P619" s="167" t="str">
        <f>IF(ISBLANK(DaqBook_RAW_Data!AE609),"",DaqBook_RAW_Data!AE609)</f>
        <v/>
      </c>
    </row>
    <row r="620" spans="1:16" x14ac:dyDescent="0.2">
      <c r="A620" s="58" t="e">
        <f t="shared" si="9"/>
        <v>#VALUE!</v>
      </c>
      <c r="B620" s="144" t="str">
        <f>IF(ISBLANK(DaqBook_RAW_Data!Q610),IF(DaqBook_RAW_Data!A610="","",TIMEVALUE(DaqBook_RAW_Data!A610)),TIMEVALUE(DaqBook_RAW_Data!Q610))</f>
        <v/>
      </c>
      <c r="C620" s="167" t="str">
        <f>IF(ISBLANK(DaqBook_RAW_Data!R610),"",DaqBook_RAW_Data!R610)</f>
        <v/>
      </c>
      <c r="D620" s="167" t="str">
        <f>IF(ISBLANK(DaqBook_RAW_Data!S610),"",DaqBook_RAW_Data!S610)</f>
        <v/>
      </c>
      <c r="E620" s="167" t="str">
        <f>IF(ISBLANK(DaqBook_RAW_Data!T610),"",DaqBook_RAW_Data!T610)</f>
        <v/>
      </c>
      <c r="F620" s="167" t="str">
        <f>IF(ISBLANK(DaqBook_RAW_Data!U610),"",DaqBook_RAW_Data!U610)</f>
        <v/>
      </c>
      <c r="G620" s="167" t="str">
        <f>IF(ISBLANK(DaqBook_RAW_Data!V610),"",DaqBook_RAW_Data!V610)</f>
        <v/>
      </c>
      <c r="H620" s="167" t="str">
        <f>IF(ISBLANK(DaqBook_RAW_Data!W610),"",DaqBook_RAW_Data!W610)</f>
        <v/>
      </c>
      <c r="I620" s="167" t="str">
        <f>IF(ISBLANK(DaqBook_RAW_Data!X610),"",DaqBook_RAW_Data!X610)</f>
        <v/>
      </c>
      <c r="J620" s="167" t="str">
        <f>IF(ISBLANK(DaqBook_RAW_Data!Y610),"",DaqBook_RAW_Data!Y610)</f>
        <v/>
      </c>
      <c r="K620" s="167" t="str">
        <f>IF(ISBLANK(DaqBook_RAW_Data!Z610),"",DaqBook_RAW_Data!Z610)</f>
        <v/>
      </c>
      <c r="L620" s="167" t="str">
        <f>IF(ISBLANK(DaqBook_RAW_Data!AA610),"",DaqBook_RAW_Data!AA610)</f>
        <v/>
      </c>
      <c r="M620" s="167" t="str">
        <f>IF(ISBLANK(DaqBook_RAW_Data!AB610),"",DaqBook_RAW_Data!AB610)</f>
        <v/>
      </c>
      <c r="N620" s="167" t="str">
        <f>IF(ISBLANK(DaqBook_RAW_Data!AC610),"",DaqBook_RAW_Data!AC610)</f>
        <v/>
      </c>
      <c r="O620" s="167" t="str">
        <f>IF(ISBLANK(DaqBook_RAW_Data!AD610),"",DaqBook_RAW_Data!AD610)</f>
        <v/>
      </c>
      <c r="P620" s="167" t="str">
        <f>IF(ISBLANK(DaqBook_RAW_Data!AE610),"",DaqBook_RAW_Data!AE610)</f>
        <v/>
      </c>
    </row>
    <row r="621" spans="1:16" x14ac:dyDescent="0.2">
      <c r="A621" s="58" t="e">
        <f t="shared" si="9"/>
        <v>#VALUE!</v>
      </c>
      <c r="B621" s="144" t="str">
        <f>IF(ISBLANK(DaqBook_RAW_Data!Q611),IF(DaqBook_RAW_Data!A611="","",TIMEVALUE(DaqBook_RAW_Data!A611)),TIMEVALUE(DaqBook_RAW_Data!Q611))</f>
        <v/>
      </c>
      <c r="C621" s="167" t="str">
        <f>IF(ISBLANK(DaqBook_RAW_Data!R611),"",DaqBook_RAW_Data!R611)</f>
        <v/>
      </c>
      <c r="D621" s="167" t="str">
        <f>IF(ISBLANK(DaqBook_RAW_Data!S611),"",DaqBook_RAW_Data!S611)</f>
        <v/>
      </c>
      <c r="E621" s="167" t="str">
        <f>IF(ISBLANK(DaqBook_RAW_Data!T611),"",DaqBook_RAW_Data!T611)</f>
        <v/>
      </c>
      <c r="F621" s="167" t="str">
        <f>IF(ISBLANK(DaqBook_RAW_Data!U611),"",DaqBook_RAW_Data!U611)</f>
        <v/>
      </c>
      <c r="G621" s="167" t="str">
        <f>IF(ISBLANK(DaqBook_RAW_Data!V611),"",DaqBook_RAW_Data!V611)</f>
        <v/>
      </c>
      <c r="H621" s="167" t="str">
        <f>IF(ISBLANK(DaqBook_RAW_Data!W611),"",DaqBook_RAW_Data!W611)</f>
        <v/>
      </c>
      <c r="I621" s="167" t="str">
        <f>IF(ISBLANK(DaqBook_RAW_Data!X611),"",DaqBook_RAW_Data!X611)</f>
        <v/>
      </c>
      <c r="J621" s="167" t="str">
        <f>IF(ISBLANK(DaqBook_RAW_Data!Y611),"",DaqBook_RAW_Data!Y611)</f>
        <v/>
      </c>
      <c r="K621" s="167" t="str">
        <f>IF(ISBLANK(DaqBook_RAW_Data!Z611),"",DaqBook_RAW_Data!Z611)</f>
        <v/>
      </c>
      <c r="L621" s="167" t="str">
        <f>IF(ISBLANK(DaqBook_RAW_Data!AA611),"",DaqBook_RAW_Data!AA611)</f>
        <v/>
      </c>
      <c r="M621" s="167" t="str">
        <f>IF(ISBLANK(DaqBook_RAW_Data!AB611),"",DaqBook_RAW_Data!AB611)</f>
        <v/>
      </c>
      <c r="N621" s="167" t="str">
        <f>IF(ISBLANK(DaqBook_RAW_Data!AC611),"",DaqBook_RAW_Data!AC611)</f>
        <v/>
      </c>
      <c r="O621" s="167" t="str">
        <f>IF(ISBLANK(DaqBook_RAW_Data!AD611),"",DaqBook_RAW_Data!AD611)</f>
        <v/>
      </c>
      <c r="P621" s="167" t="str">
        <f>IF(ISBLANK(DaqBook_RAW_Data!AE611),"",DaqBook_RAW_Data!AE611)</f>
        <v/>
      </c>
    </row>
    <row r="622" spans="1:16" x14ac:dyDescent="0.2">
      <c r="A622" s="58" t="e">
        <f t="shared" si="9"/>
        <v>#VALUE!</v>
      </c>
      <c r="B622" s="144" t="str">
        <f>IF(ISBLANK(DaqBook_RAW_Data!Q612),IF(DaqBook_RAW_Data!A612="","",TIMEVALUE(DaqBook_RAW_Data!A612)),TIMEVALUE(DaqBook_RAW_Data!Q612))</f>
        <v/>
      </c>
      <c r="C622" s="167" t="str">
        <f>IF(ISBLANK(DaqBook_RAW_Data!R612),"",DaqBook_RAW_Data!R612)</f>
        <v/>
      </c>
      <c r="D622" s="167" t="str">
        <f>IF(ISBLANK(DaqBook_RAW_Data!S612),"",DaqBook_RAW_Data!S612)</f>
        <v/>
      </c>
      <c r="E622" s="167" t="str">
        <f>IF(ISBLANK(DaqBook_RAW_Data!T612),"",DaqBook_RAW_Data!T612)</f>
        <v/>
      </c>
      <c r="F622" s="167" t="str">
        <f>IF(ISBLANK(DaqBook_RAW_Data!U612),"",DaqBook_RAW_Data!U612)</f>
        <v/>
      </c>
      <c r="G622" s="167" t="str">
        <f>IF(ISBLANK(DaqBook_RAW_Data!V612),"",DaqBook_RAW_Data!V612)</f>
        <v/>
      </c>
      <c r="H622" s="167" t="str">
        <f>IF(ISBLANK(DaqBook_RAW_Data!W612),"",DaqBook_RAW_Data!W612)</f>
        <v/>
      </c>
      <c r="I622" s="167" t="str">
        <f>IF(ISBLANK(DaqBook_RAW_Data!X612),"",DaqBook_RAW_Data!X612)</f>
        <v/>
      </c>
      <c r="J622" s="167" t="str">
        <f>IF(ISBLANK(DaqBook_RAW_Data!Y612),"",DaqBook_RAW_Data!Y612)</f>
        <v/>
      </c>
      <c r="K622" s="167" t="str">
        <f>IF(ISBLANK(DaqBook_RAW_Data!Z612),"",DaqBook_RAW_Data!Z612)</f>
        <v/>
      </c>
      <c r="L622" s="167" t="str">
        <f>IF(ISBLANK(DaqBook_RAW_Data!AA612),"",DaqBook_RAW_Data!AA612)</f>
        <v/>
      </c>
      <c r="M622" s="167" t="str">
        <f>IF(ISBLANK(DaqBook_RAW_Data!AB612),"",DaqBook_RAW_Data!AB612)</f>
        <v/>
      </c>
      <c r="N622" s="167" t="str">
        <f>IF(ISBLANK(DaqBook_RAW_Data!AC612),"",DaqBook_RAW_Data!AC612)</f>
        <v/>
      </c>
      <c r="O622" s="167" t="str">
        <f>IF(ISBLANK(DaqBook_RAW_Data!AD612),"",DaqBook_RAW_Data!AD612)</f>
        <v/>
      </c>
      <c r="P622" s="167" t="str">
        <f>IF(ISBLANK(DaqBook_RAW_Data!AE612),"",DaqBook_RAW_Data!AE612)</f>
        <v/>
      </c>
    </row>
    <row r="623" spans="1:16" x14ac:dyDescent="0.2">
      <c r="A623" s="58" t="e">
        <f t="shared" si="9"/>
        <v>#VALUE!</v>
      </c>
      <c r="B623" s="144" t="str">
        <f>IF(ISBLANK(DaqBook_RAW_Data!Q613),IF(DaqBook_RAW_Data!A613="","",TIMEVALUE(DaqBook_RAW_Data!A613)),TIMEVALUE(DaqBook_RAW_Data!Q613))</f>
        <v/>
      </c>
      <c r="C623" s="167" t="str">
        <f>IF(ISBLANK(DaqBook_RAW_Data!R613),"",DaqBook_RAW_Data!R613)</f>
        <v/>
      </c>
      <c r="D623" s="167" t="str">
        <f>IF(ISBLANK(DaqBook_RAW_Data!S613),"",DaqBook_RAW_Data!S613)</f>
        <v/>
      </c>
      <c r="E623" s="167" t="str">
        <f>IF(ISBLANK(DaqBook_RAW_Data!T613),"",DaqBook_RAW_Data!T613)</f>
        <v/>
      </c>
      <c r="F623" s="167" t="str">
        <f>IF(ISBLANK(DaqBook_RAW_Data!U613),"",DaqBook_RAW_Data!U613)</f>
        <v/>
      </c>
      <c r="G623" s="167" t="str">
        <f>IF(ISBLANK(DaqBook_RAW_Data!V613),"",DaqBook_RAW_Data!V613)</f>
        <v/>
      </c>
      <c r="H623" s="167" t="str">
        <f>IF(ISBLANK(DaqBook_RAW_Data!W613),"",DaqBook_RAW_Data!W613)</f>
        <v/>
      </c>
      <c r="I623" s="167" t="str">
        <f>IF(ISBLANK(DaqBook_RAW_Data!X613),"",DaqBook_RAW_Data!X613)</f>
        <v/>
      </c>
      <c r="J623" s="167" t="str">
        <f>IF(ISBLANK(DaqBook_RAW_Data!Y613),"",DaqBook_RAW_Data!Y613)</f>
        <v/>
      </c>
      <c r="K623" s="167" t="str">
        <f>IF(ISBLANK(DaqBook_RAW_Data!Z613),"",DaqBook_RAW_Data!Z613)</f>
        <v/>
      </c>
      <c r="L623" s="167" t="str">
        <f>IF(ISBLANK(DaqBook_RAW_Data!AA613),"",DaqBook_RAW_Data!AA613)</f>
        <v/>
      </c>
      <c r="M623" s="167" t="str">
        <f>IF(ISBLANK(DaqBook_RAW_Data!AB613),"",DaqBook_RAW_Data!AB613)</f>
        <v/>
      </c>
      <c r="N623" s="167" t="str">
        <f>IF(ISBLANK(DaqBook_RAW_Data!AC613),"",DaqBook_RAW_Data!AC613)</f>
        <v/>
      </c>
      <c r="O623" s="167" t="str">
        <f>IF(ISBLANK(DaqBook_RAW_Data!AD613),"",DaqBook_RAW_Data!AD613)</f>
        <v/>
      </c>
      <c r="P623" s="167" t="str">
        <f>IF(ISBLANK(DaqBook_RAW_Data!AE613),"",DaqBook_RAW_Data!AE613)</f>
        <v/>
      </c>
    </row>
    <row r="624" spans="1:16" x14ac:dyDescent="0.2">
      <c r="A624" s="58" t="e">
        <f t="shared" si="9"/>
        <v>#VALUE!</v>
      </c>
      <c r="B624" s="144" t="str">
        <f>IF(ISBLANK(DaqBook_RAW_Data!Q614),IF(DaqBook_RAW_Data!A614="","",TIMEVALUE(DaqBook_RAW_Data!A614)),TIMEVALUE(DaqBook_RAW_Data!Q614))</f>
        <v/>
      </c>
      <c r="C624" s="167" t="str">
        <f>IF(ISBLANK(DaqBook_RAW_Data!R614),"",DaqBook_RAW_Data!R614)</f>
        <v/>
      </c>
      <c r="D624" s="167" t="str">
        <f>IF(ISBLANK(DaqBook_RAW_Data!S614),"",DaqBook_RAW_Data!S614)</f>
        <v/>
      </c>
      <c r="E624" s="167" t="str">
        <f>IF(ISBLANK(DaqBook_RAW_Data!T614),"",DaqBook_RAW_Data!T614)</f>
        <v/>
      </c>
      <c r="F624" s="167" t="str">
        <f>IF(ISBLANK(DaqBook_RAW_Data!U614),"",DaqBook_RAW_Data!U614)</f>
        <v/>
      </c>
      <c r="G624" s="167" t="str">
        <f>IF(ISBLANK(DaqBook_RAW_Data!V614),"",DaqBook_RAW_Data!V614)</f>
        <v/>
      </c>
      <c r="H624" s="167" t="str">
        <f>IF(ISBLANK(DaqBook_RAW_Data!W614),"",DaqBook_RAW_Data!W614)</f>
        <v/>
      </c>
      <c r="I624" s="167" t="str">
        <f>IF(ISBLANK(DaqBook_RAW_Data!X614),"",DaqBook_RAW_Data!X614)</f>
        <v/>
      </c>
      <c r="J624" s="167" t="str">
        <f>IF(ISBLANK(DaqBook_RAW_Data!Y614),"",DaqBook_RAW_Data!Y614)</f>
        <v/>
      </c>
      <c r="K624" s="167" t="str">
        <f>IF(ISBLANK(DaqBook_RAW_Data!Z614),"",DaqBook_RAW_Data!Z614)</f>
        <v/>
      </c>
      <c r="L624" s="167" t="str">
        <f>IF(ISBLANK(DaqBook_RAW_Data!AA614),"",DaqBook_RAW_Data!AA614)</f>
        <v/>
      </c>
      <c r="M624" s="167" t="str">
        <f>IF(ISBLANK(DaqBook_RAW_Data!AB614),"",DaqBook_RAW_Data!AB614)</f>
        <v/>
      </c>
      <c r="N624" s="167" t="str">
        <f>IF(ISBLANK(DaqBook_RAW_Data!AC614),"",DaqBook_RAW_Data!AC614)</f>
        <v/>
      </c>
      <c r="O624" s="167" t="str">
        <f>IF(ISBLANK(DaqBook_RAW_Data!AD614),"",DaqBook_RAW_Data!AD614)</f>
        <v/>
      </c>
      <c r="P624" s="167" t="str">
        <f>IF(ISBLANK(DaqBook_RAW_Data!AE614),"",DaqBook_RAW_Data!AE614)</f>
        <v/>
      </c>
    </row>
    <row r="625" spans="1:16" x14ac:dyDescent="0.2">
      <c r="A625" s="58" t="e">
        <f t="shared" si="9"/>
        <v>#VALUE!</v>
      </c>
      <c r="B625" s="144" t="str">
        <f>IF(ISBLANK(DaqBook_RAW_Data!Q615),IF(DaqBook_RAW_Data!A615="","",TIMEVALUE(DaqBook_RAW_Data!A615)),TIMEVALUE(DaqBook_RAW_Data!Q615))</f>
        <v/>
      </c>
      <c r="C625" s="167" t="str">
        <f>IF(ISBLANK(DaqBook_RAW_Data!R615),"",DaqBook_RAW_Data!R615)</f>
        <v/>
      </c>
      <c r="D625" s="167" t="str">
        <f>IF(ISBLANK(DaqBook_RAW_Data!S615),"",DaqBook_RAW_Data!S615)</f>
        <v/>
      </c>
      <c r="E625" s="167" t="str">
        <f>IF(ISBLANK(DaqBook_RAW_Data!T615),"",DaqBook_RAW_Data!T615)</f>
        <v/>
      </c>
      <c r="F625" s="167" t="str">
        <f>IF(ISBLANK(DaqBook_RAW_Data!U615),"",DaqBook_RAW_Data!U615)</f>
        <v/>
      </c>
      <c r="G625" s="167" t="str">
        <f>IF(ISBLANK(DaqBook_RAW_Data!V615),"",DaqBook_RAW_Data!V615)</f>
        <v/>
      </c>
      <c r="H625" s="167" t="str">
        <f>IF(ISBLANK(DaqBook_RAW_Data!W615),"",DaqBook_RAW_Data!W615)</f>
        <v/>
      </c>
      <c r="I625" s="167" t="str">
        <f>IF(ISBLANK(DaqBook_RAW_Data!X615),"",DaqBook_RAW_Data!X615)</f>
        <v/>
      </c>
      <c r="J625" s="167" t="str">
        <f>IF(ISBLANK(DaqBook_RAW_Data!Y615),"",DaqBook_RAW_Data!Y615)</f>
        <v/>
      </c>
      <c r="K625" s="167" t="str">
        <f>IF(ISBLANK(DaqBook_RAW_Data!Z615),"",DaqBook_RAW_Data!Z615)</f>
        <v/>
      </c>
      <c r="L625" s="167" t="str">
        <f>IF(ISBLANK(DaqBook_RAW_Data!AA615),"",DaqBook_RAW_Data!AA615)</f>
        <v/>
      </c>
      <c r="M625" s="167" t="str">
        <f>IF(ISBLANK(DaqBook_RAW_Data!AB615),"",DaqBook_RAW_Data!AB615)</f>
        <v/>
      </c>
      <c r="N625" s="167" t="str">
        <f>IF(ISBLANK(DaqBook_RAW_Data!AC615),"",DaqBook_RAW_Data!AC615)</f>
        <v/>
      </c>
      <c r="O625" s="167" t="str">
        <f>IF(ISBLANK(DaqBook_RAW_Data!AD615),"",DaqBook_RAW_Data!AD615)</f>
        <v/>
      </c>
      <c r="P625" s="167" t="str">
        <f>IF(ISBLANK(DaqBook_RAW_Data!AE615),"",DaqBook_RAW_Data!AE615)</f>
        <v/>
      </c>
    </row>
    <row r="626" spans="1:16" x14ac:dyDescent="0.2">
      <c r="A626" s="58" t="e">
        <f t="shared" si="9"/>
        <v>#VALUE!</v>
      </c>
      <c r="B626" s="144" t="str">
        <f>IF(ISBLANK(DaqBook_RAW_Data!Q616),IF(DaqBook_RAW_Data!A616="","",TIMEVALUE(DaqBook_RAW_Data!A616)),TIMEVALUE(DaqBook_RAW_Data!Q616))</f>
        <v/>
      </c>
      <c r="C626" s="167" t="str">
        <f>IF(ISBLANK(DaqBook_RAW_Data!R616),"",DaqBook_RAW_Data!R616)</f>
        <v/>
      </c>
      <c r="D626" s="167" t="str">
        <f>IF(ISBLANK(DaqBook_RAW_Data!S616),"",DaqBook_RAW_Data!S616)</f>
        <v/>
      </c>
      <c r="E626" s="167" t="str">
        <f>IF(ISBLANK(DaqBook_RAW_Data!T616),"",DaqBook_RAW_Data!T616)</f>
        <v/>
      </c>
      <c r="F626" s="167" t="str">
        <f>IF(ISBLANK(DaqBook_RAW_Data!U616),"",DaqBook_RAW_Data!U616)</f>
        <v/>
      </c>
      <c r="G626" s="167" t="str">
        <f>IF(ISBLANK(DaqBook_RAW_Data!V616),"",DaqBook_RAW_Data!V616)</f>
        <v/>
      </c>
      <c r="H626" s="167" t="str">
        <f>IF(ISBLANK(DaqBook_RAW_Data!W616),"",DaqBook_RAW_Data!W616)</f>
        <v/>
      </c>
      <c r="I626" s="167" t="str">
        <f>IF(ISBLANK(DaqBook_RAW_Data!X616),"",DaqBook_RAW_Data!X616)</f>
        <v/>
      </c>
      <c r="J626" s="167" t="str">
        <f>IF(ISBLANK(DaqBook_RAW_Data!Y616),"",DaqBook_RAW_Data!Y616)</f>
        <v/>
      </c>
      <c r="K626" s="167" t="str">
        <f>IF(ISBLANK(DaqBook_RAW_Data!Z616),"",DaqBook_RAW_Data!Z616)</f>
        <v/>
      </c>
      <c r="L626" s="167" t="str">
        <f>IF(ISBLANK(DaqBook_RAW_Data!AA616),"",DaqBook_RAW_Data!AA616)</f>
        <v/>
      </c>
      <c r="M626" s="167" t="str">
        <f>IF(ISBLANK(DaqBook_RAW_Data!AB616),"",DaqBook_RAW_Data!AB616)</f>
        <v/>
      </c>
      <c r="N626" s="167" t="str">
        <f>IF(ISBLANK(DaqBook_RAW_Data!AC616),"",DaqBook_RAW_Data!AC616)</f>
        <v/>
      </c>
      <c r="O626" s="167" t="str">
        <f>IF(ISBLANK(DaqBook_RAW_Data!AD616),"",DaqBook_RAW_Data!AD616)</f>
        <v/>
      </c>
      <c r="P626" s="167" t="str">
        <f>IF(ISBLANK(DaqBook_RAW_Data!AE616),"",DaqBook_RAW_Data!AE616)</f>
        <v/>
      </c>
    </row>
    <row r="627" spans="1:16" x14ac:dyDescent="0.2">
      <c r="A627" s="58" t="e">
        <f t="shared" si="9"/>
        <v>#VALUE!</v>
      </c>
      <c r="B627" s="144" t="str">
        <f>IF(ISBLANK(DaqBook_RAW_Data!Q617),IF(DaqBook_RAW_Data!A617="","",TIMEVALUE(DaqBook_RAW_Data!A617)),TIMEVALUE(DaqBook_RAW_Data!Q617))</f>
        <v/>
      </c>
      <c r="C627" s="167" t="str">
        <f>IF(ISBLANK(DaqBook_RAW_Data!R617),"",DaqBook_RAW_Data!R617)</f>
        <v/>
      </c>
      <c r="D627" s="167" t="str">
        <f>IF(ISBLANK(DaqBook_RAW_Data!S617),"",DaqBook_RAW_Data!S617)</f>
        <v/>
      </c>
      <c r="E627" s="167" t="str">
        <f>IF(ISBLANK(DaqBook_RAW_Data!T617),"",DaqBook_RAW_Data!T617)</f>
        <v/>
      </c>
      <c r="F627" s="167" t="str">
        <f>IF(ISBLANK(DaqBook_RAW_Data!U617),"",DaqBook_RAW_Data!U617)</f>
        <v/>
      </c>
      <c r="G627" s="167" t="str">
        <f>IF(ISBLANK(DaqBook_RAW_Data!V617),"",DaqBook_RAW_Data!V617)</f>
        <v/>
      </c>
      <c r="H627" s="167" t="str">
        <f>IF(ISBLANK(DaqBook_RAW_Data!W617),"",DaqBook_RAW_Data!W617)</f>
        <v/>
      </c>
      <c r="I627" s="167" t="str">
        <f>IF(ISBLANK(DaqBook_RAW_Data!X617),"",DaqBook_RAW_Data!X617)</f>
        <v/>
      </c>
      <c r="J627" s="167" t="str">
        <f>IF(ISBLANK(DaqBook_RAW_Data!Y617),"",DaqBook_RAW_Data!Y617)</f>
        <v/>
      </c>
      <c r="K627" s="167" t="str">
        <f>IF(ISBLANK(DaqBook_RAW_Data!Z617),"",DaqBook_RAW_Data!Z617)</f>
        <v/>
      </c>
      <c r="L627" s="167" t="str">
        <f>IF(ISBLANK(DaqBook_RAW_Data!AA617),"",DaqBook_RAW_Data!AA617)</f>
        <v/>
      </c>
      <c r="M627" s="167" t="str">
        <f>IF(ISBLANK(DaqBook_RAW_Data!AB617),"",DaqBook_RAW_Data!AB617)</f>
        <v/>
      </c>
      <c r="N627" s="167" t="str">
        <f>IF(ISBLANK(DaqBook_RAW_Data!AC617),"",DaqBook_RAW_Data!AC617)</f>
        <v/>
      </c>
      <c r="O627" s="167" t="str">
        <f>IF(ISBLANK(DaqBook_RAW_Data!AD617),"",DaqBook_RAW_Data!AD617)</f>
        <v/>
      </c>
      <c r="P627" s="167" t="str">
        <f>IF(ISBLANK(DaqBook_RAW_Data!AE617),"",DaqBook_RAW_Data!AE617)</f>
        <v/>
      </c>
    </row>
    <row r="628" spans="1:16" x14ac:dyDescent="0.2">
      <c r="A628" s="58" t="e">
        <f t="shared" si="9"/>
        <v>#VALUE!</v>
      </c>
      <c r="B628" s="144" t="str">
        <f>IF(ISBLANK(DaqBook_RAW_Data!Q618),IF(DaqBook_RAW_Data!A618="","",TIMEVALUE(DaqBook_RAW_Data!A618)),TIMEVALUE(DaqBook_RAW_Data!Q618))</f>
        <v/>
      </c>
      <c r="C628" s="167" t="str">
        <f>IF(ISBLANK(DaqBook_RAW_Data!R618),"",DaqBook_RAW_Data!R618)</f>
        <v/>
      </c>
      <c r="D628" s="167" t="str">
        <f>IF(ISBLANK(DaqBook_RAW_Data!S618),"",DaqBook_RAW_Data!S618)</f>
        <v/>
      </c>
      <c r="E628" s="167" t="str">
        <f>IF(ISBLANK(DaqBook_RAW_Data!T618),"",DaqBook_RAW_Data!T618)</f>
        <v/>
      </c>
      <c r="F628" s="167" t="str">
        <f>IF(ISBLANK(DaqBook_RAW_Data!U618),"",DaqBook_RAW_Data!U618)</f>
        <v/>
      </c>
      <c r="G628" s="167" t="str">
        <f>IF(ISBLANK(DaqBook_RAW_Data!V618),"",DaqBook_RAW_Data!V618)</f>
        <v/>
      </c>
      <c r="H628" s="167" t="str">
        <f>IF(ISBLANK(DaqBook_RAW_Data!W618),"",DaqBook_RAW_Data!W618)</f>
        <v/>
      </c>
      <c r="I628" s="167" t="str">
        <f>IF(ISBLANK(DaqBook_RAW_Data!X618),"",DaqBook_RAW_Data!X618)</f>
        <v/>
      </c>
      <c r="J628" s="167" t="str">
        <f>IF(ISBLANK(DaqBook_RAW_Data!Y618),"",DaqBook_RAW_Data!Y618)</f>
        <v/>
      </c>
      <c r="K628" s="167" t="str">
        <f>IF(ISBLANK(DaqBook_RAW_Data!Z618),"",DaqBook_RAW_Data!Z618)</f>
        <v/>
      </c>
      <c r="L628" s="167" t="str">
        <f>IF(ISBLANK(DaqBook_RAW_Data!AA618),"",DaqBook_RAW_Data!AA618)</f>
        <v/>
      </c>
      <c r="M628" s="167" t="str">
        <f>IF(ISBLANK(DaqBook_RAW_Data!AB618),"",DaqBook_RAW_Data!AB618)</f>
        <v/>
      </c>
      <c r="N628" s="167" t="str">
        <f>IF(ISBLANK(DaqBook_RAW_Data!AC618),"",DaqBook_RAW_Data!AC618)</f>
        <v/>
      </c>
      <c r="O628" s="167" t="str">
        <f>IF(ISBLANK(DaqBook_RAW_Data!AD618),"",DaqBook_RAW_Data!AD618)</f>
        <v/>
      </c>
      <c r="P628" s="167" t="str">
        <f>IF(ISBLANK(DaqBook_RAW_Data!AE618),"",DaqBook_RAW_Data!AE618)</f>
        <v/>
      </c>
    </row>
    <row r="629" spans="1:16" x14ac:dyDescent="0.2">
      <c r="A629" s="58" t="e">
        <f t="shared" si="9"/>
        <v>#VALUE!</v>
      </c>
      <c r="B629" s="144" t="str">
        <f>IF(ISBLANK(DaqBook_RAW_Data!Q619),IF(DaqBook_RAW_Data!A619="","",TIMEVALUE(DaqBook_RAW_Data!A619)),TIMEVALUE(DaqBook_RAW_Data!Q619))</f>
        <v/>
      </c>
      <c r="C629" s="167" t="str">
        <f>IF(ISBLANK(DaqBook_RAW_Data!R619),"",DaqBook_RAW_Data!R619)</f>
        <v/>
      </c>
      <c r="D629" s="167" t="str">
        <f>IF(ISBLANK(DaqBook_RAW_Data!S619),"",DaqBook_RAW_Data!S619)</f>
        <v/>
      </c>
      <c r="E629" s="167" t="str">
        <f>IF(ISBLANK(DaqBook_RAW_Data!T619),"",DaqBook_RAW_Data!T619)</f>
        <v/>
      </c>
      <c r="F629" s="167" t="str">
        <f>IF(ISBLANK(DaqBook_RAW_Data!U619),"",DaqBook_RAW_Data!U619)</f>
        <v/>
      </c>
      <c r="G629" s="167" t="str">
        <f>IF(ISBLANK(DaqBook_RAW_Data!V619),"",DaqBook_RAW_Data!V619)</f>
        <v/>
      </c>
      <c r="H629" s="167" t="str">
        <f>IF(ISBLANK(DaqBook_RAW_Data!W619),"",DaqBook_RAW_Data!W619)</f>
        <v/>
      </c>
      <c r="I629" s="167" t="str">
        <f>IF(ISBLANK(DaqBook_RAW_Data!X619),"",DaqBook_RAW_Data!X619)</f>
        <v/>
      </c>
      <c r="J629" s="167" t="str">
        <f>IF(ISBLANK(DaqBook_RAW_Data!Y619),"",DaqBook_RAW_Data!Y619)</f>
        <v/>
      </c>
      <c r="K629" s="167" t="str">
        <f>IF(ISBLANK(DaqBook_RAW_Data!Z619),"",DaqBook_RAW_Data!Z619)</f>
        <v/>
      </c>
      <c r="L629" s="167" t="str">
        <f>IF(ISBLANK(DaqBook_RAW_Data!AA619),"",DaqBook_RAW_Data!AA619)</f>
        <v/>
      </c>
      <c r="M629" s="167" t="str">
        <f>IF(ISBLANK(DaqBook_RAW_Data!AB619),"",DaqBook_RAW_Data!AB619)</f>
        <v/>
      </c>
      <c r="N629" s="167" t="str">
        <f>IF(ISBLANK(DaqBook_RAW_Data!AC619),"",DaqBook_RAW_Data!AC619)</f>
        <v/>
      </c>
      <c r="O629" s="167" t="str">
        <f>IF(ISBLANK(DaqBook_RAW_Data!AD619),"",DaqBook_RAW_Data!AD619)</f>
        <v/>
      </c>
      <c r="P629" s="167" t="str">
        <f>IF(ISBLANK(DaqBook_RAW_Data!AE619),"",DaqBook_RAW_Data!AE619)</f>
        <v/>
      </c>
    </row>
    <row r="630" spans="1:16" x14ac:dyDescent="0.2">
      <c r="A630" s="58" t="e">
        <f t="shared" si="9"/>
        <v>#VALUE!</v>
      </c>
      <c r="B630" s="144" t="str">
        <f>IF(ISBLANK(DaqBook_RAW_Data!Q620),IF(DaqBook_RAW_Data!A620="","",TIMEVALUE(DaqBook_RAW_Data!A620)),TIMEVALUE(DaqBook_RAW_Data!Q620))</f>
        <v/>
      </c>
      <c r="C630" s="167" t="str">
        <f>IF(ISBLANK(DaqBook_RAW_Data!R620),"",DaqBook_RAW_Data!R620)</f>
        <v/>
      </c>
      <c r="D630" s="167" t="str">
        <f>IF(ISBLANK(DaqBook_RAW_Data!S620),"",DaqBook_RAW_Data!S620)</f>
        <v/>
      </c>
      <c r="E630" s="167" t="str">
        <f>IF(ISBLANK(DaqBook_RAW_Data!T620),"",DaqBook_RAW_Data!T620)</f>
        <v/>
      </c>
      <c r="F630" s="167" t="str">
        <f>IF(ISBLANK(DaqBook_RAW_Data!U620),"",DaqBook_RAW_Data!U620)</f>
        <v/>
      </c>
      <c r="G630" s="167" t="str">
        <f>IF(ISBLANK(DaqBook_RAW_Data!V620),"",DaqBook_RAW_Data!V620)</f>
        <v/>
      </c>
      <c r="H630" s="167" t="str">
        <f>IF(ISBLANK(DaqBook_RAW_Data!W620),"",DaqBook_RAW_Data!W620)</f>
        <v/>
      </c>
      <c r="I630" s="167" t="str">
        <f>IF(ISBLANK(DaqBook_RAW_Data!X620),"",DaqBook_RAW_Data!X620)</f>
        <v/>
      </c>
      <c r="J630" s="167" t="str">
        <f>IF(ISBLANK(DaqBook_RAW_Data!Y620),"",DaqBook_RAW_Data!Y620)</f>
        <v/>
      </c>
      <c r="K630" s="167" t="str">
        <f>IF(ISBLANK(DaqBook_RAW_Data!Z620),"",DaqBook_RAW_Data!Z620)</f>
        <v/>
      </c>
      <c r="L630" s="167" t="str">
        <f>IF(ISBLANK(DaqBook_RAW_Data!AA620),"",DaqBook_RAW_Data!AA620)</f>
        <v/>
      </c>
      <c r="M630" s="167" t="str">
        <f>IF(ISBLANK(DaqBook_RAW_Data!AB620),"",DaqBook_RAW_Data!AB620)</f>
        <v/>
      </c>
      <c r="N630" s="167" t="str">
        <f>IF(ISBLANK(DaqBook_RAW_Data!AC620),"",DaqBook_RAW_Data!AC620)</f>
        <v/>
      </c>
      <c r="O630" s="167" t="str">
        <f>IF(ISBLANK(DaqBook_RAW_Data!AD620),"",DaqBook_RAW_Data!AD620)</f>
        <v/>
      </c>
      <c r="P630" s="167" t="str">
        <f>IF(ISBLANK(DaqBook_RAW_Data!AE620),"",DaqBook_RAW_Data!AE620)</f>
        <v/>
      </c>
    </row>
    <row r="631" spans="1:16" x14ac:dyDescent="0.2">
      <c r="A631" s="58" t="e">
        <f t="shared" si="9"/>
        <v>#VALUE!</v>
      </c>
      <c r="B631" s="144" t="str">
        <f>IF(ISBLANK(DaqBook_RAW_Data!Q621),IF(DaqBook_RAW_Data!A621="","",TIMEVALUE(DaqBook_RAW_Data!A621)),TIMEVALUE(DaqBook_RAW_Data!Q621))</f>
        <v/>
      </c>
      <c r="C631" s="167" t="str">
        <f>IF(ISBLANK(DaqBook_RAW_Data!R621),"",DaqBook_RAW_Data!R621)</f>
        <v/>
      </c>
      <c r="D631" s="167" t="str">
        <f>IF(ISBLANK(DaqBook_RAW_Data!S621),"",DaqBook_RAW_Data!S621)</f>
        <v/>
      </c>
      <c r="E631" s="167" t="str">
        <f>IF(ISBLANK(DaqBook_RAW_Data!T621),"",DaqBook_RAW_Data!T621)</f>
        <v/>
      </c>
      <c r="F631" s="167" t="str">
        <f>IF(ISBLANK(DaqBook_RAW_Data!U621),"",DaqBook_RAW_Data!U621)</f>
        <v/>
      </c>
      <c r="G631" s="167" t="str">
        <f>IF(ISBLANK(DaqBook_RAW_Data!V621),"",DaqBook_RAW_Data!V621)</f>
        <v/>
      </c>
      <c r="H631" s="167" t="str">
        <f>IF(ISBLANK(DaqBook_RAW_Data!W621),"",DaqBook_RAW_Data!W621)</f>
        <v/>
      </c>
      <c r="I631" s="167" t="str">
        <f>IF(ISBLANK(DaqBook_RAW_Data!X621),"",DaqBook_RAW_Data!X621)</f>
        <v/>
      </c>
      <c r="J631" s="167" t="str">
        <f>IF(ISBLANK(DaqBook_RAW_Data!Y621),"",DaqBook_RAW_Data!Y621)</f>
        <v/>
      </c>
      <c r="K631" s="167" t="str">
        <f>IF(ISBLANK(DaqBook_RAW_Data!Z621),"",DaqBook_RAW_Data!Z621)</f>
        <v/>
      </c>
      <c r="L631" s="167" t="str">
        <f>IF(ISBLANK(DaqBook_RAW_Data!AA621),"",DaqBook_RAW_Data!AA621)</f>
        <v/>
      </c>
      <c r="M631" s="167" t="str">
        <f>IF(ISBLANK(DaqBook_RAW_Data!AB621),"",DaqBook_RAW_Data!AB621)</f>
        <v/>
      </c>
      <c r="N631" s="167" t="str">
        <f>IF(ISBLANK(DaqBook_RAW_Data!AC621),"",DaqBook_RAW_Data!AC621)</f>
        <v/>
      </c>
      <c r="O631" s="167" t="str">
        <f>IF(ISBLANK(DaqBook_RAW_Data!AD621),"",DaqBook_RAW_Data!AD621)</f>
        <v/>
      </c>
      <c r="P631" s="167" t="str">
        <f>IF(ISBLANK(DaqBook_RAW_Data!AE621),"",DaqBook_RAW_Data!AE621)</f>
        <v/>
      </c>
    </row>
    <row r="632" spans="1:16" x14ac:dyDescent="0.2">
      <c r="A632" s="58" t="e">
        <f t="shared" si="9"/>
        <v>#VALUE!</v>
      </c>
      <c r="B632" s="144" t="str">
        <f>IF(ISBLANK(DaqBook_RAW_Data!Q622),IF(DaqBook_RAW_Data!A622="","",TIMEVALUE(DaqBook_RAW_Data!A622)),TIMEVALUE(DaqBook_RAW_Data!Q622))</f>
        <v/>
      </c>
      <c r="C632" s="167" t="str">
        <f>IF(ISBLANK(DaqBook_RAW_Data!R622),"",DaqBook_RAW_Data!R622)</f>
        <v/>
      </c>
      <c r="D632" s="167" t="str">
        <f>IF(ISBLANK(DaqBook_RAW_Data!S622),"",DaqBook_RAW_Data!S622)</f>
        <v/>
      </c>
      <c r="E632" s="167" t="str">
        <f>IF(ISBLANK(DaqBook_RAW_Data!T622),"",DaqBook_RAW_Data!T622)</f>
        <v/>
      </c>
      <c r="F632" s="167" t="str">
        <f>IF(ISBLANK(DaqBook_RAW_Data!U622),"",DaqBook_RAW_Data!U622)</f>
        <v/>
      </c>
      <c r="G632" s="167" t="str">
        <f>IF(ISBLANK(DaqBook_RAW_Data!V622),"",DaqBook_RAW_Data!V622)</f>
        <v/>
      </c>
      <c r="H632" s="167" t="str">
        <f>IF(ISBLANK(DaqBook_RAW_Data!W622),"",DaqBook_RAW_Data!W622)</f>
        <v/>
      </c>
      <c r="I632" s="167" t="str">
        <f>IF(ISBLANK(DaqBook_RAW_Data!X622),"",DaqBook_RAW_Data!X622)</f>
        <v/>
      </c>
      <c r="J632" s="167" t="str">
        <f>IF(ISBLANK(DaqBook_RAW_Data!Y622),"",DaqBook_RAW_Data!Y622)</f>
        <v/>
      </c>
      <c r="K632" s="167" t="str">
        <f>IF(ISBLANK(DaqBook_RAW_Data!Z622),"",DaqBook_RAW_Data!Z622)</f>
        <v/>
      </c>
      <c r="L632" s="167" t="str">
        <f>IF(ISBLANK(DaqBook_RAW_Data!AA622),"",DaqBook_RAW_Data!AA622)</f>
        <v/>
      </c>
      <c r="M632" s="167" t="str">
        <f>IF(ISBLANK(DaqBook_RAW_Data!AB622),"",DaqBook_RAW_Data!AB622)</f>
        <v/>
      </c>
      <c r="N632" s="167" t="str">
        <f>IF(ISBLANK(DaqBook_RAW_Data!AC622),"",DaqBook_RAW_Data!AC622)</f>
        <v/>
      </c>
      <c r="O632" s="167" t="str">
        <f>IF(ISBLANK(DaqBook_RAW_Data!AD622),"",DaqBook_RAW_Data!AD622)</f>
        <v/>
      </c>
      <c r="P632" s="167" t="str">
        <f>IF(ISBLANK(DaqBook_RAW_Data!AE622),"",DaqBook_RAW_Data!AE622)</f>
        <v/>
      </c>
    </row>
    <row r="633" spans="1:16" x14ac:dyDescent="0.2">
      <c r="A633" s="58" t="e">
        <f t="shared" si="9"/>
        <v>#VALUE!</v>
      </c>
      <c r="B633" s="144" t="str">
        <f>IF(ISBLANK(DaqBook_RAW_Data!Q623),IF(DaqBook_RAW_Data!A623="","",TIMEVALUE(DaqBook_RAW_Data!A623)),TIMEVALUE(DaqBook_RAW_Data!Q623))</f>
        <v/>
      </c>
      <c r="C633" s="167" t="str">
        <f>IF(ISBLANK(DaqBook_RAW_Data!R623),"",DaqBook_RAW_Data!R623)</f>
        <v/>
      </c>
      <c r="D633" s="167" t="str">
        <f>IF(ISBLANK(DaqBook_RAW_Data!S623),"",DaqBook_RAW_Data!S623)</f>
        <v/>
      </c>
      <c r="E633" s="167" t="str">
        <f>IF(ISBLANK(DaqBook_RAW_Data!T623),"",DaqBook_RAW_Data!T623)</f>
        <v/>
      </c>
      <c r="F633" s="167" t="str">
        <f>IF(ISBLANK(DaqBook_RAW_Data!U623),"",DaqBook_RAW_Data!U623)</f>
        <v/>
      </c>
      <c r="G633" s="167" t="str">
        <f>IF(ISBLANK(DaqBook_RAW_Data!V623),"",DaqBook_RAW_Data!V623)</f>
        <v/>
      </c>
      <c r="H633" s="167" t="str">
        <f>IF(ISBLANK(DaqBook_RAW_Data!W623),"",DaqBook_RAW_Data!W623)</f>
        <v/>
      </c>
      <c r="I633" s="167" t="str">
        <f>IF(ISBLANK(DaqBook_RAW_Data!X623),"",DaqBook_RAW_Data!X623)</f>
        <v/>
      </c>
      <c r="J633" s="167" t="str">
        <f>IF(ISBLANK(DaqBook_RAW_Data!Y623),"",DaqBook_RAW_Data!Y623)</f>
        <v/>
      </c>
      <c r="K633" s="167" t="str">
        <f>IF(ISBLANK(DaqBook_RAW_Data!Z623),"",DaqBook_RAW_Data!Z623)</f>
        <v/>
      </c>
      <c r="L633" s="167" t="str">
        <f>IF(ISBLANK(DaqBook_RAW_Data!AA623),"",DaqBook_RAW_Data!AA623)</f>
        <v/>
      </c>
      <c r="M633" s="167" t="str">
        <f>IF(ISBLANK(DaqBook_RAW_Data!AB623),"",DaqBook_RAW_Data!AB623)</f>
        <v/>
      </c>
      <c r="N633" s="167" t="str">
        <f>IF(ISBLANK(DaqBook_RAW_Data!AC623),"",DaqBook_RAW_Data!AC623)</f>
        <v/>
      </c>
      <c r="O633" s="167" t="str">
        <f>IF(ISBLANK(DaqBook_RAW_Data!AD623),"",DaqBook_RAW_Data!AD623)</f>
        <v/>
      </c>
      <c r="P633" s="167" t="str">
        <f>IF(ISBLANK(DaqBook_RAW_Data!AE623),"",DaqBook_RAW_Data!AE623)</f>
        <v/>
      </c>
    </row>
    <row r="634" spans="1:16" x14ac:dyDescent="0.2">
      <c r="A634" s="58" t="e">
        <f t="shared" si="9"/>
        <v>#VALUE!</v>
      </c>
      <c r="B634" s="144" t="str">
        <f>IF(ISBLANK(DaqBook_RAW_Data!Q624),IF(DaqBook_RAW_Data!A624="","",TIMEVALUE(DaqBook_RAW_Data!A624)),TIMEVALUE(DaqBook_RAW_Data!Q624))</f>
        <v/>
      </c>
      <c r="C634" s="167" t="str">
        <f>IF(ISBLANK(DaqBook_RAW_Data!R624),"",DaqBook_RAW_Data!R624)</f>
        <v/>
      </c>
      <c r="D634" s="167" t="str">
        <f>IF(ISBLANK(DaqBook_RAW_Data!S624),"",DaqBook_RAW_Data!S624)</f>
        <v/>
      </c>
      <c r="E634" s="167" t="str">
        <f>IF(ISBLANK(DaqBook_RAW_Data!T624),"",DaqBook_RAW_Data!T624)</f>
        <v/>
      </c>
      <c r="F634" s="167" t="str">
        <f>IF(ISBLANK(DaqBook_RAW_Data!U624),"",DaqBook_RAW_Data!U624)</f>
        <v/>
      </c>
      <c r="G634" s="167" t="str">
        <f>IF(ISBLANK(DaqBook_RAW_Data!V624),"",DaqBook_RAW_Data!V624)</f>
        <v/>
      </c>
      <c r="H634" s="167" t="str">
        <f>IF(ISBLANK(DaqBook_RAW_Data!W624),"",DaqBook_RAW_Data!W624)</f>
        <v/>
      </c>
      <c r="I634" s="167" t="str">
        <f>IF(ISBLANK(DaqBook_RAW_Data!X624),"",DaqBook_RAW_Data!X624)</f>
        <v/>
      </c>
      <c r="J634" s="167" t="str">
        <f>IF(ISBLANK(DaqBook_RAW_Data!Y624),"",DaqBook_RAW_Data!Y624)</f>
        <v/>
      </c>
      <c r="K634" s="167" t="str">
        <f>IF(ISBLANK(DaqBook_RAW_Data!Z624),"",DaqBook_RAW_Data!Z624)</f>
        <v/>
      </c>
      <c r="L634" s="167" t="str">
        <f>IF(ISBLANK(DaqBook_RAW_Data!AA624),"",DaqBook_RAW_Data!AA624)</f>
        <v/>
      </c>
      <c r="M634" s="167" t="str">
        <f>IF(ISBLANK(DaqBook_RAW_Data!AB624),"",DaqBook_RAW_Data!AB624)</f>
        <v/>
      </c>
      <c r="N634" s="167" t="str">
        <f>IF(ISBLANK(DaqBook_RAW_Data!AC624),"",DaqBook_RAW_Data!AC624)</f>
        <v/>
      </c>
      <c r="O634" s="167" t="str">
        <f>IF(ISBLANK(DaqBook_RAW_Data!AD624),"",DaqBook_RAW_Data!AD624)</f>
        <v/>
      </c>
      <c r="P634" s="167" t="str">
        <f>IF(ISBLANK(DaqBook_RAW_Data!AE624),"",DaqBook_RAW_Data!AE624)</f>
        <v/>
      </c>
    </row>
    <row r="635" spans="1:16" x14ac:dyDescent="0.2">
      <c r="A635" s="58" t="e">
        <f t="shared" si="9"/>
        <v>#VALUE!</v>
      </c>
      <c r="B635" s="144" t="str">
        <f>IF(ISBLANK(DaqBook_RAW_Data!Q625),IF(DaqBook_RAW_Data!A625="","",TIMEVALUE(DaqBook_RAW_Data!A625)),TIMEVALUE(DaqBook_RAW_Data!Q625))</f>
        <v/>
      </c>
      <c r="C635" s="167" t="str">
        <f>IF(ISBLANK(DaqBook_RAW_Data!R625),"",DaqBook_RAW_Data!R625)</f>
        <v/>
      </c>
      <c r="D635" s="167" t="str">
        <f>IF(ISBLANK(DaqBook_RAW_Data!S625),"",DaqBook_RAW_Data!S625)</f>
        <v/>
      </c>
      <c r="E635" s="167" t="str">
        <f>IF(ISBLANK(DaqBook_RAW_Data!T625),"",DaqBook_RAW_Data!T625)</f>
        <v/>
      </c>
      <c r="F635" s="167" t="str">
        <f>IF(ISBLANK(DaqBook_RAW_Data!U625),"",DaqBook_RAW_Data!U625)</f>
        <v/>
      </c>
      <c r="G635" s="167" t="str">
        <f>IF(ISBLANK(DaqBook_RAW_Data!V625),"",DaqBook_RAW_Data!V625)</f>
        <v/>
      </c>
      <c r="H635" s="167" t="str">
        <f>IF(ISBLANK(DaqBook_RAW_Data!W625),"",DaqBook_RAW_Data!W625)</f>
        <v/>
      </c>
      <c r="I635" s="167" t="str">
        <f>IF(ISBLANK(DaqBook_RAW_Data!X625),"",DaqBook_RAW_Data!X625)</f>
        <v/>
      </c>
      <c r="J635" s="167" t="str">
        <f>IF(ISBLANK(DaqBook_RAW_Data!Y625),"",DaqBook_RAW_Data!Y625)</f>
        <v/>
      </c>
      <c r="K635" s="167" t="str">
        <f>IF(ISBLANK(DaqBook_RAW_Data!Z625),"",DaqBook_RAW_Data!Z625)</f>
        <v/>
      </c>
      <c r="L635" s="167" t="str">
        <f>IF(ISBLANK(DaqBook_RAW_Data!AA625),"",DaqBook_RAW_Data!AA625)</f>
        <v/>
      </c>
      <c r="M635" s="167" t="str">
        <f>IF(ISBLANK(DaqBook_RAW_Data!AB625),"",DaqBook_RAW_Data!AB625)</f>
        <v/>
      </c>
      <c r="N635" s="167" t="str">
        <f>IF(ISBLANK(DaqBook_RAW_Data!AC625),"",DaqBook_RAW_Data!AC625)</f>
        <v/>
      </c>
      <c r="O635" s="167" t="str">
        <f>IF(ISBLANK(DaqBook_RAW_Data!AD625),"",DaqBook_RAW_Data!AD625)</f>
        <v/>
      </c>
      <c r="P635" s="167" t="str">
        <f>IF(ISBLANK(DaqBook_RAW_Data!AE625),"",DaqBook_RAW_Data!AE625)</f>
        <v/>
      </c>
    </row>
    <row r="636" spans="1:16" x14ac:dyDescent="0.2">
      <c r="A636" s="58" t="e">
        <f t="shared" si="9"/>
        <v>#VALUE!</v>
      </c>
      <c r="B636" s="144" t="str">
        <f>IF(ISBLANK(DaqBook_RAW_Data!Q626),IF(DaqBook_RAW_Data!A626="","",TIMEVALUE(DaqBook_RAW_Data!A626)),TIMEVALUE(DaqBook_RAW_Data!Q626))</f>
        <v/>
      </c>
      <c r="C636" s="167" t="str">
        <f>IF(ISBLANK(DaqBook_RAW_Data!R626),"",DaqBook_RAW_Data!R626)</f>
        <v/>
      </c>
      <c r="D636" s="167" t="str">
        <f>IF(ISBLANK(DaqBook_RAW_Data!S626),"",DaqBook_RAW_Data!S626)</f>
        <v/>
      </c>
      <c r="E636" s="167" t="str">
        <f>IF(ISBLANK(DaqBook_RAW_Data!T626),"",DaqBook_RAW_Data!T626)</f>
        <v/>
      </c>
      <c r="F636" s="167" t="str">
        <f>IF(ISBLANK(DaqBook_RAW_Data!U626),"",DaqBook_RAW_Data!U626)</f>
        <v/>
      </c>
      <c r="G636" s="167" t="str">
        <f>IF(ISBLANK(DaqBook_RAW_Data!V626),"",DaqBook_RAW_Data!V626)</f>
        <v/>
      </c>
      <c r="H636" s="167" t="str">
        <f>IF(ISBLANK(DaqBook_RAW_Data!W626),"",DaqBook_RAW_Data!W626)</f>
        <v/>
      </c>
      <c r="I636" s="167" t="str">
        <f>IF(ISBLANK(DaqBook_RAW_Data!X626),"",DaqBook_RAW_Data!X626)</f>
        <v/>
      </c>
      <c r="J636" s="167" t="str">
        <f>IF(ISBLANK(DaqBook_RAW_Data!Y626),"",DaqBook_RAW_Data!Y626)</f>
        <v/>
      </c>
      <c r="K636" s="167" t="str">
        <f>IF(ISBLANK(DaqBook_RAW_Data!Z626),"",DaqBook_RAW_Data!Z626)</f>
        <v/>
      </c>
      <c r="L636" s="167" t="str">
        <f>IF(ISBLANK(DaqBook_RAW_Data!AA626),"",DaqBook_RAW_Data!AA626)</f>
        <v/>
      </c>
      <c r="M636" s="167" t="str">
        <f>IF(ISBLANK(DaqBook_RAW_Data!AB626),"",DaqBook_RAW_Data!AB626)</f>
        <v/>
      </c>
      <c r="N636" s="167" t="str">
        <f>IF(ISBLANK(DaqBook_RAW_Data!AC626),"",DaqBook_RAW_Data!AC626)</f>
        <v/>
      </c>
      <c r="O636" s="167" t="str">
        <f>IF(ISBLANK(DaqBook_RAW_Data!AD626),"",DaqBook_RAW_Data!AD626)</f>
        <v/>
      </c>
      <c r="P636" s="167" t="str">
        <f>IF(ISBLANK(DaqBook_RAW_Data!AE626),"",DaqBook_RAW_Data!AE626)</f>
        <v/>
      </c>
    </row>
    <row r="637" spans="1:16" x14ac:dyDescent="0.2">
      <c r="A637" s="58" t="e">
        <f t="shared" si="9"/>
        <v>#VALUE!</v>
      </c>
      <c r="B637" s="144" t="str">
        <f>IF(ISBLANK(DaqBook_RAW_Data!Q627),IF(DaqBook_RAW_Data!A627="","",TIMEVALUE(DaqBook_RAW_Data!A627)),TIMEVALUE(DaqBook_RAW_Data!Q627))</f>
        <v/>
      </c>
      <c r="C637" s="167" t="str">
        <f>IF(ISBLANK(DaqBook_RAW_Data!R627),"",DaqBook_RAW_Data!R627)</f>
        <v/>
      </c>
      <c r="D637" s="167" t="str">
        <f>IF(ISBLANK(DaqBook_RAW_Data!S627),"",DaqBook_RAW_Data!S627)</f>
        <v/>
      </c>
      <c r="E637" s="167" t="str">
        <f>IF(ISBLANK(DaqBook_RAW_Data!T627),"",DaqBook_RAW_Data!T627)</f>
        <v/>
      </c>
      <c r="F637" s="167" t="str">
        <f>IF(ISBLANK(DaqBook_RAW_Data!U627),"",DaqBook_RAW_Data!U627)</f>
        <v/>
      </c>
      <c r="G637" s="167" t="str">
        <f>IF(ISBLANK(DaqBook_RAW_Data!V627),"",DaqBook_RAW_Data!V627)</f>
        <v/>
      </c>
      <c r="H637" s="167" t="str">
        <f>IF(ISBLANK(DaqBook_RAW_Data!W627),"",DaqBook_RAW_Data!W627)</f>
        <v/>
      </c>
      <c r="I637" s="167" t="str">
        <f>IF(ISBLANK(DaqBook_RAW_Data!X627),"",DaqBook_RAW_Data!X627)</f>
        <v/>
      </c>
      <c r="J637" s="167" t="str">
        <f>IF(ISBLANK(DaqBook_RAW_Data!Y627),"",DaqBook_RAW_Data!Y627)</f>
        <v/>
      </c>
      <c r="K637" s="167" t="str">
        <f>IF(ISBLANK(DaqBook_RAW_Data!Z627),"",DaqBook_RAW_Data!Z627)</f>
        <v/>
      </c>
      <c r="L637" s="167" t="str">
        <f>IF(ISBLANK(DaqBook_RAW_Data!AA627),"",DaqBook_RAW_Data!AA627)</f>
        <v/>
      </c>
      <c r="M637" s="167" t="str">
        <f>IF(ISBLANK(DaqBook_RAW_Data!AB627),"",DaqBook_RAW_Data!AB627)</f>
        <v/>
      </c>
      <c r="N637" s="167" t="str">
        <f>IF(ISBLANK(DaqBook_RAW_Data!AC627),"",DaqBook_RAW_Data!AC627)</f>
        <v/>
      </c>
      <c r="O637" s="167" t="str">
        <f>IF(ISBLANK(DaqBook_RAW_Data!AD627),"",DaqBook_RAW_Data!AD627)</f>
        <v/>
      </c>
      <c r="P637" s="167" t="str">
        <f>IF(ISBLANK(DaqBook_RAW_Data!AE627),"",DaqBook_RAW_Data!AE627)</f>
        <v/>
      </c>
    </row>
    <row r="638" spans="1:16" x14ac:dyDescent="0.2">
      <c r="A638" s="58" t="e">
        <f t="shared" si="9"/>
        <v>#VALUE!</v>
      </c>
      <c r="B638" s="144" t="str">
        <f>IF(ISBLANK(DaqBook_RAW_Data!Q628),IF(DaqBook_RAW_Data!A628="","",TIMEVALUE(DaqBook_RAW_Data!A628)),TIMEVALUE(DaqBook_RAW_Data!Q628))</f>
        <v/>
      </c>
      <c r="C638" s="167" t="str">
        <f>IF(ISBLANK(DaqBook_RAW_Data!R628),"",DaqBook_RAW_Data!R628)</f>
        <v/>
      </c>
      <c r="D638" s="167" t="str">
        <f>IF(ISBLANK(DaqBook_RAW_Data!S628),"",DaqBook_RAW_Data!S628)</f>
        <v/>
      </c>
      <c r="E638" s="167" t="str">
        <f>IF(ISBLANK(DaqBook_RAW_Data!T628),"",DaqBook_RAW_Data!T628)</f>
        <v/>
      </c>
      <c r="F638" s="167" t="str">
        <f>IF(ISBLANK(DaqBook_RAW_Data!U628),"",DaqBook_RAW_Data!U628)</f>
        <v/>
      </c>
      <c r="G638" s="167" t="str">
        <f>IF(ISBLANK(DaqBook_RAW_Data!V628),"",DaqBook_RAW_Data!V628)</f>
        <v/>
      </c>
      <c r="H638" s="167" t="str">
        <f>IF(ISBLANK(DaqBook_RAW_Data!W628),"",DaqBook_RAW_Data!W628)</f>
        <v/>
      </c>
      <c r="I638" s="167" t="str">
        <f>IF(ISBLANK(DaqBook_RAW_Data!X628),"",DaqBook_RAW_Data!X628)</f>
        <v/>
      </c>
      <c r="J638" s="167" t="str">
        <f>IF(ISBLANK(DaqBook_RAW_Data!Y628),"",DaqBook_RAW_Data!Y628)</f>
        <v/>
      </c>
      <c r="K638" s="167" t="str">
        <f>IF(ISBLANK(DaqBook_RAW_Data!Z628),"",DaqBook_RAW_Data!Z628)</f>
        <v/>
      </c>
      <c r="L638" s="167" t="str">
        <f>IF(ISBLANK(DaqBook_RAW_Data!AA628),"",DaqBook_RAW_Data!AA628)</f>
        <v/>
      </c>
      <c r="M638" s="167" t="str">
        <f>IF(ISBLANK(DaqBook_RAW_Data!AB628),"",DaqBook_RAW_Data!AB628)</f>
        <v/>
      </c>
      <c r="N638" s="167" t="str">
        <f>IF(ISBLANK(DaqBook_RAW_Data!AC628),"",DaqBook_RAW_Data!AC628)</f>
        <v/>
      </c>
      <c r="O638" s="167" t="str">
        <f>IF(ISBLANK(DaqBook_RAW_Data!AD628),"",DaqBook_RAW_Data!AD628)</f>
        <v/>
      </c>
      <c r="P638" s="167" t="str">
        <f>IF(ISBLANK(DaqBook_RAW_Data!AE628),"",DaqBook_RAW_Data!AE628)</f>
        <v/>
      </c>
    </row>
    <row r="639" spans="1:16" x14ac:dyDescent="0.2">
      <c r="A639" s="58" t="e">
        <f t="shared" si="9"/>
        <v>#VALUE!</v>
      </c>
      <c r="B639" s="144" t="str">
        <f>IF(ISBLANK(DaqBook_RAW_Data!Q629),IF(DaqBook_RAW_Data!A629="","",TIMEVALUE(DaqBook_RAW_Data!A629)),TIMEVALUE(DaqBook_RAW_Data!Q629))</f>
        <v/>
      </c>
      <c r="C639" s="167" t="str">
        <f>IF(ISBLANK(DaqBook_RAW_Data!R629),"",DaqBook_RAW_Data!R629)</f>
        <v/>
      </c>
      <c r="D639" s="167" t="str">
        <f>IF(ISBLANK(DaqBook_RAW_Data!S629),"",DaqBook_RAW_Data!S629)</f>
        <v/>
      </c>
      <c r="E639" s="167" t="str">
        <f>IF(ISBLANK(DaqBook_RAW_Data!T629),"",DaqBook_RAW_Data!T629)</f>
        <v/>
      </c>
      <c r="F639" s="167" t="str">
        <f>IF(ISBLANK(DaqBook_RAW_Data!U629),"",DaqBook_RAW_Data!U629)</f>
        <v/>
      </c>
      <c r="G639" s="167" t="str">
        <f>IF(ISBLANK(DaqBook_RAW_Data!V629),"",DaqBook_RAW_Data!V629)</f>
        <v/>
      </c>
      <c r="H639" s="167" t="str">
        <f>IF(ISBLANK(DaqBook_RAW_Data!W629),"",DaqBook_RAW_Data!W629)</f>
        <v/>
      </c>
      <c r="I639" s="167" t="str">
        <f>IF(ISBLANK(DaqBook_RAW_Data!X629),"",DaqBook_RAW_Data!X629)</f>
        <v/>
      </c>
      <c r="J639" s="167" t="str">
        <f>IF(ISBLANK(DaqBook_RAW_Data!Y629),"",DaqBook_RAW_Data!Y629)</f>
        <v/>
      </c>
      <c r="K639" s="167" t="str">
        <f>IF(ISBLANK(DaqBook_RAW_Data!Z629),"",DaqBook_RAW_Data!Z629)</f>
        <v/>
      </c>
      <c r="L639" s="167" t="str">
        <f>IF(ISBLANK(DaqBook_RAW_Data!AA629),"",DaqBook_RAW_Data!AA629)</f>
        <v/>
      </c>
      <c r="M639" s="167" t="str">
        <f>IF(ISBLANK(DaqBook_RAW_Data!AB629),"",DaqBook_RAW_Data!AB629)</f>
        <v/>
      </c>
      <c r="N639" s="167" t="str">
        <f>IF(ISBLANK(DaqBook_RAW_Data!AC629),"",DaqBook_RAW_Data!AC629)</f>
        <v/>
      </c>
      <c r="O639" s="167" t="str">
        <f>IF(ISBLANK(DaqBook_RAW_Data!AD629),"",DaqBook_RAW_Data!AD629)</f>
        <v/>
      </c>
      <c r="P639" s="167" t="str">
        <f>IF(ISBLANK(DaqBook_RAW_Data!AE629),"",DaqBook_RAW_Data!AE629)</f>
        <v/>
      </c>
    </row>
    <row r="640" spans="1:16" x14ac:dyDescent="0.2">
      <c r="A640" s="58" t="e">
        <f t="shared" si="9"/>
        <v>#VALUE!</v>
      </c>
      <c r="B640" s="144" t="str">
        <f>IF(ISBLANK(DaqBook_RAW_Data!Q630),IF(DaqBook_RAW_Data!A630="","",TIMEVALUE(DaqBook_RAW_Data!A630)),TIMEVALUE(DaqBook_RAW_Data!Q630))</f>
        <v/>
      </c>
      <c r="C640" s="167" t="str">
        <f>IF(ISBLANK(DaqBook_RAW_Data!R630),"",DaqBook_RAW_Data!R630)</f>
        <v/>
      </c>
      <c r="D640" s="167" t="str">
        <f>IF(ISBLANK(DaqBook_RAW_Data!S630),"",DaqBook_RAW_Data!S630)</f>
        <v/>
      </c>
      <c r="E640" s="167" t="str">
        <f>IF(ISBLANK(DaqBook_RAW_Data!T630),"",DaqBook_RAW_Data!T630)</f>
        <v/>
      </c>
      <c r="F640" s="167" t="str">
        <f>IF(ISBLANK(DaqBook_RAW_Data!U630),"",DaqBook_RAW_Data!U630)</f>
        <v/>
      </c>
      <c r="G640" s="167" t="str">
        <f>IF(ISBLANK(DaqBook_RAW_Data!V630),"",DaqBook_RAW_Data!V630)</f>
        <v/>
      </c>
      <c r="H640" s="167" t="str">
        <f>IF(ISBLANK(DaqBook_RAW_Data!W630),"",DaqBook_RAW_Data!W630)</f>
        <v/>
      </c>
      <c r="I640" s="167" t="str">
        <f>IF(ISBLANK(DaqBook_RAW_Data!X630),"",DaqBook_RAW_Data!X630)</f>
        <v/>
      </c>
      <c r="J640" s="167" t="str">
        <f>IF(ISBLANK(DaqBook_RAW_Data!Y630),"",DaqBook_RAW_Data!Y630)</f>
        <v/>
      </c>
      <c r="K640" s="167" t="str">
        <f>IF(ISBLANK(DaqBook_RAW_Data!Z630),"",DaqBook_RAW_Data!Z630)</f>
        <v/>
      </c>
      <c r="L640" s="167" t="str">
        <f>IF(ISBLANK(DaqBook_RAW_Data!AA630),"",DaqBook_RAW_Data!AA630)</f>
        <v/>
      </c>
      <c r="M640" s="167" t="str">
        <f>IF(ISBLANK(DaqBook_RAW_Data!AB630),"",DaqBook_RAW_Data!AB630)</f>
        <v/>
      </c>
      <c r="N640" s="167" t="str">
        <f>IF(ISBLANK(DaqBook_RAW_Data!AC630),"",DaqBook_RAW_Data!AC630)</f>
        <v/>
      </c>
      <c r="O640" s="167" t="str">
        <f>IF(ISBLANK(DaqBook_RAW_Data!AD630),"",DaqBook_RAW_Data!AD630)</f>
        <v/>
      </c>
      <c r="P640" s="167" t="str">
        <f>IF(ISBLANK(DaqBook_RAW_Data!AE630),"",DaqBook_RAW_Data!AE630)</f>
        <v/>
      </c>
    </row>
    <row r="641" spans="1:16" x14ac:dyDescent="0.2">
      <c r="A641" s="58" t="e">
        <f t="shared" si="9"/>
        <v>#VALUE!</v>
      </c>
      <c r="B641" s="144" t="str">
        <f>IF(ISBLANK(DaqBook_RAW_Data!Q631),IF(DaqBook_RAW_Data!A631="","",TIMEVALUE(DaqBook_RAW_Data!A631)),TIMEVALUE(DaqBook_RAW_Data!Q631))</f>
        <v/>
      </c>
      <c r="C641" s="167" t="str">
        <f>IF(ISBLANK(DaqBook_RAW_Data!R631),"",DaqBook_RAW_Data!R631)</f>
        <v/>
      </c>
      <c r="D641" s="167" t="str">
        <f>IF(ISBLANK(DaqBook_RAW_Data!S631),"",DaqBook_RAW_Data!S631)</f>
        <v/>
      </c>
      <c r="E641" s="167" t="str">
        <f>IF(ISBLANK(DaqBook_RAW_Data!T631),"",DaqBook_RAW_Data!T631)</f>
        <v/>
      </c>
      <c r="F641" s="167" t="str">
        <f>IF(ISBLANK(DaqBook_RAW_Data!U631),"",DaqBook_RAW_Data!U631)</f>
        <v/>
      </c>
      <c r="G641" s="167" t="str">
        <f>IF(ISBLANK(DaqBook_RAW_Data!V631),"",DaqBook_RAW_Data!V631)</f>
        <v/>
      </c>
      <c r="H641" s="167" t="str">
        <f>IF(ISBLANK(DaqBook_RAW_Data!W631),"",DaqBook_RAW_Data!W631)</f>
        <v/>
      </c>
      <c r="I641" s="167" t="str">
        <f>IF(ISBLANK(DaqBook_RAW_Data!X631),"",DaqBook_RAW_Data!X631)</f>
        <v/>
      </c>
      <c r="J641" s="167" t="str">
        <f>IF(ISBLANK(DaqBook_RAW_Data!Y631),"",DaqBook_RAW_Data!Y631)</f>
        <v/>
      </c>
      <c r="K641" s="167" t="str">
        <f>IF(ISBLANK(DaqBook_RAW_Data!Z631),"",DaqBook_RAW_Data!Z631)</f>
        <v/>
      </c>
      <c r="L641" s="167" t="str">
        <f>IF(ISBLANK(DaqBook_RAW_Data!AA631),"",DaqBook_RAW_Data!AA631)</f>
        <v/>
      </c>
      <c r="M641" s="167" t="str">
        <f>IF(ISBLANK(DaqBook_RAW_Data!AB631),"",DaqBook_RAW_Data!AB631)</f>
        <v/>
      </c>
      <c r="N641" s="167" t="str">
        <f>IF(ISBLANK(DaqBook_RAW_Data!AC631),"",DaqBook_RAW_Data!AC631)</f>
        <v/>
      </c>
      <c r="O641" s="167" t="str">
        <f>IF(ISBLANK(DaqBook_RAW_Data!AD631),"",DaqBook_RAW_Data!AD631)</f>
        <v/>
      </c>
      <c r="P641" s="167" t="str">
        <f>IF(ISBLANK(DaqBook_RAW_Data!AE631),"",DaqBook_RAW_Data!AE631)</f>
        <v/>
      </c>
    </row>
    <row r="642" spans="1:16" x14ac:dyDescent="0.2">
      <c r="A642" s="58" t="e">
        <f t="shared" si="9"/>
        <v>#VALUE!</v>
      </c>
      <c r="B642" s="144" t="str">
        <f>IF(ISBLANK(DaqBook_RAW_Data!Q632),IF(DaqBook_RAW_Data!A632="","",TIMEVALUE(DaqBook_RAW_Data!A632)),TIMEVALUE(DaqBook_RAW_Data!Q632))</f>
        <v/>
      </c>
      <c r="C642" s="167" t="str">
        <f>IF(ISBLANK(DaqBook_RAW_Data!R632),"",DaqBook_RAW_Data!R632)</f>
        <v/>
      </c>
      <c r="D642" s="167" t="str">
        <f>IF(ISBLANK(DaqBook_RAW_Data!S632),"",DaqBook_RAW_Data!S632)</f>
        <v/>
      </c>
      <c r="E642" s="167" t="str">
        <f>IF(ISBLANK(DaqBook_RAW_Data!T632),"",DaqBook_RAW_Data!T632)</f>
        <v/>
      </c>
      <c r="F642" s="167" t="str">
        <f>IF(ISBLANK(DaqBook_RAW_Data!U632),"",DaqBook_RAW_Data!U632)</f>
        <v/>
      </c>
      <c r="G642" s="167" t="str">
        <f>IF(ISBLANK(DaqBook_RAW_Data!V632),"",DaqBook_RAW_Data!V632)</f>
        <v/>
      </c>
      <c r="H642" s="167" t="str">
        <f>IF(ISBLANK(DaqBook_RAW_Data!W632),"",DaqBook_RAW_Data!W632)</f>
        <v/>
      </c>
      <c r="I642" s="167" t="str">
        <f>IF(ISBLANK(DaqBook_RAW_Data!X632),"",DaqBook_RAW_Data!X632)</f>
        <v/>
      </c>
      <c r="J642" s="167" t="str">
        <f>IF(ISBLANK(DaqBook_RAW_Data!Y632),"",DaqBook_RAW_Data!Y632)</f>
        <v/>
      </c>
      <c r="K642" s="167" t="str">
        <f>IF(ISBLANK(DaqBook_RAW_Data!Z632),"",DaqBook_RAW_Data!Z632)</f>
        <v/>
      </c>
      <c r="L642" s="167" t="str">
        <f>IF(ISBLANK(DaqBook_RAW_Data!AA632),"",DaqBook_RAW_Data!AA632)</f>
        <v/>
      </c>
      <c r="M642" s="167" t="str">
        <f>IF(ISBLANK(DaqBook_RAW_Data!AB632),"",DaqBook_RAW_Data!AB632)</f>
        <v/>
      </c>
      <c r="N642" s="167" t="str">
        <f>IF(ISBLANK(DaqBook_RAW_Data!AC632),"",DaqBook_RAW_Data!AC632)</f>
        <v/>
      </c>
      <c r="O642" s="167" t="str">
        <f>IF(ISBLANK(DaqBook_RAW_Data!AD632),"",DaqBook_RAW_Data!AD632)</f>
        <v/>
      </c>
      <c r="P642" s="167" t="str">
        <f>IF(ISBLANK(DaqBook_RAW_Data!AE632),"",DaqBook_RAW_Data!AE632)</f>
        <v/>
      </c>
    </row>
    <row r="643" spans="1:16" x14ac:dyDescent="0.2">
      <c r="A643" s="58" t="e">
        <f t="shared" si="9"/>
        <v>#VALUE!</v>
      </c>
      <c r="B643" s="144" t="str">
        <f>IF(ISBLANK(DaqBook_RAW_Data!Q633),IF(DaqBook_RAW_Data!A633="","",TIMEVALUE(DaqBook_RAW_Data!A633)),TIMEVALUE(DaqBook_RAW_Data!Q633))</f>
        <v/>
      </c>
      <c r="C643" s="167" t="str">
        <f>IF(ISBLANK(DaqBook_RAW_Data!R633),"",DaqBook_RAW_Data!R633)</f>
        <v/>
      </c>
      <c r="D643" s="167" t="str">
        <f>IF(ISBLANK(DaqBook_RAW_Data!S633),"",DaqBook_RAW_Data!S633)</f>
        <v/>
      </c>
      <c r="E643" s="167" t="str">
        <f>IF(ISBLANK(DaqBook_RAW_Data!T633),"",DaqBook_RAW_Data!T633)</f>
        <v/>
      </c>
      <c r="F643" s="167" t="str">
        <f>IF(ISBLANK(DaqBook_RAW_Data!U633),"",DaqBook_RAW_Data!U633)</f>
        <v/>
      </c>
      <c r="G643" s="167" t="str">
        <f>IF(ISBLANK(DaqBook_RAW_Data!V633),"",DaqBook_RAW_Data!V633)</f>
        <v/>
      </c>
      <c r="H643" s="167" t="str">
        <f>IF(ISBLANK(DaqBook_RAW_Data!W633),"",DaqBook_RAW_Data!W633)</f>
        <v/>
      </c>
      <c r="I643" s="167" t="str">
        <f>IF(ISBLANK(DaqBook_RAW_Data!X633),"",DaqBook_RAW_Data!X633)</f>
        <v/>
      </c>
      <c r="J643" s="167" t="str">
        <f>IF(ISBLANK(DaqBook_RAW_Data!Y633),"",DaqBook_RAW_Data!Y633)</f>
        <v/>
      </c>
      <c r="K643" s="167" t="str">
        <f>IF(ISBLANK(DaqBook_RAW_Data!Z633),"",DaqBook_RAW_Data!Z633)</f>
        <v/>
      </c>
      <c r="L643" s="167" t="str">
        <f>IF(ISBLANK(DaqBook_RAW_Data!AA633),"",DaqBook_RAW_Data!AA633)</f>
        <v/>
      </c>
      <c r="M643" s="167" t="str">
        <f>IF(ISBLANK(DaqBook_RAW_Data!AB633),"",DaqBook_RAW_Data!AB633)</f>
        <v/>
      </c>
      <c r="N643" s="167" t="str">
        <f>IF(ISBLANK(DaqBook_RAW_Data!AC633),"",DaqBook_RAW_Data!AC633)</f>
        <v/>
      </c>
      <c r="O643" s="167" t="str">
        <f>IF(ISBLANK(DaqBook_RAW_Data!AD633),"",DaqBook_RAW_Data!AD633)</f>
        <v/>
      </c>
      <c r="P643" s="167" t="str">
        <f>IF(ISBLANK(DaqBook_RAW_Data!AE633),"",DaqBook_RAW_Data!AE633)</f>
        <v/>
      </c>
    </row>
    <row r="644" spans="1:16" x14ac:dyDescent="0.2">
      <c r="A644" s="58" t="e">
        <f t="shared" si="9"/>
        <v>#VALUE!</v>
      </c>
      <c r="B644" s="144" t="str">
        <f>IF(ISBLANK(DaqBook_RAW_Data!Q634),IF(DaqBook_RAW_Data!A634="","",TIMEVALUE(DaqBook_RAW_Data!A634)),TIMEVALUE(DaqBook_RAW_Data!Q634))</f>
        <v/>
      </c>
      <c r="C644" s="167" t="str">
        <f>IF(ISBLANK(DaqBook_RAW_Data!R634),"",DaqBook_RAW_Data!R634)</f>
        <v/>
      </c>
      <c r="D644" s="167" t="str">
        <f>IF(ISBLANK(DaqBook_RAW_Data!S634),"",DaqBook_RAW_Data!S634)</f>
        <v/>
      </c>
      <c r="E644" s="167" t="str">
        <f>IF(ISBLANK(DaqBook_RAW_Data!T634),"",DaqBook_RAW_Data!T634)</f>
        <v/>
      </c>
      <c r="F644" s="167" t="str">
        <f>IF(ISBLANK(DaqBook_RAW_Data!U634),"",DaqBook_RAW_Data!U634)</f>
        <v/>
      </c>
      <c r="G644" s="167" t="str">
        <f>IF(ISBLANK(DaqBook_RAW_Data!V634),"",DaqBook_RAW_Data!V634)</f>
        <v/>
      </c>
      <c r="H644" s="167" t="str">
        <f>IF(ISBLANK(DaqBook_RAW_Data!W634),"",DaqBook_RAW_Data!W634)</f>
        <v/>
      </c>
      <c r="I644" s="167" t="str">
        <f>IF(ISBLANK(DaqBook_RAW_Data!X634),"",DaqBook_RAW_Data!X634)</f>
        <v/>
      </c>
      <c r="J644" s="167" t="str">
        <f>IF(ISBLANK(DaqBook_RAW_Data!Y634),"",DaqBook_RAW_Data!Y634)</f>
        <v/>
      </c>
      <c r="K644" s="167" t="str">
        <f>IF(ISBLANK(DaqBook_RAW_Data!Z634),"",DaqBook_RAW_Data!Z634)</f>
        <v/>
      </c>
      <c r="L644" s="167" t="str">
        <f>IF(ISBLANK(DaqBook_RAW_Data!AA634),"",DaqBook_RAW_Data!AA634)</f>
        <v/>
      </c>
      <c r="M644" s="167" t="str">
        <f>IF(ISBLANK(DaqBook_RAW_Data!AB634),"",DaqBook_RAW_Data!AB634)</f>
        <v/>
      </c>
      <c r="N644" s="167" t="str">
        <f>IF(ISBLANK(DaqBook_RAW_Data!AC634),"",DaqBook_RAW_Data!AC634)</f>
        <v/>
      </c>
      <c r="O644" s="167" t="str">
        <f>IF(ISBLANK(DaqBook_RAW_Data!AD634),"",DaqBook_RAW_Data!AD634)</f>
        <v/>
      </c>
      <c r="P644" s="167" t="str">
        <f>IF(ISBLANK(DaqBook_RAW_Data!AE634),"",DaqBook_RAW_Data!AE634)</f>
        <v/>
      </c>
    </row>
    <row r="645" spans="1:16" x14ac:dyDescent="0.2">
      <c r="A645" s="58" t="e">
        <f t="shared" si="9"/>
        <v>#VALUE!</v>
      </c>
      <c r="B645" s="144" t="str">
        <f>IF(ISBLANK(DaqBook_RAW_Data!Q635),IF(DaqBook_RAW_Data!A635="","",TIMEVALUE(DaqBook_RAW_Data!A635)),TIMEVALUE(DaqBook_RAW_Data!Q635))</f>
        <v/>
      </c>
      <c r="C645" s="167" t="str">
        <f>IF(ISBLANK(DaqBook_RAW_Data!R635),"",DaqBook_RAW_Data!R635)</f>
        <v/>
      </c>
      <c r="D645" s="167" t="str">
        <f>IF(ISBLANK(DaqBook_RAW_Data!S635),"",DaqBook_RAW_Data!S635)</f>
        <v/>
      </c>
      <c r="E645" s="167" t="str">
        <f>IF(ISBLANK(DaqBook_RAW_Data!T635),"",DaqBook_RAW_Data!T635)</f>
        <v/>
      </c>
      <c r="F645" s="167" t="str">
        <f>IF(ISBLANK(DaqBook_RAW_Data!U635),"",DaqBook_RAW_Data!U635)</f>
        <v/>
      </c>
      <c r="G645" s="167" t="str">
        <f>IF(ISBLANK(DaqBook_RAW_Data!V635),"",DaqBook_RAW_Data!V635)</f>
        <v/>
      </c>
      <c r="H645" s="167" t="str">
        <f>IF(ISBLANK(DaqBook_RAW_Data!W635),"",DaqBook_RAW_Data!W635)</f>
        <v/>
      </c>
      <c r="I645" s="167" t="str">
        <f>IF(ISBLANK(DaqBook_RAW_Data!X635),"",DaqBook_RAW_Data!X635)</f>
        <v/>
      </c>
      <c r="J645" s="167" t="str">
        <f>IF(ISBLANK(DaqBook_RAW_Data!Y635),"",DaqBook_RAW_Data!Y635)</f>
        <v/>
      </c>
      <c r="K645" s="167" t="str">
        <f>IF(ISBLANK(DaqBook_RAW_Data!Z635),"",DaqBook_RAW_Data!Z635)</f>
        <v/>
      </c>
      <c r="L645" s="167" t="str">
        <f>IF(ISBLANK(DaqBook_RAW_Data!AA635),"",DaqBook_RAW_Data!AA635)</f>
        <v/>
      </c>
      <c r="M645" s="167" t="str">
        <f>IF(ISBLANK(DaqBook_RAW_Data!AB635),"",DaqBook_RAW_Data!AB635)</f>
        <v/>
      </c>
      <c r="N645" s="167" t="str">
        <f>IF(ISBLANK(DaqBook_RAW_Data!AC635),"",DaqBook_RAW_Data!AC635)</f>
        <v/>
      </c>
      <c r="O645" s="167" t="str">
        <f>IF(ISBLANK(DaqBook_RAW_Data!AD635),"",DaqBook_RAW_Data!AD635)</f>
        <v/>
      </c>
      <c r="P645" s="167" t="str">
        <f>IF(ISBLANK(DaqBook_RAW_Data!AE635),"",DaqBook_RAW_Data!AE635)</f>
        <v/>
      </c>
    </row>
    <row r="646" spans="1:16" x14ac:dyDescent="0.2">
      <c r="A646" s="58" t="e">
        <f t="shared" si="9"/>
        <v>#VALUE!</v>
      </c>
      <c r="B646" s="144" t="str">
        <f>IF(ISBLANK(DaqBook_RAW_Data!Q636),IF(DaqBook_RAW_Data!A636="","",TIMEVALUE(DaqBook_RAW_Data!A636)),TIMEVALUE(DaqBook_RAW_Data!Q636))</f>
        <v/>
      </c>
      <c r="C646" s="167" t="str">
        <f>IF(ISBLANK(DaqBook_RAW_Data!R636),"",DaqBook_RAW_Data!R636)</f>
        <v/>
      </c>
      <c r="D646" s="167" t="str">
        <f>IF(ISBLANK(DaqBook_RAW_Data!S636),"",DaqBook_RAW_Data!S636)</f>
        <v/>
      </c>
      <c r="E646" s="167" t="str">
        <f>IF(ISBLANK(DaqBook_RAW_Data!T636),"",DaqBook_RAW_Data!T636)</f>
        <v/>
      </c>
      <c r="F646" s="167" t="str">
        <f>IF(ISBLANK(DaqBook_RAW_Data!U636),"",DaqBook_RAW_Data!U636)</f>
        <v/>
      </c>
      <c r="G646" s="167" t="str">
        <f>IF(ISBLANK(DaqBook_RAW_Data!V636),"",DaqBook_RAW_Data!V636)</f>
        <v/>
      </c>
      <c r="H646" s="167" t="str">
        <f>IF(ISBLANK(DaqBook_RAW_Data!W636),"",DaqBook_RAW_Data!W636)</f>
        <v/>
      </c>
      <c r="I646" s="167" t="str">
        <f>IF(ISBLANK(DaqBook_RAW_Data!X636),"",DaqBook_RAW_Data!X636)</f>
        <v/>
      </c>
      <c r="J646" s="167" t="str">
        <f>IF(ISBLANK(DaqBook_RAW_Data!Y636),"",DaqBook_RAW_Data!Y636)</f>
        <v/>
      </c>
      <c r="K646" s="167" t="str">
        <f>IF(ISBLANK(DaqBook_RAW_Data!Z636),"",DaqBook_RAW_Data!Z636)</f>
        <v/>
      </c>
      <c r="L646" s="167" t="str">
        <f>IF(ISBLANK(DaqBook_RAW_Data!AA636),"",DaqBook_RAW_Data!AA636)</f>
        <v/>
      </c>
      <c r="M646" s="167" t="str">
        <f>IF(ISBLANK(DaqBook_RAW_Data!AB636),"",DaqBook_RAW_Data!AB636)</f>
        <v/>
      </c>
      <c r="N646" s="167" t="str">
        <f>IF(ISBLANK(DaqBook_RAW_Data!AC636),"",DaqBook_RAW_Data!AC636)</f>
        <v/>
      </c>
      <c r="O646" s="167" t="str">
        <f>IF(ISBLANK(DaqBook_RAW_Data!AD636),"",DaqBook_RAW_Data!AD636)</f>
        <v/>
      </c>
      <c r="P646" s="167" t="str">
        <f>IF(ISBLANK(DaqBook_RAW_Data!AE636),"",DaqBook_RAW_Data!AE636)</f>
        <v/>
      </c>
    </row>
    <row r="647" spans="1:16" x14ac:dyDescent="0.2">
      <c r="A647" s="58" t="e">
        <f t="shared" si="9"/>
        <v>#VALUE!</v>
      </c>
      <c r="B647" s="144" t="str">
        <f>IF(ISBLANK(DaqBook_RAW_Data!Q637),IF(DaqBook_RAW_Data!A637="","",TIMEVALUE(DaqBook_RAW_Data!A637)),TIMEVALUE(DaqBook_RAW_Data!Q637))</f>
        <v/>
      </c>
      <c r="C647" s="167" t="str">
        <f>IF(ISBLANK(DaqBook_RAW_Data!R637),"",DaqBook_RAW_Data!R637)</f>
        <v/>
      </c>
      <c r="D647" s="167" t="str">
        <f>IF(ISBLANK(DaqBook_RAW_Data!S637),"",DaqBook_RAW_Data!S637)</f>
        <v/>
      </c>
      <c r="E647" s="167" t="str">
        <f>IF(ISBLANK(DaqBook_RAW_Data!T637),"",DaqBook_RAW_Data!T637)</f>
        <v/>
      </c>
      <c r="F647" s="167" t="str">
        <f>IF(ISBLANK(DaqBook_RAW_Data!U637),"",DaqBook_RAW_Data!U637)</f>
        <v/>
      </c>
      <c r="G647" s="167" t="str">
        <f>IF(ISBLANK(DaqBook_RAW_Data!V637),"",DaqBook_RAW_Data!V637)</f>
        <v/>
      </c>
      <c r="H647" s="167" t="str">
        <f>IF(ISBLANK(DaqBook_RAW_Data!W637),"",DaqBook_RAW_Data!W637)</f>
        <v/>
      </c>
      <c r="I647" s="167" t="str">
        <f>IF(ISBLANK(DaqBook_RAW_Data!X637),"",DaqBook_RAW_Data!X637)</f>
        <v/>
      </c>
      <c r="J647" s="167" t="str">
        <f>IF(ISBLANK(DaqBook_RAW_Data!Y637),"",DaqBook_RAW_Data!Y637)</f>
        <v/>
      </c>
      <c r="K647" s="167" t="str">
        <f>IF(ISBLANK(DaqBook_RAW_Data!Z637),"",DaqBook_RAW_Data!Z637)</f>
        <v/>
      </c>
      <c r="L647" s="167" t="str">
        <f>IF(ISBLANK(DaqBook_RAW_Data!AA637),"",DaqBook_RAW_Data!AA637)</f>
        <v/>
      </c>
      <c r="M647" s="167" t="str">
        <f>IF(ISBLANK(DaqBook_RAW_Data!AB637),"",DaqBook_RAW_Data!AB637)</f>
        <v/>
      </c>
      <c r="N647" s="167" t="str">
        <f>IF(ISBLANK(DaqBook_RAW_Data!AC637),"",DaqBook_RAW_Data!AC637)</f>
        <v/>
      </c>
      <c r="O647" s="167" t="str">
        <f>IF(ISBLANK(DaqBook_RAW_Data!AD637),"",DaqBook_RAW_Data!AD637)</f>
        <v/>
      </c>
      <c r="P647" s="167" t="str">
        <f>IF(ISBLANK(DaqBook_RAW_Data!AE637),"",DaqBook_RAW_Data!AE637)</f>
        <v/>
      </c>
    </row>
    <row r="648" spans="1:16" x14ac:dyDescent="0.2">
      <c r="A648" s="58" t="e">
        <f t="shared" si="9"/>
        <v>#VALUE!</v>
      </c>
      <c r="B648" s="144" t="str">
        <f>IF(ISBLANK(DaqBook_RAW_Data!Q638),IF(DaqBook_RAW_Data!A638="","",TIMEVALUE(DaqBook_RAW_Data!A638)),TIMEVALUE(DaqBook_RAW_Data!Q638))</f>
        <v/>
      </c>
      <c r="C648" s="167" t="str">
        <f>IF(ISBLANK(DaqBook_RAW_Data!R638),"",DaqBook_RAW_Data!R638)</f>
        <v/>
      </c>
      <c r="D648" s="167" t="str">
        <f>IF(ISBLANK(DaqBook_RAW_Data!S638),"",DaqBook_RAW_Data!S638)</f>
        <v/>
      </c>
      <c r="E648" s="167" t="str">
        <f>IF(ISBLANK(DaqBook_RAW_Data!T638),"",DaqBook_RAW_Data!T638)</f>
        <v/>
      </c>
      <c r="F648" s="167" t="str">
        <f>IF(ISBLANK(DaqBook_RAW_Data!U638),"",DaqBook_RAW_Data!U638)</f>
        <v/>
      </c>
      <c r="G648" s="167" t="str">
        <f>IF(ISBLANK(DaqBook_RAW_Data!V638),"",DaqBook_RAW_Data!V638)</f>
        <v/>
      </c>
      <c r="H648" s="167" t="str">
        <f>IF(ISBLANK(DaqBook_RAW_Data!W638),"",DaqBook_RAW_Data!W638)</f>
        <v/>
      </c>
      <c r="I648" s="167" t="str">
        <f>IF(ISBLANK(DaqBook_RAW_Data!X638),"",DaqBook_RAW_Data!X638)</f>
        <v/>
      </c>
      <c r="J648" s="167" t="str">
        <f>IF(ISBLANK(DaqBook_RAW_Data!Y638),"",DaqBook_RAW_Data!Y638)</f>
        <v/>
      </c>
      <c r="K648" s="167" t="str">
        <f>IF(ISBLANK(DaqBook_RAW_Data!Z638),"",DaqBook_RAW_Data!Z638)</f>
        <v/>
      </c>
      <c r="L648" s="167" t="str">
        <f>IF(ISBLANK(DaqBook_RAW_Data!AA638),"",DaqBook_RAW_Data!AA638)</f>
        <v/>
      </c>
      <c r="M648" s="167" t="str">
        <f>IF(ISBLANK(DaqBook_RAW_Data!AB638),"",DaqBook_RAW_Data!AB638)</f>
        <v/>
      </c>
      <c r="N648" s="167" t="str">
        <f>IF(ISBLANK(DaqBook_RAW_Data!AC638),"",DaqBook_RAW_Data!AC638)</f>
        <v/>
      </c>
      <c r="O648" s="167" t="str">
        <f>IF(ISBLANK(DaqBook_RAW_Data!AD638),"",DaqBook_RAW_Data!AD638)</f>
        <v/>
      </c>
      <c r="P648" s="167" t="str">
        <f>IF(ISBLANK(DaqBook_RAW_Data!AE638),"",DaqBook_RAW_Data!AE638)</f>
        <v/>
      </c>
    </row>
    <row r="649" spans="1:16" x14ac:dyDescent="0.2">
      <c r="A649" s="58" t="e">
        <f t="shared" si="9"/>
        <v>#VALUE!</v>
      </c>
      <c r="B649" s="144" t="str">
        <f>IF(ISBLANK(DaqBook_RAW_Data!Q639),IF(DaqBook_RAW_Data!A639="","",TIMEVALUE(DaqBook_RAW_Data!A639)),TIMEVALUE(DaqBook_RAW_Data!Q639))</f>
        <v/>
      </c>
      <c r="C649" s="167" t="str">
        <f>IF(ISBLANK(DaqBook_RAW_Data!R639),"",DaqBook_RAW_Data!R639)</f>
        <v/>
      </c>
      <c r="D649" s="167" t="str">
        <f>IF(ISBLANK(DaqBook_RAW_Data!S639),"",DaqBook_RAW_Data!S639)</f>
        <v/>
      </c>
      <c r="E649" s="167" t="str">
        <f>IF(ISBLANK(DaqBook_RAW_Data!T639),"",DaqBook_RAW_Data!T639)</f>
        <v/>
      </c>
      <c r="F649" s="167" t="str">
        <f>IF(ISBLANK(DaqBook_RAW_Data!U639),"",DaqBook_RAW_Data!U639)</f>
        <v/>
      </c>
      <c r="G649" s="167" t="str">
        <f>IF(ISBLANK(DaqBook_RAW_Data!V639),"",DaqBook_RAW_Data!V639)</f>
        <v/>
      </c>
      <c r="H649" s="167" t="str">
        <f>IF(ISBLANK(DaqBook_RAW_Data!W639),"",DaqBook_RAW_Data!W639)</f>
        <v/>
      </c>
      <c r="I649" s="167" t="str">
        <f>IF(ISBLANK(DaqBook_RAW_Data!X639),"",DaqBook_RAW_Data!X639)</f>
        <v/>
      </c>
      <c r="J649" s="167" t="str">
        <f>IF(ISBLANK(DaqBook_RAW_Data!Y639),"",DaqBook_RAW_Data!Y639)</f>
        <v/>
      </c>
      <c r="K649" s="167" t="str">
        <f>IF(ISBLANK(DaqBook_RAW_Data!Z639),"",DaqBook_RAW_Data!Z639)</f>
        <v/>
      </c>
      <c r="L649" s="167" t="str">
        <f>IF(ISBLANK(DaqBook_RAW_Data!AA639),"",DaqBook_RAW_Data!AA639)</f>
        <v/>
      </c>
      <c r="M649" s="167" t="str">
        <f>IF(ISBLANK(DaqBook_RAW_Data!AB639),"",DaqBook_RAW_Data!AB639)</f>
        <v/>
      </c>
      <c r="N649" s="167" t="str">
        <f>IF(ISBLANK(DaqBook_RAW_Data!AC639),"",DaqBook_RAW_Data!AC639)</f>
        <v/>
      </c>
      <c r="O649" s="167" t="str">
        <f>IF(ISBLANK(DaqBook_RAW_Data!AD639),"",DaqBook_RAW_Data!AD639)</f>
        <v/>
      </c>
      <c r="P649" s="167" t="str">
        <f>IF(ISBLANK(DaqBook_RAW_Data!AE639),"",DaqBook_RAW_Data!AE639)</f>
        <v/>
      </c>
    </row>
    <row r="650" spans="1:16" x14ac:dyDescent="0.2">
      <c r="A650" s="58" t="e">
        <f t="shared" si="9"/>
        <v>#VALUE!</v>
      </c>
      <c r="B650" s="144" t="str">
        <f>IF(ISBLANK(DaqBook_RAW_Data!Q640),IF(DaqBook_RAW_Data!A640="","",TIMEVALUE(DaqBook_RAW_Data!A640)),TIMEVALUE(DaqBook_RAW_Data!Q640))</f>
        <v/>
      </c>
      <c r="C650" s="167" t="str">
        <f>IF(ISBLANK(DaqBook_RAW_Data!R640),"",DaqBook_RAW_Data!R640)</f>
        <v/>
      </c>
      <c r="D650" s="167" t="str">
        <f>IF(ISBLANK(DaqBook_RAW_Data!S640),"",DaqBook_RAW_Data!S640)</f>
        <v/>
      </c>
      <c r="E650" s="167" t="str">
        <f>IF(ISBLANK(DaqBook_RAW_Data!T640),"",DaqBook_RAW_Data!T640)</f>
        <v/>
      </c>
      <c r="F650" s="167" t="str">
        <f>IF(ISBLANK(DaqBook_RAW_Data!U640),"",DaqBook_RAW_Data!U640)</f>
        <v/>
      </c>
      <c r="G650" s="167" t="str">
        <f>IF(ISBLANK(DaqBook_RAW_Data!V640),"",DaqBook_RAW_Data!V640)</f>
        <v/>
      </c>
      <c r="H650" s="167" t="str">
        <f>IF(ISBLANK(DaqBook_RAW_Data!W640),"",DaqBook_RAW_Data!W640)</f>
        <v/>
      </c>
      <c r="I650" s="167" t="str">
        <f>IF(ISBLANK(DaqBook_RAW_Data!X640),"",DaqBook_RAW_Data!X640)</f>
        <v/>
      </c>
      <c r="J650" s="167" t="str">
        <f>IF(ISBLANK(DaqBook_RAW_Data!Y640),"",DaqBook_RAW_Data!Y640)</f>
        <v/>
      </c>
      <c r="K650" s="167" t="str">
        <f>IF(ISBLANK(DaqBook_RAW_Data!Z640),"",DaqBook_RAW_Data!Z640)</f>
        <v/>
      </c>
      <c r="L650" s="167" t="str">
        <f>IF(ISBLANK(DaqBook_RAW_Data!AA640),"",DaqBook_RAW_Data!AA640)</f>
        <v/>
      </c>
      <c r="M650" s="167" t="str">
        <f>IF(ISBLANK(DaqBook_RAW_Data!AB640),"",DaqBook_RAW_Data!AB640)</f>
        <v/>
      </c>
      <c r="N650" s="167" t="str">
        <f>IF(ISBLANK(DaqBook_RAW_Data!AC640),"",DaqBook_RAW_Data!AC640)</f>
        <v/>
      </c>
      <c r="O650" s="167" t="str">
        <f>IF(ISBLANK(DaqBook_RAW_Data!AD640),"",DaqBook_RAW_Data!AD640)</f>
        <v/>
      </c>
      <c r="P650" s="167" t="str">
        <f>IF(ISBLANK(DaqBook_RAW_Data!AE640),"",DaqBook_RAW_Data!AE640)</f>
        <v/>
      </c>
    </row>
    <row r="651" spans="1:16" x14ac:dyDescent="0.2">
      <c r="A651" s="58" t="e">
        <f t="shared" si="9"/>
        <v>#VALUE!</v>
      </c>
      <c r="B651" s="144" t="str">
        <f>IF(ISBLANK(DaqBook_RAW_Data!Q641),IF(DaqBook_RAW_Data!A641="","",TIMEVALUE(DaqBook_RAW_Data!A641)),TIMEVALUE(DaqBook_RAW_Data!Q641))</f>
        <v/>
      </c>
      <c r="C651" s="167" t="str">
        <f>IF(ISBLANK(DaqBook_RAW_Data!R641),"",DaqBook_RAW_Data!R641)</f>
        <v/>
      </c>
      <c r="D651" s="167" t="str">
        <f>IF(ISBLANK(DaqBook_RAW_Data!S641),"",DaqBook_RAW_Data!S641)</f>
        <v/>
      </c>
      <c r="E651" s="167" t="str">
        <f>IF(ISBLANK(DaqBook_RAW_Data!T641),"",DaqBook_RAW_Data!T641)</f>
        <v/>
      </c>
      <c r="F651" s="167" t="str">
        <f>IF(ISBLANK(DaqBook_RAW_Data!U641),"",DaqBook_RAW_Data!U641)</f>
        <v/>
      </c>
      <c r="G651" s="167" t="str">
        <f>IF(ISBLANK(DaqBook_RAW_Data!V641),"",DaqBook_RAW_Data!V641)</f>
        <v/>
      </c>
      <c r="H651" s="167" t="str">
        <f>IF(ISBLANK(DaqBook_RAW_Data!W641),"",DaqBook_RAW_Data!W641)</f>
        <v/>
      </c>
      <c r="I651" s="167" t="str">
        <f>IF(ISBLANK(DaqBook_RAW_Data!X641),"",DaqBook_RAW_Data!X641)</f>
        <v/>
      </c>
      <c r="J651" s="167" t="str">
        <f>IF(ISBLANK(DaqBook_RAW_Data!Y641),"",DaqBook_RAW_Data!Y641)</f>
        <v/>
      </c>
      <c r="K651" s="167" t="str">
        <f>IF(ISBLANK(DaqBook_RAW_Data!Z641),"",DaqBook_RAW_Data!Z641)</f>
        <v/>
      </c>
      <c r="L651" s="167" t="str">
        <f>IF(ISBLANK(DaqBook_RAW_Data!AA641),"",DaqBook_RAW_Data!AA641)</f>
        <v/>
      </c>
      <c r="M651" s="167" t="str">
        <f>IF(ISBLANK(DaqBook_RAW_Data!AB641),"",DaqBook_RAW_Data!AB641)</f>
        <v/>
      </c>
      <c r="N651" s="167" t="str">
        <f>IF(ISBLANK(DaqBook_RAW_Data!AC641),"",DaqBook_RAW_Data!AC641)</f>
        <v/>
      </c>
      <c r="O651" s="167" t="str">
        <f>IF(ISBLANK(DaqBook_RAW_Data!AD641),"",DaqBook_RAW_Data!AD641)</f>
        <v/>
      </c>
      <c r="P651" s="167" t="str">
        <f>IF(ISBLANK(DaqBook_RAW_Data!AE641),"",DaqBook_RAW_Data!AE641)</f>
        <v/>
      </c>
    </row>
    <row r="652" spans="1:16" x14ac:dyDescent="0.2">
      <c r="A652" s="58" t="e">
        <f t="shared" si="9"/>
        <v>#VALUE!</v>
      </c>
      <c r="B652" s="144" t="str">
        <f>IF(ISBLANK(DaqBook_RAW_Data!Q642),IF(DaqBook_RAW_Data!A642="","",TIMEVALUE(DaqBook_RAW_Data!A642)),TIMEVALUE(DaqBook_RAW_Data!Q642))</f>
        <v/>
      </c>
      <c r="C652" s="167" t="str">
        <f>IF(ISBLANK(DaqBook_RAW_Data!R642),"",DaqBook_RAW_Data!R642)</f>
        <v/>
      </c>
      <c r="D652" s="167" t="str">
        <f>IF(ISBLANK(DaqBook_RAW_Data!S642),"",DaqBook_RAW_Data!S642)</f>
        <v/>
      </c>
      <c r="E652" s="167" t="str">
        <f>IF(ISBLANK(DaqBook_RAW_Data!T642),"",DaqBook_RAW_Data!T642)</f>
        <v/>
      </c>
      <c r="F652" s="167" t="str">
        <f>IF(ISBLANK(DaqBook_RAW_Data!U642),"",DaqBook_RAW_Data!U642)</f>
        <v/>
      </c>
      <c r="G652" s="167" t="str">
        <f>IF(ISBLANK(DaqBook_RAW_Data!V642),"",DaqBook_RAW_Data!V642)</f>
        <v/>
      </c>
      <c r="H652" s="167" t="str">
        <f>IF(ISBLANK(DaqBook_RAW_Data!W642),"",DaqBook_RAW_Data!W642)</f>
        <v/>
      </c>
      <c r="I652" s="167" t="str">
        <f>IF(ISBLANK(DaqBook_RAW_Data!X642),"",DaqBook_RAW_Data!X642)</f>
        <v/>
      </c>
      <c r="J652" s="167" t="str">
        <f>IF(ISBLANK(DaqBook_RAW_Data!Y642),"",DaqBook_RAW_Data!Y642)</f>
        <v/>
      </c>
      <c r="K652" s="167" t="str">
        <f>IF(ISBLANK(DaqBook_RAW_Data!Z642),"",DaqBook_RAW_Data!Z642)</f>
        <v/>
      </c>
      <c r="L652" s="167" t="str">
        <f>IF(ISBLANK(DaqBook_RAW_Data!AA642),"",DaqBook_RAW_Data!AA642)</f>
        <v/>
      </c>
      <c r="M652" s="167" t="str">
        <f>IF(ISBLANK(DaqBook_RAW_Data!AB642),"",DaqBook_RAW_Data!AB642)</f>
        <v/>
      </c>
      <c r="N652" s="167" t="str">
        <f>IF(ISBLANK(DaqBook_RAW_Data!AC642),"",DaqBook_RAW_Data!AC642)</f>
        <v/>
      </c>
      <c r="O652" s="167" t="str">
        <f>IF(ISBLANK(DaqBook_RAW_Data!AD642),"",DaqBook_RAW_Data!AD642)</f>
        <v/>
      </c>
      <c r="P652" s="167" t="str">
        <f>IF(ISBLANK(DaqBook_RAW_Data!AE642),"",DaqBook_RAW_Data!AE642)</f>
        <v/>
      </c>
    </row>
    <row r="653" spans="1:16" x14ac:dyDescent="0.2">
      <c r="A653" s="58" t="e">
        <f t="shared" si="9"/>
        <v>#VALUE!</v>
      </c>
      <c r="B653" s="144" t="str">
        <f>IF(ISBLANK(DaqBook_RAW_Data!Q643),IF(DaqBook_RAW_Data!A643="","",TIMEVALUE(DaqBook_RAW_Data!A643)),TIMEVALUE(DaqBook_RAW_Data!Q643))</f>
        <v/>
      </c>
      <c r="C653" s="167" t="str">
        <f>IF(ISBLANK(DaqBook_RAW_Data!R643),"",DaqBook_RAW_Data!R643)</f>
        <v/>
      </c>
      <c r="D653" s="167" t="str">
        <f>IF(ISBLANK(DaqBook_RAW_Data!S643),"",DaqBook_RAW_Data!S643)</f>
        <v/>
      </c>
      <c r="E653" s="167" t="str">
        <f>IF(ISBLANK(DaqBook_RAW_Data!T643),"",DaqBook_RAW_Data!T643)</f>
        <v/>
      </c>
      <c r="F653" s="167" t="str">
        <f>IF(ISBLANK(DaqBook_RAW_Data!U643),"",DaqBook_RAW_Data!U643)</f>
        <v/>
      </c>
      <c r="G653" s="167" t="str">
        <f>IF(ISBLANK(DaqBook_RAW_Data!V643),"",DaqBook_RAW_Data!V643)</f>
        <v/>
      </c>
      <c r="H653" s="167" t="str">
        <f>IF(ISBLANK(DaqBook_RAW_Data!W643),"",DaqBook_RAW_Data!W643)</f>
        <v/>
      </c>
      <c r="I653" s="167" t="str">
        <f>IF(ISBLANK(DaqBook_RAW_Data!X643),"",DaqBook_RAW_Data!X643)</f>
        <v/>
      </c>
      <c r="J653" s="167" t="str">
        <f>IF(ISBLANK(DaqBook_RAW_Data!Y643),"",DaqBook_RAW_Data!Y643)</f>
        <v/>
      </c>
      <c r="K653" s="167" t="str">
        <f>IF(ISBLANK(DaqBook_RAW_Data!Z643),"",DaqBook_RAW_Data!Z643)</f>
        <v/>
      </c>
      <c r="L653" s="167" t="str">
        <f>IF(ISBLANK(DaqBook_RAW_Data!AA643),"",DaqBook_RAW_Data!AA643)</f>
        <v/>
      </c>
      <c r="M653" s="167" t="str">
        <f>IF(ISBLANK(DaqBook_RAW_Data!AB643),"",DaqBook_RAW_Data!AB643)</f>
        <v/>
      </c>
      <c r="N653" s="167" t="str">
        <f>IF(ISBLANK(DaqBook_RAW_Data!AC643),"",DaqBook_RAW_Data!AC643)</f>
        <v/>
      </c>
      <c r="O653" s="167" t="str">
        <f>IF(ISBLANK(DaqBook_RAW_Data!AD643),"",DaqBook_RAW_Data!AD643)</f>
        <v/>
      </c>
      <c r="P653" s="167" t="str">
        <f>IF(ISBLANK(DaqBook_RAW_Data!AE643),"",DaqBook_RAW_Data!AE643)</f>
        <v/>
      </c>
    </row>
    <row r="654" spans="1:16" x14ac:dyDescent="0.2">
      <c r="A654" s="58" t="e">
        <f t="shared" si="9"/>
        <v>#VALUE!</v>
      </c>
      <c r="B654" s="144" t="str">
        <f>IF(ISBLANK(DaqBook_RAW_Data!Q644),IF(DaqBook_RAW_Data!A644="","",TIMEVALUE(DaqBook_RAW_Data!A644)),TIMEVALUE(DaqBook_RAW_Data!Q644))</f>
        <v/>
      </c>
      <c r="C654" s="167" t="str">
        <f>IF(ISBLANK(DaqBook_RAW_Data!R644),"",DaqBook_RAW_Data!R644)</f>
        <v/>
      </c>
      <c r="D654" s="167" t="str">
        <f>IF(ISBLANK(DaqBook_RAW_Data!S644),"",DaqBook_RAW_Data!S644)</f>
        <v/>
      </c>
      <c r="E654" s="167" t="str">
        <f>IF(ISBLANK(DaqBook_RAW_Data!T644),"",DaqBook_RAW_Data!T644)</f>
        <v/>
      </c>
      <c r="F654" s="167" t="str">
        <f>IF(ISBLANK(DaqBook_RAW_Data!U644),"",DaqBook_RAW_Data!U644)</f>
        <v/>
      </c>
      <c r="G654" s="167" t="str">
        <f>IF(ISBLANK(DaqBook_RAW_Data!V644),"",DaqBook_RAW_Data!V644)</f>
        <v/>
      </c>
      <c r="H654" s="167" t="str">
        <f>IF(ISBLANK(DaqBook_RAW_Data!W644),"",DaqBook_RAW_Data!W644)</f>
        <v/>
      </c>
      <c r="I654" s="167" t="str">
        <f>IF(ISBLANK(DaqBook_RAW_Data!X644),"",DaqBook_RAW_Data!X644)</f>
        <v/>
      </c>
      <c r="J654" s="167" t="str">
        <f>IF(ISBLANK(DaqBook_RAW_Data!Y644),"",DaqBook_RAW_Data!Y644)</f>
        <v/>
      </c>
      <c r="K654" s="167" t="str">
        <f>IF(ISBLANK(DaqBook_RAW_Data!Z644),"",DaqBook_RAW_Data!Z644)</f>
        <v/>
      </c>
      <c r="L654" s="167" t="str">
        <f>IF(ISBLANK(DaqBook_RAW_Data!AA644),"",DaqBook_RAW_Data!AA644)</f>
        <v/>
      </c>
      <c r="M654" s="167" t="str">
        <f>IF(ISBLANK(DaqBook_RAW_Data!AB644),"",DaqBook_RAW_Data!AB644)</f>
        <v/>
      </c>
      <c r="N654" s="167" t="str">
        <f>IF(ISBLANK(DaqBook_RAW_Data!AC644),"",DaqBook_RAW_Data!AC644)</f>
        <v/>
      </c>
      <c r="O654" s="167" t="str">
        <f>IF(ISBLANK(DaqBook_RAW_Data!AD644),"",DaqBook_RAW_Data!AD644)</f>
        <v/>
      </c>
      <c r="P654" s="167" t="str">
        <f>IF(ISBLANK(DaqBook_RAW_Data!AE644),"",DaqBook_RAW_Data!AE644)</f>
        <v/>
      </c>
    </row>
    <row r="655" spans="1:16" x14ac:dyDescent="0.2">
      <c r="A655" s="58" t="e">
        <f t="shared" ref="A655:A718" si="10">HOUR(B655)&amp;":"&amp;MINUTE(B655)</f>
        <v>#VALUE!</v>
      </c>
      <c r="B655" s="144" t="str">
        <f>IF(ISBLANK(DaqBook_RAW_Data!Q645),IF(DaqBook_RAW_Data!A645="","",TIMEVALUE(DaqBook_RAW_Data!A645)),TIMEVALUE(DaqBook_RAW_Data!Q645))</f>
        <v/>
      </c>
      <c r="C655" s="167" t="str">
        <f>IF(ISBLANK(DaqBook_RAW_Data!R645),"",DaqBook_RAW_Data!R645)</f>
        <v/>
      </c>
      <c r="D655" s="167" t="str">
        <f>IF(ISBLANK(DaqBook_RAW_Data!S645),"",DaqBook_RAW_Data!S645)</f>
        <v/>
      </c>
      <c r="E655" s="167" t="str">
        <f>IF(ISBLANK(DaqBook_RAW_Data!T645),"",DaqBook_RAW_Data!T645)</f>
        <v/>
      </c>
      <c r="F655" s="167" t="str">
        <f>IF(ISBLANK(DaqBook_RAW_Data!U645),"",DaqBook_RAW_Data!U645)</f>
        <v/>
      </c>
      <c r="G655" s="167" t="str">
        <f>IF(ISBLANK(DaqBook_RAW_Data!V645),"",DaqBook_RAW_Data!V645)</f>
        <v/>
      </c>
      <c r="H655" s="167" t="str">
        <f>IF(ISBLANK(DaqBook_RAW_Data!W645),"",DaqBook_RAW_Data!W645)</f>
        <v/>
      </c>
      <c r="I655" s="167" t="str">
        <f>IF(ISBLANK(DaqBook_RAW_Data!X645),"",DaqBook_RAW_Data!X645)</f>
        <v/>
      </c>
      <c r="J655" s="167" t="str">
        <f>IF(ISBLANK(DaqBook_RAW_Data!Y645),"",DaqBook_RAW_Data!Y645)</f>
        <v/>
      </c>
      <c r="K655" s="167" t="str">
        <f>IF(ISBLANK(DaqBook_RAW_Data!Z645),"",DaqBook_RAW_Data!Z645)</f>
        <v/>
      </c>
      <c r="L655" s="167" t="str">
        <f>IF(ISBLANK(DaqBook_RAW_Data!AA645),"",DaqBook_RAW_Data!AA645)</f>
        <v/>
      </c>
      <c r="M655" s="167" t="str">
        <f>IF(ISBLANK(DaqBook_RAW_Data!AB645),"",DaqBook_RAW_Data!AB645)</f>
        <v/>
      </c>
      <c r="N655" s="167" t="str">
        <f>IF(ISBLANK(DaqBook_RAW_Data!AC645),"",DaqBook_RAW_Data!AC645)</f>
        <v/>
      </c>
      <c r="O655" s="167" t="str">
        <f>IF(ISBLANK(DaqBook_RAW_Data!AD645),"",DaqBook_RAW_Data!AD645)</f>
        <v/>
      </c>
      <c r="P655" s="167" t="str">
        <f>IF(ISBLANK(DaqBook_RAW_Data!AE645),"",DaqBook_RAW_Data!AE645)</f>
        <v/>
      </c>
    </row>
    <row r="656" spans="1:16" x14ac:dyDescent="0.2">
      <c r="A656" s="58" t="e">
        <f t="shared" si="10"/>
        <v>#VALUE!</v>
      </c>
      <c r="B656" s="144" t="str">
        <f>IF(ISBLANK(DaqBook_RAW_Data!Q646),IF(DaqBook_RAW_Data!A646="","",TIMEVALUE(DaqBook_RAW_Data!A646)),TIMEVALUE(DaqBook_RAW_Data!Q646))</f>
        <v/>
      </c>
      <c r="C656" s="167" t="str">
        <f>IF(ISBLANK(DaqBook_RAW_Data!R646),"",DaqBook_RAW_Data!R646)</f>
        <v/>
      </c>
      <c r="D656" s="167" t="str">
        <f>IF(ISBLANK(DaqBook_RAW_Data!S646),"",DaqBook_RAW_Data!S646)</f>
        <v/>
      </c>
      <c r="E656" s="167" t="str">
        <f>IF(ISBLANK(DaqBook_RAW_Data!T646),"",DaqBook_RAW_Data!T646)</f>
        <v/>
      </c>
      <c r="F656" s="167" t="str">
        <f>IF(ISBLANK(DaqBook_RAW_Data!U646),"",DaqBook_RAW_Data!U646)</f>
        <v/>
      </c>
      <c r="G656" s="167" t="str">
        <f>IF(ISBLANK(DaqBook_RAW_Data!V646),"",DaqBook_RAW_Data!V646)</f>
        <v/>
      </c>
      <c r="H656" s="167" t="str">
        <f>IF(ISBLANK(DaqBook_RAW_Data!W646),"",DaqBook_RAW_Data!W646)</f>
        <v/>
      </c>
      <c r="I656" s="167" t="str">
        <f>IF(ISBLANK(DaqBook_RAW_Data!X646),"",DaqBook_RAW_Data!X646)</f>
        <v/>
      </c>
      <c r="J656" s="167" t="str">
        <f>IF(ISBLANK(DaqBook_RAW_Data!Y646),"",DaqBook_RAW_Data!Y646)</f>
        <v/>
      </c>
      <c r="K656" s="167" t="str">
        <f>IF(ISBLANK(DaqBook_RAW_Data!Z646),"",DaqBook_RAW_Data!Z646)</f>
        <v/>
      </c>
      <c r="L656" s="167" t="str">
        <f>IF(ISBLANK(DaqBook_RAW_Data!AA646),"",DaqBook_RAW_Data!AA646)</f>
        <v/>
      </c>
      <c r="M656" s="167" t="str">
        <f>IF(ISBLANK(DaqBook_RAW_Data!AB646),"",DaqBook_RAW_Data!AB646)</f>
        <v/>
      </c>
      <c r="N656" s="167" t="str">
        <f>IF(ISBLANK(DaqBook_RAW_Data!AC646),"",DaqBook_RAW_Data!AC646)</f>
        <v/>
      </c>
      <c r="O656" s="167" t="str">
        <f>IF(ISBLANK(DaqBook_RAW_Data!AD646),"",DaqBook_RAW_Data!AD646)</f>
        <v/>
      </c>
      <c r="P656" s="167" t="str">
        <f>IF(ISBLANK(DaqBook_RAW_Data!AE646),"",DaqBook_RAW_Data!AE646)</f>
        <v/>
      </c>
    </row>
    <row r="657" spans="1:16" x14ac:dyDescent="0.2">
      <c r="A657" s="58" t="e">
        <f t="shared" si="10"/>
        <v>#VALUE!</v>
      </c>
      <c r="B657" s="144" t="str">
        <f>IF(ISBLANK(DaqBook_RAW_Data!Q647),IF(DaqBook_RAW_Data!A647="","",TIMEVALUE(DaqBook_RAW_Data!A647)),TIMEVALUE(DaqBook_RAW_Data!Q647))</f>
        <v/>
      </c>
      <c r="C657" s="167" t="str">
        <f>IF(ISBLANK(DaqBook_RAW_Data!R647),"",DaqBook_RAW_Data!R647)</f>
        <v/>
      </c>
      <c r="D657" s="167" t="str">
        <f>IF(ISBLANK(DaqBook_RAW_Data!S647),"",DaqBook_RAW_Data!S647)</f>
        <v/>
      </c>
      <c r="E657" s="167" t="str">
        <f>IF(ISBLANK(DaqBook_RAW_Data!T647),"",DaqBook_RAW_Data!T647)</f>
        <v/>
      </c>
      <c r="F657" s="167" t="str">
        <f>IF(ISBLANK(DaqBook_RAW_Data!U647),"",DaqBook_RAW_Data!U647)</f>
        <v/>
      </c>
      <c r="G657" s="167" t="str">
        <f>IF(ISBLANK(DaqBook_RAW_Data!V647),"",DaqBook_RAW_Data!V647)</f>
        <v/>
      </c>
      <c r="H657" s="167" t="str">
        <f>IF(ISBLANK(DaqBook_RAW_Data!W647),"",DaqBook_RAW_Data!W647)</f>
        <v/>
      </c>
      <c r="I657" s="167" t="str">
        <f>IF(ISBLANK(DaqBook_RAW_Data!X647),"",DaqBook_RAW_Data!X647)</f>
        <v/>
      </c>
      <c r="J657" s="167" t="str">
        <f>IF(ISBLANK(DaqBook_RAW_Data!Y647),"",DaqBook_RAW_Data!Y647)</f>
        <v/>
      </c>
      <c r="K657" s="167" t="str">
        <f>IF(ISBLANK(DaqBook_RAW_Data!Z647),"",DaqBook_RAW_Data!Z647)</f>
        <v/>
      </c>
      <c r="L657" s="167" t="str">
        <f>IF(ISBLANK(DaqBook_RAW_Data!AA647),"",DaqBook_RAW_Data!AA647)</f>
        <v/>
      </c>
      <c r="M657" s="167" t="str">
        <f>IF(ISBLANK(DaqBook_RAW_Data!AB647),"",DaqBook_RAW_Data!AB647)</f>
        <v/>
      </c>
      <c r="N657" s="167" t="str">
        <f>IF(ISBLANK(DaqBook_RAW_Data!AC647),"",DaqBook_RAW_Data!AC647)</f>
        <v/>
      </c>
      <c r="O657" s="167" t="str">
        <f>IF(ISBLANK(DaqBook_RAW_Data!AD647),"",DaqBook_RAW_Data!AD647)</f>
        <v/>
      </c>
      <c r="P657" s="167" t="str">
        <f>IF(ISBLANK(DaqBook_RAW_Data!AE647),"",DaqBook_RAW_Data!AE647)</f>
        <v/>
      </c>
    </row>
    <row r="658" spans="1:16" x14ac:dyDescent="0.2">
      <c r="A658" s="58" t="e">
        <f t="shared" si="10"/>
        <v>#VALUE!</v>
      </c>
      <c r="B658" s="144" t="str">
        <f>IF(ISBLANK(DaqBook_RAW_Data!Q648),IF(DaqBook_RAW_Data!A648="","",TIMEVALUE(DaqBook_RAW_Data!A648)),TIMEVALUE(DaqBook_RAW_Data!Q648))</f>
        <v/>
      </c>
      <c r="C658" s="167" t="str">
        <f>IF(ISBLANK(DaqBook_RAW_Data!R648),"",DaqBook_RAW_Data!R648)</f>
        <v/>
      </c>
      <c r="D658" s="167" t="str">
        <f>IF(ISBLANK(DaqBook_RAW_Data!S648),"",DaqBook_RAW_Data!S648)</f>
        <v/>
      </c>
      <c r="E658" s="167" t="str">
        <f>IF(ISBLANK(DaqBook_RAW_Data!T648),"",DaqBook_RAW_Data!T648)</f>
        <v/>
      </c>
      <c r="F658" s="167" t="str">
        <f>IF(ISBLANK(DaqBook_RAW_Data!U648),"",DaqBook_RAW_Data!U648)</f>
        <v/>
      </c>
      <c r="G658" s="167" t="str">
        <f>IF(ISBLANK(DaqBook_RAW_Data!V648),"",DaqBook_RAW_Data!V648)</f>
        <v/>
      </c>
      <c r="H658" s="167" t="str">
        <f>IF(ISBLANK(DaqBook_RAW_Data!W648),"",DaqBook_RAW_Data!W648)</f>
        <v/>
      </c>
      <c r="I658" s="167" t="str">
        <f>IF(ISBLANK(DaqBook_RAW_Data!X648),"",DaqBook_RAW_Data!X648)</f>
        <v/>
      </c>
      <c r="J658" s="167" t="str">
        <f>IF(ISBLANK(DaqBook_RAW_Data!Y648),"",DaqBook_RAW_Data!Y648)</f>
        <v/>
      </c>
      <c r="K658" s="167" t="str">
        <f>IF(ISBLANK(DaqBook_RAW_Data!Z648),"",DaqBook_RAW_Data!Z648)</f>
        <v/>
      </c>
      <c r="L658" s="167" t="str">
        <f>IF(ISBLANK(DaqBook_RAW_Data!AA648),"",DaqBook_RAW_Data!AA648)</f>
        <v/>
      </c>
      <c r="M658" s="167" t="str">
        <f>IF(ISBLANK(DaqBook_RAW_Data!AB648),"",DaqBook_RAW_Data!AB648)</f>
        <v/>
      </c>
      <c r="N658" s="167" t="str">
        <f>IF(ISBLANK(DaqBook_RAW_Data!AC648),"",DaqBook_RAW_Data!AC648)</f>
        <v/>
      </c>
      <c r="O658" s="167" t="str">
        <f>IF(ISBLANK(DaqBook_RAW_Data!AD648),"",DaqBook_RAW_Data!AD648)</f>
        <v/>
      </c>
      <c r="P658" s="167" t="str">
        <f>IF(ISBLANK(DaqBook_RAW_Data!AE648),"",DaqBook_RAW_Data!AE648)</f>
        <v/>
      </c>
    </row>
    <row r="659" spans="1:16" x14ac:dyDescent="0.2">
      <c r="A659" s="58" t="e">
        <f t="shared" si="10"/>
        <v>#VALUE!</v>
      </c>
      <c r="B659" s="144" t="str">
        <f>IF(ISBLANK(DaqBook_RAW_Data!Q649),IF(DaqBook_RAW_Data!A649="","",TIMEVALUE(DaqBook_RAW_Data!A649)),TIMEVALUE(DaqBook_RAW_Data!Q649))</f>
        <v/>
      </c>
      <c r="C659" s="167" t="str">
        <f>IF(ISBLANK(DaqBook_RAW_Data!R649),"",DaqBook_RAW_Data!R649)</f>
        <v/>
      </c>
      <c r="D659" s="167" t="str">
        <f>IF(ISBLANK(DaqBook_RAW_Data!S649),"",DaqBook_RAW_Data!S649)</f>
        <v/>
      </c>
      <c r="E659" s="167" t="str">
        <f>IF(ISBLANK(DaqBook_RAW_Data!T649),"",DaqBook_RAW_Data!T649)</f>
        <v/>
      </c>
      <c r="F659" s="167" t="str">
        <f>IF(ISBLANK(DaqBook_RAW_Data!U649),"",DaqBook_RAW_Data!U649)</f>
        <v/>
      </c>
      <c r="G659" s="167" t="str">
        <f>IF(ISBLANK(DaqBook_RAW_Data!V649),"",DaqBook_RAW_Data!V649)</f>
        <v/>
      </c>
      <c r="H659" s="167" t="str">
        <f>IF(ISBLANK(DaqBook_RAW_Data!W649),"",DaqBook_RAW_Data!W649)</f>
        <v/>
      </c>
      <c r="I659" s="167" t="str">
        <f>IF(ISBLANK(DaqBook_RAW_Data!X649),"",DaqBook_RAW_Data!X649)</f>
        <v/>
      </c>
      <c r="J659" s="167" t="str">
        <f>IF(ISBLANK(DaqBook_RAW_Data!Y649),"",DaqBook_RAW_Data!Y649)</f>
        <v/>
      </c>
      <c r="K659" s="167" t="str">
        <f>IF(ISBLANK(DaqBook_RAW_Data!Z649),"",DaqBook_RAW_Data!Z649)</f>
        <v/>
      </c>
      <c r="L659" s="167" t="str">
        <f>IF(ISBLANK(DaqBook_RAW_Data!AA649),"",DaqBook_RAW_Data!AA649)</f>
        <v/>
      </c>
      <c r="M659" s="167" t="str">
        <f>IF(ISBLANK(DaqBook_RAW_Data!AB649),"",DaqBook_RAW_Data!AB649)</f>
        <v/>
      </c>
      <c r="N659" s="167" t="str">
        <f>IF(ISBLANK(DaqBook_RAW_Data!AC649),"",DaqBook_RAW_Data!AC649)</f>
        <v/>
      </c>
      <c r="O659" s="167" t="str">
        <f>IF(ISBLANK(DaqBook_RAW_Data!AD649),"",DaqBook_RAW_Data!AD649)</f>
        <v/>
      </c>
      <c r="P659" s="167" t="str">
        <f>IF(ISBLANK(DaqBook_RAW_Data!AE649),"",DaqBook_RAW_Data!AE649)</f>
        <v/>
      </c>
    </row>
    <row r="660" spans="1:16" x14ac:dyDescent="0.2">
      <c r="A660" s="58" t="e">
        <f t="shared" si="10"/>
        <v>#VALUE!</v>
      </c>
      <c r="B660" s="144" t="str">
        <f>IF(ISBLANK(DaqBook_RAW_Data!Q650),IF(DaqBook_RAW_Data!A650="","",TIMEVALUE(DaqBook_RAW_Data!A650)),TIMEVALUE(DaqBook_RAW_Data!Q650))</f>
        <v/>
      </c>
      <c r="C660" s="167" t="str">
        <f>IF(ISBLANK(DaqBook_RAW_Data!R650),"",DaqBook_RAW_Data!R650)</f>
        <v/>
      </c>
      <c r="D660" s="167" t="str">
        <f>IF(ISBLANK(DaqBook_RAW_Data!S650),"",DaqBook_RAW_Data!S650)</f>
        <v/>
      </c>
      <c r="E660" s="167" t="str">
        <f>IF(ISBLANK(DaqBook_RAW_Data!T650),"",DaqBook_RAW_Data!T650)</f>
        <v/>
      </c>
      <c r="F660" s="167" t="str">
        <f>IF(ISBLANK(DaqBook_RAW_Data!U650),"",DaqBook_RAW_Data!U650)</f>
        <v/>
      </c>
      <c r="G660" s="167" t="str">
        <f>IF(ISBLANK(DaqBook_RAW_Data!V650),"",DaqBook_RAW_Data!V650)</f>
        <v/>
      </c>
      <c r="H660" s="167" t="str">
        <f>IF(ISBLANK(DaqBook_RAW_Data!W650),"",DaqBook_RAW_Data!W650)</f>
        <v/>
      </c>
      <c r="I660" s="167" t="str">
        <f>IF(ISBLANK(DaqBook_RAW_Data!X650),"",DaqBook_RAW_Data!X650)</f>
        <v/>
      </c>
      <c r="J660" s="167" t="str">
        <f>IF(ISBLANK(DaqBook_RAW_Data!Y650),"",DaqBook_RAW_Data!Y650)</f>
        <v/>
      </c>
      <c r="K660" s="167" t="str">
        <f>IF(ISBLANK(DaqBook_RAW_Data!Z650),"",DaqBook_RAW_Data!Z650)</f>
        <v/>
      </c>
      <c r="L660" s="167" t="str">
        <f>IF(ISBLANK(DaqBook_RAW_Data!AA650),"",DaqBook_RAW_Data!AA650)</f>
        <v/>
      </c>
      <c r="M660" s="167" t="str">
        <f>IF(ISBLANK(DaqBook_RAW_Data!AB650),"",DaqBook_RAW_Data!AB650)</f>
        <v/>
      </c>
      <c r="N660" s="167" t="str">
        <f>IF(ISBLANK(DaqBook_RAW_Data!AC650),"",DaqBook_RAW_Data!AC650)</f>
        <v/>
      </c>
      <c r="O660" s="167" t="str">
        <f>IF(ISBLANK(DaqBook_RAW_Data!AD650),"",DaqBook_RAW_Data!AD650)</f>
        <v/>
      </c>
      <c r="P660" s="167" t="str">
        <f>IF(ISBLANK(DaqBook_RAW_Data!AE650),"",DaqBook_RAW_Data!AE650)</f>
        <v/>
      </c>
    </row>
    <row r="661" spans="1:16" x14ac:dyDescent="0.2">
      <c r="A661" s="58" t="e">
        <f t="shared" si="10"/>
        <v>#VALUE!</v>
      </c>
      <c r="B661" s="144" t="str">
        <f>IF(ISBLANK(DaqBook_RAW_Data!Q651),IF(DaqBook_RAW_Data!A651="","",TIMEVALUE(DaqBook_RAW_Data!A651)),TIMEVALUE(DaqBook_RAW_Data!Q651))</f>
        <v/>
      </c>
      <c r="C661" s="167" t="str">
        <f>IF(ISBLANK(DaqBook_RAW_Data!R651),"",DaqBook_RAW_Data!R651)</f>
        <v/>
      </c>
      <c r="D661" s="167" t="str">
        <f>IF(ISBLANK(DaqBook_RAW_Data!S651),"",DaqBook_RAW_Data!S651)</f>
        <v/>
      </c>
      <c r="E661" s="167" t="str">
        <f>IF(ISBLANK(DaqBook_RAW_Data!T651),"",DaqBook_RAW_Data!T651)</f>
        <v/>
      </c>
      <c r="F661" s="167" t="str">
        <f>IF(ISBLANK(DaqBook_RAW_Data!U651),"",DaqBook_RAW_Data!U651)</f>
        <v/>
      </c>
      <c r="G661" s="167" t="str">
        <f>IF(ISBLANK(DaqBook_RAW_Data!V651),"",DaqBook_RAW_Data!V651)</f>
        <v/>
      </c>
      <c r="H661" s="167" t="str">
        <f>IF(ISBLANK(DaqBook_RAW_Data!W651),"",DaqBook_RAW_Data!W651)</f>
        <v/>
      </c>
      <c r="I661" s="167" t="str">
        <f>IF(ISBLANK(DaqBook_RAW_Data!X651),"",DaqBook_RAW_Data!X651)</f>
        <v/>
      </c>
      <c r="J661" s="167" t="str">
        <f>IF(ISBLANK(DaqBook_RAW_Data!Y651),"",DaqBook_RAW_Data!Y651)</f>
        <v/>
      </c>
      <c r="K661" s="167" t="str">
        <f>IF(ISBLANK(DaqBook_RAW_Data!Z651),"",DaqBook_RAW_Data!Z651)</f>
        <v/>
      </c>
      <c r="L661" s="167" t="str">
        <f>IF(ISBLANK(DaqBook_RAW_Data!AA651),"",DaqBook_RAW_Data!AA651)</f>
        <v/>
      </c>
      <c r="M661" s="167" t="str">
        <f>IF(ISBLANK(DaqBook_RAW_Data!AB651),"",DaqBook_RAW_Data!AB651)</f>
        <v/>
      </c>
      <c r="N661" s="167" t="str">
        <f>IF(ISBLANK(DaqBook_RAW_Data!AC651),"",DaqBook_RAW_Data!AC651)</f>
        <v/>
      </c>
      <c r="O661" s="167" t="str">
        <f>IF(ISBLANK(DaqBook_RAW_Data!AD651),"",DaqBook_RAW_Data!AD651)</f>
        <v/>
      </c>
      <c r="P661" s="167" t="str">
        <f>IF(ISBLANK(DaqBook_RAW_Data!AE651),"",DaqBook_RAW_Data!AE651)</f>
        <v/>
      </c>
    </row>
    <row r="662" spans="1:16" x14ac:dyDescent="0.2">
      <c r="A662" s="58" t="e">
        <f t="shared" si="10"/>
        <v>#VALUE!</v>
      </c>
      <c r="B662" s="144" t="str">
        <f>IF(ISBLANK(DaqBook_RAW_Data!Q652),IF(DaqBook_RAW_Data!A652="","",TIMEVALUE(DaqBook_RAW_Data!A652)),TIMEVALUE(DaqBook_RAW_Data!Q652))</f>
        <v/>
      </c>
      <c r="C662" s="167" t="str">
        <f>IF(ISBLANK(DaqBook_RAW_Data!R652),"",DaqBook_RAW_Data!R652)</f>
        <v/>
      </c>
      <c r="D662" s="167" t="str">
        <f>IF(ISBLANK(DaqBook_RAW_Data!S652),"",DaqBook_RAW_Data!S652)</f>
        <v/>
      </c>
      <c r="E662" s="167" t="str">
        <f>IF(ISBLANK(DaqBook_RAW_Data!T652),"",DaqBook_RAW_Data!T652)</f>
        <v/>
      </c>
      <c r="F662" s="167" t="str">
        <f>IF(ISBLANK(DaqBook_RAW_Data!U652),"",DaqBook_RAW_Data!U652)</f>
        <v/>
      </c>
      <c r="G662" s="167" t="str">
        <f>IF(ISBLANK(DaqBook_RAW_Data!V652),"",DaqBook_RAW_Data!V652)</f>
        <v/>
      </c>
      <c r="H662" s="167" t="str">
        <f>IF(ISBLANK(DaqBook_RAW_Data!W652),"",DaqBook_RAW_Data!W652)</f>
        <v/>
      </c>
      <c r="I662" s="167" t="str">
        <f>IF(ISBLANK(DaqBook_RAW_Data!X652),"",DaqBook_RAW_Data!X652)</f>
        <v/>
      </c>
      <c r="J662" s="167" t="str">
        <f>IF(ISBLANK(DaqBook_RAW_Data!Y652),"",DaqBook_RAW_Data!Y652)</f>
        <v/>
      </c>
      <c r="K662" s="167" t="str">
        <f>IF(ISBLANK(DaqBook_RAW_Data!Z652),"",DaqBook_RAW_Data!Z652)</f>
        <v/>
      </c>
      <c r="L662" s="167" t="str">
        <f>IF(ISBLANK(DaqBook_RAW_Data!AA652),"",DaqBook_RAW_Data!AA652)</f>
        <v/>
      </c>
      <c r="M662" s="167" t="str">
        <f>IF(ISBLANK(DaqBook_RAW_Data!AB652),"",DaqBook_RAW_Data!AB652)</f>
        <v/>
      </c>
      <c r="N662" s="167" t="str">
        <f>IF(ISBLANK(DaqBook_RAW_Data!AC652),"",DaqBook_RAW_Data!AC652)</f>
        <v/>
      </c>
      <c r="O662" s="167" t="str">
        <f>IF(ISBLANK(DaqBook_RAW_Data!AD652),"",DaqBook_RAW_Data!AD652)</f>
        <v/>
      </c>
      <c r="P662" s="167" t="str">
        <f>IF(ISBLANK(DaqBook_RAW_Data!AE652),"",DaqBook_RAW_Data!AE652)</f>
        <v/>
      </c>
    </row>
    <row r="663" spans="1:16" x14ac:dyDescent="0.2">
      <c r="A663" s="58" t="e">
        <f t="shared" si="10"/>
        <v>#VALUE!</v>
      </c>
      <c r="B663" s="144" t="str">
        <f>IF(ISBLANK(DaqBook_RAW_Data!Q653),IF(DaqBook_RAW_Data!A653="","",TIMEVALUE(DaqBook_RAW_Data!A653)),TIMEVALUE(DaqBook_RAW_Data!Q653))</f>
        <v/>
      </c>
      <c r="C663" s="167" t="str">
        <f>IF(ISBLANK(DaqBook_RAW_Data!R653),"",DaqBook_RAW_Data!R653)</f>
        <v/>
      </c>
      <c r="D663" s="167" t="str">
        <f>IF(ISBLANK(DaqBook_RAW_Data!S653),"",DaqBook_RAW_Data!S653)</f>
        <v/>
      </c>
      <c r="E663" s="167" t="str">
        <f>IF(ISBLANK(DaqBook_RAW_Data!T653),"",DaqBook_RAW_Data!T653)</f>
        <v/>
      </c>
      <c r="F663" s="167" t="str">
        <f>IF(ISBLANK(DaqBook_RAW_Data!U653),"",DaqBook_RAW_Data!U653)</f>
        <v/>
      </c>
      <c r="G663" s="167" t="str">
        <f>IF(ISBLANK(DaqBook_RAW_Data!V653),"",DaqBook_RAW_Data!V653)</f>
        <v/>
      </c>
      <c r="H663" s="167" t="str">
        <f>IF(ISBLANK(DaqBook_RAW_Data!W653),"",DaqBook_RAW_Data!W653)</f>
        <v/>
      </c>
      <c r="I663" s="167" t="str">
        <f>IF(ISBLANK(DaqBook_RAW_Data!X653),"",DaqBook_RAW_Data!X653)</f>
        <v/>
      </c>
      <c r="J663" s="167" t="str">
        <f>IF(ISBLANK(DaqBook_RAW_Data!Y653),"",DaqBook_RAW_Data!Y653)</f>
        <v/>
      </c>
      <c r="K663" s="167" t="str">
        <f>IF(ISBLANK(DaqBook_RAW_Data!Z653),"",DaqBook_RAW_Data!Z653)</f>
        <v/>
      </c>
      <c r="L663" s="167" t="str">
        <f>IF(ISBLANK(DaqBook_RAW_Data!AA653),"",DaqBook_RAW_Data!AA653)</f>
        <v/>
      </c>
      <c r="M663" s="167" t="str">
        <f>IF(ISBLANK(DaqBook_RAW_Data!AB653),"",DaqBook_RAW_Data!AB653)</f>
        <v/>
      </c>
      <c r="N663" s="167" t="str">
        <f>IF(ISBLANK(DaqBook_RAW_Data!AC653),"",DaqBook_RAW_Data!AC653)</f>
        <v/>
      </c>
      <c r="O663" s="167" t="str">
        <f>IF(ISBLANK(DaqBook_RAW_Data!AD653),"",DaqBook_RAW_Data!AD653)</f>
        <v/>
      </c>
      <c r="P663" s="167" t="str">
        <f>IF(ISBLANK(DaqBook_RAW_Data!AE653),"",DaqBook_RAW_Data!AE653)</f>
        <v/>
      </c>
    </row>
    <row r="664" spans="1:16" x14ac:dyDescent="0.2">
      <c r="A664" s="58" t="e">
        <f t="shared" si="10"/>
        <v>#VALUE!</v>
      </c>
      <c r="B664" s="144" t="str">
        <f>IF(ISBLANK(DaqBook_RAW_Data!Q654),IF(DaqBook_RAW_Data!A654="","",TIMEVALUE(DaqBook_RAW_Data!A654)),TIMEVALUE(DaqBook_RAW_Data!Q654))</f>
        <v/>
      </c>
      <c r="C664" s="167" t="str">
        <f>IF(ISBLANK(DaqBook_RAW_Data!R654),"",DaqBook_RAW_Data!R654)</f>
        <v/>
      </c>
      <c r="D664" s="167" t="str">
        <f>IF(ISBLANK(DaqBook_RAW_Data!S654),"",DaqBook_RAW_Data!S654)</f>
        <v/>
      </c>
      <c r="E664" s="167" t="str">
        <f>IF(ISBLANK(DaqBook_RAW_Data!T654),"",DaqBook_RAW_Data!T654)</f>
        <v/>
      </c>
      <c r="F664" s="167" t="str">
        <f>IF(ISBLANK(DaqBook_RAW_Data!U654),"",DaqBook_RAW_Data!U654)</f>
        <v/>
      </c>
      <c r="G664" s="167" t="str">
        <f>IF(ISBLANK(DaqBook_RAW_Data!V654),"",DaqBook_RAW_Data!V654)</f>
        <v/>
      </c>
      <c r="H664" s="167" t="str">
        <f>IF(ISBLANK(DaqBook_RAW_Data!W654),"",DaqBook_RAW_Data!W654)</f>
        <v/>
      </c>
      <c r="I664" s="167" t="str">
        <f>IF(ISBLANK(DaqBook_RAW_Data!X654),"",DaqBook_RAW_Data!X654)</f>
        <v/>
      </c>
      <c r="J664" s="167" t="str">
        <f>IF(ISBLANK(DaqBook_RAW_Data!Y654),"",DaqBook_RAW_Data!Y654)</f>
        <v/>
      </c>
      <c r="K664" s="167" t="str">
        <f>IF(ISBLANK(DaqBook_RAW_Data!Z654),"",DaqBook_RAW_Data!Z654)</f>
        <v/>
      </c>
      <c r="L664" s="167" t="str">
        <f>IF(ISBLANK(DaqBook_RAW_Data!AA654),"",DaqBook_RAW_Data!AA654)</f>
        <v/>
      </c>
      <c r="M664" s="167" t="str">
        <f>IF(ISBLANK(DaqBook_RAW_Data!AB654),"",DaqBook_RAW_Data!AB654)</f>
        <v/>
      </c>
      <c r="N664" s="167" t="str">
        <f>IF(ISBLANK(DaqBook_RAW_Data!AC654),"",DaqBook_RAW_Data!AC654)</f>
        <v/>
      </c>
      <c r="O664" s="167" t="str">
        <f>IF(ISBLANK(DaqBook_RAW_Data!AD654),"",DaqBook_RAW_Data!AD654)</f>
        <v/>
      </c>
      <c r="P664" s="167" t="str">
        <f>IF(ISBLANK(DaqBook_RAW_Data!AE654),"",DaqBook_RAW_Data!AE654)</f>
        <v/>
      </c>
    </row>
    <row r="665" spans="1:16" x14ac:dyDescent="0.2">
      <c r="A665" s="58" t="e">
        <f t="shared" si="10"/>
        <v>#VALUE!</v>
      </c>
      <c r="B665" s="144" t="str">
        <f>IF(ISBLANK(DaqBook_RAW_Data!Q655),IF(DaqBook_RAW_Data!A655="","",TIMEVALUE(DaqBook_RAW_Data!A655)),TIMEVALUE(DaqBook_RAW_Data!Q655))</f>
        <v/>
      </c>
      <c r="C665" s="167" t="str">
        <f>IF(ISBLANK(DaqBook_RAW_Data!R655),"",DaqBook_RAW_Data!R655)</f>
        <v/>
      </c>
      <c r="D665" s="167" t="str">
        <f>IF(ISBLANK(DaqBook_RAW_Data!S655),"",DaqBook_RAW_Data!S655)</f>
        <v/>
      </c>
      <c r="E665" s="167" t="str">
        <f>IF(ISBLANK(DaqBook_RAW_Data!T655),"",DaqBook_RAW_Data!T655)</f>
        <v/>
      </c>
      <c r="F665" s="167" t="str">
        <f>IF(ISBLANK(DaqBook_RAW_Data!U655),"",DaqBook_RAW_Data!U655)</f>
        <v/>
      </c>
      <c r="G665" s="167" t="str">
        <f>IF(ISBLANK(DaqBook_RAW_Data!V655),"",DaqBook_RAW_Data!V655)</f>
        <v/>
      </c>
      <c r="H665" s="167" t="str">
        <f>IF(ISBLANK(DaqBook_RAW_Data!W655),"",DaqBook_RAW_Data!W655)</f>
        <v/>
      </c>
      <c r="I665" s="167" t="str">
        <f>IF(ISBLANK(DaqBook_RAW_Data!X655),"",DaqBook_RAW_Data!X655)</f>
        <v/>
      </c>
      <c r="J665" s="167" t="str">
        <f>IF(ISBLANK(DaqBook_RAW_Data!Y655),"",DaqBook_RAW_Data!Y655)</f>
        <v/>
      </c>
      <c r="K665" s="167" t="str">
        <f>IF(ISBLANK(DaqBook_RAW_Data!Z655),"",DaqBook_RAW_Data!Z655)</f>
        <v/>
      </c>
      <c r="L665" s="167" t="str">
        <f>IF(ISBLANK(DaqBook_RAW_Data!AA655),"",DaqBook_RAW_Data!AA655)</f>
        <v/>
      </c>
      <c r="M665" s="167" t="str">
        <f>IF(ISBLANK(DaqBook_RAW_Data!AB655),"",DaqBook_RAW_Data!AB655)</f>
        <v/>
      </c>
      <c r="N665" s="167" t="str">
        <f>IF(ISBLANK(DaqBook_RAW_Data!AC655),"",DaqBook_RAW_Data!AC655)</f>
        <v/>
      </c>
      <c r="O665" s="167" t="str">
        <f>IF(ISBLANK(DaqBook_RAW_Data!AD655),"",DaqBook_RAW_Data!AD655)</f>
        <v/>
      </c>
      <c r="P665" s="167" t="str">
        <f>IF(ISBLANK(DaqBook_RAW_Data!AE655),"",DaqBook_RAW_Data!AE655)</f>
        <v/>
      </c>
    </row>
    <row r="666" spans="1:16" x14ac:dyDescent="0.2">
      <c r="A666" s="58" t="e">
        <f t="shared" si="10"/>
        <v>#VALUE!</v>
      </c>
      <c r="B666" s="144" t="str">
        <f>IF(ISBLANK(DaqBook_RAW_Data!Q656),IF(DaqBook_RAW_Data!A656="","",TIMEVALUE(DaqBook_RAW_Data!A656)),TIMEVALUE(DaqBook_RAW_Data!Q656))</f>
        <v/>
      </c>
      <c r="C666" s="167" t="str">
        <f>IF(ISBLANK(DaqBook_RAW_Data!R656),"",DaqBook_RAW_Data!R656)</f>
        <v/>
      </c>
      <c r="D666" s="167" t="str">
        <f>IF(ISBLANK(DaqBook_RAW_Data!S656),"",DaqBook_RAW_Data!S656)</f>
        <v/>
      </c>
      <c r="E666" s="167" t="str">
        <f>IF(ISBLANK(DaqBook_RAW_Data!T656),"",DaqBook_RAW_Data!T656)</f>
        <v/>
      </c>
      <c r="F666" s="167" t="str">
        <f>IF(ISBLANK(DaqBook_RAW_Data!U656),"",DaqBook_RAW_Data!U656)</f>
        <v/>
      </c>
      <c r="G666" s="167" t="str">
        <f>IF(ISBLANK(DaqBook_RAW_Data!V656),"",DaqBook_RAW_Data!V656)</f>
        <v/>
      </c>
      <c r="H666" s="167" t="str">
        <f>IF(ISBLANK(DaqBook_RAW_Data!W656),"",DaqBook_RAW_Data!W656)</f>
        <v/>
      </c>
      <c r="I666" s="167" t="str">
        <f>IF(ISBLANK(DaqBook_RAW_Data!X656),"",DaqBook_RAW_Data!X656)</f>
        <v/>
      </c>
      <c r="J666" s="167" t="str">
        <f>IF(ISBLANK(DaqBook_RAW_Data!Y656),"",DaqBook_RAW_Data!Y656)</f>
        <v/>
      </c>
      <c r="K666" s="167" t="str">
        <f>IF(ISBLANK(DaqBook_RAW_Data!Z656),"",DaqBook_RAW_Data!Z656)</f>
        <v/>
      </c>
      <c r="L666" s="167" t="str">
        <f>IF(ISBLANK(DaqBook_RAW_Data!AA656),"",DaqBook_RAW_Data!AA656)</f>
        <v/>
      </c>
      <c r="M666" s="167" t="str">
        <f>IF(ISBLANK(DaqBook_RAW_Data!AB656),"",DaqBook_RAW_Data!AB656)</f>
        <v/>
      </c>
      <c r="N666" s="167" t="str">
        <f>IF(ISBLANK(DaqBook_RAW_Data!AC656),"",DaqBook_RAW_Data!AC656)</f>
        <v/>
      </c>
      <c r="O666" s="167" t="str">
        <f>IF(ISBLANK(DaqBook_RAW_Data!AD656),"",DaqBook_RAW_Data!AD656)</f>
        <v/>
      </c>
      <c r="P666" s="167" t="str">
        <f>IF(ISBLANK(DaqBook_RAW_Data!AE656),"",DaqBook_RAW_Data!AE656)</f>
        <v/>
      </c>
    </row>
    <row r="667" spans="1:16" x14ac:dyDescent="0.2">
      <c r="A667" s="58" t="e">
        <f t="shared" si="10"/>
        <v>#VALUE!</v>
      </c>
      <c r="B667" s="144" t="str">
        <f>IF(ISBLANK(DaqBook_RAW_Data!Q657),IF(DaqBook_RAW_Data!A657="","",TIMEVALUE(DaqBook_RAW_Data!A657)),TIMEVALUE(DaqBook_RAW_Data!Q657))</f>
        <v/>
      </c>
      <c r="C667" s="167" t="str">
        <f>IF(ISBLANK(DaqBook_RAW_Data!R657),"",DaqBook_RAW_Data!R657)</f>
        <v/>
      </c>
      <c r="D667" s="167" t="str">
        <f>IF(ISBLANK(DaqBook_RAW_Data!S657),"",DaqBook_RAW_Data!S657)</f>
        <v/>
      </c>
      <c r="E667" s="167" t="str">
        <f>IF(ISBLANK(DaqBook_RAW_Data!T657),"",DaqBook_RAW_Data!T657)</f>
        <v/>
      </c>
      <c r="F667" s="167" t="str">
        <f>IF(ISBLANK(DaqBook_RAW_Data!U657),"",DaqBook_RAW_Data!U657)</f>
        <v/>
      </c>
      <c r="G667" s="167" t="str">
        <f>IF(ISBLANK(DaqBook_RAW_Data!V657),"",DaqBook_RAW_Data!V657)</f>
        <v/>
      </c>
      <c r="H667" s="167" t="str">
        <f>IF(ISBLANK(DaqBook_RAW_Data!W657),"",DaqBook_RAW_Data!W657)</f>
        <v/>
      </c>
      <c r="I667" s="167" t="str">
        <f>IF(ISBLANK(DaqBook_RAW_Data!X657),"",DaqBook_RAW_Data!X657)</f>
        <v/>
      </c>
      <c r="J667" s="167" t="str">
        <f>IF(ISBLANK(DaqBook_RAW_Data!Y657),"",DaqBook_RAW_Data!Y657)</f>
        <v/>
      </c>
      <c r="K667" s="167" t="str">
        <f>IF(ISBLANK(DaqBook_RAW_Data!Z657),"",DaqBook_RAW_Data!Z657)</f>
        <v/>
      </c>
      <c r="L667" s="167" t="str">
        <f>IF(ISBLANK(DaqBook_RAW_Data!AA657),"",DaqBook_RAW_Data!AA657)</f>
        <v/>
      </c>
      <c r="M667" s="167" t="str">
        <f>IF(ISBLANK(DaqBook_RAW_Data!AB657),"",DaqBook_RAW_Data!AB657)</f>
        <v/>
      </c>
      <c r="N667" s="167" t="str">
        <f>IF(ISBLANK(DaqBook_RAW_Data!AC657),"",DaqBook_RAW_Data!AC657)</f>
        <v/>
      </c>
      <c r="O667" s="167" t="str">
        <f>IF(ISBLANK(DaqBook_RAW_Data!AD657),"",DaqBook_RAW_Data!AD657)</f>
        <v/>
      </c>
      <c r="P667" s="167" t="str">
        <f>IF(ISBLANK(DaqBook_RAW_Data!AE657),"",DaqBook_RAW_Data!AE657)</f>
        <v/>
      </c>
    </row>
    <row r="668" spans="1:16" x14ac:dyDescent="0.2">
      <c r="A668" s="58" t="e">
        <f t="shared" si="10"/>
        <v>#VALUE!</v>
      </c>
      <c r="B668" s="144" t="str">
        <f>IF(ISBLANK(DaqBook_RAW_Data!Q658),IF(DaqBook_RAW_Data!A658="","",TIMEVALUE(DaqBook_RAW_Data!A658)),TIMEVALUE(DaqBook_RAW_Data!Q658))</f>
        <v/>
      </c>
      <c r="C668" s="167" t="str">
        <f>IF(ISBLANK(DaqBook_RAW_Data!R658),"",DaqBook_RAW_Data!R658)</f>
        <v/>
      </c>
      <c r="D668" s="167" t="str">
        <f>IF(ISBLANK(DaqBook_RAW_Data!S658),"",DaqBook_RAW_Data!S658)</f>
        <v/>
      </c>
      <c r="E668" s="167" t="str">
        <f>IF(ISBLANK(DaqBook_RAW_Data!T658),"",DaqBook_RAW_Data!T658)</f>
        <v/>
      </c>
      <c r="F668" s="167" t="str">
        <f>IF(ISBLANK(DaqBook_RAW_Data!U658),"",DaqBook_RAW_Data!U658)</f>
        <v/>
      </c>
      <c r="G668" s="167" t="str">
        <f>IF(ISBLANK(DaqBook_RAW_Data!V658),"",DaqBook_RAW_Data!V658)</f>
        <v/>
      </c>
      <c r="H668" s="167" t="str">
        <f>IF(ISBLANK(DaqBook_RAW_Data!W658),"",DaqBook_RAW_Data!W658)</f>
        <v/>
      </c>
      <c r="I668" s="167" t="str">
        <f>IF(ISBLANK(DaqBook_RAW_Data!X658),"",DaqBook_RAW_Data!X658)</f>
        <v/>
      </c>
      <c r="J668" s="167" t="str">
        <f>IF(ISBLANK(DaqBook_RAW_Data!Y658),"",DaqBook_RAW_Data!Y658)</f>
        <v/>
      </c>
      <c r="K668" s="167" t="str">
        <f>IF(ISBLANK(DaqBook_RAW_Data!Z658),"",DaqBook_RAW_Data!Z658)</f>
        <v/>
      </c>
      <c r="L668" s="167" t="str">
        <f>IF(ISBLANK(DaqBook_RAW_Data!AA658),"",DaqBook_RAW_Data!AA658)</f>
        <v/>
      </c>
      <c r="M668" s="167" t="str">
        <f>IF(ISBLANK(DaqBook_RAW_Data!AB658),"",DaqBook_RAW_Data!AB658)</f>
        <v/>
      </c>
      <c r="N668" s="167" t="str">
        <f>IF(ISBLANK(DaqBook_RAW_Data!AC658),"",DaqBook_RAW_Data!AC658)</f>
        <v/>
      </c>
      <c r="O668" s="167" t="str">
        <f>IF(ISBLANK(DaqBook_RAW_Data!AD658),"",DaqBook_RAW_Data!AD658)</f>
        <v/>
      </c>
      <c r="P668" s="167" t="str">
        <f>IF(ISBLANK(DaqBook_RAW_Data!AE658),"",DaqBook_RAW_Data!AE658)</f>
        <v/>
      </c>
    </row>
    <row r="669" spans="1:16" x14ac:dyDescent="0.2">
      <c r="A669" s="58" t="e">
        <f t="shared" si="10"/>
        <v>#VALUE!</v>
      </c>
      <c r="B669" s="144" t="str">
        <f>IF(ISBLANK(DaqBook_RAW_Data!Q659),IF(DaqBook_RAW_Data!A659="","",TIMEVALUE(DaqBook_RAW_Data!A659)),TIMEVALUE(DaqBook_RAW_Data!Q659))</f>
        <v/>
      </c>
      <c r="C669" s="167" t="str">
        <f>IF(ISBLANK(DaqBook_RAW_Data!R659),"",DaqBook_RAW_Data!R659)</f>
        <v/>
      </c>
      <c r="D669" s="167" t="str">
        <f>IF(ISBLANK(DaqBook_RAW_Data!S659),"",DaqBook_RAW_Data!S659)</f>
        <v/>
      </c>
      <c r="E669" s="167" t="str">
        <f>IF(ISBLANK(DaqBook_RAW_Data!T659),"",DaqBook_RAW_Data!T659)</f>
        <v/>
      </c>
      <c r="F669" s="167" t="str">
        <f>IF(ISBLANK(DaqBook_RAW_Data!U659),"",DaqBook_RAW_Data!U659)</f>
        <v/>
      </c>
      <c r="G669" s="167" t="str">
        <f>IF(ISBLANK(DaqBook_RAW_Data!V659),"",DaqBook_RAW_Data!V659)</f>
        <v/>
      </c>
      <c r="H669" s="167" t="str">
        <f>IF(ISBLANK(DaqBook_RAW_Data!W659),"",DaqBook_RAW_Data!W659)</f>
        <v/>
      </c>
      <c r="I669" s="167" t="str">
        <f>IF(ISBLANK(DaqBook_RAW_Data!X659),"",DaqBook_RAW_Data!X659)</f>
        <v/>
      </c>
      <c r="J669" s="167" t="str">
        <f>IF(ISBLANK(DaqBook_RAW_Data!Y659),"",DaqBook_RAW_Data!Y659)</f>
        <v/>
      </c>
      <c r="K669" s="167" t="str">
        <f>IF(ISBLANK(DaqBook_RAW_Data!Z659),"",DaqBook_RAW_Data!Z659)</f>
        <v/>
      </c>
      <c r="L669" s="167" t="str">
        <f>IF(ISBLANK(DaqBook_RAW_Data!AA659),"",DaqBook_RAW_Data!AA659)</f>
        <v/>
      </c>
      <c r="M669" s="167" t="str">
        <f>IF(ISBLANK(DaqBook_RAW_Data!AB659),"",DaqBook_RAW_Data!AB659)</f>
        <v/>
      </c>
      <c r="N669" s="167" t="str">
        <f>IF(ISBLANK(DaqBook_RAW_Data!AC659),"",DaqBook_RAW_Data!AC659)</f>
        <v/>
      </c>
      <c r="O669" s="167" t="str">
        <f>IF(ISBLANK(DaqBook_RAW_Data!AD659),"",DaqBook_RAW_Data!AD659)</f>
        <v/>
      </c>
      <c r="P669" s="167" t="str">
        <f>IF(ISBLANK(DaqBook_RAW_Data!AE659),"",DaqBook_RAW_Data!AE659)</f>
        <v/>
      </c>
    </row>
    <row r="670" spans="1:16" x14ac:dyDescent="0.2">
      <c r="A670" s="58" t="e">
        <f t="shared" si="10"/>
        <v>#VALUE!</v>
      </c>
      <c r="B670" s="144" t="str">
        <f>IF(ISBLANK(DaqBook_RAW_Data!Q660),IF(DaqBook_RAW_Data!A660="","",TIMEVALUE(DaqBook_RAW_Data!A660)),TIMEVALUE(DaqBook_RAW_Data!Q660))</f>
        <v/>
      </c>
      <c r="C670" s="167" t="str">
        <f>IF(ISBLANK(DaqBook_RAW_Data!R660),"",DaqBook_RAW_Data!R660)</f>
        <v/>
      </c>
      <c r="D670" s="167" t="str">
        <f>IF(ISBLANK(DaqBook_RAW_Data!S660),"",DaqBook_RAW_Data!S660)</f>
        <v/>
      </c>
      <c r="E670" s="167" t="str">
        <f>IF(ISBLANK(DaqBook_RAW_Data!T660),"",DaqBook_RAW_Data!T660)</f>
        <v/>
      </c>
      <c r="F670" s="167" t="str">
        <f>IF(ISBLANK(DaqBook_RAW_Data!U660),"",DaqBook_RAW_Data!U660)</f>
        <v/>
      </c>
      <c r="G670" s="167" t="str">
        <f>IF(ISBLANK(DaqBook_RAW_Data!V660),"",DaqBook_RAW_Data!V660)</f>
        <v/>
      </c>
      <c r="H670" s="167" t="str">
        <f>IF(ISBLANK(DaqBook_RAW_Data!W660),"",DaqBook_RAW_Data!W660)</f>
        <v/>
      </c>
      <c r="I670" s="167" t="str">
        <f>IF(ISBLANK(DaqBook_RAW_Data!X660),"",DaqBook_RAW_Data!X660)</f>
        <v/>
      </c>
      <c r="J670" s="167" t="str">
        <f>IF(ISBLANK(DaqBook_RAW_Data!Y660),"",DaqBook_RAW_Data!Y660)</f>
        <v/>
      </c>
      <c r="K670" s="167" t="str">
        <f>IF(ISBLANK(DaqBook_RAW_Data!Z660),"",DaqBook_RAW_Data!Z660)</f>
        <v/>
      </c>
      <c r="L670" s="167" t="str">
        <f>IF(ISBLANK(DaqBook_RAW_Data!AA660),"",DaqBook_RAW_Data!AA660)</f>
        <v/>
      </c>
      <c r="M670" s="167" t="str">
        <f>IF(ISBLANK(DaqBook_RAW_Data!AB660),"",DaqBook_RAW_Data!AB660)</f>
        <v/>
      </c>
      <c r="N670" s="167" t="str">
        <f>IF(ISBLANK(DaqBook_RAW_Data!AC660),"",DaqBook_RAW_Data!AC660)</f>
        <v/>
      </c>
      <c r="O670" s="167" t="str">
        <f>IF(ISBLANK(DaqBook_RAW_Data!AD660),"",DaqBook_RAW_Data!AD660)</f>
        <v/>
      </c>
      <c r="P670" s="167" t="str">
        <f>IF(ISBLANK(DaqBook_RAW_Data!AE660),"",DaqBook_RAW_Data!AE660)</f>
        <v/>
      </c>
    </row>
    <row r="671" spans="1:16" x14ac:dyDescent="0.2">
      <c r="A671" s="58" t="e">
        <f t="shared" si="10"/>
        <v>#VALUE!</v>
      </c>
      <c r="B671" s="144" t="str">
        <f>IF(ISBLANK(DaqBook_RAW_Data!Q661),IF(DaqBook_RAW_Data!A661="","",TIMEVALUE(DaqBook_RAW_Data!A661)),TIMEVALUE(DaqBook_RAW_Data!Q661))</f>
        <v/>
      </c>
      <c r="C671" s="167" t="str">
        <f>IF(ISBLANK(DaqBook_RAW_Data!R661),"",DaqBook_RAW_Data!R661)</f>
        <v/>
      </c>
      <c r="D671" s="167" t="str">
        <f>IF(ISBLANK(DaqBook_RAW_Data!S661),"",DaqBook_RAW_Data!S661)</f>
        <v/>
      </c>
      <c r="E671" s="167" t="str">
        <f>IF(ISBLANK(DaqBook_RAW_Data!T661),"",DaqBook_RAW_Data!T661)</f>
        <v/>
      </c>
      <c r="F671" s="167" t="str">
        <f>IF(ISBLANK(DaqBook_RAW_Data!U661),"",DaqBook_RAW_Data!U661)</f>
        <v/>
      </c>
      <c r="G671" s="167" t="str">
        <f>IF(ISBLANK(DaqBook_RAW_Data!V661),"",DaqBook_RAW_Data!V661)</f>
        <v/>
      </c>
      <c r="H671" s="167" t="str">
        <f>IF(ISBLANK(DaqBook_RAW_Data!W661),"",DaqBook_RAW_Data!W661)</f>
        <v/>
      </c>
      <c r="I671" s="167" t="str">
        <f>IF(ISBLANK(DaqBook_RAW_Data!X661),"",DaqBook_RAW_Data!X661)</f>
        <v/>
      </c>
      <c r="J671" s="167" t="str">
        <f>IF(ISBLANK(DaqBook_RAW_Data!Y661),"",DaqBook_RAW_Data!Y661)</f>
        <v/>
      </c>
      <c r="K671" s="167" t="str">
        <f>IF(ISBLANK(DaqBook_RAW_Data!Z661),"",DaqBook_RAW_Data!Z661)</f>
        <v/>
      </c>
      <c r="L671" s="167" t="str">
        <f>IF(ISBLANK(DaqBook_RAW_Data!AA661),"",DaqBook_RAW_Data!AA661)</f>
        <v/>
      </c>
      <c r="M671" s="167" t="str">
        <f>IF(ISBLANK(DaqBook_RAW_Data!AB661),"",DaqBook_RAW_Data!AB661)</f>
        <v/>
      </c>
      <c r="N671" s="167" t="str">
        <f>IF(ISBLANK(DaqBook_RAW_Data!AC661),"",DaqBook_RAW_Data!AC661)</f>
        <v/>
      </c>
      <c r="O671" s="167" t="str">
        <f>IF(ISBLANK(DaqBook_RAW_Data!AD661),"",DaqBook_RAW_Data!AD661)</f>
        <v/>
      </c>
      <c r="P671" s="167" t="str">
        <f>IF(ISBLANK(DaqBook_RAW_Data!AE661),"",DaqBook_RAW_Data!AE661)</f>
        <v/>
      </c>
    </row>
    <row r="672" spans="1:16" x14ac:dyDescent="0.2">
      <c r="A672" s="58" t="e">
        <f t="shared" si="10"/>
        <v>#VALUE!</v>
      </c>
      <c r="B672" s="144" t="str">
        <f>IF(ISBLANK(DaqBook_RAW_Data!Q662),IF(DaqBook_RAW_Data!A662="","",TIMEVALUE(DaqBook_RAW_Data!A662)),TIMEVALUE(DaqBook_RAW_Data!Q662))</f>
        <v/>
      </c>
      <c r="C672" s="167" t="str">
        <f>IF(ISBLANK(DaqBook_RAW_Data!R662),"",DaqBook_RAW_Data!R662)</f>
        <v/>
      </c>
      <c r="D672" s="167" t="str">
        <f>IF(ISBLANK(DaqBook_RAW_Data!S662),"",DaqBook_RAW_Data!S662)</f>
        <v/>
      </c>
      <c r="E672" s="167" t="str">
        <f>IF(ISBLANK(DaqBook_RAW_Data!T662),"",DaqBook_RAW_Data!T662)</f>
        <v/>
      </c>
      <c r="F672" s="167" t="str">
        <f>IF(ISBLANK(DaqBook_RAW_Data!U662),"",DaqBook_RAW_Data!U662)</f>
        <v/>
      </c>
      <c r="G672" s="167" t="str">
        <f>IF(ISBLANK(DaqBook_RAW_Data!V662),"",DaqBook_RAW_Data!V662)</f>
        <v/>
      </c>
      <c r="H672" s="167" t="str">
        <f>IF(ISBLANK(DaqBook_RAW_Data!W662),"",DaqBook_RAW_Data!W662)</f>
        <v/>
      </c>
      <c r="I672" s="167" t="str">
        <f>IF(ISBLANK(DaqBook_RAW_Data!X662),"",DaqBook_RAW_Data!X662)</f>
        <v/>
      </c>
      <c r="J672" s="167" t="str">
        <f>IF(ISBLANK(DaqBook_RAW_Data!Y662),"",DaqBook_RAW_Data!Y662)</f>
        <v/>
      </c>
      <c r="K672" s="167" t="str">
        <f>IF(ISBLANK(DaqBook_RAW_Data!Z662),"",DaqBook_RAW_Data!Z662)</f>
        <v/>
      </c>
      <c r="L672" s="167" t="str">
        <f>IF(ISBLANK(DaqBook_RAW_Data!AA662),"",DaqBook_RAW_Data!AA662)</f>
        <v/>
      </c>
      <c r="M672" s="167" t="str">
        <f>IF(ISBLANK(DaqBook_RAW_Data!AB662),"",DaqBook_RAW_Data!AB662)</f>
        <v/>
      </c>
      <c r="N672" s="167" t="str">
        <f>IF(ISBLANK(DaqBook_RAW_Data!AC662),"",DaqBook_RAW_Data!AC662)</f>
        <v/>
      </c>
      <c r="O672" s="167" t="str">
        <f>IF(ISBLANK(DaqBook_RAW_Data!AD662),"",DaqBook_RAW_Data!AD662)</f>
        <v/>
      </c>
      <c r="P672" s="167" t="str">
        <f>IF(ISBLANK(DaqBook_RAW_Data!AE662),"",DaqBook_RAW_Data!AE662)</f>
        <v/>
      </c>
    </row>
    <row r="673" spans="1:16" x14ac:dyDescent="0.2">
      <c r="A673" s="58" t="e">
        <f t="shared" si="10"/>
        <v>#VALUE!</v>
      </c>
      <c r="B673" s="144" t="str">
        <f>IF(ISBLANK(DaqBook_RAW_Data!Q663),IF(DaqBook_RAW_Data!A663="","",TIMEVALUE(DaqBook_RAW_Data!A663)),TIMEVALUE(DaqBook_RAW_Data!Q663))</f>
        <v/>
      </c>
      <c r="C673" s="167" t="str">
        <f>IF(ISBLANK(DaqBook_RAW_Data!R663),"",DaqBook_RAW_Data!R663)</f>
        <v/>
      </c>
      <c r="D673" s="167" t="str">
        <f>IF(ISBLANK(DaqBook_RAW_Data!S663),"",DaqBook_RAW_Data!S663)</f>
        <v/>
      </c>
      <c r="E673" s="167" t="str">
        <f>IF(ISBLANK(DaqBook_RAW_Data!T663),"",DaqBook_RAW_Data!T663)</f>
        <v/>
      </c>
      <c r="F673" s="167" t="str">
        <f>IF(ISBLANK(DaqBook_RAW_Data!U663),"",DaqBook_RAW_Data!U663)</f>
        <v/>
      </c>
      <c r="G673" s="167" t="str">
        <f>IF(ISBLANK(DaqBook_RAW_Data!V663),"",DaqBook_RAW_Data!V663)</f>
        <v/>
      </c>
      <c r="H673" s="167" t="str">
        <f>IF(ISBLANK(DaqBook_RAW_Data!W663),"",DaqBook_RAW_Data!W663)</f>
        <v/>
      </c>
      <c r="I673" s="167" t="str">
        <f>IF(ISBLANK(DaqBook_RAW_Data!X663),"",DaqBook_RAW_Data!X663)</f>
        <v/>
      </c>
      <c r="J673" s="167" t="str">
        <f>IF(ISBLANK(DaqBook_RAW_Data!Y663),"",DaqBook_RAW_Data!Y663)</f>
        <v/>
      </c>
      <c r="K673" s="167" t="str">
        <f>IF(ISBLANK(DaqBook_RAW_Data!Z663),"",DaqBook_RAW_Data!Z663)</f>
        <v/>
      </c>
      <c r="L673" s="167" t="str">
        <f>IF(ISBLANK(DaqBook_RAW_Data!AA663),"",DaqBook_RAW_Data!AA663)</f>
        <v/>
      </c>
      <c r="M673" s="167" t="str">
        <f>IF(ISBLANK(DaqBook_RAW_Data!AB663),"",DaqBook_RAW_Data!AB663)</f>
        <v/>
      </c>
      <c r="N673" s="167" t="str">
        <f>IF(ISBLANK(DaqBook_RAW_Data!AC663),"",DaqBook_RAW_Data!AC663)</f>
        <v/>
      </c>
      <c r="O673" s="167" t="str">
        <f>IF(ISBLANK(DaqBook_RAW_Data!AD663),"",DaqBook_RAW_Data!AD663)</f>
        <v/>
      </c>
      <c r="P673" s="167" t="str">
        <f>IF(ISBLANK(DaqBook_RAW_Data!AE663),"",DaqBook_RAW_Data!AE663)</f>
        <v/>
      </c>
    </row>
    <row r="674" spans="1:16" x14ac:dyDescent="0.2">
      <c r="A674" s="58" t="e">
        <f t="shared" si="10"/>
        <v>#VALUE!</v>
      </c>
      <c r="B674" s="144" t="str">
        <f>IF(ISBLANK(DaqBook_RAW_Data!Q664),IF(DaqBook_RAW_Data!A664="","",TIMEVALUE(DaqBook_RAW_Data!A664)),TIMEVALUE(DaqBook_RAW_Data!Q664))</f>
        <v/>
      </c>
      <c r="C674" s="167" t="str">
        <f>IF(ISBLANK(DaqBook_RAW_Data!R664),"",DaqBook_RAW_Data!R664)</f>
        <v/>
      </c>
      <c r="D674" s="167" t="str">
        <f>IF(ISBLANK(DaqBook_RAW_Data!S664),"",DaqBook_RAW_Data!S664)</f>
        <v/>
      </c>
      <c r="E674" s="167" t="str">
        <f>IF(ISBLANK(DaqBook_RAW_Data!T664),"",DaqBook_RAW_Data!T664)</f>
        <v/>
      </c>
      <c r="F674" s="167" t="str">
        <f>IF(ISBLANK(DaqBook_RAW_Data!U664),"",DaqBook_RAW_Data!U664)</f>
        <v/>
      </c>
      <c r="G674" s="167" t="str">
        <f>IF(ISBLANK(DaqBook_RAW_Data!V664),"",DaqBook_RAW_Data!V664)</f>
        <v/>
      </c>
      <c r="H674" s="167" t="str">
        <f>IF(ISBLANK(DaqBook_RAW_Data!W664),"",DaqBook_RAW_Data!W664)</f>
        <v/>
      </c>
      <c r="I674" s="167" t="str">
        <f>IF(ISBLANK(DaqBook_RAW_Data!X664),"",DaqBook_RAW_Data!X664)</f>
        <v/>
      </c>
      <c r="J674" s="167" t="str">
        <f>IF(ISBLANK(DaqBook_RAW_Data!Y664),"",DaqBook_RAW_Data!Y664)</f>
        <v/>
      </c>
      <c r="K674" s="167" t="str">
        <f>IF(ISBLANK(DaqBook_RAW_Data!Z664),"",DaqBook_RAW_Data!Z664)</f>
        <v/>
      </c>
      <c r="L674" s="167" t="str">
        <f>IF(ISBLANK(DaqBook_RAW_Data!AA664),"",DaqBook_RAW_Data!AA664)</f>
        <v/>
      </c>
      <c r="M674" s="167" t="str">
        <f>IF(ISBLANK(DaqBook_RAW_Data!AB664),"",DaqBook_RAW_Data!AB664)</f>
        <v/>
      </c>
      <c r="N674" s="167" t="str">
        <f>IF(ISBLANK(DaqBook_RAW_Data!AC664),"",DaqBook_RAW_Data!AC664)</f>
        <v/>
      </c>
      <c r="O674" s="167" t="str">
        <f>IF(ISBLANK(DaqBook_RAW_Data!AD664),"",DaqBook_RAW_Data!AD664)</f>
        <v/>
      </c>
      <c r="P674" s="167" t="str">
        <f>IF(ISBLANK(DaqBook_RAW_Data!AE664),"",DaqBook_RAW_Data!AE664)</f>
        <v/>
      </c>
    </row>
    <row r="675" spans="1:16" x14ac:dyDescent="0.2">
      <c r="A675" s="58" t="e">
        <f t="shared" si="10"/>
        <v>#VALUE!</v>
      </c>
      <c r="B675" s="144" t="str">
        <f>IF(ISBLANK(DaqBook_RAW_Data!Q665),IF(DaqBook_RAW_Data!A665="","",TIMEVALUE(DaqBook_RAW_Data!A665)),TIMEVALUE(DaqBook_RAW_Data!Q665))</f>
        <v/>
      </c>
      <c r="C675" s="167" t="str">
        <f>IF(ISBLANK(DaqBook_RAW_Data!R665),"",DaqBook_RAW_Data!R665)</f>
        <v/>
      </c>
      <c r="D675" s="167" t="str">
        <f>IF(ISBLANK(DaqBook_RAW_Data!S665),"",DaqBook_RAW_Data!S665)</f>
        <v/>
      </c>
      <c r="E675" s="167" t="str">
        <f>IF(ISBLANK(DaqBook_RAW_Data!T665),"",DaqBook_RAW_Data!T665)</f>
        <v/>
      </c>
      <c r="F675" s="167" t="str">
        <f>IF(ISBLANK(DaqBook_RAW_Data!U665),"",DaqBook_RAW_Data!U665)</f>
        <v/>
      </c>
      <c r="G675" s="167" t="str">
        <f>IF(ISBLANK(DaqBook_RAW_Data!V665),"",DaqBook_RAW_Data!V665)</f>
        <v/>
      </c>
      <c r="H675" s="167" t="str">
        <f>IF(ISBLANK(DaqBook_RAW_Data!W665),"",DaqBook_RAW_Data!W665)</f>
        <v/>
      </c>
      <c r="I675" s="167" t="str">
        <f>IF(ISBLANK(DaqBook_RAW_Data!X665),"",DaqBook_RAW_Data!X665)</f>
        <v/>
      </c>
      <c r="J675" s="167" t="str">
        <f>IF(ISBLANK(DaqBook_RAW_Data!Y665),"",DaqBook_RAW_Data!Y665)</f>
        <v/>
      </c>
      <c r="K675" s="167" t="str">
        <f>IF(ISBLANK(DaqBook_RAW_Data!Z665),"",DaqBook_RAW_Data!Z665)</f>
        <v/>
      </c>
      <c r="L675" s="167" t="str">
        <f>IF(ISBLANK(DaqBook_RAW_Data!AA665),"",DaqBook_RAW_Data!AA665)</f>
        <v/>
      </c>
      <c r="M675" s="167" t="str">
        <f>IF(ISBLANK(DaqBook_RAW_Data!AB665),"",DaqBook_RAW_Data!AB665)</f>
        <v/>
      </c>
      <c r="N675" s="167" t="str">
        <f>IF(ISBLANK(DaqBook_RAW_Data!AC665),"",DaqBook_RAW_Data!AC665)</f>
        <v/>
      </c>
      <c r="O675" s="167" t="str">
        <f>IF(ISBLANK(DaqBook_RAW_Data!AD665),"",DaqBook_RAW_Data!AD665)</f>
        <v/>
      </c>
      <c r="P675" s="167" t="str">
        <f>IF(ISBLANK(DaqBook_RAW_Data!AE665),"",DaqBook_RAW_Data!AE665)</f>
        <v/>
      </c>
    </row>
    <row r="676" spans="1:16" x14ac:dyDescent="0.2">
      <c r="A676" s="58" t="e">
        <f t="shared" si="10"/>
        <v>#VALUE!</v>
      </c>
      <c r="B676" s="144" t="str">
        <f>IF(ISBLANK(DaqBook_RAW_Data!Q666),IF(DaqBook_RAW_Data!A666="","",TIMEVALUE(DaqBook_RAW_Data!A666)),TIMEVALUE(DaqBook_RAW_Data!Q666))</f>
        <v/>
      </c>
      <c r="C676" s="167" t="str">
        <f>IF(ISBLANK(DaqBook_RAW_Data!R666),"",DaqBook_RAW_Data!R666)</f>
        <v/>
      </c>
      <c r="D676" s="167" t="str">
        <f>IF(ISBLANK(DaqBook_RAW_Data!S666),"",DaqBook_RAW_Data!S666)</f>
        <v/>
      </c>
      <c r="E676" s="167" t="str">
        <f>IF(ISBLANK(DaqBook_RAW_Data!T666),"",DaqBook_RAW_Data!T666)</f>
        <v/>
      </c>
      <c r="F676" s="167" t="str">
        <f>IF(ISBLANK(DaqBook_RAW_Data!U666),"",DaqBook_RAW_Data!U666)</f>
        <v/>
      </c>
      <c r="G676" s="167" t="str">
        <f>IF(ISBLANK(DaqBook_RAW_Data!V666),"",DaqBook_RAW_Data!V666)</f>
        <v/>
      </c>
      <c r="H676" s="167" t="str">
        <f>IF(ISBLANK(DaqBook_RAW_Data!W666),"",DaqBook_RAW_Data!W666)</f>
        <v/>
      </c>
      <c r="I676" s="167" t="str">
        <f>IF(ISBLANK(DaqBook_RAW_Data!X666),"",DaqBook_RAW_Data!X666)</f>
        <v/>
      </c>
      <c r="J676" s="167" t="str">
        <f>IF(ISBLANK(DaqBook_RAW_Data!Y666),"",DaqBook_RAW_Data!Y666)</f>
        <v/>
      </c>
      <c r="K676" s="167" t="str">
        <f>IF(ISBLANK(DaqBook_RAW_Data!Z666),"",DaqBook_RAW_Data!Z666)</f>
        <v/>
      </c>
      <c r="L676" s="167" t="str">
        <f>IF(ISBLANK(DaqBook_RAW_Data!AA666),"",DaqBook_RAW_Data!AA666)</f>
        <v/>
      </c>
      <c r="M676" s="167" t="str">
        <f>IF(ISBLANK(DaqBook_RAW_Data!AB666),"",DaqBook_RAW_Data!AB666)</f>
        <v/>
      </c>
      <c r="N676" s="167" t="str">
        <f>IF(ISBLANK(DaqBook_RAW_Data!AC666),"",DaqBook_RAW_Data!AC666)</f>
        <v/>
      </c>
      <c r="O676" s="167" t="str">
        <f>IF(ISBLANK(DaqBook_RAW_Data!AD666),"",DaqBook_RAW_Data!AD666)</f>
        <v/>
      </c>
      <c r="P676" s="167" t="str">
        <f>IF(ISBLANK(DaqBook_RAW_Data!AE666),"",DaqBook_RAW_Data!AE666)</f>
        <v/>
      </c>
    </row>
    <row r="677" spans="1:16" x14ac:dyDescent="0.2">
      <c r="A677" s="58" t="e">
        <f t="shared" si="10"/>
        <v>#VALUE!</v>
      </c>
      <c r="B677" s="144" t="str">
        <f>IF(ISBLANK(DaqBook_RAW_Data!Q667),IF(DaqBook_RAW_Data!A667="","",TIMEVALUE(DaqBook_RAW_Data!A667)),TIMEVALUE(DaqBook_RAW_Data!Q667))</f>
        <v/>
      </c>
      <c r="C677" s="167" t="str">
        <f>IF(ISBLANK(DaqBook_RAW_Data!R667),"",DaqBook_RAW_Data!R667)</f>
        <v/>
      </c>
      <c r="D677" s="167" t="str">
        <f>IF(ISBLANK(DaqBook_RAW_Data!S667),"",DaqBook_RAW_Data!S667)</f>
        <v/>
      </c>
      <c r="E677" s="167" t="str">
        <f>IF(ISBLANK(DaqBook_RAW_Data!T667),"",DaqBook_RAW_Data!T667)</f>
        <v/>
      </c>
      <c r="F677" s="167" t="str">
        <f>IF(ISBLANK(DaqBook_RAW_Data!U667),"",DaqBook_RAW_Data!U667)</f>
        <v/>
      </c>
      <c r="G677" s="167" t="str">
        <f>IF(ISBLANK(DaqBook_RAW_Data!V667),"",DaqBook_RAW_Data!V667)</f>
        <v/>
      </c>
      <c r="H677" s="167" t="str">
        <f>IF(ISBLANK(DaqBook_RAW_Data!W667),"",DaqBook_RAW_Data!W667)</f>
        <v/>
      </c>
      <c r="I677" s="167" t="str">
        <f>IF(ISBLANK(DaqBook_RAW_Data!X667),"",DaqBook_RAW_Data!X667)</f>
        <v/>
      </c>
      <c r="J677" s="167" t="str">
        <f>IF(ISBLANK(DaqBook_RAW_Data!Y667),"",DaqBook_RAW_Data!Y667)</f>
        <v/>
      </c>
      <c r="K677" s="167" t="str">
        <f>IF(ISBLANK(DaqBook_RAW_Data!Z667),"",DaqBook_RAW_Data!Z667)</f>
        <v/>
      </c>
      <c r="L677" s="167" t="str">
        <f>IF(ISBLANK(DaqBook_RAW_Data!AA667),"",DaqBook_RAW_Data!AA667)</f>
        <v/>
      </c>
      <c r="M677" s="167" t="str">
        <f>IF(ISBLANK(DaqBook_RAW_Data!AB667),"",DaqBook_RAW_Data!AB667)</f>
        <v/>
      </c>
      <c r="N677" s="167" t="str">
        <f>IF(ISBLANK(DaqBook_RAW_Data!AC667),"",DaqBook_RAW_Data!AC667)</f>
        <v/>
      </c>
      <c r="O677" s="167" t="str">
        <f>IF(ISBLANK(DaqBook_RAW_Data!AD667),"",DaqBook_RAW_Data!AD667)</f>
        <v/>
      </c>
      <c r="P677" s="167" t="str">
        <f>IF(ISBLANK(DaqBook_RAW_Data!AE667),"",DaqBook_RAW_Data!AE667)</f>
        <v/>
      </c>
    </row>
    <row r="678" spans="1:16" x14ac:dyDescent="0.2">
      <c r="A678" s="58" t="e">
        <f t="shared" si="10"/>
        <v>#VALUE!</v>
      </c>
      <c r="B678" s="144" t="str">
        <f>IF(ISBLANK(DaqBook_RAW_Data!Q668),IF(DaqBook_RAW_Data!A668="","",TIMEVALUE(DaqBook_RAW_Data!A668)),TIMEVALUE(DaqBook_RAW_Data!Q668))</f>
        <v/>
      </c>
      <c r="C678" s="167" t="str">
        <f>IF(ISBLANK(DaqBook_RAW_Data!R668),"",DaqBook_RAW_Data!R668)</f>
        <v/>
      </c>
      <c r="D678" s="167" t="str">
        <f>IF(ISBLANK(DaqBook_RAW_Data!S668),"",DaqBook_RAW_Data!S668)</f>
        <v/>
      </c>
      <c r="E678" s="167" t="str">
        <f>IF(ISBLANK(DaqBook_RAW_Data!T668),"",DaqBook_RAW_Data!T668)</f>
        <v/>
      </c>
      <c r="F678" s="167" t="str">
        <f>IF(ISBLANK(DaqBook_RAW_Data!U668),"",DaqBook_RAW_Data!U668)</f>
        <v/>
      </c>
      <c r="G678" s="167" t="str">
        <f>IF(ISBLANK(DaqBook_RAW_Data!V668),"",DaqBook_RAW_Data!V668)</f>
        <v/>
      </c>
      <c r="H678" s="167" t="str">
        <f>IF(ISBLANK(DaqBook_RAW_Data!W668),"",DaqBook_RAW_Data!W668)</f>
        <v/>
      </c>
      <c r="I678" s="167" t="str">
        <f>IF(ISBLANK(DaqBook_RAW_Data!X668),"",DaqBook_RAW_Data!X668)</f>
        <v/>
      </c>
      <c r="J678" s="167" t="str">
        <f>IF(ISBLANK(DaqBook_RAW_Data!Y668),"",DaqBook_RAW_Data!Y668)</f>
        <v/>
      </c>
      <c r="K678" s="167" t="str">
        <f>IF(ISBLANK(DaqBook_RAW_Data!Z668),"",DaqBook_RAW_Data!Z668)</f>
        <v/>
      </c>
      <c r="L678" s="167" t="str">
        <f>IF(ISBLANK(DaqBook_RAW_Data!AA668),"",DaqBook_RAW_Data!AA668)</f>
        <v/>
      </c>
      <c r="M678" s="167" t="str">
        <f>IF(ISBLANK(DaqBook_RAW_Data!AB668),"",DaqBook_RAW_Data!AB668)</f>
        <v/>
      </c>
      <c r="N678" s="167" t="str">
        <f>IF(ISBLANK(DaqBook_RAW_Data!AC668),"",DaqBook_RAW_Data!AC668)</f>
        <v/>
      </c>
      <c r="O678" s="167" t="str">
        <f>IF(ISBLANK(DaqBook_RAW_Data!AD668),"",DaqBook_RAW_Data!AD668)</f>
        <v/>
      </c>
      <c r="P678" s="167" t="str">
        <f>IF(ISBLANK(DaqBook_RAW_Data!AE668),"",DaqBook_RAW_Data!AE668)</f>
        <v/>
      </c>
    </row>
    <row r="679" spans="1:16" x14ac:dyDescent="0.2">
      <c r="A679" s="58" t="e">
        <f t="shared" si="10"/>
        <v>#VALUE!</v>
      </c>
      <c r="B679" s="144" t="str">
        <f>IF(ISBLANK(DaqBook_RAW_Data!Q669),IF(DaqBook_RAW_Data!A669="","",TIMEVALUE(DaqBook_RAW_Data!A669)),TIMEVALUE(DaqBook_RAW_Data!Q669))</f>
        <v/>
      </c>
      <c r="C679" s="167" t="str">
        <f>IF(ISBLANK(DaqBook_RAW_Data!R669),"",DaqBook_RAW_Data!R669)</f>
        <v/>
      </c>
      <c r="D679" s="167" t="str">
        <f>IF(ISBLANK(DaqBook_RAW_Data!S669),"",DaqBook_RAW_Data!S669)</f>
        <v/>
      </c>
      <c r="E679" s="167" t="str">
        <f>IF(ISBLANK(DaqBook_RAW_Data!T669),"",DaqBook_RAW_Data!T669)</f>
        <v/>
      </c>
      <c r="F679" s="167" t="str">
        <f>IF(ISBLANK(DaqBook_RAW_Data!U669),"",DaqBook_RAW_Data!U669)</f>
        <v/>
      </c>
      <c r="G679" s="167" t="str">
        <f>IF(ISBLANK(DaqBook_RAW_Data!V669),"",DaqBook_RAW_Data!V669)</f>
        <v/>
      </c>
      <c r="H679" s="167" t="str">
        <f>IF(ISBLANK(DaqBook_RAW_Data!W669),"",DaqBook_RAW_Data!W669)</f>
        <v/>
      </c>
      <c r="I679" s="167" t="str">
        <f>IF(ISBLANK(DaqBook_RAW_Data!X669),"",DaqBook_RAW_Data!X669)</f>
        <v/>
      </c>
      <c r="J679" s="167" t="str">
        <f>IF(ISBLANK(DaqBook_RAW_Data!Y669),"",DaqBook_RAW_Data!Y669)</f>
        <v/>
      </c>
      <c r="K679" s="167" t="str">
        <f>IF(ISBLANK(DaqBook_RAW_Data!Z669),"",DaqBook_RAW_Data!Z669)</f>
        <v/>
      </c>
      <c r="L679" s="167" t="str">
        <f>IF(ISBLANK(DaqBook_RAW_Data!AA669),"",DaqBook_RAW_Data!AA669)</f>
        <v/>
      </c>
      <c r="M679" s="167" t="str">
        <f>IF(ISBLANK(DaqBook_RAW_Data!AB669),"",DaqBook_RAW_Data!AB669)</f>
        <v/>
      </c>
      <c r="N679" s="167" t="str">
        <f>IF(ISBLANK(DaqBook_RAW_Data!AC669),"",DaqBook_RAW_Data!AC669)</f>
        <v/>
      </c>
      <c r="O679" s="167" t="str">
        <f>IF(ISBLANK(DaqBook_RAW_Data!AD669),"",DaqBook_RAW_Data!AD669)</f>
        <v/>
      </c>
      <c r="P679" s="167" t="str">
        <f>IF(ISBLANK(DaqBook_RAW_Data!AE669),"",DaqBook_RAW_Data!AE669)</f>
        <v/>
      </c>
    </row>
    <row r="680" spans="1:16" x14ac:dyDescent="0.2">
      <c r="A680" s="58" t="e">
        <f t="shared" si="10"/>
        <v>#VALUE!</v>
      </c>
      <c r="B680" s="144" t="str">
        <f>IF(ISBLANK(DaqBook_RAW_Data!Q670),IF(DaqBook_RAW_Data!A670="","",TIMEVALUE(DaqBook_RAW_Data!A670)),TIMEVALUE(DaqBook_RAW_Data!Q670))</f>
        <v/>
      </c>
      <c r="C680" s="167" t="str">
        <f>IF(ISBLANK(DaqBook_RAW_Data!R670),"",DaqBook_RAW_Data!R670)</f>
        <v/>
      </c>
      <c r="D680" s="167" t="str">
        <f>IF(ISBLANK(DaqBook_RAW_Data!S670),"",DaqBook_RAW_Data!S670)</f>
        <v/>
      </c>
      <c r="E680" s="167" t="str">
        <f>IF(ISBLANK(DaqBook_RAW_Data!T670),"",DaqBook_RAW_Data!T670)</f>
        <v/>
      </c>
      <c r="F680" s="167" t="str">
        <f>IF(ISBLANK(DaqBook_RAW_Data!U670),"",DaqBook_RAW_Data!U670)</f>
        <v/>
      </c>
      <c r="G680" s="167" t="str">
        <f>IF(ISBLANK(DaqBook_RAW_Data!V670),"",DaqBook_RAW_Data!V670)</f>
        <v/>
      </c>
      <c r="H680" s="167" t="str">
        <f>IF(ISBLANK(DaqBook_RAW_Data!W670),"",DaqBook_RAW_Data!W670)</f>
        <v/>
      </c>
      <c r="I680" s="167" t="str">
        <f>IF(ISBLANK(DaqBook_RAW_Data!X670),"",DaqBook_RAW_Data!X670)</f>
        <v/>
      </c>
      <c r="J680" s="167" t="str">
        <f>IF(ISBLANK(DaqBook_RAW_Data!Y670),"",DaqBook_RAW_Data!Y670)</f>
        <v/>
      </c>
      <c r="K680" s="167" t="str">
        <f>IF(ISBLANK(DaqBook_RAW_Data!Z670),"",DaqBook_RAW_Data!Z670)</f>
        <v/>
      </c>
      <c r="L680" s="167" t="str">
        <f>IF(ISBLANK(DaqBook_RAW_Data!AA670),"",DaqBook_RAW_Data!AA670)</f>
        <v/>
      </c>
      <c r="M680" s="167" t="str">
        <f>IF(ISBLANK(DaqBook_RAW_Data!AB670),"",DaqBook_RAW_Data!AB670)</f>
        <v/>
      </c>
      <c r="N680" s="167" t="str">
        <f>IF(ISBLANK(DaqBook_RAW_Data!AC670),"",DaqBook_RAW_Data!AC670)</f>
        <v/>
      </c>
      <c r="O680" s="167" t="str">
        <f>IF(ISBLANK(DaqBook_RAW_Data!AD670),"",DaqBook_RAW_Data!AD670)</f>
        <v/>
      </c>
      <c r="P680" s="167" t="str">
        <f>IF(ISBLANK(DaqBook_RAW_Data!AE670),"",DaqBook_RAW_Data!AE670)</f>
        <v/>
      </c>
    </row>
    <row r="681" spans="1:16" x14ac:dyDescent="0.2">
      <c r="A681" s="58" t="e">
        <f t="shared" si="10"/>
        <v>#VALUE!</v>
      </c>
      <c r="B681" s="144" t="str">
        <f>IF(ISBLANK(DaqBook_RAW_Data!Q671),IF(DaqBook_RAW_Data!A671="","",TIMEVALUE(DaqBook_RAW_Data!A671)),TIMEVALUE(DaqBook_RAW_Data!Q671))</f>
        <v/>
      </c>
      <c r="C681" s="167" t="str">
        <f>IF(ISBLANK(DaqBook_RAW_Data!R671),"",DaqBook_RAW_Data!R671)</f>
        <v/>
      </c>
      <c r="D681" s="167" t="str">
        <f>IF(ISBLANK(DaqBook_RAW_Data!S671),"",DaqBook_RAW_Data!S671)</f>
        <v/>
      </c>
      <c r="E681" s="167" t="str">
        <f>IF(ISBLANK(DaqBook_RAW_Data!T671),"",DaqBook_RAW_Data!T671)</f>
        <v/>
      </c>
      <c r="F681" s="167" t="str">
        <f>IF(ISBLANK(DaqBook_RAW_Data!U671),"",DaqBook_RAW_Data!U671)</f>
        <v/>
      </c>
      <c r="G681" s="167" t="str">
        <f>IF(ISBLANK(DaqBook_RAW_Data!V671),"",DaqBook_RAW_Data!V671)</f>
        <v/>
      </c>
      <c r="H681" s="167" t="str">
        <f>IF(ISBLANK(DaqBook_RAW_Data!W671),"",DaqBook_RAW_Data!W671)</f>
        <v/>
      </c>
      <c r="I681" s="167" t="str">
        <f>IF(ISBLANK(DaqBook_RAW_Data!X671),"",DaqBook_RAW_Data!X671)</f>
        <v/>
      </c>
      <c r="J681" s="167" t="str">
        <f>IF(ISBLANK(DaqBook_RAW_Data!Y671),"",DaqBook_RAW_Data!Y671)</f>
        <v/>
      </c>
      <c r="K681" s="167" t="str">
        <f>IF(ISBLANK(DaqBook_RAW_Data!Z671),"",DaqBook_RAW_Data!Z671)</f>
        <v/>
      </c>
      <c r="L681" s="167" t="str">
        <f>IF(ISBLANK(DaqBook_RAW_Data!AA671),"",DaqBook_RAW_Data!AA671)</f>
        <v/>
      </c>
      <c r="M681" s="167" t="str">
        <f>IF(ISBLANK(DaqBook_RAW_Data!AB671),"",DaqBook_RAW_Data!AB671)</f>
        <v/>
      </c>
      <c r="N681" s="167" t="str">
        <f>IF(ISBLANK(DaqBook_RAW_Data!AC671),"",DaqBook_RAW_Data!AC671)</f>
        <v/>
      </c>
      <c r="O681" s="167" t="str">
        <f>IF(ISBLANK(DaqBook_RAW_Data!AD671),"",DaqBook_RAW_Data!AD671)</f>
        <v/>
      </c>
      <c r="P681" s="167" t="str">
        <f>IF(ISBLANK(DaqBook_RAW_Data!AE671),"",DaqBook_RAW_Data!AE671)</f>
        <v/>
      </c>
    </row>
    <row r="682" spans="1:16" x14ac:dyDescent="0.2">
      <c r="A682" s="58" t="e">
        <f t="shared" si="10"/>
        <v>#VALUE!</v>
      </c>
      <c r="B682" s="144" t="str">
        <f>IF(ISBLANK(DaqBook_RAW_Data!Q672),IF(DaqBook_RAW_Data!A672="","",TIMEVALUE(DaqBook_RAW_Data!A672)),TIMEVALUE(DaqBook_RAW_Data!Q672))</f>
        <v/>
      </c>
      <c r="C682" s="167" t="str">
        <f>IF(ISBLANK(DaqBook_RAW_Data!R672),"",DaqBook_RAW_Data!R672)</f>
        <v/>
      </c>
      <c r="D682" s="167" t="str">
        <f>IF(ISBLANK(DaqBook_RAW_Data!S672),"",DaqBook_RAW_Data!S672)</f>
        <v/>
      </c>
      <c r="E682" s="167" t="str">
        <f>IF(ISBLANK(DaqBook_RAW_Data!T672),"",DaqBook_RAW_Data!T672)</f>
        <v/>
      </c>
      <c r="F682" s="167" t="str">
        <f>IF(ISBLANK(DaqBook_RAW_Data!U672),"",DaqBook_RAW_Data!U672)</f>
        <v/>
      </c>
      <c r="G682" s="167" t="str">
        <f>IF(ISBLANK(DaqBook_RAW_Data!V672),"",DaqBook_RAW_Data!V672)</f>
        <v/>
      </c>
      <c r="H682" s="167" t="str">
        <f>IF(ISBLANK(DaqBook_RAW_Data!W672),"",DaqBook_RAW_Data!W672)</f>
        <v/>
      </c>
      <c r="I682" s="167" t="str">
        <f>IF(ISBLANK(DaqBook_RAW_Data!X672),"",DaqBook_RAW_Data!X672)</f>
        <v/>
      </c>
      <c r="J682" s="167" t="str">
        <f>IF(ISBLANK(DaqBook_RAW_Data!Y672),"",DaqBook_RAW_Data!Y672)</f>
        <v/>
      </c>
      <c r="K682" s="167" t="str">
        <f>IF(ISBLANK(DaqBook_RAW_Data!Z672),"",DaqBook_RAW_Data!Z672)</f>
        <v/>
      </c>
      <c r="L682" s="167" t="str">
        <f>IF(ISBLANK(DaqBook_RAW_Data!AA672),"",DaqBook_RAW_Data!AA672)</f>
        <v/>
      </c>
      <c r="M682" s="167" t="str">
        <f>IF(ISBLANK(DaqBook_RAW_Data!AB672),"",DaqBook_RAW_Data!AB672)</f>
        <v/>
      </c>
      <c r="N682" s="167" t="str">
        <f>IF(ISBLANK(DaqBook_RAW_Data!AC672),"",DaqBook_RAW_Data!AC672)</f>
        <v/>
      </c>
      <c r="O682" s="167" t="str">
        <f>IF(ISBLANK(DaqBook_RAW_Data!AD672),"",DaqBook_RAW_Data!AD672)</f>
        <v/>
      </c>
      <c r="P682" s="167" t="str">
        <f>IF(ISBLANK(DaqBook_RAW_Data!AE672),"",DaqBook_RAW_Data!AE672)</f>
        <v/>
      </c>
    </row>
    <row r="683" spans="1:16" x14ac:dyDescent="0.2">
      <c r="A683" s="58" t="e">
        <f t="shared" si="10"/>
        <v>#VALUE!</v>
      </c>
      <c r="B683" s="144" t="str">
        <f>IF(ISBLANK(DaqBook_RAW_Data!Q673),IF(DaqBook_RAW_Data!A673="","",TIMEVALUE(DaqBook_RAW_Data!A673)),TIMEVALUE(DaqBook_RAW_Data!Q673))</f>
        <v/>
      </c>
      <c r="C683" s="167" t="str">
        <f>IF(ISBLANK(DaqBook_RAW_Data!R673),"",DaqBook_RAW_Data!R673)</f>
        <v/>
      </c>
      <c r="D683" s="167" t="str">
        <f>IF(ISBLANK(DaqBook_RAW_Data!S673),"",DaqBook_RAW_Data!S673)</f>
        <v/>
      </c>
      <c r="E683" s="167" t="str">
        <f>IF(ISBLANK(DaqBook_RAW_Data!T673),"",DaqBook_RAW_Data!T673)</f>
        <v/>
      </c>
      <c r="F683" s="167" t="str">
        <f>IF(ISBLANK(DaqBook_RAW_Data!U673),"",DaqBook_RAW_Data!U673)</f>
        <v/>
      </c>
      <c r="G683" s="167" t="str">
        <f>IF(ISBLANK(DaqBook_RAW_Data!V673),"",DaqBook_RAW_Data!V673)</f>
        <v/>
      </c>
      <c r="H683" s="167" t="str">
        <f>IF(ISBLANK(DaqBook_RAW_Data!W673),"",DaqBook_RAW_Data!W673)</f>
        <v/>
      </c>
      <c r="I683" s="167" t="str">
        <f>IF(ISBLANK(DaqBook_RAW_Data!X673),"",DaqBook_RAW_Data!X673)</f>
        <v/>
      </c>
      <c r="J683" s="167" t="str">
        <f>IF(ISBLANK(DaqBook_RAW_Data!Y673),"",DaqBook_RAW_Data!Y673)</f>
        <v/>
      </c>
      <c r="K683" s="167" t="str">
        <f>IF(ISBLANK(DaqBook_RAW_Data!Z673),"",DaqBook_RAW_Data!Z673)</f>
        <v/>
      </c>
      <c r="L683" s="167" t="str">
        <f>IF(ISBLANK(DaqBook_RAW_Data!AA673),"",DaqBook_RAW_Data!AA673)</f>
        <v/>
      </c>
      <c r="M683" s="167" t="str">
        <f>IF(ISBLANK(DaqBook_RAW_Data!AB673),"",DaqBook_RAW_Data!AB673)</f>
        <v/>
      </c>
      <c r="N683" s="167" t="str">
        <f>IF(ISBLANK(DaqBook_RAW_Data!AC673),"",DaqBook_RAW_Data!AC673)</f>
        <v/>
      </c>
      <c r="O683" s="167" t="str">
        <f>IF(ISBLANK(DaqBook_RAW_Data!AD673),"",DaqBook_RAW_Data!AD673)</f>
        <v/>
      </c>
      <c r="P683" s="167" t="str">
        <f>IF(ISBLANK(DaqBook_RAW_Data!AE673),"",DaqBook_RAW_Data!AE673)</f>
        <v/>
      </c>
    </row>
    <row r="684" spans="1:16" x14ac:dyDescent="0.2">
      <c r="A684" s="58" t="e">
        <f t="shared" si="10"/>
        <v>#VALUE!</v>
      </c>
      <c r="B684" s="144" t="str">
        <f>IF(ISBLANK(DaqBook_RAW_Data!Q674),IF(DaqBook_RAW_Data!A674="","",TIMEVALUE(DaqBook_RAW_Data!A674)),TIMEVALUE(DaqBook_RAW_Data!Q674))</f>
        <v/>
      </c>
      <c r="C684" s="167" t="str">
        <f>IF(ISBLANK(DaqBook_RAW_Data!R674),"",DaqBook_RAW_Data!R674)</f>
        <v/>
      </c>
      <c r="D684" s="167" t="str">
        <f>IF(ISBLANK(DaqBook_RAW_Data!S674),"",DaqBook_RAW_Data!S674)</f>
        <v/>
      </c>
      <c r="E684" s="167" t="str">
        <f>IF(ISBLANK(DaqBook_RAW_Data!T674),"",DaqBook_RAW_Data!T674)</f>
        <v/>
      </c>
      <c r="F684" s="167" t="str">
        <f>IF(ISBLANK(DaqBook_RAW_Data!U674),"",DaqBook_RAW_Data!U674)</f>
        <v/>
      </c>
      <c r="G684" s="167" t="str">
        <f>IF(ISBLANK(DaqBook_RAW_Data!V674),"",DaqBook_RAW_Data!V674)</f>
        <v/>
      </c>
      <c r="H684" s="167" t="str">
        <f>IF(ISBLANK(DaqBook_RAW_Data!W674),"",DaqBook_RAW_Data!W674)</f>
        <v/>
      </c>
      <c r="I684" s="167" t="str">
        <f>IF(ISBLANK(DaqBook_RAW_Data!X674),"",DaqBook_RAW_Data!X674)</f>
        <v/>
      </c>
      <c r="J684" s="167" t="str">
        <f>IF(ISBLANK(DaqBook_RAW_Data!Y674),"",DaqBook_RAW_Data!Y674)</f>
        <v/>
      </c>
      <c r="K684" s="167" t="str">
        <f>IF(ISBLANK(DaqBook_RAW_Data!Z674),"",DaqBook_RAW_Data!Z674)</f>
        <v/>
      </c>
      <c r="L684" s="167" t="str">
        <f>IF(ISBLANK(DaqBook_RAW_Data!AA674),"",DaqBook_RAW_Data!AA674)</f>
        <v/>
      </c>
      <c r="M684" s="167" t="str">
        <f>IF(ISBLANK(DaqBook_RAW_Data!AB674),"",DaqBook_RAW_Data!AB674)</f>
        <v/>
      </c>
      <c r="N684" s="167" t="str">
        <f>IF(ISBLANK(DaqBook_RAW_Data!AC674),"",DaqBook_RAW_Data!AC674)</f>
        <v/>
      </c>
      <c r="O684" s="167" t="str">
        <f>IF(ISBLANK(DaqBook_RAW_Data!AD674),"",DaqBook_RAW_Data!AD674)</f>
        <v/>
      </c>
      <c r="P684" s="167" t="str">
        <f>IF(ISBLANK(DaqBook_RAW_Data!AE674),"",DaqBook_RAW_Data!AE674)</f>
        <v/>
      </c>
    </row>
    <row r="685" spans="1:16" x14ac:dyDescent="0.2">
      <c r="A685" s="58" t="e">
        <f t="shared" si="10"/>
        <v>#VALUE!</v>
      </c>
      <c r="B685" s="144" t="str">
        <f>IF(ISBLANK(DaqBook_RAW_Data!Q675),IF(DaqBook_RAW_Data!A675="","",TIMEVALUE(DaqBook_RAW_Data!A675)),TIMEVALUE(DaqBook_RAW_Data!Q675))</f>
        <v/>
      </c>
      <c r="C685" s="167" t="str">
        <f>IF(ISBLANK(DaqBook_RAW_Data!R675),"",DaqBook_RAW_Data!R675)</f>
        <v/>
      </c>
      <c r="D685" s="167" t="str">
        <f>IF(ISBLANK(DaqBook_RAW_Data!S675),"",DaqBook_RAW_Data!S675)</f>
        <v/>
      </c>
      <c r="E685" s="167" t="str">
        <f>IF(ISBLANK(DaqBook_RAW_Data!T675),"",DaqBook_RAW_Data!T675)</f>
        <v/>
      </c>
      <c r="F685" s="167" t="str">
        <f>IF(ISBLANK(DaqBook_RAW_Data!U675),"",DaqBook_RAW_Data!U675)</f>
        <v/>
      </c>
      <c r="G685" s="167" t="str">
        <f>IF(ISBLANK(DaqBook_RAW_Data!V675),"",DaqBook_RAW_Data!V675)</f>
        <v/>
      </c>
      <c r="H685" s="167" t="str">
        <f>IF(ISBLANK(DaqBook_RAW_Data!W675),"",DaqBook_RAW_Data!W675)</f>
        <v/>
      </c>
      <c r="I685" s="167" t="str">
        <f>IF(ISBLANK(DaqBook_RAW_Data!X675),"",DaqBook_RAW_Data!X675)</f>
        <v/>
      </c>
      <c r="J685" s="167" t="str">
        <f>IF(ISBLANK(DaqBook_RAW_Data!Y675),"",DaqBook_RAW_Data!Y675)</f>
        <v/>
      </c>
      <c r="K685" s="167" t="str">
        <f>IF(ISBLANK(DaqBook_RAW_Data!Z675),"",DaqBook_RAW_Data!Z675)</f>
        <v/>
      </c>
      <c r="L685" s="167" t="str">
        <f>IF(ISBLANK(DaqBook_RAW_Data!AA675),"",DaqBook_RAW_Data!AA675)</f>
        <v/>
      </c>
      <c r="M685" s="167" t="str">
        <f>IF(ISBLANK(DaqBook_RAW_Data!AB675),"",DaqBook_RAW_Data!AB675)</f>
        <v/>
      </c>
      <c r="N685" s="167" t="str">
        <f>IF(ISBLANK(DaqBook_RAW_Data!AC675),"",DaqBook_RAW_Data!AC675)</f>
        <v/>
      </c>
      <c r="O685" s="167" t="str">
        <f>IF(ISBLANK(DaqBook_RAW_Data!AD675),"",DaqBook_RAW_Data!AD675)</f>
        <v/>
      </c>
      <c r="P685" s="167" t="str">
        <f>IF(ISBLANK(DaqBook_RAW_Data!AE675),"",DaqBook_RAW_Data!AE675)</f>
        <v/>
      </c>
    </row>
    <row r="686" spans="1:16" x14ac:dyDescent="0.2">
      <c r="A686" s="58" t="e">
        <f t="shared" si="10"/>
        <v>#VALUE!</v>
      </c>
      <c r="B686" s="144" t="str">
        <f>IF(ISBLANK(DaqBook_RAW_Data!Q676),IF(DaqBook_RAW_Data!A676="","",TIMEVALUE(DaqBook_RAW_Data!A676)),TIMEVALUE(DaqBook_RAW_Data!Q676))</f>
        <v/>
      </c>
      <c r="C686" s="167" t="str">
        <f>IF(ISBLANK(DaqBook_RAW_Data!R676),"",DaqBook_RAW_Data!R676)</f>
        <v/>
      </c>
      <c r="D686" s="167" t="str">
        <f>IF(ISBLANK(DaqBook_RAW_Data!S676),"",DaqBook_RAW_Data!S676)</f>
        <v/>
      </c>
      <c r="E686" s="167" t="str">
        <f>IF(ISBLANK(DaqBook_RAW_Data!T676),"",DaqBook_RAW_Data!T676)</f>
        <v/>
      </c>
      <c r="F686" s="167" t="str">
        <f>IF(ISBLANK(DaqBook_RAW_Data!U676),"",DaqBook_RAW_Data!U676)</f>
        <v/>
      </c>
      <c r="G686" s="167" t="str">
        <f>IF(ISBLANK(DaqBook_RAW_Data!V676),"",DaqBook_RAW_Data!V676)</f>
        <v/>
      </c>
      <c r="H686" s="167" t="str">
        <f>IF(ISBLANK(DaqBook_RAW_Data!W676),"",DaqBook_RAW_Data!W676)</f>
        <v/>
      </c>
      <c r="I686" s="167" t="str">
        <f>IF(ISBLANK(DaqBook_RAW_Data!X676),"",DaqBook_RAW_Data!X676)</f>
        <v/>
      </c>
      <c r="J686" s="167" t="str">
        <f>IF(ISBLANK(DaqBook_RAW_Data!Y676),"",DaqBook_RAW_Data!Y676)</f>
        <v/>
      </c>
      <c r="K686" s="167" t="str">
        <f>IF(ISBLANK(DaqBook_RAW_Data!Z676),"",DaqBook_RAW_Data!Z676)</f>
        <v/>
      </c>
      <c r="L686" s="167" t="str">
        <f>IF(ISBLANK(DaqBook_RAW_Data!AA676),"",DaqBook_RAW_Data!AA676)</f>
        <v/>
      </c>
      <c r="M686" s="167" t="str">
        <f>IF(ISBLANK(DaqBook_RAW_Data!AB676),"",DaqBook_RAW_Data!AB676)</f>
        <v/>
      </c>
      <c r="N686" s="167" t="str">
        <f>IF(ISBLANK(DaqBook_RAW_Data!AC676),"",DaqBook_RAW_Data!AC676)</f>
        <v/>
      </c>
      <c r="O686" s="167" t="str">
        <f>IF(ISBLANK(DaqBook_RAW_Data!AD676),"",DaqBook_RAW_Data!AD676)</f>
        <v/>
      </c>
      <c r="P686" s="167" t="str">
        <f>IF(ISBLANK(DaqBook_RAW_Data!AE676),"",DaqBook_RAW_Data!AE676)</f>
        <v/>
      </c>
    </row>
    <row r="687" spans="1:16" x14ac:dyDescent="0.2">
      <c r="A687" s="58" t="e">
        <f t="shared" si="10"/>
        <v>#VALUE!</v>
      </c>
      <c r="B687" s="144" t="str">
        <f>IF(ISBLANK(DaqBook_RAW_Data!Q677),IF(DaqBook_RAW_Data!A677="","",TIMEVALUE(DaqBook_RAW_Data!A677)),TIMEVALUE(DaqBook_RAW_Data!Q677))</f>
        <v/>
      </c>
      <c r="C687" s="167" t="str">
        <f>IF(ISBLANK(DaqBook_RAW_Data!R677),"",DaqBook_RAW_Data!R677)</f>
        <v/>
      </c>
      <c r="D687" s="167" t="str">
        <f>IF(ISBLANK(DaqBook_RAW_Data!S677),"",DaqBook_RAW_Data!S677)</f>
        <v/>
      </c>
      <c r="E687" s="167" t="str">
        <f>IF(ISBLANK(DaqBook_RAW_Data!T677),"",DaqBook_RAW_Data!T677)</f>
        <v/>
      </c>
      <c r="F687" s="167" t="str">
        <f>IF(ISBLANK(DaqBook_RAW_Data!U677),"",DaqBook_RAW_Data!U677)</f>
        <v/>
      </c>
      <c r="G687" s="167" t="str">
        <f>IF(ISBLANK(DaqBook_RAW_Data!V677),"",DaqBook_RAW_Data!V677)</f>
        <v/>
      </c>
      <c r="H687" s="167" t="str">
        <f>IF(ISBLANK(DaqBook_RAW_Data!W677),"",DaqBook_RAW_Data!W677)</f>
        <v/>
      </c>
      <c r="I687" s="167" t="str">
        <f>IF(ISBLANK(DaqBook_RAW_Data!X677),"",DaqBook_RAW_Data!X677)</f>
        <v/>
      </c>
      <c r="J687" s="167" t="str">
        <f>IF(ISBLANK(DaqBook_RAW_Data!Y677),"",DaqBook_RAW_Data!Y677)</f>
        <v/>
      </c>
      <c r="K687" s="167" t="str">
        <f>IF(ISBLANK(DaqBook_RAW_Data!Z677),"",DaqBook_RAW_Data!Z677)</f>
        <v/>
      </c>
      <c r="L687" s="167" t="str">
        <f>IF(ISBLANK(DaqBook_RAW_Data!AA677),"",DaqBook_RAW_Data!AA677)</f>
        <v/>
      </c>
      <c r="M687" s="167" t="str">
        <f>IF(ISBLANK(DaqBook_RAW_Data!AB677),"",DaqBook_RAW_Data!AB677)</f>
        <v/>
      </c>
      <c r="N687" s="167" t="str">
        <f>IF(ISBLANK(DaqBook_RAW_Data!AC677),"",DaqBook_RAW_Data!AC677)</f>
        <v/>
      </c>
      <c r="O687" s="167" t="str">
        <f>IF(ISBLANK(DaqBook_RAW_Data!AD677),"",DaqBook_RAW_Data!AD677)</f>
        <v/>
      </c>
      <c r="P687" s="167" t="str">
        <f>IF(ISBLANK(DaqBook_RAW_Data!AE677),"",DaqBook_RAW_Data!AE677)</f>
        <v/>
      </c>
    </row>
    <row r="688" spans="1:16" x14ac:dyDescent="0.2">
      <c r="A688" s="58" t="e">
        <f t="shared" si="10"/>
        <v>#VALUE!</v>
      </c>
      <c r="B688" s="144" t="str">
        <f>IF(ISBLANK(DaqBook_RAW_Data!Q678),IF(DaqBook_RAW_Data!A678="","",TIMEVALUE(DaqBook_RAW_Data!A678)),TIMEVALUE(DaqBook_RAW_Data!Q678))</f>
        <v/>
      </c>
      <c r="C688" s="167" t="str">
        <f>IF(ISBLANK(DaqBook_RAW_Data!R678),"",DaqBook_RAW_Data!R678)</f>
        <v/>
      </c>
      <c r="D688" s="167" t="str">
        <f>IF(ISBLANK(DaqBook_RAW_Data!S678),"",DaqBook_RAW_Data!S678)</f>
        <v/>
      </c>
      <c r="E688" s="167" t="str">
        <f>IF(ISBLANK(DaqBook_RAW_Data!T678),"",DaqBook_RAW_Data!T678)</f>
        <v/>
      </c>
      <c r="F688" s="167" t="str">
        <f>IF(ISBLANK(DaqBook_RAW_Data!U678),"",DaqBook_RAW_Data!U678)</f>
        <v/>
      </c>
      <c r="G688" s="167" t="str">
        <f>IF(ISBLANK(DaqBook_RAW_Data!V678),"",DaqBook_RAW_Data!V678)</f>
        <v/>
      </c>
      <c r="H688" s="167" t="str">
        <f>IF(ISBLANK(DaqBook_RAW_Data!W678),"",DaqBook_RAW_Data!W678)</f>
        <v/>
      </c>
      <c r="I688" s="167" t="str">
        <f>IF(ISBLANK(DaqBook_RAW_Data!X678),"",DaqBook_RAW_Data!X678)</f>
        <v/>
      </c>
      <c r="J688" s="167" t="str">
        <f>IF(ISBLANK(DaqBook_RAW_Data!Y678),"",DaqBook_RAW_Data!Y678)</f>
        <v/>
      </c>
      <c r="K688" s="167" t="str">
        <f>IF(ISBLANK(DaqBook_RAW_Data!Z678),"",DaqBook_RAW_Data!Z678)</f>
        <v/>
      </c>
      <c r="L688" s="167" t="str">
        <f>IF(ISBLANK(DaqBook_RAW_Data!AA678),"",DaqBook_RAW_Data!AA678)</f>
        <v/>
      </c>
      <c r="M688" s="167" t="str">
        <f>IF(ISBLANK(DaqBook_RAW_Data!AB678),"",DaqBook_RAW_Data!AB678)</f>
        <v/>
      </c>
      <c r="N688" s="167" t="str">
        <f>IF(ISBLANK(DaqBook_RAW_Data!AC678),"",DaqBook_RAW_Data!AC678)</f>
        <v/>
      </c>
      <c r="O688" s="167" t="str">
        <f>IF(ISBLANK(DaqBook_RAW_Data!AD678),"",DaqBook_RAW_Data!AD678)</f>
        <v/>
      </c>
      <c r="P688" s="167" t="str">
        <f>IF(ISBLANK(DaqBook_RAW_Data!AE678),"",DaqBook_RAW_Data!AE678)</f>
        <v/>
      </c>
    </row>
    <row r="689" spans="1:16" x14ac:dyDescent="0.2">
      <c r="A689" s="58" t="e">
        <f t="shared" si="10"/>
        <v>#VALUE!</v>
      </c>
      <c r="B689" s="144" t="str">
        <f>IF(ISBLANK(DaqBook_RAW_Data!Q679),IF(DaqBook_RAW_Data!A679="","",TIMEVALUE(DaqBook_RAW_Data!A679)),TIMEVALUE(DaqBook_RAW_Data!Q679))</f>
        <v/>
      </c>
      <c r="C689" s="167" t="str">
        <f>IF(ISBLANK(DaqBook_RAW_Data!R679),"",DaqBook_RAW_Data!R679)</f>
        <v/>
      </c>
      <c r="D689" s="167" t="str">
        <f>IF(ISBLANK(DaqBook_RAW_Data!S679),"",DaqBook_RAW_Data!S679)</f>
        <v/>
      </c>
      <c r="E689" s="167" t="str">
        <f>IF(ISBLANK(DaqBook_RAW_Data!T679),"",DaqBook_RAW_Data!T679)</f>
        <v/>
      </c>
      <c r="F689" s="167" t="str">
        <f>IF(ISBLANK(DaqBook_RAW_Data!U679),"",DaqBook_RAW_Data!U679)</f>
        <v/>
      </c>
      <c r="G689" s="167" t="str">
        <f>IF(ISBLANK(DaqBook_RAW_Data!V679),"",DaqBook_RAW_Data!V679)</f>
        <v/>
      </c>
      <c r="H689" s="167" t="str">
        <f>IF(ISBLANK(DaqBook_RAW_Data!W679),"",DaqBook_RAW_Data!W679)</f>
        <v/>
      </c>
      <c r="I689" s="167" t="str">
        <f>IF(ISBLANK(DaqBook_RAW_Data!X679),"",DaqBook_RAW_Data!X679)</f>
        <v/>
      </c>
      <c r="J689" s="167" t="str">
        <f>IF(ISBLANK(DaqBook_RAW_Data!Y679),"",DaqBook_RAW_Data!Y679)</f>
        <v/>
      </c>
      <c r="K689" s="167" t="str">
        <f>IF(ISBLANK(DaqBook_RAW_Data!Z679),"",DaqBook_RAW_Data!Z679)</f>
        <v/>
      </c>
      <c r="L689" s="167" t="str">
        <f>IF(ISBLANK(DaqBook_RAW_Data!AA679),"",DaqBook_RAW_Data!AA679)</f>
        <v/>
      </c>
      <c r="M689" s="167" t="str">
        <f>IF(ISBLANK(DaqBook_RAW_Data!AB679),"",DaqBook_RAW_Data!AB679)</f>
        <v/>
      </c>
      <c r="N689" s="167" t="str">
        <f>IF(ISBLANK(DaqBook_RAW_Data!AC679),"",DaqBook_RAW_Data!AC679)</f>
        <v/>
      </c>
      <c r="O689" s="167" t="str">
        <f>IF(ISBLANK(DaqBook_RAW_Data!AD679),"",DaqBook_RAW_Data!AD679)</f>
        <v/>
      </c>
      <c r="P689" s="167" t="str">
        <f>IF(ISBLANK(DaqBook_RAW_Data!AE679),"",DaqBook_RAW_Data!AE679)</f>
        <v/>
      </c>
    </row>
    <row r="690" spans="1:16" x14ac:dyDescent="0.2">
      <c r="A690" s="58" t="e">
        <f t="shared" si="10"/>
        <v>#VALUE!</v>
      </c>
      <c r="B690" s="144" t="str">
        <f>IF(ISBLANK(DaqBook_RAW_Data!Q680),IF(DaqBook_RAW_Data!A680="","",TIMEVALUE(DaqBook_RAW_Data!A680)),TIMEVALUE(DaqBook_RAW_Data!Q680))</f>
        <v/>
      </c>
      <c r="C690" s="167" t="str">
        <f>IF(ISBLANK(DaqBook_RAW_Data!R680),"",DaqBook_RAW_Data!R680)</f>
        <v/>
      </c>
      <c r="D690" s="167" t="str">
        <f>IF(ISBLANK(DaqBook_RAW_Data!S680),"",DaqBook_RAW_Data!S680)</f>
        <v/>
      </c>
      <c r="E690" s="167" t="str">
        <f>IF(ISBLANK(DaqBook_RAW_Data!T680),"",DaqBook_RAW_Data!T680)</f>
        <v/>
      </c>
      <c r="F690" s="167" t="str">
        <f>IF(ISBLANK(DaqBook_RAW_Data!U680),"",DaqBook_RAW_Data!U680)</f>
        <v/>
      </c>
      <c r="G690" s="167" t="str">
        <f>IF(ISBLANK(DaqBook_RAW_Data!V680),"",DaqBook_RAW_Data!V680)</f>
        <v/>
      </c>
      <c r="H690" s="167" t="str">
        <f>IF(ISBLANK(DaqBook_RAW_Data!W680),"",DaqBook_RAW_Data!W680)</f>
        <v/>
      </c>
      <c r="I690" s="167" t="str">
        <f>IF(ISBLANK(DaqBook_RAW_Data!X680),"",DaqBook_RAW_Data!X680)</f>
        <v/>
      </c>
      <c r="J690" s="167" t="str">
        <f>IF(ISBLANK(DaqBook_RAW_Data!Y680),"",DaqBook_RAW_Data!Y680)</f>
        <v/>
      </c>
      <c r="K690" s="167" t="str">
        <f>IF(ISBLANK(DaqBook_RAW_Data!Z680),"",DaqBook_RAW_Data!Z680)</f>
        <v/>
      </c>
      <c r="L690" s="167" t="str">
        <f>IF(ISBLANK(DaqBook_RAW_Data!AA680),"",DaqBook_RAW_Data!AA680)</f>
        <v/>
      </c>
      <c r="M690" s="167" t="str">
        <f>IF(ISBLANK(DaqBook_RAW_Data!AB680),"",DaqBook_RAW_Data!AB680)</f>
        <v/>
      </c>
      <c r="N690" s="167" t="str">
        <f>IF(ISBLANK(DaqBook_RAW_Data!AC680),"",DaqBook_RAW_Data!AC680)</f>
        <v/>
      </c>
      <c r="O690" s="167" t="str">
        <f>IF(ISBLANK(DaqBook_RAW_Data!AD680),"",DaqBook_RAW_Data!AD680)</f>
        <v/>
      </c>
      <c r="P690" s="167" t="str">
        <f>IF(ISBLANK(DaqBook_RAW_Data!AE680),"",DaqBook_RAW_Data!AE680)</f>
        <v/>
      </c>
    </row>
    <row r="691" spans="1:16" x14ac:dyDescent="0.2">
      <c r="A691" s="58" t="e">
        <f t="shared" si="10"/>
        <v>#VALUE!</v>
      </c>
      <c r="B691" s="144" t="str">
        <f>IF(ISBLANK(DaqBook_RAW_Data!Q681),IF(DaqBook_RAW_Data!A681="","",TIMEVALUE(DaqBook_RAW_Data!A681)),TIMEVALUE(DaqBook_RAW_Data!Q681))</f>
        <v/>
      </c>
      <c r="C691" s="167" t="str">
        <f>IF(ISBLANK(DaqBook_RAW_Data!R681),"",DaqBook_RAW_Data!R681)</f>
        <v/>
      </c>
      <c r="D691" s="167" t="str">
        <f>IF(ISBLANK(DaqBook_RAW_Data!S681),"",DaqBook_RAW_Data!S681)</f>
        <v/>
      </c>
      <c r="E691" s="167" t="str">
        <f>IF(ISBLANK(DaqBook_RAW_Data!T681),"",DaqBook_RAW_Data!T681)</f>
        <v/>
      </c>
      <c r="F691" s="167" t="str">
        <f>IF(ISBLANK(DaqBook_RAW_Data!U681),"",DaqBook_RAW_Data!U681)</f>
        <v/>
      </c>
      <c r="G691" s="167" t="str">
        <f>IF(ISBLANK(DaqBook_RAW_Data!V681),"",DaqBook_RAW_Data!V681)</f>
        <v/>
      </c>
      <c r="H691" s="167" t="str">
        <f>IF(ISBLANK(DaqBook_RAW_Data!W681),"",DaqBook_RAW_Data!W681)</f>
        <v/>
      </c>
      <c r="I691" s="167" t="str">
        <f>IF(ISBLANK(DaqBook_RAW_Data!X681),"",DaqBook_RAW_Data!X681)</f>
        <v/>
      </c>
      <c r="J691" s="167" t="str">
        <f>IF(ISBLANK(DaqBook_RAW_Data!Y681),"",DaqBook_RAW_Data!Y681)</f>
        <v/>
      </c>
      <c r="K691" s="167" t="str">
        <f>IF(ISBLANK(DaqBook_RAW_Data!Z681),"",DaqBook_RAW_Data!Z681)</f>
        <v/>
      </c>
      <c r="L691" s="167" t="str">
        <f>IF(ISBLANK(DaqBook_RAW_Data!AA681),"",DaqBook_RAW_Data!AA681)</f>
        <v/>
      </c>
      <c r="M691" s="167" t="str">
        <f>IF(ISBLANK(DaqBook_RAW_Data!AB681),"",DaqBook_RAW_Data!AB681)</f>
        <v/>
      </c>
      <c r="N691" s="167" t="str">
        <f>IF(ISBLANK(DaqBook_RAW_Data!AC681),"",DaqBook_RAW_Data!AC681)</f>
        <v/>
      </c>
      <c r="O691" s="167" t="str">
        <f>IF(ISBLANK(DaqBook_RAW_Data!AD681),"",DaqBook_RAW_Data!AD681)</f>
        <v/>
      </c>
      <c r="P691" s="167" t="str">
        <f>IF(ISBLANK(DaqBook_RAW_Data!AE681),"",DaqBook_RAW_Data!AE681)</f>
        <v/>
      </c>
    </row>
    <row r="692" spans="1:16" x14ac:dyDescent="0.2">
      <c r="A692" s="58" t="e">
        <f t="shared" si="10"/>
        <v>#VALUE!</v>
      </c>
      <c r="B692" s="144" t="str">
        <f>IF(ISBLANK(DaqBook_RAW_Data!Q682),IF(DaqBook_RAW_Data!A682="","",TIMEVALUE(DaqBook_RAW_Data!A682)),TIMEVALUE(DaqBook_RAW_Data!Q682))</f>
        <v/>
      </c>
      <c r="C692" s="167" t="str">
        <f>IF(ISBLANK(DaqBook_RAW_Data!R682),"",DaqBook_RAW_Data!R682)</f>
        <v/>
      </c>
      <c r="D692" s="167" t="str">
        <f>IF(ISBLANK(DaqBook_RAW_Data!S682),"",DaqBook_RAW_Data!S682)</f>
        <v/>
      </c>
      <c r="E692" s="167" t="str">
        <f>IF(ISBLANK(DaqBook_RAW_Data!T682),"",DaqBook_RAW_Data!T682)</f>
        <v/>
      </c>
      <c r="F692" s="167" t="str">
        <f>IF(ISBLANK(DaqBook_RAW_Data!U682),"",DaqBook_RAW_Data!U682)</f>
        <v/>
      </c>
      <c r="G692" s="167" t="str">
        <f>IF(ISBLANK(DaqBook_RAW_Data!V682),"",DaqBook_RAW_Data!V682)</f>
        <v/>
      </c>
      <c r="H692" s="167" t="str">
        <f>IF(ISBLANK(DaqBook_RAW_Data!W682),"",DaqBook_RAW_Data!W682)</f>
        <v/>
      </c>
      <c r="I692" s="167" t="str">
        <f>IF(ISBLANK(DaqBook_RAW_Data!X682),"",DaqBook_RAW_Data!X682)</f>
        <v/>
      </c>
      <c r="J692" s="167" t="str">
        <f>IF(ISBLANK(DaqBook_RAW_Data!Y682),"",DaqBook_RAW_Data!Y682)</f>
        <v/>
      </c>
      <c r="K692" s="167" t="str">
        <f>IF(ISBLANK(DaqBook_RAW_Data!Z682),"",DaqBook_RAW_Data!Z682)</f>
        <v/>
      </c>
      <c r="L692" s="167" t="str">
        <f>IF(ISBLANK(DaqBook_RAW_Data!AA682),"",DaqBook_RAW_Data!AA682)</f>
        <v/>
      </c>
      <c r="M692" s="167" t="str">
        <f>IF(ISBLANK(DaqBook_RAW_Data!AB682),"",DaqBook_RAW_Data!AB682)</f>
        <v/>
      </c>
      <c r="N692" s="167" t="str">
        <f>IF(ISBLANK(DaqBook_RAW_Data!AC682),"",DaqBook_RAW_Data!AC682)</f>
        <v/>
      </c>
      <c r="O692" s="167" t="str">
        <f>IF(ISBLANK(DaqBook_RAW_Data!AD682),"",DaqBook_RAW_Data!AD682)</f>
        <v/>
      </c>
      <c r="P692" s="167" t="str">
        <f>IF(ISBLANK(DaqBook_RAW_Data!AE682),"",DaqBook_RAW_Data!AE682)</f>
        <v/>
      </c>
    </row>
    <row r="693" spans="1:16" x14ac:dyDescent="0.2">
      <c r="A693" s="58" t="e">
        <f t="shared" si="10"/>
        <v>#VALUE!</v>
      </c>
      <c r="B693" s="144" t="str">
        <f>IF(ISBLANK(DaqBook_RAW_Data!Q683),IF(DaqBook_RAW_Data!A683="","",TIMEVALUE(DaqBook_RAW_Data!A683)),TIMEVALUE(DaqBook_RAW_Data!Q683))</f>
        <v/>
      </c>
      <c r="C693" s="167" t="str">
        <f>IF(ISBLANK(DaqBook_RAW_Data!R683),"",DaqBook_RAW_Data!R683)</f>
        <v/>
      </c>
      <c r="D693" s="167" t="str">
        <f>IF(ISBLANK(DaqBook_RAW_Data!S683),"",DaqBook_RAW_Data!S683)</f>
        <v/>
      </c>
      <c r="E693" s="167" t="str">
        <f>IF(ISBLANK(DaqBook_RAW_Data!T683),"",DaqBook_RAW_Data!T683)</f>
        <v/>
      </c>
      <c r="F693" s="167" t="str">
        <f>IF(ISBLANK(DaqBook_RAW_Data!U683),"",DaqBook_RAW_Data!U683)</f>
        <v/>
      </c>
      <c r="G693" s="167" t="str">
        <f>IF(ISBLANK(DaqBook_RAW_Data!V683),"",DaqBook_RAW_Data!V683)</f>
        <v/>
      </c>
      <c r="H693" s="167" t="str">
        <f>IF(ISBLANK(DaqBook_RAW_Data!W683),"",DaqBook_RAW_Data!W683)</f>
        <v/>
      </c>
      <c r="I693" s="167" t="str">
        <f>IF(ISBLANK(DaqBook_RAW_Data!X683),"",DaqBook_RAW_Data!X683)</f>
        <v/>
      </c>
      <c r="J693" s="167" t="str">
        <f>IF(ISBLANK(DaqBook_RAW_Data!Y683),"",DaqBook_RAW_Data!Y683)</f>
        <v/>
      </c>
      <c r="K693" s="167" t="str">
        <f>IF(ISBLANK(DaqBook_RAW_Data!Z683),"",DaqBook_RAW_Data!Z683)</f>
        <v/>
      </c>
      <c r="L693" s="167" t="str">
        <f>IF(ISBLANK(DaqBook_RAW_Data!AA683),"",DaqBook_RAW_Data!AA683)</f>
        <v/>
      </c>
      <c r="M693" s="167" t="str">
        <f>IF(ISBLANK(DaqBook_RAW_Data!AB683),"",DaqBook_RAW_Data!AB683)</f>
        <v/>
      </c>
      <c r="N693" s="167" t="str">
        <f>IF(ISBLANK(DaqBook_RAW_Data!AC683),"",DaqBook_RAW_Data!AC683)</f>
        <v/>
      </c>
      <c r="O693" s="167" t="str">
        <f>IF(ISBLANK(DaqBook_RAW_Data!AD683),"",DaqBook_RAW_Data!AD683)</f>
        <v/>
      </c>
      <c r="P693" s="167" t="str">
        <f>IF(ISBLANK(DaqBook_RAW_Data!AE683),"",DaqBook_RAW_Data!AE683)</f>
        <v/>
      </c>
    </row>
    <row r="694" spans="1:16" x14ac:dyDescent="0.2">
      <c r="A694" s="58" t="e">
        <f t="shared" si="10"/>
        <v>#VALUE!</v>
      </c>
      <c r="B694" s="144" t="str">
        <f>IF(ISBLANK(DaqBook_RAW_Data!Q684),IF(DaqBook_RAW_Data!A684="","",TIMEVALUE(DaqBook_RAW_Data!A684)),TIMEVALUE(DaqBook_RAW_Data!Q684))</f>
        <v/>
      </c>
      <c r="C694" s="167" t="str">
        <f>IF(ISBLANK(DaqBook_RAW_Data!R684),"",DaqBook_RAW_Data!R684)</f>
        <v/>
      </c>
      <c r="D694" s="167" t="str">
        <f>IF(ISBLANK(DaqBook_RAW_Data!S684),"",DaqBook_RAW_Data!S684)</f>
        <v/>
      </c>
      <c r="E694" s="167" t="str">
        <f>IF(ISBLANK(DaqBook_RAW_Data!T684),"",DaqBook_RAW_Data!T684)</f>
        <v/>
      </c>
      <c r="F694" s="167" t="str">
        <f>IF(ISBLANK(DaqBook_RAW_Data!U684),"",DaqBook_RAW_Data!U684)</f>
        <v/>
      </c>
      <c r="G694" s="167" t="str">
        <f>IF(ISBLANK(DaqBook_RAW_Data!V684),"",DaqBook_RAW_Data!V684)</f>
        <v/>
      </c>
      <c r="H694" s="167" t="str">
        <f>IF(ISBLANK(DaqBook_RAW_Data!W684),"",DaqBook_RAW_Data!W684)</f>
        <v/>
      </c>
      <c r="I694" s="167" t="str">
        <f>IF(ISBLANK(DaqBook_RAW_Data!X684),"",DaqBook_RAW_Data!X684)</f>
        <v/>
      </c>
      <c r="J694" s="167" t="str">
        <f>IF(ISBLANK(DaqBook_RAW_Data!Y684),"",DaqBook_RAW_Data!Y684)</f>
        <v/>
      </c>
      <c r="K694" s="167" t="str">
        <f>IF(ISBLANK(DaqBook_RAW_Data!Z684),"",DaqBook_RAW_Data!Z684)</f>
        <v/>
      </c>
      <c r="L694" s="167" t="str">
        <f>IF(ISBLANK(DaqBook_RAW_Data!AA684),"",DaqBook_RAW_Data!AA684)</f>
        <v/>
      </c>
      <c r="M694" s="167" t="str">
        <f>IF(ISBLANK(DaqBook_RAW_Data!AB684),"",DaqBook_RAW_Data!AB684)</f>
        <v/>
      </c>
      <c r="N694" s="167" t="str">
        <f>IF(ISBLANK(DaqBook_RAW_Data!AC684),"",DaqBook_RAW_Data!AC684)</f>
        <v/>
      </c>
      <c r="O694" s="167" t="str">
        <f>IF(ISBLANK(DaqBook_RAW_Data!AD684),"",DaqBook_RAW_Data!AD684)</f>
        <v/>
      </c>
      <c r="P694" s="167" t="str">
        <f>IF(ISBLANK(DaqBook_RAW_Data!AE684),"",DaqBook_RAW_Data!AE684)</f>
        <v/>
      </c>
    </row>
    <row r="695" spans="1:16" x14ac:dyDescent="0.2">
      <c r="A695" s="58" t="e">
        <f t="shared" si="10"/>
        <v>#VALUE!</v>
      </c>
      <c r="B695" s="144" t="str">
        <f>IF(ISBLANK(DaqBook_RAW_Data!Q685),IF(DaqBook_RAW_Data!A685="","",TIMEVALUE(DaqBook_RAW_Data!A685)),TIMEVALUE(DaqBook_RAW_Data!Q685))</f>
        <v/>
      </c>
      <c r="C695" s="167" t="str">
        <f>IF(ISBLANK(DaqBook_RAW_Data!R685),"",DaqBook_RAW_Data!R685)</f>
        <v/>
      </c>
      <c r="D695" s="167" t="str">
        <f>IF(ISBLANK(DaqBook_RAW_Data!S685),"",DaqBook_RAW_Data!S685)</f>
        <v/>
      </c>
      <c r="E695" s="167" t="str">
        <f>IF(ISBLANK(DaqBook_RAW_Data!T685),"",DaqBook_RAW_Data!T685)</f>
        <v/>
      </c>
      <c r="F695" s="167" t="str">
        <f>IF(ISBLANK(DaqBook_RAW_Data!U685),"",DaqBook_RAW_Data!U685)</f>
        <v/>
      </c>
      <c r="G695" s="167" t="str">
        <f>IF(ISBLANK(DaqBook_RAW_Data!V685),"",DaqBook_RAW_Data!V685)</f>
        <v/>
      </c>
      <c r="H695" s="167" t="str">
        <f>IF(ISBLANK(DaqBook_RAW_Data!W685),"",DaqBook_RAW_Data!W685)</f>
        <v/>
      </c>
      <c r="I695" s="167" t="str">
        <f>IF(ISBLANK(DaqBook_RAW_Data!X685),"",DaqBook_RAW_Data!X685)</f>
        <v/>
      </c>
      <c r="J695" s="167" t="str">
        <f>IF(ISBLANK(DaqBook_RAW_Data!Y685),"",DaqBook_RAW_Data!Y685)</f>
        <v/>
      </c>
      <c r="K695" s="167" t="str">
        <f>IF(ISBLANK(DaqBook_RAW_Data!Z685),"",DaqBook_RAW_Data!Z685)</f>
        <v/>
      </c>
      <c r="L695" s="167" t="str">
        <f>IF(ISBLANK(DaqBook_RAW_Data!AA685),"",DaqBook_RAW_Data!AA685)</f>
        <v/>
      </c>
      <c r="M695" s="167" t="str">
        <f>IF(ISBLANK(DaqBook_RAW_Data!AB685),"",DaqBook_RAW_Data!AB685)</f>
        <v/>
      </c>
      <c r="N695" s="167" t="str">
        <f>IF(ISBLANK(DaqBook_RAW_Data!AC685),"",DaqBook_RAW_Data!AC685)</f>
        <v/>
      </c>
      <c r="O695" s="167" t="str">
        <f>IF(ISBLANK(DaqBook_RAW_Data!AD685),"",DaqBook_RAW_Data!AD685)</f>
        <v/>
      </c>
      <c r="P695" s="167" t="str">
        <f>IF(ISBLANK(DaqBook_RAW_Data!AE685),"",DaqBook_RAW_Data!AE685)</f>
        <v/>
      </c>
    </row>
    <row r="696" spans="1:16" x14ac:dyDescent="0.2">
      <c r="A696" s="58" t="e">
        <f t="shared" si="10"/>
        <v>#VALUE!</v>
      </c>
      <c r="B696" s="144" t="str">
        <f>IF(ISBLANK(DaqBook_RAW_Data!Q686),IF(DaqBook_RAW_Data!A686="","",TIMEVALUE(DaqBook_RAW_Data!A686)),TIMEVALUE(DaqBook_RAW_Data!Q686))</f>
        <v/>
      </c>
      <c r="C696" s="167" t="str">
        <f>IF(ISBLANK(DaqBook_RAW_Data!R686),"",DaqBook_RAW_Data!R686)</f>
        <v/>
      </c>
      <c r="D696" s="167" t="str">
        <f>IF(ISBLANK(DaqBook_RAW_Data!S686),"",DaqBook_RAW_Data!S686)</f>
        <v/>
      </c>
      <c r="E696" s="167" t="str">
        <f>IF(ISBLANK(DaqBook_RAW_Data!T686),"",DaqBook_RAW_Data!T686)</f>
        <v/>
      </c>
      <c r="F696" s="167" t="str">
        <f>IF(ISBLANK(DaqBook_RAW_Data!U686),"",DaqBook_RAW_Data!U686)</f>
        <v/>
      </c>
      <c r="G696" s="167" t="str">
        <f>IF(ISBLANK(DaqBook_RAW_Data!V686),"",DaqBook_RAW_Data!V686)</f>
        <v/>
      </c>
      <c r="H696" s="167" t="str">
        <f>IF(ISBLANK(DaqBook_RAW_Data!W686),"",DaqBook_RAW_Data!W686)</f>
        <v/>
      </c>
      <c r="I696" s="167" t="str">
        <f>IF(ISBLANK(DaqBook_RAW_Data!X686),"",DaqBook_RAW_Data!X686)</f>
        <v/>
      </c>
      <c r="J696" s="167" t="str">
        <f>IF(ISBLANK(DaqBook_RAW_Data!Y686),"",DaqBook_RAW_Data!Y686)</f>
        <v/>
      </c>
      <c r="K696" s="167" t="str">
        <f>IF(ISBLANK(DaqBook_RAW_Data!Z686),"",DaqBook_RAW_Data!Z686)</f>
        <v/>
      </c>
      <c r="L696" s="167" t="str">
        <f>IF(ISBLANK(DaqBook_RAW_Data!AA686),"",DaqBook_RAW_Data!AA686)</f>
        <v/>
      </c>
      <c r="M696" s="167" t="str">
        <f>IF(ISBLANK(DaqBook_RAW_Data!AB686),"",DaqBook_RAW_Data!AB686)</f>
        <v/>
      </c>
      <c r="N696" s="167" t="str">
        <f>IF(ISBLANK(DaqBook_RAW_Data!AC686),"",DaqBook_RAW_Data!AC686)</f>
        <v/>
      </c>
      <c r="O696" s="167" t="str">
        <f>IF(ISBLANK(DaqBook_RAW_Data!AD686),"",DaqBook_RAW_Data!AD686)</f>
        <v/>
      </c>
      <c r="P696" s="167" t="str">
        <f>IF(ISBLANK(DaqBook_RAW_Data!AE686),"",DaqBook_RAW_Data!AE686)</f>
        <v/>
      </c>
    </row>
    <row r="697" spans="1:16" x14ac:dyDescent="0.2">
      <c r="A697" s="58" t="e">
        <f t="shared" si="10"/>
        <v>#VALUE!</v>
      </c>
      <c r="B697" s="144" t="str">
        <f>IF(ISBLANK(DaqBook_RAW_Data!Q687),IF(DaqBook_RAW_Data!A687="","",TIMEVALUE(DaqBook_RAW_Data!A687)),TIMEVALUE(DaqBook_RAW_Data!Q687))</f>
        <v/>
      </c>
      <c r="C697" s="167" t="str">
        <f>IF(ISBLANK(DaqBook_RAW_Data!R687),"",DaqBook_RAW_Data!R687)</f>
        <v/>
      </c>
      <c r="D697" s="167" t="str">
        <f>IF(ISBLANK(DaqBook_RAW_Data!S687),"",DaqBook_RAW_Data!S687)</f>
        <v/>
      </c>
      <c r="E697" s="167" t="str">
        <f>IF(ISBLANK(DaqBook_RAW_Data!T687),"",DaqBook_RAW_Data!T687)</f>
        <v/>
      </c>
      <c r="F697" s="167" t="str">
        <f>IF(ISBLANK(DaqBook_RAW_Data!U687),"",DaqBook_RAW_Data!U687)</f>
        <v/>
      </c>
      <c r="G697" s="167" t="str">
        <f>IF(ISBLANK(DaqBook_RAW_Data!V687),"",DaqBook_RAW_Data!V687)</f>
        <v/>
      </c>
      <c r="H697" s="167" t="str">
        <f>IF(ISBLANK(DaqBook_RAW_Data!W687),"",DaqBook_RAW_Data!W687)</f>
        <v/>
      </c>
      <c r="I697" s="167" t="str">
        <f>IF(ISBLANK(DaqBook_RAW_Data!X687),"",DaqBook_RAW_Data!X687)</f>
        <v/>
      </c>
      <c r="J697" s="167" t="str">
        <f>IF(ISBLANK(DaqBook_RAW_Data!Y687),"",DaqBook_RAW_Data!Y687)</f>
        <v/>
      </c>
      <c r="K697" s="167" t="str">
        <f>IF(ISBLANK(DaqBook_RAW_Data!Z687),"",DaqBook_RAW_Data!Z687)</f>
        <v/>
      </c>
      <c r="L697" s="167" t="str">
        <f>IF(ISBLANK(DaqBook_RAW_Data!AA687),"",DaqBook_RAW_Data!AA687)</f>
        <v/>
      </c>
      <c r="M697" s="167" t="str">
        <f>IF(ISBLANK(DaqBook_RAW_Data!AB687),"",DaqBook_RAW_Data!AB687)</f>
        <v/>
      </c>
      <c r="N697" s="167" t="str">
        <f>IF(ISBLANK(DaqBook_RAW_Data!AC687),"",DaqBook_RAW_Data!AC687)</f>
        <v/>
      </c>
      <c r="O697" s="167" t="str">
        <f>IF(ISBLANK(DaqBook_RAW_Data!AD687),"",DaqBook_RAW_Data!AD687)</f>
        <v/>
      </c>
      <c r="P697" s="167" t="str">
        <f>IF(ISBLANK(DaqBook_RAW_Data!AE687),"",DaqBook_RAW_Data!AE687)</f>
        <v/>
      </c>
    </row>
    <row r="698" spans="1:16" x14ac:dyDescent="0.2">
      <c r="A698" s="58" t="e">
        <f t="shared" si="10"/>
        <v>#VALUE!</v>
      </c>
      <c r="B698" s="144" t="str">
        <f>IF(ISBLANK(DaqBook_RAW_Data!Q688),IF(DaqBook_RAW_Data!A688="","",TIMEVALUE(DaqBook_RAW_Data!A688)),TIMEVALUE(DaqBook_RAW_Data!Q688))</f>
        <v/>
      </c>
      <c r="C698" s="167" t="str">
        <f>IF(ISBLANK(DaqBook_RAW_Data!R688),"",DaqBook_RAW_Data!R688)</f>
        <v/>
      </c>
      <c r="D698" s="167" t="str">
        <f>IF(ISBLANK(DaqBook_RAW_Data!S688),"",DaqBook_RAW_Data!S688)</f>
        <v/>
      </c>
      <c r="E698" s="167" t="str">
        <f>IF(ISBLANK(DaqBook_RAW_Data!T688),"",DaqBook_RAW_Data!T688)</f>
        <v/>
      </c>
      <c r="F698" s="167" t="str">
        <f>IF(ISBLANK(DaqBook_RAW_Data!U688),"",DaqBook_RAW_Data!U688)</f>
        <v/>
      </c>
      <c r="G698" s="167" t="str">
        <f>IF(ISBLANK(DaqBook_RAW_Data!V688),"",DaqBook_RAW_Data!V688)</f>
        <v/>
      </c>
      <c r="H698" s="167" t="str">
        <f>IF(ISBLANK(DaqBook_RAW_Data!W688),"",DaqBook_RAW_Data!W688)</f>
        <v/>
      </c>
      <c r="I698" s="167" t="str">
        <f>IF(ISBLANK(DaqBook_RAW_Data!X688),"",DaqBook_RAW_Data!X688)</f>
        <v/>
      </c>
      <c r="J698" s="167" t="str">
        <f>IF(ISBLANK(DaqBook_RAW_Data!Y688),"",DaqBook_RAW_Data!Y688)</f>
        <v/>
      </c>
      <c r="K698" s="167" t="str">
        <f>IF(ISBLANK(DaqBook_RAW_Data!Z688),"",DaqBook_RAW_Data!Z688)</f>
        <v/>
      </c>
      <c r="L698" s="167" t="str">
        <f>IF(ISBLANK(DaqBook_RAW_Data!AA688),"",DaqBook_RAW_Data!AA688)</f>
        <v/>
      </c>
      <c r="M698" s="167" t="str">
        <f>IF(ISBLANK(DaqBook_RAW_Data!AB688),"",DaqBook_RAW_Data!AB688)</f>
        <v/>
      </c>
      <c r="N698" s="167" t="str">
        <f>IF(ISBLANK(DaqBook_RAW_Data!AC688),"",DaqBook_RAW_Data!AC688)</f>
        <v/>
      </c>
      <c r="O698" s="167" t="str">
        <f>IF(ISBLANK(DaqBook_RAW_Data!AD688),"",DaqBook_RAW_Data!AD688)</f>
        <v/>
      </c>
      <c r="P698" s="167" t="str">
        <f>IF(ISBLANK(DaqBook_RAW_Data!AE688),"",DaqBook_RAW_Data!AE688)</f>
        <v/>
      </c>
    </row>
    <row r="699" spans="1:16" x14ac:dyDescent="0.2">
      <c r="A699" s="58" t="e">
        <f t="shared" si="10"/>
        <v>#VALUE!</v>
      </c>
      <c r="B699" s="144" t="str">
        <f>IF(ISBLANK(DaqBook_RAW_Data!Q689),IF(DaqBook_RAW_Data!A689="","",TIMEVALUE(DaqBook_RAW_Data!A689)),TIMEVALUE(DaqBook_RAW_Data!Q689))</f>
        <v/>
      </c>
      <c r="C699" s="167" t="str">
        <f>IF(ISBLANK(DaqBook_RAW_Data!R689),"",DaqBook_RAW_Data!R689)</f>
        <v/>
      </c>
      <c r="D699" s="167" t="str">
        <f>IF(ISBLANK(DaqBook_RAW_Data!S689),"",DaqBook_RAW_Data!S689)</f>
        <v/>
      </c>
      <c r="E699" s="167" t="str">
        <f>IF(ISBLANK(DaqBook_RAW_Data!T689),"",DaqBook_RAW_Data!T689)</f>
        <v/>
      </c>
      <c r="F699" s="167" t="str">
        <f>IF(ISBLANK(DaqBook_RAW_Data!U689),"",DaqBook_RAW_Data!U689)</f>
        <v/>
      </c>
      <c r="G699" s="167" t="str">
        <f>IF(ISBLANK(DaqBook_RAW_Data!V689),"",DaqBook_RAW_Data!V689)</f>
        <v/>
      </c>
      <c r="H699" s="167" t="str">
        <f>IF(ISBLANK(DaqBook_RAW_Data!W689),"",DaqBook_RAW_Data!W689)</f>
        <v/>
      </c>
      <c r="I699" s="167" t="str">
        <f>IF(ISBLANK(DaqBook_RAW_Data!X689),"",DaqBook_RAW_Data!X689)</f>
        <v/>
      </c>
      <c r="J699" s="167" t="str">
        <f>IF(ISBLANK(DaqBook_RAW_Data!Y689),"",DaqBook_RAW_Data!Y689)</f>
        <v/>
      </c>
      <c r="K699" s="167" t="str">
        <f>IF(ISBLANK(DaqBook_RAW_Data!Z689),"",DaqBook_RAW_Data!Z689)</f>
        <v/>
      </c>
      <c r="L699" s="167" t="str">
        <f>IF(ISBLANK(DaqBook_RAW_Data!AA689),"",DaqBook_RAW_Data!AA689)</f>
        <v/>
      </c>
      <c r="M699" s="167" t="str">
        <f>IF(ISBLANK(DaqBook_RAW_Data!AB689),"",DaqBook_RAW_Data!AB689)</f>
        <v/>
      </c>
      <c r="N699" s="167" t="str">
        <f>IF(ISBLANK(DaqBook_RAW_Data!AC689),"",DaqBook_RAW_Data!AC689)</f>
        <v/>
      </c>
      <c r="O699" s="167" t="str">
        <f>IF(ISBLANK(DaqBook_RAW_Data!AD689),"",DaqBook_RAW_Data!AD689)</f>
        <v/>
      </c>
      <c r="P699" s="167" t="str">
        <f>IF(ISBLANK(DaqBook_RAW_Data!AE689),"",DaqBook_RAW_Data!AE689)</f>
        <v/>
      </c>
    </row>
    <row r="700" spans="1:16" x14ac:dyDescent="0.2">
      <c r="A700" s="58" t="e">
        <f t="shared" si="10"/>
        <v>#VALUE!</v>
      </c>
      <c r="B700" s="144" t="str">
        <f>IF(ISBLANK(DaqBook_RAW_Data!Q690),IF(DaqBook_RAW_Data!A690="","",TIMEVALUE(DaqBook_RAW_Data!A690)),TIMEVALUE(DaqBook_RAW_Data!Q690))</f>
        <v/>
      </c>
      <c r="C700" s="167" t="str">
        <f>IF(ISBLANK(DaqBook_RAW_Data!R690),"",DaqBook_RAW_Data!R690)</f>
        <v/>
      </c>
      <c r="D700" s="167" t="str">
        <f>IF(ISBLANK(DaqBook_RAW_Data!S690),"",DaqBook_RAW_Data!S690)</f>
        <v/>
      </c>
      <c r="E700" s="167" t="str">
        <f>IF(ISBLANK(DaqBook_RAW_Data!T690),"",DaqBook_RAW_Data!T690)</f>
        <v/>
      </c>
      <c r="F700" s="167" t="str">
        <f>IF(ISBLANK(DaqBook_RAW_Data!U690),"",DaqBook_RAW_Data!U690)</f>
        <v/>
      </c>
      <c r="G700" s="167" t="str">
        <f>IF(ISBLANK(DaqBook_RAW_Data!V690),"",DaqBook_RAW_Data!V690)</f>
        <v/>
      </c>
      <c r="H700" s="167" t="str">
        <f>IF(ISBLANK(DaqBook_RAW_Data!W690),"",DaqBook_RAW_Data!W690)</f>
        <v/>
      </c>
      <c r="I700" s="167" t="str">
        <f>IF(ISBLANK(DaqBook_RAW_Data!X690),"",DaqBook_RAW_Data!X690)</f>
        <v/>
      </c>
      <c r="J700" s="167" t="str">
        <f>IF(ISBLANK(DaqBook_RAW_Data!Y690),"",DaqBook_RAW_Data!Y690)</f>
        <v/>
      </c>
      <c r="K700" s="167" t="str">
        <f>IF(ISBLANK(DaqBook_RAW_Data!Z690),"",DaqBook_RAW_Data!Z690)</f>
        <v/>
      </c>
      <c r="L700" s="167" t="str">
        <f>IF(ISBLANK(DaqBook_RAW_Data!AA690),"",DaqBook_RAW_Data!AA690)</f>
        <v/>
      </c>
      <c r="M700" s="167" t="str">
        <f>IF(ISBLANK(DaqBook_RAW_Data!AB690),"",DaqBook_RAW_Data!AB690)</f>
        <v/>
      </c>
      <c r="N700" s="167" t="str">
        <f>IF(ISBLANK(DaqBook_RAW_Data!AC690),"",DaqBook_RAW_Data!AC690)</f>
        <v/>
      </c>
      <c r="O700" s="167" t="str">
        <f>IF(ISBLANK(DaqBook_RAW_Data!AD690),"",DaqBook_RAW_Data!AD690)</f>
        <v/>
      </c>
      <c r="P700" s="167" t="str">
        <f>IF(ISBLANK(DaqBook_RAW_Data!AE690),"",DaqBook_RAW_Data!AE690)</f>
        <v/>
      </c>
    </row>
    <row r="701" spans="1:16" x14ac:dyDescent="0.2">
      <c r="A701" s="58" t="e">
        <f t="shared" si="10"/>
        <v>#VALUE!</v>
      </c>
      <c r="B701" s="144" t="str">
        <f>IF(ISBLANK(DaqBook_RAW_Data!Q691),IF(DaqBook_RAW_Data!A691="","",TIMEVALUE(DaqBook_RAW_Data!A691)),TIMEVALUE(DaqBook_RAW_Data!Q691))</f>
        <v/>
      </c>
      <c r="C701" s="167" t="str">
        <f>IF(ISBLANK(DaqBook_RAW_Data!R691),"",DaqBook_RAW_Data!R691)</f>
        <v/>
      </c>
      <c r="D701" s="167" t="str">
        <f>IF(ISBLANK(DaqBook_RAW_Data!S691),"",DaqBook_RAW_Data!S691)</f>
        <v/>
      </c>
      <c r="E701" s="167" t="str">
        <f>IF(ISBLANK(DaqBook_RAW_Data!T691),"",DaqBook_RAW_Data!T691)</f>
        <v/>
      </c>
      <c r="F701" s="167" t="str">
        <f>IF(ISBLANK(DaqBook_RAW_Data!U691),"",DaqBook_RAW_Data!U691)</f>
        <v/>
      </c>
      <c r="G701" s="167" t="str">
        <f>IF(ISBLANK(DaqBook_RAW_Data!V691),"",DaqBook_RAW_Data!V691)</f>
        <v/>
      </c>
      <c r="H701" s="167" t="str">
        <f>IF(ISBLANK(DaqBook_RAW_Data!W691),"",DaqBook_RAW_Data!W691)</f>
        <v/>
      </c>
      <c r="I701" s="167" t="str">
        <f>IF(ISBLANK(DaqBook_RAW_Data!X691),"",DaqBook_RAW_Data!X691)</f>
        <v/>
      </c>
      <c r="J701" s="167" t="str">
        <f>IF(ISBLANK(DaqBook_RAW_Data!Y691),"",DaqBook_RAW_Data!Y691)</f>
        <v/>
      </c>
      <c r="K701" s="167" t="str">
        <f>IF(ISBLANK(DaqBook_RAW_Data!Z691),"",DaqBook_RAW_Data!Z691)</f>
        <v/>
      </c>
      <c r="L701" s="167" t="str">
        <f>IF(ISBLANK(DaqBook_RAW_Data!AA691),"",DaqBook_RAW_Data!AA691)</f>
        <v/>
      </c>
      <c r="M701" s="167" t="str">
        <f>IF(ISBLANK(DaqBook_RAW_Data!AB691),"",DaqBook_RAW_Data!AB691)</f>
        <v/>
      </c>
      <c r="N701" s="167" t="str">
        <f>IF(ISBLANK(DaqBook_RAW_Data!AC691),"",DaqBook_RAW_Data!AC691)</f>
        <v/>
      </c>
      <c r="O701" s="167" t="str">
        <f>IF(ISBLANK(DaqBook_RAW_Data!AD691),"",DaqBook_RAW_Data!AD691)</f>
        <v/>
      </c>
      <c r="P701" s="167" t="str">
        <f>IF(ISBLANK(DaqBook_RAW_Data!AE691),"",DaqBook_RAW_Data!AE691)</f>
        <v/>
      </c>
    </row>
    <row r="702" spans="1:16" x14ac:dyDescent="0.2">
      <c r="A702" s="58" t="e">
        <f t="shared" si="10"/>
        <v>#VALUE!</v>
      </c>
      <c r="B702" s="144" t="str">
        <f>IF(ISBLANK(DaqBook_RAW_Data!Q692),IF(DaqBook_RAW_Data!A692="","",TIMEVALUE(DaqBook_RAW_Data!A692)),TIMEVALUE(DaqBook_RAW_Data!Q692))</f>
        <v/>
      </c>
      <c r="C702" s="167" t="str">
        <f>IF(ISBLANK(DaqBook_RAW_Data!R692),"",DaqBook_RAW_Data!R692)</f>
        <v/>
      </c>
      <c r="D702" s="167" t="str">
        <f>IF(ISBLANK(DaqBook_RAW_Data!S692),"",DaqBook_RAW_Data!S692)</f>
        <v/>
      </c>
      <c r="E702" s="167" t="str">
        <f>IF(ISBLANK(DaqBook_RAW_Data!T692),"",DaqBook_RAW_Data!T692)</f>
        <v/>
      </c>
      <c r="F702" s="167" t="str">
        <f>IF(ISBLANK(DaqBook_RAW_Data!U692),"",DaqBook_RAW_Data!U692)</f>
        <v/>
      </c>
      <c r="G702" s="167" t="str">
        <f>IF(ISBLANK(DaqBook_RAW_Data!V692),"",DaqBook_RAW_Data!V692)</f>
        <v/>
      </c>
      <c r="H702" s="167" t="str">
        <f>IF(ISBLANK(DaqBook_RAW_Data!W692),"",DaqBook_RAW_Data!W692)</f>
        <v/>
      </c>
      <c r="I702" s="167" t="str">
        <f>IF(ISBLANK(DaqBook_RAW_Data!X692),"",DaqBook_RAW_Data!X692)</f>
        <v/>
      </c>
      <c r="J702" s="167" t="str">
        <f>IF(ISBLANK(DaqBook_RAW_Data!Y692),"",DaqBook_RAW_Data!Y692)</f>
        <v/>
      </c>
      <c r="K702" s="167" t="str">
        <f>IF(ISBLANK(DaqBook_RAW_Data!Z692),"",DaqBook_RAW_Data!Z692)</f>
        <v/>
      </c>
      <c r="L702" s="167" t="str">
        <f>IF(ISBLANK(DaqBook_RAW_Data!AA692),"",DaqBook_RAW_Data!AA692)</f>
        <v/>
      </c>
      <c r="M702" s="167" t="str">
        <f>IF(ISBLANK(DaqBook_RAW_Data!AB692),"",DaqBook_RAW_Data!AB692)</f>
        <v/>
      </c>
      <c r="N702" s="167" t="str">
        <f>IF(ISBLANK(DaqBook_RAW_Data!AC692),"",DaqBook_RAW_Data!AC692)</f>
        <v/>
      </c>
      <c r="O702" s="167" t="str">
        <f>IF(ISBLANK(DaqBook_RAW_Data!AD692),"",DaqBook_RAW_Data!AD692)</f>
        <v/>
      </c>
      <c r="P702" s="167" t="str">
        <f>IF(ISBLANK(DaqBook_RAW_Data!AE692),"",DaqBook_RAW_Data!AE692)</f>
        <v/>
      </c>
    </row>
    <row r="703" spans="1:16" x14ac:dyDescent="0.2">
      <c r="A703" s="58" t="e">
        <f t="shared" si="10"/>
        <v>#VALUE!</v>
      </c>
      <c r="B703" s="144" t="str">
        <f>IF(ISBLANK(DaqBook_RAW_Data!Q693),IF(DaqBook_RAW_Data!A693="","",TIMEVALUE(DaqBook_RAW_Data!A693)),TIMEVALUE(DaqBook_RAW_Data!Q693))</f>
        <v/>
      </c>
      <c r="C703" s="167" t="str">
        <f>IF(ISBLANK(DaqBook_RAW_Data!R693),"",DaqBook_RAW_Data!R693)</f>
        <v/>
      </c>
      <c r="D703" s="167" t="str">
        <f>IF(ISBLANK(DaqBook_RAW_Data!S693),"",DaqBook_RAW_Data!S693)</f>
        <v/>
      </c>
      <c r="E703" s="167" t="str">
        <f>IF(ISBLANK(DaqBook_RAW_Data!T693),"",DaqBook_RAW_Data!T693)</f>
        <v/>
      </c>
      <c r="F703" s="167" t="str">
        <f>IF(ISBLANK(DaqBook_RAW_Data!U693),"",DaqBook_RAW_Data!U693)</f>
        <v/>
      </c>
      <c r="G703" s="167" t="str">
        <f>IF(ISBLANK(DaqBook_RAW_Data!V693),"",DaqBook_RAW_Data!V693)</f>
        <v/>
      </c>
      <c r="H703" s="167" t="str">
        <f>IF(ISBLANK(DaqBook_RAW_Data!W693),"",DaqBook_RAW_Data!W693)</f>
        <v/>
      </c>
      <c r="I703" s="167" t="str">
        <f>IF(ISBLANK(DaqBook_RAW_Data!X693),"",DaqBook_RAW_Data!X693)</f>
        <v/>
      </c>
      <c r="J703" s="167" t="str">
        <f>IF(ISBLANK(DaqBook_RAW_Data!Y693),"",DaqBook_RAW_Data!Y693)</f>
        <v/>
      </c>
      <c r="K703" s="167" t="str">
        <f>IF(ISBLANK(DaqBook_RAW_Data!Z693),"",DaqBook_RAW_Data!Z693)</f>
        <v/>
      </c>
      <c r="L703" s="167" t="str">
        <f>IF(ISBLANK(DaqBook_RAW_Data!AA693),"",DaqBook_RAW_Data!AA693)</f>
        <v/>
      </c>
      <c r="M703" s="167" t="str">
        <f>IF(ISBLANK(DaqBook_RAW_Data!AB693),"",DaqBook_RAW_Data!AB693)</f>
        <v/>
      </c>
      <c r="N703" s="167" t="str">
        <f>IF(ISBLANK(DaqBook_RAW_Data!AC693),"",DaqBook_RAW_Data!AC693)</f>
        <v/>
      </c>
      <c r="O703" s="167" t="str">
        <f>IF(ISBLANK(DaqBook_RAW_Data!AD693),"",DaqBook_RAW_Data!AD693)</f>
        <v/>
      </c>
      <c r="P703" s="167" t="str">
        <f>IF(ISBLANK(DaqBook_RAW_Data!AE693),"",DaqBook_RAW_Data!AE693)</f>
        <v/>
      </c>
    </row>
    <row r="704" spans="1:16" x14ac:dyDescent="0.2">
      <c r="A704" s="58" t="e">
        <f t="shared" si="10"/>
        <v>#VALUE!</v>
      </c>
      <c r="B704" s="144" t="str">
        <f>IF(ISBLANK(DaqBook_RAW_Data!Q694),IF(DaqBook_RAW_Data!A694="","",TIMEVALUE(DaqBook_RAW_Data!A694)),TIMEVALUE(DaqBook_RAW_Data!Q694))</f>
        <v/>
      </c>
      <c r="C704" s="167" t="str">
        <f>IF(ISBLANK(DaqBook_RAW_Data!R694),"",DaqBook_RAW_Data!R694)</f>
        <v/>
      </c>
      <c r="D704" s="167" t="str">
        <f>IF(ISBLANK(DaqBook_RAW_Data!S694),"",DaqBook_RAW_Data!S694)</f>
        <v/>
      </c>
      <c r="E704" s="167" t="str">
        <f>IF(ISBLANK(DaqBook_RAW_Data!T694),"",DaqBook_RAW_Data!T694)</f>
        <v/>
      </c>
      <c r="F704" s="167" t="str">
        <f>IF(ISBLANK(DaqBook_RAW_Data!U694),"",DaqBook_RAW_Data!U694)</f>
        <v/>
      </c>
      <c r="G704" s="167" t="str">
        <f>IF(ISBLANK(DaqBook_RAW_Data!V694),"",DaqBook_RAW_Data!V694)</f>
        <v/>
      </c>
      <c r="H704" s="167" t="str">
        <f>IF(ISBLANK(DaqBook_RAW_Data!W694),"",DaqBook_RAW_Data!W694)</f>
        <v/>
      </c>
      <c r="I704" s="167" t="str">
        <f>IF(ISBLANK(DaqBook_RAW_Data!X694),"",DaqBook_RAW_Data!X694)</f>
        <v/>
      </c>
      <c r="J704" s="167" t="str">
        <f>IF(ISBLANK(DaqBook_RAW_Data!Y694),"",DaqBook_RAW_Data!Y694)</f>
        <v/>
      </c>
      <c r="K704" s="167" t="str">
        <f>IF(ISBLANK(DaqBook_RAW_Data!Z694),"",DaqBook_RAW_Data!Z694)</f>
        <v/>
      </c>
      <c r="L704" s="167" t="str">
        <f>IF(ISBLANK(DaqBook_RAW_Data!AA694),"",DaqBook_RAW_Data!AA694)</f>
        <v/>
      </c>
      <c r="M704" s="167" t="str">
        <f>IF(ISBLANK(DaqBook_RAW_Data!AB694),"",DaqBook_RAW_Data!AB694)</f>
        <v/>
      </c>
      <c r="N704" s="167" t="str">
        <f>IF(ISBLANK(DaqBook_RAW_Data!AC694),"",DaqBook_RAW_Data!AC694)</f>
        <v/>
      </c>
      <c r="O704" s="167" t="str">
        <f>IF(ISBLANK(DaqBook_RAW_Data!AD694),"",DaqBook_RAW_Data!AD694)</f>
        <v/>
      </c>
      <c r="P704" s="167" t="str">
        <f>IF(ISBLANK(DaqBook_RAW_Data!AE694),"",DaqBook_RAW_Data!AE694)</f>
        <v/>
      </c>
    </row>
    <row r="705" spans="1:16" x14ac:dyDescent="0.2">
      <c r="A705" s="58" t="e">
        <f t="shared" si="10"/>
        <v>#VALUE!</v>
      </c>
      <c r="B705" s="144" t="str">
        <f>IF(ISBLANK(DaqBook_RAW_Data!Q695),IF(DaqBook_RAW_Data!A695="","",TIMEVALUE(DaqBook_RAW_Data!A695)),TIMEVALUE(DaqBook_RAW_Data!Q695))</f>
        <v/>
      </c>
      <c r="C705" s="167" t="str">
        <f>IF(ISBLANK(DaqBook_RAW_Data!R695),"",DaqBook_RAW_Data!R695)</f>
        <v/>
      </c>
      <c r="D705" s="167" t="str">
        <f>IF(ISBLANK(DaqBook_RAW_Data!S695),"",DaqBook_RAW_Data!S695)</f>
        <v/>
      </c>
      <c r="E705" s="167" t="str">
        <f>IF(ISBLANK(DaqBook_RAW_Data!T695),"",DaqBook_RAW_Data!T695)</f>
        <v/>
      </c>
      <c r="F705" s="167" t="str">
        <f>IF(ISBLANK(DaqBook_RAW_Data!U695),"",DaqBook_RAW_Data!U695)</f>
        <v/>
      </c>
      <c r="G705" s="167" t="str">
        <f>IF(ISBLANK(DaqBook_RAW_Data!V695),"",DaqBook_RAW_Data!V695)</f>
        <v/>
      </c>
      <c r="H705" s="167" t="str">
        <f>IF(ISBLANK(DaqBook_RAW_Data!W695),"",DaqBook_RAW_Data!W695)</f>
        <v/>
      </c>
      <c r="I705" s="167" t="str">
        <f>IF(ISBLANK(DaqBook_RAW_Data!X695),"",DaqBook_RAW_Data!X695)</f>
        <v/>
      </c>
      <c r="J705" s="167" t="str">
        <f>IF(ISBLANK(DaqBook_RAW_Data!Y695),"",DaqBook_RAW_Data!Y695)</f>
        <v/>
      </c>
      <c r="K705" s="167" t="str">
        <f>IF(ISBLANK(DaqBook_RAW_Data!Z695),"",DaqBook_RAW_Data!Z695)</f>
        <v/>
      </c>
      <c r="L705" s="167" t="str">
        <f>IF(ISBLANK(DaqBook_RAW_Data!AA695),"",DaqBook_RAW_Data!AA695)</f>
        <v/>
      </c>
      <c r="M705" s="167" t="str">
        <f>IF(ISBLANK(DaqBook_RAW_Data!AB695),"",DaqBook_RAW_Data!AB695)</f>
        <v/>
      </c>
      <c r="N705" s="167" t="str">
        <f>IF(ISBLANK(DaqBook_RAW_Data!AC695),"",DaqBook_RAW_Data!AC695)</f>
        <v/>
      </c>
      <c r="O705" s="167" t="str">
        <f>IF(ISBLANK(DaqBook_RAW_Data!AD695),"",DaqBook_RAW_Data!AD695)</f>
        <v/>
      </c>
      <c r="P705" s="167" t="str">
        <f>IF(ISBLANK(DaqBook_RAW_Data!AE695),"",DaqBook_RAW_Data!AE695)</f>
        <v/>
      </c>
    </row>
    <row r="706" spans="1:16" x14ac:dyDescent="0.2">
      <c r="A706" s="58" t="e">
        <f t="shared" si="10"/>
        <v>#VALUE!</v>
      </c>
      <c r="B706" s="144" t="str">
        <f>IF(ISBLANK(DaqBook_RAW_Data!Q696),IF(DaqBook_RAW_Data!A696="","",TIMEVALUE(DaqBook_RAW_Data!A696)),TIMEVALUE(DaqBook_RAW_Data!Q696))</f>
        <v/>
      </c>
      <c r="C706" s="167" t="str">
        <f>IF(ISBLANK(DaqBook_RAW_Data!R696),"",DaqBook_RAW_Data!R696)</f>
        <v/>
      </c>
      <c r="D706" s="167" t="str">
        <f>IF(ISBLANK(DaqBook_RAW_Data!S696),"",DaqBook_RAW_Data!S696)</f>
        <v/>
      </c>
      <c r="E706" s="167" t="str">
        <f>IF(ISBLANK(DaqBook_RAW_Data!T696),"",DaqBook_RAW_Data!T696)</f>
        <v/>
      </c>
      <c r="F706" s="167" t="str">
        <f>IF(ISBLANK(DaqBook_RAW_Data!U696),"",DaqBook_RAW_Data!U696)</f>
        <v/>
      </c>
      <c r="G706" s="167" t="str">
        <f>IF(ISBLANK(DaqBook_RAW_Data!V696),"",DaqBook_RAW_Data!V696)</f>
        <v/>
      </c>
      <c r="H706" s="167" t="str">
        <f>IF(ISBLANK(DaqBook_RAW_Data!W696),"",DaqBook_RAW_Data!W696)</f>
        <v/>
      </c>
      <c r="I706" s="167" t="str">
        <f>IF(ISBLANK(DaqBook_RAW_Data!X696),"",DaqBook_RAW_Data!X696)</f>
        <v/>
      </c>
      <c r="J706" s="167" t="str">
        <f>IF(ISBLANK(DaqBook_RAW_Data!Y696),"",DaqBook_RAW_Data!Y696)</f>
        <v/>
      </c>
      <c r="K706" s="167" t="str">
        <f>IF(ISBLANK(DaqBook_RAW_Data!Z696),"",DaqBook_RAW_Data!Z696)</f>
        <v/>
      </c>
      <c r="L706" s="167" t="str">
        <f>IF(ISBLANK(DaqBook_RAW_Data!AA696),"",DaqBook_RAW_Data!AA696)</f>
        <v/>
      </c>
      <c r="M706" s="167" t="str">
        <f>IF(ISBLANK(DaqBook_RAW_Data!AB696),"",DaqBook_RAW_Data!AB696)</f>
        <v/>
      </c>
      <c r="N706" s="167" t="str">
        <f>IF(ISBLANK(DaqBook_RAW_Data!AC696),"",DaqBook_RAW_Data!AC696)</f>
        <v/>
      </c>
      <c r="O706" s="167" t="str">
        <f>IF(ISBLANK(DaqBook_RAW_Data!AD696),"",DaqBook_RAW_Data!AD696)</f>
        <v/>
      </c>
      <c r="P706" s="167" t="str">
        <f>IF(ISBLANK(DaqBook_RAW_Data!AE696),"",DaqBook_RAW_Data!AE696)</f>
        <v/>
      </c>
    </row>
    <row r="707" spans="1:16" x14ac:dyDescent="0.2">
      <c r="A707" s="58" t="e">
        <f t="shared" si="10"/>
        <v>#VALUE!</v>
      </c>
      <c r="B707" s="144" t="str">
        <f>IF(ISBLANK(DaqBook_RAW_Data!Q697),IF(DaqBook_RAW_Data!A697="","",TIMEVALUE(DaqBook_RAW_Data!A697)),TIMEVALUE(DaqBook_RAW_Data!Q697))</f>
        <v/>
      </c>
      <c r="C707" s="167" t="str">
        <f>IF(ISBLANK(DaqBook_RAW_Data!R697),"",DaqBook_RAW_Data!R697)</f>
        <v/>
      </c>
      <c r="D707" s="167" t="str">
        <f>IF(ISBLANK(DaqBook_RAW_Data!S697),"",DaqBook_RAW_Data!S697)</f>
        <v/>
      </c>
      <c r="E707" s="167" t="str">
        <f>IF(ISBLANK(DaqBook_RAW_Data!T697),"",DaqBook_RAW_Data!T697)</f>
        <v/>
      </c>
      <c r="F707" s="167" t="str">
        <f>IF(ISBLANK(DaqBook_RAW_Data!U697),"",DaqBook_RAW_Data!U697)</f>
        <v/>
      </c>
      <c r="G707" s="167" t="str">
        <f>IF(ISBLANK(DaqBook_RAW_Data!V697),"",DaqBook_RAW_Data!V697)</f>
        <v/>
      </c>
      <c r="H707" s="167" t="str">
        <f>IF(ISBLANK(DaqBook_RAW_Data!W697),"",DaqBook_RAW_Data!W697)</f>
        <v/>
      </c>
      <c r="I707" s="167" t="str">
        <f>IF(ISBLANK(DaqBook_RAW_Data!X697),"",DaqBook_RAW_Data!X697)</f>
        <v/>
      </c>
      <c r="J707" s="167" t="str">
        <f>IF(ISBLANK(DaqBook_RAW_Data!Y697),"",DaqBook_RAW_Data!Y697)</f>
        <v/>
      </c>
      <c r="K707" s="167" t="str">
        <f>IF(ISBLANK(DaqBook_RAW_Data!Z697),"",DaqBook_RAW_Data!Z697)</f>
        <v/>
      </c>
      <c r="L707" s="167" t="str">
        <f>IF(ISBLANK(DaqBook_RAW_Data!AA697),"",DaqBook_RAW_Data!AA697)</f>
        <v/>
      </c>
      <c r="M707" s="167" t="str">
        <f>IF(ISBLANK(DaqBook_RAW_Data!AB697),"",DaqBook_RAW_Data!AB697)</f>
        <v/>
      </c>
      <c r="N707" s="167" t="str">
        <f>IF(ISBLANK(DaqBook_RAW_Data!AC697),"",DaqBook_RAW_Data!AC697)</f>
        <v/>
      </c>
      <c r="O707" s="167" t="str">
        <f>IF(ISBLANK(DaqBook_RAW_Data!AD697),"",DaqBook_RAW_Data!AD697)</f>
        <v/>
      </c>
      <c r="P707" s="167" t="str">
        <f>IF(ISBLANK(DaqBook_RAW_Data!AE697),"",DaqBook_RAW_Data!AE697)</f>
        <v/>
      </c>
    </row>
    <row r="708" spans="1:16" x14ac:dyDescent="0.2">
      <c r="A708" s="58" t="e">
        <f t="shared" si="10"/>
        <v>#VALUE!</v>
      </c>
      <c r="B708" s="144" t="str">
        <f>IF(ISBLANK(DaqBook_RAW_Data!Q698),IF(DaqBook_RAW_Data!A698="","",TIMEVALUE(DaqBook_RAW_Data!A698)),TIMEVALUE(DaqBook_RAW_Data!Q698))</f>
        <v/>
      </c>
      <c r="C708" s="167" t="str">
        <f>IF(ISBLANK(DaqBook_RAW_Data!R698),"",DaqBook_RAW_Data!R698)</f>
        <v/>
      </c>
      <c r="D708" s="167" t="str">
        <f>IF(ISBLANK(DaqBook_RAW_Data!S698),"",DaqBook_RAW_Data!S698)</f>
        <v/>
      </c>
      <c r="E708" s="167" t="str">
        <f>IF(ISBLANK(DaqBook_RAW_Data!T698),"",DaqBook_RAW_Data!T698)</f>
        <v/>
      </c>
      <c r="F708" s="167" t="str">
        <f>IF(ISBLANK(DaqBook_RAW_Data!U698),"",DaqBook_RAW_Data!U698)</f>
        <v/>
      </c>
      <c r="G708" s="167" t="str">
        <f>IF(ISBLANK(DaqBook_RAW_Data!V698),"",DaqBook_RAW_Data!V698)</f>
        <v/>
      </c>
      <c r="H708" s="167" t="str">
        <f>IF(ISBLANK(DaqBook_RAW_Data!W698),"",DaqBook_RAW_Data!W698)</f>
        <v/>
      </c>
      <c r="I708" s="167" t="str">
        <f>IF(ISBLANK(DaqBook_RAW_Data!X698),"",DaqBook_RAW_Data!X698)</f>
        <v/>
      </c>
      <c r="J708" s="167" t="str">
        <f>IF(ISBLANK(DaqBook_RAW_Data!Y698),"",DaqBook_RAW_Data!Y698)</f>
        <v/>
      </c>
      <c r="K708" s="167" t="str">
        <f>IF(ISBLANK(DaqBook_RAW_Data!Z698),"",DaqBook_RAW_Data!Z698)</f>
        <v/>
      </c>
      <c r="L708" s="167" t="str">
        <f>IF(ISBLANK(DaqBook_RAW_Data!AA698),"",DaqBook_RAW_Data!AA698)</f>
        <v/>
      </c>
      <c r="M708" s="167" t="str">
        <f>IF(ISBLANK(DaqBook_RAW_Data!AB698),"",DaqBook_RAW_Data!AB698)</f>
        <v/>
      </c>
      <c r="N708" s="167" t="str">
        <f>IF(ISBLANK(DaqBook_RAW_Data!AC698),"",DaqBook_RAW_Data!AC698)</f>
        <v/>
      </c>
      <c r="O708" s="167" t="str">
        <f>IF(ISBLANK(DaqBook_RAW_Data!AD698),"",DaqBook_RAW_Data!AD698)</f>
        <v/>
      </c>
      <c r="P708" s="167" t="str">
        <f>IF(ISBLANK(DaqBook_RAW_Data!AE698),"",DaqBook_RAW_Data!AE698)</f>
        <v/>
      </c>
    </row>
    <row r="709" spans="1:16" x14ac:dyDescent="0.2">
      <c r="A709" s="58" t="e">
        <f t="shared" si="10"/>
        <v>#VALUE!</v>
      </c>
      <c r="B709" s="144" t="str">
        <f>IF(ISBLANK(DaqBook_RAW_Data!Q699),IF(DaqBook_RAW_Data!A699="","",TIMEVALUE(DaqBook_RAW_Data!A699)),TIMEVALUE(DaqBook_RAW_Data!Q699))</f>
        <v/>
      </c>
      <c r="C709" s="167" t="str">
        <f>IF(ISBLANK(DaqBook_RAW_Data!R699),"",DaqBook_RAW_Data!R699)</f>
        <v/>
      </c>
      <c r="D709" s="167" t="str">
        <f>IF(ISBLANK(DaqBook_RAW_Data!S699),"",DaqBook_RAW_Data!S699)</f>
        <v/>
      </c>
      <c r="E709" s="167" t="str">
        <f>IF(ISBLANK(DaqBook_RAW_Data!T699),"",DaqBook_RAW_Data!T699)</f>
        <v/>
      </c>
      <c r="F709" s="167" t="str">
        <f>IF(ISBLANK(DaqBook_RAW_Data!U699),"",DaqBook_RAW_Data!U699)</f>
        <v/>
      </c>
      <c r="G709" s="167" t="str">
        <f>IF(ISBLANK(DaqBook_RAW_Data!V699),"",DaqBook_RAW_Data!V699)</f>
        <v/>
      </c>
      <c r="H709" s="167" t="str">
        <f>IF(ISBLANK(DaqBook_RAW_Data!W699),"",DaqBook_RAW_Data!W699)</f>
        <v/>
      </c>
      <c r="I709" s="167" t="str">
        <f>IF(ISBLANK(DaqBook_RAW_Data!X699),"",DaqBook_RAW_Data!X699)</f>
        <v/>
      </c>
      <c r="J709" s="167" t="str">
        <f>IF(ISBLANK(DaqBook_RAW_Data!Y699),"",DaqBook_RAW_Data!Y699)</f>
        <v/>
      </c>
      <c r="K709" s="167" t="str">
        <f>IF(ISBLANK(DaqBook_RAW_Data!Z699),"",DaqBook_RAW_Data!Z699)</f>
        <v/>
      </c>
      <c r="L709" s="167" t="str">
        <f>IF(ISBLANK(DaqBook_RAW_Data!AA699),"",DaqBook_RAW_Data!AA699)</f>
        <v/>
      </c>
      <c r="M709" s="167" t="str">
        <f>IF(ISBLANK(DaqBook_RAW_Data!AB699),"",DaqBook_RAW_Data!AB699)</f>
        <v/>
      </c>
      <c r="N709" s="167" t="str">
        <f>IF(ISBLANK(DaqBook_RAW_Data!AC699),"",DaqBook_RAW_Data!AC699)</f>
        <v/>
      </c>
      <c r="O709" s="167" t="str">
        <f>IF(ISBLANK(DaqBook_RAW_Data!AD699),"",DaqBook_RAW_Data!AD699)</f>
        <v/>
      </c>
      <c r="P709" s="167" t="str">
        <f>IF(ISBLANK(DaqBook_RAW_Data!AE699),"",DaqBook_RAW_Data!AE699)</f>
        <v/>
      </c>
    </row>
    <row r="710" spans="1:16" x14ac:dyDescent="0.2">
      <c r="A710" s="58" t="e">
        <f t="shared" si="10"/>
        <v>#VALUE!</v>
      </c>
      <c r="B710" s="144" t="str">
        <f>IF(ISBLANK(DaqBook_RAW_Data!Q700),IF(DaqBook_RAW_Data!A700="","",TIMEVALUE(DaqBook_RAW_Data!A700)),TIMEVALUE(DaqBook_RAW_Data!Q700))</f>
        <v/>
      </c>
      <c r="C710" s="167" t="str">
        <f>IF(ISBLANK(DaqBook_RAW_Data!R700),"",DaqBook_RAW_Data!R700)</f>
        <v/>
      </c>
      <c r="D710" s="167" t="str">
        <f>IF(ISBLANK(DaqBook_RAW_Data!S700),"",DaqBook_RAW_Data!S700)</f>
        <v/>
      </c>
      <c r="E710" s="167" t="str">
        <f>IF(ISBLANK(DaqBook_RAW_Data!T700),"",DaqBook_RAW_Data!T700)</f>
        <v/>
      </c>
      <c r="F710" s="167" t="str">
        <f>IF(ISBLANK(DaqBook_RAW_Data!U700),"",DaqBook_RAW_Data!U700)</f>
        <v/>
      </c>
      <c r="G710" s="167" t="str">
        <f>IF(ISBLANK(DaqBook_RAW_Data!V700),"",DaqBook_RAW_Data!V700)</f>
        <v/>
      </c>
      <c r="H710" s="167" t="str">
        <f>IF(ISBLANK(DaqBook_RAW_Data!W700),"",DaqBook_RAW_Data!W700)</f>
        <v/>
      </c>
      <c r="I710" s="167" t="str">
        <f>IF(ISBLANK(DaqBook_RAW_Data!X700),"",DaqBook_RAW_Data!X700)</f>
        <v/>
      </c>
      <c r="J710" s="167" t="str">
        <f>IF(ISBLANK(DaqBook_RAW_Data!Y700),"",DaqBook_RAW_Data!Y700)</f>
        <v/>
      </c>
      <c r="K710" s="167" t="str">
        <f>IF(ISBLANK(DaqBook_RAW_Data!Z700),"",DaqBook_RAW_Data!Z700)</f>
        <v/>
      </c>
      <c r="L710" s="167" t="str">
        <f>IF(ISBLANK(DaqBook_RAW_Data!AA700),"",DaqBook_RAW_Data!AA700)</f>
        <v/>
      </c>
      <c r="M710" s="167" t="str">
        <f>IF(ISBLANK(DaqBook_RAW_Data!AB700),"",DaqBook_RAW_Data!AB700)</f>
        <v/>
      </c>
      <c r="N710" s="167" t="str">
        <f>IF(ISBLANK(DaqBook_RAW_Data!AC700),"",DaqBook_RAW_Data!AC700)</f>
        <v/>
      </c>
      <c r="O710" s="167" t="str">
        <f>IF(ISBLANK(DaqBook_RAW_Data!AD700),"",DaqBook_RAW_Data!AD700)</f>
        <v/>
      </c>
      <c r="P710" s="167" t="str">
        <f>IF(ISBLANK(DaqBook_RAW_Data!AE700),"",DaqBook_RAW_Data!AE700)</f>
        <v/>
      </c>
    </row>
    <row r="711" spans="1:16" x14ac:dyDescent="0.2">
      <c r="A711" s="58" t="e">
        <f t="shared" si="10"/>
        <v>#VALUE!</v>
      </c>
      <c r="B711" s="144" t="str">
        <f>IF(ISBLANK(DaqBook_RAW_Data!Q701),IF(DaqBook_RAW_Data!A701="","",TIMEVALUE(DaqBook_RAW_Data!A701)),TIMEVALUE(DaqBook_RAW_Data!Q701))</f>
        <v/>
      </c>
      <c r="C711" s="167" t="str">
        <f>IF(ISBLANK(DaqBook_RAW_Data!R701),"",DaqBook_RAW_Data!R701)</f>
        <v/>
      </c>
      <c r="D711" s="167" t="str">
        <f>IF(ISBLANK(DaqBook_RAW_Data!S701),"",DaqBook_RAW_Data!S701)</f>
        <v/>
      </c>
      <c r="E711" s="167" t="str">
        <f>IF(ISBLANK(DaqBook_RAW_Data!T701),"",DaqBook_RAW_Data!T701)</f>
        <v/>
      </c>
      <c r="F711" s="167" t="str">
        <f>IF(ISBLANK(DaqBook_RAW_Data!U701),"",DaqBook_RAW_Data!U701)</f>
        <v/>
      </c>
      <c r="G711" s="167" t="str">
        <f>IF(ISBLANK(DaqBook_RAW_Data!V701),"",DaqBook_RAW_Data!V701)</f>
        <v/>
      </c>
      <c r="H711" s="167" t="str">
        <f>IF(ISBLANK(DaqBook_RAW_Data!W701),"",DaqBook_RAW_Data!W701)</f>
        <v/>
      </c>
      <c r="I711" s="167" t="str">
        <f>IF(ISBLANK(DaqBook_RAW_Data!X701),"",DaqBook_RAW_Data!X701)</f>
        <v/>
      </c>
      <c r="J711" s="167" t="str">
        <f>IF(ISBLANK(DaqBook_RAW_Data!Y701),"",DaqBook_RAW_Data!Y701)</f>
        <v/>
      </c>
      <c r="K711" s="167" t="str">
        <f>IF(ISBLANK(DaqBook_RAW_Data!Z701),"",DaqBook_RAW_Data!Z701)</f>
        <v/>
      </c>
      <c r="L711" s="167" t="str">
        <f>IF(ISBLANK(DaqBook_RAW_Data!AA701),"",DaqBook_RAW_Data!AA701)</f>
        <v/>
      </c>
      <c r="M711" s="167" t="str">
        <f>IF(ISBLANK(DaqBook_RAW_Data!AB701),"",DaqBook_RAW_Data!AB701)</f>
        <v/>
      </c>
      <c r="N711" s="167" t="str">
        <f>IF(ISBLANK(DaqBook_RAW_Data!AC701),"",DaqBook_RAW_Data!AC701)</f>
        <v/>
      </c>
      <c r="O711" s="167" t="str">
        <f>IF(ISBLANK(DaqBook_RAW_Data!AD701),"",DaqBook_RAW_Data!AD701)</f>
        <v/>
      </c>
      <c r="P711" s="167" t="str">
        <f>IF(ISBLANK(DaqBook_RAW_Data!AE701),"",DaqBook_RAW_Data!AE701)</f>
        <v/>
      </c>
    </row>
    <row r="712" spans="1:16" x14ac:dyDescent="0.2">
      <c r="A712" s="58" t="e">
        <f t="shared" si="10"/>
        <v>#VALUE!</v>
      </c>
      <c r="B712" s="144" t="str">
        <f>IF(ISBLANK(DaqBook_RAW_Data!Q702),IF(DaqBook_RAW_Data!A702="","",TIMEVALUE(DaqBook_RAW_Data!A702)),TIMEVALUE(DaqBook_RAW_Data!Q702))</f>
        <v/>
      </c>
      <c r="C712" s="167" t="str">
        <f>IF(ISBLANK(DaqBook_RAW_Data!R702),"",DaqBook_RAW_Data!R702)</f>
        <v/>
      </c>
      <c r="D712" s="167" t="str">
        <f>IF(ISBLANK(DaqBook_RAW_Data!S702),"",DaqBook_RAW_Data!S702)</f>
        <v/>
      </c>
      <c r="E712" s="167" t="str">
        <f>IF(ISBLANK(DaqBook_RAW_Data!T702),"",DaqBook_RAW_Data!T702)</f>
        <v/>
      </c>
      <c r="F712" s="167" t="str">
        <f>IF(ISBLANK(DaqBook_RAW_Data!U702),"",DaqBook_RAW_Data!U702)</f>
        <v/>
      </c>
      <c r="G712" s="167" t="str">
        <f>IF(ISBLANK(DaqBook_RAW_Data!V702),"",DaqBook_RAW_Data!V702)</f>
        <v/>
      </c>
      <c r="H712" s="167" t="str">
        <f>IF(ISBLANK(DaqBook_RAW_Data!W702),"",DaqBook_RAW_Data!W702)</f>
        <v/>
      </c>
      <c r="I712" s="167" t="str">
        <f>IF(ISBLANK(DaqBook_RAW_Data!X702),"",DaqBook_RAW_Data!X702)</f>
        <v/>
      </c>
      <c r="J712" s="167" t="str">
        <f>IF(ISBLANK(DaqBook_RAW_Data!Y702),"",DaqBook_RAW_Data!Y702)</f>
        <v/>
      </c>
      <c r="K712" s="167" t="str">
        <f>IF(ISBLANK(DaqBook_RAW_Data!Z702),"",DaqBook_RAW_Data!Z702)</f>
        <v/>
      </c>
      <c r="L712" s="167" t="str">
        <f>IF(ISBLANK(DaqBook_RAW_Data!AA702),"",DaqBook_RAW_Data!AA702)</f>
        <v/>
      </c>
      <c r="M712" s="167" t="str">
        <f>IF(ISBLANK(DaqBook_RAW_Data!AB702),"",DaqBook_RAW_Data!AB702)</f>
        <v/>
      </c>
      <c r="N712" s="167" t="str">
        <f>IF(ISBLANK(DaqBook_RAW_Data!AC702),"",DaqBook_RAW_Data!AC702)</f>
        <v/>
      </c>
      <c r="O712" s="167" t="str">
        <f>IF(ISBLANK(DaqBook_RAW_Data!AD702),"",DaqBook_RAW_Data!AD702)</f>
        <v/>
      </c>
      <c r="P712" s="167" t="str">
        <f>IF(ISBLANK(DaqBook_RAW_Data!AE702),"",DaqBook_RAW_Data!AE702)</f>
        <v/>
      </c>
    </row>
    <row r="713" spans="1:16" x14ac:dyDescent="0.2">
      <c r="A713" s="58" t="e">
        <f t="shared" si="10"/>
        <v>#VALUE!</v>
      </c>
      <c r="B713" s="144" t="str">
        <f>IF(ISBLANK(DaqBook_RAW_Data!Q703),IF(DaqBook_RAW_Data!A703="","",TIMEVALUE(DaqBook_RAW_Data!A703)),TIMEVALUE(DaqBook_RAW_Data!Q703))</f>
        <v/>
      </c>
      <c r="C713" s="167" t="str">
        <f>IF(ISBLANK(DaqBook_RAW_Data!R703),"",DaqBook_RAW_Data!R703)</f>
        <v/>
      </c>
      <c r="D713" s="167" t="str">
        <f>IF(ISBLANK(DaqBook_RAW_Data!S703),"",DaqBook_RAW_Data!S703)</f>
        <v/>
      </c>
      <c r="E713" s="167" t="str">
        <f>IF(ISBLANK(DaqBook_RAW_Data!T703),"",DaqBook_RAW_Data!T703)</f>
        <v/>
      </c>
      <c r="F713" s="167" t="str">
        <f>IF(ISBLANK(DaqBook_RAW_Data!U703),"",DaqBook_RAW_Data!U703)</f>
        <v/>
      </c>
      <c r="G713" s="167" t="str">
        <f>IF(ISBLANK(DaqBook_RAW_Data!V703),"",DaqBook_RAW_Data!V703)</f>
        <v/>
      </c>
      <c r="H713" s="167" t="str">
        <f>IF(ISBLANK(DaqBook_RAW_Data!W703),"",DaqBook_RAW_Data!W703)</f>
        <v/>
      </c>
      <c r="I713" s="167" t="str">
        <f>IF(ISBLANK(DaqBook_RAW_Data!X703),"",DaqBook_RAW_Data!X703)</f>
        <v/>
      </c>
      <c r="J713" s="167" t="str">
        <f>IF(ISBLANK(DaqBook_RAW_Data!Y703),"",DaqBook_RAW_Data!Y703)</f>
        <v/>
      </c>
      <c r="K713" s="167" t="str">
        <f>IF(ISBLANK(DaqBook_RAW_Data!Z703),"",DaqBook_RAW_Data!Z703)</f>
        <v/>
      </c>
      <c r="L713" s="167" t="str">
        <f>IF(ISBLANK(DaqBook_RAW_Data!AA703),"",DaqBook_RAW_Data!AA703)</f>
        <v/>
      </c>
      <c r="M713" s="167" t="str">
        <f>IF(ISBLANK(DaqBook_RAW_Data!AB703),"",DaqBook_RAW_Data!AB703)</f>
        <v/>
      </c>
      <c r="N713" s="167" t="str">
        <f>IF(ISBLANK(DaqBook_RAW_Data!AC703),"",DaqBook_RAW_Data!AC703)</f>
        <v/>
      </c>
      <c r="O713" s="167" t="str">
        <f>IF(ISBLANK(DaqBook_RAW_Data!AD703),"",DaqBook_RAW_Data!AD703)</f>
        <v/>
      </c>
      <c r="P713" s="167" t="str">
        <f>IF(ISBLANK(DaqBook_RAW_Data!AE703),"",DaqBook_RAW_Data!AE703)</f>
        <v/>
      </c>
    </row>
    <row r="714" spans="1:16" x14ac:dyDescent="0.2">
      <c r="A714" s="58" t="e">
        <f t="shared" si="10"/>
        <v>#VALUE!</v>
      </c>
      <c r="B714" s="144" t="str">
        <f>IF(ISBLANK(DaqBook_RAW_Data!Q704),IF(DaqBook_RAW_Data!A704="","",TIMEVALUE(DaqBook_RAW_Data!A704)),TIMEVALUE(DaqBook_RAW_Data!Q704))</f>
        <v/>
      </c>
      <c r="C714" s="167" t="str">
        <f>IF(ISBLANK(DaqBook_RAW_Data!R704),"",DaqBook_RAW_Data!R704)</f>
        <v/>
      </c>
      <c r="D714" s="167" t="str">
        <f>IF(ISBLANK(DaqBook_RAW_Data!S704),"",DaqBook_RAW_Data!S704)</f>
        <v/>
      </c>
      <c r="E714" s="167" t="str">
        <f>IF(ISBLANK(DaqBook_RAW_Data!T704),"",DaqBook_RAW_Data!T704)</f>
        <v/>
      </c>
      <c r="F714" s="167" t="str">
        <f>IF(ISBLANK(DaqBook_RAW_Data!U704),"",DaqBook_RAW_Data!U704)</f>
        <v/>
      </c>
      <c r="G714" s="167" t="str">
        <f>IF(ISBLANK(DaqBook_RAW_Data!V704),"",DaqBook_RAW_Data!V704)</f>
        <v/>
      </c>
      <c r="H714" s="167" t="str">
        <f>IF(ISBLANK(DaqBook_RAW_Data!W704),"",DaqBook_RAW_Data!W704)</f>
        <v/>
      </c>
      <c r="I714" s="167" t="str">
        <f>IF(ISBLANK(DaqBook_RAW_Data!X704),"",DaqBook_RAW_Data!X704)</f>
        <v/>
      </c>
      <c r="J714" s="167" t="str">
        <f>IF(ISBLANK(DaqBook_RAW_Data!Y704),"",DaqBook_RAW_Data!Y704)</f>
        <v/>
      </c>
      <c r="K714" s="167" t="str">
        <f>IF(ISBLANK(DaqBook_RAW_Data!Z704),"",DaqBook_RAW_Data!Z704)</f>
        <v/>
      </c>
      <c r="L714" s="167" t="str">
        <f>IF(ISBLANK(DaqBook_RAW_Data!AA704),"",DaqBook_RAW_Data!AA704)</f>
        <v/>
      </c>
      <c r="M714" s="167" t="str">
        <f>IF(ISBLANK(DaqBook_RAW_Data!AB704),"",DaqBook_RAW_Data!AB704)</f>
        <v/>
      </c>
      <c r="N714" s="167" t="str">
        <f>IF(ISBLANK(DaqBook_RAW_Data!AC704),"",DaqBook_RAW_Data!AC704)</f>
        <v/>
      </c>
      <c r="O714" s="167" t="str">
        <f>IF(ISBLANK(DaqBook_RAW_Data!AD704),"",DaqBook_RAW_Data!AD704)</f>
        <v/>
      </c>
      <c r="P714" s="167" t="str">
        <f>IF(ISBLANK(DaqBook_RAW_Data!AE704),"",DaqBook_RAW_Data!AE704)</f>
        <v/>
      </c>
    </row>
    <row r="715" spans="1:16" x14ac:dyDescent="0.2">
      <c r="A715" s="58" t="e">
        <f t="shared" si="10"/>
        <v>#VALUE!</v>
      </c>
      <c r="B715" s="144" t="str">
        <f>IF(ISBLANK(DaqBook_RAW_Data!Q705),IF(DaqBook_RAW_Data!A705="","",TIMEVALUE(DaqBook_RAW_Data!A705)),TIMEVALUE(DaqBook_RAW_Data!Q705))</f>
        <v/>
      </c>
      <c r="C715" s="167" t="str">
        <f>IF(ISBLANK(DaqBook_RAW_Data!R705),"",DaqBook_RAW_Data!R705)</f>
        <v/>
      </c>
      <c r="D715" s="167" t="str">
        <f>IF(ISBLANK(DaqBook_RAW_Data!S705),"",DaqBook_RAW_Data!S705)</f>
        <v/>
      </c>
      <c r="E715" s="167" t="str">
        <f>IF(ISBLANK(DaqBook_RAW_Data!T705),"",DaqBook_RAW_Data!T705)</f>
        <v/>
      </c>
      <c r="F715" s="167" t="str">
        <f>IF(ISBLANK(DaqBook_RAW_Data!U705),"",DaqBook_RAW_Data!U705)</f>
        <v/>
      </c>
      <c r="G715" s="167" t="str">
        <f>IF(ISBLANK(DaqBook_RAW_Data!V705),"",DaqBook_RAW_Data!V705)</f>
        <v/>
      </c>
      <c r="H715" s="167" t="str">
        <f>IF(ISBLANK(DaqBook_RAW_Data!W705),"",DaqBook_RAW_Data!W705)</f>
        <v/>
      </c>
      <c r="I715" s="167" t="str">
        <f>IF(ISBLANK(DaqBook_RAW_Data!X705),"",DaqBook_RAW_Data!X705)</f>
        <v/>
      </c>
      <c r="J715" s="167" t="str">
        <f>IF(ISBLANK(DaqBook_RAW_Data!Y705),"",DaqBook_RAW_Data!Y705)</f>
        <v/>
      </c>
      <c r="K715" s="167" t="str">
        <f>IF(ISBLANK(DaqBook_RAW_Data!Z705),"",DaqBook_RAW_Data!Z705)</f>
        <v/>
      </c>
      <c r="L715" s="167" t="str">
        <f>IF(ISBLANK(DaqBook_RAW_Data!AA705),"",DaqBook_RAW_Data!AA705)</f>
        <v/>
      </c>
      <c r="M715" s="167" t="str">
        <f>IF(ISBLANK(DaqBook_RAW_Data!AB705),"",DaqBook_RAW_Data!AB705)</f>
        <v/>
      </c>
      <c r="N715" s="167" t="str">
        <f>IF(ISBLANK(DaqBook_RAW_Data!AC705),"",DaqBook_RAW_Data!AC705)</f>
        <v/>
      </c>
      <c r="O715" s="167" t="str">
        <f>IF(ISBLANK(DaqBook_RAW_Data!AD705),"",DaqBook_RAW_Data!AD705)</f>
        <v/>
      </c>
      <c r="P715" s="167" t="str">
        <f>IF(ISBLANK(DaqBook_RAW_Data!AE705),"",DaqBook_RAW_Data!AE705)</f>
        <v/>
      </c>
    </row>
    <row r="716" spans="1:16" x14ac:dyDescent="0.2">
      <c r="A716" s="58" t="e">
        <f t="shared" si="10"/>
        <v>#VALUE!</v>
      </c>
      <c r="B716" s="144" t="str">
        <f>IF(ISBLANK(DaqBook_RAW_Data!Q706),IF(DaqBook_RAW_Data!A706="","",TIMEVALUE(DaqBook_RAW_Data!A706)),TIMEVALUE(DaqBook_RAW_Data!Q706))</f>
        <v/>
      </c>
      <c r="C716" s="167" t="str">
        <f>IF(ISBLANK(DaqBook_RAW_Data!R706),"",DaqBook_RAW_Data!R706)</f>
        <v/>
      </c>
      <c r="D716" s="167" t="str">
        <f>IF(ISBLANK(DaqBook_RAW_Data!S706),"",DaqBook_RAW_Data!S706)</f>
        <v/>
      </c>
      <c r="E716" s="167" t="str">
        <f>IF(ISBLANK(DaqBook_RAW_Data!T706),"",DaqBook_RAW_Data!T706)</f>
        <v/>
      </c>
      <c r="F716" s="167" t="str">
        <f>IF(ISBLANK(DaqBook_RAW_Data!U706),"",DaqBook_RAW_Data!U706)</f>
        <v/>
      </c>
      <c r="G716" s="167" t="str">
        <f>IF(ISBLANK(DaqBook_RAW_Data!V706),"",DaqBook_RAW_Data!V706)</f>
        <v/>
      </c>
      <c r="H716" s="167" t="str">
        <f>IF(ISBLANK(DaqBook_RAW_Data!W706),"",DaqBook_RAW_Data!W706)</f>
        <v/>
      </c>
      <c r="I716" s="167" t="str">
        <f>IF(ISBLANK(DaqBook_RAW_Data!X706),"",DaqBook_RAW_Data!X706)</f>
        <v/>
      </c>
      <c r="J716" s="167" t="str">
        <f>IF(ISBLANK(DaqBook_RAW_Data!Y706),"",DaqBook_RAW_Data!Y706)</f>
        <v/>
      </c>
      <c r="K716" s="167" t="str">
        <f>IF(ISBLANK(DaqBook_RAW_Data!Z706),"",DaqBook_RAW_Data!Z706)</f>
        <v/>
      </c>
      <c r="L716" s="167" t="str">
        <f>IF(ISBLANK(DaqBook_RAW_Data!AA706),"",DaqBook_RAW_Data!AA706)</f>
        <v/>
      </c>
      <c r="M716" s="167" t="str">
        <f>IF(ISBLANK(DaqBook_RAW_Data!AB706),"",DaqBook_RAW_Data!AB706)</f>
        <v/>
      </c>
      <c r="N716" s="167" t="str">
        <f>IF(ISBLANK(DaqBook_RAW_Data!AC706),"",DaqBook_RAW_Data!AC706)</f>
        <v/>
      </c>
      <c r="O716" s="167" t="str">
        <f>IF(ISBLANK(DaqBook_RAW_Data!AD706),"",DaqBook_RAW_Data!AD706)</f>
        <v/>
      </c>
      <c r="P716" s="167" t="str">
        <f>IF(ISBLANK(DaqBook_RAW_Data!AE706),"",DaqBook_RAW_Data!AE706)</f>
        <v/>
      </c>
    </row>
    <row r="717" spans="1:16" x14ac:dyDescent="0.2">
      <c r="A717" s="58" t="e">
        <f t="shared" si="10"/>
        <v>#VALUE!</v>
      </c>
      <c r="B717" s="144" t="str">
        <f>IF(ISBLANK(DaqBook_RAW_Data!Q707),IF(DaqBook_RAW_Data!A707="","",TIMEVALUE(DaqBook_RAW_Data!A707)),TIMEVALUE(DaqBook_RAW_Data!Q707))</f>
        <v/>
      </c>
      <c r="C717" s="167" t="str">
        <f>IF(ISBLANK(DaqBook_RAW_Data!R707),"",DaqBook_RAW_Data!R707)</f>
        <v/>
      </c>
      <c r="D717" s="167" t="str">
        <f>IF(ISBLANK(DaqBook_RAW_Data!S707),"",DaqBook_RAW_Data!S707)</f>
        <v/>
      </c>
      <c r="E717" s="167" t="str">
        <f>IF(ISBLANK(DaqBook_RAW_Data!T707),"",DaqBook_RAW_Data!T707)</f>
        <v/>
      </c>
      <c r="F717" s="167" t="str">
        <f>IF(ISBLANK(DaqBook_RAW_Data!U707),"",DaqBook_RAW_Data!U707)</f>
        <v/>
      </c>
      <c r="G717" s="167" t="str">
        <f>IF(ISBLANK(DaqBook_RAW_Data!V707),"",DaqBook_RAW_Data!V707)</f>
        <v/>
      </c>
      <c r="H717" s="167" t="str">
        <f>IF(ISBLANK(DaqBook_RAW_Data!W707),"",DaqBook_RAW_Data!W707)</f>
        <v/>
      </c>
      <c r="I717" s="167" t="str">
        <f>IF(ISBLANK(DaqBook_RAW_Data!X707),"",DaqBook_RAW_Data!X707)</f>
        <v/>
      </c>
      <c r="J717" s="167" t="str">
        <f>IF(ISBLANK(DaqBook_RAW_Data!Y707),"",DaqBook_RAW_Data!Y707)</f>
        <v/>
      </c>
      <c r="K717" s="167" t="str">
        <f>IF(ISBLANK(DaqBook_RAW_Data!Z707),"",DaqBook_RAW_Data!Z707)</f>
        <v/>
      </c>
      <c r="L717" s="167" t="str">
        <f>IF(ISBLANK(DaqBook_RAW_Data!AA707),"",DaqBook_RAW_Data!AA707)</f>
        <v/>
      </c>
      <c r="M717" s="167" t="str">
        <f>IF(ISBLANK(DaqBook_RAW_Data!AB707),"",DaqBook_RAW_Data!AB707)</f>
        <v/>
      </c>
      <c r="N717" s="167" t="str">
        <f>IF(ISBLANK(DaqBook_RAW_Data!AC707),"",DaqBook_RAW_Data!AC707)</f>
        <v/>
      </c>
      <c r="O717" s="167" t="str">
        <f>IF(ISBLANK(DaqBook_RAW_Data!AD707),"",DaqBook_RAW_Data!AD707)</f>
        <v/>
      </c>
      <c r="P717" s="167" t="str">
        <f>IF(ISBLANK(DaqBook_RAW_Data!AE707),"",DaqBook_RAW_Data!AE707)</f>
        <v/>
      </c>
    </row>
    <row r="718" spans="1:16" x14ac:dyDescent="0.2">
      <c r="A718" s="58" t="e">
        <f t="shared" si="10"/>
        <v>#VALUE!</v>
      </c>
      <c r="B718" s="144" t="str">
        <f>IF(ISBLANK(DaqBook_RAW_Data!Q708),IF(DaqBook_RAW_Data!A708="","",TIMEVALUE(DaqBook_RAW_Data!A708)),TIMEVALUE(DaqBook_RAW_Data!Q708))</f>
        <v/>
      </c>
      <c r="C718" s="167" t="str">
        <f>IF(ISBLANK(DaqBook_RAW_Data!R708),"",DaqBook_RAW_Data!R708)</f>
        <v/>
      </c>
      <c r="D718" s="167" t="str">
        <f>IF(ISBLANK(DaqBook_RAW_Data!S708),"",DaqBook_RAW_Data!S708)</f>
        <v/>
      </c>
      <c r="E718" s="167" t="str">
        <f>IF(ISBLANK(DaqBook_RAW_Data!T708),"",DaqBook_RAW_Data!T708)</f>
        <v/>
      </c>
      <c r="F718" s="167" t="str">
        <f>IF(ISBLANK(DaqBook_RAW_Data!U708),"",DaqBook_RAW_Data!U708)</f>
        <v/>
      </c>
      <c r="G718" s="167" t="str">
        <f>IF(ISBLANK(DaqBook_RAW_Data!V708),"",DaqBook_RAW_Data!V708)</f>
        <v/>
      </c>
      <c r="H718" s="167" t="str">
        <f>IF(ISBLANK(DaqBook_RAW_Data!W708),"",DaqBook_RAW_Data!W708)</f>
        <v/>
      </c>
      <c r="I718" s="167" t="str">
        <f>IF(ISBLANK(DaqBook_RAW_Data!X708),"",DaqBook_RAW_Data!X708)</f>
        <v/>
      </c>
      <c r="J718" s="167" t="str">
        <f>IF(ISBLANK(DaqBook_RAW_Data!Y708),"",DaqBook_RAW_Data!Y708)</f>
        <v/>
      </c>
      <c r="K718" s="167" t="str">
        <f>IF(ISBLANK(DaqBook_RAW_Data!Z708),"",DaqBook_RAW_Data!Z708)</f>
        <v/>
      </c>
      <c r="L718" s="167" t="str">
        <f>IF(ISBLANK(DaqBook_RAW_Data!AA708),"",DaqBook_RAW_Data!AA708)</f>
        <v/>
      </c>
      <c r="M718" s="167" t="str">
        <f>IF(ISBLANK(DaqBook_RAW_Data!AB708),"",DaqBook_RAW_Data!AB708)</f>
        <v/>
      </c>
      <c r="N718" s="167" t="str">
        <f>IF(ISBLANK(DaqBook_RAW_Data!AC708),"",DaqBook_RAW_Data!AC708)</f>
        <v/>
      </c>
      <c r="O718" s="167" t="str">
        <f>IF(ISBLANK(DaqBook_RAW_Data!AD708),"",DaqBook_RAW_Data!AD708)</f>
        <v/>
      </c>
      <c r="P718" s="167" t="str">
        <f>IF(ISBLANK(DaqBook_RAW_Data!AE708),"",DaqBook_RAW_Data!AE708)</f>
        <v/>
      </c>
    </row>
    <row r="719" spans="1:16" x14ac:dyDescent="0.2">
      <c r="A719" s="58" t="e">
        <f t="shared" ref="A719:A782" si="11">HOUR(B719)&amp;":"&amp;MINUTE(B719)</f>
        <v>#VALUE!</v>
      </c>
      <c r="B719" s="144" t="str">
        <f>IF(ISBLANK(DaqBook_RAW_Data!Q709),IF(DaqBook_RAW_Data!A709="","",TIMEVALUE(DaqBook_RAW_Data!A709)),TIMEVALUE(DaqBook_RAW_Data!Q709))</f>
        <v/>
      </c>
      <c r="C719" s="167" t="str">
        <f>IF(ISBLANK(DaqBook_RAW_Data!R709),"",DaqBook_RAW_Data!R709)</f>
        <v/>
      </c>
      <c r="D719" s="167" t="str">
        <f>IF(ISBLANK(DaqBook_RAW_Data!S709),"",DaqBook_RAW_Data!S709)</f>
        <v/>
      </c>
      <c r="E719" s="167" t="str">
        <f>IF(ISBLANK(DaqBook_RAW_Data!T709),"",DaqBook_RAW_Data!T709)</f>
        <v/>
      </c>
      <c r="F719" s="167" t="str">
        <f>IF(ISBLANK(DaqBook_RAW_Data!U709),"",DaqBook_RAW_Data!U709)</f>
        <v/>
      </c>
      <c r="G719" s="167" t="str">
        <f>IF(ISBLANK(DaqBook_RAW_Data!V709),"",DaqBook_RAW_Data!V709)</f>
        <v/>
      </c>
      <c r="H719" s="167" t="str">
        <f>IF(ISBLANK(DaqBook_RAW_Data!W709),"",DaqBook_RAW_Data!W709)</f>
        <v/>
      </c>
      <c r="I719" s="167" t="str">
        <f>IF(ISBLANK(DaqBook_RAW_Data!X709),"",DaqBook_RAW_Data!X709)</f>
        <v/>
      </c>
      <c r="J719" s="167" t="str">
        <f>IF(ISBLANK(DaqBook_RAW_Data!Y709),"",DaqBook_RAW_Data!Y709)</f>
        <v/>
      </c>
      <c r="K719" s="167" t="str">
        <f>IF(ISBLANK(DaqBook_RAW_Data!Z709),"",DaqBook_RAW_Data!Z709)</f>
        <v/>
      </c>
      <c r="L719" s="167" t="str">
        <f>IF(ISBLANK(DaqBook_RAW_Data!AA709),"",DaqBook_RAW_Data!AA709)</f>
        <v/>
      </c>
      <c r="M719" s="167" t="str">
        <f>IF(ISBLANK(DaqBook_RAW_Data!AB709),"",DaqBook_RAW_Data!AB709)</f>
        <v/>
      </c>
      <c r="N719" s="167" t="str">
        <f>IF(ISBLANK(DaqBook_RAW_Data!AC709),"",DaqBook_RAW_Data!AC709)</f>
        <v/>
      </c>
      <c r="O719" s="167" t="str">
        <f>IF(ISBLANK(DaqBook_RAW_Data!AD709),"",DaqBook_RAW_Data!AD709)</f>
        <v/>
      </c>
      <c r="P719" s="167" t="str">
        <f>IF(ISBLANK(DaqBook_RAW_Data!AE709),"",DaqBook_RAW_Data!AE709)</f>
        <v/>
      </c>
    </row>
    <row r="720" spans="1:16" x14ac:dyDescent="0.2">
      <c r="A720" s="58" t="e">
        <f t="shared" si="11"/>
        <v>#VALUE!</v>
      </c>
      <c r="B720" s="144" t="str">
        <f>IF(ISBLANK(DaqBook_RAW_Data!Q710),IF(DaqBook_RAW_Data!A710="","",TIMEVALUE(DaqBook_RAW_Data!A710)),TIMEVALUE(DaqBook_RAW_Data!Q710))</f>
        <v/>
      </c>
      <c r="C720" s="167" t="str">
        <f>IF(ISBLANK(DaqBook_RAW_Data!R710),"",DaqBook_RAW_Data!R710)</f>
        <v/>
      </c>
      <c r="D720" s="167" t="str">
        <f>IF(ISBLANK(DaqBook_RAW_Data!S710),"",DaqBook_RAW_Data!S710)</f>
        <v/>
      </c>
      <c r="E720" s="167" t="str">
        <f>IF(ISBLANK(DaqBook_RAW_Data!T710),"",DaqBook_RAW_Data!T710)</f>
        <v/>
      </c>
      <c r="F720" s="167" t="str">
        <f>IF(ISBLANK(DaqBook_RAW_Data!U710),"",DaqBook_RAW_Data!U710)</f>
        <v/>
      </c>
      <c r="G720" s="167" t="str">
        <f>IF(ISBLANK(DaqBook_RAW_Data!V710),"",DaqBook_RAW_Data!V710)</f>
        <v/>
      </c>
      <c r="H720" s="167" t="str">
        <f>IF(ISBLANK(DaqBook_RAW_Data!W710),"",DaqBook_RAW_Data!W710)</f>
        <v/>
      </c>
      <c r="I720" s="167" t="str">
        <f>IF(ISBLANK(DaqBook_RAW_Data!X710),"",DaqBook_RAW_Data!X710)</f>
        <v/>
      </c>
      <c r="J720" s="167" t="str">
        <f>IF(ISBLANK(DaqBook_RAW_Data!Y710),"",DaqBook_RAW_Data!Y710)</f>
        <v/>
      </c>
      <c r="K720" s="167" t="str">
        <f>IF(ISBLANK(DaqBook_RAW_Data!Z710),"",DaqBook_RAW_Data!Z710)</f>
        <v/>
      </c>
      <c r="L720" s="167" t="str">
        <f>IF(ISBLANK(DaqBook_RAW_Data!AA710),"",DaqBook_RAW_Data!AA710)</f>
        <v/>
      </c>
      <c r="M720" s="167" t="str">
        <f>IF(ISBLANK(DaqBook_RAW_Data!AB710),"",DaqBook_RAW_Data!AB710)</f>
        <v/>
      </c>
      <c r="N720" s="167" t="str">
        <f>IF(ISBLANK(DaqBook_RAW_Data!AC710),"",DaqBook_RAW_Data!AC710)</f>
        <v/>
      </c>
      <c r="O720" s="167" t="str">
        <f>IF(ISBLANK(DaqBook_RAW_Data!AD710),"",DaqBook_RAW_Data!AD710)</f>
        <v/>
      </c>
      <c r="P720" s="167" t="str">
        <f>IF(ISBLANK(DaqBook_RAW_Data!AE710),"",DaqBook_RAW_Data!AE710)</f>
        <v/>
      </c>
    </row>
    <row r="721" spans="1:16" x14ac:dyDescent="0.2">
      <c r="A721" s="58" t="e">
        <f t="shared" si="11"/>
        <v>#VALUE!</v>
      </c>
      <c r="B721" s="144" t="str">
        <f>IF(ISBLANK(DaqBook_RAW_Data!Q711),IF(DaqBook_RAW_Data!A711="","",TIMEVALUE(DaqBook_RAW_Data!A711)),TIMEVALUE(DaqBook_RAW_Data!Q711))</f>
        <v/>
      </c>
      <c r="C721" s="167" t="str">
        <f>IF(ISBLANK(DaqBook_RAW_Data!R711),"",DaqBook_RAW_Data!R711)</f>
        <v/>
      </c>
      <c r="D721" s="167" t="str">
        <f>IF(ISBLANK(DaqBook_RAW_Data!S711),"",DaqBook_RAW_Data!S711)</f>
        <v/>
      </c>
      <c r="E721" s="167" t="str">
        <f>IF(ISBLANK(DaqBook_RAW_Data!T711),"",DaqBook_RAW_Data!T711)</f>
        <v/>
      </c>
      <c r="F721" s="167" t="str">
        <f>IF(ISBLANK(DaqBook_RAW_Data!U711),"",DaqBook_RAW_Data!U711)</f>
        <v/>
      </c>
      <c r="G721" s="167" t="str">
        <f>IF(ISBLANK(DaqBook_RAW_Data!V711),"",DaqBook_RAW_Data!V711)</f>
        <v/>
      </c>
      <c r="H721" s="167" t="str">
        <f>IF(ISBLANK(DaqBook_RAW_Data!W711),"",DaqBook_RAW_Data!W711)</f>
        <v/>
      </c>
      <c r="I721" s="167" t="str">
        <f>IF(ISBLANK(DaqBook_RAW_Data!X711),"",DaqBook_RAW_Data!X711)</f>
        <v/>
      </c>
      <c r="J721" s="167" t="str">
        <f>IF(ISBLANK(DaqBook_RAW_Data!Y711),"",DaqBook_RAW_Data!Y711)</f>
        <v/>
      </c>
      <c r="K721" s="167" t="str">
        <f>IF(ISBLANK(DaqBook_RAW_Data!Z711),"",DaqBook_RAW_Data!Z711)</f>
        <v/>
      </c>
      <c r="L721" s="167" t="str">
        <f>IF(ISBLANK(DaqBook_RAW_Data!AA711),"",DaqBook_RAW_Data!AA711)</f>
        <v/>
      </c>
      <c r="M721" s="167" t="str">
        <f>IF(ISBLANK(DaqBook_RAW_Data!AB711),"",DaqBook_RAW_Data!AB711)</f>
        <v/>
      </c>
      <c r="N721" s="167" t="str">
        <f>IF(ISBLANK(DaqBook_RAW_Data!AC711),"",DaqBook_RAW_Data!AC711)</f>
        <v/>
      </c>
      <c r="O721" s="167" t="str">
        <f>IF(ISBLANK(DaqBook_RAW_Data!AD711),"",DaqBook_RAW_Data!AD711)</f>
        <v/>
      </c>
      <c r="P721" s="167" t="str">
        <f>IF(ISBLANK(DaqBook_RAW_Data!AE711),"",DaqBook_RAW_Data!AE711)</f>
        <v/>
      </c>
    </row>
    <row r="722" spans="1:16" x14ac:dyDescent="0.2">
      <c r="A722" s="58" t="e">
        <f t="shared" si="11"/>
        <v>#VALUE!</v>
      </c>
      <c r="B722" s="144" t="str">
        <f>IF(ISBLANK(DaqBook_RAW_Data!Q712),IF(DaqBook_RAW_Data!A712="","",TIMEVALUE(DaqBook_RAW_Data!A712)),TIMEVALUE(DaqBook_RAW_Data!Q712))</f>
        <v/>
      </c>
      <c r="C722" s="167" t="str">
        <f>IF(ISBLANK(DaqBook_RAW_Data!R712),"",DaqBook_RAW_Data!R712)</f>
        <v/>
      </c>
      <c r="D722" s="167" t="str">
        <f>IF(ISBLANK(DaqBook_RAW_Data!S712),"",DaqBook_RAW_Data!S712)</f>
        <v/>
      </c>
      <c r="E722" s="167" t="str">
        <f>IF(ISBLANK(DaqBook_RAW_Data!T712),"",DaqBook_RAW_Data!T712)</f>
        <v/>
      </c>
      <c r="F722" s="167" t="str">
        <f>IF(ISBLANK(DaqBook_RAW_Data!U712),"",DaqBook_RAW_Data!U712)</f>
        <v/>
      </c>
      <c r="G722" s="167" t="str">
        <f>IF(ISBLANK(DaqBook_RAW_Data!V712),"",DaqBook_RAW_Data!V712)</f>
        <v/>
      </c>
      <c r="H722" s="167" t="str">
        <f>IF(ISBLANK(DaqBook_RAW_Data!W712),"",DaqBook_RAW_Data!W712)</f>
        <v/>
      </c>
      <c r="I722" s="167" t="str">
        <f>IF(ISBLANK(DaqBook_RAW_Data!X712),"",DaqBook_RAW_Data!X712)</f>
        <v/>
      </c>
      <c r="J722" s="167" t="str">
        <f>IF(ISBLANK(DaqBook_RAW_Data!Y712),"",DaqBook_RAW_Data!Y712)</f>
        <v/>
      </c>
      <c r="K722" s="167" t="str">
        <f>IF(ISBLANK(DaqBook_RAW_Data!Z712),"",DaqBook_RAW_Data!Z712)</f>
        <v/>
      </c>
      <c r="L722" s="167" t="str">
        <f>IF(ISBLANK(DaqBook_RAW_Data!AA712),"",DaqBook_RAW_Data!AA712)</f>
        <v/>
      </c>
      <c r="M722" s="167" t="str">
        <f>IF(ISBLANK(DaqBook_RAW_Data!AB712),"",DaqBook_RAW_Data!AB712)</f>
        <v/>
      </c>
      <c r="N722" s="167" t="str">
        <f>IF(ISBLANK(DaqBook_RAW_Data!AC712),"",DaqBook_RAW_Data!AC712)</f>
        <v/>
      </c>
      <c r="O722" s="167" t="str">
        <f>IF(ISBLANK(DaqBook_RAW_Data!AD712),"",DaqBook_RAW_Data!AD712)</f>
        <v/>
      </c>
      <c r="P722" s="167" t="str">
        <f>IF(ISBLANK(DaqBook_RAW_Data!AE712),"",DaqBook_RAW_Data!AE712)</f>
        <v/>
      </c>
    </row>
    <row r="723" spans="1:16" x14ac:dyDescent="0.2">
      <c r="A723" s="58" t="e">
        <f t="shared" si="11"/>
        <v>#VALUE!</v>
      </c>
      <c r="B723" s="144" t="str">
        <f>IF(ISBLANK(DaqBook_RAW_Data!Q713),IF(DaqBook_RAW_Data!A713="","",TIMEVALUE(DaqBook_RAW_Data!A713)),TIMEVALUE(DaqBook_RAW_Data!Q713))</f>
        <v/>
      </c>
      <c r="C723" s="167" t="str">
        <f>IF(ISBLANK(DaqBook_RAW_Data!R713),"",DaqBook_RAW_Data!R713)</f>
        <v/>
      </c>
      <c r="D723" s="167" t="str">
        <f>IF(ISBLANK(DaqBook_RAW_Data!S713),"",DaqBook_RAW_Data!S713)</f>
        <v/>
      </c>
      <c r="E723" s="167" t="str">
        <f>IF(ISBLANK(DaqBook_RAW_Data!T713),"",DaqBook_RAW_Data!T713)</f>
        <v/>
      </c>
      <c r="F723" s="167" t="str">
        <f>IF(ISBLANK(DaqBook_RAW_Data!U713),"",DaqBook_RAW_Data!U713)</f>
        <v/>
      </c>
      <c r="G723" s="167" t="str">
        <f>IF(ISBLANK(DaqBook_RAW_Data!V713),"",DaqBook_RAW_Data!V713)</f>
        <v/>
      </c>
      <c r="H723" s="167" t="str">
        <f>IF(ISBLANK(DaqBook_RAW_Data!W713),"",DaqBook_RAW_Data!W713)</f>
        <v/>
      </c>
      <c r="I723" s="167" t="str">
        <f>IF(ISBLANK(DaqBook_RAW_Data!X713),"",DaqBook_RAW_Data!X713)</f>
        <v/>
      </c>
      <c r="J723" s="167" t="str">
        <f>IF(ISBLANK(DaqBook_RAW_Data!Y713),"",DaqBook_RAW_Data!Y713)</f>
        <v/>
      </c>
      <c r="K723" s="167" t="str">
        <f>IF(ISBLANK(DaqBook_RAW_Data!Z713),"",DaqBook_RAW_Data!Z713)</f>
        <v/>
      </c>
      <c r="L723" s="167" t="str">
        <f>IF(ISBLANK(DaqBook_RAW_Data!AA713),"",DaqBook_RAW_Data!AA713)</f>
        <v/>
      </c>
      <c r="M723" s="167" t="str">
        <f>IF(ISBLANK(DaqBook_RAW_Data!AB713),"",DaqBook_RAW_Data!AB713)</f>
        <v/>
      </c>
      <c r="N723" s="167" t="str">
        <f>IF(ISBLANK(DaqBook_RAW_Data!AC713),"",DaqBook_RAW_Data!AC713)</f>
        <v/>
      </c>
      <c r="O723" s="167" t="str">
        <f>IF(ISBLANK(DaqBook_RAW_Data!AD713),"",DaqBook_RAW_Data!AD713)</f>
        <v/>
      </c>
      <c r="P723" s="167" t="str">
        <f>IF(ISBLANK(DaqBook_RAW_Data!AE713),"",DaqBook_RAW_Data!AE713)</f>
        <v/>
      </c>
    </row>
    <row r="724" spans="1:16" x14ac:dyDescent="0.2">
      <c r="A724" s="58" t="e">
        <f t="shared" si="11"/>
        <v>#VALUE!</v>
      </c>
      <c r="B724" s="144" t="str">
        <f>IF(ISBLANK(DaqBook_RAW_Data!Q714),IF(DaqBook_RAW_Data!A714="","",TIMEVALUE(DaqBook_RAW_Data!A714)),TIMEVALUE(DaqBook_RAW_Data!Q714))</f>
        <v/>
      </c>
      <c r="C724" s="167" t="str">
        <f>IF(ISBLANK(DaqBook_RAW_Data!R714),"",DaqBook_RAW_Data!R714)</f>
        <v/>
      </c>
      <c r="D724" s="167" t="str">
        <f>IF(ISBLANK(DaqBook_RAW_Data!S714),"",DaqBook_RAW_Data!S714)</f>
        <v/>
      </c>
      <c r="E724" s="167" t="str">
        <f>IF(ISBLANK(DaqBook_RAW_Data!T714),"",DaqBook_RAW_Data!T714)</f>
        <v/>
      </c>
      <c r="F724" s="167" t="str">
        <f>IF(ISBLANK(DaqBook_RAW_Data!U714),"",DaqBook_RAW_Data!U714)</f>
        <v/>
      </c>
      <c r="G724" s="167" t="str">
        <f>IF(ISBLANK(DaqBook_RAW_Data!V714),"",DaqBook_RAW_Data!V714)</f>
        <v/>
      </c>
      <c r="H724" s="167" t="str">
        <f>IF(ISBLANK(DaqBook_RAW_Data!W714),"",DaqBook_RAW_Data!W714)</f>
        <v/>
      </c>
      <c r="I724" s="167" t="str">
        <f>IF(ISBLANK(DaqBook_RAW_Data!X714),"",DaqBook_RAW_Data!X714)</f>
        <v/>
      </c>
      <c r="J724" s="167" t="str">
        <f>IF(ISBLANK(DaqBook_RAW_Data!Y714),"",DaqBook_RAW_Data!Y714)</f>
        <v/>
      </c>
      <c r="K724" s="167" t="str">
        <f>IF(ISBLANK(DaqBook_RAW_Data!Z714),"",DaqBook_RAW_Data!Z714)</f>
        <v/>
      </c>
      <c r="L724" s="167" t="str">
        <f>IF(ISBLANK(DaqBook_RAW_Data!AA714),"",DaqBook_RAW_Data!AA714)</f>
        <v/>
      </c>
      <c r="M724" s="167" t="str">
        <f>IF(ISBLANK(DaqBook_RAW_Data!AB714),"",DaqBook_RAW_Data!AB714)</f>
        <v/>
      </c>
      <c r="N724" s="167" t="str">
        <f>IF(ISBLANK(DaqBook_RAW_Data!AC714),"",DaqBook_RAW_Data!AC714)</f>
        <v/>
      </c>
      <c r="O724" s="167" t="str">
        <f>IF(ISBLANK(DaqBook_RAW_Data!AD714),"",DaqBook_RAW_Data!AD714)</f>
        <v/>
      </c>
      <c r="P724" s="167" t="str">
        <f>IF(ISBLANK(DaqBook_RAW_Data!AE714),"",DaqBook_RAW_Data!AE714)</f>
        <v/>
      </c>
    </row>
    <row r="725" spans="1:16" x14ac:dyDescent="0.2">
      <c r="A725" s="58" t="e">
        <f t="shared" si="11"/>
        <v>#VALUE!</v>
      </c>
      <c r="B725" s="144" t="str">
        <f>IF(ISBLANK(DaqBook_RAW_Data!Q715),IF(DaqBook_RAW_Data!A715="","",TIMEVALUE(DaqBook_RAW_Data!A715)),TIMEVALUE(DaqBook_RAW_Data!Q715))</f>
        <v/>
      </c>
      <c r="C725" s="167" t="str">
        <f>IF(ISBLANK(DaqBook_RAW_Data!R715),"",DaqBook_RAW_Data!R715)</f>
        <v/>
      </c>
      <c r="D725" s="167" t="str">
        <f>IF(ISBLANK(DaqBook_RAW_Data!S715),"",DaqBook_RAW_Data!S715)</f>
        <v/>
      </c>
      <c r="E725" s="167" t="str">
        <f>IF(ISBLANK(DaqBook_RAW_Data!T715),"",DaqBook_RAW_Data!T715)</f>
        <v/>
      </c>
      <c r="F725" s="167" t="str">
        <f>IF(ISBLANK(DaqBook_RAW_Data!U715),"",DaqBook_RAW_Data!U715)</f>
        <v/>
      </c>
      <c r="G725" s="167" t="str">
        <f>IF(ISBLANK(DaqBook_RAW_Data!V715),"",DaqBook_RAW_Data!V715)</f>
        <v/>
      </c>
      <c r="H725" s="167" t="str">
        <f>IF(ISBLANK(DaqBook_RAW_Data!W715),"",DaqBook_RAW_Data!W715)</f>
        <v/>
      </c>
      <c r="I725" s="167" t="str">
        <f>IF(ISBLANK(DaqBook_RAW_Data!X715),"",DaqBook_RAW_Data!X715)</f>
        <v/>
      </c>
      <c r="J725" s="167" t="str">
        <f>IF(ISBLANK(DaqBook_RAW_Data!Y715),"",DaqBook_RAW_Data!Y715)</f>
        <v/>
      </c>
      <c r="K725" s="167" t="str">
        <f>IF(ISBLANK(DaqBook_RAW_Data!Z715),"",DaqBook_RAW_Data!Z715)</f>
        <v/>
      </c>
      <c r="L725" s="167" t="str">
        <f>IF(ISBLANK(DaqBook_RAW_Data!AA715),"",DaqBook_RAW_Data!AA715)</f>
        <v/>
      </c>
      <c r="M725" s="167" t="str">
        <f>IF(ISBLANK(DaqBook_RAW_Data!AB715),"",DaqBook_RAW_Data!AB715)</f>
        <v/>
      </c>
      <c r="N725" s="167" t="str">
        <f>IF(ISBLANK(DaqBook_RAW_Data!AC715),"",DaqBook_RAW_Data!AC715)</f>
        <v/>
      </c>
      <c r="O725" s="167" t="str">
        <f>IF(ISBLANK(DaqBook_RAW_Data!AD715),"",DaqBook_RAW_Data!AD715)</f>
        <v/>
      </c>
      <c r="P725" s="167" t="str">
        <f>IF(ISBLANK(DaqBook_RAW_Data!AE715),"",DaqBook_RAW_Data!AE715)</f>
        <v/>
      </c>
    </row>
    <row r="726" spans="1:16" x14ac:dyDescent="0.2">
      <c r="A726" s="58" t="e">
        <f t="shared" si="11"/>
        <v>#VALUE!</v>
      </c>
      <c r="B726" s="144" t="str">
        <f>IF(ISBLANK(DaqBook_RAW_Data!Q716),IF(DaqBook_RAW_Data!A716="","",TIMEVALUE(DaqBook_RAW_Data!A716)),TIMEVALUE(DaqBook_RAW_Data!Q716))</f>
        <v/>
      </c>
      <c r="C726" s="167" t="str">
        <f>IF(ISBLANK(DaqBook_RAW_Data!R716),"",DaqBook_RAW_Data!R716)</f>
        <v/>
      </c>
      <c r="D726" s="167" t="str">
        <f>IF(ISBLANK(DaqBook_RAW_Data!S716),"",DaqBook_RAW_Data!S716)</f>
        <v/>
      </c>
      <c r="E726" s="167" t="str">
        <f>IF(ISBLANK(DaqBook_RAW_Data!T716),"",DaqBook_RAW_Data!T716)</f>
        <v/>
      </c>
      <c r="F726" s="167" t="str">
        <f>IF(ISBLANK(DaqBook_RAW_Data!U716),"",DaqBook_RAW_Data!U716)</f>
        <v/>
      </c>
      <c r="G726" s="167" t="str">
        <f>IF(ISBLANK(DaqBook_RAW_Data!V716),"",DaqBook_RAW_Data!V716)</f>
        <v/>
      </c>
      <c r="H726" s="167" t="str">
        <f>IF(ISBLANK(DaqBook_RAW_Data!W716),"",DaqBook_RAW_Data!W716)</f>
        <v/>
      </c>
      <c r="I726" s="167" t="str">
        <f>IF(ISBLANK(DaqBook_RAW_Data!X716),"",DaqBook_RAW_Data!X716)</f>
        <v/>
      </c>
      <c r="J726" s="167" t="str">
        <f>IF(ISBLANK(DaqBook_RAW_Data!Y716),"",DaqBook_RAW_Data!Y716)</f>
        <v/>
      </c>
      <c r="K726" s="167" t="str">
        <f>IF(ISBLANK(DaqBook_RAW_Data!Z716),"",DaqBook_RAW_Data!Z716)</f>
        <v/>
      </c>
      <c r="L726" s="167" t="str">
        <f>IF(ISBLANK(DaqBook_RAW_Data!AA716),"",DaqBook_RAW_Data!AA716)</f>
        <v/>
      </c>
      <c r="M726" s="167" t="str">
        <f>IF(ISBLANK(DaqBook_RAW_Data!AB716),"",DaqBook_RAW_Data!AB716)</f>
        <v/>
      </c>
      <c r="N726" s="167" t="str">
        <f>IF(ISBLANK(DaqBook_RAW_Data!AC716),"",DaqBook_RAW_Data!AC716)</f>
        <v/>
      </c>
      <c r="O726" s="167" t="str">
        <f>IF(ISBLANK(DaqBook_RAW_Data!AD716),"",DaqBook_RAW_Data!AD716)</f>
        <v/>
      </c>
      <c r="P726" s="167" t="str">
        <f>IF(ISBLANK(DaqBook_RAW_Data!AE716),"",DaqBook_RAW_Data!AE716)</f>
        <v/>
      </c>
    </row>
    <row r="727" spans="1:16" x14ac:dyDescent="0.2">
      <c r="A727" s="58" t="e">
        <f t="shared" si="11"/>
        <v>#VALUE!</v>
      </c>
      <c r="B727" s="144" t="str">
        <f>IF(ISBLANK(DaqBook_RAW_Data!Q717),IF(DaqBook_RAW_Data!A717="","",TIMEVALUE(DaqBook_RAW_Data!A717)),TIMEVALUE(DaqBook_RAW_Data!Q717))</f>
        <v/>
      </c>
      <c r="C727" s="167" t="str">
        <f>IF(ISBLANK(DaqBook_RAW_Data!R717),"",DaqBook_RAW_Data!R717)</f>
        <v/>
      </c>
      <c r="D727" s="167" t="str">
        <f>IF(ISBLANK(DaqBook_RAW_Data!S717),"",DaqBook_RAW_Data!S717)</f>
        <v/>
      </c>
      <c r="E727" s="167" t="str">
        <f>IF(ISBLANK(DaqBook_RAW_Data!T717),"",DaqBook_RAW_Data!T717)</f>
        <v/>
      </c>
      <c r="F727" s="167" t="str">
        <f>IF(ISBLANK(DaqBook_RAW_Data!U717),"",DaqBook_RAW_Data!U717)</f>
        <v/>
      </c>
      <c r="G727" s="167" t="str">
        <f>IF(ISBLANK(DaqBook_RAW_Data!V717),"",DaqBook_RAW_Data!V717)</f>
        <v/>
      </c>
      <c r="H727" s="167" t="str">
        <f>IF(ISBLANK(DaqBook_RAW_Data!W717),"",DaqBook_RAW_Data!W717)</f>
        <v/>
      </c>
      <c r="I727" s="167" t="str">
        <f>IF(ISBLANK(DaqBook_RAW_Data!X717),"",DaqBook_RAW_Data!X717)</f>
        <v/>
      </c>
      <c r="J727" s="167" t="str">
        <f>IF(ISBLANK(DaqBook_RAW_Data!Y717),"",DaqBook_RAW_Data!Y717)</f>
        <v/>
      </c>
      <c r="K727" s="167" t="str">
        <f>IF(ISBLANK(DaqBook_RAW_Data!Z717),"",DaqBook_RAW_Data!Z717)</f>
        <v/>
      </c>
      <c r="L727" s="167" t="str">
        <f>IF(ISBLANK(DaqBook_RAW_Data!AA717),"",DaqBook_RAW_Data!AA717)</f>
        <v/>
      </c>
      <c r="M727" s="167" t="str">
        <f>IF(ISBLANK(DaqBook_RAW_Data!AB717),"",DaqBook_RAW_Data!AB717)</f>
        <v/>
      </c>
      <c r="N727" s="167" t="str">
        <f>IF(ISBLANK(DaqBook_RAW_Data!AC717),"",DaqBook_RAW_Data!AC717)</f>
        <v/>
      </c>
      <c r="O727" s="167" t="str">
        <f>IF(ISBLANK(DaqBook_RAW_Data!AD717),"",DaqBook_RAW_Data!AD717)</f>
        <v/>
      </c>
      <c r="P727" s="167" t="str">
        <f>IF(ISBLANK(DaqBook_RAW_Data!AE717),"",DaqBook_RAW_Data!AE717)</f>
        <v/>
      </c>
    </row>
    <row r="728" spans="1:16" x14ac:dyDescent="0.2">
      <c r="A728" s="58" t="e">
        <f t="shared" si="11"/>
        <v>#VALUE!</v>
      </c>
      <c r="B728" s="144" t="str">
        <f>IF(ISBLANK(DaqBook_RAW_Data!Q718),IF(DaqBook_RAW_Data!A718="","",TIMEVALUE(DaqBook_RAW_Data!A718)),TIMEVALUE(DaqBook_RAW_Data!Q718))</f>
        <v/>
      </c>
      <c r="C728" s="167" t="str">
        <f>IF(ISBLANK(DaqBook_RAW_Data!R718),"",DaqBook_RAW_Data!R718)</f>
        <v/>
      </c>
      <c r="D728" s="167" t="str">
        <f>IF(ISBLANK(DaqBook_RAW_Data!S718),"",DaqBook_RAW_Data!S718)</f>
        <v/>
      </c>
      <c r="E728" s="167" t="str">
        <f>IF(ISBLANK(DaqBook_RAW_Data!T718),"",DaqBook_RAW_Data!T718)</f>
        <v/>
      </c>
      <c r="F728" s="167" t="str">
        <f>IF(ISBLANK(DaqBook_RAW_Data!U718),"",DaqBook_RAW_Data!U718)</f>
        <v/>
      </c>
      <c r="G728" s="167" t="str">
        <f>IF(ISBLANK(DaqBook_RAW_Data!V718),"",DaqBook_RAW_Data!V718)</f>
        <v/>
      </c>
      <c r="H728" s="167" t="str">
        <f>IF(ISBLANK(DaqBook_RAW_Data!W718),"",DaqBook_RAW_Data!W718)</f>
        <v/>
      </c>
      <c r="I728" s="167" t="str">
        <f>IF(ISBLANK(DaqBook_RAW_Data!X718),"",DaqBook_RAW_Data!X718)</f>
        <v/>
      </c>
      <c r="J728" s="167" t="str">
        <f>IF(ISBLANK(DaqBook_RAW_Data!Y718),"",DaqBook_RAW_Data!Y718)</f>
        <v/>
      </c>
      <c r="K728" s="167" t="str">
        <f>IF(ISBLANK(DaqBook_RAW_Data!Z718),"",DaqBook_RAW_Data!Z718)</f>
        <v/>
      </c>
      <c r="L728" s="167" t="str">
        <f>IF(ISBLANK(DaqBook_RAW_Data!AA718),"",DaqBook_RAW_Data!AA718)</f>
        <v/>
      </c>
      <c r="M728" s="167" t="str">
        <f>IF(ISBLANK(DaqBook_RAW_Data!AB718),"",DaqBook_RAW_Data!AB718)</f>
        <v/>
      </c>
      <c r="N728" s="167" t="str">
        <f>IF(ISBLANK(DaqBook_RAW_Data!AC718),"",DaqBook_RAW_Data!AC718)</f>
        <v/>
      </c>
      <c r="O728" s="167" t="str">
        <f>IF(ISBLANK(DaqBook_RAW_Data!AD718),"",DaqBook_RAW_Data!AD718)</f>
        <v/>
      </c>
      <c r="P728" s="167" t="str">
        <f>IF(ISBLANK(DaqBook_RAW_Data!AE718),"",DaqBook_RAW_Data!AE718)</f>
        <v/>
      </c>
    </row>
    <row r="729" spans="1:16" x14ac:dyDescent="0.2">
      <c r="A729" s="58" t="e">
        <f t="shared" si="11"/>
        <v>#VALUE!</v>
      </c>
      <c r="B729" s="144" t="str">
        <f>IF(ISBLANK(DaqBook_RAW_Data!Q719),IF(DaqBook_RAW_Data!A719="","",TIMEVALUE(DaqBook_RAW_Data!A719)),TIMEVALUE(DaqBook_RAW_Data!Q719))</f>
        <v/>
      </c>
      <c r="C729" s="167" t="str">
        <f>IF(ISBLANK(DaqBook_RAW_Data!R719),"",DaqBook_RAW_Data!R719)</f>
        <v/>
      </c>
      <c r="D729" s="167" t="str">
        <f>IF(ISBLANK(DaqBook_RAW_Data!S719),"",DaqBook_RAW_Data!S719)</f>
        <v/>
      </c>
      <c r="E729" s="167" t="str">
        <f>IF(ISBLANK(DaqBook_RAW_Data!T719),"",DaqBook_RAW_Data!T719)</f>
        <v/>
      </c>
      <c r="F729" s="167" t="str">
        <f>IF(ISBLANK(DaqBook_RAW_Data!U719),"",DaqBook_RAW_Data!U719)</f>
        <v/>
      </c>
      <c r="G729" s="167" t="str">
        <f>IF(ISBLANK(DaqBook_RAW_Data!V719),"",DaqBook_RAW_Data!V719)</f>
        <v/>
      </c>
      <c r="H729" s="167" t="str">
        <f>IF(ISBLANK(DaqBook_RAW_Data!W719),"",DaqBook_RAW_Data!W719)</f>
        <v/>
      </c>
      <c r="I729" s="167" t="str">
        <f>IF(ISBLANK(DaqBook_RAW_Data!X719),"",DaqBook_RAW_Data!X719)</f>
        <v/>
      </c>
      <c r="J729" s="167" t="str">
        <f>IF(ISBLANK(DaqBook_RAW_Data!Y719),"",DaqBook_RAW_Data!Y719)</f>
        <v/>
      </c>
      <c r="K729" s="167" t="str">
        <f>IF(ISBLANK(DaqBook_RAW_Data!Z719),"",DaqBook_RAW_Data!Z719)</f>
        <v/>
      </c>
      <c r="L729" s="167" t="str">
        <f>IF(ISBLANK(DaqBook_RAW_Data!AA719),"",DaqBook_RAW_Data!AA719)</f>
        <v/>
      </c>
      <c r="M729" s="167" t="str">
        <f>IF(ISBLANK(DaqBook_RAW_Data!AB719),"",DaqBook_RAW_Data!AB719)</f>
        <v/>
      </c>
      <c r="N729" s="167" t="str">
        <f>IF(ISBLANK(DaqBook_RAW_Data!AC719),"",DaqBook_RAW_Data!AC719)</f>
        <v/>
      </c>
      <c r="O729" s="167" t="str">
        <f>IF(ISBLANK(DaqBook_RAW_Data!AD719),"",DaqBook_RAW_Data!AD719)</f>
        <v/>
      </c>
      <c r="P729" s="167" t="str">
        <f>IF(ISBLANK(DaqBook_RAW_Data!AE719),"",DaqBook_RAW_Data!AE719)</f>
        <v/>
      </c>
    </row>
    <row r="730" spans="1:16" x14ac:dyDescent="0.2">
      <c r="A730" s="58" t="e">
        <f t="shared" si="11"/>
        <v>#VALUE!</v>
      </c>
      <c r="B730" s="144" t="str">
        <f>IF(ISBLANK(DaqBook_RAW_Data!Q720),IF(DaqBook_RAW_Data!A720="","",TIMEVALUE(DaqBook_RAW_Data!A720)),TIMEVALUE(DaqBook_RAW_Data!Q720))</f>
        <v/>
      </c>
      <c r="C730" s="167" t="str">
        <f>IF(ISBLANK(DaqBook_RAW_Data!R720),"",DaqBook_RAW_Data!R720)</f>
        <v/>
      </c>
      <c r="D730" s="167" t="str">
        <f>IF(ISBLANK(DaqBook_RAW_Data!S720),"",DaqBook_RAW_Data!S720)</f>
        <v/>
      </c>
      <c r="E730" s="167" t="str">
        <f>IF(ISBLANK(DaqBook_RAW_Data!T720),"",DaqBook_RAW_Data!T720)</f>
        <v/>
      </c>
      <c r="F730" s="167" t="str">
        <f>IF(ISBLANK(DaqBook_RAW_Data!U720),"",DaqBook_RAW_Data!U720)</f>
        <v/>
      </c>
      <c r="G730" s="167" t="str">
        <f>IF(ISBLANK(DaqBook_RAW_Data!V720),"",DaqBook_RAW_Data!V720)</f>
        <v/>
      </c>
      <c r="H730" s="167" t="str">
        <f>IF(ISBLANK(DaqBook_RAW_Data!W720),"",DaqBook_RAW_Data!W720)</f>
        <v/>
      </c>
      <c r="I730" s="167" t="str">
        <f>IF(ISBLANK(DaqBook_RAW_Data!X720),"",DaqBook_RAW_Data!X720)</f>
        <v/>
      </c>
      <c r="J730" s="167" t="str">
        <f>IF(ISBLANK(DaqBook_RAW_Data!Y720),"",DaqBook_RAW_Data!Y720)</f>
        <v/>
      </c>
      <c r="K730" s="167" t="str">
        <f>IF(ISBLANK(DaqBook_RAW_Data!Z720),"",DaqBook_RAW_Data!Z720)</f>
        <v/>
      </c>
      <c r="L730" s="167" t="str">
        <f>IF(ISBLANK(DaqBook_RAW_Data!AA720),"",DaqBook_RAW_Data!AA720)</f>
        <v/>
      </c>
      <c r="M730" s="167" t="str">
        <f>IF(ISBLANK(DaqBook_RAW_Data!AB720),"",DaqBook_RAW_Data!AB720)</f>
        <v/>
      </c>
      <c r="N730" s="167" t="str">
        <f>IF(ISBLANK(DaqBook_RAW_Data!AC720),"",DaqBook_RAW_Data!AC720)</f>
        <v/>
      </c>
      <c r="O730" s="167" t="str">
        <f>IF(ISBLANK(DaqBook_RAW_Data!AD720),"",DaqBook_RAW_Data!AD720)</f>
        <v/>
      </c>
      <c r="P730" s="167" t="str">
        <f>IF(ISBLANK(DaqBook_RAW_Data!AE720),"",DaqBook_RAW_Data!AE720)</f>
        <v/>
      </c>
    </row>
    <row r="731" spans="1:16" x14ac:dyDescent="0.2">
      <c r="A731" s="58" t="e">
        <f t="shared" si="11"/>
        <v>#VALUE!</v>
      </c>
      <c r="B731" s="144" t="str">
        <f>IF(ISBLANK(DaqBook_RAW_Data!Q721),IF(DaqBook_RAW_Data!A721="","",TIMEVALUE(DaqBook_RAW_Data!A721)),TIMEVALUE(DaqBook_RAW_Data!Q721))</f>
        <v/>
      </c>
      <c r="C731" s="167" t="str">
        <f>IF(ISBLANK(DaqBook_RAW_Data!R721),"",DaqBook_RAW_Data!R721)</f>
        <v/>
      </c>
      <c r="D731" s="167" t="str">
        <f>IF(ISBLANK(DaqBook_RAW_Data!S721),"",DaqBook_RAW_Data!S721)</f>
        <v/>
      </c>
      <c r="E731" s="167" t="str">
        <f>IF(ISBLANK(DaqBook_RAW_Data!T721),"",DaqBook_RAW_Data!T721)</f>
        <v/>
      </c>
      <c r="F731" s="167" t="str">
        <f>IF(ISBLANK(DaqBook_RAW_Data!U721),"",DaqBook_RAW_Data!U721)</f>
        <v/>
      </c>
      <c r="G731" s="167" t="str">
        <f>IF(ISBLANK(DaqBook_RAW_Data!V721),"",DaqBook_RAW_Data!V721)</f>
        <v/>
      </c>
      <c r="H731" s="167" t="str">
        <f>IF(ISBLANK(DaqBook_RAW_Data!W721),"",DaqBook_RAW_Data!W721)</f>
        <v/>
      </c>
      <c r="I731" s="167" t="str">
        <f>IF(ISBLANK(DaqBook_RAW_Data!X721),"",DaqBook_RAW_Data!X721)</f>
        <v/>
      </c>
      <c r="J731" s="167" t="str">
        <f>IF(ISBLANK(DaqBook_RAW_Data!Y721),"",DaqBook_RAW_Data!Y721)</f>
        <v/>
      </c>
      <c r="K731" s="167" t="str">
        <f>IF(ISBLANK(DaqBook_RAW_Data!Z721),"",DaqBook_RAW_Data!Z721)</f>
        <v/>
      </c>
      <c r="L731" s="167" t="str">
        <f>IF(ISBLANK(DaqBook_RAW_Data!AA721),"",DaqBook_RAW_Data!AA721)</f>
        <v/>
      </c>
      <c r="M731" s="167" t="str">
        <f>IF(ISBLANK(DaqBook_RAW_Data!AB721),"",DaqBook_RAW_Data!AB721)</f>
        <v/>
      </c>
      <c r="N731" s="167" t="str">
        <f>IF(ISBLANK(DaqBook_RAW_Data!AC721),"",DaqBook_RAW_Data!AC721)</f>
        <v/>
      </c>
      <c r="O731" s="167" t="str">
        <f>IF(ISBLANK(DaqBook_RAW_Data!AD721),"",DaqBook_RAW_Data!AD721)</f>
        <v/>
      </c>
      <c r="P731" s="167" t="str">
        <f>IF(ISBLANK(DaqBook_RAW_Data!AE721),"",DaqBook_RAW_Data!AE721)</f>
        <v/>
      </c>
    </row>
    <row r="732" spans="1:16" x14ac:dyDescent="0.2">
      <c r="A732" s="58" t="e">
        <f t="shared" si="11"/>
        <v>#VALUE!</v>
      </c>
      <c r="B732" s="144" t="str">
        <f>IF(ISBLANK(DaqBook_RAW_Data!Q722),IF(DaqBook_RAW_Data!A722="","",TIMEVALUE(DaqBook_RAW_Data!A722)),TIMEVALUE(DaqBook_RAW_Data!Q722))</f>
        <v/>
      </c>
      <c r="C732" s="167" t="str">
        <f>IF(ISBLANK(DaqBook_RAW_Data!R722),"",DaqBook_RAW_Data!R722)</f>
        <v/>
      </c>
      <c r="D732" s="167" t="str">
        <f>IF(ISBLANK(DaqBook_RAW_Data!S722),"",DaqBook_RAW_Data!S722)</f>
        <v/>
      </c>
      <c r="E732" s="167" t="str">
        <f>IF(ISBLANK(DaqBook_RAW_Data!T722),"",DaqBook_RAW_Data!T722)</f>
        <v/>
      </c>
      <c r="F732" s="167" t="str">
        <f>IF(ISBLANK(DaqBook_RAW_Data!U722),"",DaqBook_RAW_Data!U722)</f>
        <v/>
      </c>
      <c r="G732" s="167" t="str">
        <f>IF(ISBLANK(DaqBook_RAW_Data!V722),"",DaqBook_RAW_Data!V722)</f>
        <v/>
      </c>
      <c r="H732" s="167" t="str">
        <f>IF(ISBLANK(DaqBook_RAW_Data!W722),"",DaqBook_RAW_Data!W722)</f>
        <v/>
      </c>
      <c r="I732" s="167" t="str">
        <f>IF(ISBLANK(DaqBook_RAW_Data!X722),"",DaqBook_RAW_Data!X722)</f>
        <v/>
      </c>
      <c r="J732" s="167" t="str">
        <f>IF(ISBLANK(DaqBook_RAW_Data!Y722),"",DaqBook_RAW_Data!Y722)</f>
        <v/>
      </c>
      <c r="K732" s="167" t="str">
        <f>IF(ISBLANK(DaqBook_RAW_Data!Z722),"",DaqBook_RAW_Data!Z722)</f>
        <v/>
      </c>
      <c r="L732" s="167" t="str">
        <f>IF(ISBLANK(DaqBook_RAW_Data!AA722),"",DaqBook_RAW_Data!AA722)</f>
        <v/>
      </c>
      <c r="M732" s="167" t="str">
        <f>IF(ISBLANK(DaqBook_RAW_Data!AB722),"",DaqBook_RAW_Data!AB722)</f>
        <v/>
      </c>
      <c r="N732" s="167" t="str">
        <f>IF(ISBLANK(DaqBook_RAW_Data!AC722),"",DaqBook_RAW_Data!AC722)</f>
        <v/>
      </c>
      <c r="O732" s="167" t="str">
        <f>IF(ISBLANK(DaqBook_RAW_Data!AD722),"",DaqBook_RAW_Data!AD722)</f>
        <v/>
      </c>
      <c r="P732" s="167" t="str">
        <f>IF(ISBLANK(DaqBook_RAW_Data!AE722),"",DaqBook_RAW_Data!AE722)</f>
        <v/>
      </c>
    </row>
    <row r="733" spans="1:16" x14ac:dyDescent="0.2">
      <c r="A733" s="58" t="e">
        <f t="shared" si="11"/>
        <v>#VALUE!</v>
      </c>
      <c r="B733" s="144" t="str">
        <f>IF(ISBLANK(DaqBook_RAW_Data!Q723),IF(DaqBook_RAW_Data!A723="","",TIMEVALUE(DaqBook_RAW_Data!A723)),TIMEVALUE(DaqBook_RAW_Data!Q723))</f>
        <v/>
      </c>
      <c r="C733" s="167" t="str">
        <f>IF(ISBLANK(DaqBook_RAW_Data!R723),"",DaqBook_RAW_Data!R723)</f>
        <v/>
      </c>
      <c r="D733" s="167" t="str">
        <f>IF(ISBLANK(DaqBook_RAW_Data!S723),"",DaqBook_RAW_Data!S723)</f>
        <v/>
      </c>
      <c r="E733" s="167" t="str">
        <f>IF(ISBLANK(DaqBook_RAW_Data!T723),"",DaqBook_RAW_Data!T723)</f>
        <v/>
      </c>
      <c r="F733" s="167" t="str">
        <f>IF(ISBLANK(DaqBook_RAW_Data!U723),"",DaqBook_RAW_Data!U723)</f>
        <v/>
      </c>
      <c r="G733" s="167" t="str">
        <f>IF(ISBLANK(DaqBook_RAW_Data!V723),"",DaqBook_RAW_Data!V723)</f>
        <v/>
      </c>
      <c r="H733" s="167" t="str">
        <f>IF(ISBLANK(DaqBook_RAW_Data!W723),"",DaqBook_RAW_Data!W723)</f>
        <v/>
      </c>
      <c r="I733" s="167" t="str">
        <f>IF(ISBLANK(DaqBook_RAW_Data!X723),"",DaqBook_RAW_Data!X723)</f>
        <v/>
      </c>
      <c r="J733" s="167" t="str">
        <f>IF(ISBLANK(DaqBook_RAW_Data!Y723),"",DaqBook_RAW_Data!Y723)</f>
        <v/>
      </c>
      <c r="K733" s="167" t="str">
        <f>IF(ISBLANK(DaqBook_RAW_Data!Z723),"",DaqBook_RAW_Data!Z723)</f>
        <v/>
      </c>
      <c r="L733" s="167" t="str">
        <f>IF(ISBLANK(DaqBook_RAW_Data!AA723),"",DaqBook_RAW_Data!AA723)</f>
        <v/>
      </c>
      <c r="M733" s="167" t="str">
        <f>IF(ISBLANK(DaqBook_RAW_Data!AB723),"",DaqBook_RAW_Data!AB723)</f>
        <v/>
      </c>
      <c r="N733" s="167" t="str">
        <f>IF(ISBLANK(DaqBook_RAW_Data!AC723),"",DaqBook_RAW_Data!AC723)</f>
        <v/>
      </c>
      <c r="O733" s="167" t="str">
        <f>IF(ISBLANK(DaqBook_RAW_Data!AD723),"",DaqBook_RAW_Data!AD723)</f>
        <v/>
      </c>
      <c r="P733" s="167" t="str">
        <f>IF(ISBLANK(DaqBook_RAW_Data!AE723),"",DaqBook_RAW_Data!AE723)</f>
        <v/>
      </c>
    </row>
    <row r="734" spans="1:16" x14ac:dyDescent="0.2">
      <c r="A734" s="58" t="e">
        <f t="shared" si="11"/>
        <v>#VALUE!</v>
      </c>
      <c r="B734" s="144" t="str">
        <f>IF(ISBLANK(DaqBook_RAW_Data!Q724),IF(DaqBook_RAW_Data!A724="","",TIMEVALUE(DaqBook_RAW_Data!A724)),TIMEVALUE(DaqBook_RAW_Data!Q724))</f>
        <v/>
      </c>
      <c r="C734" s="167" t="str">
        <f>IF(ISBLANK(DaqBook_RAW_Data!R724),"",DaqBook_RAW_Data!R724)</f>
        <v/>
      </c>
      <c r="D734" s="167" t="str">
        <f>IF(ISBLANK(DaqBook_RAW_Data!S724),"",DaqBook_RAW_Data!S724)</f>
        <v/>
      </c>
      <c r="E734" s="167" t="str">
        <f>IF(ISBLANK(DaqBook_RAW_Data!T724),"",DaqBook_RAW_Data!T724)</f>
        <v/>
      </c>
      <c r="F734" s="167" t="str">
        <f>IF(ISBLANK(DaqBook_RAW_Data!U724),"",DaqBook_RAW_Data!U724)</f>
        <v/>
      </c>
      <c r="G734" s="167" t="str">
        <f>IF(ISBLANK(DaqBook_RAW_Data!V724),"",DaqBook_RAW_Data!V724)</f>
        <v/>
      </c>
      <c r="H734" s="167" t="str">
        <f>IF(ISBLANK(DaqBook_RAW_Data!W724),"",DaqBook_RAW_Data!W724)</f>
        <v/>
      </c>
      <c r="I734" s="167" t="str">
        <f>IF(ISBLANK(DaqBook_RAW_Data!X724),"",DaqBook_RAW_Data!X724)</f>
        <v/>
      </c>
      <c r="J734" s="167" t="str">
        <f>IF(ISBLANK(DaqBook_RAW_Data!Y724),"",DaqBook_RAW_Data!Y724)</f>
        <v/>
      </c>
      <c r="K734" s="167" t="str">
        <f>IF(ISBLANK(DaqBook_RAW_Data!Z724),"",DaqBook_RAW_Data!Z724)</f>
        <v/>
      </c>
      <c r="L734" s="167" t="str">
        <f>IF(ISBLANK(DaqBook_RAW_Data!AA724),"",DaqBook_RAW_Data!AA724)</f>
        <v/>
      </c>
      <c r="M734" s="167" t="str">
        <f>IF(ISBLANK(DaqBook_RAW_Data!AB724),"",DaqBook_RAW_Data!AB724)</f>
        <v/>
      </c>
      <c r="N734" s="167" t="str">
        <f>IF(ISBLANK(DaqBook_RAW_Data!AC724),"",DaqBook_RAW_Data!AC724)</f>
        <v/>
      </c>
      <c r="O734" s="167" t="str">
        <f>IF(ISBLANK(DaqBook_RAW_Data!AD724),"",DaqBook_RAW_Data!AD724)</f>
        <v/>
      </c>
      <c r="P734" s="167" t="str">
        <f>IF(ISBLANK(DaqBook_RAW_Data!AE724),"",DaqBook_RAW_Data!AE724)</f>
        <v/>
      </c>
    </row>
    <row r="735" spans="1:16" x14ac:dyDescent="0.2">
      <c r="A735" s="58" t="e">
        <f t="shared" si="11"/>
        <v>#VALUE!</v>
      </c>
      <c r="B735" s="144" t="str">
        <f>IF(ISBLANK(DaqBook_RAW_Data!Q725),IF(DaqBook_RAW_Data!A725="","",TIMEVALUE(DaqBook_RAW_Data!A725)),TIMEVALUE(DaqBook_RAW_Data!Q725))</f>
        <v/>
      </c>
      <c r="C735" s="167" t="str">
        <f>IF(ISBLANK(DaqBook_RAW_Data!R725),"",DaqBook_RAW_Data!R725)</f>
        <v/>
      </c>
      <c r="D735" s="167" t="str">
        <f>IF(ISBLANK(DaqBook_RAW_Data!S725),"",DaqBook_RAW_Data!S725)</f>
        <v/>
      </c>
      <c r="E735" s="167" t="str">
        <f>IF(ISBLANK(DaqBook_RAW_Data!T725),"",DaqBook_RAW_Data!T725)</f>
        <v/>
      </c>
      <c r="F735" s="167" t="str">
        <f>IF(ISBLANK(DaqBook_RAW_Data!U725),"",DaqBook_RAW_Data!U725)</f>
        <v/>
      </c>
      <c r="G735" s="167" t="str">
        <f>IF(ISBLANK(DaqBook_RAW_Data!V725),"",DaqBook_RAW_Data!V725)</f>
        <v/>
      </c>
      <c r="H735" s="167" t="str">
        <f>IF(ISBLANK(DaqBook_RAW_Data!W725),"",DaqBook_RAW_Data!W725)</f>
        <v/>
      </c>
      <c r="I735" s="167" t="str">
        <f>IF(ISBLANK(DaqBook_RAW_Data!X725),"",DaqBook_RAW_Data!X725)</f>
        <v/>
      </c>
      <c r="J735" s="167" t="str">
        <f>IF(ISBLANK(DaqBook_RAW_Data!Y725),"",DaqBook_RAW_Data!Y725)</f>
        <v/>
      </c>
      <c r="K735" s="167" t="str">
        <f>IF(ISBLANK(DaqBook_RAW_Data!Z725),"",DaqBook_RAW_Data!Z725)</f>
        <v/>
      </c>
      <c r="L735" s="167" t="str">
        <f>IF(ISBLANK(DaqBook_RAW_Data!AA725),"",DaqBook_RAW_Data!AA725)</f>
        <v/>
      </c>
      <c r="M735" s="167" t="str">
        <f>IF(ISBLANK(DaqBook_RAW_Data!AB725),"",DaqBook_RAW_Data!AB725)</f>
        <v/>
      </c>
      <c r="N735" s="167" t="str">
        <f>IF(ISBLANK(DaqBook_RAW_Data!AC725),"",DaqBook_RAW_Data!AC725)</f>
        <v/>
      </c>
      <c r="O735" s="167" t="str">
        <f>IF(ISBLANK(DaqBook_RAW_Data!AD725),"",DaqBook_RAW_Data!AD725)</f>
        <v/>
      </c>
      <c r="P735" s="167" t="str">
        <f>IF(ISBLANK(DaqBook_RAW_Data!AE725),"",DaqBook_RAW_Data!AE725)</f>
        <v/>
      </c>
    </row>
    <row r="736" spans="1:16" x14ac:dyDescent="0.2">
      <c r="A736" s="58" t="e">
        <f t="shared" si="11"/>
        <v>#VALUE!</v>
      </c>
      <c r="B736" s="144" t="str">
        <f>IF(ISBLANK(DaqBook_RAW_Data!Q726),IF(DaqBook_RAW_Data!A726="","",TIMEVALUE(DaqBook_RAW_Data!A726)),TIMEVALUE(DaqBook_RAW_Data!Q726))</f>
        <v/>
      </c>
      <c r="C736" s="167" t="str">
        <f>IF(ISBLANK(DaqBook_RAW_Data!R726),"",DaqBook_RAW_Data!R726)</f>
        <v/>
      </c>
      <c r="D736" s="167" t="str">
        <f>IF(ISBLANK(DaqBook_RAW_Data!S726),"",DaqBook_RAW_Data!S726)</f>
        <v/>
      </c>
      <c r="E736" s="167" t="str">
        <f>IF(ISBLANK(DaqBook_RAW_Data!T726),"",DaqBook_RAW_Data!T726)</f>
        <v/>
      </c>
      <c r="F736" s="167" t="str">
        <f>IF(ISBLANK(DaqBook_RAW_Data!U726),"",DaqBook_RAW_Data!U726)</f>
        <v/>
      </c>
      <c r="G736" s="167" t="str">
        <f>IF(ISBLANK(DaqBook_RAW_Data!V726),"",DaqBook_RAW_Data!V726)</f>
        <v/>
      </c>
      <c r="H736" s="167" t="str">
        <f>IF(ISBLANK(DaqBook_RAW_Data!W726),"",DaqBook_RAW_Data!W726)</f>
        <v/>
      </c>
      <c r="I736" s="167" t="str">
        <f>IF(ISBLANK(DaqBook_RAW_Data!X726),"",DaqBook_RAW_Data!X726)</f>
        <v/>
      </c>
      <c r="J736" s="167" t="str">
        <f>IF(ISBLANK(DaqBook_RAW_Data!Y726),"",DaqBook_RAW_Data!Y726)</f>
        <v/>
      </c>
      <c r="K736" s="167" t="str">
        <f>IF(ISBLANK(DaqBook_RAW_Data!Z726),"",DaqBook_RAW_Data!Z726)</f>
        <v/>
      </c>
      <c r="L736" s="167" t="str">
        <f>IF(ISBLANK(DaqBook_RAW_Data!AA726),"",DaqBook_RAW_Data!AA726)</f>
        <v/>
      </c>
      <c r="M736" s="167" t="str">
        <f>IF(ISBLANK(DaqBook_RAW_Data!AB726),"",DaqBook_RAW_Data!AB726)</f>
        <v/>
      </c>
      <c r="N736" s="167" t="str">
        <f>IF(ISBLANK(DaqBook_RAW_Data!AC726),"",DaqBook_RAW_Data!AC726)</f>
        <v/>
      </c>
      <c r="O736" s="167" t="str">
        <f>IF(ISBLANK(DaqBook_RAW_Data!AD726),"",DaqBook_RAW_Data!AD726)</f>
        <v/>
      </c>
      <c r="P736" s="167" t="str">
        <f>IF(ISBLANK(DaqBook_RAW_Data!AE726),"",DaqBook_RAW_Data!AE726)</f>
        <v/>
      </c>
    </row>
    <row r="737" spans="1:16" x14ac:dyDescent="0.2">
      <c r="A737" s="58" t="e">
        <f t="shared" si="11"/>
        <v>#VALUE!</v>
      </c>
      <c r="B737" s="144" t="str">
        <f>IF(ISBLANK(DaqBook_RAW_Data!Q727),IF(DaqBook_RAW_Data!A727="","",TIMEVALUE(DaqBook_RAW_Data!A727)),TIMEVALUE(DaqBook_RAW_Data!Q727))</f>
        <v/>
      </c>
      <c r="C737" s="167" t="str">
        <f>IF(ISBLANK(DaqBook_RAW_Data!R727),"",DaqBook_RAW_Data!R727)</f>
        <v/>
      </c>
      <c r="D737" s="167" t="str">
        <f>IF(ISBLANK(DaqBook_RAW_Data!S727),"",DaqBook_RAW_Data!S727)</f>
        <v/>
      </c>
      <c r="E737" s="167" t="str">
        <f>IF(ISBLANK(DaqBook_RAW_Data!T727),"",DaqBook_RAW_Data!T727)</f>
        <v/>
      </c>
      <c r="F737" s="167" t="str">
        <f>IF(ISBLANK(DaqBook_RAW_Data!U727),"",DaqBook_RAW_Data!U727)</f>
        <v/>
      </c>
      <c r="G737" s="167" t="str">
        <f>IF(ISBLANK(DaqBook_RAW_Data!V727),"",DaqBook_RAW_Data!V727)</f>
        <v/>
      </c>
      <c r="H737" s="167" t="str">
        <f>IF(ISBLANK(DaqBook_RAW_Data!W727),"",DaqBook_RAW_Data!W727)</f>
        <v/>
      </c>
      <c r="I737" s="167" t="str">
        <f>IF(ISBLANK(DaqBook_RAW_Data!X727),"",DaqBook_RAW_Data!X727)</f>
        <v/>
      </c>
      <c r="J737" s="167" t="str">
        <f>IF(ISBLANK(DaqBook_RAW_Data!Y727),"",DaqBook_RAW_Data!Y727)</f>
        <v/>
      </c>
      <c r="K737" s="167" t="str">
        <f>IF(ISBLANK(DaqBook_RAW_Data!Z727),"",DaqBook_RAW_Data!Z727)</f>
        <v/>
      </c>
      <c r="L737" s="167" t="str">
        <f>IF(ISBLANK(DaqBook_RAW_Data!AA727),"",DaqBook_RAW_Data!AA727)</f>
        <v/>
      </c>
      <c r="M737" s="167" t="str">
        <f>IF(ISBLANK(DaqBook_RAW_Data!AB727),"",DaqBook_RAW_Data!AB727)</f>
        <v/>
      </c>
      <c r="N737" s="167" t="str">
        <f>IF(ISBLANK(DaqBook_RAW_Data!AC727),"",DaqBook_RAW_Data!AC727)</f>
        <v/>
      </c>
      <c r="O737" s="167" t="str">
        <f>IF(ISBLANK(DaqBook_RAW_Data!AD727),"",DaqBook_RAW_Data!AD727)</f>
        <v/>
      </c>
      <c r="P737" s="167" t="str">
        <f>IF(ISBLANK(DaqBook_RAW_Data!AE727),"",DaqBook_RAW_Data!AE727)</f>
        <v/>
      </c>
    </row>
    <row r="738" spans="1:16" x14ac:dyDescent="0.2">
      <c r="A738" s="58" t="e">
        <f t="shared" si="11"/>
        <v>#VALUE!</v>
      </c>
      <c r="B738" s="144" t="str">
        <f>IF(ISBLANK(DaqBook_RAW_Data!Q728),IF(DaqBook_RAW_Data!A728="","",TIMEVALUE(DaqBook_RAW_Data!A728)),TIMEVALUE(DaqBook_RAW_Data!Q728))</f>
        <v/>
      </c>
      <c r="C738" s="167" t="str">
        <f>IF(ISBLANK(DaqBook_RAW_Data!R728),"",DaqBook_RAW_Data!R728)</f>
        <v/>
      </c>
      <c r="D738" s="167" t="str">
        <f>IF(ISBLANK(DaqBook_RAW_Data!S728),"",DaqBook_RAW_Data!S728)</f>
        <v/>
      </c>
      <c r="E738" s="167" t="str">
        <f>IF(ISBLANK(DaqBook_RAW_Data!T728),"",DaqBook_RAW_Data!T728)</f>
        <v/>
      </c>
      <c r="F738" s="167" t="str">
        <f>IF(ISBLANK(DaqBook_RAW_Data!U728),"",DaqBook_RAW_Data!U728)</f>
        <v/>
      </c>
      <c r="G738" s="167" t="str">
        <f>IF(ISBLANK(DaqBook_RAW_Data!V728),"",DaqBook_RAW_Data!V728)</f>
        <v/>
      </c>
      <c r="H738" s="167" t="str">
        <f>IF(ISBLANK(DaqBook_RAW_Data!W728),"",DaqBook_RAW_Data!W728)</f>
        <v/>
      </c>
      <c r="I738" s="167" t="str">
        <f>IF(ISBLANK(DaqBook_RAW_Data!X728),"",DaqBook_RAW_Data!X728)</f>
        <v/>
      </c>
      <c r="J738" s="167" t="str">
        <f>IF(ISBLANK(DaqBook_RAW_Data!Y728),"",DaqBook_RAW_Data!Y728)</f>
        <v/>
      </c>
      <c r="K738" s="167" t="str">
        <f>IF(ISBLANK(DaqBook_RAW_Data!Z728),"",DaqBook_RAW_Data!Z728)</f>
        <v/>
      </c>
      <c r="L738" s="167" t="str">
        <f>IF(ISBLANK(DaqBook_RAW_Data!AA728),"",DaqBook_RAW_Data!AA728)</f>
        <v/>
      </c>
      <c r="M738" s="167" t="str">
        <f>IF(ISBLANK(DaqBook_RAW_Data!AB728),"",DaqBook_RAW_Data!AB728)</f>
        <v/>
      </c>
      <c r="N738" s="167" t="str">
        <f>IF(ISBLANK(DaqBook_RAW_Data!AC728),"",DaqBook_RAW_Data!AC728)</f>
        <v/>
      </c>
      <c r="O738" s="167" t="str">
        <f>IF(ISBLANK(DaqBook_RAW_Data!AD728),"",DaqBook_RAW_Data!AD728)</f>
        <v/>
      </c>
      <c r="P738" s="167" t="str">
        <f>IF(ISBLANK(DaqBook_RAW_Data!AE728),"",DaqBook_RAW_Data!AE728)</f>
        <v/>
      </c>
    </row>
    <row r="739" spans="1:16" x14ac:dyDescent="0.2">
      <c r="A739" s="58" t="e">
        <f t="shared" si="11"/>
        <v>#VALUE!</v>
      </c>
      <c r="B739" s="144" t="str">
        <f>IF(ISBLANK(DaqBook_RAW_Data!Q729),IF(DaqBook_RAW_Data!A729="","",TIMEVALUE(DaqBook_RAW_Data!A729)),TIMEVALUE(DaqBook_RAW_Data!Q729))</f>
        <v/>
      </c>
      <c r="C739" s="167" t="str">
        <f>IF(ISBLANK(DaqBook_RAW_Data!R729),"",DaqBook_RAW_Data!R729)</f>
        <v/>
      </c>
      <c r="D739" s="167" t="str">
        <f>IF(ISBLANK(DaqBook_RAW_Data!S729),"",DaqBook_RAW_Data!S729)</f>
        <v/>
      </c>
      <c r="E739" s="167" t="str">
        <f>IF(ISBLANK(DaqBook_RAW_Data!T729),"",DaqBook_RAW_Data!T729)</f>
        <v/>
      </c>
      <c r="F739" s="167" t="str">
        <f>IF(ISBLANK(DaqBook_RAW_Data!U729),"",DaqBook_RAW_Data!U729)</f>
        <v/>
      </c>
      <c r="G739" s="167" t="str">
        <f>IF(ISBLANK(DaqBook_RAW_Data!V729),"",DaqBook_RAW_Data!V729)</f>
        <v/>
      </c>
      <c r="H739" s="167" t="str">
        <f>IF(ISBLANK(DaqBook_RAW_Data!W729),"",DaqBook_RAW_Data!W729)</f>
        <v/>
      </c>
      <c r="I739" s="167" t="str">
        <f>IF(ISBLANK(DaqBook_RAW_Data!X729),"",DaqBook_RAW_Data!X729)</f>
        <v/>
      </c>
      <c r="J739" s="167" t="str">
        <f>IF(ISBLANK(DaqBook_RAW_Data!Y729),"",DaqBook_RAW_Data!Y729)</f>
        <v/>
      </c>
      <c r="K739" s="167" t="str">
        <f>IF(ISBLANK(DaqBook_RAW_Data!Z729),"",DaqBook_RAW_Data!Z729)</f>
        <v/>
      </c>
      <c r="L739" s="167" t="str">
        <f>IF(ISBLANK(DaqBook_RAW_Data!AA729),"",DaqBook_RAW_Data!AA729)</f>
        <v/>
      </c>
      <c r="M739" s="167" t="str">
        <f>IF(ISBLANK(DaqBook_RAW_Data!AB729),"",DaqBook_RAW_Data!AB729)</f>
        <v/>
      </c>
      <c r="N739" s="167" t="str">
        <f>IF(ISBLANK(DaqBook_RAW_Data!AC729),"",DaqBook_RAW_Data!AC729)</f>
        <v/>
      </c>
      <c r="O739" s="167" t="str">
        <f>IF(ISBLANK(DaqBook_RAW_Data!AD729),"",DaqBook_RAW_Data!AD729)</f>
        <v/>
      </c>
      <c r="P739" s="167" t="str">
        <f>IF(ISBLANK(DaqBook_RAW_Data!AE729),"",DaqBook_RAW_Data!AE729)</f>
        <v/>
      </c>
    </row>
    <row r="740" spans="1:16" x14ac:dyDescent="0.2">
      <c r="A740" s="58" t="e">
        <f t="shared" si="11"/>
        <v>#VALUE!</v>
      </c>
      <c r="B740" s="144" t="str">
        <f>IF(ISBLANK(DaqBook_RAW_Data!Q730),IF(DaqBook_RAW_Data!A730="","",TIMEVALUE(DaqBook_RAW_Data!A730)),TIMEVALUE(DaqBook_RAW_Data!Q730))</f>
        <v/>
      </c>
      <c r="C740" s="167" t="str">
        <f>IF(ISBLANK(DaqBook_RAW_Data!R730),"",DaqBook_RAW_Data!R730)</f>
        <v/>
      </c>
      <c r="D740" s="167" t="str">
        <f>IF(ISBLANK(DaqBook_RAW_Data!S730),"",DaqBook_RAW_Data!S730)</f>
        <v/>
      </c>
      <c r="E740" s="167" t="str">
        <f>IF(ISBLANK(DaqBook_RAW_Data!T730),"",DaqBook_RAW_Data!T730)</f>
        <v/>
      </c>
      <c r="F740" s="167" t="str">
        <f>IF(ISBLANK(DaqBook_RAW_Data!U730),"",DaqBook_RAW_Data!U730)</f>
        <v/>
      </c>
      <c r="G740" s="167" t="str">
        <f>IF(ISBLANK(DaqBook_RAW_Data!V730),"",DaqBook_RAW_Data!V730)</f>
        <v/>
      </c>
      <c r="H740" s="167" t="str">
        <f>IF(ISBLANK(DaqBook_RAW_Data!W730),"",DaqBook_RAW_Data!W730)</f>
        <v/>
      </c>
      <c r="I740" s="167" t="str">
        <f>IF(ISBLANK(DaqBook_RAW_Data!X730),"",DaqBook_RAW_Data!X730)</f>
        <v/>
      </c>
      <c r="J740" s="167" t="str">
        <f>IF(ISBLANK(DaqBook_RAW_Data!Y730),"",DaqBook_RAW_Data!Y730)</f>
        <v/>
      </c>
      <c r="K740" s="167" t="str">
        <f>IF(ISBLANK(DaqBook_RAW_Data!Z730),"",DaqBook_RAW_Data!Z730)</f>
        <v/>
      </c>
      <c r="L740" s="167" t="str">
        <f>IF(ISBLANK(DaqBook_RAW_Data!AA730),"",DaqBook_RAW_Data!AA730)</f>
        <v/>
      </c>
      <c r="M740" s="167" t="str">
        <f>IF(ISBLANK(DaqBook_RAW_Data!AB730),"",DaqBook_RAW_Data!AB730)</f>
        <v/>
      </c>
      <c r="N740" s="167" t="str">
        <f>IF(ISBLANK(DaqBook_RAW_Data!AC730),"",DaqBook_RAW_Data!AC730)</f>
        <v/>
      </c>
      <c r="O740" s="167" t="str">
        <f>IF(ISBLANK(DaqBook_RAW_Data!AD730),"",DaqBook_RAW_Data!AD730)</f>
        <v/>
      </c>
      <c r="P740" s="167" t="str">
        <f>IF(ISBLANK(DaqBook_RAW_Data!AE730),"",DaqBook_RAW_Data!AE730)</f>
        <v/>
      </c>
    </row>
    <row r="741" spans="1:16" x14ac:dyDescent="0.2">
      <c r="A741" s="58" t="e">
        <f t="shared" si="11"/>
        <v>#VALUE!</v>
      </c>
      <c r="B741" s="144" t="str">
        <f>IF(ISBLANK(DaqBook_RAW_Data!Q731),IF(DaqBook_RAW_Data!A731="","",TIMEVALUE(DaqBook_RAW_Data!A731)),TIMEVALUE(DaqBook_RAW_Data!Q731))</f>
        <v/>
      </c>
      <c r="C741" s="167" t="str">
        <f>IF(ISBLANK(DaqBook_RAW_Data!R731),"",DaqBook_RAW_Data!R731)</f>
        <v/>
      </c>
      <c r="D741" s="167" t="str">
        <f>IF(ISBLANK(DaqBook_RAW_Data!S731),"",DaqBook_RAW_Data!S731)</f>
        <v/>
      </c>
      <c r="E741" s="167" t="str">
        <f>IF(ISBLANK(DaqBook_RAW_Data!T731),"",DaqBook_RAW_Data!T731)</f>
        <v/>
      </c>
      <c r="F741" s="167" t="str">
        <f>IF(ISBLANK(DaqBook_RAW_Data!U731),"",DaqBook_RAW_Data!U731)</f>
        <v/>
      </c>
      <c r="G741" s="167" t="str">
        <f>IF(ISBLANK(DaqBook_RAW_Data!V731),"",DaqBook_RAW_Data!V731)</f>
        <v/>
      </c>
      <c r="H741" s="167" t="str">
        <f>IF(ISBLANK(DaqBook_RAW_Data!W731),"",DaqBook_RAW_Data!W731)</f>
        <v/>
      </c>
      <c r="I741" s="167" t="str">
        <f>IF(ISBLANK(DaqBook_RAW_Data!X731),"",DaqBook_RAW_Data!X731)</f>
        <v/>
      </c>
      <c r="J741" s="167" t="str">
        <f>IF(ISBLANK(DaqBook_RAW_Data!Y731),"",DaqBook_RAW_Data!Y731)</f>
        <v/>
      </c>
      <c r="K741" s="167" t="str">
        <f>IF(ISBLANK(DaqBook_RAW_Data!Z731),"",DaqBook_RAW_Data!Z731)</f>
        <v/>
      </c>
      <c r="L741" s="167" t="str">
        <f>IF(ISBLANK(DaqBook_RAW_Data!AA731),"",DaqBook_RAW_Data!AA731)</f>
        <v/>
      </c>
      <c r="M741" s="167" t="str">
        <f>IF(ISBLANK(DaqBook_RAW_Data!AB731),"",DaqBook_RAW_Data!AB731)</f>
        <v/>
      </c>
      <c r="N741" s="167" t="str">
        <f>IF(ISBLANK(DaqBook_RAW_Data!AC731),"",DaqBook_RAW_Data!AC731)</f>
        <v/>
      </c>
      <c r="O741" s="167" t="str">
        <f>IF(ISBLANK(DaqBook_RAW_Data!AD731),"",DaqBook_RAW_Data!AD731)</f>
        <v/>
      </c>
      <c r="P741" s="167" t="str">
        <f>IF(ISBLANK(DaqBook_RAW_Data!AE731),"",DaqBook_RAW_Data!AE731)</f>
        <v/>
      </c>
    </row>
    <row r="742" spans="1:16" x14ac:dyDescent="0.2">
      <c r="A742" s="58" t="e">
        <f t="shared" si="11"/>
        <v>#VALUE!</v>
      </c>
      <c r="B742" s="144" t="str">
        <f>IF(ISBLANK(DaqBook_RAW_Data!Q732),IF(DaqBook_RAW_Data!A732="","",TIMEVALUE(DaqBook_RAW_Data!A732)),TIMEVALUE(DaqBook_RAW_Data!Q732))</f>
        <v/>
      </c>
      <c r="C742" s="167" t="str">
        <f>IF(ISBLANK(DaqBook_RAW_Data!R732),"",DaqBook_RAW_Data!R732)</f>
        <v/>
      </c>
      <c r="D742" s="167" t="str">
        <f>IF(ISBLANK(DaqBook_RAW_Data!S732),"",DaqBook_RAW_Data!S732)</f>
        <v/>
      </c>
      <c r="E742" s="167" t="str">
        <f>IF(ISBLANK(DaqBook_RAW_Data!T732),"",DaqBook_RAW_Data!T732)</f>
        <v/>
      </c>
      <c r="F742" s="167" t="str">
        <f>IF(ISBLANK(DaqBook_RAW_Data!U732),"",DaqBook_RAW_Data!U732)</f>
        <v/>
      </c>
      <c r="G742" s="167" t="str">
        <f>IF(ISBLANK(DaqBook_RAW_Data!V732),"",DaqBook_RAW_Data!V732)</f>
        <v/>
      </c>
      <c r="H742" s="167" t="str">
        <f>IF(ISBLANK(DaqBook_RAW_Data!W732),"",DaqBook_RAW_Data!W732)</f>
        <v/>
      </c>
      <c r="I742" s="167" t="str">
        <f>IF(ISBLANK(DaqBook_RAW_Data!X732),"",DaqBook_RAW_Data!X732)</f>
        <v/>
      </c>
      <c r="J742" s="167" t="str">
        <f>IF(ISBLANK(DaqBook_RAW_Data!Y732),"",DaqBook_RAW_Data!Y732)</f>
        <v/>
      </c>
      <c r="K742" s="167" t="str">
        <f>IF(ISBLANK(DaqBook_RAW_Data!Z732),"",DaqBook_RAW_Data!Z732)</f>
        <v/>
      </c>
      <c r="L742" s="167" t="str">
        <f>IF(ISBLANK(DaqBook_RAW_Data!AA732),"",DaqBook_RAW_Data!AA732)</f>
        <v/>
      </c>
      <c r="M742" s="167" t="str">
        <f>IF(ISBLANK(DaqBook_RAW_Data!AB732),"",DaqBook_RAW_Data!AB732)</f>
        <v/>
      </c>
      <c r="N742" s="167" t="str">
        <f>IF(ISBLANK(DaqBook_RAW_Data!AC732),"",DaqBook_RAW_Data!AC732)</f>
        <v/>
      </c>
      <c r="O742" s="167" t="str">
        <f>IF(ISBLANK(DaqBook_RAW_Data!AD732),"",DaqBook_RAW_Data!AD732)</f>
        <v/>
      </c>
      <c r="P742" s="167" t="str">
        <f>IF(ISBLANK(DaqBook_RAW_Data!AE732),"",DaqBook_RAW_Data!AE732)</f>
        <v/>
      </c>
    </row>
    <row r="743" spans="1:16" x14ac:dyDescent="0.2">
      <c r="A743" s="58" t="e">
        <f t="shared" si="11"/>
        <v>#VALUE!</v>
      </c>
      <c r="B743" s="144" t="str">
        <f>IF(ISBLANK(DaqBook_RAW_Data!Q733),IF(DaqBook_RAW_Data!A733="","",TIMEVALUE(DaqBook_RAW_Data!A733)),TIMEVALUE(DaqBook_RAW_Data!Q733))</f>
        <v/>
      </c>
      <c r="C743" s="167" t="str">
        <f>IF(ISBLANK(DaqBook_RAW_Data!R733),"",DaqBook_RAW_Data!R733)</f>
        <v/>
      </c>
      <c r="D743" s="167" t="str">
        <f>IF(ISBLANK(DaqBook_RAW_Data!S733),"",DaqBook_RAW_Data!S733)</f>
        <v/>
      </c>
      <c r="E743" s="167" t="str">
        <f>IF(ISBLANK(DaqBook_RAW_Data!T733),"",DaqBook_RAW_Data!T733)</f>
        <v/>
      </c>
      <c r="F743" s="167" t="str">
        <f>IF(ISBLANK(DaqBook_RAW_Data!U733),"",DaqBook_RAW_Data!U733)</f>
        <v/>
      </c>
      <c r="G743" s="167" t="str">
        <f>IF(ISBLANK(DaqBook_RAW_Data!V733),"",DaqBook_RAW_Data!V733)</f>
        <v/>
      </c>
      <c r="H743" s="167" t="str">
        <f>IF(ISBLANK(DaqBook_RAW_Data!W733),"",DaqBook_RAW_Data!W733)</f>
        <v/>
      </c>
      <c r="I743" s="167" t="str">
        <f>IF(ISBLANK(DaqBook_RAW_Data!X733),"",DaqBook_RAW_Data!X733)</f>
        <v/>
      </c>
      <c r="J743" s="167" t="str">
        <f>IF(ISBLANK(DaqBook_RAW_Data!Y733),"",DaqBook_RAW_Data!Y733)</f>
        <v/>
      </c>
      <c r="K743" s="167" t="str">
        <f>IF(ISBLANK(DaqBook_RAW_Data!Z733),"",DaqBook_RAW_Data!Z733)</f>
        <v/>
      </c>
      <c r="L743" s="167" t="str">
        <f>IF(ISBLANK(DaqBook_RAW_Data!AA733),"",DaqBook_RAW_Data!AA733)</f>
        <v/>
      </c>
      <c r="M743" s="167" t="str">
        <f>IF(ISBLANK(DaqBook_RAW_Data!AB733),"",DaqBook_RAW_Data!AB733)</f>
        <v/>
      </c>
      <c r="N743" s="167" t="str">
        <f>IF(ISBLANK(DaqBook_RAW_Data!AC733),"",DaqBook_RAW_Data!AC733)</f>
        <v/>
      </c>
      <c r="O743" s="167" t="str">
        <f>IF(ISBLANK(DaqBook_RAW_Data!AD733),"",DaqBook_RAW_Data!AD733)</f>
        <v/>
      </c>
      <c r="P743" s="167" t="str">
        <f>IF(ISBLANK(DaqBook_RAW_Data!AE733),"",DaqBook_RAW_Data!AE733)</f>
        <v/>
      </c>
    </row>
    <row r="744" spans="1:16" x14ac:dyDescent="0.2">
      <c r="A744" s="58" t="e">
        <f t="shared" si="11"/>
        <v>#VALUE!</v>
      </c>
      <c r="B744" s="144" t="str">
        <f>IF(ISBLANK(DaqBook_RAW_Data!Q734),IF(DaqBook_RAW_Data!A734="","",TIMEVALUE(DaqBook_RAW_Data!A734)),TIMEVALUE(DaqBook_RAW_Data!Q734))</f>
        <v/>
      </c>
      <c r="C744" s="167" t="str">
        <f>IF(ISBLANK(DaqBook_RAW_Data!R734),"",DaqBook_RAW_Data!R734)</f>
        <v/>
      </c>
      <c r="D744" s="167" t="str">
        <f>IF(ISBLANK(DaqBook_RAW_Data!S734),"",DaqBook_RAW_Data!S734)</f>
        <v/>
      </c>
      <c r="E744" s="167" t="str">
        <f>IF(ISBLANK(DaqBook_RAW_Data!T734),"",DaqBook_RAW_Data!T734)</f>
        <v/>
      </c>
      <c r="F744" s="167" t="str">
        <f>IF(ISBLANK(DaqBook_RAW_Data!U734),"",DaqBook_RAW_Data!U734)</f>
        <v/>
      </c>
      <c r="G744" s="167" t="str">
        <f>IF(ISBLANK(DaqBook_RAW_Data!V734),"",DaqBook_RAW_Data!V734)</f>
        <v/>
      </c>
      <c r="H744" s="167" t="str">
        <f>IF(ISBLANK(DaqBook_RAW_Data!W734),"",DaqBook_RAW_Data!W734)</f>
        <v/>
      </c>
      <c r="I744" s="167" t="str">
        <f>IF(ISBLANK(DaqBook_RAW_Data!X734),"",DaqBook_RAW_Data!X734)</f>
        <v/>
      </c>
      <c r="J744" s="167" t="str">
        <f>IF(ISBLANK(DaqBook_RAW_Data!Y734),"",DaqBook_RAW_Data!Y734)</f>
        <v/>
      </c>
      <c r="K744" s="167" t="str">
        <f>IF(ISBLANK(DaqBook_RAW_Data!Z734),"",DaqBook_RAW_Data!Z734)</f>
        <v/>
      </c>
      <c r="L744" s="167" t="str">
        <f>IF(ISBLANK(DaqBook_RAW_Data!AA734),"",DaqBook_RAW_Data!AA734)</f>
        <v/>
      </c>
      <c r="M744" s="167" t="str">
        <f>IF(ISBLANK(DaqBook_RAW_Data!AB734),"",DaqBook_RAW_Data!AB734)</f>
        <v/>
      </c>
      <c r="N744" s="167" t="str">
        <f>IF(ISBLANK(DaqBook_RAW_Data!AC734),"",DaqBook_RAW_Data!AC734)</f>
        <v/>
      </c>
      <c r="O744" s="167" t="str">
        <f>IF(ISBLANK(DaqBook_RAW_Data!AD734),"",DaqBook_RAW_Data!AD734)</f>
        <v/>
      </c>
      <c r="P744" s="167" t="str">
        <f>IF(ISBLANK(DaqBook_RAW_Data!AE734),"",DaqBook_RAW_Data!AE734)</f>
        <v/>
      </c>
    </row>
    <row r="745" spans="1:16" x14ac:dyDescent="0.2">
      <c r="A745" s="58" t="e">
        <f t="shared" si="11"/>
        <v>#VALUE!</v>
      </c>
      <c r="B745" s="144" t="str">
        <f>IF(ISBLANK(DaqBook_RAW_Data!Q735),IF(DaqBook_RAW_Data!A735="","",TIMEVALUE(DaqBook_RAW_Data!A735)),TIMEVALUE(DaqBook_RAW_Data!Q735))</f>
        <v/>
      </c>
      <c r="C745" s="167" t="str">
        <f>IF(ISBLANK(DaqBook_RAW_Data!R735),"",DaqBook_RAW_Data!R735)</f>
        <v/>
      </c>
      <c r="D745" s="167" t="str">
        <f>IF(ISBLANK(DaqBook_RAW_Data!S735),"",DaqBook_RAW_Data!S735)</f>
        <v/>
      </c>
      <c r="E745" s="167" t="str">
        <f>IF(ISBLANK(DaqBook_RAW_Data!T735),"",DaqBook_RAW_Data!T735)</f>
        <v/>
      </c>
      <c r="F745" s="167" t="str">
        <f>IF(ISBLANK(DaqBook_RAW_Data!U735),"",DaqBook_RAW_Data!U735)</f>
        <v/>
      </c>
      <c r="G745" s="167" t="str">
        <f>IF(ISBLANK(DaqBook_RAW_Data!V735),"",DaqBook_RAW_Data!V735)</f>
        <v/>
      </c>
      <c r="H745" s="167" t="str">
        <f>IF(ISBLANK(DaqBook_RAW_Data!W735),"",DaqBook_RAW_Data!W735)</f>
        <v/>
      </c>
      <c r="I745" s="167" t="str">
        <f>IF(ISBLANK(DaqBook_RAW_Data!X735),"",DaqBook_RAW_Data!X735)</f>
        <v/>
      </c>
      <c r="J745" s="167" t="str">
        <f>IF(ISBLANK(DaqBook_RAW_Data!Y735),"",DaqBook_RAW_Data!Y735)</f>
        <v/>
      </c>
      <c r="K745" s="167" t="str">
        <f>IF(ISBLANK(DaqBook_RAW_Data!Z735),"",DaqBook_RAW_Data!Z735)</f>
        <v/>
      </c>
      <c r="L745" s="167" t="str">
        <f>IF(ISBLANK(DaqBook_RAW_Data!AA735),"",DaqBook_RAW_Data!AA735)</f>
        <v/>
      </c>
      <c r="M745" s="167" t="str">
        <f>IF(ISBLANK(DaqBook_RAW_Data!AB735),"",DaqBook_RAW_Data!AB735)</f>
        <v/>
      </c>
      <c r="N745" s="167" t="str">
        <f>IF(ISBLANK(DaqBook_RAW_Data!AC735),"",DaqBook_RAW_Data!AC735)</f>
        <v/>
      </c>
      <c r="O745" s="167" t="str">
        <f>IF(ISBLANK(DaqBook_RAW_Data!AD735),"",DaqBook_RAW_Data!AD735)</f>
        <v/>
      </c>
      <c r="P745" s="167" t="str">
        <f>IF(ISBLANK(DaqBook_RAW_Data!AE735),"",DaqBook_RAW_Data!AE735)</f>
        <v/>
      </c>
    </row>
    <row r="746" spans="1:16" x14ac:dyDescent="0.2">
      <c r="A746" s="58" t="e">
        <f t="shared" si="11"/>
        <v>#VALUE!</v>
      </c>
      <c r="B746" s="144" t="str">
        <f>IF(ISBLANK(DaqBook_RAW_Data!Q736),IF(DaqBook_RAW_Data!A736="","",TIMEVALUE(DaqBook_RAW_Data!A736)),TIMEVALUE(DaqBook_RAW_Data!Q736))</f>
        <v/>
      </c>
      <c r="C746" s="167" t="str">
        <f>IF(ISBLANK(DaqBook_RAW_Data!R736),"",DaqBook_RAW_Data!R736)</f>
        <v/>
      </c>
      <c r="D746" s="167" t="str">
        <f>IF(ISBLANK(DaqBook_RAW_Data!S736),"",DaqBook_RAW_Data!S736)</f>
        <v/>
      </c>
      <c r="E746" s="167" t="str">
        <f>IF(ISBLANK(DaqBook_RAW_Data!T736),"",DaqBook_RAW_Data!T736)</f>
        <v/>
      </c>
      <c r="F746" s="167" t="str">
        <f>IF(ISBLANK(DaqBook_RAW_Data!U736),"",DaqBook_RAW_Data!U736)</f>
        <v/>
      </c>
      <c r="G746" s="167" t="str">
        <f>IF(ISBLANK(DaqBook_RAW_Data!V736),"",DaqBook_RAW_Data!V736)</f>
        <v/>
      </c>
      <c r="H746" s="167" t="str">
        <f>IF(ISBLANK(DaqBook_RAW_Data!W736),"",DaqBook_RAW_Data!W736)</f>
        <v/>
      </c>
      <c r="I746" s="167" t="str">
        <f>IF(ISBLANK(DaqBook_RAW_Data!X736),"",DaqBook_RAW_Data!X736)</f>
        <v/>
      </c>
      <c r="J746" s="167" t="str">
        <f>IF(ISBLANK(DaqBook_RAW_Data!Y736),"",DaqBook_RAW_Data!Y736)</f>
        <v/>
      </c>
      <c r="K746" s="167" t="str">
        <f>IF(ISBLANK(DaqBook_RAW_Data!Z736),"",DaqBook_RAW_Data!Z736)</f>
        <v/>
      </c>
      <c r="L746" s="167" t="str">
        <f>IF(ISBLANK(DaqBook_RAW_Data!AA736),"",DaqBook_RAW_Data!AA736)</f>
        <v/>
      </c>
      <c r="M746" s="167" t="str">
        <f>IF(ISBLANK(DaqBook_RAW_Data!AB736),"",DaqBook_RAW_Data!AB736)</f>
        <v/>
      </c>
      <c r="N746" s="167" t="str">
        <f>IF(ISBLANK(DaqBook_RAW_Data!AC736),"",DaqBook_RAW_Data!AC736)</f>
        <v/>
      </c>
      <c r="O746" s="167" t="str">
        <f>IF(ISBLANK(DaqBook_RAW_Data!AD736),"",DaqBook_RAW_Data!AD736)</f>
        <v/>
      </c>
      <c r="P746" s="167" t="str">
        <f>IF(ISBLANK(DaqBook_RAW_Data!AE736),"",DaqBook_RAW_Data!AE736)</f>
        <v/>
      </c>
    </row>
    <row r="747" spans="1:16" x14ac:dyDescent="0.2">
      <c r="A747" s="58" t="e">
        <f t="shared" si="11"/>
        <v>#VALUE!</v>
      </c>
      <c r="B747" s="144" t="str">
        <f>IF(ISBLANK(DaqBook_RAW_Data!Q737),IF(DaqBook_RAW_Data!A737="","",TIMEVALUE(DaqBook_RAW_Data!A737)),TIMEVALUE(DaqBook_RAW_Data!Q737))</f>
        <v/>
      </c>
      <c r="C747" s="167" t="str">
        <f>IF(ISBLANK(DaqBook_RAW_Data!R737),"",DaqBook_RAW_Data!R737)</f>
        <v/>
      </c>
      <c r="D747" s="167" t="str">
        <f>IF(ISBLANK(DaqBook_RAW_Data!S737),"",DaqBook_RAW_Data!S737)</f>
        <v/>
      </c>
      <c r="E747" s="167" t="str">
        <f>IF(ISBLANK(DaqBook_RAW_Data!T737),"",DaqBook_RAW_Data!T737)</f>
        <v/>
      </c>
      <c r="F747" s="167" t="str">
        <f>IF(ISBLANK(DaqBook_RAW_Data!U737),"",DaqBook_RAW_Data!U737)</f>
        <v/>
      </c>
      <c r="G747" s="167" t="str">
        <f>IF(ISBLANK(DaqBook_RAW_Data!V737),"",DaqBook_RAW_Data!V737)</f>
        <v/>
      </c>
      <c r="H747" s="167" t="str">
        <f>IF(ISBLANK(DaqBook_RAW_Data!W737),"",DaqBook_RAW_Data!W737)</f>
        <v/>
      </c>
      <c r="I747" s="167" t="str">
        <f>IF(ISBLANK(DaqBook_RAW_Data!X737),"",DaqBook_RAW_Data!X737)</f>
        <v/>
      </c>
      <c r="J747" s="167" t="str">
        <f>IF(ISBLANK(DaqBook_RAW_Data!Y737),"",DaqBook_RAW_Data!Y737)</f>
        <v/>
      </c>
      <c r="K747" s="167" t="str">
        <f>IF(ISBLANK(DaqBook_RAW_Data!Z737),"",DaqBook_RAW_Data!Z737)</f>
        <v/>
      </c>
      <c r="L747" s="167" t="str">
        <f>IF(ISBLANK(DaqBook_RAW_Data!AA737),"",DaqBook_RAW_Data!AA737)</f>
        <v/>
      </c>
      <c r="M747" s="167" t="str">
        <f>IF(ISBLANK(DaqBook_RAW_Data!AB737),"",DaqBook_RAW_Data!AB737)</f>
        <v/>
      </c>
      <c r="N747" s="167" t="str">
        <f>IF(ISBLANK(DaqBook_RAW_Data!AC737),"",DaqBook_RAW_Data!AC737)</f>
        <v/>
      </c>
      <c r="O747" s="167" t="str">
        <f>IF(ISBLANK(DaqBook_RAW_Data!AD737),"",DaqBook_RAW_Data!AD737)</f>
        <v/>
      </c>
      <c r="P747" s="167" t="str">
        <f>IF(ISBLANK(DaqBook_RAW_Data!AE737),"",DaqBook_RAW_Data!AE737)</f>
        <v/>
      </c>
    </row>
    <row r="748" spans="1:16" x14ac:dyDescent="0.2">
      <c r="A748" s="58" t="e">
        <f t="shared" si="11"/>
        <v>#VALUE!</v>
      </c>
      <c r="B748" s="144" t="str">
        <f>IF(ISBLANK(DaqBook_RAW_Data!Q738),IF(DaqBook_RAW_Data!A738="","",TIMEVALUE(DaqBook_RAW_Data!A738)),TIMEVALUE(DaqBook_RAW_Data!Q738))</f>
        <v/>
      </c>
      <c r="C748" s="167" t="str">
        <f>IF(ISBLANK(DaqBook_RAW_Data!R738),"",DaqBook_RAW_Data!R738)</f>
        <v/>
      </c>
      <c r="D748" s="167" t="str">
        <f>IF(ISBLANK(DaqBook_RAW_Data!S738),"",DaqBook_RAW_Data!S738)</f>
        <v/>
      </c>
      <c r="E748" s="167" t="str">
        <f>IF(ISBLANK(DaqBook_RAW_Data!T738),"",DaqBook_RAW_Data!T738)</f>
        <v/>
      </c>
      <c r="F748" s="167" t="str">
        <f>IF(ISBLANK(DaqBook_RAW_Data!U738),"",DaqBook_RAW_Data!U738)</f>
        <v/>
      </c>
      <c r="G748" s="167" t="str">
        <f>IF(ISBLANK(DaqBook_RAW_Data!V738),"",DaqBook_RAW_Data!V738)</f>
        <v/>
      </c>
      <c r="H748" s="167" t="str">
        <f>IF(ISBLANK(DaqBook_RAW_Data!W738),"",DaqBook_RAW_Data!W738)</f>
        <v/>
      </c>
      <c r="I748" s="167" t="str">
        <f>IF(ISBLANK(DaqBook_RAW_Data!X738),"",DaqBook_RAW_Data!X738)</f>
        <v/>
      </c>
      <c r="J748" s="167" t="str">
        <f>IF(ISBLANK(DaqBook_RAW_Data!Y738),"",DaqBook_RAW_Data!Y738)</f>
        <v/>
      </c>
      <c r="K748" s="167" t="str">
        <f>IF(ISBLANK(DaqBook_RAW_Data!Z738),"",DaqBook_RAW_Data!Z738)</f>
        <v/>
      </c>
      <c r="L748" s="167" t="str">
        <f>IF(ISBLANK(DaqBook_RAW_Data!AA738),"",DaqBook_RAW_Data!AA738)</f>
        <v/>
      </c>
      <c r="M748" s="167" t="str">
        <f>IF(ISBLANK(DaqBook_RAW_Data!AB738),"",DaqBook_RAW_Data!AB738)</f>
        <v/>
      </c>
      <c r="N748" s="167" t="str">
        <f>IF(ISBLANK(DaqBook_RAW_Data!AC738),"",DaqBook_RAW_Data!AC738)</f>
        <v/>
      </c>
      <c r="O748" s="167" t="str">
        <f>IF(ISBLANK(DaqBook_RAW_Data!AD738),"",DaqBook_RAW_Data!AD738)</f>
        <v/>
      </c>
      <c r="P748" s="167" t="str">
        <f>IF(ISBLANK(DaqBook_RAW_Data!AE738),"",DaqBook_RAW_Data!AE738)</f>
        <v/>
      </c>
    </row>
    <row r="749" spans="1:16" x14ac:dyDescent="0.2">
      <c r="A749" s="58" t="e">
        <f t="shared" si="11"/>
        <v>#VALUE!</v>
      </c>
      <c r="B749" s="144" t="str">
        <f>IF(ISBLANK(DaqBook_RAW_Data!Q739),IF(DaqBook_RAW_Data!A739="","",TIMEVALUE(DaqBook_RAW_Data!A739)),TIMEVALUE(DaqBook_RAW_Data!Q739))</f>
        <v/>
      </c>
      <c r="C749" s="167" t="str">
        <f>IF(ISBLANK(DaqBook_RAW_Data!R739),"",DaqBook_RAW_Data!R739)</f>
        <v/>
      </c>
      <c r="D749" s="167" t="str">
        <f>IF(ISBLANK(DaqBook_RAW_Data!S739),"",DaqBook_RAW_Data!S739)</f>
        <v/>
      </c>
      <c r="E749" s="167" t="str">
        <f>IF(ISBLANK(DaqBook_RAW_Data!T739),"",DaqBook_RAW_Data!T739)</f>
        <v/>
      </c>
      <c r="F749" s="167" t="str">
        <f>IF(ISBLANK(DaqBook_RAW_Data!U739),"",DaqBook_RAW_Data!U739)</f>
        <v/>
      </c>
      <c r="G749" s="167" t="str">
        <f>IF(ISBLANK(DaqBook_RAW_Data!V739),"",DaqBook_RAW_Data!V739)</f>
        <v/>
      </c>
      <c r="H749" s="167" t="str">
        <f>IF(ISBLANK(DaqBook_RAW_Data!W739),"",DaqBook_RAW_Data!W739)</f>
        <v/>
      </c>
      <c r="I749" s="167" t="str">
        <f>IF(ISBLANK(DaqBook_RAW_Data!X739),"",DaqBook_RAW_Data!X739)</f>
        <v/>
      </c>
      <c r="J749" s="167" t="str">
        <f>IF(ISBLANK(DaqBook_RAW_Data!Y739),"",DaqBook_RAW_Data!Y739)</f>
        <v/>
      </c>
      <c r="K749" s="167" t="str">
        <f>IF(ISBLANK(DaqBook_RAW_Data!Z739),"",DaqBook_RAW_Data!Z739)</f>
        <v/>
      </c>
      <c r="L749" s="167" t="str">
        <f>IF(ISBLANK(DaqBook_RAW_Data!AA739),"",DaqBook_RAW_Data!AA739)</f>
        <v/>
      </c>
      <c r="M749" s="167" t="str">
        <f>IF(ISBLANK(DaqBook_RAW_Data!AB739),"",DaqBook_RAW_Data!AB739)</f>
        <v/>
      </c>
      <c r="N749" s="167" t="str">
        <f>IF(ISBLANK(DaqBook_RAW_Data!AC739),"",DaqBook_RAW_Data!AC739)</f>
        <v/>
      </c>
      <c r="O749" s="167" t="str">
        <f>IF(ISBLANK(DaqBook_RAW_Data!AD739),"",DaqBook_RAW_Data!AD739)</f>
        <v/>
      </c>
      <c r="P749" s="167" t="str">
        <f>IF(ISBLANK(DaqBook_RAW_Data!AE739),"",DaqBook_RAW_Data!AE739)</f>
        <v/>
      </c>
    </row>
    <row r="750" spans="1:16" x14ac:dyDescent="0.2">
      <c r="A750" s="58" t="e">
        <f t="shared" si="11"/>
        <v>#VALUE!</v>
      </c>
      <c r="B750" s="144" t="str">
        <f>IF(ISBLANK(DaqBook_RAW_Data!Q740),IF(DaqBook_RAW_Data!A740="","",TIMEVALUE(DaqBook_RAW_Data!A740)),TIMEVALUE(DaqBook_RAW_Data!Q740))</f>
        <v/>
      </c>
      <c r="C750" s="167" t="str">
        <f>IF(ISBLANK(DaqBook_RAW_Data!R740),"",DaqBook_RAW_Data!R740)</f>
        <v/>
      </c>
      <c r="D750" s="167" t="str">
        <f>IF(ISBLANK(DaqBook_RAW_Data!S740),"",DaqBook_RAW_Data!S740)</f>
        <v/>
      </c>
      <c r="E750" s="167" t="str">
        <f>IF(ISBLANK(DaqBook_RAW_Data!T740),"",DaqBook_RAW_Data!T740)</f>
        <v/>
      </c>
      <c r="F750" s="167" t="str">
        <f>IF(ISBLANK(DaqBook_RAW_Data!U740),"",DaqBook_RAW_Data!U740)</f>
        <v/>
      </c>
      <c r="G750" s="167" t="str">
        <f>IF(ISBLANK(DaqBook_RAW_Data!V740),"",DaqBook_RAW_Data!V740)</f>
        <v/>
      </c>
      <c r="H750" s="167" t="str">
        <f>IF(ISBLANK(DaqBook_RAW_Data!W740),"",DaqBook_RAW_Data!W740)</f>
        <v/>
      </c>
      <c r="I750" s="167" t="str">
        <f>IF(ISBLANK(DaqBook_RAW_Data!X740),"",DaqBook_RAW_Data!X740)</f>
        <v/>
      </c>
      <c r="J750" s="167" t="str">
        <f>IF(ISBLANK(DaqBook_RAW_Data!Y740),"",DaqBook_RAW_Data!Y740)</f>
        <v/>
      </c>
      <c r="K750" s="167" t="str">
        <f>IF(ISBLANK(DaqBook_RAW_Data!Z740),"",DaqBook_RAW_Data!Z740)</f>
        <v/>
      </c>
      <c r="L750" s="167" t="str">
        <f>IF(ISBLANK(DaqBook_RAW_Data!AA740),"",DaqBook_RAW_Data!AA740)</f>
        <v/>
      </c>
      <c r="M750" s="167" t="str">
        <f>IF(ISBLANK(DaqBook_RAW_Data!AB740),"",DaqBook_RAW_Data!AB740)</f>
        <v/>
      </c>
      <c r="N750" s="167" t="str">
        <f>IF(ISBLANK(DaqBook_RAW_Data!AC740),"",DaqBook_RAW_Data!AC740)</f>
        <v/>
      </c>
      <c r="O750" s="167" t="str">
        <f>IF(ISBLANK(DaqBook_RAW_Data!AD740),"",DaqBook_RAW_Data!AD740)</f>
        <v/>
      </c>
      <c r="P750" s="167" t="str">
        <f>IF(ISBLANK(DaqBook_RAW_Data!AE740),"",DaqBook_RAW_Data!AE740)</f>
        <v/>
      </c>
    </row>
    <row r="751" spans="1:16" x14ac:dyDescent="0.2">
      <c r="A751" s="58" t="e">
        <f t="shared" si="11"/>
        <v>#VALUE!</v>
      </c>
      <c r="B751" s="144" t="str">
        <f>IF(ISBLANK(DaqBook_RAW_Data!Q741),IF(DaqBook_RAW_Data!A741="","",TIMEVALUE(DaqBook_RAW_Data!A741)),TIMEVALUE(DaqBook_RAW_Data!Q741))</f>
        <v/>
      </c>
      <c r="C751" s="167" t="str">
        <f>IF(ISBLANK(DaqBook_RAW_Data!R741),"",DaqBook_RAW_Data!R741)</f>
        <v/>
      </c>
      <c r="D751" s="167" t="str">
        <f>IF(ISBLANK(DaqBook_RAW_Data!S741),"",DaqBook_RAW_Data!S741)</f>
        <v/>
      </c>
      <c r="E751" s="167" t="str">
        <f>IF(ISBLANK(DaqBook_RAW_Data!T741),"",DaqBook_RAW_Data!T741)</f>
        <v/>
      </c>
      <c r="F751" s="167" t="str">
        <f>IF(ISBLANK(DaqBook_RAW_Data!U741),"",DaqBook_RAW_Data!U741)</f>
        <v/>
      </c>
      <c r="G751" s="167" t="str">
        <f>IF(ISBLANK(DaqBook_RAW_Data!V741),"",DaqBook_RAW_Data!V741)</f>
        <v/>
      </c>
      <c r="H751" s="167" t="str">
        <f>IF(ISBLANK(DaqBook_RAW_Data!W741),"",DaqBook_RAW_Data!W741)</f>
        <v/>
      </c>
      <c r="I751" s="167" t="str">
        <f>IF(ISBLANK(DaqBook_RAW_Data!X741),"",DaqBook_RAW_Data!X741)</f>
        <v/>
      </c>
      <c r="J751" s="167" t="str">
        <f>IF(ISBLANK(DaqBook_RAW_Data!Y741),"",DaqBook_RAW_Data!Y741)</f>
        <v/>
      </c>
      <c r="K751" s="167" t="str">
        <f>IF(ISBLANK(DaqBook_RAW_Data!Z741),"",DaqBook_RAW_Data!Z741)</f>
        <v/>
      </c>
      <c r="L751" s="167" t="str">
        <f>IF(ISBLANK(DaqBook_RAW_Data!AA741),"",DaqBook_RAW_Data!AA741)</f>
        <v/>
      </c>
      <c r="M751" s="167" t="str">
        <f>IF(ISBLANK(DaqBook_RAW_Data!AB741),"",DaqBook_RAW_Data!AB741)</f>
        <v/>
      </c>
      <c r="N751" s="167" t="str">
        <f>IF(ISBLANK(DaqBook_RAW_Data!AC741),"",DaqBook_RAW_Data!AC741)</f>
        <v/>
      </c>
      <c r="O751" s="167" t="str">
        <f>IF(ISBLANK(DaqBook_RAW_Data!AD741),"",DaqBook_RAW_Data!AD741)</f>
        <v/>
      </c>
      <c r="P751" s="167" t="str">
        <f>IF(ISBLANK(DaqBook_RAW_Data!AE741),"",DaqBook_RAW_Data!AE741)</f>
        <v/>
      </c>
    </row>
    <row r="752" spans="1:16" x14ac:dyDescent="0.2">
      <c r="A752" s="58" t="e">
        <f t="shared" si="11"/>
        <v>#VALUE!</v>
      </c>
      <c r="B752" s="144" t="str">
        <f>IF(ISBLANK(DaqBook_RAW_Data!Q742),IF(DaqBook_RAW_Data!A742="","",TIMEVALUE(DaqBook_RAW_Data!A742)),TIMEVALUE(DaqBook_RAW_Data!Q742))</f>
        <v/>
      </c>
      <c r="C752" s="167" t="str">
        <f>IF(ISBLANK(DaqBook_RAW_Data!R742),"",DaqBook_RAW_Data!R742)</f>
        <v/>
      </c>
      <c r="D752" s="167" t="str">
        <f>IF(ISBLANK(DaqBook_RAW_Data!S742),"",DaqBook_RAW_Data!S742)</f>
        <v/>
      </c>
      <c r="E752" s="167" t="str">
        <f>IF(ISBLANK(DaqBook_RAW_Data!T742),"",DaqBook_RAW_Data!T742)</f>
        <v/>
      </c>
      <c r="F752" s="167" t="str">
        <f>IF(ISBLANK(DaqBook_RAW_Data!U742),"",DaqBook_RAW_Data!U742)</f>
        <v/>
      </c>
      <c r="G752" s="167" t="str">
        <f>IF(ISBLANK(DaqBook_RAW_Data!V742),"",DaqBook_RAW_Data!V742)</f>
        <v/>
      </c>
      <c r="H752" s="167" t="str">
        <f>IF(ISBLANK(DaqBook_RAW_Data!W742),"",DaqBook_RAW_Data!W742)</f>
        <v/>
      </c>
      <c r="I752" s="167" t="str">
        <f>IF(ISBLANK(DaqBook_RAW_Data!X742),"",DaqBook_RAW_Data!X742)</f>
        <v/>
      </c>
      <c r="J752" s="167" t="str">
        <f>IF(ISBLANK(DaqBook_RAW_Data!Y742),"",DaqBook_RAW_Data!Y742)</f>
        <v/>
      </c>
      <c r="K752" s="167" t="str">
        <f>IF(ISBLANK(DaqBook_RAW_Data!Z742),"",DaqBook_RAW_Data!Z742)</f>
        <v/>
      </c>
      <c r="L752" s="167" t="str">
        <f>IF(ISBLANK(DaqBook_RAW_Data!AA742),"",DaqBook_RAW_Data!AA742)</f>
        <v/>
      </c>
      <c r="M752" s="167" t="str">
        <f>IF(ISBLANK(DaqBook_RAW_Data!AB742),"",DaqBook_RAW_Data!AB742)</f>
        <v/>
      </c>
      <c r="N752" s="167" t="str">
        <f>IF(ISBLANK(DaqBook_RAW_Data!AC742),"",DaqBook_RAW_Data!AC742)</f>
        <v/>
      </c>
      <c r="O752" s="167" t="str">
        <f>IF(ISBLANK(DaqBook_RAW_Data!AD742),"",DaqBook_RAW_Data!AD742)</f>
        <v/>
      </c>
      <c r="P752" s="167" t="str">
        <f>IF(ISBLANK(DaqBook_RAW_Data!AE742),"",DaqBook_RAW_Data!AE742)</f>
        <v/>
      </c>
    </row>
    <row r="753" spans="1:16" x14ac:dyDescent="0.2">
      <c r="A753" s="58" t="e">
        <f t="shared" si="11"/>
        <v>#VALUE!</v>
      </c>
      <c r="B753" s="144" t="str">
        <f>IF(ISBLANK(DaqBook_RAW_Data!Q743),IF(DaqBook_RAW_Data!A743="","",TIMEVALUE(DaqBook_RAW_Data!A743)),TIMEVALUE(DaqBook_RAW_Data!Q743))</f>
        <v/>
      </c>
      <c r="C753" s="167" t="str">
        <f>IF(ISBLANK(DaqBook_RAW_Data!R743),"",DaqBook_RAW_Data!R743)</f>
        <v/>
      </c>
      <c r="D753" s="167" t="str">
        <f>IF(ISBLANK(DaqBook_RAW_Data!S743),"",DaqBook_RAW_Data!S743)</f>
        <v/>
      </c>
      <c r="E753" s="167" t="str">
        <f>IF(ISBLANK(DaqBook_RAW_Data!T743),"",DaqBook_RAW_Data!T743)</f>
        <v/>
      </c>
      <c r="F753" s="167" t="str">
        <f>IF(ISBLANK(DaqBook_RAW_Data!U743),"",DaqBook_RAW_Data!U743)</f>
        <v/>
      </c>
      <c r="G753" s="167" t="str">
        <f>IF(ISBLANK(DaqBook_RAW_Data!V743),"",DaqBook_RAW_Data!V743)</f>
        <v/>
      </c>
      <c r="H753" s="167" t="str">
        <f>IF(ISBLANK(DaqBook_RAW_Data!W743),"",DaqBook_RAW_Data!W743)</f>
        <v/>
      </c>
      <c r="I753" s="167" t="str">
        <f>IF(ISBLANK(DaqBook_RAW_Data!X743),"",DaqBook_RAW_Data!X743)</f>
        <v/>
      </c>
      <c r="J753" s="167" t="str">
        <f>IF(ISBLANK(DaqBook_RAW_Data!Y743),"",DaqBook_RAW_Data!Y743)</f>
        <v/>
      </c>
      <c r="K753" s="167" t="str">
        <f>IF(ISBLANK(DaqBook_RAW_Data!Z743),"",DaqBook_RAW_Data!Z743)</f>
        <v/>
      </c>
      <c r="L753" s="167" t="str">
        <f>IF(ISBLANK(DaqBook_RAW_Data!AA743),"",DaqBook_RAW_Data!AA743)</f>
        <v/>
      </c>
      <c r="M753" s="167" t="str">
        <f>IF(ISBLANK(DaqBook_RAW_Data!AB743),"",DaqBook_RAW_Data!AB743)</f>
        <v/>
      </c>
      <c r="N753" s="167" t="str">
        <f>IF(ISBLANK(DaqBook_RAW_Data!AC743),"",DaqBook_RAW_Data!AC743)</f>
        <v/>
      </c>
      <c r="O753" s="167" t="str">
        <f>IF(ISBLANK(DaqBook_RAW_Data!AD743),"",DaqBook_RAW_Data!AD743)</f>
        <v/>
      </c>
      <c r="P753" s="167" t="str">
        <f>IF(ISBLANK(DaqBook_RAW_Data!AE743),"",DaqBook_RAW_Data!AE743)</f>
        <v/>
      </c>
    </row>
    <row r="754" spans="1:16" x14ac:dyDescent="0.2">
      <c r="A754" s="58" t="e">
        <f t="shared" si="11"/>
        <v>#VALUE!</v>
      </c>
      <c r="B754" s="144" t="str">
        <f>IF(ISBLANK(DaqBook_RAW_Data!Q744),IF(DaqBook_RAW_Data!A744="","",TIMEVALUE(DaqBook_RAW_Data!A744)),TIMEVALUE(DaqBook_RAW_Data!Q744))</f>
        <v/>
      </c>
      <c r="C754" s="167" t="str">
        <f>IF(ISBLANK(DaqBook_RAW_Data!R744),"",DaqBook_RAW_Data!R744)</f>
        <v/>
      </c>
      <c r="D754" s="167" t="str">
        <f>IF(ISBLANK(DaqBook_RAW_Data!S744),"",DaqBook_RAW_Data!S744)</f>
        <v/>
      </c>
      <c r="E754" s="167" t="str">
        <f>IF(ISBLANK(DaqBook_RAW_Data!T744),"",DaqBook_RAW_Data!T744)</f>
        <v/>
      </c>
      <c r="F754" s="167" t="str">
        <f>IF(ISBLANK(DaqBook_RAW_Data!U744),"",DaqBook_RAW_Data!U744)</f>
        <v/>
      </c>
      <c r="G754" s="167" t="str">
        <f>IF(ISBLANK(DaqBook_RAW_Data!V744),"",DaqBook_RAW_Data!V744)</f>
        <v/>
      </c>
      <c r="H754" s="167" t="str">
        <f>IF(ISBLANK(DaqBook_RAW_Data!W744),"",DaqBook_RAW_Data!W744)</f>
        <v/>
      </c>
      <c r="I754" s="167" t="str">
        <f>IF(ISBLANK(DaqBook_RAW_Data!X744),"",DaqBook_RAW_Data!X744)</f>
        <v/>
      </c>
      <c r="J754" s="167" t="str">
        <f>IF(ISBLANK(DaqBook_RAW_Data!Y744),"",DaqBook_RAW_Data!Y744)</f>
        <v/>
      </c>
      <c r="K754" s="167" t="str">
        <f>IF(ISBLANK(DaqBook_RAW_Data!Z744),"",DaqBook_RAW_Data!Z744)</f>
        <v/>
      </c>
      <c r="L754" s="167" t="str">
        <f>IF(ISBLANK(DaqBook_RAW_Data!AA744),"",DaqBook_RAW_Data!AA744)</f>
        <v/>
      </c>
      <c r="M754" s="167" t="str">
        <f>IF(ISBLANK(DaqBook_RAW_Data!AB744),"",DaqBook_RAW_Data!AB744)</f>
        <v/>
      </c>
      <c r="N754" s="167" t="str">
        <f>IF(ISBLANK(DaqBook_RAW_Data!AC744),"",DaqBook_RAW_Data!AC744)</f>
        <v/>
      </c>
      <c r="O754" s="167" t="str">
        <f>IF(ISBLANK(DaqBook_RAW_Data!AD744),"",DaqBook_RAW_Data!AD744)</f>
        <v/>
      </c>
      <c r="P754" s="167" t="str">
        <f>IF(ISBLANK(DaqBook_RAW_Data!AE744),"",DaqBook_RAW_Data!AE744)</f>
        <v/>
      </c>
    </row>
    <row r="755" spans="1:16" x14ac:dyDescent="0.2">
      <c r="A755" s="58" t="e">
        <f t="shared" si="11"/>
        <v>#VALUE!</v>
      </c>
      <c r="B755" s="144" t="str">
        <f>IF(ISBLANK(DaqBook_RAW_Data!Q745),IF(DaqBook_RAW_Data!A745="","",TIMEVALUE(DaqBook_RAW_Data!A745)),TIMEVALUE(DaqBook_RAW_Data!Q745))</f>
        <v/>
      </c>
      <c r="C755" s="167" t="str">
        <f>IF(ISBLANK(DaqBook_RAW_Data!R745),"",DaqBook_RAW_Data!R745)</f>
        <v/>
      </c>
      <c r="D755" s="167" t="str">
        <f>IF(ISBLANK(DaqBook_RAW_Data!S745),"",DaqBook_RAW_Data!S745)</f>
        <v/>
      </c>
      <c r="E755" s="167" t="str">
        <f>IF(ISBLANK(DaqBook_RAW_Data!T745),"",DaqBook_RAW_Data!T745)</f>
        <v/>
      </c>
      <c r="F755" s="167" t="str">
        <f>IF(ISBLANK(DaqBook_RAW_Data!U745),"",DaqBook_RAW_Data!U745)</f>
        <v/>
      </c>
      <c r="G755" s="167" t="str">
        <f>IF(ISBLANK(DaqBook_RAW_Data!V745),"",DaqBook_RAW_Data!V745)</f>
        <v/>
      </c>
      <c r="H755" s="167" t="str">
        <f>IF(ISBLANK(DaqBook_RAW_Data!W745),"",DaqBook_RAW_Data!W745)</f>
        <v/>
      </c>
      <c r="I755" s="167" t="str">
        <f>IF(ISBLANK(DaqBook_RAW_Data!X745),"",DaqBook_RAW_Data!X745)</f>
        <v/>
      </c>
      <c r="J755" s="167" t="str">
        <f>IF(ISBLANK(DaqBook_RAW_Data!Y745),"",DaqBook_RAW_Data!Y745)</f>
        <v/>
      </c>
      <c r="K755" s="167" t="str">
        <f>IF(ISBLANK(DaqBook_RAW_Data!Z745),"",DaqBook_RAW_Data!Z745)</f>
        <v/>
      </c>
      <c r="L755" s="167" t="str">
        <f>IF(ISBLANK(DaqBook_RAW_Data!AA745),"",DaqBook_RAW_Data!AA745)</f>
        <v/>
      </c>
      <c r="M755" s="167" t="str">
        <f>IF(ISBLANK(DaqBook_RAW_Data!AB745),"",DaqBook_RAW_Data!AB745)</f>
        <v/>
      </c>
      <c r="N755" s="167" t="str">
        <f>IF(ISBLANK(DaqBook_RAW_Data!AC745),"",DaqBook_RAW_Data!AC745)</f>
        <v/>
      </c>
      <c r="O755" s="167" t="str">
        <f>IF(ISBLANK(DaqBook_RAW_Data!AD745),"",DaqBook_RAW_Data!AD745)</f>
        <v/>
      </c>
      <c r="P755" s="167" t="str">
        <f>IF(ISBLANK(DaqBook_RAW_Data!AE745),"",DaqBook_RAW_Data!AE745)</f>
        <v/>
      </c>
    </row>
    <row r="756" spans="1:16" x14ac:dyDescent="0.2">
      <c r="A756" s="58" t="e">
        <f t="shared" si="11"/>
        <v>#VALUE!</v>
      </c>
      <c r="B756" s="144" t="str">
        <f>IF(ISBLANK(DaqBook_RAW_Data!Q746),IF(DaqBook_RAW_Data!A746="","",TIMEVALUE(DaqBook_RAW_Data!A746)),TIMEVALUE(DaqBook_RAW_Data!Q746))</f>
        <v/>
      </c>
      <c r="C756" s="167" t="str">
        <f>IF(ISBLANK(DaqBook_RAW_Data!R746),"",DaqBook_RAW_Data!R746)</f>
        <v/>
      </c>
      <c r="D756" s="167" t="str">
        <f>IF(ISBLANK(DaqBook_RAW_Data!S746),"",DaqBook_RAW_Data!S746)</f>
        <v/>
      </c>
      <c r="E756" s="167" t="str">
        <f>IF(ISBLANK(DaqBook_RAW_Data!T746),"",DaqBook_RAW_Data!T746)</f>
        <v/>
      </c>
      <c r="F756" s="167" t="str">
        <f>IF(ISBLANK(DaqBook_RAW_Data!U746),"",DaqBook_RAW_Data!U746)</f>
        <v/>
      </c>
      <c r="G756" s="167" t="str">
        <f>IF(ISBLANK(DaqBook_RAW_Data!V746),"",DaqBook_RAW_Data!V746)</f>
        <v/>
      </c>
      <c r="H756" s="167" t="str">
        <f>IF(ISBLANK(DaqBook_RAW_Data!W746),"",DaqBook_RAW_Data!W746)</f>
        <v/>
      </c>
      <c r="I756" s="167" t="str">
        <f>IF(ISBLANK(DaqBook_RAW_Data!X746),"",DaqBook_RAW_Data!X746)</f>
        <v/>
      </c>
      <c r="J756" s="167" t="str">
        <f>IF(ISBLANK(DaqBook_RAW_Data!Y746),"",DaqBook_RAW_Data!Y746)</f>
        <v/>
      </c>
      <c r="K756" s="167" t="str">
        <f>IF(ISBLANK(DaqBook_RAW_Data!Z746),"",DaqBook_RAW_Data!Z746)</f>
        <v/>
      </c>
      <c r="L756" s="167" t="str">
        <f>IF(ISBLANK(DaqBook_RAW_Data!AA746),"",DaqBook_RAW_Data!AA746)</f>
        <v/>
      </c>
      <c r="M756" s="167" t="str">
        <f>IF(ISBLANK(DaqBook_RAW_Data!AB746),"",DaqBook_RAW_Data!AB746)</f>
        <v/>
      </c>
      <c r="N756" s="167" t="str">
        <f>IF(ISBLANK(DaqBook_RAW_Data!AC746),"",DaqBook_RAW_Data!AC746)</f>
        <v/>
      </c>
      <c r="O756" s="167" t="str">
        <f>IF(ISBLANK(DaqBook_RAW_Data!AD746),"",DaqBook_RAW_Data!AD746)</f>
        <v/>
      </c>
      <c r="P756" s="167" t="str">
        <f>IF(ISBLANK(DaqBook_RAW_Data!AE746),"",DaqBook_RAW_Data!AE746)</f>
        <v/>
      </c>
    </row>
    <row r="757" spans="1:16" x14ac:dyDescent="0.2">
      <c r="A757" s="58" t="e">
        <f t="shared" si="11"/>
        <v>#VALUE!</v>
      </c>
      <c r="B757" s="144" t="str">
        <f>IF(ISBLANK(DaqBook_RAW_Data!Q747),IF(DaqBook_RAW_Data!A747="","",TIMEVALUE(DaqBook_RAW_Data!A747)),TIMEVALUE(DaqBook_RAW_Data!Q747))</f>
        <v/>
      </c>
      <c r="C757" s="167" t="str">
        <f>IF(ISBLANK(DaqBook_RAW_Data!R747),"",DaqBook_RAW_Data!R747)</f>
        <v/>
      </c>
      <c r="D757" s="167" t="str">
        <f>IF(ISBLANK(DaqBook_RAW_Data!S747),"",DaqBook_RAW_Data!S747)</f>
        <v/>
      </c>
      <c r="E757" s="167" t="str">
        <f>IF(ISBLANK(DaqBook_RAW_Data!T747),"",DaqBook_RAW_Data!T747)</f>
        <v/>
      </c>
      <c r="F757" s="167" t="str">
        <f>IF(ISBLANK(DaqBook_RAW_Data!U747),"",DaqBook_RAW_Data!U747)</f>
        <v/>
      </c>
      <c r="G757" s="167" t="str">
        <f>IF(ISBLANK(DaqBook_RAW_Data!V747),"",DaqBook_RAW_Data!V747)</f>
        <v/>
      </c>
      <c r="H757" s="167" t="str">
        <f>IF(ISBLANK(DaqBook_RAW_Data!W747),"",DaqBook_RAW_Data!W747)</f>
        <v/>
      </c>
      <c r="I757" s="167" t="str">
        <f>IF(ISBLANK(DaqBook_RAW_Data!X747),"",DaqBook_RAW_Data!X747)</f>
        <v/>
      </c>
      <c r="J757" s="167" t="str">
        <f>IF(ISBLANK(DaqBook_RAW_Data!Y747),"",DaqBook_RAW_Data!Y747)</f>
        <v/>
      </c>
      <c r="K757" s="167" t="str">
        <f>IF(ISBLANK(DaqBook_RAW_Data!Z747),"",DaqBook_RAW_Data!Z747)</f>
        <v/>
      </c>
      <c r="L757" s="167" t="str">
        <f>IF(ISBLANK(DaqBook_RAW_Data!AA747),"",DaqBook_RAW_Data!AA747)</f>
        <v/>
      </c>
      <c r="M757" s="167" t="str">
        <f>IF(ISBLANK(DaqBook_RAW_Data!AB747),"",DaqBook_RAW_Data!AB747)</f>
        <v/>
      </c>
      <c r="N757" s="167" t="str">
        <f>IF(ISBLANK(DaqBook_RAW_Data!AC747),"",DaqBook_RAW_Data!AC747)</f>
        <v/>
      </c>
      <c r="O757" s="167" t="str">
        <f>IF(ISBLANK(DaqBook_RAW_Data!AD747),"",DaqBook_RAW_Data!AD747)</f>
        <v/>
      </c>
      <c r="P757" s="167" t="str">
        <f>IF(ISBLANK(DaqBook_RAW_Data!AE747),"",DaqBook_RAW_Data!AE747)</f>
        <v/>
      </c>
    </row>
    <row r="758" spans="1:16" x14ac:dyDescent="0.2">
      <c r="A758" s="58" t="e">
        <f t="shared" si="11"/>
        <v>#VALUE!</v>
      </c>
      <c r="B758" s="144" t="str">
        <f>IF(ISBLANK(DaqBook_RAW_Data!Q748),IF(DaqBook_RAW_Data!A748="","",TIMEVALUE(DaqBook_RAW_Data!A748)),TIMEVALUE(DaqBook_RAW_Data!Q748))</f>
        <v/>
      </c>
      <c r="C758" s="167" t="str">
        <f>IF(ISBLANK(DaqBook_RAW_Data!R748),"",DaqBook_RAW_Data!R748)</f>
        <v/>
      </c>
      <c r="D758" s="167" t="str">
        <f>IF(ISBLANK(DaqBook_RAW_Data!S748),"",DaqBook_RAW_Data!S748)</f>
        <v/>
      </c>
      <c r="E758" s="167" t="str">
        <f>IF(ISBLANK(DaqBook_RAW_Data!T748),"",DaqBook_RAW_Data!T748)</f>
        <v/>
      </c>
      <c r="F758" s="167" t="str">
        <f>IF(ISBLANK(DaqBook_RAW_Data!U748),"",DaqBook_RAW_Data!U748)</f>
        <v/>
      </c>
      <c r="G758" s="167" t="str">
        <f>IF(ISBLANK(DaqBook_RAW_Data!V748),"",DaqBook_RAW_Data!V748)</f>
        <v/>
      </c>
      <c r="H758" s="167" t="str">
        <f>IF(ISBLANK(DaqBook_RAW_Data!W748),"",DaqBook_RAW_Data!W748)</f>
        <v/>
      </c>
      <c r="I758" s="167" t="str">
        <f>IF(ISBLANK(DaqBook_RAW_Data!X748),"",DaqBook_RAW_Data!X748)</f>
        <v/>
      </c>
      <c r="J758" s="167" t="str">
        <f>IF(ISBLANK(DaqBook_RAW_Data!Y748),"",DaqBook_RAW_Data!Y748)</f>
        <v/>
      </c>
      <c r="K758" s="167" t="str">
        <f>IF(ISBLANK(DaqBook_RAW_Data!Z748),"",DaqBook_RAW_Data!Z748)</f>
        <v/>
      </c>
      <c r="L758" s="167" t="str">
        <f>IF(ISBLANK(DaqBook_RAW_Data!AA748),"",DaqBook_RAW_Data!AA748)</f>
        <v/>
      </c>
      <c r="M758" s="167" t="str">
        <f>IF(ISBLANK(DaqBook_RAW_Data!AB748),"",DaqBook_RAW_Data!AB748)</f>
        <v/>
      </c>
      <c r="N758" s="167" t="str">
        <f>IF(ISBLANK(DaqBook_RAW_Data!AC748),"",DaqBook_RAW_Data!AC748)</f>
        <v/>
      </c>
      <c r="O758" s="167" t="str">
        <f>IF(ISBLANK(DaqBook_RAW_Data!AD748),"",DaqBook_RAW_Data!AD748)</f>
        <v/>
      </c>
      <c r="P758" s="167" t="str">
        <f>IF(ISBLANK(DaqBook_RAW_Data!AE748),"",DaqBook_RAW_Data!AE748)</f>
        <v/>
      </c>
    </row>
    <row r="759" spans="1:16" x14ac:dyDescent="0.2">
      <c r="A759" s="58" t="e">
        <f t="shared" si="11"/>
        <v>#VALUE!</v>
      </c>
      <c r="B759" s="144" t="str">
        <f>IF(ISBLANK(DaqBook_RAW_Data!Q749),IF(DaqBook_RAW_Data!A749="","",TIMEVALUE(DaqBook_RAW_Data!A749)),TIMEVALUE(DaqBook_RAW_Data!Q749))</f>
        <v/>
      </c>
      <c r="C759" s="167" t="str">
        <f>IF(ISBLANK(DaqBook_RAW_Data!R749),"",DaqBook_RAW_Data!R749)</f>
        <v/>
      </c>
      <c r="D759" s="167" t="str">
        <f>IF(ISBLANK(DaqBook_RAW_Data!S749),"",DaqBook_RAW_Data!S749)</f>
        <v/>
      </c>
      <c r="E759" s="167" t="str">
        <f>IF(ISBLANK(DaqBook_RAW_Data!T749),"",DaqBook_RAW_Data!T749)</f>
        <v/>
      </c>
      <c r="F759" s="167" t="str">
        <f>IF(ISBLANK(DaqBook_RAW_Data!U749),"",DaqBook_RAW_Data!U749)</f>
        <v/>
      </c>
      <c r="G759" s="167" t="str">
        <f>IF(ISBLANK(DaqBook_RAW_Data!V749),"",DaqBook_RAW_Data!V749)</f>
        <v/>
      </c>
      <c r="H759" s="167" t="str">
        <f>IF(ISBLANK(DaqBook_RAW_Data!W749),"",DaqBook_RAW_Data!W749)</f>
        <v/>
      </c>
      <c r="I759" s="167" t="str">
        <f>IF(ISBLANK(DaqBook_RAW_Data!X749),"",DaqBook_RAW_Data!X749)</f>
        <v/>
      </c>
      <c r="J759" s="167" t="str">
        <f>IF(ISBLANK(DaqBook_RAW_Data!Y749),"",DaqBook_RAW_Data!Y749)</f>
        <v/>
      </c>
      <c r="K759" s="167" t="str">
        <f>IF(ISBLANK(DaqBook_RAW_Data!Z749),"",DaqBook_RAW_Data!Z749)</f>
        <v/>
      </c>
      <c r="L759" s="167" t="str">
        <f>IF(ISBLANK(DaqBook_RAW_Data!AA749),"",DaqBook_RAW_Data!AA749)</f>
        <v/>
      </c>
      <c r="M759" s="167" t="str">
        <f>IF(ISBLANK(DaqBook_RAW_Data!AB749),"",DaqBook_RAW_Data!AB749)</f>
        <v/>
      </c>
      <c r="N759" s="167" t="str">
        <f>IF(ISBLANK(DaqBook_RAW_Data!AC749),"",DaqBook_RAW_Data!AC749)</f>
        <v/>
      </c>
      <c r="O759" s="167" t="str">
        <f>IF(ISBLANK(DaqBook_RAW_Data!AD749),"",DaqBook_RAW_Data!AD749)</f>
        <v/>
      </c>
      <c r="P759" s="167" t="str">
        <f>IF(ISBLANK(DaqBook_RAW_Data!AE749),"",DaqBook_RAW_Data!AE749)</f>
        <v/>
      </c>
    </row>
    <row r="760" spans="1:16" x14ac:dyDescent="0.2">
      <c r="A760" s="58" t="e">
        <f t="shared" si="11"/>
        <v>#VALUE!</v>
      </c>
      <c r="B760" s="144" t="str">
        <f>IF(ISBLANK(DaqBook_RAW_Data!Q750),IF(DaqBook_RAW_Data!A750="","",TIMEVALUE(DaqBook_RAW_Data!A750)),TIMEVALUE(DaqBook_RAW_Data!Q750))</f>
        <v/>
      </c>
      <c r="C760" s="167" t="str">
        <f>IF(ISBLANK(DaqBook_RAW_Data!R750),"",DaqBook_RAW_Data!R750)</f>
        <v/>
      </c>
      <c r="D760" s="167" t="str">
        <f>IF(ISBLANK(DaqBook_RAW_Data!S750),"",DaqBook_RAW_Data!S750)</f>
        <v/>
      </c>
      <c r="E760" s="167" t="str">
        <f>IF(ISBLANK(DaqBook_RAW_Data!T750),"",DaqBook_RAW_Data!T750)</f>
        <v/>
      </c>
      <c r="F760" s="167" t="str">
        <f>IF(ISBLANK(DaqBook_RAW_Data!U750),"",DaqBook_RAW_Data!U750)</f>
        <v/>
      </c>
      <c r="G760" s="167" t="str">
        <f>IF(ISBLANK(DaqBook_RAW_Data!V750),"",DaqBook_RAW_Data!V750)</f>
        <v/>
      </c>
      <c r="H760" s="167" t="str">
        <f>IF(ISBLANK(DaqBook_RAW_Data!W750),"",DaqBook_RAW_Data!W750)</f>
        <v/>
      </c>
      <c r="I760" s="167" t="str">
        <f>IF(ISBLANK(DaqBook_RAW_Data!X750),"",DaqBook_RAW_Data!X750)</f>
        <v/>
      </c>
      <c r="J760" s="167" t="str">
        <f>IF(ISBLANK(DaqBook_RAW_Data!Y750),"",DaqBook_RAW_Data!Y750)</f>
        <v/>
      </c>
      <c r="K760" s="167" t="str">
        <f>IF(ISBLANK(DaqBook_RAW_Data!Z750),"",DaqBook_RAW_Data!Z750)</f>
        <v/>
      </c>
      <c r="L760" s="167" t="str">
        <f>IF(ISBLANK(DaqBook_RAW_Data!AA750),"",DaqBook_RAW_Data!AA750)</f>
        <v/>
      </c>
      <c r="M760" s="167" t="str">
        <f>IF(ISBLANK(DaqBook_RAW_Data!AB750),"",DaqBook_RAW_Data!AB750)</f>
        <v/>
      </c>
      <c r="N760" s="167" t="str">
        <f>IF(ISBLANK(DaqBook_RAW_Data!AC750),"",DaqBook_RAW_Data!AC750)</f>
        <v/>
      </c>
      <c r="O760" s="167" t="str">
        <f>IF(ISBLANK(DaqBook_RAW_Data!AD750),"",DaqBook_RAW_Data!AD750)</f>
        <v/>
      </c>
      <c r="P760" s="167" t="str">
        <f>IF(ISBLANK(DaqBook_RAW_Data!AE750),"",DaqBook_RAW_Data!AE750)</f>
        <v/>
      </c>
    </row>
    <row r="761" spans="1:16" x14ac:dyDescent="0.2">
      <c r="A761" s="58" t="e">
        <f t="shared" si="11"/>
        <v>#VALUE!</v>
      </c>
      <c r="B761" s="144" t="str">
        <f>IF(ISBLANK(DaqBook_RAW_Data!Q751),IF(DaqBook_RAW_Data!A751="","",TIMEVALUE(DaqBook_RAW_Data!A751)),TIMEVALUE(DaqBook_RAW_Data!Q751))</f>
        <v/>
      </c>
      <c r="C761" s="167" t="str">
        <f>IF(ISBLANK(DaqBook_RAW_Data!R751),"",DaqBook_RAW_Data!R751)</f>
        <v/>
      </c>
      <c r="D761" s="167" t="str">
        <f>IF(ISBLANK(DaqBook_RAW_Data!S751),"",DaqBook_RAW_Data!S751)</f>
        <v/>
      </c>
      <c r="E761" s="167" t="str">
        <f>IF(ISBLANK(DaqBook_RAW_Data!T751),"",DaqBook_RAW_Data!T751)</f>
        <v/>
      </c>
      <c r="F761" s="167" t="str">
        <f>IF(ISBLANK(DaqBook_RAW_Data!U751),"",DaqBook_RAW_Data!U751)</f>
        <v/>
      </c>
      <c r="G761" s="167" t="str">
        <f>IF(ISBLANK(DaqBook_RAW_Data!V751),"",DaqBook_RAW_Data!V751)</f>
        <v/>
      </c>
      <c r="H761" s="167" t="str">
        <f>IF(ISBLANK(DaqBook_RAW_Data!W751),"",DaqBook_RAW_Data!W751)</f>
        <v/>
      </c>
      <c r="I761" s="167" t="str">
        <f>IF(ISBLANK(DaqBook_RAW_Data!X751),"",DaqBook_RAW_Data!X751)</f>
        <v/>
      </c>
      <c r="J761" s="167" t="str">
        <f>IF(ISBLANK(DaqBook_RAW_Data!Y751),"",DaqBook_RAW_Data!Y751)</f>
        <v/>
      </c>
      <c r="K761" s="167" t="str">
        <f>IF(ISBLANK(DaqBook_RAW_Data!Z751),"",DaqBook_RAW_Data!Z751)</f>
        <v/>
      </c>
      <c r="L761" s="167" t="str">
        <f>IF(ISBLANK(DaqBook_RAW_Data!AA751),"",DaqBook_RAW_Data!AA751)</f>
        <v/>
      </c>
      <c r="M761" s="167" t="str">
        <f>IF(ISBLANK(DaqBook_RAW_Data!AB751),"",DaqBook_RAW_Data!AB751)</f>
        <v/>
      </c>
      <c r="N761" s="167" t="str">
        <f>IF(ISBLANK(DaqBook_RAW_Data!AC751),"",DaqBook_RAW_Data!AC751)</f>
        <v/>
      </c>
      <c r="O761" s="167" t="str">
        <f>IF(ISBLANK(DaqBook_RAW_Data!AD751),"",DaqBook_RAW_Data!AD751)</f>
        <v/>
      </c>
      <c r="P761" s="167" t="str">
        <f>IF(ISBLANK(DaqBook_RAW_Data!AE751),"",DaqBook_RAW_Data!AE751)</f>
        <v/>
      </c>
    </row>
    <row r="762" spans="1:16" x14ac:dyDescent="0.2">
      <c r="A762" s="58" t="e">
        <f t="shared" si="11"/>
        <v>#VALUE!</v>
      </c>
      <c r="B762" s="144" t="str">
        <f>IF(ISBLANK(DaqBook_RAW_Data!Q752),IF(DaqBook_RAW_Data!A752="","",TIMEVALUE(DaqBook_RAW_Data!A752)),TIMEVALUE(DaqBook_RAW_Data!Q752))</f>
        <v/>
      </c>
      <c r="C762" s="167" t="str">
        <f>IF(ISBLANK(DaqBook_RAW_Data!R752),"",DaqBook_RAW_Data!R752)</f>
        <v/>
      </c>
      <c r="D762" s="167" t="str">
        <f>IF(ISBLANK(DaqBook_RAW_Data!S752),"",DaqBook_RAW_Data!S752)</f>
        <v/>
      </c>
      <c r="E762" s="167" t="str">
        <f>IF(ISBLANK(DaqBook_RAW_Data!T752),"",DaqBook_RAW_Data!T752)</f>
        <v/>
      </c>
      <c r="F762" s="167" t="str">
        <f>IF(ISBLANK(DaqBook_RAW_Data!U752),"",DaqBook_RAW_Data!U752)</f>
        <v/>
      </c>
      <c r="G762" s="167" t="str">
        <f>IF(ISBLANK(DaqBook_RAW_Data!V752),"",DaqBook_RAW_Data!V752)</f>
        <v/>
      </c>
      <c r="H762" s="167" t="str">
        <f>IF(ISBLANK(DaqBook_RAW_Data!W752),"",DaqBook_RAW_Data!W752)</f>
        <v/>
      </c>
      <c r="I762" s="167" t="str">
        <f>IF(ISBLANK(DaqBook_RAW_Data!X752),"",DaqBook_RAW_Data!X752)</f>
        <v/>
      </c>
      <c r="J762" s="167" t="str">
        <f>IF(ISBLANK(DaqBook_RAW_Data!Y752),"",DaqBook_RAW_Data!Y752)</f>
        <v/>
      </c>
      <c r="K762" s="167" t="str">
        <f>IF(ISBLANK(DaqBook_RAW_Data!Z752),"",DaqBook_RAW_Data!Z752)</f>
        <v/>
      </c>
      <c r="L762" s="167" t="str">
        <f>IF(ISBLANK(DaqBook_RAW_Data!AA752),"",DaqBook_RAW_Data!AA752)</f>
        <v/>
      </c>
      <c r="M762" s="167" t="str">
        <f>IF(ISBLANK(DaqBook_RAW_Data!AB752),"",DaqBook_RAW_Data!AB752)</f>
        <v/>
      </c>
      <c r="N762" s="167" t="str">
        <f>IF(ISBLANK(DaqBook_RAW_Data!AC752),"",DaqBook_RAW_Data!AC752)</f>
        <v/>
      </c>
      <c r="O762" s="167" t="str">
        <f>IF(ISBLANK(DaqBook_RAW_Data!AD752),"",DaqBook_RAW_Data!AD752)</f>
        <v/>
      </c>
      <c r="P762" s="167" t="str">
        <f>IF(ISBLANK(DaqBook_RAW_Data!AE752),"",DaqBook_RAW_Data!AE752)</f>
        <v/>
      </c>
    </row>
    <row r="763" spans="1:16" x14ac:dyDescent="0.2">
      <c r="A763" s="58" t="e">
        <f t="shared" si="11"/>
        <v>#VALUE!</v>
      </c>
      <c r="B763" s="144" t="str">
        <f>IF(ISBLANK(DaqBook_RAW_Data!Q753),IF(DaqBook_RAW_Data!A753="","",TIMEVALUE(DaqBook_RAW_Data!A753)),TIMEVALUE(DaqBook_RAW_Data!Q753))</f>
        <v/>
      </c>
      <c r="C763" s="167" t="str">
        <f>IF(ISBLANK(DaqBook_RAW_Data!R753),"",DaqBook_RAW_Data!R753)</f>
        <v/>
      </c>
      <c r="D763" s="167" t="str">
        <f>IF(ISBLANK(DaqBook_RAW_Data!S753),"",DaqBook_RAW_Data!S753)</f>
        <v/>
      </c>
      <c r="E763" s="167" t="str">
        <f>IF(ISBLANK(DaqBook_RAW_Data!T753),"",DaqBook_RAW_Data!T753)</f>
        <v/>
      </c>
      <c r="F763" s="167" t="str">
        <f>IF(ISBLANK(DaqBook_RAW_Data!U753),"",DaqBook_RAW_Data!U753)</f>
        <v/>
      </c>
      <c r="G763" s="167" t="str">
        <f>IF(ISBLANK(DaqBook_RAW_Data!V753),"",DaqBook_RAW_Data!V753)</f>
        <v/>
      </c>
      <c r="H763" s="167" t="str">
        <f>IF(ISBLANK(DaqBook_RAW_Data!W753),"",DaqBook_RAW_Data!W753)</f>
        <v/>
      </c>
      <c r="I763" s="167" t="str">
        <f>IF(ISBLANK(DaqBook_RAW_Data!X753),"",DaqBook_RAW_Data!X753)</f>
        <v/>
      </c>
      <c r="J763" s="167" t="str">
        <f>IF(ISBLANK(DaqBook_RAW_Data!Y753),"",DaqBook_RAW_Data!Y753)</f>
        <v/>
      </c>
      <c r="K763" s="167" t="str">
        <f>IF(ISBLANK(DaqBook_RAW_Data!Z753),"",DaqBook_RAW_Data!Z753)</f>
        <v/>
      </c>
      <c r="L763" s="167" t="str">
        <f>IF(ISBLANK(DaqBook_RAW_Data!AA753),"",DaqBook_RAW_Data!AA753)</f>
        <v/>
      </c>
      <c r="M763" s="167" t="str">
        <f>IF(ISBLANK(DaqBook_RAW_Data!AB753),"",DaqBook_RAW_Data!AB753)</f>
        <v/>
      </c>
      <c r="N763" s="167" t="str">
        <f>IF(ISBLANK(DaqBook_RAW_Data!AC753),"",DaqBook_RAW_Data!AC753)</f>
        <v/>
      </c>
      <c r="O763" s="167" t="str">
        <f>IF(ISBLANK(DaqBook_RAW_Data!AD753),"",DaqBook_RAW_Data!AD753)</f>
        <v/>
      </c>
      <c r="P763" s="167" t="str">
        <f>IF(ISBLANK(DaqBook_RAW_Data!AE753),"",DaqBook_RAW_Data!AE753)</f>
        <v/>
      </c>
    </row>
    <row r="764" spans="1:16" x14ac:dyDescent="0.2">
      <c r="A764" s="58" t="e">
        <f t="shared" si="11"/>
        <v>#VALUE!</v>
      </c>
      <c r="B764" s="144" t="str">
        <f>IF(ISBLANK(DaqBook_RAW_Data!Q754),IF(DaqBook_RAW_Data!A754="","",TIMEVALUE(DaqBook_RAW_Data!A754)),TIMEVALUE(DaqBook_RAW_Data!Q754))</f>
        <v/>
      </c>
      <c r="C764" s="167" t="str">
        <f>IF(ISBLANK(DaqBook_RAW_Data!R754),"",DaqBook_RAW_Data!R754)</f>
        <v/>
      </c>
      <c r="D764" s="167" t="str">
        <f>IF(ISBLANK(DaqBook_RAW_Data!S754),"",DaqBook_RAW_Data!S754)</f>
        <v/>
      </c>
      <c r="E764" s="167" t="str">
        <f>IF(ISBLANK(DaqBook_RAW_Data!T754),"",DaqBook_RAW_Data!T754)</f>
        <v/>
      </c>
      <c r="F764" s="167" t="str">
        <f>IF(ISBLANK(DaqBook_RAW_Data!U754),"",DaqBook_RAW_Data!U754)</f>
        <v/>
      </c>
      <c r="G764" s="167" t="str">
        <f>IF(ISBLANK(DaqBook_RAW_Data!V754),"",DaqBook_RAW_Data!V754)</f>
        <v/>
      </c>
      <c r="H764" s="167" t="str">
        <f>IF(ISBLANK(DaqBook_RAW_Data!W754),"",DaqBook_RAW_Data!W754)</f>
        <v/>
      </c>
      <c r="I764" s="167" t="str">
        <f>IF(ISBLANK(DaqBook_RAW_Data!X754),"",DaqBook_RAW_Data!X754)</f>
        <v/>
      </c>
      <c r="J764" s="167" t="str">
        <f>IF(ISBLANK(DaqBook_RAW_Data!Y754),"",DaqBook_RAW_Data!Y754)</f>
        <v/>
      </c>
      <c r="K764" s="167" t="str">
        <f>IF(ISBLANK(DaqBook_RAW_Data!Z754),"",DaqBook_RAW_Data!Z754)</f>
        <v/>
      </c>
      <c r="L764" s="167" t="str">
        <f>IF(ISBLANK(DaqBook_RAW_Data!AA754),"",DaqBook_RAW_Data!AA754)</f>
        <v/>
      </c>
      <c r="M764" s="167" t="str">
        <f>IF(ISBLANK(DaqBook_RAW_Data!AB754),"",DaqBook_RAW_Data!AB754)</f>
        <v/>
      </c>
      <c r="N764" s="167" t="str">
        <f>IF(ISBLANK(DaqBook_RAW_Data!AC754),"",DaqBook_RAW_Data!AC754)</f>
        <v/>
      </c>
      <c r="O764" s="167" t="str">
        <f>IF(ISBLANK(DaqBook_RAW_Data!AD754),"",DaqBook_RAW_Data!AD754)</f>
        <v/>
      </c>
      <c r="P764" s="167" t="str">
        <f>IF(ISBLANK(DaqBook_RAW_Data!AE754),"",DaqBook_RAW_Data!AE754)</f>
        <v/>
      </c>
    </row>
    <row r="765" spans="1:16" x14ac:dyDescent="0.2">
      <c r="A765" s="58" t="e">
        <f t="shared" si="11"/>
        <v>#VALUE!</v>
      </c>
      <c r="B765" s="144" t="str">
        <f>IF(ISBLANK(DaqBook_RAW_Data!Q755),IF(DaqBook_RAW_Data!A755="","",TIMEVALUE(DaqBook_RAW_Data!A755)),TIMEVALUE(DaqBook_RAW_Data!Q755))</f>
        <v/>
      </c>
      <c r="C765" s="167" t="str">
        <f>IF(ISBLANK(DaqBook_RAW_Data!R755),"",DaqBook_RAW_Data!R755)</f>
        <v/>
      </c>
      <c r="D765" s="167" t="str">
        <f>IF(ISBLANK(DaqBook_RAW_Data!S755),"",DaqBook_RAW_Data!S755)</f>
        <v/>
      </c>
      <c r="E765" s="167" t="str">
        <f>IF(ISBLANK(DaqBook_RAW_Data!T755),"",DaqBook_RAW_Data!T755)</f>
        <v/>
      </c>
      <c r="F765" s="167" t="str">
        <f>IF(ISBLANK(DaqBook_RAW_Data!U755),"",DaqBook_RAW_Data!U755)</f>
        <v/>
      </c>
      <c r="G765" s="167" t="str">
        <f>IF(ISBLANK(DaqBook_RAW_Data!V755),"",DaqBook_RAW_Data!V755)</f>
        <v/>
      </c>
      <c r="H765" s="167" t="str">
        <f>IF(ISBLANK(DaqBook_RAW_Data!W755),"",DaqBook_RAW_Data!W755)</f>
        <v/>
      </c>
      <c r="I765" s="167" t="str">
        <f>IF(ISBLANK(DaqBook_RAW_Data!X755),"",DaqBook_RAW_Data!X755)</f>
        <v/>
      </c>
      <c r="J765" s="167" t="str">
        <f>IF(ISBLANK(DaqBook_RAW_Data!Y755),"",DaqBook_RAW_Data!Y755)</f>
        <v/>
      </c>
      <c r="K765" s="167" t="str">
        <f>IF(ISBLANK(DaqBook_RAW_Data!Z755),"",DaqBook_RAW_Data!Z755)</f>
        <v/>
      </c>
      <c r="L765" s="167" t="str">
        <f>IF(ISBLANK(DaqBook_RAW_Data!AA755),"",DaqBook_RAW_Data!AA755)</f>
        <v/>
      </c>
      <c r="M765" s="167" t="str">
        <f>IF(ISBLANK(DaqBook_RAW_Data!AB755),"",DaqBook_RAW_Data!AB755)</f>
        <v/>
      </c>
      <c r="N765" s="167" t="str">
        <f>IF(ISBLANK(DaqBook_RAW_Data!AC755),"",DaqBook_RAW_Data!AC755)</f>
        <v/>
      </c>
      <c r="O765" s="167" t="str">
        <f>IF(ISBLANK(DaqBook_RAW_Data!AD755),"",DaqBook_RAW_Data!AD755)</f>
        <v/>
      </c>
      <c r="P765" s="167" t="str">
        <f>IF(ISBLANK(DaqBook_RAW_Data!AE755),"",DaqBook_RAW_Data!AE755)</f>
        <v/>
      </c>
    </row>
    <row r="766" spans="1:16" x14ac:dyDescent="0.2">
      <c r="A766" s="58" t="e">
        <f t="shared" si="11"/>
        <v>#VALUE!</v>
      </c>
      <c r="B766" s="144" t="str">
        <f>IF(ISBLANK(DaqBook_RAW_Data!Q756),IF(DaqBook_RAW_Data!A756="","",TIMEVALUE(DaqBook_RAW_Data!A756)),TIMEVALUE(DaqBook_RAW_Data!Q756))</f>
        <v/>
      </c>
      <c r="C766" s="167" t="str">
        <f>IF(ISBLANK(DaqBook_RAW_Data!R756),"",DaqBook_RAW_Data!R756)</f>
        <v/>
      </c>
      <c r="D766" s="167" t="str">
        <f>IF(ISBLANK(DaqBook_RAW_Data!S756),"",DaqBook_RAW_Data!S756)</f>
        <v/>
      </c>
      <c r="E766" s="167" t="str">
        <f>IF(ISBLANK(DaqBook_RAW_Data!T756),"",DaqBook_RAW_Data!T756)</f>
        <v/>
      </c>
      <c r="F766" s="167" t="str">
        <f>IF(ISBLANK(DaqBook_RAW_Data!U756),"",DaqBook_RAW_Data!U756)</f>
        <v/>
      </c>
      <c r="G766" s="167" t="str">
        <f>IF(ISBLANK(DaqBook_RAW_Data!V756),"",DaqBook_RAW_Data!V756)</f>
        <v/>
      </c>
      <c r="H766" s="167" t="str">
        <f>IF(ISBLANK(DaqBook_RAW_Data!W756),"",DaqBook_RAW_Data!W756)</f>
        <v/>
      </c>
      <c r="I766" s="167" t="str">
        <f>IF(ISBLANK(DaqBook_RAW_Data!X756),"",DaqBook_RAW_Data!X756)</f>
        <v/>
      </c>
      <c r="J766" s="167" t="str">
        <f>IF(ISBLANK(DaqBook_RAW_Data!Y756),"",DaqBook_RAW_Data!Y756)</f>
        <v/>
      </c>
      <c r="K766" s="167" t="str">
        <f>IF(ISBLANK(DaqBook_RAW_Data!Z756),"",DaqBook_RAW_Data!Z756)</f>
        <v/>
      </c>
      <c r="L766" s="167" t="str">
        <f>IF(ISBLANK(DaqBook_RAW_Data!AA756),"",DaqBook_RAW_Data!AA756)</f>
        <v/>
      </c>
      <c r="M766" s="167" t="str">
        <f>IF(ISBLANK(DaqBook_RAW_Data!AB756),"",DaqBook_RAW_Data!AB756)</f>
        <v/>
      </c>
      <c r="N766" s="167" t="str">
        <f>IF(ISBLANK(DaqBook_RAW_Data!AC756),"",DaqBook_RAW_Data!AC756)</f>
        <v/>
      </c>
      <c r="O766" s="167" t="str">
        <f>IF(ISBLANK(DaqBook_RAW_Data!AD756),"",DaqBook_RAW_Data!AD756)</f>
        <v/>
      </c>
      <c r="P766" s="167" t="str">
        <f>IF(ISBLANK(DaqBook_RAW_Data!AE756),"",DaqBook_RAW_Data!AE756)</f>
        <v/>
      </c>
    </row>
    <row r="767" spans="1:16" x14ac:dyDescent="0.2">
      <c r="A767" s="58" t="e">
        <f t="shared" si="11"/>
        <v>#VALUE!</v>
      </c>
      <c r="B767" s="144" t="str">
        <f>IF(ISBLANK(DaqBook_RAW_Data!Q757),IF(DaqBook_RAW_Data!A757="","",TIMEVALUE(DaqBook_RAW_Data!A757)),TIMEVALUE(DaqBook_RAW_Data!Q757))</f>
        <v/>
      </c>
      <c r="C767" s="167" t="str">
        <f>IF(ISBLANK(DaqBook_RAW_Data!R757),"",DaqBook_RAW_Data!R757)</f>
        <v/>
      </c>
      <c r="D767" s="167" t="str">
        <f>IF(ISBLANK(DaqBook_RAW_Data!S757),"",DaqBook_RAW_Data!S757)</f>
        <v/>
      </c>
      <c r="E767" s="167" t="str">
        <f>IF(ISBLANK(DaqBook_RAW_Data!T757),"",DaqBook_RAW_Data!T757)</f>
        <v/>
      </c>
      <c r="F767" s="167" t="str">
        <f>IF(ISBLANK(DaqBook_RAW_Data!U757),"",DaqBook_RAW_Data!U757)</f>
        <v/>
      </c>
      <c r="G767" s="167" t="str">
        <f>IF(ISBLANK(DaqBook_RAW_Data!V757),"",DaqBook_RAW_Data!V757)</f>
        <v/>
      </c>
      <c r="H767" s="167" t="str">
        <f>IF(ISBLANK(DaqBook_RAW_Data!W757),"",DaqBook_RAW_Data!W757)</f>
        <v/>
      </c>
      <c r="I767" s="167" t="str">
        <f>IF(ISBLANK(DaqBook_RAW_Data!X757),"",DaqBook_RAW_Data!X757)</f>
        <v/>
      </c>
      <c r="J767" s="167" t="str">
        <f>IF(ISBLANK(DaqBook_RAW_Data!Y757),"",DaqBook_RAW_Data!Y757)</f>
        <v/>
      </c>
      <c r="K767" s="167" t="str">
        <f>IF(ISBLANK(DaqBook_RAW_Data!Z757),"",DaqBook_RAW_Data!Z757)</f>
        <v/>
      </c>
      <c r="L767" s="167" t="str">
        <f>IF(ISBLANK(DaqBook_RAW_Data!AA757),"",DaqBook_RAW_Data!AA757)</f>
        <v/>
      </c>
      <c r="M767" s="167" t="str">
        <f>IF(ISBLANK(DaqBook_RAW_Data!AB757),"",DaqBook_RAW_Data!AB757)</f>
        <v/>
      </c>
      <c r="N767" s="167" t="str">
        <f>IF(ISBLANK(DaqBook_RAW_Data!AC757),"",DaqBook_RAW_Data!AC757)</f>
        <v/>
      </c>
      <c r="O767" s="167" t="str">
        <f>IF(ISBLANK(DaqBook_RAW_Data!AD757),"",DaqBook_RAW_Data!AD757)</f>
        <v/>
      </c>
      <c r="P767" s="167" t="str">
        <f>IF(ISBLANK(DaqBook_RAW_Data!AE757),"",DaqBook_RAW_Data!AE757)</f>
        <v/>
      </c>
    </row>
    <row r="768" spans="1:16" x14ac:dyDescent="0.2">
      <c r="A768" s="58" t="e">
        <f t="shared" si="11"/>
        <v>#VALUE!</v>
      </c>
      <c r="B768" s="144" t="str">
        <f>IF(ISBLANK(DaqBook_RAW_Data!Q758),IF(DaqBook_RAW_Data!A758="","",TIMEVALUE(DaqBook_RAW_Data!A758)),TIMEVALUE(DaqBook_RAW_Data!Q758))</f>
        <v/>
      </c>
      <c r="C768" s="167" t="str">
        <f>IF(ISBLANK(DaqBook_RAW_Data!R758),"",DaqBook_RAW_Data!R758)</f>
        <v/>
      </c>
      <c r="D768" s="167" t="str">
        <f>IF(ISBLANK(DaqBook_RAW_Data!S758),"",DaqBook_RAW_Data!S758)</f>
        <v/>
      </c>
      <c r="E768" s="167" t="str">
        <f>IF(ISBLANK(DaqBook_RAW_Data!T758),"",DaqBook_RAW_Data!T758)</f>
        <v/>
      </c>
      <c r="F768" s="167" t="str">
        <f>IF(ISBLANK(DaqBook_RAW_Data!U758),"",DaqBook_RAW_Data!U758)</f>
        <v/>
      </c>
      <c r="G768" s="167" t="str">
        <f>IF(ISBLANK(DaqBook_RAW_Data!V758),"",DaqBook_RAW_Data!V758)</f>
        <v/>
      </c>
      <c r="H768" s="167" t="str">
        <f>IF(ISBLANK(DaqBook_RAW_Data!W758),"",DaqBook_RAW_Data!W758)</f>
        <v/>
      </c>
      <c r="I768" s="167" t="str">
        <f>IF(ISBLANK(DaqBook_RAW_Data!X758),"",DaqBook_RAW_Data!X758)</f>
        <v/>
      </c>
      <c r="J768" s="167" t="str">
        <f>IF(ISBLANK(DaqBook_RAW_Data!Y758),"",DaqBook_RAW_Data!Y758)</f>
        <v/>
      </c>
      <c r="K768" s="167" t="str">
        <f>IF(ISBLANK(DaqBook_RAW_Data!Z758),"",DaqBook_RAW_Data!Z758)</f>
        <v/>
      </c>
      <c r="L768" s="167" t="str">
        <f>IF(ISBLANK(DaqBook_RAW_Data!AA758),"",DaqBook_RAW_Data!AA758)</f>
        <v/>
      </c>
      <c r="M768" s="167" t="str">
        <f>IF(ISBLANK(DaqBook_RAW_Data!AB758),"",DaqBook_RAW_Data!AB758)</f>
        <v/>
      </c>
      <c r="N768" s="167" t="str">
        <f>IF(ISBLANK(DaqBook_RAW_Data!AC758),"",DaqBook_RAW_Data!AC758)</f>
        <v/>
      </c>
      <c r="O768" s="167" t="str">
        <f>IF(ISBLANK(DaqBook_RAW_Data!AD758),"",DaqBook_RAW_Data!AD758)</f>
        <v/>
      </c>
      <c r="P768" s="167" t="str">
        <f>IF(ISBLANK(DaqBook_RAW_Data!AE758),"",DaqBook_RAW_Data!AE758)</f>
        <v/>
      </c>
    </row>
    <row r="769" spans="1:16" x14ac:dyDescent="0.2">
      <c r="A769" s="58" t="e">
        <f t="shared" si="11"/>
        <v>#VALUE!</v>
      </c>
      <c r="B769" s="144" t="str">
        <f>IF(ISBLANK(DaqBook_RAW_Data!Q759),IF(DaqBook_RAW_Data!A759="","",TIMEVALUE(DaqBook_RAW_Data!A759)),TIMEVALUE(DaqBook_RAW_Data!Q759))</f>
        <v/>
      </c>
      <c r="C769" s="167" t="str">
        <f>IF(ISBLANK(DaqBook_RAW_Data!R759),"",DaqBook_RAW_Data!R759)</f>
        <v/>
      </c>
      <c r="D769" s="167" t="str">
        <f>IF(ISBLANK(DaqBook_RAW_Data!S759),"",DaqBook_RAW_Data!S759)</f>
        <v/>
      </c>
      <c r="E769" s="167" t="str">
        <f>IF(ISBLANK(DaqBook_RAW_Data!T759),"",DaqBook_RAW_Data!T759)</f>
        <v/>
      </c>
      <c r="F769" s="167" t="str">
        <f>IF(ISBLANK(DaqBook_RAW_Data!U759),"",DaqBook_RAW_Data!U759)</f>
        <v/>
      </c>
      <c r="G769" s="167" t="str">
        <f>IF(ISBLANK(DaqBook_RAW_Data!V759),"",DaqBook_RAW_Data!V759)</f>
        <v/>
      </c>
      <c r="H769" s="167" t="str">
        <f>IF(ISBLANK(DaqBook_RAW_Data!W759),"",DaqBook_RAW_Data!W759)</f>
        <v/>
      </c>
      <c r="I769" s="167" t="str">
        <f>IF(ISBLANK(DaqBook_RAW_Data!X759),"",DaqBook_RAW_Data!X759)</f>
        <v/>
      </c>
      <c r="J769" s="167" t="str">
        <f>IF(ISBLANK(DaqBook_RAW_Data!Y759),"",DaqBook_RAW_Data!Y759)</f>
        <v/>
      </c>
      <c r="K769" s="167" t="str">
        <f>IF(ISBLANK(DaqBook_RAW_Data!Z759),"",DaqBook_RAW_Data!Z759)</f>
        <v/>
      </c>
      <c r="L769" s="167" t="str">
        <f>IF(ISBLANK(DaqBook_RAW_Data!AA759),"",DaqBook_RAW_Data!AA759)</f>
        <v/>
      </c>
      <c r="M769" s="167" t="str">
        <f>IF(ISBLANK(DaqBook_RAW_Data!AB759),"",DaqBook_RAW_Data!AB759)</f>
        <v/>
      </c>
      <c r="N769" s="167" t="str">
        <f>IF(ISBLANK(DaqBook_RAW_Data!AC759),"",DaqBook_RAW_Data!AC759)</f>
        <v/>
      </c>
      <c r="O769" s="167" t="str">
        <f>IF(ISBLANK(DaqBook_RAW_Data!AD759),"",DaqBook_RAW_Data!AD759)</f>
        <v/>
      </c>
      <c r="P769" s="167" t="str">
        <f>IF(ISBLANK(DaqBook_RAW_Data!AE759),"",DaqBook_RAW_Data!AE759)</f>
        <v/>
      </c>
    </row>
    <row r="770" spans="1:16" x14ac:dyDescent="0.2">
      <c r="A770" s="58" t="e">
        <f t="shared" si="11"/>
        <v>#VALUE!</v>
      </c>
      <c r="B770" s="144" t="str">
        <f>IF(ISBLANK(DaqBook_RAW_Data!Q760),IF(DaqBook_RAW_Data!A760="","",TIMEVALUE(DaqBook_RAW_Data!A760)),TIMEVALUE(DaqBook_RAW_Data!Q760))</f>
        <v/>
      </c>
      <c r="C770" s="167" t="str">
        <f>IF(ISBLANK(DaqBook_RAW_Data!R760),"",DaqBook_RAW_Data!R760)</f>
        <v/>
      </c>
      <c r="D770" s="167" t="str">
        <f>IF(ISBLANK(DaqBook_RAW_Data!S760),"",DaqBook_RAW_Data!S760)</f>
        <v/>
      </c>
      <c r="E770" s="167" t="str">
        <f>IF(ISBLANK(DaqBook_RAW_Data!T760),"",DaqBook_RAW_Data!T760)</f>
        <v/>
      </c>
      <c r="F770" s="167" t="str">
        <f>IF(ISBLANK(DaqBook_RAW_Data!U760),"",DaqBook_RAW_Data!U760)</f>
        <v/>
      </c>
      <c r="G770" s="167" t="str">
        <f>IF(ISBLANK(DaqBook_RAW_Data!V760),"",DaqBook_RAW_Data!V760)</f>
        <v/>
      </c>
      <c r="H770" s="167" t="str">
        <f>IF(ISBLANK(DaqBook_RAW_Data!W760),"",DaqBook_RAW_Data!W760)</f>
        <v/>
      </c>
      <c r="I770" s="167" t="str">
        <f>IF(ISBLANK(DaqBook_RAW_Data!X760),"",DaqBook_RAW_Data!X760)</f>
        <v/>
      </c>
      <c r="J770" s="167" t="str">
        <f>IF(ISBLANK(DaqBook_RAW_Data!Y760),"",DaqBook_RAW_Data!Y760)</f>
        <v/>
      </c>
      <c r="K770" s="167" t="str">
        <f>IF(ISBLANK(DaqBook_RAW_Data!Z760),"",DaqBook_RAW_Data!Z760)</f>
        <v/>
      </c>
      <c r="L770" s="167" t="str">
        <f>IF(ISBLANK(DaqBook_RAW_Data!AA760),"",DaqBook_RAW_Data!AA760)</f>
        <v/>
      </c>
      <c r="M770" s="167" t="str">
        <f>IF(ISBLANK(DaqBook_RAW_Data!AB760),"",DaqBook_RAW_Data!AB760)</f>
        <v/>
      </c>
      <c r="N770" s="167" t="str">
        <f>IF(ISBLANK(DaqBook_RAW_Data!AC760),"",DaqBook_RAW_Data!AC760)</f>
        <v/>
      </c>
      <c r="O770" s="167" t="str">
        <f>IF(ISBLANK(DaqBook_RAW_Data!AD760),"",DaqBook_RAW_Data!AD760)</f>
        <v/>
      </c>
      <c r="P770" s="167" t="str">
        <f>IF(ISBLANK(DaqBook_RAW_Data!AE760),"",DaqBook_RAW_Data!AE760)</f>
        <v/>
      </c>
    </row>
    <row r="771" spans="1:16" x14ac:dyDescent="0.2">
      <c r="A771" s="58" t="e">
        <f t="shared" si="11"/>
        <v>#VALUE!</v>
      </c>
      <c r="B771" s="144" t="str">
        <f>IF(ISBLANK(DaqBook_RAW_Data!Q761),IF(DaqBook_RAW_Data!A761="","",TIMEVALUE(DaqBook_RAW_Data!A761)),TIMEVALUE(DaqBook_RAW_Data!Q761))</f>
        <v/>
      </c>
      <c r="C771" s="167" t="str">
        <f>IF(ISBLANK(DaqBook_RAW_Data!R761),"",DaqBook_RAW_Data!R761)</f>
        <v/>
      </c>
      <c r="D771" s="167" t="str">
        <f>IF(ISBLANK(DaqBook_RAW_Data!S761),"",DaqBook_RAW_Data!S761)</f>
        <v/>
      </c>
      <c r="E771" s="167" t="str">
        <f>IF(ISBLANK(DaqBook_RAW_Data!T761),"",DaqBook_RAW_Data!T761)</f>
        <v/>
      </c>
      <c r="F771" s="167" t="str">
        <f>IF(ISBLANK(DaqBook_RAW_Data!U761),"",DaqBook_RAW_Data!U761)</f>
        <v/>
      </c>
      <c r="G771" s="167" t="str">
        <f>IF(ISBLANK(DaqBook_RAW_Data!V761),"",DaqBook_RAW_Data!V761)</f>
        <v/>
      </c>
      <c r="H771" s="167" t="str">
        <f>IF(ISBLANK(DaqBook_RAW_Data!W761),"",DaqBook_RAW_Data!W761)</f>
        <v/>
      </c>
      <c r="I771" s="167" t="str">
        <f>IF(ISBLANK(DaqBook_RAW_Data!X761),"",DaqBook_RAW_Data!X761)</f>
        <v/>
      </c>
      <c r="J771" s="167" t="str">
        <f>IF(ISBLANK(DaqBook_RAW_Data!Y761),"",DaqBook_RAW_Data!Y761)</f>
        <v/>
      </c>
      <c r="K771" s="167" t="str">
        <f>IF(ISBLANK(DaqBook_RAW_Data!Z761),"",DaqBook_RAW_Data!Z761)</f>
        <v/>
      </c>
      <c r="L771" s="167" t="str">
        <f>IF(ISBLANK(DaqBook_RAW_Data!AA761),"",DaqBook_RAW_Data!AA761)</f>
        <v/>
      </c>
      <c r="M771" s="167" t="str">
        <f>IF(ISBLANK(DaqBook_RAW_Data!AB761),"",DaqBook_RAW_Data!AB761)</f>
        <v/>
      </c>
      <c r="N771" s="167" t="str">
        <f>IF(ISBLANK(DaqBook_RAW_Data!AC761),"",DaqBook_RAW_Data!AC761)</f>
        <v/>
      </c>
      <c r="O771" s="167" t="str">
        <f>IF(ISBLANK(DaqBook_RAW_Data!AD761),"",DaqBook_RAW_Data!AD761)</f>
        <v/>
      </c>
      <c r="P771" s="167" t="str">
        <f>IF(ISBLANK(DaqBook_RAW_Data!AE761),"",DaqBook_RAW_Data!AE761)</f>
        <v/>
      </c>
    </row>
    <row r="772" spans="1:16" x14ac:dyDescent="0.2">
      <c r="A772" s="58" t="e">
        <f t="shared" si="11"/>
        <v>#VALUE!</v>
      </c>
      <c r="B772" s="144" t="str">
        <f>IF(ISBLANK(DaqBook_RAW_Data!Q762),IF(DaqBook_RAW_Data!A762="","",TIMEVALUE(DaqBook_RAW_Data!A762)),TIMEVALUE(DaqBook_RAW_Data!Q762))</f>
        <v/>
      </c>
      <c r="C772" s="167" t="str">
        <f>IF(ISBLANK(DaqBook_RAW_Data!R762),"",DaqBook_RAW_Data!R762)</f>
        <v/>
      </c>
      <c r="D772" s="167" t="str">
        <f>IF(ISBLANK(DaqBook_RAW_Data!S762),"",DaqBook_RAW_Data!S762)</f>
        <v/>
      </c>
      <c r="E772" s="167" t="str">
        <f>IF(ISBLANK(DaqBook_RAW_Data!T762),"",DaqBook_RAW_Data!T762)</f>
        <v/>
      </c>
      <c r="F772" s="167" t="str">
        <f>IF(ISBLANK(DaqBook_RAW_Data!U762),"",DaqBook_RAW_Data!U762)</f>
        <v/>
      </c>
      <c r="G772" s="167" t="str">
        <f>IF(ISBLANK(DaqBook_RAW_Data!V762),"",DaqBook_RAW_Data!V762)</f>
        <v/>
      </c>
      <c r="H772" s="167" t="str">
        <f>IF(ISBLANK(DaqBook_RAW_Data!W762),"",DaqBook_RAW_Data!W762)</f>
        <v/>
      </c>
      <c r="I772" s="167" t="str">
        <f>IF(ISBLANK(DaqBook_RAW_Data!X762),"",DaqBook_RAW_Data!X762)</f>
        <v/>
      </c>
      <c r="J772" s="167" t="str">
        <f>IF(ISBLANK(DaqBook_RAW_Data!Y762),"",DaqBook_RAW_Data!Y762)</f>
        <v/>
      </c>
      <c r="K772" s="167" t="str">
        <f>IF(ISBLANK(DaqBook_RAW_Data!Z762),"",DaqBook_RAW_Data!Z762)</f>
        <v/>
      </c>
      <c r="L772" s="167" t="str">
        <f>IF(ISBLANK(DaqBook_RAW_Data!AA762),"",DaqBook_RAW_Data!AA762)</f>
        <v/>
      </c>
      <c r="M772" s="167" t="str">
        <f>IF(ISBLANK(DaqBook_RAW_Data!AB762),"",DaqBook_RAW_Data!AB762)</f>
        <v/>
      </c>
      <c r="N772" s="167" t="str">
        <f>IF(ISBLANK(DaqBook_RAW_Data!AC762),"",DaqBook_RAW_Data!AC762)</f>
        <v/>
      </c>
      <c r="O772" s="167" t="str">
        <f>IF(ISBLANK(DaqBook_RAW_Data!AD762),"",DaqBook_RAW_Data!AD762)</f>
        <v/>
      </c>
      <c r="P772" s="167" t="str">
        <f>IF(ISBLANK(DaqBook_RAW_Data!AE762),"",DaqBook_RAW_Data!AE762)</f>
        <v/>
      </c>
    </row>
    <row r="773" spans="1:16" x14ac:dyDescent="0.2">
      <c r="A773" s="58" t="e">
        <f t="shared" si="11"/>
        <v>#VALUE!</v>
      </c>
      <c r="B773" s="144" t="str">
        <f>IF(ISBLANK(DaqBook_RAW_Data!Q763),IF(DaqBook_RAW_Data!A763="","",TIMEVALUE(DaqBook_RAW_Data!A763)),TIMEVALUE(DaqBook_RAW_Data!Q763))</f>
        <v/>
      </c>
      <c r="C773" s="167" t="str">
        <f>IF(ISBLANK(DaqBook_RAW_Data!R763),"",DaqBook_RAW_Data!R763)</f>
        <v/>
      </c>
      <c r="D773" s="167" t="str">
        <f>IF(ISBLANK(DaqBook_RAW_Data!S763),"",DaqBook_RAW_Data!S763)</f>
        <v/>
      </c>
      <c r="E773" s="167" t="str">
        <f>IF(ISBLANK(DaqBook_RAW_Data!T763),"",DaqBook_RAW_Data!T763)</f>
        <v/>
      </c>
      <c r="F773" s="167" t="str">
        <f>IF(ISBLANK(DaqBook_RAW_Data!U763),"",DaqBook_RAW_Data!U763)</f>
        <v/>
      </c>
      <c r="G773" s="167" t="str">
        <f>IF(ISBLANK(DaqBook_RAW_Data!V763),"",DaqBook_RAW_Data!V763)</f>
        <v/>
      </c>
      <c r="H773" s="167" t="str">
        <f>IF(ISBLANK(DaqBook_RAW_Data!W763),"",DaqBook_RAW_Data!W763)</f>
        <v/>
      </c>
      <c r="I773" s="167" t="str">
        <f>IF(ISBLANK(DaqBook_RAW_Data!X763),"",DaqBook_RAW_Data!X763)</f>
        <v/>
      </c>
      <c r="J773" s="167" t="str">
        <f>IF(ISBLANK(DaqBook_RAW_Data!Y763),"",DaqBook_RAW_Data!Y763)</f>
        <v/>
      </c>
      <c r="K773" s="167" t="str">
        <f>IF(ISBLANK(DaqBook_RAW_Data!Z763),"",DaqBook_RAW_Data!Z763)</f>
        <v/>
      </c>
      <c r="L773" s="167" t="str">
        <f>IF(ISBLANK(DaqBook_RAW_Data!AA763),"",DaqBook_RAW_Data!AA763)</f>
        <v/>
      </c>
      <c r="M773" s="167" t="str">
        <f>IF(ISBLANK(DaqBook_RAW_Data!AB763),"",DaqBook_RAW_Data!AB763)</f>
        <v/>
      </c>
      <c r="N773" s="167" t="str">
        <f>IF(ISBLANK(DaqBook_RAW_Data!AC763),"",DaqBook_RAW_Data!AC763)</f>
        <v/>
      </c>
      <c r="O773" s="167" t="str">
        <f>IF(ISBLANK(DaqBook_RAW_Data!AD763),"",DaqBook_RAW_Data!AD763)</f>
        <v/>
      </c>
      <c r="P773" s="167" t="str">
        <f>IF(ISBLANK(DaqBook_RAW_Data!AE763),"",DaqBook_RAW_Data!AE763)</f>
        <v/>
      </c>
    </row>
    <row r="774" spans="1:16" x14ac:dyDescent="0.2">
      <c r="A774" s="58" t="e">
        <f t="shared" si="11"/>
        <v>#VALUE!</v>
      </c>
      <c r="B774" s="144" t="str">
        <f>IF(ISBLANK(DaqBook_RAW_Data!Q764),IF(DaqBook_RAW_Data!A764="","",TIMEVALUE(DaqBook_RAW_Data!A764)),TIMEVALUE(DaqBook_RAW_Data!Q764))</f>
        <v/>
      </c>
      <c r="C774" s="167" t="str">
        <f>IF(ISBLANK(DaqBook_RAW_Data!R764),"",DaqBook_RAW_Data!R764)</f>
        <v/>
      </c>
      <c r="D774" s="167" t="str">
        <f>IF(ISBLANK(DaqBook_RAW_Data!S764),"",DaqBook_RAW_Data!S764)</f>
        <v/>
      </c>
      <c r="E774" s="167" t="str">
        <f>IF(ISBLANK(DaqBook_RAW_Data!T764),"",DaqBook_RAW_Data!T764)</f>
        <v/>
      </c>
      <c r="F774" s="167" t="str">
        <f>IF(ISBLANK(DaqBook_RAW_Data!U764),"",DaqBook_RAW_Data!U764)</f>
        <v/>
      </c>
      <c r="G774" s="167" t="str">
        <f>IF(ISBLANK(DaqBook_RAW_Data!V764),"",DaqBook_RAW_Data!V764)</f>
        <v/>
      </c>
      <c r="H774" s="167" t="str">
        <f>IF(ISBLANK(DaqBook_RAW_Data!W764),"",DaqBook_RAW_Data!W764)</f>
        <v/>
      </c>
      <c r="I774" s="167" t="str">
        <f>IF(ISBLANK(DaqBook_RAW_Data!X764),"",DaqBook_RAW_Data!X764)</f>
        <v/>
      </c>
      <c r="J774" s="167" t="str">
        <f>IF(ISBLANK(DaqBook_RAW_Data!Y764),"",DaqBook_RAW_Data!Y764)</f>
        <v/>
      </c>
      <c r="K774" s="167" t="str">
        <f>IF(ISBLANK(DaqBook_RAW_Data!Z764),"",DaqBook_RAW_Data!Z764)</f>
        <v/>
      </c>
      <c r="L774" s="167" t="str">
        <f>IF(ISBLANK(DaqBook_RAW_Data!AA764),"",DaqBook_RAW_Data!AA764)</f>
        <v/>
      </c>
      <c r="M774" s="167" t="str">
        <f>IF(ISBLANK(DaqBook_RAW_Data!AB764),"",DaqBook_RAW_Data!AB764)</f>
        <v/>
      </c>
      <c r="N774" s="167" t="str">
        <f>IF(ISBLANK(DaqBook_RAW_Data!AC764),"",DaqBook_RAW_Data!AC764)</f>
        <v/>
      </c>
      <c r="O774" s="167" t="str">
        <f>IF(ISBLANK(DaqBook_RAW_Data!AD764),"",DaqBook_RAW_Data!AD764)</f>
        <v/>
      </c>
      <c r="P774" s="167" t="str">
        <f>IF(ISBLANK(DaqBook_RAW_Data!AE764),"",DaqBook_RAW_Data!AE764)</f>
        <v/>
      </c>
    </row>
    <row r="775" spans="1:16" x14ac:dyDescent="0.2">
      <c r="A775" s="58" t="e">
        <f t="shared" si="11"/>
        <v>#VALUE!</v>
      </c>
      <c r="B775" s="144" t="str">
        <f>IF(ISBLANK(DaqBook_RAW_Data!Q765),IF(DaqBook_RAW_Data!A765="","",TIMEVALUE(DaqBook_RAW_Data!A765)),TIMEVALUE(DaqBook_RAW_Data!Q765))</f>
        <v/>
      </c>
      <c r="C775" s="167" t="str">
        <f>IF(ISBLANK(DaqBook_RAW_Data!R765),"",DaqBook_RAW_Data!R765)</f>
        <v/>
      </c>
      <c r="D775" s="167" t="str">
        <f>IF(ISBLANK(DaqBook_RAW_Data!S765),"",DaqBook_RAW_Data!S765)</f>
        <v/>
      </c>
      <c r="E775" s="167" t="str">
        <f>IF(ISBLANK(DaqBook_RAW_Data!T765),"",DaqBook_RAW_Data!T765)</f>
        <v/>
      </c>
      <c r="F775" s="167" t="str">
        <f>IF(ISBLANK(DaqBook_RAW_Data!U765),"",DaqBook_RAW_Data!U765)</f>
        <v/>
      </c>
      <c r="G775" s="167" t="str">
        <f>IF(ISBLANK(DaqBook_RAW_Data!V765),"",DaqBook_RAW_Data!V765)</f>
        <v/>
      </c>
      <c r="H775" s="167" t="str">
        <f>IF(ISBLANK(DaqBook_RAW_Data!W765),"",DaqBook_RAW_Data!W765)</f>
        <v/>
      </c>
      <c r="I775" s="167" t="str">
        <f>IF(ISBLANK(DaqBook_RAW_Data!X765),"",DaqBook_RAW_Data!X765)</f>
        <v/>
      </c>
      <c r="J775" s="167" t="str">
        <f>IF(ISBLANK(DaqBook_RAW_Data!Y765),"",DaqBook_RAW_Data!Y765)</f>
        <v/>
      </c>
      <c r="K775" s="167" t="str">
        <f>IF(ISBLANK(DaqBook_RAW_Data!Z765),"",DaqBook_RAW_Data!Z765)</f>
        <v/>
      </c>
      <c r="L775" s="167" t="str">
        <f>IF(ISBLANK(DaqBook_RAW_Data!AA765),"",DaqBook_RAW_Data!AA765)</f>
        <v/>
      </c>
      <c r="M775" s="167" t="str">
        <f>IF(ISBLANK(DaqBook_RAW_Data!AB765),"",DaqBook_RAW_Data!AB765)</f>
        <v/>
      </c>
      <c r="N775" s="167" t="str">
        <f>IF(ISBLANK(DaqBook_RAW_Data!AC765),"",DaqBook_RAW_Data!AC765)</f>
        <v/>
      </c>
      <c r="O775" s="167" t="str">
        <f>IF(ISBLANK(DaqBook_RAW_Data!AD765),"",DaqBook_RAW_Data!AD765)</f>
        <v/>
      </c>
      <c r="P775" s="167" t="str">
        <f>IF(ISBLANK(DaqBook_RAW_Data!AE765),"",DaqBook_RAW_Data!AE765)</f>
        <v/>
      </c>
    </row>
    <row r="776" spans="1:16" x14ac:dyDescent="0.2">
      <c r="A776" s="58" t="e">
        <f t="shared" si="11"/>
        <v>#VALUE!</v>
      </c>
      <c r="B776" s="144" t="str">
        <f>IF(ISBLANK(DaqBook_RAW_Data!Q766),IF(DaqBook_RAW_Data!A766="","",TIMEVALUE(DaqBook_RAW_Data!A766)),TIMEVALUE(DaqBook_RAW_Data!Q766))</f>
        <v/>
      </c>
      <c r="C776" s="167" t="str">
        <f>IF(ISBLANK(DaqBook_RAW_Data!R766),"",DaqBook_RAW_Data!R766)</f>
        <v/>
      </c>
      <c r="D776" s="167" t="str">
        <f>IF(ISBLANK(DaqBook_RAW_Data!S766),"",DaqBook_RAW_Data!S766)</f>
        <v/>
      </c>
      <c r="E776" s="167" t="str">
        <f>IF(ISBLANK(DaqBook_RAW_Data!T766),"",DaqBook_RAW_Data!T766)</f>
        <v/>
      </c>
      <c r="F776" s="167" t="str">
        <f>IF(ISBLANK(DaqBook_RAW_Data!U766),"",DaqBook_RAW_Data!U766)</f>
        <v/>
      </c>
      <c r="G776" s="167" t="str">
        <f>IF(ISBLANK(DaqBook_RAW_Data!V766),"",DaqBook_RAW_Data!V766)</f>
        <v/>
      </c>
      <c r="H776" s="167" t="str">
        <f>IF(ISBLANK(DaqBook_RAW_Data!W766),"",DaqBook_RAW_Data!W766)</f>
        <v/>
      </c>
      <c r="I776" s="167" t="str">
        <f>IF(ISBLANK(DaqBook_RAW_Data!X766),"",DaqBook_RAW_Data!X766)</f>
        <v/>
      </c>
      <c r="J776" s="167" t="str">
        <f>IF(ISBLANK(DaqBook_RAW_Data!Y766),"",DaqBook_RAW_Data!Y766)</f>
        <v/>
      </c>
      <c r="K776" s="167" t="str">
        <f>IF(ISBLANK(DaqBook_RAW_Data!Z766),"",DaqBook_RAW_Data!Z766)</f>
        <v/>
      </c>
      <c r="L776" s="167" t="str">
        <f>IF(ISBLANK(DaqBook_RAW_Data!AA766),"",DaqBook_RAW_Data!AA766)</f>
        <v/>
      </c>
      <c r="M776" s="167" t="str">
        <f>IF(ISBLANK(DaqBook_RAW_Data!AB766),"",DaqBook_RAW_Data!AB766)</f>
        <v/>
      </c>
      <c r="N776" s="167" t="str">
        <f>IF(ISBLANK(DaqBook_RAW_Data!AC766),"",DaqBook_RAW_Data!AC766)</f>
        <v/>
      </c>
      <c r="O776" s="167" t="str">
        <f>IF(ISBLANK(DaqBook_RAW_Data!AD766),"",DaqBook_RAW_Data!AD766)</f>
        <v/>
      </c>
      <c r="P776" s="167" t="str">
        <f>IF(ISBLANK(DaqBook_RAW_Data!AE766),"",DaqBook_RAW_Data!AE766)</f>
        <v/>
      </c>
    </row>
    <row r="777" spans="1:16" x14ac:dyDescent="0.2">
      <c r="A777" s="58" t="e">
        <f t="shared" si="11"/>
        <v>#VALUE!</v>
      </c>
      <c r="B777" s="144" t="str">
        <f>IF(ISBLANK(DaqBook_RAW_Data!Q767),IF(DaqBook_RAW_Data!A767="","",TIMEVALUE(DaqBook_RAW_Data!A767)),TIMEVALUE(DaqBook_RAW_Data!Q767))</f>
        <v/>
      </c>
      <c r="C777" s="167" t="str">
        <f>IF(ISBLANK(DaqBook_RAW_Data!R767),"",DaqBook_RAW_Data!R767)</f>
        <v/>
      </c>
      <c r="D777" s="167" t="str">
        <f>IF(ISBLANK(DaqBook_RAW_Data!S767),"",DaqBook_RAW_Data!S767)</f>
        <v/>
      </c>
      <c r="E777" s="167" t="str">
        <f>IF(ISBLANK(DaqBook_RAW_Data!T767),"",DaqBook_RAW_Data!T767)</f>
        <v/>
      </c>
      <c r="F777" s="167" t="str">
        <f>IF(ISBLANK(DaqBook_RAW_Data!U767),"",DaqBook_RAW_Data!U767)</f>
        <v/>
      </c>
      <c r="G777" s="167" t="str">
        <f>IF(ISBLANK(DaqBook_RAW_Data!V767),"",DaqBook_RAW_Data!V767)</f>
        <v/>
      </c>
      <c r="H777" s="167" t="str">
        <f>IF(ISBLANK(DaqBook_RAW_Data!W767),"",DaqBook_RAW_Data!W767)</f>
        <v/>
      </c>
      <c r="I777" s="167" t="str">
        <f>IF(ISBLANK(DaqBook_RAW_Data!X767),"",DaqBook_RAW_Data!X767)</f>
        <v/>
      </c>
      <c r="J777" s="167" t="str">
        <f>IF(ISBLANK(DaqBook_RAW_Data!Y767),"",DaqBook_RAW_Data!Y767)</f>
        <v/>
      </c>
      <c r="K777" s="167" t="str">
        <f>IF(ISBLANK(DaqBook_RAW_Data!Z767),"",DaqBook_RAW_Data!Z767)</f>
        <v/>
      </c>
      <c r="L777" s="167" t="str">
        <f>IF(ISBLANK(DaqBook_RAW_Data!AA767),"",DaqBook_RAW_Data!AA767)</f>
        <v/>
      </c>
      <c r="M777" s="167" t="str">
        <f>IF(ISBLANK(DaqBook_RAW_Data!AB767),"",DaqBook_RAW_Data!AB767)</f>
        <v/>
      </c>
      <c r="N777" s="167" t="str">
        <f>IF(ISBLANK(DaqBook_RAW_Data!AC767),"",DaqBook_RAW_Data!AC767)</f>
        <v/>
      </c>
      <c r="O777" s="167" t="str">
        <f>IF(ISBLANK(DaqBook_RAW_Data!AD767),"",DaqBook_RAW_Data!AD767)</f>
        <v/>
      </c>
      <c r="P777" s="167" t="str">
        <f>IF(ISBLANK(DaqBook_RAW_Data!AE767),"",DaqBook_RAW_Data!AE767)</f>
        <v/>
      </c>
    </row>
    <row r="778" spans="1:16" x14ac:dyDescent="0.2">
      <c r="A778" s="58" t="e">
        <f t="shared" si="11"/>
        <v>#VALUE!</v>
      </c>
      <c r="B778" s="144" t="str">
        <f>IF(ISBLANK(DaqBook_RAW_Data!Q768),IF(DaqBook_RAW_Data!A768="","",TIMEVALUE(DaqBook_RAW_Data!A768)),TIMEVALUE(DaqBook_RAW_Data!Q768))</f>
        <v/>
      </c>
      <c r="C778" s="167" t="str">
        <f>IF(ISBLANK(DaqBook_RAW_Data!R768),"",DaqBook_RAW_Data!R768)</f>
        <v/>
      </c>
      <c r="D778" s="167" t="str">
        <f>IF(ISBLANK(DaqBook_RAW_Data!S768),"",DaqBook_RAW_Data!S768)</f>
        <v/>
      </c>
      <c r="E778" s="167" t="str">
        <f>IF(ISBLANK(DaqBook_RAW_Data!T768),"",DaqBook_RAW_Data!T768)</f>
        <v/>
      </c>
      <c r="F778" s="167" t="str">
        <f>IF(ISBLANK(DaqBook_RAW_Data!U768),"",DaqBook_RAW_Data!U768)</f>
        <v/>
      </c>
      <c r="G778" s="167" t="str">
        <f>IF(ISBLANK(DaqBook_RAW_Data!V768),"",DaqBook_RAW_Data!V768)</f>
        <v/>
      </c>
      <c r="H778" s="167" t="str">
        <f>IF(ISBLANK(DaqBook_RAW_Data!W768),"",DaqBook_RAW_Data!W768)</f>
        <v/>
      </c>
      <c r="I778" s="167" t="str">
        <f>IF(ISBLANK(DaqBook_RAW_Data!X768),"",DaqBook_RAW_Data!X768)</f>
        <v/>
      </c>
      <c r="J778" s="167" t="str">
        <f>IF(ISBLANK(DaqBook_RAW_Data!Y768),"",DaqBook_RAW_Data!Y768)</f>
        <v/>
      </c>
      <c r="K778" s="167" t="str">
        <f>IF(ISBLANK(DaqBook_RAW_Data!Z768),"",DaqBook_RAW_Data!Z768)</f>
        <v/>
      </c>
      <c r="L778" s="167" t="str">
        <f>IF(ISBLANK(DaqBook_RAW_Data!AA768),"",DaqBook_RAW_Data!AA768)</f>
        <v/>
      </c>
      <c r="M778" s="167" t="str">
        <f>IF(ISBLANK(DaqBook_RAW_Data!AB768),"",DaqBook_RAW_Data!AB768)</f>
        <v/>
      </c>
      <c r="N778" s="167" t="str">
        <f>IF(ISBLANK(DaqBook_RAW_Data!AC768),"",DaqBook_RAW_Data!AC768)</f>
        <v/>
      </c>
      <c r="O778" s="167" t="str">
        <f>IF(ISBLANK(DaqBook_RAW_Data!AD768),"",DaqBook_RAW_Data!AD768)</f>
        <v/>
      </c>
      <c r="P778" s="167" t="str">
        <f>IF(ISBLANK(DaqBook_RAW_Data!AE768),"",DaqBook_RAW_Data!AE768)</f>
        <v/>
      </c>
    </row>
    <row r="779" spans="1:16" x14ac:dyDescent="0.2">
      <c r="A779" s="58" t="e">
        <f t="shared" si="11"/>
        <v>#VALUE!</v>
      </c>
      <c r="B779" s="144" t="str">
        <f>IF(ISBLANK(DaqBook_RAW_Data!Q769),IF(DaqBook_RAW_Data!A769="","",TIMEVALUE(DaqBook_RAW_Data!A769)),TIMEVALUE(DaqBook_RAW_Data!Q769))</f>
        <v/>
      </c>
      <c r="C779" s="167" t="str">
        <f>IF(ISBLANK(DaqBook_RAW_Data!R769),"",DaqBook_RAW_Data!R769)</f>
        <v/>
      </c>
      <c r="D779" s="167" t="str">
        <f>IF(ISBLANK(DaqBook_RAW_Data!S769),"",DaqBook_RAW_Data!S769)</f>
        <v/>
      </c>
      <c r="E779" s="167" t="str">
        <f>IF(ISBLANK(DaqBook_RAW_Data!T769),"",DaqBook_RAW_Data!T769)</f>
        <v/>
      </c>
      <c r="F779" s="167" t="str">
        <f>IF(ISBLANK(DaqBook_RAW_Data!U769),"",DaqBook_RAW_Data!U769)</f>
        <v/>
      </c>
      <c r="G779" s="167" t="str">
        <f>IF(ISBLANK(DaqBook_RAW_Data!V769),"",DaqBook_RAW_Data!V769)</f>
        <v/>
      </c>
      <c r="H779" s="167" t="str">
        <f>IF(ISBLANK(DaqBook_RAW_Data!W769),"",DaqBook_RAW_Data!W769)</f>
        <v/>
      </c>
      <c r="I779" s="167" t="str">
        <f>IF(ISBLANK(DaqBook_RAW_Data!X769),"",DaqBook_RAW_Data!X769)</f>
        <v/>
      </c>
      <c r="J779" s="167" t="str">
        <f>IF(ISBLANK(DaqBook_RAW_Data!Y769),"",DaqBook_RAW_Data!Y769)</f>
        <v/>
      </c>
      <c r="K779" s="167" t="str">
        <f>IF(ISBLANK(DaqBook_RAW_Data!Z769),"",DaqBook_RAW_Data!Z769)</f>
        <v/>
      </c>
      <c r="L779" s="167" t="str">
        <f>IF(ISBLANK(DaqBook_RAW_Data!AA769),"",DaqBook_RAW_Data!AA769)</f>
        <v/>
      </c>
      <c r="M779" s="167" t="str">
        <f>IF(ISBLANK(DaqBook_RAW_Data!AB769),"",DaqBook_RAW_Data!AB769)</f>
        <v/>
      </c>
      <c r="N779" s="167" t="str">
        <f>IF(ISBLANK(DaqBook_RAW_Data!AC769),"",DaqBook_RAW_Data!AC769)</f>
        <v/>
      </c>
      <c r="O779" s="167" t="str">
        <f>IF(ISBLANK(DaqBook_RAW_Data!AD769),"",DaqBook_RAW_Data!AD769)</f>
        <v/>
      </c>
      <c r="P779" s="167" t="str">
        <f>IF(ISBLANK(DaqBook_RAW_Data!AE769),"",DaqBook_RAW_Data!AE769)</f>
        <v/>
      </c>
    </row>
    <row r="780" spans="1:16" x14ac:dyDescent="0.2">
      <c r="A780" s="58" t="e">
        <f t="shared" si="11"/>
        <v>#VALUE!</v>
      </c>
      <c r="B780" s="144" t="str">
        <f>IF(ISBLANK(DaqBook_RAW_Data!Q770),IF(DaqBook_RAW_Data!A770="","",TIMEVALUE(DaqBook_RAW_Data!A770)),TIMEVALUE(DaqBook_RAW_Data!Q770))</f>
        <v/>
      </c>
      <c r="C780" s="167" t="str">
        <f>IF(ISBLANK(DaqBook_RAW_Data!R770),"",DaqBook_RAW_Data!R770)</f>
        <v/>
      </c>
      <c r="D780" s="167" t="str">
        <f>IF(ISBLANK(DaqBook_RAW_Data!S770),"",DaqBook_RAW_Data!S770)</f>
        <v/>
      </c>
      <c r="E780" s="167" t="str">
        <f>IF(ISBLANK(DaqBook_RAW_Data!T770),"",DaqBook_RAW_Data!T770)</f>
        <v/>
      </c>
      <c r="F780" s="167" t="str">
        <f>IF(ISBLANK(DaqBook_RAW_Data!U770),"",DaqBook_RAW_Data!U770)</f>
        <v/>
      </c>
      <c r="G780" s="167" t="str">
        <f>IF(ISBLANK(DaqBook_RAW_Data!V770),"",DaqBook_RAW_Data!V770)</f>
        <v/>
      </c>
      <c r="H780" s="167" t="str">
        <f>IF(ISBLANK(DaqBook_RAW_Data!W770),"",DaqBook_RAW_Data!W770)</f>
        <v/>
      </c>
      <c r="I780" s="167" t="str">
        <f>IF(ISBLANK(DaqBook_RAW_Data!X770),"",DaqBook_RAW_Data!X770)</f>
        <v/>
      </c>
      <c r="J780" s="167" t="str">
        <f>IF(ISBLANK(DaqBook_RAW_Data!Y770),"",DaqBook_RAW_Data!Y770)</f>
        <v/>
      </c>
      <c r="K780" s="167" t="str">
        <f>IF(ISBLANK(DaqBook_RAW_Data!Z770),"",DaqBook_RAW_Data!Z770)</f>
        <v/>
      </c>
      <c r="L780" s="167" t="str">
        <f>IF(ISBLANK(DaqBook_RAW_Data!AA770),"",DaqBook_RAW_Data!AA770)</f>
        <v/>
      </c>
      <c r="M780" s="167" t="str">
        <f>IF(ISBLANK(DaqBook_RAW_Data!AB770),"",DaqBook_RAW_Data!AB770)</f>
        <v/>
      </c>
      <c r="N780" s="167" t="str">
        <f>IF(ISBLANK(DaqBook_RAW_Data!AC770),"",DaqBook_RAW_Data!AC770)</f>
        <v/>
      </c>
      <c r="O780" s="167" t="str">
        <f>IF(ISBLANK(DaqBook_RAW_Data!AD770),"",DaqBook_RAW_Data!AD770)</f>
        <v/>
      </c>
      <c r="P780" s="167" t="str">
        <f>IF(ISBLANK(DaqBook_RAW_Data!AE770),"",DaqBook_RAW_Data!AE770)</f>
        <v/>
      </c>
    </row>
    <row r="781" spans="1:16" x14ac:dyDescent="0.2">
      <c r="A781" s="58" t="e">
        <f t="shared" si="11"/>
        <v>#VALUE!</v>
      </c>
      <c r="B781" s="144" t="str">
        <f>IF(ISBLANK(DaqBook_RAW_Data!Q771),IF(DaqBook_RAW_Data!A771="","",TIMEVALUE(DaqBook_RAW_Data!A771)),TIMEVALUE(DaqBook_RAW_Data!Q771))</f>
        <v/>
      </c>
      <c r="C781" s="167" t="str">
        <f>IF(ISBLANK(DaqBook_RAW_Data!R771),"",DaqBook_RAW_Data!R771)</f>
        <v/>
      </c>
      <c r="D781" s="167" t="str">
        <f>IF(ISBLANK(DaqBook_RAW_Data!S771),"",DaqBook_RAW_Data!S771)</f>
        <v/>
      </c>
      <c r="E781" s="167" t="str">
        <f>IF(ISBLANK(DaqBook_RAW_Data!T771),"",DaqBook_RAW_Data!T771)</f>
        <v/>
      </c>
      <c r="F781" s="167" t="str">
        <f>IF(ISBLANK(DaqBook_RAW_Data!U771),"",DaqBook_RAW_Data!U771)</f>
        <v/>
      </c>
      <c r="G781" s="167" t="str">
        <f>IF(ISBLANK(DaqBook_RAW_Data!V771),"",DaqBook_RAW_Data!V771)</f>
        <v/>
      </c>
      <c r="H781" s="167" t="str">
        <f>IF(ISBLANK(DaqBook_RAW_Data!W771),"",DaqBook_RAW_Data!W771)</f>
        <v/>
      </c>
      <c r="I781" s="167" t="str">
        <f>IF(ISBLANK(DaqBook_RAW_Data!X771),"",DaqBook_RAW_Data!X771)</f>
        <v/>
      </c>
      <c r="J781" s="167" t="str">
        <f>IF(ISBLANK(DaqBook_RAW_Data!Y771),"",DaqBook_RAW_Data!Y771)</f>
        <v/>
      </c>
      <c r="K781" s="167" t="str">
        <f>IF(ISBLANK(DaqBook_RAW_Data!Z771),"",DaqBook_RAW_Data!Z771)</f>
        <v/>
      </c>
      <c r="L781" s="167" t="str">
        <f>IF(ISBLANK(DaqBook_RAW_Data!AA771),"",DaqBook_RAW_Data!AA771)</f>
        <v/>
      </c>
      <c r="M781" s="167" t="str">
        <f>IF(ISBLANK(DaqBook_RAW_Data!AB771),"",DaqBook_RAW_Data!AB771)</f>
        <v/>
      </c>
      <c r="N781" s="167" t="str">
        <f>IF(ISBLANK(DaqBook_RAW_Data!AC771),"",DaqBook_RAW_Data!AC771)</f>
        <v/>
      </c>
      <c r="O781" s="167" t="str">
        <f>IF(ISBLANK(DaqBook_RAW_Data!AD771),"",DaqBook_RAW_Data!AD771)</f>
        <v/>
      </c>
      <c r="P781" s="167" t="str">
        <f>IF(ISBLANK(DaqBook_RAW_Data!AE771),"",DaqBook_RAW_Data!AE771)</f>
        <v/>
      </c>
    </row>
    <row r="782" spans="1:16" x14ac:dyDescent="0.2">
      <c r="A782" s="58" t="e">
        <f t="shared" si="11"/>
        <v>#VALUE!</v>
      </c>
      <c r="B782" s="144" t="str">
        <f>IF(ISBLANK(DaqBook_RAW_Data!Q772),IF(DaqBook_RAW_Data!A772="","",TIMEVALUE(DaqBook_RAW_Data!A772)),TIMEVALUE(DaqBook_RAW_Data!Q772))</f>
        <v/>
      </c>
      <c r="C782" s="167" t="str">
        <f>IF(ISBLANK(DaqBook_RAW_Data!R772),"",DaqBook_RAW_Data!R772)</f>
        <v/>
      </c>
      <c r="D782" s="167" t="str">
        <f>IF(ISBLANK(DaqBook_RAW_Data!S772),"",DaqBook_RAW_Data!S772)</f>
        <v/>
      </c>
      <c r="E782" s="167" t="str">
        <f>IF(ISBLANK(DaqBook_RAW_Data!T772),"",DaqBook_RAW_Data!T772)</f>
        <v/>
      </c>
      <c r="F782" s="167" t="str">
        <f>IF(ISBLANK(DaqBook_RAW_Data!U772),"",DaqBook_RAW_Data!U772)</f>
        <v/>
      </c>
      <c r="G782" s="167" t="str">
        <f>IF(ISBLANK(DaqBook_RAW_Data!V772),"",DaqBook_RAW_Data!V772)</f>
        <v/>
      </c>
      <c r="H782" s="167" t="str">
        <f>IF(ISBLANK(DaqBook_RAW_Data!W772),"",DaqBook_RAW_Data!W772)</f>
        <v/>
      </c>
      <c r="I782" s="167" t="str">
        <f>IF(ISBLANK(DaqBook_RAW_Data!X772),"",DaqBook_RAW_Data!X772)</f>
        <v/>
      </c>
      <c r="J782" s="167" t="str">
        <f>IF(ISBLANK(DaqBook_RAW_Data!Y772),"",DaqBook_RAW_Data!Y772)</f>
        <v/>
      </c>
      <c r="K782" s="167" t="str">
        <f>IF(ISBLANK(DaqBook_RAW_Data!Z772),"",DaqBook_RAW_Data!Z772)</f>
        <v/>
      </c>
      <c r="L782" s="167" t="str">
        <f>IF(ISBLANK(DaqBook_RAW_Data!AA772),"",DaqBook_RAW_Data!AA772)</f>
        <v/>
      </c>
      <c r="M782" s="167" t="str">
        <f>IF(ISBLANK(DaqBook_RAW_Data!AB772),"",DaqBook_RAW_Data!AB772)</f>
        <v/>
      </c>
      <c r="N782" s="167" t="str">
        <f>IF(ISBLANK(DaqBook_RAW_Data!AC772),"",DaqBook_RAW_Data!AC772)</f>
        <v/>
      </c>
      <c r="O782" s="167" t="str">
        <f>IF(ISBLANK(DaqBook_RAW_Data!AD772),"",DaqBook_RAW_Data!AD772)</f>
        <v/>
      </c>
      <c r="P782" s="167" t="str">
        <f>IF(ISBLANK(DaqBook_RAW_Data!AE772),"",DaqBook_RAW_Data!AE772)</f>
        <v/>
      </c>
    </row>
    <row r="783" spans="1:16" x14ac:dyDescent="0.2">
      <c r="A783" s="58" t="e">
        <f t="shared" ref="A783:A846" si="12">HOUR(B783)&amp;":"&amp;MINUTE(B783)</f>
        <v>#VALUE!</v>
      </c>
      <c r="B783" s="144" t="str">
        <f>IF(ISBLANK(DaqBook_RAW_Data!Q773),IF(DaqBook_RAW_Data!A773="","",TIMEVALUE(DaqBook_RAW_Data!A773)),TIMEVALUE(DaqBook_RAW_Data!Q773))</f>
        <v/>
      </c>
      <c r="C783" s="167" t="str">
        <f>IF(ISBLANK(DaqBook_RAW_Data!R773),"",DaqBook_RAW_Data!R773)</f>
        <v/>
      </c>
      <c r="D783" s="167" t="str">
        <f>IF(ISBLANK(DaqBook_RAW_Data!S773),"",DaqBook_RAW_Data!S773)</f>
        <v/>
      </c>
      <c r="E783" s="167" t="str">
        <f>IF(ISBLANK(DaqBook_RAW_Data!T773),"",DaqBook_RAW_Data!T773)</f>
        <v/>
      </c>
      <c r="F783" s="167" t="str">
        <f>IF(ISBLANK(DaqBook_RAW_Data!U773),"",DaqBook_RAW_Data!U773)</f>
        <v/>
      </c>
      <c r="G783" s="167" t="str">
        <f>IF(ISBLANK(DaqBook_RAW_Data!V773),"",DaqBook_RAW_Data!V773)</f>
        <v/>
      </c>
      <c r="H783" s="167" t="str">
        <f>IF(ISBLANK(DaqBook_RAW_Data!W773),"",DaqBook_RAW_Data!W773)</f>
        <v/>
      </c>
      <c r="I783" s="167" t="str">
        <f>IF(ISBLANK(DaqBook_RAW_Data!X773),"",DaqBook_RAW_Data!X773)</f>
        <v/>
      </c>
      <c r="J783" s="167" t="str">
        <f>IF(ISBLANK(DaqBook_RAW_Data!Y773),"",DaqBook_RAW_Data!Y773)</f>
        <v/>
      </c>
      <c r="K783" s="167" t="str">
        <f>IF(ISBLANK(DaqBook_RAW_Data!Z773),"",DaqBook_RAW_Data!Z773)</f>
        <v/>
      </c>
      <c r="L783" s="167" t="str">
        <f>IF(ISBLANK(DaqBook_RAW_Data!AA773),"",DaqBook_RAW_Data!AA773)</f>
        <v/>
      </c>
      <c r="M783" s="167" t="str">
        <f>IF(ISBLANK(DaqBook_RAW_Data!AB773),"",DaqBook_RAW_Data!AB773)</f>
        <v/>
      </c>
      <c r="N783" s="167" t="str">
        <f>IF(ISBLANK(DaqBook_RAW_Data!AC773),"",DaqBook_RAW_Data!AC773)</f>
        <v/>
      </c>
      <c r="O783" s="167" t="str">
        <f>IF(ISBLANK(DaqBook_RAW_Data!AD773),"",DaqBook_RAW_Data!AD773)</f>
        <v/>
      </c>
      <c r="P783" s="167" t="str">
        <f>IF(ISBLANK(DaqBook_RAW_Data!AE773),"",DaqBook_RAW_Data!AE773)</f>
        <v/>
      </c>
    </row>
    <row r="784" spans="1:16" x14ac:dyDescent="0.2">
      <c r="A784" s="58" t="e">
        <f t="shared" si="12"/>
        <v>#VALUE!</v>
      </c>
      <c r="B784" s="144" t="str">
        <f>IF(ISBLANK(DaqBook_RAW_Data!Q774),IF(DaqBook_RAW_Data!A774="","",TIMEVALUE(DaqBook_RAW_Data!A774)),TIMEVALUE(DaqBook_RAW_Data!Q774))</f>
        <v/>
      </c>
      <c r="C784" s="167" t="str">
        <f>IF(ISBLANK(DaqBook_RAW_Data!R774),"",DaqBook_RAW_Data!R774)</f>
        <v/>
      </c>
      <c r="D784" s="167" t="str">
        <f>IF(ISBLANK(DaqBook_RAW_Data!S774),"",DaqBook_RAW_Data!S774)</f>
        <v/>
      </c>
      <c r="E784" s="167" t="str">
        <f>IF(ISBLANK(DaqBook_RAW_Data!T774),"",DaqBook_RAW_Data!T774)</f>
        <v/>
      </c>
      <c r="F784" s="167" t="str">
        <f>IF(ISBLANK(DaqBook_RAW_Data!U774),"",DaqBook_RAW_Data!U774)</f>
        <v/>
      </c>
      <c r="G784" s="167" t="str">
        <f>IF(ISBLANK(DaqBook_RAW_Data!V774),"",DaqBook_RAW_Data!V774)</f>
        <v/>
      </c>
      <c r="H784" s="167" t="str">
        <f>IF(ISBLANK(DaqBook_RAW_Data!W774),"",DaqBook_RAW_Data!W774)</f>
        <v/>
      </c>
      <c r="I784" s="167" t="str">
        <f>IF(ISBLANK(DaqBook_RAW_Data!X774),"",DaqBook_RAW_Data!X774)</f>
        <v/>
      </c>
      <c r="J784" s="167" t="str">
        <f>IF(ISBLANK(DaqBook_RAW_Data!Y774),"",DaqBook_RAW_Data!Y774)</f>
        <v/>
      </c>
      <c r="K784" s="167" t="str">
        <f>IF(ISBLANK(DaqBook_RAW_Data!Z774),"",DaqBook_RAW_Data!Z774)</f>
        <v/>
      </c>
      <c r="L784" s="167" t="str">
        <f>IF(ISBLANK(DaqBook_RAW_Data!AA774),"",DaqBook_RAW_Data!AA774)</f>
        <v/>
      </c>
      <c r="M784" s="167" t="str">
        <f>IF(ISBLANK(DaqBook_RAW_Data!AB774),"",DaqBook_RAW_Data!AB774)</f>
        <v/>
      </c>
      <c r="N784" s="167" t="str">
        <f>IF(ISBLANK(DaqBook_RAW_Data!AC774),"",DaqBook_RAW_Data!AC774)</f>
        <v/>
      </c>
      <c r="O784" s="167" t="str">
        <f>IF(ISBLANK(DaqBook_RAW_Data!AD774),"",DaqBook_RAW_Data!AD774)</f>
        <v/>
      </c>
      <c r="P784" s="167" t="str">
        <f>IF(ISBLANK(DaqBook_RAW_Data!AE774),"",DaqBook_RAW_Data!AE774)</f>
        <v/>
      </c>
    </row>
    <row r="785" spans="1:16" x14ac:dyDescent="0.2">
      <c r="A785" s="58" t="e">
        <f t="shared" si="12"/>
        <v>#VALUE!</v>
      </c>
      <c r="B785" s="144" t="str">
        <f>IF(ISBLANK(DaqBook_RAW_Data!Q775),IF(DaqBook_RAW_Data!A775="","",TIMEVALUE(DaqBook_RAW_Data!A775)),TIMEVALUE(DaqBook_RAW_Data!Q775))</f>
        <v/>
      </c>
      <c r="C785" s="167" t="str">
        <f>IF(ISBLANK(DaqBook_RAW_Data!R775),"",DaqBook_RAW_Data!R775)</f>
        <v/>
      </c>
      <c r="D785" s="167" t="str">
        <f>IF(ISBLANK(DaqBook_RAW_Data!S775),"",DaqBook_RAW_Data!S775)</f>
        <v/>
      </c>
      <c r="E785" s="167" t="str">
        <f>IF(ISBLANK(DaqBook_RAW_Data!T775),"",DaqBook_RAW_Data!T775)</f>
        <v/>
      </c>
      <c r="F785" s="167" t="str">
        <f>IF(ISBLANK(DaqBook_RAW_Data!U775),"",DaqBook_RAW_Data!U775)</f>
        <v/>
      </c>
      <c r="G785" s="167" t="str">
        <f>IF(ISBLANK(DaqBook_RAW_Data!V775),"",DaqBook_RAW_Data!V775)</f>
        <v/>
      </c>
      <c r="H785" s="167" t="str">
        <f>IF(ISBLANK(DaqBook_RAW_Data!W775),"",DaqBook_RAW_Data!W775)</f>
        <v/>
      </c>
      <c r="I785" s="167" t="str">
        <f>IF(ISBLANK(DaqBook_RAW_Data!X775),"",DaqBook_RAW_Data!X775)</f>
        <v/>
      </c>
      <c r="J785" s="167" t="str">
        <f>IF(ISBLANK(DaqBook_RAW_Data!Y775),"",DaqBook_RAW_Data!Y775)</f>
        <v/>
      </c>
      <c r="K785" s="167" t="str">
        <f>IF(ISBLANK(DaqBook_RAW_Data!Z775),"",DaqBook_RAW_Data!Z775)</f>
        <v/>
      </c>
      <c r="L785" s="167" t="str">
        <f>IF(ISBLANK(DaqBook_RAW_Data!AA775),"",DaqBook_RAW_Data!AA775)</f>
        <v/>
      </c>
      <c r="M785" s="167" t="str">
        <f>IF(ISBLANK(DaqBook_RAW_Data!AB775),"",DaqBook_RAW_Data!AB775)</f>
        <v/>
      </c>
      <c r="N785" s="167" t="str">
        <f>IF(ISBLANK(DaqBook_RAW_Data!AC775),"",DaqBook_RAW_Data!AC775)</f>
        <v/>
      </c>
      <c r="O785" s="167" t="str">
        <f>IF(ISBLANK(DaqBook_RAW_Data!AD775),"",DaqBook_RAW_Data!AD775)</f>
        <v/>
      </c>
      <c r="P785" s="167" t="str">
        <f>IF(ISBLANK(DaqBook_RAW_Data!AE775),"",DaqBook_RAW_Data!AE775)</f>
        <v/>
      </c>
    </row>
    <row r="786" spans="1:16" x14ac:dyDescent="0.2">
      <c r="A786" s="58" t="e">
        <f t="shared" si="12"/>
        <v>#VALUE!</v>
      </c>
      <c r="B786" s="144" t="str">
        <f>IF(ISBLANK(DaqBook_RAW_Data!Q776),IF(DaqBook_RAW_Data!A776="","",TIMEVALUE(DaqBook_RAW_Data!A776)),TIMEVALUE(DaqBook_RAW_Data!Q776))</f>
        <v/>
      </c>
      <c r="C786" s="167" t="str">
        <f>IF(ISBLANK(DaqBook_RAW_Data!R776),"",DaqBook_RAW_Data!R776)</f>
        <v/>
      </c>
      <c r="D786" s="167" t="str">
        <f>IF(ISBLANK(DaqBook_RAW_Data!S776),"",DaqBook_RAW_Data!S776)</f>
        <v/>
      </c>
      <c r="E786" s="167" t="str">
        <f>IF(ISBLANK(DaqBook_RAW_Data!T776),"",DaqBook_RAW_Data!T776)</f>
        <v/>
      </c>
      <c r="F786" s="167" t="str">
        <f>IF(ISBLANK(DaqBook_RAW_Data!U776),"",DaqBook_RAW_Data!U776)</f>
        <v/>
      </c>
      <c r="G786" s="167" t="str">
        <f>IF(ISBLANK(DaqBook_RAW_Data!V776),"",DaqBook_RAW_Data!V776)</f>
        <v/>
      </c>
      <c r="H786" s="167" t="str">
        <f>IF(ISBLANK(DaqBook_RAW_Data!W776),"",DaqBook_RAW_Data!W776)</f>
        <v/>
      </c>
      <c r="I786" s="167" t="str">
        <f>IF(ISBLANK(DaqBook_RAW_Data!X776),"",DaqBook_RAW_Data!X776)</f>
        <v/>
      </c>
      <c r="J786" s="167" t="str">
        <f>IF(ISBLANK(DaqBook_RAW_Data!Y776),"",DaqBook_RAW_Data!Y776)</f>
        <v/>
      </c>
      <c r="K786" s="167" t="str">
        <f>IF(ISBLANK(DaqBook_RAW_Data!Z776),"",DaqBook_RAW_Data!Z776)</f>
        <v/>
      </c>
      <c r="L786" s="167" t="str">
        <f>IF(ISBLANK(DaqBook_RAW_Data!AA776),"",DaqBook_RAW_Data!AA776)</f>
        <v/>
      </c>
      <c r="M786" s="167" t="str">
        <f>IF(ISBLANK(DaqBook_RAW_Data!AB776),"",DaqBook_RAW_Data!AB776)</f>
        <v/>
      </c>
      <c r="N786" s="167" t="str">
        <f>IF(ISBLANK(DaqBook_RAW_Data!AC776),"",DaqBook_RAW_Data!AC776)</f>
        <v/>
      </c>
      <c r="O786" s="167" t="str">
        <f>IF(ISBLANK(DaqBook_RAW_Data!AD776),"",DaqBook_RAW_Data!AD776)</f>
        <v/>
      </c>
      <c r="P786" s="167" t="str">
        <f>IF(ISBLANK(DaqBook_RAW_Data!AE776),"",DaqBook_RAW_Data!AE776)</f>
        <v/>
      </c>
    </row>
    <row r="787" spans="1:16" x14ac:dyDescent="0.2">
      <c r="A787" s="58" t="e">
        <f t="shared" si="12"/>
        <v>#VALUE!</v>
      </c>
      <c r="B787" s="144" t="str">
        <f>IF(ISBLANK(DaqBook_RAW_Data!Q777),IF(DaqBook_RAW_Data!A777="","",TIMEVALUE(DaqBook_RAW_Data!A777)),TIMEVALUE(DaqBook_RAW_Data!Q777))</f>
        <v/>
      </c>
      <c r="C787" s="167" t="str">
        <f>IF(ISBLANK(DaqBook_RAW_Data!R777),"",DaqBook_RAW_Data!R777)</f>
        <v/>
      </c>
      <c r="D787" s="167" t="str">
        <f>IF(ISBLANK(DaqBook_RAW_Data!S777),"",DaqBook_RAW_Data!S777)</f>
        <v/>
      </c>
      <c r="E787" s="167" t="str">
        <f>IF(ISBLANK(DaqBook_RAW_Data!T777),"",DaqBook_RAW_Data!T777)</f>
        <v/>
      </c>
      <c r="F787" s="167" t="str">
        <f>IF(ISBLANK(DaqBook_RAW_Data!U777),"",DaqBook_RAW_Data!U777)</f>
        <v/>
      </c>
      <c r="G787" s="167" t="str">
        <f>IF(ISBLANK(DaqBook_RAW_Data!V777),"",DaqBook_RAW_Data!V777)</f>
        <v/>
      </c>
      <c r="H787" s="167" t="str">
        <f>IF(ISBLANK(DaqBook_RAW_Data!W777),"",DaqBook_RAW_Data!W777)</f>
        <v/>
      </c>
      <c r="I787" s="167" t="str">
        <f>IF(ISBLANK(DaqBook_RAW_Data!X777),"",DaqBook_RAW_Data!X777)</f>
        <v/>
      </c>
      <c r="J787" s="167" t="str">
        <f>IF(ISBLANK(DaqBook_RAW_Data!Y777),"",DaqBook_RAW_Data!Y777)</f>
        <v/>
      </c>
      <c r="K787" s="167" t="str">
        <f>IF(ISBLANK(DaqBook_RAW_Data!Z777),"",DaqBook_RAW_Data!Z777)</f>
        <v/>
      </c>
      <c r="L787" s="167" t="str">
        <f>IF(ISBLANK(DaqBook_RAW_Data!AA777),"",DaqBook_RAW_Data!AA777)</f>
        <v/>
      </c>
      <c r="M787" s="167" t="str">
        <f>IF(ISBLANK(DaqBook_RAW_Data!AB777),"",DaqBook_RAW_Data!AB777)</f>
        <v/>
      </c>
      <c r="N787" s="167" t="str">
        <f>IF(ISBLANK(DaqBook_RAW_Data!AC777),"",DaqBook_RAW_Data!AC777)</f>
        <v/>
      </c>
      <c r="O787" s="167" t="str">
        <f>IF(ISBLANK(DaqBook_RAW_Data!AD777),"",DaqBook_RAW_Data!AD777)</f>
        <v/>
      </c>
      <c r="P787" s="167" t="str">
        <f>IF(ISBLANK(DaqBook_RAW_Data!AE777),"",DaqBook_RAW_Data!AE777)</f>
        <v/>
      </c>
    </row>
    <row r="788" spans="1:16" x14ac:dyDescent="0.2">
      <c r="A788" s="58" t="e">
        <f t="shared" si="12"/>
        <v>#VALUE!</v>
      </c>
      <c r="B788" s="144" t="str">
        <f>IF(ISBLANK(DaqBook_RAW_Data!Q778),IF(DaqBook_RAW_Data!A778="","",TIMEVALUE(DaqBook_RAW_Data!A778)),TIMEVALUE(DaqBook_RAW_Data!Q778))</f>
        <v/>
      </c>
      <c r="C788" s="167" t="str">
        <f>IF(ISBLANK(DaqBook_RAW_Data!R778),"",DaqBook_RAW_Data!R778)</f>
        <v/>
      </c>
      <c r="D788" s="167" t="str">
        <f>IF(ISBLANK(DaqBook_RAW_Data!S778),"",DaqBook_RAW_Data!S778)</f>
        <v/>
      </c>
      <c r="E788" s="167" t="str">
        <f>IF(ISBLANK(DaqBook_RAW_Data!T778),"",DaqBook_RAW_Data!T778)</f>
        <v/>
      </c>
      <c r="F788" s="167" t="str">
        <f>IF(ISBLANK(DaqBook_RAW_Data!U778),"",DaqBook_RAW_Data!U778)</f>
        <v/>
      </c>
      <c r="G788" s="167" t="str">
        <f>IF(ISBLANK(DaqBook_RAW_Data!V778),"",DaqBook_RAW_Data!V778)</f>
        <v/>
      </c>
      <c r="H788" s="167" t="str">
        <f>IF(ISBLANK(DaqBook_RAW_Data!W778),"",DaqBook_RAW_Data!W778)</f>
        <v/>
      </c>
      <c r="I788" s="167" t="str">
        <f>IF(ISBLANK(DaqBook_RAW_Data!X778),"",DaqBook_RAW_Data!X778)</f>
        <v/>
      </c>
      <c r="J788" s="167" t="str">
        <f>IF(ISBLANK(DaqBook_RAW_Data!Y778),"",DaqBook_RAW_Data!Y778)</f>
        <v/>
      </c>
      <c r="K788" s="167" t="str">
        <f>IF(ISBLANK(DaqBook_RAW_Data!Z778),"",DaqBook_RAW_Data!Z778)</f>
        <v/>
      </c>
      <c r="L788" s="167" t="str">
        <f>IF(ISBLANK(DaqBook_RAW_Data!AA778),"",DaqBook_RAW_Data!AA778)</f>
        <v/>
      </c>
      <c r="M788" s="167" t="str">
        <f>IF(ISBLANK(DaqBook_RAW_Data!AB778),"",DaqBook_RAW_Data!AB778)</f>
        <v/>
      </c>
      <c r="N788" s="167" t="str">
        <f>IF(ISBLANK(DaqBook_RAW_Data!AC778),"",DaqBook_RAW_Data!AC778)</f>
        <v/>
      </c>
      <c r="O788" s="167" t="str">
        <f>IF(ISBLANK(DaqBook_RAW_Data!AD778),"",DaqBook_RAW_Data!AD778)</f>
        <v/>
      </c>
      <c r="P788" s="167" t="str">
        <f>IF(ISBLANK(DaqBook_RAW_Data!AE778),"",DaqBook_RAW_Data!AE778)</f>
        <v/>
      </c>
    </row>
    <row r="789" spans="1:16" x14ac:dyDescent="0.2">
      <c r="A789" s="58" t="e">
        <f t="shared" si="12"/>
        <v>#VALUE!</v>
      </c>
      <c r="B789" s="144" t="str">
        <f>IF(ISBLANK(DaqBook_RAW_Data!Q779),IF(DaqBook_RAW_Data!A779="","",TIMEVALUE(DaqBook_RAW_Data!A779)),TIMEVALUE(DaqBook_RAW_Data!Q779))</f>
        <v/>
      </c>
      <c r="C789" s="167" t="str">
        <f>IF(ISBLANK(DaqBook_RAW_Data!R779),"",DaqBook_RAW_Data!R779)</f>
        <v/>
      </c>
      <c r="D789" s="167" t="str">
        <f>IF(ISBLANK(DaqBook_RAW_Data!S779),"",DaqBook_RAW_Data!S779)</f>
        <v/>
      </c>
      <c r="E789" s="167" t="str">
        <f>IF(ISBLANK(DaqBook_RAW_Data!T779),"",DaqBook_RAW_Data!T779)</f>
        <v/>
      </c>
      <c r="F789" s="167" t="str">
        <f>IF(ISBLANK(DaqBook_RAW_Data!U779),"",DaqBook_RAW_Data!U779)</f>
        <v/>
      </c>
      <c r="G789" s="167" t="str">
        <f>IF(ISBLANK(DaqBook_RAW_Data!V779),"",DaqBook_RAW_Data!V779)</f>
        <v/>
      </c>
      <c r="H789" s="167" t="str">
        <f>IF(ISBLANK(DaqBook_RAW_Data!W779),"",DaqBook_RAW_Data!W779)</f>
        <v/>
      </c>
      <c r="I789" s="167" t="str">
        <f>IF(ISBLANK(DaqBook_RAW_Data!X779),"",DaqBook_RAW_Data!X779)</f>
        <v/>
      </c>
      <c r="J789" s="167" t="str">
        <f>IF(ISBLANK(DaqBook_RAW_Data!Y779),"",DaqBook_RAW_Data!Y779)</f>
        <v/>
      </c>
      <c r="K789" s="167" t="str">
        <f>IF(ISBLANK(DaqBook_RAW_Data!Z779),"",DaqBook_RAW_Data!Z779)</f>
        <v/>
      </c>
      <c r="L789" s="167" t="str">
        <f>IF(ISBLANK(DaqBook_RAW_Data!AA779),"",DaqBook_RAW_Data!AA779)</f>
        <v/>
      </c>
      <c r="M789" s="167" t="str">
        <f>IF(ISBLANK(DaqBook_RAW_Data!AB779),"",DaqBook_RAW_Data!AB779)</f>
        <v/>
      </c>
      <c r="N789" s="167" t="str">
        <f>IF(ISBLANK(DaqBook_RAW_Data!AC779),"",DaqBook_RAW_Data!AC779)</f>
        <v/>
      </c>
      <c r="O789" s="167" t="str">
        <f>IF(ISBLANK(DaqBook_RAW_Data!AD779),"",DaqBook_RAW_Data!AD779)</f>
        <v/>
      </c>
      <c r="P789" s="167" t="str">
        <f>IF(ISBLANK(DaqBook_RAW_Data!AE779),"",DaqBook_RAW_Data!AE779)</f>
        <v/>
      </c>
    </row>
    <row r="790" spans="1:16" x14ac:dyDescent="0.2">
      <c r="A790" s="58" t="e">
        <f t="shared" si="12"/>
        <v>#VALUE!</v>
      </c>
      <c r="B790" s="144" t="str">
        <f>IF(ISBLANK(DaqBook_RAW_Data!Q780),IF(DaqBook_RAW_Data!A780="","",TIMEVALUE(DaqBook_RAW_Data!A780)),TIMEVALUE(DaqBook_RAW_Data!Q780))</f>
        <v/>
      </c>
      <c r="C790" s="167" t="str">
        <f>IF(ISBLANK(DaqBook_RAW_Data!R780),"",DaqBook_RAW_Data!R780)</f>
        <v/>
      </c>
      <c r="D790" s="167" t="str">
        <f>IF(ISBLANK(DaqBook_RAW_Data!S780),"",DaqBook_RAW_Data!S780)</f>
        <v/>
      </c>
      <c r="E790" s="167" t="str">
        <f>IF(ISBLANK(DaqBook_RAW_Data!T780),"",DaqBook_RAW_Data!T780)</f>
        <v/>
      </c>
      <c r="F790" s="167" t="str">
        <f>IF(ISBLANK(DaqBook_RAW_Data!U780),"",DaqBook_RAW_Data!U780)</f>
        <v/>
      </c>
      <c r="G790" s="167" t="str">
        <f>IF(ISBLANK(DaqBook_RAW_Data!V780),"",DaqBook_RAW_Data!V780)</f>
        <v/>
      </c>
      <c r="H790" s="167" t="str">
        <f>IF(ISBLANK(DaqBook_RAW_Data!W780),"",DaqBook_RAW_Data!W780)</f>
        <v/>
      </c>
      <c r="I790" s="167" t="str">
        <f>IF(ISBLANK(DaqBook_RAW_Data!X780),"",DaqBook_RAW_Data!X780)</f>
        <v/>
      </c>
      <c r="J790" s="167" t="str">
        <f>IF(ISBLANK(DaqBook_RAW_Data!Y780),"",DaqBook_RAW_Data!Y780)</f>
        <v/>
      </c>
      <c r="K790" s="167" t="str">
        <f>IF(ISBLANK(DaqBook_RAW_Data!Z780),"",DaqBook_RAW_Data!Z780)</f>
        <v/>
      </c>
      <c r="L790" s="167" t="str">
        <f>IF(ISBLANK(DaqBook_RAW_Data!AA780),"",DaqBook_RAW_Data!AA780)</f>
        <v/>
      </c>
      <c r="M790" s="167" t="str">
        <f>IF(ISBLANK(DaqBook_RAW_Data!AB780),"",DaqBook_RAW_Data!AB780)</f>
        <v/>
      </c>
      <c r="N790" s="167" t="str">
        <f>IF(ISBLANK(DaqBook_RAW_Data!AC780),"",DaqBook_RAW_Data!AC780)</f>
        <v/>
      </c>
      <c r="O790" s="167" t="str">
        <f>IF(ISBLANK(DaqBook_RAW_Data!AD780),"",DaqBook_RAW_Data!AD780)</f>
        <v/>
      </c>
      <c r="P790" s="167" t="str">
        <f>IF(ISBLANK(DaqBook_RAW_Data!AE780),"",DaqBook_RAW_Data!AE780)</f>
        <v/>
      </c>
    </row>
    <row r="791" spans="1:16" x14ac:dyDescent="0.2">
      <c r="A791" s="58" t="e">
        <f t="shared" si="12"/>
        <v>#VALUE!</v>
      </c>
      <c r="B791" s="144" t="str">
        <f>IF(ISBLANK(DaqBook_RAW_Data!Q781),IF(DaqBook_RAW_Data!A781="","",TIMEVALUE(DaqBook_RAW_Data!A781)),TIMEVALUE(DaqBook_RAW_Data!Q781))</f>
        <v/>
      </c>
      <c r="C791" s="167" t="str">
        <f>IF(ISBLANK(DaqBook_RAW_Data!R781),"",DaqBook_RAW_Data!R781)</f>
        <v/>
      </c>
      <c r="D791" s="167" t="str">
        <f>IF(ISBLANK(DaqBook_RAW_Data!S781),"",DaqBook_RAW_Data!S781)</f>
        <v/>
      </c>
      <c r="E791" s="167" t="str">
        <f>IF(ISBLANK(DaqBook_RAW_Data!T781),"",DaqBook_RAW_Data!T781)</f>
        <v/>
      </c>
      <c r="F791" s="167" t="str">
        <f>IF(ISBLANK(DaqBook_RAW_Data!U781),"",DaqBook_RAW_Data!U781)</f>
        <v/>
      </c>
      <c r="G791" s="167" t="str">
        <f>IF(ISBLANK(DaqBook_RAW_Data!V781),"",DaqBook_RAW_Data!V781)</f>
        <v/>
      </c>
      <c r="H791" s="167" t="str">
        <f>IF(ISBLANK(DaqBook_RAW_Data!W781),"",DaqBook_RAW_Data!W781)</f>
        <v/>
      </c>
      <c r="I791" s="167" t="str">
        <f>IF(ISBLANK(DaqBook_RAW_Data!X781),"",DaqBook_RAW_Data!X781)</f>
        <v/>
      </c>
      <c r="J791" s="167" t="str">
        <f>IF(ISBLANK(DaqBook_RAW_Data!Y781),"",DaqBook_RAW_Data!Y781)</f>
        <v/>
      </c>
      <c r="K791" s="167" t="str">
        <f>IF(ISBLANK(DaqBook_RAW_Data!Z781),"",DaqBook_RAW_Data!Z781)</f>
        <v/>
      </c>
      <c r="L791" s="167" t="str">
        <f>IF(ISBLANK(DaqBook_RAW_Data!AA781),"",DaqBook_RAW_Data!AA781)</f>
        <v/>
      </c>
      <c r="M791" s="167" t="str">
        <f>IF(ISBLANK(DaqBook_RAW_Data!AB781),"",DaqBook_RAW_Data!AB781)</f>
        <v/>
      </c>
      <c r="N791" s="167" t="str">
        <f>IF(ISBLANK(DaqBook_RAW_Data!AC781),"",DaqBook_RAW_Data!AC781)</f>
        <v/>
      </c>
      <c r="O791" s="167" t="str">
        <f>IF(ISBLANK(DaqBook_RAW_Data!AD781),"",DaqBook_RAW_Data!AD781)</f>
        <v/>
      </c>
      <c r="P791" s="167" t="str">
        <f>IF(ISBLANK(DaqBook_RAW_Data!AE781),"",DaqBook_RAW_Data!AE781)</f>
        <v/>
      </c>
    </row>
    <row r="792" spans="1:16" x14ac:dyDescent="0.2">
      <c r="A792" s="58" t="e">
        <f t="shared" si="12"/>
        <v>#VALUE!</v>
      </c>
      <c r="B792" s="144" t="str">
        <f>IF(ISBLANK(DaqBook_RAW_Data!Q782),IF(DaqBook_RAW_Data!A782="","",TIMEVALUE(DaqBook_RAW_Data!A782)),TIMEVALUE(DaqBook_RAW_Data!Q782))</f>
        <v/>
      </c>
      <c r="C792" s="167" t="str">
        <f>IF(ISBLANK(DaqBook_RAW_Data!R782),"",DaqBook_RAW_Data!R782)</f>
        <v/>
      </c>
      <c r="D792" s="167" t="str">
        <f>IF(ISBLANK(DaqBook_RAW_Data!S782),"",DaqBook_RAW_Data!S782)</f>
        <v/>
      </c>
      <c r="E792" s="167" t="str">
        <f>IF(ISBLANK(DaqBook_RAW_Data!T782),"",DaqBook_RAW_Data!T782)</f>
        <v/>
      </c>
      <c r="F792" s="167" t="str">
        <f>IF(ISBLANK(DaqBook_RAW_Data!U782),"",DaqBook_RAW_Data!U782)</f>
        <v/>
      </c>
      <c r="G792" s="167" t="str">
        <f>IF(ISBLANK(DaqBook_RAW_Data!V782),"",DaqBook_RAW_Data!V782)</f>
        <v/>
      </c>
      <c r="H792" s="167" t="str">
        <f>IF(ISBLANK(DaqBook_RAW_Data!W782),"",DaqBook_RAW_Data!W782)</f>
        <v/>
      </c>
      <c r="I792" s="167" t="str">
        <f>IF(ISBLANK(DaqBook_RAW_Data!X782),"",DaqBook_RAW_Data!X782)</f>
        <v/>
      </c>
      <c r="J792" s="167" t="str">
        <f>IF(ISBLANK(DaqBook_RAW_Data!Y782),"",DaqBook_RAW_Data!Y782)</f>
        <v/>
      </c>
      <c r="K792" s="167" t="str">
        <f>IF(ISBLANK(DaqBook_RAW_Data!Z782),"",DaqBook_RAW_Data!Z782)</f>
        <v/>
      </c>
      <c r="L792" s="167" t="str">
        <f>IF(ISBLANK(DaqBook_RAW_Data!AA782),"",DaqBook_RAW_Data!AA782)</f>
        <v/>
      </c>
      <c r="M792" s="167" t="str">
        <f>IF(ISBLANK(DaqBook_RAW_Data!AB782),"",DaqBook_RAW_Data!AB782)</f>
        <v/>
      </c>
      <c r="N792" s="167" t="str">
        <f>IF(ISBLANK(DaqBook_RAW_Data!AC782),"",DaqBook_RAW_Data!AC782)</f>
        <v/>
      </c>
      <c r="O792" s="167" t="str">
        <f>IF(ISBLANK(DaqBook_RAW_Data!AD782),"",DaqBook_RAW_Data!AD782)</f>
        <v/>
      </c>
      <c r="P792" s="167" t="str">
        <f>IF(ISBLANK(DaqBook_RAW_Data!AE782),"",DaqBook_RAW_Data!AE782)</f>
        <v/>
      </c>
    </row>
    <row r="793" spans="1:16" x14ac:dyDescent="0.2">
      <c r="A793" s="58" t="e">
        <f t="shared" si="12"/>
        <v>#VALUE!</v>
      </c>
      <c r="B793" s="144" t="str">
        <f>IF(ISBLANK(DaqBook_RAW_Data!Q783),IF(DaqBook_RAW_Data!A783="","",TIMEVALUE(DaqBook_RAW_Data!A783)),TIMEVALUE(DaqBook_RAW_Data!Q783))</f>
        <v/>
      </c>
      <c r="C793" s="167" t="str">
        <f>IF(ISBLANK(DaqBook_RAW_Data!R783),"",DaqBook_RAW_Data!R783)</f>
        <v/>
      </c>
      <c r="D793" s="167" t="str">
        <f>IF(ISBLANK(DaqBook_RAW_Data!S783),"",DaqBook_RAW_Data!S783)</f>
        <v/>
      </c>
      <c r="E793" s="167" t="str">
        <f>IF(ISBLANK(DaqBook_RAW_Data!T783),"",DaqBook_RAW_Data!T783)</f>
        <v/>
      </c>
      <c r="F793" s="167" t="str">
        <f>IF(ISBLANK(DaqBook_RAW_Data!U783),"",DaqBook_RAW_Data!U783)</f>
        <v/>
      </c>
      <c r="G793" s="167" t="str">
        <f>IF(ISBLANK(DaqBook_RAW_Data!V783),"",DaqBook_RAW_Data!V783)</f>
        <v/>
      </c>
      <c r="H793" s="167" t="str">
        <f>IF(ISBLANK(DaqBook_RAW_Data!W783),"",DaqBook_RAW_Data!W783)</f>
        <v/>
      </c>
      <c r="I793" s="167" t="str">
        <f>IF(ISBLANK(DaqBook_RAW_Data!X783),"",DaqBook_RAW_Data!X783)</f>
        <v/>
      </c>
      <c r="J793" s="167" t="str">
        <f>IF(ISBLANK(DaqBook_RAW_Data!Y783),"",DaqBook_RAW_Data!Y783)</f>
        <v/>
      </c>
      <c r="K793" s="167" t="str">
        <f>IF(ISBLANK(DaqBook_RAW_Data!Z783),"",DaqBook_RAW_Data!Z783)</f>
        <v/>
      </c>
      <c r="L793" s="167" t="str">
        <f>IF(ISBLANK(DaqBook_RAW_Data!AA783),"",DaqBook_RAW_Data!AA783)</f>
        <v/>
      </c>
      <c r="M793" s="167" t="str">
        <f>IF(ISBLANK(DaqBook_RAW_Data!AB783),"",DaqBook_RAW_Data!AB783)</f>
        <v/>
      </c>
      <c r="N793" s="167" t="str">
        <f>IF(ISBLANK(DaqBook_RAW_Data!AC783),"",DaqBook_RAW_Data!AC783)</f>
        <v/>
      </c>
      <c r="O793" s="167" t="str">
        <f>IF(ISBLANK(DaqBook_RAW_Data!AD783),"",DaqBook_RAW_Data!AD783)</f>
        <v/>
      </c>
      <c r="P793" s="167" t="str">
        <f>IF(ISBLANK(DaqBook_RAW_Data!AE783),"",DaqBook_RAW_Data!AE783)</f>
        <v/>
      </c>
    </row>
    <row r="794" spans="1:16" x14ac:dyDescent="0.2">
      <c r="A794" s="58" t="e">
        <f t="shared" si="12"/>
        <v>#VALUE!</v>
      </c>
      <c r="B794" s="144" t="str">
        <f>IF(ISBLANK(DaqBook_RAW_Data!Q784),IF(DaqBook_RAW_Data!A784="","",TIMEVALUE(DaqBook_RAW_Data!A784)),TIMEVALUE(DaqBook_RAW_Data!Q784))</f>
        <v/>
      </c>
      <c r="C794" s="167" t="str">
        <f>IF(ISBLANK(DaqBook_RAW_Data!R784),"",DaqBook_RAW_Data!R784)</f>
        <v/>
      </c>
      <c r="D794" s="167" t="str">
        <f>IF(ISBLANK(DaqBook_RAW_Data!S784),"",DaqBook_RAW_Data!S784)</f>
        <v/>
      </c>
      <c r="E794" s="167" t="str">
        <f>IF(ISBLANK(DaqBook_RAW_Data!T784),"",DaqBook_RAW_Data!T784)</f>
        <v/>
      </c>
      <c r="F794" s="167" t="str">
        <f>IF(ISBLANK(DaqBook_RAW_Data!U784),"",DaqBook_RAW_Data!U784)</f>
        <v/>
      </c>
      <c r="G794" s="167" t="str">
        <f>IF(ISBLANK(DaqBook_RAW_Data!V784),"",DaqBook_RAW_Data!V784)</f>
        <v/>
      </c>
      <c r="H794" s="167" t="str">
        <f>IF(ISBLANK(DaqBook_RAW_Data!W784),"",DaqBook_RAW_Data!W784)</f>
        <v/>
      </c>
      <c r="I794" s="167" t="str">
        <f>IF(ISBLANK(DaqBook_RAW_Data!X784),"",DaqBook_RAW_Data!X784)</f>
        <v/>
      </c>
      <c r="J794" s="167" t="str">
        <f>IF(ISBLANK(DaqBook_RAW_Data!Y784),"",DaqBook_RAW_Data!Y784)</f>
        <v/>
      </c>
      <c r="K794" s="167" t="str">
        <f>IF(ISBLANK(DaqBook_RAW_Data!Z784),"",DaqBook_RAW_Data!Z784)</f>
        <v/>
      </c>
      <c r="L794" s="167" t="str">
        <f>IF(ISBLANK(DaqBook_RAW_Data!AA784),"",DaqBook_RAW_Data!AA784)</f>
        <v/>
      </c>
      <c r="M794" s="167" t="str">
        <f>IF(ISBLANK(DaqBook_RAW_Data!AB784),"",DaqBook_RAW_Data!AB784)</f>
        <v/>
      </c>
      <c r="N794" s="167" t="str">
        <f>IF(ISBLANK(DaqBook_RAW_Data!AC784),"",DaqBook_RAW_Data!AC784)</f>
        <v/>
      </c>
      <c r="O794" s="167" t="str">
        <f>IF(ISBLANK(DaqBook_RAW_Data!AD784),"",DaqBook_RAW_Data!AD784)</f>
        <v/>
      </c>
      <c r="P794" s="167" t="str">
        <f>IF(ISBLANK(DaqBook_RAW_Data!AE784),"",DaqBook_RAW_Data!AE784)</f>
        <v/>
      </c>
    </row>
    <row r="795" spans="1:16" x14ac:dyDescent="0.2">
      <c r="A795" s="58" t="e">
        <f t="shared" si="12"/>
        <v>#VALUE!</v>
      </c>
      <c r="B795" s="144" t="str">
        <f>IF(ISBLANK(DaqBook_RAW_Data!Q785),IF(DaqBook_RAW_Data!A785="","",TIMEVALUE(DaqBook_RAW_Data!A785)),TIMEVALUE(DaqBook_RAW_Data!Q785))</f>
        <v/>
      </c>
      <c r="C795" s="167" t="str">
        <f>IF(ISBLANK(DaqBook_RAW_Data!R785),"",DaqBook_RAW_Data!R785)</f>
        <v/>
      </c>
      <c r="D795" s="167" t="str">
        <f>IF(ISBLANK(DaqBook_RAW_Data!S785),"",DaqBook_RAW_Data!S785)</f>
        <v/>
      </c>
      <c r="E795" s="167" t="str">
        <f>IF(ISBLANK(DaqBook_RAW_Data!T785),"",DaqBook_RAW_Data!T785)</f>
        <v/>
      </c>
      <c r="F795" s="167" t="str">
        <f>IF(ISBLANK(DaqBook_RAW_Data!U785),"",DaqBook_RAW_Data!U785)</f>
        <v/>
      </c>
      <c r="G795" s="167" t="str">
        <f>IF(ISBLANK(DaqBook_RAW_Data!V785),"",DaqBook_RAW_Data!V785)</f>
        <v/>
      </c>
      <c r="H795" s="167" t="str">
        <f>IF(ISBLANK(DaqBook_RAW_Data!W785),"",DaqBook_RAW_Data!W785)</f>
        <v/>
      </c>
      <c r="I795" s="167" t="str">
        <f>IF(ISBLANK(DaqBook_RAW_Data!X785),"",DaqBook_RAW_Data!X785)</f>
        <v/>
      </c>
      <c r="J795" s="167" t="str">
        <f>IF(ISBLANK(DaqBook_RAW_Data!Y785),"",DaqBook_RAW_Data!Y785)</f>
        <v/>
      </c>
      <c r="K795" s="167" t="str">
        <f>IF(ISBLANK(DaqBook_RAW_Data!Z785),"",DaqBook_RAW_Data!Z785)</f>
        <v/>
      </c>
      <c r="L795" s="167" t="str">
        <f>IF(ISBLANK(DaqBook_RAW_Data!AA785),"",DaqBook_RAW_Data!AA785)</f>
        <v/>
      </c>
      <c r="M795" s="167" t="str">
        <f>IF(ISBLANK(DaqBook_RAW_Data!AB785),"",DaqBook_RAW_Data!AB785)</f>
        <v/>
      </c>
      <c r="N795" s="167" t="str">
        <f>IF(ISBLANK(DaqBook_RAW_Data!AC785),"",DaqBook_RAW_Data!AC785)</f>
        <v/>
      </c>
      <c r="O795" s="167" t="str">
        <f>IF(ISBLANK(DaqBook_RAW_Data!AD785),"",DaqBook_RAW_Data!AD785)</f>
        <v/>
      </c>
      <c r="P795" s="167" t="str">
        <f>IF(ISBLANK(DaqBook_RAW_Data!AE785),"",DaqBook_RAW_Data!AE785)</f>
        <v/>
      </c>
    </row>
    <row r="796" spans="1:16" x14ac:dyDescent="0.2">
      <c r="A796" s="58" t="e">
        <f t="shared" si="12"/>
        <v>#VALUE!</v>
      </c>
      <c r="B796" s="144" t="str">
        <f>IF(ISBLANK(DaqBook_RAW_Data!Q786),IF(DaqBook_RAW_Data!A786="","",TIMEVALUE(DaqBook_RAW_Data!A786)),TIMEVALUE(DaqBook_RAW_Data!Q786))</f>
        <v/>
      </c>
      <c r="C796" s="167" t="str">
        <f>IF(ISBLANK(DaqBook_RAW_Data!R786),"",DaqBook_RAW_Data!R786)</f>
        <v/>
      </c>
      <c r="D796" s="167" t="str">
        <f>IF(ISBLANK(DaqBook_RAW_Data!S786),"",DaqBook_RAW_Data!S786)</f>
        <v/>
      </c>
      <c r="E796" s="167" t="str">
        <f>IF(ISBLANK(DaqBook_RAW_Data!T786),"",DaqBook_RAW_Data!T786)</f>
        <v/>
      </c>
      <c r="F796" s="167" t="str">
        <f>IF(ISBLANK(DaqBook_RAW_Data!U786),"",DaqBook_RAW_Data!U786)</f>
        <v/>
      </c>
      <c r="G796" s="167" t="str">
        <f>IF(ISBLANK(DaqBook_RAW_Data!V786),"",DaqBook_RAW_Data!V786)</f>
        <v/>
      </c>
      <c r="H796" s="167" t="str">
        <f>IF(ISBLANK(DaqBook_RAW_Data!W786),"",DaqBook_RAW_Data!W786)</f>
        <v/>
      </c>
      <c r="I796" s="167" t="str">
        <f>IF(ISBLANK(DaqBook_RAW_Data!X786),"",DaqBook_RAW_Data!X786)</f>
        <v/>
      </c>
      <c r="J796" s="167" t="str">
        <f>IF(ISBLANK(DaqBook_RAW_Data!Y786),"",DaqBook_RAW_Data!Y786)</f>
        <v/>
      </c>
      <c r="K796" s="167" t="str">
        <f>IF(ISBLANK(DaqBook_RAW_Data!Z786),"",DaqBook_RAW_Data!Z786)</f>
        <v/>
      </c>
      <c r="L796" s="167" t="str">
        <f>IF(ISBLANK(DaqBook_RAW_Data!AA786),"",DaqBook_RAW_Data!AA786)</f>
        <v/>
      </c>
      <c r="M796" s="167" t="str">
        <f>IF(ISBLANK(DaqBook_RAW_Data!AB786),"",DaqBook_RAW_Data!AB786)</f>
        <v/>
      </c>
      <c r="N796" s="167" t="str">
        <f>IF(ISBLANK(DaqBook_RAW_Data!AC786),"",DaqBook_RAW_Data!AC786)</f>
        <v/>
      </c>
      <c r="O796" s="167" t="str">
        <f>IF(ISBLANK(DaqBook_RAW_Data!AD786),"",DaqBook_RAW_Data!AD786)</f>
        <v/>
      </c>
      <c r="P796" s="167" t="str">
        <f>IF(ISBLANK(DaqBook_RAW_Data!AE786),"",DaqBook_RAW_Data!AE786)</f>
        <v/>
      </c>
    </row>
    <row r="797" spans="1:16" x14ac:dyDescent="0.2">
      <c r="A797" s="58" t="e">
        <f t="shared" si="12"/>
        <v>#VALUE!</v>
      </c>
      <c r="B797" s="144" t="str">
        <f>IF(ISBLANK(DaqBook_RAW_Data!Q787),IF(DaqBook_RAW_Data!A787="","",TIMEVALUE(DaqBook_RAW_Data!A787)),TIMEVALUE(DaqBook_RAW_Data!Q787))</f>
        <v/>
      </c>
      <c r="C797" s="167" t="str">
        <f>IF(ISBLANK(DaqBook_RAW_Data!R787),"",DaqBook_RAW_Data!R787)</f>
        <v/>
      </c>
      <c r="D797" s="167" t="str">
        <f>IF(ISBLANK(DaqBook_RAW_Data!S787),"",DaqBook_RAW_Data!S787)</f>
        <v/>
      </c>
      <c r="E797" s="167" t="str">
        <f>IF(ISBLANK(DaqBook_RAW_Data!T787),"",DaqBook_RAW_Data!T787)</f>
        <v/>
      </c>
      <c r="F797" s="167" t="str">
        <f>IF(ISBLANK(DaqBook_RAW_Data!U787),"",DaqBook_RAW_Data!U787)</f>
        <v/>
      </c>
      <c r="G797" s="167" t="str">
        <f>IF(ISBLANK(DaqBook_RAW_Data!V787),"",DaqBook_RAW_Data!V787)</f>
        <v/>
      </c>
      <c r="H797" s="167" t="str">
        <f>IF(ISBLANK(DaqBook_RAW_Data!W787),"",DaqBook_RAW_Data!W787)</f>
        <v/>
      </c>
      <c r="I797" s="167" t="str">
        <f>IF(ISBLANK(DaqBook_RAW_Data!X787),"",DaqBook_RAW_Data!X787)</f>
        <v/>
      </c>
      <c r="J797" s="167" t="str">
        <f>IF(ISBLANK(DaqBook_RAW_Data!Y787),"",DaqBook_RAW_Data!Y787)</f>
        <v/>
      </c>
      <c r="K797" s="167" t="str">
        <f>IF(ISBLANK(DaqBook_RAW_Data!Z787),"",DaqBook_RAW_Data!Z787)</f>
        <v/>
      </c>
      <c r="L797" s="167" t="str">
        <f>IF(ISBLANK(DaqBook_RAW_Data!AA787),"",DaqBook_RAW_Data!AA787)</f>
        <v/>
      </c>
      <c r="M797" s="167" t="str">
        <f>IF(ISBLANK(DaqBook_RAW_Data!AB787),"",DaqBook_RAW_Data!AB787)</f>
        <v/>
      </c>
      <c r="N797" s="167" t="str">
        <f>IF(ISBLANK(DaqBook_RAW_Data!AC787),"",DaqBook_RAW_Data!AC787)</f>
        <v/>
      </c>
      <c r="O797" s="167" t="str">
        <f>IF(ISBLANK(DaqBook_RAW_Data!AD787),"",DaqBook_RAW_Data!AD787)</f>
        <v/>
      </c>
      <c r="P797" s="167" t="str">
        <f>IF(ISBLANK(DaqBook_RAW_Data!AE787),"",DaqBook_RAW_Data!AE787)</f>
        <v/>
      </c>
    </row>
    <row r="798" spans="1:16" x14ac:dyDescent="0.2">
      <c r="A798" s="58" t="e">
        <f t="shared" si="12"/>
        <v>#VALUE!</v>
      </c>
      <c r="B798" s="144" t="str">
        <f>IF(ISBLANK(DaqBook_RAW_Data!Q788),IF(DaqBook_RAW_Data!A788="","",TIMEVALUE(DaqBook_RAW_Data!A788)),TIMEVALUE(DaqBook_RAW_Data!Q788))</f>
        <v/>
      </c>
      <c r="C798" s="167" t="str">
        <f>IF(ISBLANK(DaqBook_RAW_Data!R788),"",DaqBook_RAW_Data!R788)</f>
        <v/>
      </c>
      <c r="D798" s="167" t="str">
        <f>IF(ISBLANK(DaqBook_RAW_Data!S788),"",DaqBook_RAW_Data!S788)</f>
        <v/>
      </c>
      <c r="E798" s="167" t="str">
        <f>IF(ISBLANK(DaqBook_RAW_Data!T788),"",DaqBook_RAW_Data!T788)</f>
        <v/>
      </c>
      <c r="F798" s="167" t="str">
        <f>IF(ISBLANK(DaqBook_RAW_Data!U788),"",DaqBook_RAW_Data!U788)</f>
        <v/>
      </c>
      <c r="G798" s="167" t="str">
        <f>IF(ISBLANK(DaqBook_RAW_Data!V788),"",DaqBook_RAW_Data!V788)</f>
        <v/>
      </c>
      <c r="H798" s="167" t="str">
        <f>IF(ISBLANK(DaqBook_RAW_Data!W788),"",DaqBook_RAW_Data!W788)</f>
        <v/>
      </c>
      <c r="I798" s="167" t="str">
        <f>IF(ISBLANK(DaqBook_RAW_Data!X788),"",DaqBook_RAW_Data!X788)</f>
        <v/>
      </c>
      <c r="J798" s="167" t="str">
        <f>IF(ISBLANK(DaqBook_RAW_Data!Y788),"",DaqBook_RAW_Data!Y788)</f>
        <v/>
      </c>
      <c r="K798" s="167" t="str">
        <f>IF(ISBLANK(DaqBook_RAW_Data!Z788),"",DaqBook_RAW_Data!Z788)</f>
        <v/>
      </c>
      <c r="L798" s="167" t="str">
        <f>IF(ISBLANK(DaqBook_RAW_Data!AA788),"",DaqBook_RAW_Data!AA788)</f>
        <v/>
      </c>
      <c r="M798" s="167" t="str">
        <f>IF(ISBLANK(DaqBook_RAW_Data!AB788),"",DaqBook_RAW_Data!AB788)</f>
        <v/>
      </c>
      <c r="N798" s="167" t="str">
        <f>IF(ISBLANK(DaqBook_RAW_Data!AC788),"",DaqBook_RAW_Data!AC788)</f>
        <v/>
      </c>
      <c r="O798" s="167" t="str">
        <f>IF(ISBLANK(DaqBook_RAW_Data!AD788),"",DaqBook_RAW_Data!AD788)</f>
        <v/>
      </c>
      <c r="P798" s="167" t="str">
        <f>IF(ISBLANK(DaqBook_RAW_Data!AE788),"",DaqBook_RAW_Data!AE788)</f>
        <v/>
      </c>
    </row>
    <row r="799" spans="1:16" x14ac:dyDescent="0.2">
      <c r="A799" s="58" t="e">
        <f t="shared" si="12"/>
        <v>#VALUE!</v>
      </c>
      <c r="B799" s="144" t="str">
        <f>IF(ISBLANK(DaqBook_RAW_Data!Q789),IF(DaqBook_RAW_Data!A789="","",TIMEVALUE(DaqBook_RAW_Data!A789)),TIMEVALUE(DaqBook_RAW_Data!Q789))</f>
        <v/>
      </c>
      <c r="C799" s="167" t="str">
        <f>IF(ISBLANK(DaqBook_RAW_Data!R789),"",DaqBook_RAW_Data!R789)</f>
        <v/>
      </c>
      <c r="D799" s="167" t="str">
        <f>IF(ISBLANK(DaqBook_RAW_Data!S789),"",DaqBook_RAW_Data!S789)</f>
        <v/>
      </c>
      <c r="E799" s="167" t="str">
        <f>IF(ISBLANK(DaqBook_RAW_Data!T789),"",DaqBook_RAW_Data!T789)</f>
        <v/>
      </c>
      <c r="F799" s="167" t="str">
        <f>IF(ISBLANK(DaqBook_RAW_Data!U789),"",DaqBook_RAW_Data!U789)</f>
        <v/>
      </c>
      <c r="G799" s="167" t="str">
        <f>IF(ISBLANK(DaqBook_RAW_Data!V789),"",DaqBook_RAW_Data!V789)</f>
        <v/>
      </c>
      <c r="H799" s="167" t="str">
        <f>IF(ISBLANK(DaqBook_RAW_Data!W789),"",DaqBook_RAW_Data!W789)</f>
        <v/>
      </c>
      <c r="I799" s="167" t="str">
        <f>IF(ISBLANK(DaqBook_RAW_Data!X789),"",DaqBook_RAW_Data!X789)</f>
        <v/>
      </c>
      <c r="J799" s="167" t="str">
        <f>IF(ISBLANK(DaqBook_RAW_Data!Y789),"",DaqBook_RAW_Data!Y789)</f>
        <v/>
      </c>
      <c r="K799" s="167" t="str">
        <f>IF(ISBLANK(DaqBook_RAW_Data!Z789),"",DaqBook_RAW_Data!Z789)</f>
        <v/>
      </c>
      <c r="L799" s="167" t="str">
        <f>IF(ISBLANK(DaqBook_RAW_Data!AA789),"",DaqBook_RAW_Data!AA789)</f>
        <v/>
      </c>
      <c r="M799" s="167" t="str">
        <f>IF(ISBLANK(DaqBook_RAW_Data!AB789),"",DaqBook_RAW_Data!AB789)</f>
        <v/>
      </c>
      <c r="N799" s="167" t="str">
        <f>IF(ISBLANK(DaqBook_RAW_Data!AC789),"",DaqBook_RAW_Data!AC789)</f>
        <v/>
      </c>
      <c r="O799" s="167" t="str">
        <f>IF(ISBLANK(DaqBook_RAW_Data!AD789),"",DaqBook_RAW_Data!AD789)</f>
        <v/>
      </c>
      <c r="P799" s="167" t="str">
        <f>IF(ISBLANK(DaqBook_RAW_Data!AE789),"",DaqBook_RAW_Data!AE789)</f>
        <v/>
      </c>
    </row>
    <row r="800" spans="1:16" x14ac:dyDescent="0.2">
      <c r="A800" s="58" t="e">
        <f t="shared" si="12"/>
        <v>#VALUE!</v>
      </c>
      <c r="B800" s="144" t="str">
        <f>IF(ISBLANK(DaqBook_RAW_Data!Q790),IF(DaqBook_RAW_Data!A790="","",TIMEVALUE(DaqBook_RAW_Data!A790)),TIMEVALUE(DaqBook_RAW_Data!Q790))</f>
        <v/>
      </c>
      <c r="C800" s="167" t="str">
        <f>IF(ISBLANK(DaqBook_RAW_Data!R790),"",DaqBook_RAW_Data!R790)</f>
        <v/>
      </c>
      <c r="D800" s="167" t="str">
        <f>IF(ISBLANK(DaqBook_RAW_Data!S790),"",DaqBook_RAW_Data!S790)</f>
        <v/>
      </c>
      <c r="E800" s="167" t="str">
        <f>IF(ISBLANK(DaqBook_RAW_Data!T790),"",DaqBook_RAW_Data!T790)</f>
        <v/>
      </c>
      <c r="F800" s="167" t="str">
        <f>IF(ISBLANK(DaqBook_RAW_Data!U790),"",DaqBook_RAW_Data!U790)</f>
        <v/>
      </c>
      <c r="G800" s="167" t="str">
        <f>IF(ISBLANK(DaqBook_RAW_Data!V790),"",DaqBook_RAW_Data!V790)</f>
        <v/>
      </c>
      <c r="H800" s="167" t="str">
        <f>IF(ISBLANK(DaqBook_RAW_Data!W790),"",DaqBook_RAW_Data!W790)</f>
        <v/>
      </c>
      <c r="I800" s="167" t="str">
        <f>IF(ISBLANK(DaqBook_RAW_Data!X790),"",DaqBook_RAW_Data!X790)</f>
        <v/>
      </c>
      <c r="J800" s="167" t="str">
        <f>IF(ISBLANK(DaqBook_RAW_Data!Y790),"",DaqBook_RAW_Data!Y790)</f>
        <v/>
      </c>
      <c r="K800" s="167" t="str">
        <f>IF(ISBLANK(DaqBook_RAW_Data!Z790),"",DaqBook_RAW_Data!Z790)</f>
        <v/>
      </c>
      <c r="L800" s="167" t="str">
        <f>IF(ISBLANK(DaqBook_RAW_Data!AA790),"",DaqBook_RAW_Data!AA790)</f>
        <v/>
      </c>
      <c r="M800" s="167" t="str">
        <f>IF(ISBLANK(DaqBook_RAW_Data!AB790),"",DaqBook_RAW_Data!AB790)</f>
        <v/>
      </c>
      <c r="N800" s="167" t="str">
        <f>IF(ISBLANK(DaqBook_RAW_Data!AC790),"",DaqBook_RAW_Data!AC790)</f>
        <v/>
      </c>
      <c r="O800" s="167" t="str">
        <f>IF(ISBLANK(DaqBook_RAW_Data!AD790),"",DaqBook_RAW_Data!AD790)</f>
        <v/>
      </c>
      <c r="P800" s="167" t="str">
        <f>IF(ISBLANK(DaqBook_RAW_Data!AE790),"",DaqBook_RAW_Data!AE790)</f>
        <v/>
      </c>
    </row>
    <row r="801" spans="1:16" x14ac:dyDescent="0.2">
      <c r="A801" s="58" t="e">
        <f t="shared" si="12"/>
        <v>#VALUE!</v>
      </c>
      <c r="B801" s="144" t="str">
        <f>IF(ISBLANK(DaqBook_RAW_Data!Q791),IF(DaqBook_RAW_Data!A791="","",TIMEVALUE(DaqBook_RAW_Data!A791)),TIMEVALUE(DaqBook_RAW_Data!Q791))</f>
        <v/>
      </c>
      <c r="C801" s="167" t="str">
        <f>IF(ISBLANK(DaqBook_RAW_Data!R791),"",DaqBook_RAW_Data!R791)</f>
        <v/>
      </c>
      <c r="D801" s="167" t="str">
        <f>IF(ISBLANK(DaqBook_RAW_Data!S791),"",DaqBook_RAW_Data!S791)</f>
        <v/>
      </c>
      <c r="E801" s="167" t="str">
        <f>IF(ISBLANK(DaqBook_RAW_Data!T791),"",DaqBook_RAW_Data!T791)</f>
        <v/>
      </c>
      <c r="F801" s="167" t="str">
        <f>IF(ISBLANK(DaqBook_RAW_Data!U791),"",DaqBook_RAW_Data!U791)</f>
        <v/>
      </c>
      <c r="G801" s="167" t="str">
        <f>IF(ISBLANK(DaqBook_RAW_Data!V791),"",DaqBook_RAW_Data!V791)</f>
        <v/>
      </c>
      <c r="H801" s="167" t="str">
        <f>IF(ISBLANK(DaqBook_RAW_Data!W791),"",DaqBook_RAW_Data!W791)</f>
        <v/>
      </c>
      <c r="I801" s="167" t="str">
        <f>IF(ISBLANK(DaqBook_RAW_Data!X791),"",DaqBook_RAW_Data!X791)</f>
        <v/>
      </c>
      <c r="J801" s="167" t="str">
        <f>IF(ISBLANK(DaqBook_RAW_Data!Y791),"",DaqBook_RAW_Data!Y791)</f>
        <v/>
      </c>
      <c r="K801" s="167" t="str">
        <f>IF(ISBLANK(DaqBook_RAW_Data!Z791),"",DaqBook_RAW_Data!Z791)</f>
        <v/>
      </c>
      <c r="L801" s="167" t="str">
        <f>IF(ISBLANK(DaqBook_RAW_Data!AA791),"",DaqBook_RAW_Data!AA791)</f>
        <v/>
      </c>
      <c r="M801" s="167" t="str">
        <f>IF(ISBLANK(DaqBook_RAW_Data!AB791),"",DaqBook_RAW_Data!AB791)</f>
        <v/>
      </c>
      <c r="N801" s="167" t="str">
        <f>IF(ISBLANK(DaqBook_RAW_Data!AC791),"",DaqBook_RAW_Data!AC791)</f>
        <v/>
      </c>
      <c r="O801" s="167" t="str">
        <f>IF(ISBLANK(DaqBook_RAW_Data!AD791),"",DaqBook_RAW_Data!AD791)</f>
        <v/>
      </c>
      <c r="P801" s="167" t="str">
        <f>IF(ISBLANK(DaqBook_RAW_Data!AE791),"",DaqBook_RAW_Data!AE791)</f>
        <v/>
      </c>
    </row>
    <row r="802" spans="1:16" x14ac:dyDescent="0.2">
      <c r="A802" s="58" t="e">
        <f t="shared" si="12"/>
        <v>#VALUE!</v>
      </c>
      <c r="B802" s="144" t="str">
        <f>IF(ISBLANK(DaqBook_RAW_Data!Q792),IF(DaqBook_RAW_Data!A792="","",TIMEVALUE(DaqBook_RAW_Data!A792)),TIMEVALUE(DaqBook_RAW_Data!Q792))</f>
        <v/>
      </c>
      <c r="C802" s="167" t="str">
        <f>IF(ISBLANK(DaqBook_RAW_Data!R792),"",DaqBook_RAW_Data!R792)</f>
        <v/>
      </c>
      <c r="D802" s="167" t="str">
        <f>IF(ISBLANK(DaqBook_RAW_Data!S792),"",DaqBook_RAW_Data!S792)</f>
        <v/>
      </c>
      <c r="E802" s="167" t="str">
        <f>IF(ISBLANK(DaqBook_RAW_Data!T792),"",DaqBook_RAW_Data!T792)</f>
        <v/>
      </c>
      <c r="F802" s="167" t="str">
        <f>IF(ISBLANK(DaqBook_RAW_Data!U792),"",DaqBook_RAW_Data!U792)</f>
        <v/>
      </c>
      <c r="G802" s="167" t="str">
        <f>IF(ISBLANK(DaqBook_RAW_Data!V792),"",DaqBook_RAW_Data!V792)</f>
        <v/>
      </c>
      <c r="H802" s="167" t="str">
        <f>IF(ISBLANK(DaqBook_RAW_Data!W792),"",DaqBook_RAW_Data!W792)</f>
        <v/>
      </c>
      <c r="I802" s="167" t="str">
        <f>IF(ISBLANK(DaqBook_RAW_Data!X792),"",DaqBook_RAW_Data!X792)</f>
        <v/>
      </c>
      <c r="J802" s="167" t="str">
        <f>IF(ISBLANK(DaqBook_RAW_Data!Y792),"",DaqBook_RAW_Data!Y792)</f>
        <v/>
      </c>
      <c r="K802" s="167" t="str">
        <f>IF(ISBLANK(DaqBook_RAW_Data!Z792),"",DaqBook_RAW_Data!Z792)</f>
        <v/>
      </c>
      <c r="L802" s="167" t="str">
        <f>IF(ISBLANK(DaqBook_RAW_Data!AA792),"",DaqBook_RAW_Data!AA792)</f>
        <v/>
      </c>
      <c r="M802" s="167" t="str">
        <f>IF(ISBLANK(DaqBook_RAW_Data!AB792),"",DaqBook_RAW_Data!AB792)</f>
        <v/>
      </c>
      <c r="N802" s="167" t="str">
        <f>IF(ISBLANK(DaqBook_RAW_Data!AC792),"",DaqBook_RAW_Data!AC792)</f>
        <v/>
      </c>
      <c r="O802" s="167" t="str">
        <f>IF(ISBLANK(DaqBook_RAW_Data!AD792),"",DaqBook_RAW_Data!AD792)</f>
        <v/>
      </c>
      <c r="P802" s="167" t="str">
        <f>IF(ISBLANK(DaqBook_RAW_Data!AE792),"",DaqBook_RAW_Data!AE792)</f>
        <v/>
      </c>
    </row>
    <row r="803" spans="1:16" x14ac:dyDescent="0.2">
      <c r="A803" s="58" t="e">
        <f t="shared" si="12"/>
        <v>#VALUE!</v>
      </c>
      <c r="B803" s="144" t="str">
        <f>IF(ISBLANK(DaqBook_RAW_Data!Q793),IF(DaqBook_RAW_Data!A793="","",TIMEVALUE(DaqBook_RAW_Data!A793)),TIMEVALUE(DaqBook_RAW_Data!Q793))</f>
        <v/>
      </c>
      <c r="C803" s="167" t="str">
        <f>IF(ISBLANK(DaqBook_RAW_Data!R793),"",DaqBook_RAW_Data!R793)</f>
        <v/>
      </c>
      <c r="D803" s="167" t="str">
        <f>IF(ISBLANK(DaqBook_RAW_Data!S793),"",DaqBook_RAW_Data!S793)</f>
        <v/>
      </c>
      <c r="E803" s="167" t="str">
        <f>IF(ISBLANK(DaqBook_RAW_Data!T793),"",DaqBook_RAW_Data!T793)</f>
        <v/>
      </c>
      <c r="F803" s="167" t="str">
        <f>IF(ISBLANK(DaqBook_RAW_Data!U793),"",DaqBook_RAW_Data!U793)</f>
        <v/>
      </c>
      <c r="G803" s="167" t="str">
        <f>IF(ISBLANK(DaqBook_RAW_Data!V793),"",DaqBook_RAW_Data!V793)</f>
        <v/>
      </c>
      <c r="H803" s="167" t="str">
        <f>IF(ISBLANK(DaqBook_RAW_Data!W793),"",DaqBook_RAW_Data!W793)</f>
        <v/>
      </c>
      <c r="I803" s="167" t="str">
        <f>IF(ISBLANK(DaqBook_RAW_Data!X793),"",DaqBook_RAW_Data!X793)</f>
        <v/>
      </c>
      <c r="J803" s="167" t="str">
        <f>IF(ISBLANK(DaqBook_RAW_Data!Y793),"",DaqBook_RAW_Data!Y793)</f>
        <v/>
      </c>
      <c r="K803" s="167" t="str">
        <f>IF(ISBLANK(DaqBook_RAW_Data!Z793),"",DaqBook_RAW_Data!Z793)</f>
        <v/>
      </c>
      <c r="L803" s="167" t="str">
        <f>IF(ISBLANK(DaqBook_RAW_Data!AA793),"",DaqBook_RAW_Data!AA793)</f>
        <v/>
      </c>
      <c r="M803" s="167" t="str">
        <f>IF(ISBLANK(DaqBook_RAW_Data!AB793),"",DaqBook_RAW_Data!AB793)</f>
        <v/>
      </c>
      <c r="N803" s="167" t="str">
        <f>IF(ISBLANK(DaqBook_RAW_Data!AC793),"",DaqBook_RAW_Data!AC793)</f>
        <v/>
      </c>
      <c r="O803" s="167" t="str">
        <f>IF(ISBLANK(DaqBook_RAW_Data!AD793),"",DaqBook_RAW_Data!AD793)</f>
        <v/>
      </c>
      <c r="P803" s="167" t="str">
        <f>IF(ISBLANK(DaqBook_RAW_Data!AE793),"",DaqBook_RAW_Data!AE793)</f>
        <v/>
      </c>
    </row>
    <row r="804" spans="1:16" x14ac:dyDescent="0.2">
      <c r="A804" s="58" t="e">
        <f t="shared" si="12"/>
        <v>#VALUE!</v>
      </c>
      <c r="B804" s="144" t="str">
        <f>IF(ISBLANK(DaqBook_RAW_Data!Q794),IF(DaqBook_RAW_Data!A794="","",TIMEVALUE(DaqBook_RAW_Data!A794)),TIMEVALUE(DaqBook_RAW_Data!Q794))</f>
        <v/>
      </c>
      <c r="C804" s="167" t="str">
        <f>IF(ISBLANK(DaqBook_RAW_Data!R794),"",DaqBook_RAW_Data!R794)</f>
        <v/>
      </c>
      <c r="D804" s="167" t="str">
        <f>IF(ISBLANK(DaqBook_RAW_Data!S794),"",DaqBook_RAW_Data!S794)</f>
        <v/>
      </c>
      <c r="E804" s="167" t="str">
        <f>IF(ISBLANK(DaqBook_RAW_Data!T794),"",DaqBook_RAW_Data!T794)</f>
        <v/>
      </c>
      <c r="F804" s="167" t="str">
        <f>IF(ISBLANK(DaqBook_RAW_Data!U794),"",DaqBook_RAW_Data!U794)</f>
        <v/>
      </c>
      <c r="G804" s="167" t="str">
        <f>IF(ISBLANK(DaqBook_RAW_Data!V794),"",DaqBook_RAW_Data!V794)</f>
        <v/>
      </c>
      <c r="H804" s="167" t="str">
        <f>IF(ISBLANK(DaqBook_RAW_Data!W794),"",DaqBook_RAW_Data!W794)</f>
        <v/>
      </c>
      <c r="I804" s="167" t="str">
        <f>IF(ISBLANK(DaqBook_RAW_Data!X794),"",DaqBook_RAW_Data!X794)</f>
        <v/>
      </c>
      <c r="J804" s="167" t="str">
        <f>IF(ISBLANK(DaqBook_RAW_Data!Y794),"",DaqBook_RAW_Data!Y794)</f>
        <v/>
      </c>
      <c r="K804" s="167" t="str">
        <f>IF(ISBLANK(DaqBook_RAW_Data!Z794),"",DaqBook_RAW_Data!Z794)</f>
        <v/>
      </c>
      <c r="L804" s="167" t="str">
        <f>IF(ISBLANK(DaqBook_RAW_Data!AA794),"",DaqBook_RAW_Data!AA794)</f>
        <v/>
      </c>
      <c r="M804" s="167" t="str">
        <f>IF(ISBLANK(DaqBook_RAW_Data!AB794),"",DaqBook_RAW_Data!AB794)</f>
        <v/>
      </c>
      <c r="N804" s="167" t="str">
        <f>IF(ISBLANK(DaqBook_RAW_Data!AC794),"",DaqBook_RAW_Data!AC794)</f>
        <v/>
      </c>
      <c r="O804" s="167" t="str">
        <f>IF(ISBLANK(DaqBook_RAW_Data!AD794),"",DaqBook_RAW_Data!AD794)</f>
        <v/>
      </c>
      <c r="P804" s="167" t="str">
        <f>IF(ISBLANK(DaqBook_RAW_Data!AE794),"",DaqBook_RAW_Data!AE794)</f>
        <v/>
      </c>
    </row>
    <row r="805" spans="1:16" x14ac:dyDescent="0.2">
      <c r="A805" s="58" t="e">
        <f t="shared" si="12"/>
        <v>#VALUE!</v>
      </c>
      <c r="B805" s="144" t="str">
        <f>IF(ISBLANK(DaqBook_RAW_Data!Q795),IF(DaqBook_RAW_Data!A795="","",TIMEVALUE(DaqBook_RAW_Data!A795)),TIMEVALUE(DaqBook_RAW_Data!Q795))</f>
        <v/>
      </c>
      <c r="C805" s="167" t="str">
        <f>IF(ISBLANK(DaqBook_RAW_Data!R795),"",DaqBook_RAW_Data!R795)</f>
        <v/>
      </c>
      <c r="D805" s="167" t="str">
        <f>IF(ISBLANK(DaqBook_RAW_Data!S795),"",DaqBook_RAW_Data!S795)</f>
        <v/>
      </c>
      <c r="E805" s="167" t="str">
        <f>IF(ISBLANK(DaqBook_RAW_Data!T795),"",DaqBook_RAW_Data!T795)</f>
        <v/>
      </c>
      <c r="F805" s="167" t="str">
        <f>IF(ISBLANK(DaqBook_RAW_Data!U795),"",DaqBook_RAW_Data!U795)</f>
        <v/>
      </c>
      <c r="G805" s="167" t="str">
        <f>IF(ISBLANK(DaqBook_RAW_Data!V795),"",DaqBook_RAW_Data!V795)</f>
        <v/>
      </c>
      <c r="H805" s="167" t="str">
        <f>IF(ISBLANK(DaqBook_RAW_Data!W795),"",DaqBook_RAW_Data!W795)</f>
        <v/>
      </c>
      <c r="I805" s="167" t="str">
        <f>IF(ISBLANK(DaqBook_RAW_Data!X795),"",DaqBook_RAW_Data!X795)</f>
        <v/>
      </c>
      <c r="J805" s="167" t="str">
        <f>IF(ISBLANK(DaqBook_RAW_Data!Y795),"",DaqBook_RAW_Data!Y795)</f>
        <v/>
      </c>
      <c r="K805" s="167" t="str">
        <f>IF(ISBLANK(DaqBook_RAW_Data!Z795),"",DaqBook_RAW_Data!Z795)</f>
        <v/>
      </c>
      <c r="L805" s="167" t="str">
        <f>IF(ISBLANK(DaqBook_RAW_Data!AA795),"",DaqBook_RAW_Data!AA795)</f>
        <v/>
      </c>
      <c r="M805" s="167" t="str">
        <f>IF(ISBLANK(DaqBook_RAW_Data!AB795),"",DaqBook_RAW_Data!AB795)</f>
        <v/>
      </c>
      <c r="N805" s="167" t="str">
        <f>IF(ISBLANK(DaqBook_RAW_Data!AC795),"",DaqBook_RAW_Data!AC795)</f>
        <v/>
      </c>
      <c r="O805" s="167" t="str">
        <f>IF(ISBLANK(DaqBook_RAW_Data!AD795),"",DaqBook_RAW_Data!AD795)</f>
        <v/>
      </c>
      <c r="P805" s="167" t="str">
        <f>IF(ISBLANK(DaqBook_RAW_Data!AE795),"",DaqBook_RAW_Data!AE795)</f>
        <v/>
      </c>
    </row>
    <row r="806" spans="1:16" x14ac:dyDescent="0.2">
      <c r="A806" s="58" t="e">
        <f t="shared" si="12"/>
        <v>#VALUE!</v>
      </c>
      <c r="B806" s="144" t="str">
        <f>IF(ISBLANK(DaqBook_RAW_Data!Q796),IF(DaqBook_RAW_Data!A796="","",TIMEVALUE(DaqBook_RAW_Data!A796)),TIMEVALUE(DaqBook_RAW_Data!Q796))</f>
        <v/>
      </c>
      <c r="C806" s="167" t="str">
        <f>IF(ISBLANK(DaqBook_RAW_Data!R796),"",DaqBook_RAW_Data!R796)</f>
        <v/>
      </c>
      <c r="D806" s="167" t="str">
        <f>IF(ISBLANK(DaqBook_RAW_Data!S796),"",DaqBook_RAW_Data!S796)</f>
        <v/>
      </c>
      <c r="E806" s="167" t="str">
        <f>IF(ISBLANK(DaqBook_RAW_Data!T796),"",DaqBook_RAW_Data!T796)</f>
        <v/>
      </c>
      <c r="F806" s="167" t="str">
        <f>IF(ISBLANK(DaqBook_RAW_Data!U796),"",DaqBook_RAW_Data!U796)</f>
        <v/>
      </c>
      <c r="G806" s="167" t="str">
        <f>IF(ISBLANK(DaqBook_RAW_Data!V796),"",DaqBook_RAW_Data!V796)</f>
        <v/>
      </c>
      <c r="H806" s="167" t="str">
        <f>IF(ISBLANK(DaqBook_RAW_Data!W796),"",DaqBook_RAW_Data!W796)</f>
        <v/>
      </c>
      <c r="I806" s="167" t="str">
        <f>IF(ISBLANK(DaqBook_RAW_Data!X796),"",DaqBook_RAW_Data!X796)</f>
        <v/>
      </c>
      <c r="J806" s="167" t="str">
        <f>IF(ISBLANK(DaqBook_RAW_Data!Y796),"",DaqBook_RAW_Data!Y796)</f>
        <v/>
      </c>
      <c r="K806" s="167" t="str">
        <f>IF(ISBLANK(DaqBook_RAW_Data!Z796),"",DaqBook_RAW_Data!Z796)</f>
        <v/>
      </c>
      <c r="L806" s="167" t="str">
        <f>IF(ISBLANK(DaqBook_RAW_Data!AA796),"",DaqBook_RAW_Data!AA796)</f>
        <v/>
      </c>
      <c r="M806" s="167" t="str">
        <f>IF(ISBLANK(DaqBook_RAW_Data!AB796),"",DaqBook_RAW_Data!AB796)</f>
        <v/>
      </c>
      <c r="N806" s="167" t="str">
        <f>IF(ISBLANK(DaqBook_RAW_Data!AC796),"",DaqBook_RAW_Data!AC796)</f>
        <v/>
      </c>
      <c r="O806" s="167" t="str">
        <f>IF(ISBLANK(DaqBook_RAW_Data!AD796),"",DaqBook_RAW_Data!AD796)</f>
        <v/>
      </c>
      <c r="P806" s="167" t="str">
        <f>IF(ISBLANK(DaqBook_RAW_Data!AE796),"",DaqBook_RAW_Data!AE796)</f>
        <v/>
      </c>
    </row>
    <row r="807" spans="1:16" x14ac:dyDescent="0.2">
      <c r="A807" s="58" t="e">
        <f t="shared" si="12"/>
        <v>#VALUE!</v>
      </c>
      <c r="B807" s="144" t="str">
        <f>IF(ISBLANK(DaqBook_RAW_Data!Q797),IF(DaqBook_RAW_Data!A797="","",TIMEVALUE(DaqBook_RAW_Data!A797)),TIMEVALUE(DaqBook_RAW_Data!Q797))</f>
        <v/>
      </c>
      <c r="C807" s="167" t="str">
        <f>IF(ISBLANK(DaqBook_RAW_Data!R797),"",DaqBook_RAW_Data!R797)</f>
        <v/>
      </c>
      <c r="D807" s="167" t="str">
        <f>IF(ISBLANK(DaqBook_RAW_Data!S797),"",DaqBook_RAW_Data!S797)</f>
        <v/>
      </c>
      <c r="E807" s="167" t="str">
        <f>IF(ISBLANK(DaqBook_RAW_Data!T797),"",DaqBook_RAW_Data!T797)</f>
        <v/>
      </c>
      <c r="F807" s="167" t="str">
        <f>IF(ISBLANK(DaqBook_RAW_Data!U797),"",DaqBook_RAW_Data!U797)</f>
        <v/>
      </c>
      <c r="G807" s="167" t="str">
        <f>IF(ISBLANK(DaqBook_RAW_Data!V797),"",DaqBook_RAW_Data!V797)</f>
        <v/>
      </c>
      <c r="H807" s="167" t="str">
        <f>IF(ISBLANK(DaqBook_RAW_Data!W797),"",DaqBook_RAW_Data!W797)</f>
        <v/>
      </c>
      <c r="I807" s="167" t="str">
        <f>IF(ISBLANK(DaqBook_RAW_Data!X797),"",DaqBook_RAW_Data!X797)</f>
        <v/>
      </c>
      <c r="J807" s="167" t="str">
        <f>IF(ISBLANK(DaqBook_RAW_Data!Y797),"",DaqBook_RAW_Data!Y797)</f>
        <v/>
      </c>
      <c r="K807" s="167" t="str">
        <f>IF(ISBLANK(DaqBook_RAW_Data!Z797),"",DaqBook_RAW_Data!Z797)</f>
        <v/>
      </c>
      <c r="L807" s="167" t="str">
        <f>IF(ISBLANK(DaqBook_RAW_Data!AA797),"",DaqBook_RAW_Data!AA797)</f>
        <v/>
      </c>
      <c r="M807" s="167" t="str">
        <f>IF(ISBLANK(DaqBook_RAW_Data!AB797),"",DaqBook_RAW_Data!AB797)</f>
        <v/>
      </c>
      <c r="N807" s="167" t="str">
        <f>IF(ISBLANK(DaqBook_RAW_Data!AC797),"",DaqBook_RAW_Data!AC797)</f>
        <v/>
      </c>
      <c r="O807" s="167" t="str">
        <f>IF(ISBLANK(DaqBook_RAW_Data!AD797),"",DaqBook_RAW_Data!AD797)</f>
        <v/>
      </c>
      <c r="P807" s="167" t="str">
        <f>IF(ISBLANK(DaqBook_RAW_Data!AE797),"",DaqBook_RAW_Data!AE797)</f>
        <v/>
      </c>
    </row>
    <row r="808" spans="1:16" x14ac:dyDescent="0.2">
      <c r="A808" s="58" t="e">
        <f t="shared" si="12"/>
        <v>#VALUE!</v>
      </c>
      <c r="B808" s="144" t="str">
        <f>IF(ISBLANK(DaqBook_RAW_Data!Q798),IF(DaqBook_RAW_Data!A798="","",TIMEVALUE(DaqBook_RAW_Data!A798)),TIMEVALUE(DaqBook_RAW_Data!Q798))</f>
        <v/>
      </c>
      <c r="C808" s="167" t="str">
        <f>IF(ISBLANK(DaqBook_RAW_Data!R798),"",DaqBook_RAW_Data!R798)</f>
        <v/>
      </c>
      <c r="D808" s="167" t="str">
        <f>IF(ISBLANK(DaqBook_RAW_Data!S798),"",DaqBook_RAW_Data!S798)</f>
        <v/>
      </c>
      <c r="E808" s="167" t="str">
        <f>IF(ISBLANK(DaqBook_RAW_Data!T798),"",DaqBook_RAW_Data!T798)</f>
        <v/>
      </c>
      <c r="F808" s="167" t="str">
        <f>IF(ISBLANK(DaqBook_RAW_Data!U798),"",DaqBook_RAW_Data!U798)</f>
        <v/>
      </c>
      <c r="G808" s="167" t="str">
        <f>IF(ISBLANK(DaqBook_RAW_Data!V798),"",DaqBook_RAW_Data!V798)</f>
        <v/>
      </c>
      <c r="H808" s="167" t="str">
        <f>IF(ISBLANK(DaqBook_RAW_Data!W798),"",DaqBook_RAW_Data!W798)</f>
        <v/>
      </c>
      <c r="I808" s="167" t="str">
        <f>IF(ISBLANK(DaqBook_RAW_Data!X798),"",DaqBook_RAW_Data!X798)</f>
        <v/>
      </c>
      <c r="J808" s="167" t="str">
        <f>IF(ISBLANK(DaqBook_RAW_Data!Y798),"",DaqBook_RAW_Data!Y798)</f>
        <v/>
      </c>
      <c r="K808" s="167" t="str">
        <f>IF(ISBLANK(DaqBook_RAW_Data!Z798),"",DaqBook_RAW_Data!Z798)</f>
        <v/>
      </c>
      <c r="L808" s="167" t="str">
        <f>IF(ISBLANK(DaqBook_RAW_Data!AA798),"",DaqBook_RAW_Data!AA798)</f>
        <v/>
      </c>
      <c r="M808" s="167" t="str">
        <f>IF(ISBLANK(DaqBook_RAW_Data!AB798),"",DaqBook_RAW_Data!AB798)</f>
        <v/>
      </c>
      <c r="N808" s="167" t="str">
        <f>IF(ISBLANK(DaqBook_RAW_Data!AC798),"",DaqBook_RAW_Data!AC798)</f>
        <v/>
      </c>
      <c r="O808" s="167" t="str">
        <f>IF(ISBLANK(DaqBook_RAW_Data!AD798),"",DaqBook_RAW_Data!AD798)</f>
        <v/>
      </c>
      <c r="P808" s="167" t="str">
        <f>IF(ISBLANK(DaqBook_RAW_Data!AE798),"",DaqBook_RAW_Data!AE798)</f>
        <v/>
      </c>
    </row>
    <row r="809" spans="1:16" x14ac:dyDescent="0.2">
      <c r="A809" s="58" t="e">
        <f t="shared" si="12"/>
        <v>#VALUE!</v>
      </c>
      <c r="B809" s="144" t="str">
        <f>IF(ISBLANK(DaqBook_RAW_Data!Q799),IF(DaqBook_RAW_Data!A799="","",TIMEVALUE(DaqBook_RAW_Data!A799)),TIMEVALUE(DaqBook_RAW_Data!Q799))</f>
        <v/>
      </c>
      <c r="C809" s="167" t="str">
        <f>IF(ISBLANK(DaqBook_RAW_Data!R799),"",DaqBook_RAW_Data!R799)</f>
        <v/>
      </c>
      <c r="D809" s="167" t="str">
        <f>IF(ISBLANK(DaqBook_RAW_Data!S799),"",DaqBook_RAW_Data!S799)</f>
        <v/>
      </c>
      <c r="E809" s="167" t="str">
        <f>IF(ISBLANK(DaqBook_RAW_Data!T799),"",DaqBook_RAW_Data!T799)</f>
        <v/>
      </c>
      <c r="F809" s="167" t="str">
        <f>IF(ISBLANK(DaqBook_RAW_Data!U799),"",DaqBook_RAW_Data!U799)</f>
        <v/>
      </c>
      <c r="G809" s="167" t="str">
        <f>IF(ISBLANK(DaqBook_RAW_Data!V799),"",DaqBook_RAW_Data!V799)</f>
        <v/>
      </c>
      <c r="H809" s="167" t="str">
        <f>IF(ISBLANK(DaqBook_RAW_Data!W799),"",DaqBook_RAW_Data!W799)</f>
        <v/>
      </c>
      <c r="I809" s="167" t="str">
        <f>IF(ISBLANK(DaqBook_RAW_Data!X799),"",DaqBook_RAW_Data!X799)</f>
        <v/>
      </c>
      <c r="J809" s="167" t="str">
        <f>IF(ISBLANK(DaqBook_RAW_Data!Y799),"",DaqBook_RAW_Data!Y799)</f>
        <v/>
      </c>
      <c r="K809" s="167" t="str">
        <f>IF(ISBLANK(DaqBook_RAW_Data!Z799),"",DaqBook_RAW_Data!Z799)</f>
        <v/>
      </c>
      <c r="L809" s="167" t="str">
        <f>IF(ISBLANK(DaqBook_RAW_Data!AA799),"",DaqBook_RAW_Data!AA799)</f>
        <v/>
      </c>
      <c r="M809" s="167" t="str">
        <f>IF(ISBLANK(DaqBook_RAW_Data!AB799),"",DaqBook_RAW_Data!AB799)</f>
        <v/>
      </c>
      <c r="N809" s="167" t="str">
        <f>IF(ISBLANK(DaqBook_RAW_Data!AC799),"",DaqBook_RAW_Data!AC799)</f>
        <v/>
      </c>
      <c r="O809" s="167" t="str">
        <f>IF(ISBLANK(DaqBook_RAW_Data!AD799),"",DaqBook_RAW_Data!AD799)</f>
        <v/>
      </c>
      <c r="P809" s="167" t="str">
        <f>IF(ISBLANK(DaqBook_RAW_Data!AE799),"",DaqBook_RAW_Data!AE799)</f>
        <v/>
      </c>
    </row>
    <row r="810" spans="1:16" x14ac:dyDescent="0.2">
      <c r="A810" s="58" t="e">
        <f t="shared" si="12"/>
        <v>#VALUE!</v>
      </c>
      <c r="B810" s="144" t="str">
        <f>IF(ISBLANK(DaqBook_RAW_Data!Q800),IF(DaqBook_RAW_Data!A800="","",TIMEVALUE(DaqBook_RAW_Data!A800)),TIMEVALUE(DaqBook_RAW_Data!Q800))</f>
        <v/>
      </c>
      <c r="C810" s="167" t="str">
        <f>IF(ISBLANK(DaqBook_RAW_Data!R800),"",DaqBook_RAW_Data!R800)</f>
        <v/>
      </c>
      <c r="D810" s="167" t="str">
        <f>IF(ISBLANK(DaqBook_RAW_Data!S800),"",DaqBook_RAW_Data!S800)</f>
        <v/>
      </c>
      <c r="E810" s="167" t="str">
        <f>IF(ISBLANK(DaqBook_RAW_Data!T800),"",DaqBook_RAW_Data!T800)</f>
        <v/>
      </c>
      <c r="F810" s="167" t="str">
        <f>IF(ISBLANK(DaqBook_RAW_Data!U800),"",DaqBook_RAW_Data!U800)</f>
        <v/>
      </c>
      <c r="G810" s="167" t="str">
        <f>IF(ISBLANK(DaqBook_RAW_Data!V800),"",DaqBook_RAW_Data!V800)</f>
        <v/>
      </c>
      <c r="H810" s="167" t="str">
        <f>IF(ISBLANK(DaqBook_RAW_Data!W800),"",DaqBook_RAW_Data!W800)</f>
        <v/>
      </c>
      <c r="I810" s="167" t="str">
        <f>IF(ISBLANK(DaqBook_RAW_Data!X800),"",DaqBook_RAW_Data!X800)</f>
        <v/>
      </c>
      <c r="J810" s="167" t="str">
        <f>IF(ISBLANK(DaqBook_RAW_Data!Y800),"",DaqBook_RAW_Data!Y800)</f>
        <v/>
      </c>
      <c r="K810" s="167" t="str">
        <f>IF(ISBLANK(DaqBook_RAW_Data!Z800),"",DaqBook_RAW_Data!Z800)</f>
        <v/>
      </c>
      <c r="L810" s="167" t="str">
        <f>IF(ISBLANK(DaqBook_RAW_Data!AA800),"",DaqBook_RAW_Data!AA800)</f>
        <v/>
      </c>
      <c r="M810" s="167" t="str">
        <f>IF(ISBLANK(DaqBook_RAW_Data!AB800),"",DaqBook_RAW_Data!AB800)</f>
        <v/>
      </c>
      <c r="N810" s="167" t="str">
        <f>IF(ISBLANK(DaqBook_RAW_Data!AC800),"",DaqBook_RAW_Data!AC800)</f>
        <v/>
      </c>
      <c r="O810" s="167" t="str">
        <f>IF(ISBLANK(DaqBook_RAW_Data!AD800),"",DaqBook_RAW_Data!AD800)</f>
        <v/>
      </c>
      <c r="P810" s="167" t="str">
        <f>IF(ISBLANK(DaqBook_RAW_Data!AE800),"",DaqBook_RAW_Data!AE800)</f>
        <v/>
      </c>
    </row>
    <row r="811" spans="1:16" x14ac:dyDescent="0.2">
      <c r="A811" s="58" t="e">
        <f t="shared" si="12"/>
        <v>#VALUE!</v>
      </c>
      <c r="B811" s="144" t="str">
        <f>IF(ISBLANK(DaqBook_RAW_Data!Q801),IF(DaqBook_RAW_Data!A801="","",TIMEVALUE(DaqBook_RAW_Data!A801)),TIMEVALUE(DaqBook_RAW_Data!Q801))</f>
        <v/>
      </c>
      <c r="C811" s="167" t="str">
        <f>IF(ISBLANK(DaqBook_RAW_Data!R801),"",DaqBook_RAW_Data!R801)</f>
        <v/>
      </c>
      <c r="D811" s="167" t="str">
        <f>IF(ISBLANK(DaqBook_RAW_Data!S801),"",DaqBook_RAW_Data!S801)</f>
        <v/>
      </c>
      <c r="E811" s="167" t="str">
        <f>IF(ISBLANK(DaqBook_RAW_Data!T801),"",DaqBook_RAW_Data!T801)</f>
        <v/>
      </c>
      <c r="F811" s="167" t="str">
        <f>IF(ISBLANK(DaqBook_RAW_Data!U801),"",DaqBook_RAW_Data!U801)</f>
        <v/>
      </c>
      <c r="G811" s="167" t="str">
        <f>IF(ISBLANK(DaqBook_RAW_Data!V801),"",DaqBook_RAW_Data!V801)</f>
        <v/>
      </c>
      <c r="H811" s="167" t="str">
        <f>IF(ISBLANK(DaqBook_RAW_Data!W801),"",DaqBook_RAW_Data!W801)</f>
        <v/>
      </c>
      <c r="I811" s="167" t="str">
        <f>IF(ISBLANK(DaqBook_RAW_Data!X801),"",DaqBook_RAW_Data!X801)</f>
        <v/>
      </c>
      <c r="J811" s="167" t="str">
        <f>IF(ISBLANK(DaqBook_RAW_Data!Y801),"",DaqBook_RAW_Data!Y801)</f>
        <v/>
      </c>
      <c r="K811" s="167" t="str">
        <f>IF(ISBLANK(DaqBook_RAW_Data!Z801),"",DaqBook_RAW_Data!Z801)</f>
        <v/>
      </c>
      <c r="L811" s="167" t="str">
        <f>IF(ISBLANK(DaqBook_RAW_Data!AA801),"",DaqBook_RAW_Data!AA801)</f>
        <v/>
      </c>
      <c r="M811" s="167" t="str">
        <f>IF(ISBLANK(DaqBook_RAW_Data!AB801),"",DaqBook_RAW_Data!AB801)</f>
        <v/>
      </c>
      <c r="N811" s="167" t="str">
        <f>IF(ISBLANK(DaqBook_RAW_Data!AC801),"",DaqBook_RAW_Data!AC801)</f>
        <v/>
      </c>
      <c r="O811" s="167" t="str">
        <f>IF(ISBLANK(DaqBook_RAW_Data!AD801),"",DaqBook_RAW_Data!AD801)</f>
        <v/>
      </c>
      <c r="P811" s="167" t="str">
        <f>IF(ISBLANK(DaqBook_RAW_Data!AE801),"",DaqBook_RAW_Data!AE801)</f>
        <v/>
      </c>
    </row>
    <row r="812" spans="1:16" x14ac:dyDescent="0.2">
      <c r="A812" s="58" t="e">
        <f t="shared" si="12"/>
        <v>#VALUE!</v>
      </c>
      <c r="B812" s="144" t="str">
        <f>IF(ISBLANK(DaqBook_RAW_Data!Q802),IF(DaqBook_RAW_Data!A802="","",TIMEVALUE(DaqBook_RAW_Data!A802)),TIMEVALUE(DaqBook_RAW_Data!Q802))</f>
        <v/>
      </c>
      <c r="C812" s="167" t="str">
        <f>IF(ISBLANK(DaqBook_RAW_Data!R802),"",DaqBook_RAW_Data!R802)</f>
        <v/>
      </c>
      <c r="D812" s="167" t="str">
        <f>IF(ISBLANK(DaqBook_RAW_Data!S802),"",DaqBook_RAW_Data!S802)</f>
        <v/>
      </c>
      <c r="E812" s="167" t="str">
        <f>IF(ISBLANK(DaqBook_RAW_Data!T802),"",DaqBook_RAW_Data!T802)</f>
        <v/>
      </c>
      <c r="F812" s="167" t="str">
        <f>IF(ISBLANK(DaqBook_RAW_Data!U802),"",DaqBook_RAW_Data!U802)</f>
        <v/>
      </c>
      <c r="G812" s="167" t="str">
        <f>IF(ISBLANK(DaqBook_RAW_Data!V802),"",DaqBook_RAW_Data!V802)</f>
        <v/>
      </c>
      <c r="H812" s="167" t="str">
        <f>IF(ISBLANK(DaqBook_RAW_Data!W802),"",DaqBook_RAW_Data!W802)</f>
        <v/>
      </c>
      <c r="I812" s="167" t="str">
        <f>IF(ISBLANK(DaqBook_RAW_Data!X802),"",DaqBook_RAW_Data!X802)</f>
        <v/>
      </c>
      <c r="J812" s="167" t="str">
        <f>IF(ISBLANK(DaqBook_RAW_Data!Y802),"",DaqBook_RAW_Data!Y802)</f>
        <v/>
      </c>
      <c r="K812" s="167" t="str">
        <f>IF(ISBLANK(DaqBook_RAW_Data!Z802),"",DaqBook_RAW_Data!Z802)</f>
        <v/>
      </c>
      <c r="L812" s="167" t="str">
        <f>IF(ISBLANK(DaqBook_RAW_Data!AA802),"",DaqBook_RAW_Data!AA802)</f>
        <v/>
      </c>
      <c r="M812" s="167" t="str">
        <f>IF(ISBLANK(DaqBook_RAW_Data!AB802),"",DaqBook_RAW_Data!AB802)</f>
        <v/>
      </c>
      <c r="N812" s="167" t="str">
        <f>IF(ISBLANK(DaqBook_RAW_Data!AC802),"",DaqBook_RAW_Data!AC802)</f>
        <v/>
      </c>
      <c r="O812" s="167" t="str">
        <f>IF(ISBLANK(DaqBook_RAW_Data!AD802),"",DaqBook_RAW_Data!AD802)</f>
        <v/>
      </c>
      <c r="P812" s="167" t="str">
        <f>IF(ISBLANK(DaqBook_RAW_Data!AE802),"",DaqBook_RAW_Data!AE802)</f>
        <v/>
      </c>
    </row>
    <row r="813" spans="1:16" x14ac:dyDescent="0.2">
      <c r="A813" s="58" t="e">
        <f t="shared" si="12"/>
        <v>#VALUE!</v>
      </c>
      <c r="B813" s="144" t="str">
        <f>IF(ISBLANK(DaqBook_RAW_Data!Q803),IF(DaqBook_RAW_Data!A803="","",TIMEVALUE(DaqBook_RAW_Data!A803)),TIMEVALUE(DaqBook_RAW_Data!Q803))</f>
        <v/>
      </c>
      <c r="C813" s="167" t="str">
        <f>IF(ISBLANK(DaqBook_RAW_Data!R803),"",DaqBook_RAW_Data!R803)</f>
        <v/>
      </c>
      <c r="D813" s="167" t="str">
        <f>IF(ISBLANK(DaqBook_RAW_Data!S803),"",DaqBook_RAW_Data!S803)</f>
        <v/>
      </c>
      <c r="E813" s="167" t="str">
        <f>IF(ISBLANK(DaqBook_RAW_Data!T803),"",DaqBook_RAW_Data!T803)</f>
        <v/>
      </c>
      <c r="F813" s="167" t="str">
        <f>IF(ISBLANK(DaqBook_RAW_Data!U803),"",DaqBook_RAW_Data!U803)</f>
        <v/>
      </c>
      <c r="G813" s="167" t="str">
        <f>IF(ISBLANK(DaqBook_RAW_Data!V803),"",DaqBook_RAW_Data!V803)</f>
        <v/>
      </c>
      <c r="H813" s="167" t="str">
        <f>IF(ISBLANK(DaqBook_RAW_Data!W803),"",DaqBook_RAW_Data!W803)</f>
        <v/>
      </c>
      <c r="I813" s="167" t="str">
        <f>IF(ISBLANK(DaqBook_RAW_Data!X803),"",DaqBook_RAW_Data!X803)</f>
        <v/>
      </c>
      <c r="J813" s="167" t="str">
        <f>IF(ISBLANK(DaqBook_RAW_Data!Y803),"",DaqBook_RAW_Data!Y803)</f>
        <v/>
      </c>
      <c r="K813" s="167" t="str">
        <f>IF(ISBLANK(DaqBook_RAW_Data!Z803),"",DaqBook_RAW_Data!Z803)</f>
        <v/>
      </c>
      <c r="L813" s="167" t="str">
        <f>IF(ISBLANK(DaqBook_RAW_Data!AA803),"",DaqBook_RAW_Data!AA803)</f>
        <v/>
      </c>
      <c r="M813" s="167" t="str">
        <f>IF(ISBLANK(DaqBook_RAW_Data!AB803),"",DaqBook_RAW_Data!AB803)</f>
        <v/>
      </c>
      <c r="N813" s="167" t="str">
        <f>IF(ISBLANK(DaqBook_RAW_Data!AC803),"",DaqBook_RAW_Data!AC803)</f>
        <v/>
      </c>
      <c r="O813" s="167" t="str">
        <f>IF(ISBLANK(DaqBook_RAW_Data!AD803),"",DaqBook_RAW_Data!AD803)</f>
        <v/>
      </c>
      <c r="P813" s="167" t="str">
        <f>IF(ISBLANK(DaqBook_RAW_Data!AE803),"",DaqBook_RAW_Data!AE803)</f>
        <v/>
      </c>
    </row>
    <row r="814" spans="1:16" x14ac:dyDescent="0.2">
      <c r="A814" s="58" t="e">
        <f t="shared" si="12"/>
        <v>#VALUE!</v>
      </c>
      <c r="B814" s="144" t="str">
        <f>IF(ISBLANK(DaqBook_RAW_Data!Q804),IF(DaqBook_RAW_Data!A804="","",TIMEVALUE(DaqBook_RAW_Data!A804)),TIMEVALUE(DaqBook_RAW_Data!Q804))</f>
        <v/>
      </c>
      <c r="C814" s="167" t="str">
        <f>IF(ISBLANK(DaqBook_RAW_Data!R804),"",DaqBook_RAW_Data!R804)</f>
        <v/>
      </c>
      <c r="D814" s="167" t="str">
        <f>IF(ISBLANK(DaqBook_RAW_Data!S804),"",DaqBook_RAW_Data!S804)</f>
        <v/>
      </c>
      <c r="E814" s="167" t="str">
        <f>IF(ISBLANK(DaqBook_RAW_Data!T804),"",DaqBook_RAW_Data!T804)</f>
        <v/>
      </c>
      <c r="F814" s="167" t="str">
        <f>IF(ISBLANK(DaqBook_RAW_Data!U804),"",DaqBook_RAW_Data!U804)</f>
        <v/>
      </c>
      <c r="G814" s="167" t="str">
        <f>IF(ISBLANK(DaqBook_RAW_Data!V804),"",DaqBook_RAW_Data!V804)</f>
        <v/>
      </c>
      <c r="H814" s="167" t="str">
        <f>IF(ISBLANK(DaqBook_RAW_Data!W804),"",DaqBook_RAW_Data!W804)</f>
        <v/>
      </c>
      <c r="I814" s="167" t="str">
        <f>IF(ISBLANK(DaqBook_RAW_Data!X804),"",DaqBook_RAW_Data!X804)</f>
        <v/>
      </c>
      <c r="J814" s="167" t="str">
        <f>IF(ISBLANK(DaqBook_RAW_Data!Y804),"",DaqBook_RAW_Data!Y804)</f>
        <v/>
      </c>
      <c r="K814" s="167" t="str">
        <f>IF(ISBLANK(DaqBook_RAW_Data!Z804),"",DaqBook_RAW_Data!Z804)</f>
        <v/>
      </c>
      <c r="L814" s="167" t="str">
        <f>IF(ISBLANK(DaqBook_RAW_Data!AA804),"",DaqBook_RAW_Data!AA804)</f>
        <v/>
      </c>
      <c r="M814" s="167" t="str">
        <f>IF(ISBLANK(DaqBook_RAW_Data!AB804),"",DaqBook_RAW_Data!AB804)</f>
        <v/>
      </c>
      <c r="N814" s="167" t="str">
        <f>IF(ISBLANK(DaqBook_RAW_Data!AC804),"",DaqBook_RAW_Data!AC804)</f>
        <v/>
      </c>
      <c r="O814" s="167" t="str">
        <f>IF(ISBLANK(DaqBook_RAW_Data!AD804),"",DaqBook_RAW_Data!AD804)</f>
        <v/>
      </c>
      <c r="P814" s="167" t="str">
        <f>IF(ISBLANK(DaqBook_RAW_Data!AE804),"",DaqBook_RAW_Data!AE804)</f>
        <v/>
      </c>
    </row>
    <row r="815" spans="1:16" x14ac:dyDescent="0.2">
      <c r="A815" s="58" t="e">
        <f t="shared" si="12"/>
        <v>#VALUE!</v>
      </c>
      <c r="B815" s="144" t="str">
        <f>IF(ISBLANK(DaqBook_RAW_Data!Q805),IF(DaqBook_RAW_Data!A805="","",TIMEVALUE(DaqBook_RAW_Data!A805)),TIMEVALUE(DaqBook_RAW_Data!Q805))</f>
        <v/>
      </c>
      <c r="C815" s="167" t="str">
        <f>IF(ISBLANK(DaqBook_RAW_Data!R805),"",DaqBook_RAW_Data!R805)</f>
        <v/>
      </c>
      <c r="D815" s="167" t="str">
        <f>IF(ISBLANK(DaqBook_RAW_Data!S805),"",DaqBook_RAW_Data!S805)</f>
        <v/>
      </c>
      <c r="E815" s="167" t="str">
        <f>IF(ISBLANK(DaqBook_RAW_Data!T805),"",DaqBook_RAW_Data!T805)</f>
        <v/>
      </c>
      <c r="F815" s="167" t="str">
        <f>IF(ISBLANK(DaqBook_RAW_Data!U805),"",DaqBook_RAW_Data!U805)</f>
        <v/>
      </c>
      <c r="G815" s="167" t="str">
        <f>IF(ISBLANK(DaqBook_RAW_Data!V805),"",DaqBook_RAW_Data!V805)</f>
        <v/>
      </c>
      <c r="H815" s="167" t="str">
        <f>IF(ISBLANK(DaqBook_RAW_Data!W805),"",DaqBook_RAW_Data!W805)</f>
        <v/>
      </c>
      <c r="I815" s="167" t="str">
        <f>IF(ISBLANK(DaqBook_RAW_Data!X805),"",DaqBook_RAW_Data!X805)</f>
        <v/>
      </c>
      <c r="J815" s="167" t="str">
        <f>IF(ISBLANK(DaqBook_RAW_Data!Y805),"",DaqBook_RAW_Data!Y805)</f>
        <v/>
      </c>
      <c r="K815" s="167" t="str">
        <f>IF(ISBLANK(DaqBook_RAW_Data!Z805),"",DaqBook_RAW_Data!Z805)</f>
        <v/>
      </c>
      <c r="L815" s="167" t="str">
        <f>IF(ISBLANK(DaqBook_RAW_Data!AA805),"",DaqBook_RAW_Data!AA805)</f>
        <v/>
      </c>
      <c r="M815" s="167" t="str">
        <f>IF(ISBLANK(DaqBook_RAW_Data!AB805),"",DaqBook_RAW_Data!AB805)</f>
        <v/>
      </c>
      <c r="N815" s="167" t="str">
        <f>IF(ISBLANK(DaqBook_RAW_Data!AC805),"",DaqBook_RAW_Data!AC805)</f>
        <v/>
      </c>
      <c r="O815" s="167" t="str">
        <f>IF(ISBLANK(DaqBook_RAW_Data!AD805),"",DaqBook_RAW_Data!AD805)</f>
        <v/>
      </c>
      <c r="P815" s="167" t="str">
        <f>IF(ISBLANK(DaqBook_RAW_Data!AE805),"",DaqBook_RAW_Data!AE805)</f>
        <v/>
      </c>
    </row>
    <row r="816" spans="1:16" x14ac:dyDescent="0.2">
      <c r="A816" s="58" t="e">
        <f t="shared" si="12"/>
        <v>#VALUE!</v>
      </c>
      <c r="B816" s="144" t="str">
        <f>IF(ISBLANK(DaqBook_RAW_Data!Q806),IF(DaqBook_RAW_Data!A806="","",TIMEVALUE(DaqBook_RAW_Data!A806)),TIMEVALUE(DaqBook_RAW_Data!Q806))</f>
        <v/>
      </c>
      <c r="C816" s="167" t="str">
        <f>IF(ISBLANK(DaqBook_RAW_Data!R806),"",DaqBook_RAW_Data!R806)</f>
        <v/>
      </c>
      <c r="D816" s="167" t="str">
        <f>IF(ISBLANK(DaqBook_RAW_Data!S806),"",DaqBook_RAW_Data!S806)</f>
        <v/>
      </c>
      <c r="E816" s="167" t="str">
        <f>IF(ISBLANK(DaqBook_RAW_Data!T806),"",DaqBook_RAW_Data!T806)</f>
        <v/>
      </c>
      <c r="F816" s="167" t="str">
        <f>IF(ISBLANK(DaqBook_RAW_Data!U806),"",DaqBook_RAW_Data!U806)</f>
        <v/>
      </c>
      <c r="G816" s="167" t="str">
        <f>IF(ISBLANK(DaqBook_RAW_Data!V806),"",DaqBook_RAW_Data!V806)</f>
        <v/>
      </c>
      <c r="H816" s="167" t="str">
        <f>IF(ISBLANK(DaqBook_RAW_Data!W806),"",DaqBook_RAW_Data!W806)</f>
        <v/>
      </c>
      <c r="I816" s="167" t="str">
        <f>IF(ISBLANK(DaqBook_RAW_Data!X806),"",DaqBook_RAW_Data!X806)</f>
        <v/>
      </c>
      <c r="J816" s="167" t="str">
        <f>IF(ISBLANK(DaqBook_RAW_Data!Y806),"",DaqBook_RAW_Data!Y806)</f>
        <v/>
      </c>
      <c r="K816" s="167" t="str">
        <f>IF(ISBLANK(DaqBook_RAW_Data!Z806),"",DaqBook_RAW_Data!Z806)</f>
        <v/>
      </c>
      <c r="L816" s="167" t="str">
        <f>IF(ISBLANK(DaqBook_RAW_Data!AA806),"",DaqBook_RAW_Data!AA806)</f>
        <v/>
      </c>
      <c r="M816" s="167" t="str">
        <f>IF(ISBLANK(DaqBook_RAW_Data!AB806),"",DaqBook_RAW_Data!AB806)</f>
        <v/>
      </c>
      <c r="N816" s="167" t="str">
        <f>IF(ISBLANK(DaqBook_RAW_Data!AC806),"",DaqBook_RAW_Data!AC806)</f>
        <v/>
      </c>
      <c r="O816" s="167" t="str">
        <f>IF(ISBLANK(DaqBook_RAW_Data!AD806),"",DaqBook_RAW_Data!AD806)</f>
        <v/>
      </c>
      <c r="P816" s="167" t="str">
        <f>IF(ISBLANK(DaqBook_RAW_Data!AE806),"",DaqBook_RAW_Data!AE806)</f>
        <v/>
      </c>
    </row>
    <row r="817" spans="1:16" x14ac:dyDescent="0.2">
      <c r="A817" s="58" t="e">
        <f t="shared" si="12"/>
        <v>#VALUE!</v>
      </c>
      <c r="B817" s="144" t="str">
        <f>IF(ISBLANK(DaqBook_RAW_Data!Q807),IF(DaqBook_RAW_Data!A807="","",TIMEVALUE(DaqBook_RAW_Data!A807)),TIMEVALUE(DaqBook_RAW_Data!Q807))</f>
        <v/>
      </c>
      <c r="C817" s="167" t="str">
        <f>IF(ISBLANK(DaqBook_RAW_Data!R807),"",DaqBook_RAW_Data!R807)</f>
        <v/>
      </c>
      <c r="D817" s="167" t="str">
        <f>IF(ISBLANK(DaqBook_RAW_Data!S807),"",DaqBook_RAW_Data!S807)</f>
        <v/>
      </c>
      <c r="E817" s="167" t="str">
        <f>IF(ISBLANK(DaqBook_RAW_Data!T807),"",DaqBook_RAW_Data!T807)</f>
        <v/>
      </c>
      <c r="F817" s="167" t="str">
        <f>IF(ISBLANK(DaqBook_RAW_Data!U807),"",DaqBook_RAW_Data!U807)</f>
        <v/>
      </c>
      <c r="G817" s="167" t="str">
        <f>IF(ISBLANK(DaqBook_RAW_Data!V807),"",DaqBook_RAW_Data!V807)</f>
        <v/>
      </c>
      <c r="H817" s="167" t="str">
        <f>IF(ISBLANK(DaqBook_RAW_Data!W807),"",DaqBook_RAW_Data!W807)</f>
        <v/>
      </c>
      <c r="I817" s="167" t="str">
        <f>IF(ISBLANK(DaqBook_RAW_Data!X807),"",DaqBook_RAW_Data!X807)</f>
        <v/>
      </c>
      <c r="J817" s="167" t="str">
        <f>IF(ISBLANK(DaqBook_RAW_Data!Y807),"",DaqBook_RAW_Data!Y807)</f>
        <v/>
      </c>
      <c r="K817" s="167" t="str">
        <f>IF(ISBLANK(DaqBook_RAW_Data!Z807),"",DaqBook_RAW_Data!Z807)</f>
        <v/>
      </c>
      <c r="L817" s="167" t="str">
        <f>IF(ISBLANK(DaqBook_RAW_Data!AA807),"",DaqBook_RAW_Data!AA807)</f>
        <v/>
      </c>
      <c r="M817" s="167" t="str">
        <f>IF(ISBLANK(DaqBook_RAW_Data!AB807),"",DaqBook_RAW_Data!AB807)</f>
        <v/>
      </c>
      <c r="N817" s="167" t="str">
        <f>IF(ISBLANK(DaqBook_RAW_Data!AC807),"",DaqBook_RAW_Data!AC807)</f>
        <v/>
      </c>
      <c r="O817" s="167" t="str">
        <f>IF(ISBLANK(DaqBook_RAW_Data!AD807),"",DaqBook_RAW_Data!AD807)</f>
        <v/>
      </c>
      <c r="P817" s="167" t="str">
        <f>IF(ISBLANK(DaqBook_RAW_Data!AE807),"",DaqBook_RAW_Data!AE807)</f>
        <v/>
      </c>
    </row>
    <row r="818" spans="1:16" x14ac:dyDescent="0.2">
      <c r="A818" s="58" t="e">
        <f t="shared" si="12"/>
        <v>#VALUE!</v>
      </c>
      <c r="B818" s="144" t="str">
        <f>IF(ISBLANK(DaqBook_RAW_Data!Q808),IF(DaqBook_RAW_Data!A808="","",TIMEVALUE(DaqBook_RAW_Data!A808)),TIMEVALUE(DaqBook_RAW_Data!Q808))</f>
        <v/>
      </c>
      <c r="C818" s="167" t="str">
        <f>IF(ISBLANK(DaqBook_RAW_Data!R808),"",DaqBook_RAW_Data!R808)</f>
        <v/>
      </c>
      <c r="D818" s="167" t="str">
        <f>IF(ISBLANK(DaqBook_RAW_Data!S808),"",DaqBook_RAW_Data!S808)</f>
        <v/>
      </c>
      <c r="E818" s="167" t="str">
        <f>IF(ISBLANK(DaqBook_RAW_Data!T808),"",DaqBook_RAW_Data!T808)</f>
        <v/>
      </c>
      <c r="F818" s="167" t="str">
        <f>IF(ISBLANK(DaqBook_RAW_Data!U808),"",DaqBook_RAW_Data!U808)</f>
        <v/>
      </c>
      <c r="G818" s="167" t="str">
        <f>IF(ISBLANK(DaqBook_RAW_Data!V808),"",DaqBook_RAW_Data!V808)</f>
        <v/>
      </c>
      <c r="H818" s="167" t="str">
        <f>IF(ISBLANK(DaqBook_RAW_Data!W808),"",DaqBook_RAW_Data!W808)</f>
        <v/>
      </c>
      <c r="I818" s="167" t="str">
        <f>IF(ISBLANK(DaqBook_RAW_Data!X808),"",DaqBook_RAW_Data!X808)</f>
        <v/>
      </c>
      <c r="J818" s="167" t="str">
        <f>IF(ISBLANK(DaqBook_RAW_Data!Y808),"",DaqBook_RAW_Data!Y808)</f>
        <v/>
      </c>
      <c r="K818" s="167" t="str">
        <f>IF(ISBLANK(DaqBook_RAW_Data!Z808),"",DaqBook_RAW_Data!Z808)</f>
        <v/>
      </c>
      <c r="L818" s="167" t="str">
        <f>IF(ISBLANK(DaqBook_RAW_Data!AA808),"",DaqBook_RAW_Data!AA808)</f>
        <v/>
      </c>
      <c r="M818" s="167" t="str">
        <f>IF(ISBLANK(DaqBook_RAW_Data!AB808),"",DaqBook_RAW_Data!AB808)</f>
        <v/>
      </c>
      <c r="N818" s="167" t="str">
        <f>IF(ISBLANK(DaqBook_RAW_Data!AC808),"",DaqBook_RAW_Data!AC808)</f>
        <v/>
      </c>
      <c r="O818" s="167" t="str">
        <f>IF(ISBLANK(DaqBook_RAW_Data!AD808),"",DaqBook_RAW_Data!AD808)</f>
        <v/>
      </c>
      <c r="P818" s="167" t="str">
        <f>IF(ISBLANK(DaqBook_RAW_Data!AE808),"",DaqBook_RAW_Data!AE808)</f>
        <v/>
      </c>
    </row>
    <row r="819" spans="1:16" x14ac:dyDescent="0.2">
      <c r="A819" s="58" t="e">
        <f t="shared" si="12"/>
        <v>#VALUE!</v>
      </c>
      <c r="B819" s="144" t="str">
        <f>IF(ISBLANK(DaqBook_RAW_Data!Q809),IF(DaqBook_RAW_Data!A809="","",TIMEVALUE(DaqBook_RAW_Data!A809)),TIMEVALUE(DaqBook_RAW_Data!Q809))</f>
        <v/>
      </c>
      <c r="C819" s="167" t="str">
        <f>IF(ISBLANK(DaqBook_RAW_Data!R809),"",DaqBook_RAW_Data!R809)</f>
        <v/>
      </c>
      <c r="D819" s="167" t="str">
        <f>IF(ISBLANK(DaqBook_RAW_Data!S809),"",DaqBook_RAW_Data!S809)</f>
        <v/>
      </c>
      <c r="E819" s="167" t="str">
        <f>IF(ISBLANK(DaqBook_RAW_Data!T809),"",DaqBook_RAW_Data!T809)</f>
        <v/>
      </c>
      <c r="F819" s="167" t="str">
        <f>IF(ISBLANK(DaqBook_RAW_Data!U809),"",DaqBook_RAW_Data!U809)</f>
        <v/>
      </c>
      <c r="G819" s="167" t="str">
        <f>IF(ISBLANK(DaqBook_RAW_Data!V809),"",DaqBook_RAW_Data!V809)</f>
        <v/>
      </c>
      <c r="H819" s="167" t="str">
        <f>IF(ISBLANK(DaqBook_RAW_Data!W809),"",DaqBook_RAW_Data!W809)</f>
        <v/>
      </c>
      <c r="I819" s="167" t="str">
        <f>IF(ISBLANK(DaqBook_RAW_Data!X809),"",DaqBook_RAW_Data!X809)</f>
        <v/>
      </c>
      <c r="J819" s="167" t="str">
        <f>IF(ISBLANK(DaqBook_RAW_Data!Y809),"",DaqBook_RAW_Data!Y809)</f>
        <v/>
      </c>
      <c r="K819" s="167" t="str">
        <f>IF(ISBLANK(DaqBook_RAW_Data!Z809),"",DaqBook_RAW_Data!Z809)</f>
        <v/>
      </c>
      <c r="L819" s="167" t="str">
        <f>IF(ISBLANK(DaqBook_RAW_Data!AA809),"",DaqBook_RAW_Data!AA809)</f>
        <v/>
      </c>
      <c r="M819" s="167" t="str">
        <f>IF(ISBLANK(DaqBook_RAW_Data!AB809),"",DaqBook_RAW_Data!AB809)</f>
        <v/>
      </c>
      <c r="N819" s="167" t="str">
        <f>IF(ISBLANK(DaqBook_RAW_Data!AC809),"",DaqBook_RAW_Data!AC809)</f>
        <v/>
      </c>
      <c r="O819" s="167" t="str">
        <f>IF(ISBLANK(DaqBook_RAW_Data!AD809),"",DaqBook_RAW_Data!AD809)</f>
        <v/>
      </c>
      <c r="P819" s="167" t="str">
        <f>IF(ISBLANK(DaqBook_RAW_Data!AE809),"",DaqBook_RAW_Data!AE809)</f>
        <v/>
      </c>
    </row>
    <row r="820" spans="1:16" x14ac:dyDescent="0.2">
      <c r="A820" s="58" t="e">
        <f t="shared" si="12"/>
        <v>#VALUE!</v>
      </c>
      <c r="B820" s="144" t="str">
        <f>IF(ISBLANK(DaqBook_RAW_Data!Q810),IF(DaqBook_RAW_Data!A810="","",TIMEVALUE(DaqBook_RAW_Data!A810)),TIMEVALUE(DaqBook_RAW_Data!Q810))</f>
        <v/>
      </c>
      <c r="C820" s="167" t="str">
        <f>IF(ISBLANK(DaqBook_RAW_Data!R810),"",DaqBook_RAW_Data!R810)</f>
        <v/>
      </c>
      <c r="D820" s="167" t="str">
        <f>IF(ISBLANK(DaqBook_RAW_Data!S810),"",DaqBook_RAW_Data!S810)</f>
        <v/>
      </c>
      <c r="E820" s="167" t="str">
        <f>IF(ISBLANK(DaqBook_RAW_Data!T810),"",DaqBook_RAW_Data!T810)</f>
        <v/>
      </c>
      <c r="F820" s="167" t="str">
        <f>IF(ISBLANK(DaqBook_RAW_Data!U810),"",DaqBook_RAW_Data!U810)</f>
        <v/>
      </c>
      <c r="G820" s="167" t="str">
        <f>IF(ISBLANK(DaqBook_RAW_Data!V810),"",DaqBook_RAW_Data!V810)</f>
        <v/>
      </c>
      <c r="H820" s="167" t="str">
        <f>IF(ISBLANK(DaqBook_RAW_Data!W810),"",DaqBook_RAW_Data!W810)</f>
        <v/>
      </c>
      <c r="I820" s="167" t="str">
        <f>IF(ISBLANK(DaqBook_RAW_Data!X810),"",DaqBook_RAW_Data!X810)</f>
        <v/>
      </c>
      <c r="J820" s="167" t="str">
        <f>IF(ISBLANK(DaqBook_RAW_Data!Y810),"",DaqBook_RAW_Data!Y810)</f>
        <v/>
      </c>
      <c r="K820" s="167" t="str">
        <f>IF(ISBLANK(DaqBook_RAW_Data!Z810),"",DaqBook_RAW_Data!Z810)</f>
        <v/>
      </c>
      <c r="L820" s="167" t="str">
        <f>IF(ISBLANK(DaqBook_RAW_Data!AA810),"",DaqBook_RAW_Data!AA810)</f>
        <v/>
      </c>
      <c r="M820" s="167" t="str">
        <f>IF(ISBLANK(DaqBook_RAW_Data!AB810),"",DaqBook_RAW_Data!AB810)</f>
        <v/>
      </c>
      <c r="N820" s="167" t="str">
        <f>IF(ISBLANK(DaqBook_RAW_Data!AC810),"",DaqBook_RAW_Data!AC810)</f>
        <v/>
      </c>
      <c r="O820" s="167" t="str">
        <f>IF(ISBLANK(DaqBook_RAW_Data!AD810),"",DaqBook_RAW_Data!AD810)</f>
        <v/>
      </c>
      <c r="P820" s="167" t="str">
        <f>IF(ISBLANK(DaqBook_RAW_Data!AE810),"",DaqBook_RAW_Data!AE810)</f>
        <v/>
      </c>
    </row>
    <row r="821" spans="1:16" x14ac:dyDescent="0.2">
      <c r="A821" s="58" t="e">
        <f t="shared" si="12"/>
        <v>#VALUE!</v>
      </c>
      <c r="B821" s="144" t="str">
        <f>IF(ISBLANK(DaqBook_RAW_Data!Q811),IF(DaqBook_RAW_Data!A811="","",TIMEVALUE(DaqBook_RAW_Data!A811)),TIMEVALUE(DaqBook_RAW_Data!Q811))</f>
        <v/>
      </c>
      <c r="C821" s="167" t="str">
        <f>IF(ISBLANK(DaqBook_RAW_Data!R811),"",DaqBook_RAW_Data!R811)</f>
        <v/>
      </c>
      <c r="D821" s="167" t="str">
        <f>IF(ISBLANK(DaqBook_RAW_Data!S811),"",DaqBook_RAW_Data!S811)</f>
        <v/>
      </c>
      <c r="E821" s="167" t="str">
        <f>IF(ISBLANK(DaqBook_RAW_Data!T811),"",DaqBook_RAW_Data!T811)</f>
        <v/>
      </c>
      <c r="F821" s="167" t="str">
        <f>IF(ISBLANK(DaqBook_RAW_Data!U811),"",DaqBook_RAW_Data!U811)</f>
        <v/>
      </c>
      <c r="G821" s="167" t="str">
        <f>IF(ISBLANK(DaqBook_RAW_Data!V811),"",DaqBook_RAW_Data!V811)</f>
        <v/>
      </c>
      <c r="H821" s="167" t="str">
        <f>IF(ISBLANK(DaqBook_RAW_Data!W811),"",DaqBook_RAW_Data!W811)</f>
        <v/>
      </c>
      <c r="I821" s="167" t="str">
        <f>IF(ISBLANK(DaqBook_RAW_Data!X811),"",DaqBook_RAW_Data!X811)</f>
        <v/>
      </c>
      <c r="J821" s="167" t="str">
        <f>IF(ISBLANK(DaqBook_RAW_Data!Y811),"",DaqBook_RAW_Data!Y811)</f>
        <v/>
      </c>
      <c r="K821" s="167" t="str">
        <f>IF(ISBLANK(DaqBook_RAW_Data!Z811),"",DaqBook_RAW_Data!Z811)</f>
        <v/>
      </c>
      <c r="L821" s="167" t="str">
        <f>IF(ISBLANK(DaqBook_RAW_Data!AA811),"",DaqBook_RAW_Data!AA811)</f>
        <v/>
      </c>
      <c r="M821" s="167" t="str">
        <f>IF(ISBLANK(DaqBook_RAW_Data!AB811),"",DaqBook_RAW_Data!AB811)</f>
        <v/>
      </c>
      <c r="N821" s="167" t="str">
        <f>IF(ISBLANK(DaqBook_RAW_Data!AC811),"",DaqBook_RAW_Data!AC811)</f>
        <v/>
      </c>
      <c r="O821" s="167" t="str">
        <f>IF(ISBLANK(DaqBook_RAW_Data!AD811),"",DaqBook_RAW_Data!AD811)</f>
        <v/>
      </c>
      <c r="P821" s="167" t="str">
        <f>IF(ISBLANK(DaqBook_RAW_Data!AE811),"",DaqBook_RAW_Data!AE811)</f>
        <v/>
      </c>
    </row>
    <row r="822" spans="1:16" x14ac:dyDescent="0.2">
      <c r="A822" s="58" t="e">
        <f t="shared" si="12"/>
        <v>#VALUE!</v>
      </c>
      <c r="B822" s="144" t="str">
        <f>IF(ISBLANK(DaqBook_RAW_Data!Q812),IF(DaqBook_RAW_Data!A812="","",TIMEVALUE(DaqBook_RAW_Data!A812)),TIMEVALUE(DaqBook_RAW_Data!Q812))</f>
        <v/>
      </c>
      <c r="C822" s="167" t="str">
        <f>IF(ISBLANK(DaqBook_RAW_Data!R812),"",DaqBook_RAW_Data!R812)</f>
        <v/>
      </c>
      <c r="D822" s="167" t="str">
        <f>IF(ISBLANK(DaqBook_RAW_Data!S812),"",DaqBook_RAW_Data!S812)</f>
        <v/>
      </c>
      <c r="E822" s="167" t="str">
        <f>IF(ISBLANK(DaqBook_RAW_Data!T812),"",DaqBook_RAW_Data!T812)</f>
        <v/>
      </c>
      <c r="F822" s="167" t="str">
        <f>IF(ISBLANK(DaqBook_RAW_Data!U812),"",DaqBook_RAW_Data!U812)</f>
        <v/>
      </c>
      <c r="G822" s="167" t="str">
        <f>IF(ISBLANK(DaqBook_RAW_Data!V812),"",DaqBook_RAW_Data!V812)</f>
        <v/>
      </c>
      <c r="H822" s="167" t="str">
        <f>IF(ISBLANK(DaqBook_RAW_Data!W812),"",DaqBook_RAW_Data!W812)</f>
        <v/>
      </c>
      <c r="I822" s="167" t="str">
        <f>IF(ISBLANK(DaqBook_RAW_Data!X812),"",DaqBook_RAW_Data!X812)</f>
        <v/>
      </c>
      <c r="J822" s="167" t="str">
        <f>IF(ISBLANK(DaqBook_RAW_Data!Y812),"",DaqBook_RAW_Data!Y812)</f>
        <v/>
      </c>
      <c r="K822" s="167" t="str">
        <f>IF(ISBLANK(DaqBook_RAW_Data!Z812),"",DaqBook_RAW_Data!Z812)</f>
        <v/>
      </c>
      <c r="L822" s="167" t="str">
        <f>IF(ISBLANK(DaqBook_RAW_Data!AA812),"",DaqBook_RAW_Data!AA812)</f>
        <v/>
      </c>
      <c r="M822" s="167" t="str">
        <f>IF(ISBLANK(DaqBook_RAW_Data!AB812),"",DaqBook_RAW_Data!AB812)</f>
        <v/>
      </c>
      <c r="N822" s="167" t="str">
        <f>IF(ISBLANK(DaqBook_RAW_Data!AC812),"",DaqBook_RAW_Data!AC812)</f>
        <v/>
      </c>
      <c r="O822" s="167" t="str">
        <f>IF(ISBLANK(DaqBook_RAW_Data!AD812),"",DaqBook_RAW_Data!AD812)</f>
        <v/>
      </c>
      <c r="P822" s="167" t="str">
        <f>IF(ISBLANK(DaqBook_RAW_Data!AE812),"",DaqBook_RAW_Data!AE812)</f>
        <v/>
      </c>
    </row>
    <row r="823" spans="1:16" x14ac:dyDescent="0.2">
      <c r="A823" s="58" t="e">
        <f t="shared" si="12"/>
        <v>#VALUE!</v>
      </c>
      <c r="B823" s="144" t="str">
        <f>IF(ISBLANK(DaqBook_RAW_Data!Q813),IF(DaqBook_RAW_Data!A813="","",TIMEVALUE(DaqBook_RAW_Data!A813)),TIMEVALUE(DaqBook_RAW_Data!Q813))</f>
        <v/>
      </c>
      <c r="C823" s="167" t="str">
        <f>IF(ISBLANK(DaqBook_RAW_Data!R813),"",DaqBook_RAW_Data!R813)</f>
        <v/>
      </c>
      <c r="D823" s="167" t="str">
        <f>IF(ISBLANK(DaqBook_RAW_Data!S813),"",DaqBook_RAW_Data!S813)</f>
        <v/>
      </c>
      <c r="E823" s="167" t="str">
        <f>IF(ISBLANK(DaqBook_RAW_Data!T813),"",DaqBook_RAW_Data!T813)</f>
        <v/>
      </c>
      <c r="F823" s="167" t="str">
        <f>IF(ISBLANK(DaqBook_RAW_Data!U813),"",DaqBook_RAW_Data!U813)</f>
        <v/>
      </c>
      <c r="G823" s="167" t="str">
        <f>IF(ISBLANK(DaqBook_RAW_Data!V813),"",DaqBook_RAW_Data!V813)</f>
        <v/>
      </c>
      <c r="H823" s="167" t="str">
        <f>IF(ISBLANK(DaqBook_RAW_Data!W813),"",DaqBook_RAW_Data!W813)</f>
        <v/>
      </c>
      <c r="I823" s="167" t="str">
        <f>IF(ISBLANK(DaqBook_RAW_Data!X813),"",DaqBook_RAW_Data!X813)</f>
        <v/>
      </c>
      <c r="J823" s="167" t="str">
        <f>IF(ISBLANK(DaqBook_RAW_Data!Y813),"",DaqBook_RAW_Data!Y813)</f>
        <v/>
      </c>
      <c r="K823" s="167" t="str">
        <f>IF(ISBLANK(DaqBook_RAW_Data!Z813),"",DaqBook_RAW_Data!Z813)</f>
        <v/>
      </c>
      <c r="L823" s="167" t="str">
        <f>IF(ISBLANK(DaqBook_RAW_Data!AA813),"",DaqBook_RAW_Data!AA813)</f>
        <v/>
      </c>
      <c r="M823" s="167" t="str">
        <f>IF(ISBLANK(DaqBook_RAW_Data!AB813),"",DaqBook_RAW_Data!AB813)</f>
        <v/>
      </c>
      <c r="N823" s="167" t="str">
        <f>IF(ISBLANK(DaqBook_RAW_Data!AC813),"",DaqBook_RAW_Data!AC813)</f>
        <v/>
      </c>
      <c r="O823" s="167" t="str">
        <f>IF(ISBLANK(DaqBook_RAW_Data!AD813),"",DaqBook_RAW_Data!AD813)</f>
        <v/>
      </c>
      <c r="P823" s="167" t="str">
        <f>IF(ISBLANK(DaqBook_RAW_Data!AE813),"",DaqBook_RAW_Data!AE813)</f>
        <v/>
      </c>
    </row>
    <row r="824" spans="1:16" x14ac:dyDescent="0.2">
      <c r="A824" s="58" t="e">
        <f t="shared" si="12"/>
        <v>#VALUE!</v>
      </c>
      <c r="B824" s="144" t="str">
        <f>IF(ISBLANK(DaqBook_RAW_Data!Q814),IF(DaqBook_RAW_Data!A814="","",TIMEVALUE(DaqBook_RAW_Data!A814)),TIMEVALUE(DaqBook_RAW_Data!Q814))</f>
        <v/>
      </c>
      <c r="C824" s="167" t="str">
        <f>IF(ISBLANK(DaqBook_RAW_Data!R814),"",DaqBook_RAW_Data!R814)</f>
        <v/>
      </c>
      <c r="D824" s="167" t="str">
        <f>IF(ISBLANK(DaqBook_RAW_Data!S814),"",DaqBook_RAW_Data!S814)</f>
        <v/>
      </c>
      <c r="E824" s="167" t="str">
        <f>IF(ISBLANK(DaqBook_RAW_Data!T814),"",DaqBook_RAW_Data!T814)</f>
        <v/>
      </c>
      <c r="F824" s="167" t="str">
        <f>IF(ISBLANK(DaqBook_RAW_Data!U814),"",DaqBook_RAW_Data!U814)</f>
        <v/>
      </c>
      <c r="G824" s="167" t="str">
        <f>IF(ISBLANK(DaqBook_RAW_Data!V814),"",DaqBook_RAW_Data!V814)</f>
        <v/>
      </c>
      <c r="H824" s="167" t="str">
        <f>IF(ISBLANK(DaqBook_RAW_Data!W814),"",DaqBook_RAW_Data!W814)</f>
        <v/>
      </c>
      <c r="I824" s="167" t="str">
        <f>IF(ISBLANK(DaqBook_RAW_Data!X814),"",DaqBook_RAW_Data!X814)</f>
        <v/>
      </c>
      <c r="J824" s="167" t="str">
        <f>IF(ISBLANK(DaqBook_RAW_Data!Y814),"",DaqBook_RAW_Data!Y814)</f>
        <v/>
      </c>
      <c r="K824" s="167" t="str">
        <f>IF(ISBLANK(DaqBook_RAW_Data!Z814),"",DaqBook_RAW_Data!Z814)</f>
        <v/>
      </c>
      <c r="L824" s="167" t="str">
        <f>IF(ISBLANK(DaqBook_RAW_Data!AA814),"",DaqBook_RAW_Data!AA814)</f>
        <v/>
      </c>
      <c r="M824" s="167" t="str">
        <f>IF(ISBLANK(DaqBook_RAW_Data!AB814),"",DaqBook_RAW_Data!AB814)</f>
        <v/>
      </c>
      <c r="N824" s="167" t="str">
        <f>IF(ISBLANK(DaqBook_RAW_Data!AC814),"",DaqBook_RAW_Data!AC814)</f>
        <v/>
      </c>
      <c r="O824" s="167" t="str">
        <f>IF(ISBLANK(DaqBook_RAW_Data!AD814),"",DaqBook_RAW_Data!AD814)</f>
        <v/>
      </c>
      <c r="P824" s="167" t="str">
        <f>IF(ISBLANK(DaqBook_RAW_Data!AE814),"",DaqBook_RAW_Data!AE814)</f>
        <v/>
      </c>
    </row>
    <row r="825" spans="1:16" x14ac:dyDescent="0.2">
      <c r="A825" s="58" t="e">
        <f t="shared" si="12"/>
        <v>#VALUE!</v>
      </c>
      <c r="B825" s="144" t="str">
        <f>IF(ISBLANK(DaqBook_RAW_Data!Q815),IF(DaqBook_RAW_Data!A815="","",TIMEVALUE(DaqBook_RAW_Data!A815)),TIMEVALUE(DaqBook_RAW_Data!Q815))</f>
        <v/>
      </c>
      <c r="C825" s="167" t="str">
        <f>IF(ISBLANK(DaqBook_RAW_Data!R815),"",DaqBook_RAW_Data!R815)</f>
        <v/>
      </c>
      <c r="D825" s="167" t="str">
        <f>IF(ISBLANK(DaqBook_RAW_Data!S815),"",DaqBook_RAW_Data!S815)</f>
        <v/>
      </c>
      <c r="E825" s="167" t="str">
        <f>IF(ISBLANK(DaqBook_RAW_Data!T815),"",DaqBook_RAW_Data!T815)</f>
        <v/>
      </c>
      <c r="F825" s="167" t="str">
        <f>IF(ISBLANK(DaqBook_RAW_Data!U815),"",DaqBook_RAW_Data!U815)</f>
        <v/>
      </c>
      <c r="G825" s="167" t="str">
        <f>IF(ISBLANK(DaqBook_RAW_Data!V815),"",DaqBook_RAW_Data!V815)</f>
        <v/>
      </c>
      <c r="H825" s="167" t="str">
        <f>IF(ISBLANK(DaqBook_RAW_Data!W815),"",DaqBook_RAW_Data!W815)</f>
        <v/>
      </c>
      <c r="I825" s="167" t="str">
        <f>IF(ISBLANK(DaqBook_RAW_Data!X815),"",DaqBook_RAW_Data!X815)</f>
        <v/>
      </c>
      <c r="J825" s="167" t="str">
        <f>IF(ISBLANK(DaqBook_RAW_Data!Y815),"",DaqBook_RAW_Data!Y815)</f>
        <v/>
      </c>
      <c r="K825" s="167" t="str">
        <f>IF(ISBLANK(DaqBook_RAW_Data!Z815),"",DaqBook_RAW_Data!Z815)</f>
        <v/>
      </c>
      <c r="L825" s="167" t="str">
        <f>IF(ISBLANK(DaqBook_RAW_Data!AA815),"",DaqBook_RAW_Data!AA815)</f>
        <v/>
      </c>
      <c r="M825" s="167" t="str">
        <f>IF(ISBLANK(DaqBook_RAW_Data!AB815),"",DaqBook_RAW_Data!AB815)</f>
        <v/>
      </c>
      <c r="N825" s="167" t="str">
        <f>IF(ISBLANK(DaqBook_RAW_Data!AC815),"",DaqBook_RAW_Data!AC815)</f>
        <v/>
      </c>
      <c r="O825" s="167" t="str">
        <f>IF(ISBLANK(DaqBook_RAW_Data!AD815),"",DaqBook_RAW_Data!AD815)</f>
        <v/>
      </c>
      <c r="P825" s="167" t="str">
        <f>IF(ISBLANK(DaqBook_RAW_Data!AE815),"",DaqBook_RAW_Data!AE815)</f>
        <v/>
      </c>
    </row>
    <row r="826" spans="1:16" x14ac:dyDescent="0.2">
      <c r="A826" s="58" t="e">
        <f t="shared" si="12"/>
        <v>#VALUE!</v>
      </c>
      <c r="B826" s="144" t="str">
        <f>IF(ISBLANK(DaqBook_RAW_Data!Q816),IF(DaqBook_RAW_Data!A816="","",TIMEVALUE(DaqBook_RAW_Data!A816)),TIMEVALUE(DaqBook_RAW_Data!Q816))</f>
        <v/>
      </c>
      <c r="C826" s="167" t="str">
        <f>IF(ISBLANK(DaqBook_RAW_Data!R816),"",DaqBook_RAW_Data!R816)</f>
        <v/>
      </c>
      <c r="D826" s="167" t="str">
        <f>IF(ISBLANK(DaqBook_RAW_Data!S816),"",DaqBook_RAW_Data!S816)</f>
        <v/>
      </c>
      <c r="E826" s="167" t="str">
        <f>IF(ISBLANK(DaqBook_RAW_Data!T816),"",DaqBook_RAW_Data!T816)</f>
        <v/>
      </c>
      <c r="F826" s="167" t="str">
        <f>IF(ISBLANK(DaqBook_RAW_Data!U816),"",DaqBook_RAW_Data!U816)</f>
        <v/>
      </c>
      <c r="G826" s="167" t="str">
        <f>IF(ISBLANK(DaqBook_RAW_Data!V816),"",DaqBook_RAW_Data!V816)</f>
        <v/>
      </c>
      <c r="H826" s="167" t="str">
        <f>IF(ISBLANK(DaqBook_RAW_Data!W816),"",DaqBook_RAW_Data!W816)</f>
        <v/>
      </c>
      <c r="I826" s="167" t="str">
        <f>IF(ISBLANK(DaqBook_RAW_Data!X816),"",DaqBook_RAW_Data!X816)</f>
        <v/>
      </c>
      <c r="J826" s="167" t="str">
        <f>IF(ISBLANK(DaqBook_RAW_Data!Y816),"",DaqBook_RAW_Data!Y816)</f>
        <v/>
      </c>
      <c r="K826" s="167" t="str">
        <f>IF(ISBLANK(DaqBook_RAW_Data!Z816),"",DaqBook_RAW_Data!Z816)</f>
        <v/>
      </c>
      <c r="L826" s="167" t="str">
        <f>IF(ISBLANK(DaqBook_RAW_Data!AA816),"",DaqBook_RAW_Data!AA816)</f>
        <v/>
      </c>
      <c r="M826" s="167" t="str">
        <f>IF(ISBLANK(DaqBook_RAW_Data!AB816),"",DaqBook_RAW_Data!AB816)</f>
        <v/>
      </c>
      <c r="N826" s="167" t="str">
        <f>IF(ISBLANK(DaqBook_RAW_Data!AC816),"",DaqBook_RAW_Data!AC816)</f>
        <v/>
      </c>
      <c r="O826" s="167" t="str">
        <f>IF(ISBLANK(DaqBook_RAW_Data!AD816),"",DaqBook_RAW_Data!AD816)</f>
        <v/>
      </c>
      <c r="P826" s="167" t="str">
        <f>IF(ISBLANK(DaqBook_RAW_Data!AE816),"",DaqBook_RAW_Data!AE816)</f>
        <v/>
      </c>
    </row>
    <row r="827" spans="1:16" x14ac:dyDescent="0.2">
      <c r="A827" s="58" t="e">
        <f t="shared" si="12"/>
        <v>#VALUE!</v>
      </c>
      <c r="B827" s="144" t="str">
        <f>IF(ISBLANK(DaqBook_RAW_Data!Q817),IF(DaqBook_RAW_Data!A817="","",TIMEVALUE(DaqBook_RAW_Data!A817)),TIMEVALUE(DaqBook_RAW_Data!Q817))</f>
        <v/>
      </c>
      <c r="C827" s="167" t="str">
        <f>IF(ISBLANK(DaqBook_RAW_Data!R817),"",DaqBook_RAW_Data!R817)</f>
        <v/>
      </c>
      <c r="D827" s="167" t="str">
        <f>IF(ISBLANK(DaqBook_RAW_Data!S817),"",DaqBook_RAW_Data!S817)</f>
        <v/>
      </c>
      <c r="E827" s="167" t="str">
        <f>IF(ISBLANK(DaqBook_RAW_Data!T817),"",DaqBook_RAW_Data!T817)</f>
        <v/>
      </c>
      <c r="F827" s="167" t="str">
        <f>IF(ISBLANK(DaqBook_RAW_Data!U817),"",DaqBook_RAW_Data!U817)</f>
        <v/>
      </c>
      <c r="G827" s="167" t="str">
        <f>IF(ISBLANK(DaqBook_RAW_Data!V817),"",DaqBook_RAW_Data!V817)</f>
        <v/>
      </c>
      <c r="H827" s="167" t="str">
        <f>IF(ISBLANK(DaqBook_RAW_Data!W817),"",DaqBook_RAW_Data!W817)</f>
        <v/>
      </c>
      <c r="I827" s="167" t="str">
        <f>IF(ISBLANK(DaqBook_RAW_Data!X817),"",DaqBook_RAW_Data!X817)</f>
        <v/>
      </c>
      <c r="J827" s="167" t="str">
        <f>IF(ISBLANK(DaqBook_RAW_Data!Y817),"",DaqBook_RAW_Data!Y817)</f>
        <v/>
      </c>
      <c r="K827" s="167" t="str">
        <f>IF(ISBLANK(DaqBook_RAW_Data!Z817),"",DaqBook_RAW_Data!Z817)</f>
        <v/>
      </c>
      <c r="L827" s="167" t="str">
        <f>IF(ISBLANK(DaqBook_RAW_Data!AA817),"",DaqBook_RAW_Data!AA817)</f>
        <v/>
      </c>
      <c r="M827" s="167" t="str">
        <f>IF(ISBLANK(DaqBook_RAW_Data!AB817),"",DaqBook_RAW_Data!AB817)</f>
        <v/>
      </c>
      <c r="N827" s="167" t="str">
        <f>IF(ISBLANK(DaqBook_RAW_Data!AC817),"",DaqBook_RAW_Data!AC817)</f>
        <v/>
      </c>
      <c r="O827" s="167" t="str">
        <f>IF(ISBLANK(DaqBook_RAW_Data!AD817),"",DaqBook_RAW_Data!AD817)</f>
        <v/>
      </c>
      <c r="P827" s="167" t="str">
        <f>IF(ISBLANK(DaqBook_RAW_Data!AE817),"",DaqBook_RAW_Data!AE817)</f>
        <v/>
      </c>
    </row>
    <row r="828" spans="1:16" x14ac:dyDescent="0.2">
      <c r="A828" s="58" t="e">
        <f t="shared" si="12"/>
        <v>#VALUE!</v>
      </c>
      <c r="B828" s="144" t="str">
        <f>IF(ISBLANK(DaqBook_RAW_Data!Q818),IF(DaqBook_RAW_Data!A818="","",TIMEVALUE(DaqBook_RAW_Data!A818)),TIMEVALUE(DaqBook_RAW_Data!Q818))</f>
        <v/>
      </c>
      <c r="C828" s="167" t="str">
        <f>IF(ISBLANK(DaqBook_RAW_Data!R818),"",DaqBook_RAW_Data!R818)</f>
        <v/>
      </c>
      <c r="D828" s="167" t="str">
        <f>IF(ISBLANK(DaqBook_RAW_Data!S818),"",DaqBook_RAW_Data!S818)</f>
        <v/>
      </c>
      <c r="E828" s="167" t="str">
        <f>IF(ISBLANK(DaqBook_RAW_Data!T818),"",DaqBook_RAW_Data!T818)</f>
        <v/>
      </c>
      <c r="F828" s="167" t="str">
        <f>IF(ISBLANK(DaqBook_RAW_Data!U818),"",DaqBook_RAW_Data!U818)</f>
        <v/>
      </c>
      <c r="G828" s="167" t="str">
        <f>IF(ISBLANK(DaqBook_RAW_Data!V818),"",DaqBook_RAW_Data!V818)</f>
        <v/>
      </c>
      <c r="H828" s="167" t="str">
        <f>IF(ISBLANK(DaqBook_RAW_Data!W818),"",DaqBook_RAW_Data!W818)</f>
        <v/>
      </c>
      <c r="I828" s="167" t="str">
        <f>IF(ISBLANK(DaqBook_RAW_Data!X818),"",DaqBook_RAW_Data!X818)</f>
        <v/>
      </c>
      <c r="J828" s="167" t="str">
        <f>IF(ISBLANK(DaqBook_RAW_Data!Y818),"",DaqBook_RAW_Data!Y818)</f>
        <v/>
      </c>
      <c r="K828" s="167" t="str">
        <f>IF(ISBLANK(DaqBook_RAW_Data!Z818),"",DaqBook_RAW_Data!Z818)</f>
        <v/>
      </c>
      <c r="L828" s="167" t="str">
        <f>IF(ISBLANK(DaqBook_RAW_Data!AA818),"",DaqBook_RAW_Data!AA818)</f>
        <v/>
      </c>
      <c r="M828" s="167" t="str">
        <f>IF(ISBLANK(DaqBook_RAW_Data!AB818),"",DaqBook_RAW_Data!AB818)</f>
        <v/>
      </c>
      <c r="N828" s="167" t="str">
        <f>IF(ISBLANK(DaqBook_RAW_Data!AC818),"",DaqBook_RAW_Data!AC818)</f>
        <v/>
      </c>
      <c r="O828" s="167" t="str">
        <f>IF(ISBLANK(DaqBook_RAW_Data!AD818),"",DaqBook_RAW_Data!AD818)</f>
        <v/>
      </c>
      <c r="P828" s="167" t="str">
        <f>IF(ISBLANK(DaqBook_RAW_Data!AE818),"",DaqBook_RAW_Data!AE818)</f>
        <v/>
      </c>
    </row>
    <row r="829" spans="1:16" x14ac:dyDescent="0.2">
      <c r="A829" s="58" t="e">
        <f t="shared" si="12"/>
        <v>#VALUE!</v>
      </c>
      <c r="B829" s="144" t="str">
        <f>IF(ISBLANK(DaqBook_RAW_Data!Q819),IF(DaqBook_RAW_Data!A819="","",TIMEVALUE(DaqBook_RAW_Data!A819)),TIMEVALUE(DaqBook_RAW_Data!Q819))</f>
        <v/>
      </c>
      <c r="C829" s="167" t="str">
        <f>IF(ISBLANK(DaqBook_RAW_Data!R819),"",DaqBook_RAW_Data!R819)</f>
        <v/>
      </c>
      <c r="D829" s="167" t="str">
        <f>IF(ISBLANK(DaqBook_RAW_Data!S819),"",DaqBook_RAW_Data!S819)</f>
        <v/>
      </c>
      <c r="E829" s="167" t="str">
        <f>IF(ISBLANK(DaqBook_RAW_Data!T819),"",DaqBook_RAW_Data!T819)</f>
        <v/>
      </c>
      <c r="F829" s="167" t="str">
        <f>IF(ISBLANK(DaqBook_RAW_Data!U819),"",DaqBook_RAW_Data!U819)</f>
        <v/>
      </c>
      <c r="G829" s="167" t="str">
        <f>IF(ISBLANK(DaqBook_RAW_Data!V819),"",DaqBook_RAW_Data!V819)</f>
        <v/>
      </c>
      <c r="H829" s="167" t="str">
        <f>IF(ISBLANK(DaqBook_RAW_Data!W819),"",DaqBook_RAW_Data!W819)</f>
        <v/>
      </c>
      <c r="I829" s="167" t="str">
        <f>IF(ISBLANK(DaqBook_RAW_Data!X819),"",DaqBook_RAW_Data!X819)</f>
        <v/>
      </c>
      <c r="J829" s="167" t="str">
        <f>IF(ISBLANK(DaqBook_RAW_Data!Y819),"",DaqBook_RAW_Data!Y819)</f>
        <v/>
      </c>
      <c r="K829" s="167" t="str">
        <f>IF(ISBLANK(DaqBook_RAW_Data!Z819),"",DaqBook_RAW_Data!Z819)</f>
        <v/>
      </c>
      <c r="L829" s="167" t="str">
        <f>IF(ISBLANK(DaqBook_RAW_Data!AA819),"",DaqBook_RAW_Data!AA819)</f>
        <v/>
      </c>
      <c r="M829" s="167" t="str">
        <f>IF(ISBLANK(DaqBook_RAW_Data!AB819),"",DaqBook_RAW_Data!AB819)</f>
        <v/>
      </c>
      <c r="N829" s="167" t="str">
        <f>IF(ISBLANK(DaqBook_RAW_Data!AC819),"",DaqBook_RAW_Data!AC819)</f>
        <v/>
      </c>
      <c r="O829" s="167" t="str">
        <f>IF(ISBLANK(DaqBook_RAW_Data!AD819),"",DaqBook_RAW_Data!AD819)</f>
        <v/>
      </c>
      <c r="P829" s="167" t="str">
        <f>IF(ISBLANK(DaqBook_RAW_Data!AE819),"",DaqBook_RAW_Data!AE819)</f>
        <v/>
      </c>
    </row>
    <row r="830" spans="1:16" x14ac:dyDescent="0.2">
      <c r="A830" s="58" t="e">
        <f t="shared" si="12"/>
        <v>#VALUE!</v>
      </c>
      <c r="B830" s="144" t="str">
        <f>IF(ISBLANK(DaqBook_RAW_Data!Q820),IF(DaqBook_RAW_Data!A820="","",TIMEVALUE(DaqBook_RAW_Data!A820)),TIMEVALUE(DaqBook_RAW_Data!Q820))</f>
        <v/>
      </c>
      <c r="C830" s="167" t="str">
        <f>IF(ISBLANK(DaqBook_RAW_Data!R820),"",DaqBook_RAW_Data!R820)</f>
        <v/>
      </c>
      <c r="D830" s="167" t="str">
        <f>IF(ISBLANK(DaqBook_RAW_Data!S820),"",DaqBook_RAW_Data!S820)</f>
        <v/>
      </c>
      <c r="E830" s="167" t="str">
        <f>IF(ISBLANK(DaqBook_RAW_Data!T820),"",DaqBook_RAW_Data!T820)</f>
        <v/>
      </c>
      <c r="F830" s="167" t="str">
        <f>IF(ISBLANK(DaqBook_RAW_Data!U820),"",DaqBook_RAW_Data!U820)</f>
        <v/>
      </c>
      <c r="G830" s="167" t="str">
        <f>IF(ISBLANK(DaqBook_RAW_Data!V820),"",DaqBook_RAW_Data!V820)</f>
        <v/>
      </c>
      <c r="H830" s="167" t="str">
        <f>IF(ISBLANK(DaqBook_RAW_Data!W820),"",DaqBook_RAW_Data!W820)</f>
        <v/>
      </c>
      <c r="I830" s="167" t="str">
        <f>IF(ISBLANK(DaqBook_RAW_Data!X820),"",DaqBook_RAW_Data!X820)</f>
        <v/>
      </c>
      <c r="J830" s="167" t="str">
        <f>IF(ISBLANK(DaqBook_RAW_Data!Y820),"",DaqBook_RAW_Data!Y820)</f>
        <v/>
      </c>
      <c r="K830" s="167" t="str">
        <f>IF(ISBLANK(DaqBook_RAW_Data!Z820),"",DaqBook_RAW_Data!Z820)</f>
        <v/>
      </c>
      <c r="L830" s="167" t="str">
        <f>IF(ISBLANK(DaqBook_RAW_Data!AA820),"",DaqBook_RAW_Data!AA820)</f>
        <v/>
      </c>
      <c r="M830" s="167" t="str">
        <f>IF(ISBLANK(DaqBook_RAW_Data!AB820),"",DaqBook_RAW_Data!AB820)</f>
        <v/>
      </c>
      <c r="N830" s="167" t="str">
        <f>IF(ISBLANK(DaqBook_RAW_Data!AC820),"",DaqBook_RAW_Data!AC820)</f>
        <v/>
      </c>
      <c r="O830" s="167" t="str">
        <f>IF(ISBLANK(DaqBook_RAW_Data!AD820),"",DaqBook_RAW_Data!AD820)</f>
        <v/>
      </c>
      <c r="P830" s="167" t="str">
        <f>IF(ISBLANK(DaqBook_RAW_Data!AE820),"",DaqBook_RAW_Data!AE820)</f>
        <v/>
      </c>
    </row>
    <row r="831" spans="1:16" x14ac:dyDescent="0.2">
      <c r="A831" s="58" t="e">
        <f t="shared" si="12"/>
        <v>#VALUE!</v>
      </c>
      <c r="B831" s="144" t="str">
        <f>IF(ISBLANK(DaqBook_RAW_Data!Q821),IF(DaqBook_RAW_Data!A821="","",TIMEVALUE(DaqBook_RAW_Data!A821)),TIMEVALUE(DaqBook_RAW_Data!Q821))</f>
        <v/>
      </c>
      <c r="C831" s="167" t="str">
        <f>IF(ISBLANK(DaqBook_RAW_Data!R821),"",DaqBook_RAW_Data!R821)</f>
        <v/>
      </c>
      <c r="D831" s="167" t="str">
        <f>IF(ISBLANK(DaqBook_RAW_Data!S821),"",DaqBook_RAW_Data!S821)</f>
        <v/>
      </c>
      <c r="E831" s="167" t="str">
        <f>IF(ISBLANK(DaqBook_RAW_Data!T821),"",DaqBook_RAW_Data!T821)</f>
        <v/>
      </c>
      <c r="F831" s="167" t="str">
        <f>IF(ISBLANK(DaqBook_RAW_Data!U821),"",DaqBook_RAW_Data!U821)</f>
        <v/>
      </c>
      <c r="G831" s="167" t="str">
        <f>IF(ISBLANK(DaqBook_RAW_Data!V821),"",DaqBook_RAW_Data!V821)</f>
        <v/>
      </c>
      <c r="H831" s="167" t="str">
        <f>IF(ISBLANK(DaqBook_RAW_Data!W821),"",DaqBook_RAW_Data!W821)</f>
        <v/>
      </c>
      <c r="I831" s="167" t="str">
        <f>IF(ISBLANK(DaqBook_RAW_Data!X821),"",DaqBook_RAW_Data!X821)</f>
        <v/>
      </c>
      <c r="J831" s="167" t="str">
        <f>IF(ISBLANK(DaqBook_RAW_Data!Y821),"",DaqBook_RAW_Data!Y821)</f>
        <v/>
      </c>
      <c r="K831" s="167" t="str">
        <f>IF(ISBLANK(DaqBook_RAW_Data!Z821),"",DaqBook_RAW_Data!Z821)</f>
        <v/>
      </c>
      <c r="L831" s="167" t="str">
        <f>IF(ISBLANK(DaqBook_RAW_Data!AA821),"",DaqBook_RAW_Data!AA821)</f>
        <v/>
      </c>
      <c r="M831" s="167" t="str">
        <f>IF(ISBLANK(DaqBook_RAW_Data!AB821),"",DaqBook_RAW_Data!AB821)</f>
        <v/>
      </c>
      <c r="N831" s="167" t="str">
        <f>IF(ISBLANK(DaqBook_RAW_Data!AC821),"",DaqBook_RAW_Data!AC821)</f>
        <v/>
      </c>
      <c r="O831" s="167" t="str">
        <f>IF(ISBLANK(DaqBook_RAW_Data!AD821),"",DaqBook_RAW_Data!AD821)</f>
        <v/>
      </c>
      <c r="P831" s="167" t="str">
        <f>IF(ISBLANK(DaqBook_RAW_Data!AE821),"",DaqBook_RAW_Data!AE821)</f>
        <v/>
      </c>
    </row>
    <row r="832" spans="1:16" x14ac:dyDescent="0.2">
      <c r="A832" s="58" t="e">
        <f t="shared" si="12"/>
        <v>#VALUE!</v>
      </c>
      <c r="B832" s="144" t="str">
        <f>IF(ISBLANK(DaqBook_RAW_Data!Q822),IF(DaqBook_RAW_Data!A822="","",TIMEVALUE(DaqBook_RAW_Data!A822)),TIMEVALUE(DaqBook_RAW_Data!Q822))</f>
        <v/>
      </c>
      <c r="C832" s="167" t="str">
        <f>IF(ISBLANK(DaqBook_RAW_Data!R822),"",DaqBook_RAW_Data!R822)</f>
        <v/>
      </c>
      <c r="D832" s="167" t="str">
        <f>IF(ISBLANK(DaqBook_RAW_Data!S822),"",DaqBook_RAW_Data!S822)</f>
        <v/>
      </c>
      <c r="E832" s="167" t="str">
        <f>IF(ISBLANK(DaqBook_RAW_Data!T822),"",DaqBook_RAW_Data!T822)</f>
        <v/>
      </c>
      <c r="F832" s="167" t="str">
        <f>IF(ISBLANK(DaqBook_RAW_Data!U822),"",DaqBook_RAW_Data!U822)</f>
        <v/>
      </c>
      <c r="G832" s="167" t="str">
        <f>IF(ISBLANK(DaqBook_RAW_Data!V822),"",DaqBook_RAW_Data!V822)</f>
        <v/>
      </c>
      <c r="H832" s="167" t="str">
        <f>IF(ISBLANK(DaqBook_RAW_Data!W822),"",DaqBook_RAW_Data!W822)</f>
        <v/>
      </c>
      <c r="I832" s="167" t="str">
        <f>IF(ISBLANK(DaqBook_RAW_Data!X822),"",DaqBook_RAW_Data!X822)</f>
        <v/>
      </c>
      <c r="J832" s="167" t="str">
        <f>IF(ISBLANK(DaqBook_RAW_Data!Y822),"",DaqBook_RAW_Data!Y822)</f>
        <v/>
      </c>
      <c r="K832" s="167" t="str">
        <f>IF(ISBLANK(DaqBook_RAW_Data!Z822),"",DaqBook_RAW_Data!Z822)</f>
        <v/>
      </c>
      <c r="L832" s="167" t="str">
        <f>IF(ISBLANK(DaqBook_RAW_Data!AA822),"",DaqBook_RAW_Data!AA822)</f>
        <v/>
      </c>
      <c r="M832" s="167" t="str">
        <f>IF(ISBLANK(DaqBook_RAW_Data!AB822),"",DaqBook_RAW_Data!AB822)</f>
        <v/>
      </c>
      <c r="N832" s="167" t="str">
        <f>IF(ISBLANK(DaqBook_RAW_Data!AC822),"",DaqBook_RAW_Data!AC822)</f>
        <v/>
      </c>
      <c r="O832" s="167" t="str">
        <f>IF(ISBLANK(DaqBook_RAW_Data!AD822),"",DaqBook_RAW_Data!AD822)</f>
        <v/>
      </c>
      <c r="P832" s="167" t="str">
        <f>IF(ISBLANK(DaqBook_RAW_Data!AE822),"",DaqBook_RAW_Data!AE822)</f>
        <v/>
      </c>
    </row>
    <row r="833" spans="1:16" x14ac:dyDescent="0.2">
      <c r="A833" s="58" t="e">
        <f t="shared" si="12"/>
        <v>#VALUE!</v>
      </c>
      <c r="B833" s="144" t="str">
        <f>IF(ISBLANK(DaqBook_RAW_Data!Q823),IF(DaqBook_RAW_Data!A823="","",TIMEVALUE(DaqBook_RAW_Data!A823)),TIMEVALUE(DaqBook_RAW_Data!Q823))</f>
        <v/>
      </c>
      <c r="C833" s="167" t="str">
        <f>IF(ISBLANK(DaqBook_RAW_Data!R823),"",DaqBook_RAW_Data!R823)</f>
        <v/>
      </c>
      <c r="D833" s="167" t="str">
        <f>IF(ISBLANK(DaqBook_RAW_Data!S823),"",DaqBook_RAW_Data!S823)</f>
        <v/>
      </c>
      <c r="E833" s="167" t="str">
        <f>IF(ISBLANK(DaqBook_RAW_Data!T823),"",DaqBook_RAW_Data!T823)</f>
        <v/>
      </c>
      <c r="F833" s="167" t="str">
        <f>IF(ISBLANK(DaqBook_RAW_Data!U823),"",DaqBook_RAW_Data!U823)</f>
        <v/>
      </c>
      <c r="G833" s="167" t="str">
        <f>IF(ISBLANK(DaqBook_RAW_Data!V823),"",DaqBook_RAW_Data!V823)</f>
        <v/>
      </c>
      <c r="H833" s="167" t="str">
        <f>IF(ISBLANK(DaqBook_RAW_Data!W823),"",DaqBook_RAW_Data!W823)</f>
        <v/>
      </c>
      <c r="I833" s="167" t="str">
        <f>IF(ISBLANK(DaqBook_RAW_Data!X823),"",DaqBook_RAW_Data!X823)</f>
        <v/>
      </c>
      <c r="J833" s="167" t="str">
        <f>IF(ISBLANK(DaqBook_RAW_Data!Y823),"",DaqBook_RAW_Data!Y823)</f>
        <v/>
      </c>
      <c r="K833" s="167" t="str">
        <f>IF(ISBLANK(DaqBook_RAW_Data!Z823),"",DaqBook_RAW_Data!Z823)</f>
        <v/>
      </c>
      <c r="L833" s="167" t="str">
        <f>IF(ISBLANK(DaqBook_RAW_Data!AA823),"",DaqBook_RAW_Data!AA823)</f>
        <v/>
      </c>
      <c r="M833" s="167" t="str">
        <f>IF(ISBLANK(DaqBook_RAW_Data!AB823),"",DaqBook_RAW_Data!AB823)</f>
        <v/>
      </c>
      <c r="N833" s="167" t="str">
        <f>IF(ISBLANK(DaqBook_RAW_Data!AC823),"",DaqBook_RAW_Data!AC823)</f>
        <v/>
      </c>
      <c r="O833" s="167" t="str">
        <f>IF(ISBLANK(DaqBook_RAW_Data!AD823),"",DaqBook_RAW_Data!AD823)</f>
        <v/>
      </c>
      <c r="P833" s="167" t="str">
        <f>IF(ISBLANK(DaqBook_RAW_Data!AE823),"",DaqBook_RAW_Data!AE823)</f>
        <v/>
      </c>
    </row>
    <row r="834" spans="1:16" x14ac:dyDescent="0.2">
      <c r="A834" s="58" t="e">
        <f t="shared" si="12"/>
        <v>#VALUE!</v>
      </c>
      <c r="B834" s="144" t="str">
        <f>IF(ISBLANK(DaqBook_RAW_Data!Q824),IF(DaqBook_RAW_Data!A824="","",TIMEVALUE(DaqBook_RAW_Data!A824)),TIMEVALUE(DaqBook_RAW_Data!Q824))</f>
        <v/>
      </c>
      <c r="C834" s="167" t="str">
        <f>IF(ISBLANK(DaqBook_RAW_Data!R824),"",DaqBook_RAW_Data!R824)</f>
        <v/>
      </c>
      <c r="D834" s="167" t="str">
        <f>IF(ISBLANK(DaqBook_RAW_Data!S824),"",DaqBook_RAW_Data!S824)</f>
        <v/>
      </c>
      <c r="E834" s="167" t="str">
        <f>IF(ISBLANK(DaqBook_RAW_Data!T824),"",DaqBook_RAW_Data!T824)</f>
        <v/>
      </c>
      <c r="F834" s="167" t="str">
        <f>IF(ISBLANK(DaqBook_RAW_Data!U824),"",DaqBook_RAW_Data!U824)</f>
        <v/>
      </c>
      <c r="G834" s="167" t="str">
        <f>IF(ISBLANK(DaqBook_RAW_Data!V824),"",DaqBook_RAW_Data!V824)</f>
        <v/>
      </c>
      <c r="H834" s="167" t="str">
        <f>IF(ISBLANK(DaqBook_RAW_Data!W824),"",DaqBook_RAW_Data!W824)</f>
        <v/>
      </c>
      <c r="I834" s="167" t="str">
        <f>IF(ISBLANK(DaqBook_RAW_Data!X824),"",DaqBook_RAW_Data!X824)</f>
        <v/>
      </c>
      <c r="J834" s="167" t="str">
        <f>IF(ISBLANK(DaqBook_RAW_Data!Y824),"",DaqBook_RAW_Data!Y824)</f>
        <v/>
      </c>
      <c r="K834" s="167" t="str">
        <f>IF(ISBLANK(DaqBook_RAW_Data!Z824),"",DaqBook_RAW_Data!Z824)</f>
        <v/>
      </c>
      <c r="L834" s="167" t="str">
        <f>IF(ISBLANK(DaqBook_RAW_Data!AA824),"",DaqBook_RAW_Data!AA824)</f>
        <v/>
      </c>
      <c r="M834" s="167" t="str">
        <f>IF(ISBLANK(DaqBook_RAW_Data!AB824),"",DaqBook_RAW_Data!AB824)</f>
        <v/>
      </c>
      <c r="N834" s="167" t="str">
        <f>IF(ISBLANK(DaqBook_RAW_Data!AC824),"",DaqBook_RAW_Data!AC824)</f>
        <v/>
      </c>
      <c r="O834" s="167" t="str">
        <f>IF(ISBLANK(DaqBook_RAW_Data!AD824),"",DaqBook_RAW_Data!AD824)</f>
        <v/>
      </c>
      <c r="P834" s="167" t="str">
        <f>IF(ISBLANK(DaqBook_RAW_Data!AE824),"",DaqBook_RAW_Data!AE824)</f>
        <v/>
      </c>
    </row>
    <row r="835" spans="1:16" x14ac:dyDescent="0.2">
      <c r="A835" s="58" t="e">
        <f t="shared" si="12"/>
        <v>#VALUE!</v>
      </c>
      <c r="B835" s="144" t="str">
        <f>IF(ISBLANK(DaqBook_RAW_Data!Q825),IF(DaqBook_RAW_Data!A825="","",TIMEVALUE(DaqBook_RAW_Data!A825)),TIMEVALUE(DaqBook_RAW_Data!Q825))</f>
        <v/>
      </c>
      <c r="C835" s="167" t="str">
        <f>IF(ISBLANK(DaqBook_RAW_Data!R825),"",DaqBook_RAW_Data!R825)</f>
        <v/>
      </c>
      <c r="D835" s="167" t="str">
        <f>IF(ISBLANK(DaqBook_RAW_Data!S825),"",DaqBook_RAW_Data!S825)</f>
        <v/>
      </c>
      <c r="E835" s="167" t="str">
        <f>IF(ISBLANK(DaqBook_RAW_Data!T825),"",DaqBook_RAW_Data!T825)</f>
        <v/>
      </c>
      <c r="F835" s="167" t="str">
        <f>IF(ISBLANK(DaqBook_RAW_Data!U825),"",DaqBook_RAW_Data!U825)</f>
        <v/>
      </c>
      <c r="G835" s="167" t="str">
        <f>IF(ISBLANK(DaqBook_RAW_Data!V825),"",DaqBook_RAW_Data!V825)</f>
        <v/>
      </c>
      <c r="H835" s="167" t="str">
        <f>IF(ISBLANK(DaqBook_RAW_Data!W825),"",DaqBook_RAW_Data!W825)</f>
        <v/>
      </c>
      <c r="I835" s="167" t="str">
        <f>IF(ISBLANK(DaqBook_RAW_Data!X825),"",DaqBook_RAW_Data!X825)</f>
        <v/>
      </c>
      <c r="J835" s="167" t="str">
        <f>IF(ISBLANK(DaqBook_RAW_Data!Y825),"",DaqBook_RAW_Data!Y825)</f>
        <v/>
      </c>
      <c r="K835" s="167" t="str">
        <f>IF(ISBLANK(DaqBook_RAW_Data!Z825),"",DaqBook_RAW_Data!Z825)</f>
        <v/>
      </c>
      <c r="L835" s="167" t="str">
        <f>IF(ISBLANK(DaqBook_RAW_Data!AA825),"",DaqBook_RAW_Data!AA825)</f>
        <v/>
      </c>
      <c r="M835" s="167" t="str">
        <f>IF(ISBLANK(DaqBook_RAW_Data!AB825),"",DaqBook_RAW_Data!AB825)</f>
        <v/>
      </c>
      <c r="N835" s="167" t="str">
        <f>IF(ISBLANK(DaqBook_RAW_Data!AC825),"",DaqBook_RAW_Data!AC825)</f>
        <v/>
      </c>
      <c r="O835" s="167" t="str">
        <f>IF(ISBLANK(DaqBook_RAW_Data!AD825),"",DaqBook_RAW_Data!AD825)</f>
        <v/>
      </c>
      <c r="P835" s="167" t="str">
        <f>IF(ISBLANK(DaqBook_RAW_Data!AE825),"",DaqBook_RAW_Data!AE825)</f>
        <v/>
      </c>
    </row>
    <row r="836" spans="1:16" x14ac:dyDescent="0.2">
      <c r="A836" s="58" t="e">
        <f t="shared" si="12"/>
        <v>#VALUE!</v>
      </c>
      <c r="B836" s="144" t="str">
        <f>IF(ISBLANK(DaqBook_RAW_Data!Q826),IF(DaqBook_RAW_Data!A826="","",TIMEVALUE(DaqBook_RAW_Data!A826)),TIMEVALUE(DaqBook_RAW_Data!Q826))</f>
        <v/>
      </c>
      <c r="C836" s="167" t="str">
        <f>IF(ISBLANK(DaqBook_RAW_Data!R826),"",DaqBook_RAW_Data!R826)</f>
        <v/>
      </c>
      <c r="D836" s="167" t="str">
        <f>IF(ISBLANK(DaqBook_RAW_Data!S826),"",DaqBook_RAW_Data!S826)</f>
        <v/>
      </c>
      <c r="E836" s="167" t="str">
        <f>IF(ISBLANK(DaqBook_RAW_Data!T826),"",DaqBook_RAW_Data!T826)</f>
        <v/>
      </c>
      <c r="F836" s="167" t="str">
        <f>IF(ISBLANK(DaqBook_RAW_Data!U826),"",DaqBook_RAW_Data!U826)</f>
        <v/>
      </c>
      <c r="G836" s="167" t="str">
        <f>IF(ISBLANK(DaqBook_RAW_Data!V826),"",DaqBook_RAW_Data!V826)</f>
        <v/>
      </c>
      <c r="H836" s="167" t="str">
        <f>IF(ISBLANK(DaqBook_RAW_Data!W826),"",DaqBook_RAW_Data!W826)</f>
        <v/>
      </c>
      <c r="I836" s="167" t="str">
        <f>IF(ISBLANK(DaqBook_RAW_Data!X826),"",DaqBook_RAW_Data!X826)</f>
        <v/>
      </c>
      <c r="J836" s="167" t="str">
        <f>IF(ISBLANK(DaqBook_RAW_Data!Y826),"",DaqBook_RAW_Data!Y826)</f>
        <v/>
      </c>
      <c r="K836" s="167" t="str">
        <f>IF(ISBLANK(DaqBook_RAW_Data!Z826),"",DaqBook_RAW_Data!Z826)</f>
        <v/>
      </c>
      <c r="L836" s="167" t="str">
        <f>IF(ISBLANK(DaqBook_RAW_Data!AA826),"",DaqBook_RAW_Data!AA826)</f>
        <v/>
      </c>
      <c r="M836" s="167" t="str">
        <f>IF(ISBLANK(DaqBook_RAW_Data!AB826),"",DaqBook_RAW_Data!AB826)</f>
        <v/>
      </c>
      <c r="N836" s="167" t="str">
        <f>IF(ISBLANK(DaqBook_RAW_Data!AC826),"",DaqBook_RAW_Data!AC826)</f>
        <v/>
      </c>
      <c r="O836" s="167" t="str">
        <f>IF(ISBLANK(DaqBook_RAW_Data!AD826),"",DaqBook_RAW_Data!AD826)</f>
        <v/>
      </c>
      <c r="P836" s="167" t="str">
        <f>IF(ISBLANK(DaqBook_RAW_Data!AE826),"",DaqBook_RAW_Data!AE826)</f>
        <v/>
      </c>
    </row>
    <row r="837" spans="1:16" x14ac:dyDescent="0.2">
      <c r="A837" s="58" t="e">
        <f t="shared" si="12"/>
        <v>#VALUE!</v>
      </c>
      <c r="B837" s="144" t="str">
        <f>IF(ISBLANK(DaqBook_RAW_Data!Q827),IF(DaqBook_RAW_Data!A827="","",TIMEVALUE(DaqBook_RAW_Data!A827)),TIMEVALUE(DaqBook_RAW_Data!Q827))</f>
        <v/>
      </c>
      <c r="C837" s="167" t="str">
        <f>IF(ISBLANK(DaqBook_RAW_Data!R827),"",DaqBook_RAW_Data!R827)</f>
        <v/>
      </c>
      <c r="D837" s="167" t="str">
        <f>IF(ISBLANK(DaqBook_RAW_Data!S827),"",DaqBook_RAW_Data!S827)</f>
        <v/>
      </c>
      <c r="E837" s="167" t="str">
        <f>IF(ISBLANK(DaqBook_RAW_Data!T827),"",DaqBook_RAW_Data!T827)</f>
        <v/>
      </c>
      <c r="F837" s="167" t="str">
        <f>IF(ISBLANK(DaqBook_RAW_Data!U827),"",DaqBook_RAW_Data!U827)</f>
        <v/>
      </c>
      <c r="G837" s="167" t="str">
        <f>IF(ISBLANK(DaqBook_RAW_Data!V827),"",DaqBook_RAW_Data!V827)</f>
        <v/>
      </c>
      <c r="H837" s="167" t="str">
        <f>IF(ISBLANK(DaqBook_RAW_Data!W827),"",DaqBook_RAW_Data!W827)</f>
        <v/>
      </c>
      <c r="I837" s="167" t="str">
        <f>IF(ISBLANK(DaqBook_RAW_Data!X827),"",DaqBook_RAW_Data!X827)</f>
        <v/>
      </c>
      <c r="J837" s="167" t="str">
        <f>IF(ISBLANK(DaqBook_RAW_Data!Y827),"",DaqBook_RAW_Data!Y827)</f>
        <v/>
      </c>
      <c r="K837" s="167" t="str">
        <f>IF(ISBLANK(DaqBook_RAW_Data!Z827),"",DaqBook_RAW_Data!Z827)</f>
        <v/>
      </c>
      <c r="L837" s="167" t="str">
        <f>IF(ISBLANK(DaqBook_RAW_Data!AA827),"",DaqBook_RAW_Data!AA827)</f>
        <v/>
      </c>
      <c r="M837" s="167" t="str">
        <f>IF(ISBLANK(DaqBook_RAW_Data!AB827),"",DaqBook_RAW_Data!AB827)</f>
        <v/>
      </c>
      <c r="N837" s="167" t="str">
        <f>IF(ISBLANK(DaqBook_RAW_Data!AC827),"",DaqBook_RAW_Data!AC827)</f>
        <v/>
      </c>
      <c r="O837" s="167" t="str">
        <f>IF(ISBLANK(DaqBook_RAW_Data!AD827),"",DaqBook_RAW_Data!AD827)</f>
        <v/>
      </c>
      <c r="P837" s="167" t="str">
        <f>IF(ISBLANK(DaqBook_RAW_Data!AE827),"",DaqBook_RAW_Data!AE827)</f>
        <v/>
      </c>
    </row>
    <row r="838" spans="1:16" x14ac:dyDescent="0.2">
      <c r="A838" s="58" t="e">
        <f t="shared" si="12"/>
        <v>#VALUE!</v>
      </c>
      <c r="B838" s="144" t="str">
        <f>IF(ISBLANK(DaqBook_RAW_Data!Q828),IF(DaqBook_RAW_Data!A828="","",TIMEVALUE(DaqBook_RAW_Data!A828)),TIMEVALUE(DaqBook_RAW_Data!Q828))</f>
        <v/>
      </c>
      <c r="C838" s="167" t="str">
        <f>IF(ISBLANK(DaqBook_RAW_Data!R828),"",DaqBook_RAW_Data!R828)</f>
        <v/>
      </c>
      <c r="D838" s="167" t="str">
        <f>IF(ISBLANK(DaqBook_RAW_Data!S828),"",DaqBook_RAW_Data!S828)</f>
        <v/>
      </c>
      <c r="E838" s="167" t="str">
        <f>IF(ISBLANK(DaqBook_RAW_Data!T828),"",DaqBook_RAW_Data!T828)</f>
        <v/>
      </c>
      <c r="F838" s="167" t="str">
        <f>IF(ISBLANK(DaqBook_RAW_Data!U828),"",DaqBook_RAW_Data!U828)</f>
        <v/>
      </c>
      <c r="G838" s="167" t="str">
        <f>IF(ISBLANK(DaqBook_RAW_Data!V828),"",DaqBook_RAW_Data!V828)</f>
        <v/>
      </c>
      <c r="H838" s="167" t="str">
        <f>IF(ISBLANK(DaqBook_RAW_Data!W828),"",DaqBook_RAW_Data!W828)</f>
        <v/>
      </c>
      <c r="I838" s="167" t="str">
        <f>IF(ISBLANK(DaqBook_RAW_Data!X828),"",DaqBook_RAW_Data!X828)</f>
        <v/>
      </c>
      <c r="J838" s="167" t="str">
        <f>IF(ISBLANK(DaqBook_RAW_Data!Y828),"",DaqBook_RAW_Data!Y828)</f>
        <v/>
      </c>
      <c r="K838" s="167" t="str">
        <f>IF(ISBLANK(DaqBook_RAW_Data!Z828),"",DaqBook_RAW_Data!Z828)</f>
        <v/>
      </c>
      <c r="L838" s="167" t="str">
        <f>IF(ISBLANK(DaqBook_RAW_Data!AA828),"",DaqBook_RAW_Data!AA828)</f>
        <v/>
      </c>
      <c r="M838" s="167" t="str">
        <f>IF(ISBLANK(DaqBook_RAW_Data!AB828),"",DaqBook_RAW_Data!AB828)</f>
        <v/>
      </c>
      <c r="N838" s="167" t="str">
        <f>IF(ISBLANK(DaqBook_RAW_Data!AC828),"",DaqBook_RAW_Data!AC828)</f>
        <v/>
      </c>
      <c r="O838" s="167" t="str">
        <f>IF(ISBLANK(DaqBook_RAW_Data!AD828),"",DaqBook_RAW_Data!AD828)</f>
        <v/>
      </c>
      <c r="P838" s="167" t="str">
        <f>IF(ISBLANK(DaqBook_RAW_Data!AE828),"",DaqBook_RAW_Data!AE828)</f>
        <v/>
      </c>
    </row>
    <row r="839" spans="1:16" x14ac:dyDescent="0.2">
      <c r="A839" s="58" t="e">
        <f t="shared" si="12"/>
        <v>#VALUE!</v>
      </c>
      <c r="B839" s="144" t="str">
        <f>IF(ISBLANK(DaqBook_RAW_Data!Q829),IF(DaqBook_RAW_Data!A829="","",TIMEVALUE(DaqBook_RAW_Data!A829)),TIMEVALUE(DaqBook_RAW_Data!Q829))</f>
        <v/>
      </c>
      <c r="C839" s="167" t="str">
        <f>IF(ISBLANK(DaqBook_RAW_Data!R829),"",DaqBook_RAW_Data!R829)</f>
        <v/>
      </c>
      <c r="D839" s="167" t="str">
        <f>IF(ISBLANK(DaqBook_RAW_Data!S829),"",DaqBook_RAW_Data!S829)</f>
        <v/>
      </c>
      <c r="E839" s="167" t="str">
        <f>IF(ISBLANK(DaqBook_RAW_Data!T829),"",DaqBook_RAW_Data!T829)</f>
        <v/>
      </c>
      <c r="F839" s="167" t="str">
        <f>IF(ISBLANK(DaqBook_RAW_Data!U829),"",DaqBook_RAW_Data!U829)</f>
        <v/>
      </c>
      <c r="G839" s="167" t="str">
        <f>IF(ISBLANK(DaqBook_RAW_Data!V829),"",DaqBook_RAW_Data!V829)</f>
        <v/>
      </c>
      <c r="H839" s="167" t="str">
        <f>IF(ISBLANK(DaqBook_RAW_Data!W829),"",DaqBook_RAW_Data!W829)</f>
        <v/>
      </c>
      <c r="I839" s="167" t="str">
        <f>IF(ISBLANK(DaqBook_RAW_Data!X829),"",DaqBook_RAW_Data!X829)</f>
        <v/>
      </c>
      <c r="J839" s="167" t="str">
        <f>IF(ISBLANK(DaqBook_RAW_Data!Y829),"",DaqBook_RAW_Data!Y829)</f>
        <v/>
      </c>
      <c r="K839" s="167" t="str">
        <f>IF(ISBLANK(DaqBook_RAW_Data!Z829),"",DaqBook_RAW_Data!Z829)</f>
        <v/>
      </c>
      <c r="L839" s="167" t="str">
        <f>IF(ISBLANK(DaqBook_RAW_Data!AA829),"",DaqBook_RAW_Data!AA829)</f>
        <v/>
      </c>
      <c r="M839" s="167" t="str">
        <f>IF(ISBLANK(DaqBook_RAW_Data!AB829),"",DaqBook_RAW_Data!AB829)</f>
        <v/>
      </c>
      <c r="N839" s="167" t="str">
        <f>IF(ISBLANK(DaqBook_RAW_Data!AC829),"",DaqBook_RAW_Data!AC829)</f>
        <v/>
      </c>
      <c r="O839" s="167" t="str">
        <f>IF(ISBLANK(DaqBook_RAW_Data!AD829),"",DaqBook_RAW_Data!AD829)</f>
        <v/>
      </c>
      <c r="P839" s="167" t="str">
        <f>IF(ISBLANK(DaqBook_RAW_Data!AE829),"",DaqBook_RAW_Data!AE829)</f>
        <v/>
      </c>
    </row>
    <row r="840" spans="1:16" x14ac:dyDescent="0.2">
      <c r="A840" s="58" t="e">
        <f t="shared" si="12"/>
        <v>#VALUE!</v>
      </c>
      <c r="B840" s="144" t="str">
        <f>IF(ISBLANK(DaqBook_RAW_Data!Q830),IF(DaqBook_RAW_Data!A830="","",TIMEVALUE(DaqBook_RAW_Data!A830)),TIMEVALUE(DaqBook_RAW_Data!Q830))</f>
        <v/>
      </c>
      <c r="C840" s="167" t="str">
        <f>IF(ISBLANK(DaqBook_RAW_Data!R830),"",DaqBook_RAW_Data!R830)</f>
        <v/>
      </c>
      <c r="D840" s="167" t="str">
        <f>IF(ISBLANK(DaqBook_RAW_Data!S830),"",DaqBook_RAW_Data!S830)</f>
        <v/>
      </c>
      <c r="E840" s="167" t="str">
        <f>IF(ISBLANK(DaqBook_RAW_Data!T830),"",DaqBook_RAW_Data!T830)</f>
        <v/>
      </c>
      <c r="F840" s="167" t="str">
        <f>IF(ISBLANK(DaqBook_RAW_Data!U830),"",DaqBook_RAW_Data!U830)</f>
        <v/>
      </c>
      <c r="G840" s="167" t="str">
        <f>IF(ISBLANK(DaqBook_RAW_Data!V830),"",DaqBook_RAW_Data!V830)</f>
        <v/>
      </c>
      <c r="H840" s="167" t="str">
        <f>IF(ISBLANK(DaqBook_RAW_Data!W830),"",DaqBook_RAW_Data!W830)</f>
        <v/>
      </c>
      <c r="I840" s="167" t="str">
        <f>IF(ISBLANK(DaqBook_RAW_Data!X830),"",DaqBook_RAW_Data!X830)</f>
        <v/>
      </c>
      <c r="J840" s="167" t="str">
        <f>IF(ISBLANK(DaqBook_RAW_Data!Y830),"",DaqBook_RAW_Data!Y830)</f>
        <v/>
      </c>
      <c r="K840" s="167" t="str">
        <f>IF(ISBLANK(DaqBook_RAW_Data!Z830),"",DaqBook_RAW_Data!Z830)</f>
        <v/>
      </c>
      <c r="L840" s="167" t="str">
        <f>IF(ISBLANK(DaqBook_RAW_Data!AA830),"",DaqBook_RAW_Data!AA830)</f>
        <v/>
      </c>
      <c r="M840" s="167" t="str">
        <f>IF(ISBLANK(DaqBook_RAW_Data!AB830),"",DaqBook_RAW_Data!AB830)</f>
        <v/>
      </c>
      <c r="N840" s="167" t="str">
        <f>IF(ISBLANK(DaqBook_RAW_Data!AC830),"",DaqBook_RAW_Data!AC830)</f>
        <v/>
      </c>
      <c r="O840" s="167" t="str">
        <f>IF(ISBLANK(DaqBook_RAW_Data!AD830),"",DaqBook_RAW_Data!AD830)</f>
        <v/>
      </c>
      <c r="P840" s="167" t="str">
        <f>IF(ISBLANK(DaqBook_RAW_Data!AE830),"",DaqBook_RAW_Data!AE830)</f>
        <v/>
      </c>
    </row>
    <row r="841" spans="1:16" x14ac:dyDescent="0.2">
      <c r="A841" s="58" t="e">
        <f t="shared" si="12"/>
        <v>#VALUE!</v>
      </c>
      <c r="B841" s="144" t="str">
        <f>IF(ISBLANK(DaqBook_RAW_Data!Q831),IF(DaqBook_RAW_Data!A831="","",TIMEVALUE(DaqBook_RAW_Data!A831)),TIMEVALUE(DaqBook_RAW_Data!Q831))</f>
        <v/>
      </c>
      <c r="C841" s="167" t="str">
        <f>IF(ISBLANK(DaqBook_RAW_Data!R831),"",DaqBook_RAW_Data!R831)</f>
        <v/>
      </c>
      <c r="D841" s="167" t="str">
        <f>IF(ISBLANK(DaqBook_RAW_Data!S831),"",DaqBook_RAW_Data!S831)</f>
        <v/>
      </c>
      <c r="E841" s="167" t="str">
        <f>IF(ISBLANK(DaqBook_RAW_Data!T831),"",DaqBook_RAW_Data!T831)</f>
        <v/>
      </c>
      <c r="F841" s="167" t="str">
        <f>IF(ISBLANK(DaqBook_RAW_Data!U831),"",DaqBook_RAW_Data!U831)</f>
        <v/>
      </c>
      <c r="G841" s="167" t="str">
        <f>IF(ISBLANK(DaqBook_RAW_Data!V831),"",DaqBook_RAW_Data!V831)</f>
        <v/>
      </c>
      <c r="H841" s="167" t="str">
        <f>IF(ISBLANK(DaqBook_RAW_Data!W831),"",DaqBook_RAW_Data!W831)</f>
        <v/>
      </c>
      <c r="I841" s="167" t="str">
        <f>IF(ISBLANK(DaqBook_RAW_Data!X831),"",DaqBook_RAW_Data!X831)</f>
        <v/>
      </c>
      <c r="J841" s="167" t="str">
        <f>IF(ISBLANK(DaqBook_RAW_Data!Y831),"",DaqBook_RAW_Data!Y831)</f>
        <v/>
      </c>
      <c r="K841" s="167" t="str">
        <f>IF(ISBLANK(DaqBook_RAW_Data!Z831),"",DaqBook_RAW_Data!Z831)</f>
        <v/>
      </c>
      <c r="L841" s="167" t="str">
        <f>IF(ISBLANK(DaqBook_RAW_Data!AA831),"",DaqBook_RAW_Data!AA831)</f>
        <v/>
      </c>
      <c r="M841" s="167" t="str">
        <f>IF(ISBLANK(DaqBook_RAW_Data!AB831),"",DaqBook_RAW_Data!AB831)</f>
        <v/>
      </c>
      <c r="N841" s="167" t="str">
        <f>IF(ISBLANK(DaqBook_RAW_Data!AC831),"",DaqBook_RAW_Data!AC831)</f>
        <v/>
      </c>
      <c r="O841" s="167" t="str">
        <f>IF(ISBLANK(DaqBook_RAW_Data!AD831),"",DaqBook_RAW_Data!AD831)</f>
        <v/>
      </c>
      <c r="P841" s="167" t="str">
        <f>IF(ISBLANK(DaqBook_RAW_Data!AE831),"",DaqBook_RAW_Data!AE831)</f>
        <v/>
      </c>
    </row>
    <row r="842" spans="1:16" x14ac:dyDescent="0.2">
      <c r="A842" s="58" t="e">
        <f t="shared" si="12"/>
        <v>#VALUE!</v>
      </c>
      <c r="B842" s="144" t="str">
        <f>IF(ISBLANK(DaqBook_RAW_Data!Q832),IF(DaqBook_RAW_Data!A832="","",TIMEVALUE(DaqBook_RAW_Data!A832)),TIMEVALUE(DaqBook_RAW_Data!Q832))</f>
        <v/>
      </c>
      <c r="C842" s="167" t="str">
        <f>IF(ISBLANK(DaqBook_RAW_Data!R832),"",DaqBook_RAW_Data!R832)</f>
        <v/>
      </c>
      <c r="D842" s="167" t="str">
        <f>IF(ISBLANK(DaqBook_RAW_Data!S832),"",DaqBook_RAW_Data!S832)</f>
        <v/>
      </c>
      <c r="E842" s="167" t="str">
        <f>IF(ISBLANK(DaqBook_RAW_Data!T832),"",DaqBook_RAW_Data!T832)</f>
        <v/>
      </c>
      <c r="F842" s="167" t="str">
        <f>IF(ISBLANK(DaqBook_RAW_Data!U832),"",DaqBook_RAW_Data!U832)</f>
        <v/>
      </c>
      <c r="G842" s="167" t="str">
        <f>IF(ISBLANK(DaqBook_RAW_Data!V832),"",DaqBook_RAW_Data!V832)</f>
        <v/>
      </c>
      <c r="H842" s="167" t="str">
        <f>IF(ISBLANK(DaqBook_RAW_Data!W832),"",DaqBook_RAW_Data!W832)</f>
        <v/>
      </c>
      <c r="I842" s="167" t="str">
        <f>IF(ISBLANK(DaqBook_RAW_Data!X832),"",DaqBook_RAW_Data!X832)</f>
        <v/>
      </c>
      <c r="J842" s="167" t="str">
        <f>IF(ISBLANK(DaqBook_RAW_Data!Y832),"",DaqBook_RAW_Data!Y832)</f>
        <v/>
      </c>
      <c r="K842" s="167" t="str">
        <f>IF(ISBLANK(DaqBook_RAW_Data!Z832),"",DaqBook_RAW_Data!Z832)</f>
        <v/>
      </c>
      <c r="L842" s="167" t="str">
        <f>IF(ISBLANK(DaqBook_RAW_Data!AA832),"",DaqBook_RAW_Data!AA832)</f>
        <v/>
      </c>
      <c r="M842" s="167" t="str">
        <f>IF(ISBLANK(DaqBook_RAW_Data!AB832),"",DaqBook_RAW_Data!AB832)</f>
        <v/>
      </c>
      <c r="N842" s="167" t="str">
        <f>IF(ISBLANK(DaqBook_RAW_Data!AC832),"",DaqBook_RAW_Data!AC832)</f>
        <v/>
      </c>
      <c r="O842" s="167" t="str">
        <f>IF(ISBLANK(DaqBook_RAW_Data!AD832),"",DaqBook_RAW_Data!AD832)</f>
        <v/>
      </c>
      <c r="P842" s="167" t="str">
        <f>IF(ISBLANK(DaqBook_RAW_Data!AE832),"",DaqBook_RAW_Data!AE832)</f>
        <v/>
      </c>
    </row>
    <row r="843" spans="1:16" x14ac:dyDescent="0.2">
      <c r="A843" s="58" t="e">
        <f t="shared" si="12"/>
        <v>#VALUE!</v>
      </c>
      <c r="B843" s="144" t="str">
        <f>IF(ISBLANK(DaqBook_RAW_Data!Q833),IF(DaqBook_RAW_Data!A833="","",TIMEVALUE(DaqBook_RAW_Data!A833)),TIMEVALUE(DaqBook_RAW_Data!Q833))</f>
        <v/>
      </c>
      <c r="C843" s="167" t="str">
        <f>IF(ISBLANK(DaqBook_RAW_Data!R833),"",DaqBook_RAW_Data!R833)</f>
        <v/>
      </c>
      <c r="D843" s="167" t="str">
        <f>IF(ISBLANK(DaqBook_RAW_Data!S833),"",DaqBook_RAW_Data!S833)</f>
        <v/>
      </c>
      <c r="E843" s="167" t="str">
        <f>IF(ISBLANK(DaqBook_RAW_Data!T833),"",DaqBook_RAW_Data!T833)</f>
        <v/>
      </c>
      <c r="F843" s="167" t="str">
        <f>IF(ISBLANK(DaqBook_RAW_Data!U833),"",DaqBook_RAW_Data!U833)</f>
        <v/>
      </c>
      <c r="G843" s="167" t="str">
        <f>IF(ISBLANK(DaqBook_RAW_Data!V833),"",DaqBook_RAW_Data!V833)</f>
        <v/>
      </c>
      <c r="H843" s="167" t="str">
        <f>IF(ISBLANK(DaqBook_RAW_Data!W833),"",DaqBook_RAW_Data!W833)</f>
        <v/>
      </c>
      <c r="I843" s="167" t="str">
        <f>IF(ISBLANK(DaqBook_RAW_Data!X833),"",DaqBook_RAW_Data!X833)</f>
        <v/>
      </c>
      <c r="J843" s="167" t="str">
        <f>IF(ISBLANK(DaqBook_RAW_Data!Y833),"",DaqBook_RAW_Data!Y833)</f>
        <v/>
      </c>
      <c r="K843" s="167" t="str">
        <f>IF(ISBLANK(DaqBook_RAW_Data!Z833),"",DaqBook_RAW_Data!Z833)</f>
        <v/>
      </c>
      <c r="L843" s="167" t="str">
        <f>IF(ISBLANK(DaqBook_RAW_Data!AA833),"",DaqBook_RAW_Data!AA833)</f>
        <v/>
      </c>
      <c r="M843" s="167" t="str">
        <f>IF(ISBLANK(DaqBook_RAW_Data!AB833),"",DaqBook_RAW_Data!AB833)</f>
        <v/>
      </c>
      <c r="N843" s="167" t="str">
        <f>IF(ISBLANK(DaqBook_RAW_Data!AC833),"",DaqBook_RAW_Data!AC833)</f>
        <v/>
      </c>
      <c r="O843" s="167" t="str">
        <f>IF(ISBLANK(DaqBook_RAW_Data!AD833),"",DaqBook_RAW_Data!AD833)</f>
        <v/>
      </c>
      <c r="P843" s="167" t="str">
        <f>IF(ISBLANK(DaqBook_RAW_Data!AE833),"",DaqBook_RAW_Data!AE833)</f>
        <v/>
      </c>
    </row>
    <row r="844" spans="1:16" x14ac:dyDescent="0.2">
      <c r="A844" s="58" t="e">
        <f t="shared" si="12"/>
        <v>#VALUE!</v>
      </c>
      <c r="B844" s="144" t="str">
        <f>IF(ISBLANK(DaqBook_RAW_Data!Q834),IF(DaqBook_RAW_Data!A834="","",TIMEVALUE(DaqBook_RAW_Data!A834)),TIMEVALUE(DaqBook_RAW_Data!Q834))</f>
        <v/>
      </c>
      <c r="C844" s="167" t="str">
        <f>IF(ISBLANK(DaqBook_RAW_Data!R834),"",DaqBook_RAW_Data!R834)</f>
        <v/>
      </c>
      <c r="D844" s="167" t="str">
        <f>IF(ISBLANK(DaqBook_RAW_Data!S834),"",DaqBook_RAW_Data!S834)</f>
        <v/>
      </c>
      <c r="E844" s="167" t="str">
        <f>IF(ISBLANK(DaqBook_RAW_Data!T834),"",DaqBook_RAW_Data!T834)</f>
        <v/>
      </c>
      <c r="F844" s="167" t="str">
        <f>IF(ISBLANK(DaqBook_RAW_Data!U834),"",DaqBook_RAW_Data!U834)</f>
        <v/>
      </c>
      <c r="G844" s="167" t="str">
        <f>IF(ISBLANK(DaqBook_RAW_Data!V834),"",DaqBook_RAW_Data!V834)</f>
        <v/>
      </c>
      <c r="H844" s="167" t="str">
        <f>IF(ISBLANK(DaqBook_RAW_Data!W834),"",DaqBook_RAW_Data!W834)</f>
        <v/>
      </c>
      <c r="I844" s="167" t="str">
        <f>IF(ISBLANK(DaqBook_RAW_Data!X834),"",DaqBook_RAW_Data!X834)</f>
        <v/>
      </c>
      <c r="J844" s="167" t="str">
        <f>IF(ISBLANK(DaqBook_RAW_Data!Y834),"",DaqBook_RAW_Data!Y834)</f>
        <v/>
      </c>
      <c r="K844" s="167" t="str">
        <f>IF(ISBLANK(DaqBook_RAW_Data!Z834),"",DaqBook_RAW_Data!Z834)</f>
        <v/>
      </c>
      <c r="L844" s="167" t="str">
        <f>IF(ISBLANK(DaqBook_RAW_Data!AA834),"",DaqBook_RAW_Data!AA834)</f>
        <v/>
      </c>
      <c r="M844" s="167" t="str">
        <f>IF(ISBLANK(DaqBook_RAW_Data!AB834),"",DaqBook_RAW_Data!AB834)</f>
        <v/>
      </c>
      <c r="N844" s="167" t="str">
        <f>IF(ISBLANK(DaqBook_RAW_Data!AC834),"",DaqBook_RAW_Data!AC834)</f>
        <v/>
      </c>
      <c r="O844" s="167" t="str">
        <f>IF(ISBLANK(DaqBook_RAW_Data!AD834),"",DaqBook_RAW_Data!AD834)</f>
        <v/>
      </c>
      <c r="P844" s="167" t="str">
        <f>IF(ISBLANK(DaqBook_RAW_Data!AE834),"",DaqBook_RAW_Data!AE834)</f>
        <v/>
      </c>
    </row>
    <row r="845" spans="1:16" x14ac:dyDescent="0.2">
      <c r="A845" s="58" t="e">
        <f t="shared" si="12"/>
        <v>#VALUE!</v>
      </c>
      <c r="B845" s="144" t="str">
        <f>IF(ISBLANK(DaqBook_RAW_Data!Q835),IF(DaqBook_RAW_Data!A835="","",TIMEVALUE(DaqBook_RAW_Data!A835)),TIMEVALUE(DaqBook_RAW_Data!Q835))</f>
        <v/>
      </c>
      <c r="C845" s="167" t="str">
        <f>IF(ISBLANK(DaqBook_RAW_Data!R835),"",DaqBook_RAW_Data!R835)</f>
        <v/>
      </c>
      <c r="D845" s="167" t="str">
        <f>IF(ISBLANK(DaqBook_RAW_Data!S835),"",DaqBook_RAW_Data!S835)</f>
        <v/>
      </c>
      <c r="E845" s="167" t="str">
        <f>IF(ISBLANK(DaqBook_RAW_Data!T835),"",DaqBook_RAW_Data!T835)</f>
        <v/>
      </c>
      <c r="F845" s="167" t="str">
        <f>IF(ISBLANK(DaqBook_RAW_Data!U835),"",DaqBook_RAW_Data!U835)</f>
        <v/>
      </c>
      <c r="G845" s="167" t="str">
        <f>IF(ISBLANK(DaqBook_RAW_Data!V835),"",DaqBook_RAW_Data!V835)</f>
        <v/>
      </c>
      <c r="H845" s="167" t="str">
        <f>IF(ISBLANK(DaqBook_RAW_Data!W835),"",DaqBook_RAW_Data!W835)</f>
        <v/>
      </c>
      <c r="I845" s="167" t="str">
        <f>IF(ISBLANK(DaqBook_RAW_Data!X835),"",DaqBook_RAW_Data!X835)</f>
        <v/>
      </c>
      <c r="J845" s="167" t="str">
        <f>IF(ISBLANK(DaqBook_RAW_Data!Y835),"",DaqBook_RAW_Data!Y835)</f>
        <v/>
      </c>
      <c r="K845" s="167" t="str">
        <f>IF(ISBLANK(DaqBook_RAW_Data!Z835),"",DaqBook_RAW_Data!Z835)</f>
        <v/>
      </c>
      <c r="L845" s="167" t="str">
        <f>IF(ISBLANK(DaqBook_RAW_Data!AA835),"",DaqBook_RAW_Data!AA835)</f>
        <v/>
      </c>
      <c r="M845" s="167" t="str">
        <f>IF(ISBLANK(DaqBook_RAW_Data!AB835),"",DaqBook_RAW_Data!AB835)</f>
        <v/>
      </c>
      <c r="N845" s="167" t="str">
        <f>IF(ISBLANK(DaqBook_RAW_Data!AC835),"",DaqBook_RAW_Data!AC835)</f>
        <v/>
      </c>
      <c r="O845" s="167" t="str">
        <f>IF(ISBLANK(DaqBook_RAW_Data!AD835),"",DaqBook_RAW_Data!AD835)</f>
        <v/>
      </c>
      <c r="P845" s="167" t="str">
        <f>IF(ISBLANK(DaqBook_RAW_Data!AE835),"",DaqBook_RAW_Data!AE835)</f>
        <v/>
      </c>
    </row>
    <row r="846" spans="1:16" x14ac:dyDescent="0.2">
      <c r="A846" s="58" t="e">
        <f t="shared" si="12"/>
        <v>#VALUE!</v>
      </c>
      <c r="B846" s="144" t="str">
        <f>IF(ISBLANK(DaqBook_RAW_Data!Q836),IF(DaqBook_RAW_Data!A836="","",TIMEVALUE(DaqBook_RAW_Data!A836)),TIMEVALUE(DaqBook_RAW_Data!Q836))</f>
        <v/>
      </c>
      <c r="C846" s="167" t="str">
        <f>IF(ISBLANK(DaqBook_RAW_Data!R836),"",DaqBook_RAW_Data!R836)</f>
        <v/>
      </c>
      <c r="D846" s="167" t="str">
        <f>IF(ISBLANK(DaqBook_RAW_Data!S836),"",DaqBook_RAW_Data!S836)</f>
        <v/>
      </c>
      <c r="E846" s="167" t="str">
        <f>IF(ISBLANK(DaqBook_RAW_Data!T836),"",DaqBook_RAW_Data!T836)</f>
        <v/>
      </c>
      <c r="F846" s="167" t="str">
        <f>IF(ISBLANK(DaqBook_RAW_Data!U836),"",DaqBook_RAW_Data!U836)</f>
        <v/>
      </c>
      <c r="G846" s="167" t="str">
        <f>IF(ISBLANK(DaqBook_RAW_Data!V836),"",DaqBook_RAW_Data!V836)</f>
        <v/>
      </c>
      <c r="H846" s="167" t="str">
        <f>IF(ISBLANK(DaqBook_RAW_Data!W836),"",DaqBook_RAW_Data!W836)</f>
        <v/>
      </c>
      <c r="I846" s="167" t="str">
        <f>IF(ISBLANK(DaqBook_RAW_Data!X836),"",DaqBook_RAW_Data!X836)</f>
        <v/>
      </c>
      <c r="J846" s="167" t="str">
        <f>IF(ISBLANK(DaqBook_RAW_Data!Y836),"",DaqBook_RAW_Data!Y836)</f>
        <v/>
      </c>
      <c r="K846" s="167" t="str">
        <f>IF(ISBLANK(DaqBook_RAW_Data!Z836),"",DaqBook_RAW_Data!Z836)</f>
        <v/>
      </c>
      <c r="L846" s="167" t="str">
        <f>IF(ISBLANK(DaqBook_RAW_Data!AA836),"",DaqBook_RAW_Data!AA836)</f>
        <v/>
      </c>
      <c r="M846" s="167" t="str">
        <f>IF(ISBLANK(DaqBook_RAW_Data!AB836),"",DaqBook_RAW_Data!AB836)</f>
        <v/>
      </c>
      <c r="N846" s="167" t="str">
        <f>IF(ISBLANK(DaqBook_RAW_Data!AC836),"",DaqBook_RAW_Data!AC836)</f>
        <v/>
      </c>
      <c r="O846" s="167" t="str">
        <f>IF(ISBLANK(DaqBook_RAW_Data!AD836),"",DaqBook_RAW_Data!AD836)</f>
        <v/>
      </c>
      <c r="P846" s="167" t="str">
        <f>IF(ISBLANK(DaqBook_RAW_Data!AE836),"",DaqBook_RAW_Data!AE836)</f>
        <v/>
      </c>
    </row>
    <row r="847" spans="1:16" x14ac:dyDescent="0.2">
      <c r="A847" s="58" t="e">
        <f t="shared" ref="A847:A903" si="13">HOUR(B847)&amp;":"&amp;MINUTE(B847)</f>
        <v>#VALUE!</v>
      </c>
      <c r="B847" s="144" t="str">
        <f>IF(ISBLANK(DaqBook_RAW_Data!Q837),IF(DaqBook_RAW_Data!A837="","",TIMEVALUE(DaqBook_RAW_Data!A837)),TIMEVALUE(DaqBook_RAW_Data!Q837))</f>
        <v/>
      </c>
      <c r="C847" s="167" t="str">
        <f>IF(ISBLANK(DaqBook_RAW_Data!R837),"",DaqBook_RAW_Data!R837)</f>
        <v/>
      </c>
      <c r="D847" s="167" t="str">
        <f>IF(ISBLANK(DaqBook_RAW_Data!S837),"",DaqBook_RAW_Data!S837)</f>
        <v/>
      </c>
      <c r="E847" s="167" t="str">
        <f>IF(ISBLANK(DaqBook_RAW_Data!T837),"",DaqBook_RAW_Data!T837)</f>
        <v/>
      </c>
      <c r="F847" s="167" t="str">
        <f>IF(ISBLANK(DaqBook_RAW_Data!U837),"",DaqBook_RAW_Data!U837)</f>
        <v/>
      </c>
      <c r="G847" s="167" t="str">
        <f>IF(ISBLANK(DaqBook_RAW_Data!V837),"",DaqBook_RAW_Data!V837)</f>
        <v/>
      </c>
      <c r="H847" s="167" t="str">
        <f>IF(ISBLANK(DaqBook_RAW_Data!W837),"",DaqBook_RAW_Data!W837)</f>
        <v/>
      </c>
      <c r="I847" s="167" t="str">
        <f>IF(ISBLANK(DaqBook_RAW_Data!X837),"",DaqBook_RAW_Data!X837)</f>
        <v/>
      </c>
      <c r="J847" s="167" t="str">
        <f>IF(ISBLANK(DaqBook_RAW_Data!Y837),"",DaqBook_RAW_Data!Y837)</f>
        <v/>
      </c>
      <c r="K847" s="167" t="str">
        <f>IF(ISBLANK(DaqBook_RAW_Data!Z837),"",DaqBook_RAW_Data!Z837)</f>
        <v/>
      </c>
      <c r="L847" s="167" t="str">
        <f>IF(ISBLANK(DaqBook_RAW_Data!AA837),"",DaqBook_RAW_Data!AA837)</f>
        <v/>
      </c>
      <c r="M847" s="167" t="str">
        <f>IF(ISBLANK(DaqBook_RAW_Data!AB837),"",DaqBook_RAW_Data!AB837)</f>
        <v/>
      </c>
      <c r="N847" s="167" t="str">
        <f>IF(ISBLANK(DaqBook_RAW_Data!AC837),"",DaqBook_RAW_Data!AC837)</f>
        <v/>
      </c>
      <c r="O847" s="167" t="str">
        <f>IF(ISBLANK(DaqBook_RAW_Data!AD837),"",DaqBook_RAW_Data!AD837)</f>
        <v/>
      </c>
      <c r="P847" s="167" t="str">
        <f>IF(ISBLANK(DaqBook_RAW_Data!AE837),"",DaqBook_RAW_Data!AE837)</f>
        <v/>
      </c>
    </row>
    <row r="848" spans="1:16" x14ac:dyDescent="0.2">
      <c r="A848" s="58" t="e">
        <f t="shared" si="13"/>
        <v>#VALUE!</v>
      </c>
      <c r="B848" s="144" t="str">
        <f>IF(ISBLANK(DaqBook_RAW_Data!Q838),IF(DaqBook_RAW_Data!A838="","",TIMEVALUE(DaqBook_RAW_Data!A838)),TIMEVALUE(DaqBook_RAW_Data!Q838))</f>
        <v/>
      </c>
      <c r="C848" s="167" t="str">
        <f>IF(ISBLANK(DaqBook_RAW_Data!R838),"",DaqBook_RAW_Data!R838)</f>
        <v/>
      </c>
      <c r="D848" s="167" t="str">
        <f>IF(ISBLANK(DaqBook_RAW_Data!S838),"",DaqBook_RAW_Data!S838)</f>
        <v/>
      </c>
      <c r="E848" s="167" t="str">
        <f>IF(ISBLANK(DaqBook_RAW_Data!T838),"",DaqBook_RAW_Data!T838)</f>
        <v/>
      </c>
      <c r="F848" s="167" t="str">
        <f>IF(ISBLANK(DaqBook_RAW_Data!U838),"",DaqBook_RAW_Data!U838)</f>
        <v/>
      </c>
      <c r="G848" s="167" t="str">
        <f>IF(ISBLANK(DaqBook_RAW_Data!V838),"",DaqBook_RAW_Data!V838)</f>
        <v/>
      </c>
      <c r="H848" s="167" t="str">
        <f>IF(ISBLANK(DaqBook_RAW_Data!W838),"",DaqBook_RAW_Data!W838)</f>
        <v/>
      </c>
      <c r="I848" s="167" t="str">
        <f>IF(ISBLANK(DaqBook_RAW_Data!X838),"",DaqBook_RAW_Data!X838)</f>
        <v/>
      </c>
      <c r="J848" s="167" t="str">
        <f>IF(ISBLANK(DaqBook_RAW_Data!Y838),"",DaqBook_RAW_Data!Y838)</f>
        <v/>
      </c>
      <c r="K848" s="167" t="str">
        <f>IF(ISBLANK(DaqBook_RAW_Data!Z838),"",DaqBook_RAW_Data!Z838)</f>
        <v/>
      </c>
      <c r="L848" s="167" t="str">
        <f>IF(ISBLANK(DaqBook_RAW_Data!AA838),"",DaqBook_RAW_Data!AA838)</f>
        <v/>
      </c>
      <c r="M848" s="167" t="str">
        <f>IF(ISBLANK(DaqBook_RAW_Data!AB838),"",DaqBook_RAW_Data!AB838)</f>
        <v/>
      </c>
      <c r="N848" s="167" t="str">
        <f>IF(ISBLANK(DaqBook_RAW_Data!AC838),"",DaqBook_RAW_Data!AC838)</f>
        <v/>
      </c>
      <c r="O848" s="167" t="str">
        <f>IF(ISBLANK(DaqBook_RAW_Data!AD838),"",DaqBook_RAW_Data!AD838)</f>
        <v/>
      </c>
      <c r="P848" s="167" t="str">
        <f>IF(ISBLANK(DaqBook_RAW_Data!AE838),"",DaqBook_RAW_Data!AE838)</f>
        <v/>
      </c>
    </row>
    <row r="849" spans="1:16" x14ac:dyDescent="0.2">
      <c r="A849" s="58" t="e">
        <f t="shared" si="13"/>
        <v>#VALUE!</v>
      </c>
      <c r="B849" s="144" t="str">
        <f>IF(ISBLANK(DaqBook_RAW_Data!Q839),IF(DaqBook_RAW_Data!A839="","",TIMEVALUE(DaqBook_RAW_Data!A839)),TIMEVALUE(DaqBook_RAW_Data!Q839))</f>
        <v/>
      </c>
      <c r="C849" s="167" t="str">
        <f>IF(ISBLANK(DaqBook_RAW_Data!R839),"",DaqBook_RAW_Data!R839)</f>
        <v/>
      </c>
      <c r="D849" s="167" t="str">
        <f>IF(ISBLANK(DaqBook_RAW_Data!S839),"",DaqBook_RAW_Data!S839)</f>
        <v/>
      </c>
      <c r="E849" s="167" t="str">
        <f>IF(ISBLANK(DaqBook_RAW_Data!T839),"",DaqBook_RAW_Data!T839)</f>
        <v/>
      </c>
      <c r="F849" s="167" t="str">
        <f>IF(ISBLANK(DaqBook_RAW_Data!U839),"",DaqBook_RAW_Data!U839)</f>
        <v/>
      </c>
      <c r="G849" s="167" t="str">
        <f>IF(ISBLANK(DaqBook_RAW_Data!V839),"",DaqBook_RAW_Data!V839)</f>
        <v/>
      </c>
      <c r="H849" s="167" t="str">
        <f>IF(ISBLANK(DaqBook_RAW_Data!W839),"",DaqBook_RAW_Data!W839)</f>
        <v/>
      </c>
      <c r="I849" s="167" t="str">
        <f>IF(ISBLANK(DaqBook_RAW_Data!X839),"",DaqBook_RAW_Data!X839)</f>
        <v/>
      </c>
      <c r="J849" s="167" t="str">
        <f>IF(ISBLANK(DaqBook_RAW_Data!Y839),"",DaqBook_RAW_Data!Y839)</f>
        <v/>
      </c>
      <c r="K849" s="167" t="str">
        <f>IF(ISBLANK(DaqBook_RAW_Data!Z839),"",DaqBook_RAW_Data!Z839)</f>
        <v/>
      </c>
      <c r="L849" s="167" t="str">
        <f>IF(ISBLANK(DaqBook_RAW_Data!AA839),"",DaqBook_RAW_Data!AA839)</f>
        <v/>
      </c>
      <c r="M849" s="167" t="str">
        <f>IF(ISBLANK(DaqBook_RAW_Data!AB839),"",DaqBook_RAW_Data!AB839)</f>
        <v/>
      </c>
      <c r="N849" s="167" t="str">
        <f>IF(ISBLANK(DaqBook_RAW_Data!AC839),"",DaqBook_RAW_Data!AC839)</f>
        <v/>
      </c>
      <c r="O849" s="167" t="str">
        <f>IF(ISBLANK(DaqBook_RAW_Data!AD839),"",DaqBook_RAW_Data!AD839)</f>
        <v/>
      </c>
      <c r="P849" s="167" t="str">
        <f>IF(ISBLANK(DaqBook_RAW_Data!AE839),"",DaqBook_RAW_Data!AE839)</f>
        <v/>
      </c>
    </row>
    <row r="850" spans="1:16" x14ac:dyDescent="0.2">
      <c r="A850" s="58" t="e">
        <f t="shared" si="13"/>
        <v>#VALUE!</v>
      </c>
      <c r="B850" s="144" t="str">
        <f>IF(ISBLANK(DaqBook_RAW_Data!Q840),IF(DaqBook_RAW_Data!A840="","",TIMEVALUE(DaqBook_RAW_Data!A840)),TIMEVALUE(DaqBook_RAW_Data!Q840))</f>
        <v/>
      </c>
      <c r="C850" s="167" t="str">
        <f>IF(ISBLANK(DaqBook_RAW_Data!R840),"",DaqBook_RAW_Data!R840)</f>
        <v/>
      </c>
      <c r="D850" s="167" t="str">
        <f>IF(ISBLANK(DaqBook_RAW_Data!S840),"",DaqBook_RAW_Data!S840)</f>
        <v/>
      </c>
      <c r="E850" s="167" t="str">
        <f>IF(ISBLANK(DaqBook_RAW_Data!T840),"",DaqBook_RAW_Data!T840)</f>
        <v/>
      </c>
      <c r="F850" s="167" t="str">
        <f>IF(ISBLANK(DaqBook_RAW_Data!U840),"",DaqBook_RAW_Data!U840)</f>
        <v/>
      </c>
      <c r="G850" s="167" t="str">
        <f>IF(ISBLANK(DaqBook_RAW_Data!V840),"",DaqBook_RAW_Data!V840)</f>
        <v/>
      </c>
      <c r="H850" s="167" t="str">
        <f>IF(ISBLANK(DaqBook_RAW_Data!W840),"",DaqBook_RAW_Data!W840)</f>
        <v/>
      </c>
      <c r="I850" s="167" t="str">
        <f>IF(ISBLANK(DaqBook_RAW_Data!X840),"",DaqBook_RAW_Data!X840)</f>
        <v/>
      </c>
      <c r="J850" s="167" t="str">
        <f>IF(ISBLANK(DaqBook_RAW_Data!Y840),"",DaqBook_RAW_Data!Y840)</f>
        <v/>
      </c>
      <c r="K850" s="167" t="str">
        <f>IF(ISBLANK(DaqBook_RAW_Data!Z840),"",DaqBook_RAW_Data!Z840)</f>
        <v/>
      </c>
      <c r="L850" s="167" t="str">
        <f>IF(ISBLANK(DaqBook_RAW_Data!AA840),"",DaqBook_RAW_Data!AA840)</f>
        <v/>
      </c>
      <c r="M850" s="167" t="str">
        <f>IF(ISBLANK(DaqBook_RAW_Data!AB840),"",DaqBook_RAW_Data!AB840)</f>
        <v/>
      </c>
      <c r="N850" s="167" t="str">
        <f>IF(ISBLANK(DaqBook_RAW_Data!AC840),"",DaqBook_RAW_Data!AC840)</f>
        <v/>
      </c>
      <c r="O850" s="167" t="str">
        <f>IF(ISBLANK(DaqBook_RAW_Data!AD840),"",DaqBook_RAW_Data!AD840)</f>
        <v/>
      </c>
      <c r="P850" s="167" t="str">
        <f>IF(ISBLANK(DaqBook_RAW_Data!AE840),"",DaqBook_RAW_Data!AE840)</f>
        <v/>
      </c>
    </row>
    <row r="851" spans="1:16" x14ac:dyDescent="0.2">
      <c r="A851" s="58" t="e">
        <f t="shared" si="13"/>
        <v>#VALUE!</v>
      </c>
      <c r="B851" s="144" t="str">
        <f>IF(ISBLANK(DaqBook_RAW_Data!Q841),IF(DaqBook_RAW_Data!A841="","",TIMEVALUE(DaqBook_RAW_Data!A841)),TIMEVALUE(DaqBook_RAW_Data!Q841))</f>
        <v/>
      </c>
      <c r="C851" s="167" t="str">
        <f>IF(ISBLANK(DaqBook_RAW_Data!R841),"",DaqBook_RAW_Data!R841)</f>
        <v/>
      </c>
      <c r="D851" s="167" t="str">
        <f>IF(ISBLANK(DaqBook_RAW_Data!S841),"",DaqBook_RAW_Data!S841)</f>
        <v/>
      </c>
      <c r="E851" s="167" t="str">
        <f>IF(ISBLANK(DaqBook_RAW_Data!T841),"",DaqBook_RAW_Data!T841)</f>
        <v/>
      </c>
      <c r="F851" s="167" t="str">
        <f>IF(ISBLANK(DaqBook_RAW_Data!U841),"",DaqBook_RAW_Data!U841)</f>
        <v/>
      </c>
      <c r="G851" s="167" t="str">
        <f>IF(ISBLANK(DaqBook_RAW_Data!V841),"",DaqBook_RAW_Data!V841)</f>
        <v/>
      </c>
      <c r="H851" s="167" t="str">
        <f>IF(ISBLANK(DaqBook_RAW_Data!W841),"",DaqBook_RAW_Data!W841)</f>
        <v/>
      </c>
      <c r="I851" s="167" t="str">
        <f>IF(ISBLANK(DaqBook_RAW_Data!X841),"",DaqBook_RAW_Data!X841)</f>
        <v/>
      </c>
      <c r="J851" s="167" t="str">
        <f>IF(ISBLANK(DaqBook_RAW_Data!Y841),"",DaqBook_RAW_Data!Y841)</f>
        <v/>
      </c>
      <c r="K851" s="167" t="str">
        <f>IF(ISBLANK(DaqBook_RAW_Data!Z841),"",DaqBook_RAW_Data!Z841)</f>
        <v/>
      </c>
      <c r="L851" s="167" t="str">
        <f>IF(ISBLANK(DaqBook_RAW_Data!AA841),"",DaqBook_RAW_Data!AA841)</f>
        <v/>
      </c>
      <c r="M851" s="167" t="str">
        <f>IF(ISBLANK(DaqBook_RAW_Data!AB841),"",DaqBook_RAW_Data!AB841)</f>
        <v/>
      </c>
      <c r="N851" s="167" t="str">
        <f>IF(ISBLANK(DaqBook_RAW_Data!AC841),"",DaqBook_RAW_Data!AC841)</f>
        <v/>
      </c>
      <c r="O851" s="167" t="str">
        <f>IF(ISBLANK(DaqBook_RAW_Data!AD841),"",DaqBook_RAW_Data!AD841)</f>
        <v/>
      </c>
      <c r="P851" s="167" t="str">
        <f>IF(ISBLANK(DaqBook_RAW_Data!AE841),"",DaqBook_RAW_Data!AE841)</f>
        <v/>
      </c>
    </row>
    <row r="852" spans="1:16" x14ac:dyDescent="0.2">
      <c r="A852" s="58" t="e">
        <f t="shared" si="13"/>
        <v>#VALUE!</v>
      </c>
      <c r="B852" s="144" t="str">
        <f>IF(ISBLANK(DaqBook_RAW_Data!Q842),IF(DaqBook_RAW_Data!A842="","",TIMEVALUE(DaqBook_RAW_Data!A842)),TIMEVALUE(DaqBook_RAW_Data!Q842))</f>
        <v/>
      </c>
      <c r="C852" s="167" t="str">
        <f>IF(ISBLANK(DaqBook_RAW_Data!R842),"",DaqBook_RAW_Data!R842)</f>
        <v/>
      </c>
      <c r="D852" s="167" t="str">
        <f>IF(ISBLANK(DaqBook_RAW_Data!S842),"",DaqBook_RAW_Data!S842)</f>
        <v/>
      </c>
      <c r="E852" s="167" t="str">
        <f>IF(ISBLANK(DaqBook_RAW_Data!T842),"",DaqBook_RAW_Data!T842)</f>
        <v/>
      </c>
      <c r="F852" s="167" t="str">
        <f>IF(ISBLANK(DaqBook_RAW_Data!U842),"",DaqBook_RAW_Data!U842)</f>
        <v/>
      </c>
      <c r="G852" s="167" t="str">
        <f>IF(ISBLANK(DaqBook_RAW_Data!V842),"",DaqBook_RAW_Data!V842)</f>
        <v/>
      </c>
      <c r="H852" s="167" t="str">
        <f>IF(ISBLANK(DaqBook_RAW_Data!W842),"",DaqBook_RAW_Data!W842)</f>
        <v/>
      </c>
      <c r="I852" s="167" t="str">
        <f>IF(ISBLANK(DaqBook_RAW_Data!X842),"",DaqBook_RAW_Data!X842)</f>
        <v/>
      </c>
      <c r="J852" s="167" t="str">
        <f>IF(ISBLANK(DaqBook_RAW_Data!Y842),"",DaqBook_RAW_Data!Y842)</f>
        <v/>
      </c>
      <c r="K852" s="167" t="str">
        <f>IF(ISBLANK(DaqBook_RAW_Data!Z842),"",DaqBook_RAW_Data!Z842)</f>
        <v/>
      </c>
      <c r="L852" s="167" t="str">
        <f>IF(ISBLANK(DaqBook_RAW_Data!AA842),"",DaqBook_RAW_Data!AA842)</f>
        <v/>
      </c>
      <c r="M852" s="167" t="str">
        <f>IF(ISBLANK(DaqBook_RAW_Data!AB842),"",DaqBook_RAW_Data!AB842)</f>
        <v/>
      </c>
      <c r="N852" s="167" t="str">
        <f>IF(ISBLANK(DaqBook_RAW_Data!AC842),"",DaqBook_RAW_Data!AC842)</f>
        <v/>
      </c>
      <c r="O852" s="167" t="str">
        <f>IF(ISBLANK(DaqBook_RAW_Data!AD842),"",DaqBook_RAW_Data!AD842)</f>
        <v/>
      </c>
      <c r="P852" s="167" t="str">
        <f>IF(ISBLANK(DaqBook_RAW_Data!AE842),"",DaqBook_RAW_Data!AE842)</f>
        <v/>
      </c>
    </row>
    <row r="853" spans="1:16" x14ac:dyDescent="0.2">
      <c r="A853" s="58" t="e">
        <f t="shared" si="13"/>
        <v>#VALUE!</v>
      </c>
      <c r="B853" s="144" t="str">
        <f>IF(ISBLANK(DaqBook_RAW_Data!Q843),IF(DaqBook_RAW_Data!A843="","",TIMEVALUE(DaqBook_RAW_Data!A843)),TIMEVALUE(DaqBook_RAW_Data!Q843))</f>
        <v/>
      </c>
      <c r="C853" s="167" t="str">
        <f>IF(ISBLANK(DaqBook_RAW_Data!R843),"",DaqBook_RAW_Data!R843)</f>
        <v/>
      </c>
      <c r="D853" s="167" t="str">
        <f>IF(ISBLANK(DaqBook_RAW_Data!S843),"",DaqBook_RAW_Data!S843)</f>
        <v/>
      </c>
      <c r="E853" s="167" t="str">
        <f>IF(ISBLANK(DaqBook_RAW_Data!T843),"",DaqBook_RAW_Data!T843)</f>
        <v/>
      </c>
      <c r="F853" s="167" t="str">
        <f>IF(ISBLANK(DaqBook_RAW_Data!U843),"",DaqBook_RAW_Data!U843)</f>
        <v/>
      </c>
      <c r="G853" s="167" t="str">
        <f>IF(ISBLANK(DaqBook_RAW_Data!V843),"",DaqBook_RAW_Data!V843)</f>
        <v/>
      </c>
      <c r="H853" s="167" t="str">
        <f>IF(ISBLANK(DaqBook_RAW_Data!W843),"",DaqBook_RAW_Data!W843)</f>
        <v/>
      </c>
      <c r="I853" s="167" t="str">
        <f>IF(ISBLANK(DaqBook_RAW_Data!X843),"",DaqBook_RAW_Data!X843)</f>
        <v/>
      </c>
      <c r="J853" s="167" t="str">
        <f>IF(ISBLANK(DaqBook_RAW_Data!Y843),"",DaqBook_RAW_Data!Y843)</f>
        <v/>
      </c>
      <c r="K853" s="167" t="str">
        <f>IF(ISBLANK(DaqBook_RAW_Data!Z843),"",DaqBook_RAW_Data!Z843)</f>
        <v/>
      </c>
      <c r="L853" s="167" t="str">
        <f>IF(ISBLANK(DaqBook_RAW_Data!AA843),"",DaqBook_RAW_Data!AA843)</f>
        <v/>
      </c>
      <c r="M853" s="167" t="str">
        <f>IF(ISBLANK(DaqBook_RAW_Data!AB843),"",DaqBook_RAW_Data!AB843)</f>
        <v/>
      </c>
      <c r="N853" s="167" t="str">
        <f>IF(ISBLANK(DaqBook_RAW_Data!AC843),"",DaqBook_RAW_Data!AC843)</f>
        <v/>
      </c>
      <c r="O853" s="167" t="str">
        <f>IF(ISBLANK(DaqBook_RAW_Data!AD843),"",DaqBook_RAW_Data!AD843)</f>
        <v/>
      </c>
      <c r="P853" s="167" t="str">
        <f>IF(ISBLANK(DaqBook_RAW_Data!AE843),"",DaqBook_RAW_Data!AE843)</f>
        <v/>
      </c>
    </row>
    <row r="854" spans="1:16" x14ac:dyDescent="0.2">
      <c r="A854" s="58" t="e">
        <f t="shared" si="13"/>
        <v>#VALUE!</v>
      </c>
      <c r="B854" s="144" t="str">
        <f>IF(ISBLANK(DaqBook_RAW_Data!Q844),IF(DaqBook_RAW_Data!A844="","",TIMEVALUE(DaqBook_RAW_Data!A844)),TIMEVALUE(DaqBook_RAW_Data!Q844))</f>
        <v/>
      </c>
      <c r="C854" s="167" t="str">
        <f>IF(ISBLANK(DaqBook_RAW_Data!R844),"",DaqBook_RAW_Data!R844)</f>
        <v/>
      </c>
      <c r="D854" s="167" t="str">
        <f>IF(ISBLANK(DaqBook_RAW_Data!S844),"",DaqBook_RAW_Data!S844)</f>
        <v/>
      </c>
      <c r="E854" s="167" t="str">
        <f>IF(ISBLANK(DaqBook_RAW_Data!T844),"",DaqBook_RAW_Data!T844)</f>
        <v/>
      </c>
      <c r="F854" s="167" t="str">
        <f>IF(ISBLANK(DaqBook_RAW_Data!U844),"",DaqBook_RAW_Data!U844)</f>
        <v/>
      </c>
      <c r="G854" s="167" t="str">
        <f>IF(ISBLANK(DaqBook_RAW_Data!V844),"",DaqBook_RAW_Data!V844)</f>
        <v/>
      </c>
      <c r="H854" s="167" t="str">
        <f>IF(ISBLANK(DaqBook_RAW_Data!W844),"",DaqBook_RAW_Data!W844)</f>
        <v/>
      </c>
      <c r="I854" s="167" t="str">
        <f>IF(ISBLANK(DaqBook_RAW_Data!X844),"",DaqBook_RAW_Data!X844)</f>
        <v/>
      </c>
      <c r="J854" s="167" t="str">
        <f>IF(ISBLANK(DaqBook_RAW_Data!Y844),"",DaqBook_RAW_Data!Y844)</f>
        <v/>
      </c>
      <c r="K854" s="167" t="str">
        <f>IF(ISBLANK(DaqBook_RAW_Data!Z844),"",DaqBook_RAW_Data!Z844)</f>
        <v/>
      </c>
      <c r="L854" s="167" t="str">
        <f>IF(ISBLANK(DaqBook_RAW_Data!AA844),"",DaqBook_RAW_Data!AA844)</f>
        <v/>
      </c>
      <c r="M854" s="167" t="str">
        <f>IF(ISBLANK(DaqBook_RAW_Data!AB844),"",DaqBook_RAW_Data!AB844)</f>
        <v/>
      </c>
      <c r="N854" s="167" t="str">
        <f>IF(ISBLANK(DaqBook_RAW_Data!AC844),"",DaqBook_RAW_Data!AC844)</f>
        <v/>
      </c>
      <c r="O854" s="167" t="str">
        <f>IF(ISBLANK(DaqBook_RAW_Data!AD844),"",DaqBook_RAW_Data!AD844)</f>
        <v/>
      </c>
      <c r="P854" s="167" t="str">
        <f>IF(ISBLANK(DaqBook_RAW_Data!AE844),"",DaqBook_RAW_Data!AE844)</f>
        <v/>
      </c>
    </row>
    <row r="855" spans="1:16" x14ac:dyDescent="0.2">
      <c r="A855" s="58" t="e">
        <f t="shared" si="13"/>
        <v>#VALUE!</v>
      </c>
      <c r="B855" s="144" t="str">
        <f>IF(ISBLANK(DaqBook_RAW_Data!Q845),IF(DaqBook_RAW_Data!A845="","",TIMEVALUE(DaqBook_RAW_Data!A845)),TIMEVALUE(DaqBook_RAW_Data!Q845))</f>
        <v/>
      </c>
      <c r="C855" s="167" t="str">
        <f>IF(ISBLANK(DaqBook_RAW_Data!R845),"",DaqBook_RAW_Data!R845)</f>
        <v/>
      </c>
      <c r="D855" s="167" t="str">
        <f>IF(ISBLANK(DaqBook_RAW_Data!S845),"",DaqBook_RAW_Data!S845)</f>
        <v/>
      </c>
      <c r="E855" s="167" t="str">
        <f>IF(ISBLANK(DaqBook_RAW_Data!T845),"",DaqBook_RAW_Data!T845)</f>
        <v/>
      </c>
      <c r="F855" s="167" t="str">
        <f>IF(ISBLANK(DaqBook_RAW_Data!U845),"",DaqBook_RAW_Data!U845)</f>
        <v/>
      </c>
      <c r="G855" s="167" t="str">
        <f>IF(ISBLANK(DaqBook_RAW_Data!V845),"",DaqBook_RAW_Data!V845)</f>
        <v/>
      </c>
      <c r="H855" s="167" t="str">
        <f>IF(ISBLANK(DaqBook_RAW_Data!W845),"",DaqBook_RAW_Data!W845)</f>
        <v/>
      </c>
      <c r="I855" s="167" t="str">
        <f>IF(ISBLANK(DaqBook_RAW_Data!X845),"",DaqBook_RAW_Data!X845)</f>
        <v/>
      </c>
      <c r="J855" s="167" t="str">
        <f>IF(ISBLANK(DaqBook_RAW_Data!Y845),"",DaqBook_RAW_Data!Y845)</f>
        <v/>
      </c>
      <c r="K855" s="167" t="str">
        <f>IF(ISBLANK(DaqBook_RAW_Data!Z845),"",DaqBook_RAW_Data!Z845)</f>
        <v/>
      </c>
      <c r="L855" s="167" t="str">
        <f>IF(ISBLANK(DaqBook_RAW_Data!AA845),"",DaqBook_RAW_Data!AA845)</f>
        <v/>
      </c>
      <c r="M855" s="167" t="str">
        <f>IF(ISBLANK(DaqBook_RAW_Data!AB845),"",DaqBook_RAW_Data!AB845)</f>
        <v/>
      </c>
      <c r="N855" s="167" t="str">
        <f>IF(ISBLANK(DaqBook_RAW_Data!AC845),"",DaqBook_RAW_Data!AC845)</f>
        <v/>
      </c>
      <c r="O855" s="167" t="str">
        <f>IF(ISBLANK(DaqBook_RAW_Data!AD845),"",DaqBook_RAW_Data!AD845)</f>
        <v/>
      </c>
      <c r="P855" s="167" t="str">
        <f>IF(ISBLANK(DaqBook_RAW_Data!AE845),"",DaqBook_RAW_Data!AE845)</f>
        <v/>
      </c>
    </row>
    <row r="856" spans="1:16" x14ac:dyDescent="0.2">
      <c r="A856" s="58" t="e">
        <f t="shared" si="13"/>
        <v>#VALUE!</v>
      </c>
      <c r="B856" s="144" t="str">
        <f>IF(ISBLANK(DaqBook_RAW_Data!Q846),IF(DaqBook_RAW_Data!A846="","",TIMEVALUE(DaqBook_RAW_Data!A846)),TIMEVALUE(DaqBook_RAW_Data!Q846))</f>
        <v/>
      </c>
      <c r="C856" s="167" t="str">
        <f>IF(ISBLANK(DaqBook_RAW_Data!R846),"",DaqBook_RAW_Data!R846)</f>
        <v/>
      </c>
      <c r="D856" s="167" t="str">
        <f>IF(ISBLANK(DaqBook_RAW_Data!S846),"",DaqBook_RAW_Data!S846)</f>
        <v/>
      </c>
      <c r="E856" s="167" t="str">
        <f>IF(ISBLANK(DaqBook_RAW_Data!T846),"",DaqBook_RAW_Data!T846)</f>
        <v/>
      </c>
      <c r="F856" s="167" t="str">
        <f>IF(ISBLANK(DaqBook_RAW_Data!U846),"",DaqBook_RAW_Data!U846)</f>
        <v/>
      </c>
      <c r="G856" s="167" t="str">
        <f>IF(ISBLANK(DaqBook_RAW_Data!V846),"",DaqBook_RAW_Data!V846)</f>
        <v/>
      </c>
      <c r="H856" s="167" t="str">
        <f>IF(ISBLANK(DaqBook_RAW_Data!W846),"",DaqBook_RAW_Data!W846)</f>
        <v/>
      </c>
      <c r="I856" s="167" t="str">
        <f>IF(ISBLANK(DaqBook_RAW_Data!X846),"",DaqBook_RAW_Data!X846)</f>
        <v/>
      </c>
      <c r="J856" s="167" t="str">
        <f>IF(ISBLANK(DaqBook_RAW_Data!Y846),"",DaqBook_RAW_Data!Y846)</f>
        <v/>
      </c>
      <c r="K856" s="167" t="str">
        <f>IF(ISBLANK(DaqBook_RAW_Data!Z846),"",DaqBook_RAW_Data!Z846)</f>
        <v/>
      </c>
      <c r="L856" s="167" t="str">
        <f>IF(ISBLANK(DaqBook_RAW_Data!AA846),"",DaqBook_RAW_Data!AA846)</f>
        <v/>
      </c>
      <c r="M856" s="167" t="str">
        <f>IF(ISBLANK(DaqBook_RAW_Data!AB846),"",DaqBook_RAW_Data!AB846)</f>
        <v/>
      </c>
      <c r="N856" s="167" t="str">
        <f>IF(ISBLANK(DaqBook_RAW_Data!AC846),"",DaqBook_RAW_Data!AC846)</f>
        <v/>
      </c>
      <c r="O856" s="167" t="str">
        <f>IF(ISBLANK(DaqBook_RAW_Data!AD846),"",DaqBook_RAW_Data!AD846)</f>
        <v/>
      </c>
      <c r="P856" s="167" t="str">
        <f>IF(ISBLANK(DaqBook_RAW_Data!AE846),"",DaqBook_RAW_Data!AE846)</f>
        <v/>
      </c>
    </row>
    <row r="857" spans="1:16" x14ac:dyDescent="0.2">
      <c r="A857" s="58" t="e">
        <f t="shared" si="13"/>
        <v>#VALUE!</v>
      </c>
      <c r="B857" s="144" t="str">
        <f>IF(ISBLANK(DaqBook_RAW_Data!Q847),IF(DaqBook_RAW_Data!A847="","",TIMEVALUE(DaqBook_RAW_Data!A847)),TIMEVALUE(DaqBook_RAW_Data!Q847))</f>
        <v/>
      </c>
      <c r="C857" s="167" t="str">
        <f>IF(ISBLANK(DaqBook_RAW_Data!R847),"",DaqBook_RAW_Data!R847)</f>
        <v/>
      </c>
      <c r="D857" s="167" t="str">
        <f>IF(ISBLANK(DaqBook_RAW_Data!S847),"",DaqBook_RAW_Data!S847)</f>
        <v/>
      </c>
      <c r="E857" s="167" t="str">
        <f>IF(ISBLANK(DaqBook_RAW_Data!T847),"",DaqBook_RAW_Data!T847)</f>
        <v/>
      </c>
      <c r="F857" s="167" t="str">
        <f>IF(ISBLANK(DaqBook_RAW_Data!U847),"",DaqBook_RAW_Data!U847)</f>
        <v/>
      </c>
      <c r="G857" s="167" t="str">
        <f>IF(ISBLANK(DaqBook_RAW_Data!V847),"",DaqBook_RAW_Data!V847)</f>
        <v/>
      </c>
      <c r="H857" s="167" t="str">
        <f>IF(ISBLANK(DaqBook_RAW_Data!W847),"",DaqBook_RAW_Data!W847)</f>
        <v/>
      </c>
      <c r="I857" s="167" t="str">
        <f>IF(ISBLANK(DaqBook_RAW_Data!X847),"",DaqBook_RAW_Data!X847)</f>
        <v/>
      </c>
      <c r="J857" s="167" t="str">
        <f>IF(ISBLANK(DaqBook_RAW_Data!Y847),"",DaqBook_RAW_Data!Y847)</f>
        <v/>
      </c>
      <c r="K857" s="167" t="str">
        <f>IF(ISBLANK(DaqBook_RAW_Data!Z847),"",DaqBook_RAW_Data!Z847)</f>
        <v/>
      </c>
      <c r="L857" s="167" t="str">
        <f>IF(ISBLANK(DaqBook_RAW_Data!AA847),"",DaqBook_RAW_Data!AA847)</f>
        <v/>
      </c>
      <c r="M857" s="167" t="str">
        <f>IF(ISBLANK(DaqBook_RAW_Data!AB847),"",DaqBook_RAW_Data!AB847)</f>
        <v/>
      </c>
      <c r="N857" s="167" t="str">
        <f>IF(ISBLANK(DaqBook_RAW_Data!AC847),"",DaqBook_RAW_Data!AC847)</f>
        <v/>
      </c>
      <c r="O857" s="167" t="str">
        <f>IF(ISBLANK(DaqBook_RAW_Data!AD847),"",DaqBook_RAW_Data!AD847)</f>
        <v/>
      </c>
      <c r="P857" s="167" t="str">
        <f>IF(ISBLANK(DaqBook_RAW_Data!AE847),"",DaqBook_RAW_Data!AE847)</f>
        <v/>
      </c>
    </row>
    <row r="858" spans="1:16" x14ac:dyDescent="0.2">
      <c r="A858" s="58" t="e">
        <f t="shared" si="13"/>
        <v>#VALUE!</v>
      </c>
      <c r="B858" s="144" t="str">
        <f>IF(ISBLANK(DaqBook_RAW_Data!Q848),IF(DaqBook_RAW_Data!A848="","",TIMEVALUE(DaqBook_RAW_Data!A848)),TIMEVALUE(DaqBook_RAW_Data!Q848))</f>
        <v/>
      </c>
      <c r="C858" s="167" t="str">
        <f>IF(ISBLANK(DaqBook_RAW_Data!R848),"",DaqBook_RAW_Data!R848)</f>
        <v/>
      </c>
      <c r="D858" s="167" t="str">
        <f>IF(ISBLANK(DaqBook_RAW_Data!S848),"",DaqBook_RAW_Data!S848)</f>
        <v/>
      </c>
      <c r="E858" s="167" t="str">
        <f>IF(ISBLANK(DaqBook_RAW_Data!T848),"",DaqBook_RAW_Data!T848)</f>
        <v/>
      </c>
      <c r="F858" s="167" t="str">
        <f>IF(ISBLANK(DaqBook_RAW_Data!U848),"",DaqBook_RAW_Data!U848)</f>
        <v/>
      </c>
      <c r="G858" s="167" t="str">
        <f>IF(ISBLANK(DaqBook_RAW_Data!V848),"",DaqBook_RAW_Data!V848)</f>
        <v/>
      </c>
      <c r="H858" s="167" t="str">
        <f>IF(ISBLANK(DaqBook_RAW_Data!W848),"",DaqBook_RAW_Data!W848)</f>
        <v/>
      </c>
      <c r="I858" s="167" t="str">
        <f>IF(ISBLANK(DaqBook_RAW_Data!X848),"",DaqBook_RAW_Data!X848)</f>
        <v/>
      </c>
      <c r="J858" s="167" t="str">
        <f>IF(ISBLANK(DaqBook_RAW_Data!Y848),"",DaqBook_RAW_Data!Y848)</f>
        <v/>
      </c>
      <c r="K858" s="167" t="str">
        <f>IF(ISBLANK(DaqBook_RAW_Data!Z848),"",DaqBook_RAW_Data!Z848)</f>
        <v/>
      </c>
      <c r="L858" s="167" t="str">
        <f>IF(ISBLANK(DaqBook_RAW_Data!AA848),"",DaqBook_RAW_Data!AA848)</f>
        <v/>
      </c>
      <c r="M858" s="167" t="str">
        <f>IF(ISBLANK(DaqBook_RAW_Data!AB848),"",DaqBook_RAW_Data!AB848)</f>
        <v/>
      </c>
      <c r="N858" s="167" t="str">
        <f>IF(ISBLANK(DaqBook_RAW_Data!AC848),"",DaqBook_RAW_Data!AC848)</f>
        <v/>
      </c>
      <c r="O858" s="167" t="str">
        <f>IF(ISBLANK(DaqBook_RAW_Data!AD848),"",DaqBook_RAW_Data!AD848)</f>
        <v/>
      </c>
      <c r="P858" s="167" t="str">
        <f>IF(ISBLANK(DaqBook_RAW_Data!AE848),"",DaqBook_RAW_Data!AE848)</f>
        <v/>
      </c>
    </row>
    <row r="859" spans="1:16" x14ac:dyDescent="0.2">
      <c r="A859" s="58" t="e">
        <f t="shared" si="13"/>
        <v>#VALUE!</v>
      </c>
      <c r="B859" s="144" t="str">
        <f>IF(ISBLANK(DaqBook_RAW_Data!Q849),IF(DaqBook_RAW_Data!A849="","",TIMEVALUE(DaqBook_RAW_Data!A849)),TIMEVALUE(DaqBook_RAW_Data!Q849))</f>
        <v/>
      </c>
      <c r="C859" s="167" t="str">
        <f>IF(ISBLANK(DaqBook_RAW_Data!R849),"",DaqBook_RAW_Data!R849)</f>
        <v/>
      </c>
      <c r="D859" s="167" t="str">
        <f>IF(ISBLANK(DaqBook_RAW_Data!S849),"",DaqBook_RAW_Data!S849)</f>
        <v/>
      </c>
      <c r="E859" s="167" t="str">
        <f>IF(ISBLANK(DaqBook_RAW_Data!T849),"",DaqBook_RAW_Data!T849)</f>
        <v/>
      </c>
      <c r="F859" s="167" t="str">
        <f>IF(ISBLANK(DaqBook_RAW_Data!U849),"",DaqBook_RAW_Data!U849)</f>
        <v/>
      </c>
      <c r="G859" s="167" t="str">
        <f>IF(ISBLANK(DaqBook_RAW_Data!V849),"",DaqBook_RAW_Data!V849)</f>
        <v/>
      </c>
      <c r="H859" s="167" t="str">
        <f>IF(ISBLANK(DaqBook_RAW_Data!W849),"",DaqBook_RAW_Data!W849)</f>
        <v/>
      </c>
      <c r="I859" s="167" t="str">
        <f>IF(ISBLANK(DaqBook_RAW_Data!X849),"",DaqBook_RAW_Data!X849)</f>
        <v/>
      </c>
      <c r="J859" s="167" t="str">
        <f>IF(ISBLANK(DaqBook_RAW_Data!Y849),"",DaqBook_RAW_Data!Y849)</f>
        <v/>
      </c>
      <c r="K859" s="167" t="str">
        <f>IF(ISBLANK(DaqBook_RAW_Data!Z849),"",DaqBook_RAW_Data!Z849)</f>
        <v/>
      </c>
      <c r="L859" s="167" t="str">
        <f>IF(ISBLANK(DaqBook_RAW_Data!AA849),"",DaqBook_RAW_Data!AA849)</f>
        <v/>
      </c>
      <c r="M859" s="167" t="str">
        <f>IF(ISBLANK(DaqBook_RAW_Data!AB849),"",DaqBook_RAW_Data!AB849)</f>
        <v/>
      </c>
      <c r="N859" s="167" t="str">
        <f>IF(ISBLANK(DaqBook_RAW_Data!AC849),"",DaqBook_RAW_Data!AC849)</f>
        <v/>
      </c>
      <c r="O859" s="167" t="str">
        <f>IF(ISBLANK(DaqBook_RAW_Data!AD849),"",DaqBook_RAW_Data!AD849)</f>
        <v/>
      </c>
      <c r="P859" s="167" t="str">
        <f>IF(ISBLANK(DaqBook_RAW_Data!AE849),"",DaqBook_RAW_Data!AE849)</f>
        <v/>
      </c>
    </row>
    <row r="860" spans="1:16" x14ac:dyDescent="0.2">
      <c r="A860" s="58" t="e">
        <f t="shared" si="13"/>
        <v>#VALUE!</v>
      </c>
      <c r="B860" s="144" t="str">
        <f>IF(ISBLANK(DaqBook_RAW_Data!Q850),IF(DaqBook_RAW_Data!A850="","",TIMEVALUE(DaqBook_RAW_Data!A850)),TIMEVALUE(DaqBook_RAW_Data!Q850))</f>
        <v/>
      </c>
      <c r="C860" s="167" t="str">
        <f>IF(ISBLANK(DaqBook_RAW_Data!R850),"",DaqBook_RAW_Data!R850)</f>
        <v/>
      </c>
      <c r="D860" s="167" t="str">
        <f>IF(ISBLANK(DaqBook_RAW_Data!S850),"",DaqBook_RAW_Data!S850)</f>
        <v/>
      </c>
      <c r="E860" s="167" t="str">
        <f>IF(ISBLANK(DaqBook_RAW_Data!T850),"",DaqBook_RAW_Data!T850)</f>
        <v/>
      </c>
      <c r="F860" s="167" t="str">
        <f>IF(ISBLANK(DaqBook_RAW_Data!U850),"",DaqBook_RAW_Data!U850)</f>
        <v/>
      </c>
      <c r="G860" s="167" t="str">
        <f>IF(ISBLANK(DaqBook_RAW_Data!V850),"",DaqBook_RAW_Data!V850)</f>
        <v/>
      </c>
      <c r="H860" s="167" t="str">
        <f>IF(ISBLANK(DaqBook_RAW_Data!W850),"",DaqBook_RAW_Data!W850)</f>
        <v/>
      </c>
      <c r="I860" s="167" t="str">
        <f>IF(ISBLANK(DaqBook_RAW_Data!X850),"",DaqBook_RAW_Data!X850)</f>
        <v/>
      </c>
      <c r="J860" s="167" t="str">
        <f>IF(ISBLANK(DaqBook_RAW_Data!Y850),"",DaqBook_RAW_Data!Y850)</f>
        <v/>
      </c>
      <c r="K860" s="167" t="str">
        <f>IF(ISBLANK(DaqBook_RAW_Data!Z850),"",DaqBook_RAW_Data!Z850)</f>
        <v/>
      </c>
      <c r="L860" s="167" t="str">
        <f>IF(ISBLANK(DaqBook_RAW_Data!AA850),"",DaqBook_RAW_Data!AA850)</f>
        <v/>
      </c>
      <c r="M860" s="167" t="str">
        <f>IF(ISBLANK(DaqBook_RAW_Data!AB850),"",DaqBook_RAW_Data!AB850)</f>
        <v/>
      </c>
      <c r="N860" s="167" t="str">
        <f>IF(ISBLANK(DaqBook_RAW_Data!AC850),"",DaqBook_RAW_Data!AC850)</f>
        <v/>
      </c>
      <c r="O860" s="167" t="str">
        <f>IF(ISBLANK(DaqBook_RAW_Data!AD850),"",DaqBook_RAW_Data!AD850)</f>
        <v/>
      </c>
      <c r="P860" s="167" t="str">
        <f>IF(ISBLANK(DaqBook_RAW_Data!AE850),"",DaqBook_RAW_Data!AE850)</f>
        <v/>
      </c>
    </row>
    <row r="861" spans="1:16" x14ac:dyDescent="0.2">
      <c r="A861" s="58" t="e">
        <f t="shared" si="13"/>
        <v>#VALUE!</v>
      </c>
      <c r="B861" s="144" t="str">
        <f>IF(ISBLANK(DaqBook_RAW_Data!Q851),IF(DaqBook_RAW_Data!A851="","",TIMEVALUE(DaqBook_RAW_Data!A851)),TIMEVALUE(DaqBook_RAW_Data!Q851))</f>
        <v/>
      </c>
      <c r="C861" s="167" t="str">
        <f>IF(ISBLANK(DaqBook_RAW_Data!R851),"",DaqBook_RAW_Data!R851)</f>
        <v/>
      </c>
      <c r="D861" s="167" t="str">
        <f>IF(ISBLANK(DaqBook_RAW_Data!S851),"",DaqBook_RAW_Data!S851)</f>
        <v/>
      </c>
      <c r="E861" s="167" t="str">
        <f>IF(ISBLANK(DaqBook_RAW_Data!T851),"",DaqBook_RAW_Data!T851)</f>
        <v/>
      </c>
      <c r="F861" s="167" t="str">
        <f>IF(ISBLANK(DaqBook_RAW_Data!U851),"",DaqBook_RAW_Data!U851)</f>
        <v/>
      </c>
      <c r="G861" s="167" t="str">
        <f>IF(ISBLANK(DaqBook_RAW_Data!V851),"",DaqBook_RAW_Data!V851)</f>
        <v/>
      </c>
      <c r="H861" s="167" t="str">
        <f>IF(ISBLANK(DaqBook_RAW_Data!W851),"",DaqBook_RAW_Data!W851)</f>
        <v/>
      </c>
      <c r="I861" s="167" t="str">
        <f>IF(ISBLANK(DaqBook_RAW_Data!X851),"",DaqBook_RAW_Data!X851)</f>
        <v/>
      </c>
      <c r="J861" s="167" t="str">
        <f>IF(ISBLANK(DaqBook_RAW_Data!Y851),"",DaqBook_RAW_Data!Y851)</f>
        <v/>
      </c>
      <c r="K861" s="167" t="str">
        <f>IF(ISBLANK(DaqBook_RAW_Data!Z851),"",DaqBook_RAW_Data!Z851)</f>
        <v/>
      </c>
      <c r="L861" s="167" t="str">
        <f>IF(ISBLANK(DaqBook_RAW_Data!AA851),"",DaqBook_RAW_Data!AA851)</f>
        <v/>
      </c>
      <c r="M861" s="167" t="str">
        <f>IF(ISBLANK(DaqBook_RAW_Data!AB851),"",DaqBook_RAW_Data!AB851)</f>
        <v/>
      </c>
      <c r="N861" s="167" t="str">
        <f>IF(ISBLANK(DaqBook_RAW_Data!AC851),"",DaqBook_RAW_Data!AC851)</f>
        <v/>
      </c>
      <c r="O861" s="167" t="str">
        <f>IF(ISBLANK(DaqBook_RAW_Data!AD851),"",DaqBook_RAW_Data!AD851)</f>
        <v/>
      </c>
      <c r="P861" s="167" t="str">
        <f>IF(ISBLANK(DaqBook_RAW_Data!AE851),"",DaqBook_RAW_Data!AE851)</f>
        <v/>
      </c>
    </row>
    <row r="862" spans="1:16" x14ac:dyDescent="0.2">
      <c r="A862" s="58" t="e">
        <f t="shared" si="13"/>
        <v>#VALUE!</v>
      </c>
      <c r="B862" s="144" t="str">
        <f>IF(ISBLANK(DaqBook_RAW_Data!Q852),IF(DaqBook_RAW_Data!A852="","",TIMEVALUE(DaqBook_RAW_Data!A852)),TIMEVALUE(DaqBook_RAW_Data!Q852))</f>
        <v/>
      </c>
      <c r="C862" s="167" t="str">
        <f>IF(ISBLANK(DaqBook_RAW_Data!R852),"",DaqBook_RAW_Data!R852)</f>
        <v/>
      </c>
      <c r="D862" s="167" t="str">
        <f>IF(ISBLANK(DaqBook_RAW_Data!S852),"",DaqBook_RAW_Data!S852)</f>
        <v/>
      </c>
      <c r="E862" s="167" t="str">
        <f>IF(ISBLANK(DaqBook_RAW_Data!T852),"",DaqBook_RAW_Data!T852)</f>
        <v/>
      </c>
      <c r="F862" s="167" t="str">
        <f>IF(ISBLANK(DaqBook_RAW_Data!U852),"",DaqBook_RAW_Data!U852)</f>
        <v/>
      </c>
      <c r="G862" s="167" t="str">
        <f>IF(ISBLANK(DaqBook_RAW_Data!V852),"",DaqBook_RAW_Data!V852)</f>
        <v/>
      </c>
      <c r="H862" s="167" t="str">
        <f>IF(ISBLANK(DaqBook_RAW_Data!W852),"",DaqBook_RAW_Data!W852)</f>
        <v/>
      </c>
      <c r="I862" s="167" t="str">
        <f>IF(ISBLANK(DaqBook_RAW_Data!X852),"",DaqBook_RAW_Data!X852)</f>
        <v/>
      </c>
      <c r="J862" s="167" t="str">
        <f>IF(ISBLANK(DaqBook_RAW_Data!Y852),"",DaqBook_RAW_Data!Y852)</f>
        <v/>
      </c>
      <c r="K862" s="167" t="str">
        <f>IF(ISBLANK(DaqBook_RAW_Data!Z852),"",DaqBook_RAW_Data!Z852)</f>
        <v/>
      </c>
      <c r="L862" s="167" t="str">
        <f>IF(ISBLANK(DaqBook_RAW_Data!AA852),"",DaqBook_RAW_Data!AA852)</f>
        <v/>
      </c>
      <c r="M862" s="167" t="str">
        <f>IF(ISBLANK(DaqBook_RAW_Data!AB852),"",DaqBook_RAW_Data!AB852)</f>
        <v/>
      </c>
      <c r="N862" s="167" t="str">
        <f>IF(ISBLANK(DaqBook_RAW_Data!AC852),"",DaqBook_RAW_Data!AC852)</f>
        <v/>
      </c>
      <c r="O862" s="167" t="str">
        <f>IF(ISBLANK(DaqBook_RAW_Data!AD852),"",DaqBook_RAW_Data!AD852)</f>
        <v/>
      </c>
      <c r="P862" s="167" t="str">
        <f>IF(ISBLANK(DaqBook_RAW_Data!AE852),"",DaqBook_RAW_Data!AE852)</f>
        <v/>
      </c>
    </row>
    <row r="863" spans="1:16" x14ac:dyDescent="0.2">
      <c r="A863" s="58" t="e">
        <f t="shared" si="13"/>
        <v>#VALUE!</v>
      </c>
      <c r="B863" s="144" t="str">
        <f>IF(ISBLANK(DaqBook_RAW_Data!Q853),IF(DaqBook_RAW_Data!A853="","",TIMEVALUE(DaqBook_RAW_Data!A853)),TIMEVALUE(DaqBook_RAW_Data!Q853))</f>
        <v/>
      </c>
      <c r="C863" s="167" t="str">
        <f>IF(ISBLANK(DaqBook_RAW_Data!R853),"",DaqBook_RAW_Data!R853)</f>
        <v/>
      </c>
      <c r="D863" s="167" t="str">
        <f>IF(ISBLANK(DaqBook_RAW_Data!S853),"",DaqBook_RAW_Data!S853)</f>
        <v/>
      </c>
      <c r="E863" s="167" t="str">
        <f>IF(ISBLANK(DaqBook_RAW_Data!T853),"",DaqBook_RAW_Data!T853)</f>
        <v/>
      </c>
      <c r="F863" s="167" t="str">
        <f>IF(ISBLANK(DaqBook_RAW_Data!U853),"",DaqBook_RAW_Data!U853)</f>
        <v/>
      </c>
      <c r="G863" s="167" t="str">
        <f>IF(ISBLANK(DaqBook_RAW_Data!V853),"",DaqBook_RAW_Data!V853)</f>
        <v/>
      </c>
      <c r="H863" s="167" t="str">
        <f>IF(ISBLANK(DaqBook_RAW_Data!W853),"",DaqBook_RAW_Data!W853)</f>
        <v/>
      </c>
      <c r="I863" s="167" t="str">
        <f>IF(ISBLANK(DaqBook_RAW_Data!X853),"",DaqBook_RAW_Data!X853)</f>
        <v/>
      </c>
      <c r="J863" s="167" t="str">
        <f>IF(ISBLANK(DaqBook_RAW_Data!Y853),"",DaqBook_RAW_Data!Y853)</f>
        <v/>
      </c>
      <c r="K863" s="167" t="str">
        <f>IF(ISBLANK(DaqBook_RAW_Data!Z853),"",DaqBook_RAW_Data!Z853)</f>
        <v/>
      </c>
      <c r="L863" s="167" t="str">
        <f>IF(ISBLANK(DaqBook_RAW_Data!AA853),"",DaqBook_RAW_Data!AA853)</f>
        <v/>
      </c>
      <c r="M863" s="167" t="str">
        <f>IF(ISBLANK(DaqBook_RAW_Data!AB853),"",DaqBook_RAW_Data!AB853)</f>
        <v/>
      </c>
      <c r="N863" s="167" t="str">
        <f>IF(ISBLANK(DaqBook_RAW_Data!AC853),"",DaqBook_RAW_Data!AC853)</f>
        <v/>
      </c>
      <c r="O863" s="167" t="str">
        <f>IF(ISBLANK(DaqBook_RAW_Data!AD853),"",DaqBook_RAW_Data!AD853)</f>
        <v/>
      </c>
      <c r="P863" s="167" t="str">
        <f>IF(ISBLANK(DaqBook_RAW_Data!AE853),"",DaqBook_RAW_Data!AE853)</f>
        <v/>
      </c>
    </row>
    <row r="864" spans="1:16" x14ac:dyDescent="0.2">
      <c r="A864" s="58" t="e">
        <f t="shared" si="13"/>
        <v>#VALUE!</v>
      </c>
      <c r="B864" s="144" t="str">
        <f>IF(ISBLANK(DaqBook_RAW_Data!Q854),IF(DaqBook_RAW_Data!A854="","",TIMEVALUE(DaqBook_RAW_Data!A854)),TIMEVALUE(DaqBook_RAW_Data!Q854))</f>
        <v/>
      </c>
      <c r="C864" s="167" t="str">
        <f>IF(ISBLANK(DaqBook_RAW_Data!R854),"",DaqBook_RAW_Data!R854)</f>
        <v/>
      </c>
      <c r="D864" s="167" t="str">
        <f>IF(ISBLANK(DaqBook_RAW_Data!S854),"",DaqBook_RAW_Data!S854)</f>
        <v/>
      </c>
      <c r="E864" s="167" t="str">
        <f>IF(ISBLANK(DaqBook_RAW_Data!T854),"",DaqBook_RAW_Data!T854)</f>
        <v/>
      </c>
      <c r="F864" s="167" t="str">
        <f>IF(ISBLANK(DaqBook_RAW_Data!U854),"",DaqBook_RAW_Data!U854)</f>
        <v/>
      </c>
      <c r="G864" s="167" t="str">
        <f>IF(ISBLANK(DaqBook_RAW_Data!V854),"",DaqBook_RAW_Data!V854)</f>
        <v/>
      </c>
      <c r="H864" s="167" t="str">
        <f>IF(ISBLANK(DaqBook_RAW_Data!W854),"",DaqBook_RAW_Data!W854)</f>
        <v/>
      </c>
      <c r="I864" s="167" t="str">
        <f>IF(ISBLANK(DaqBook_RAW_Data!X854),"",DaqBook_RAW_Data!X854)</f>
        <v/>
      </c>
      <c r="J864" s="167" t="str">
        <f>IF(ISBLANK(DaqBook_RAW_Data!Y854),"",DaqBook_RAW_Data!Y854)</f>
        <v/>
      </c>
      <c r="K864" s="167" t="str">
        <f>IF(ISBLANK(DaqBook_RAW_Data!Z854),"",DaqBook_RAW_Data!Z854)</f>
        <v/>
      </c>
      <c r="L864" s="167" t="str">
        <f>IF(ISBLANK(DaqBook_RAW_Data!AA854),"",DaqBook_RAW_Data!AA854)</f>
        <v/>
      </c>
      <c r="M864" s="167" t="str">
        <f>IF(ISBLANK(DaqBook_RAW_Data!AB854),"",DaqBook_RAW_Data!AB854)</f>
        <v/>
      </c>
      <c r="N864" s="167" t="str">
        <f>IF(ISBLANK(DaqBook_RAW_Data!AC854),"",DaqBook_RAW_Data!AC854)</f>
        <v/>
      </c>
      <c r="O864" s="167" t="str">
        <f>IF(ISBLANK(DaqBook_RAW_Data!AD854),"",DaqBook_RAW_Data!AD854)</f>
        <v/>
      </c>
      <c r="P864" s="167" t="str">
        <f>IF(ISBLANK(DaqBook_RAW_Data!AE854),"",DaqBook_RAW_Data!AE854)</f>
        <v/>
      </c>
    </row>
    <row r="865" spans="1:16" x14ac:dyDescent="0.2">
      <c r="A865" s="58" t="e">
        <f t="shared" si="13"/>
        <v>#VALUE!</v>
      </c>
      <c r="B865" s="144" t="str">
        <f>IF(ISBLANK(DaqBook_RAW_Data!Q855),IF(DaqBook_RAW_Data!A855="","",TIMEVALUE(DaqBook_RAW_Data!A855)),TIMEVALUE(DaqBook_RAW_Data!Q855))</f>
        <v/>
      </c>
      <c r="C865" s="167" t="str">
        <f>IF(ISBLANK(DaqBook_RAW_Data!R855),"",DaqBook_RAW_Data!R855)</f>
        <v/>
      </c>
      <c r="D865" s="167" t="str">
        <f>IF(ISBLANK(DaqBook_RAW_Data!S855),"",DaqBook_RAW_Data!S855)</f>
        <v/>
      </c>
      <c r="E865" s="167" t="str">
        <f>IF(ISBLANK(DaqBook_RAW_Data!T855),"",DaqBook_RAW_Data!T855)</f>
        <v/>
      </c>
      <c r="F865" s="167" t="str">
        <f>IF(ISBLANK(DaqBook_RAW_Data!U855),"",DaqBook_RAW_Data!U855)</f>
        <v/>
      </c>
      <c r="G865" s="167" t="str">
        <f>IF(ISBLANK(DaqBook_RAW_Data!V855),"",DaqBook_RAW_Data!V855)</f>
        <v/>
      </c>
      <c r="H865" s="167" t="str">
        <f>IF(ISBLANK(DaqBook_RAW_Data!W855),"",DaqBook_RAW_Data!W855)</f>
        <v/>
      </c>
      <c r="I865" s="167" t="str">
        <f>IF(ISBLANK(DaqBook_RAW_Data!X855),"",DaqBook_RAW_Data!X855)</f>
        <v/>
      </c>
      <c r="J865" s="167" t="str">
        <f>IF(ISBLANK(DaqBook_RAW_Data!Y855),"",DaqBook_RAW_Data!Y855)</f>
        <v/>
      </c>
      <c r="K865" s="167" t="str">
        <f>IF(ISBLANK(DaqBook_RAW_Data!Z855),"",DaqBook_RAW_Data!Z855)</f>
        <v/>
      </c>
      <c r="L865" s="167" t="str">
        <f>IF(ISBLANK(DaqBook_RAW_Data!AA855),"",DaqBook_RAW_Data!AA855)</f>
        <v/>
      </c>
      <c r="M865" s="167" t="str">
        <f>IF(ISBLANK(DaqBook_RAW_Data!AB855),"",DaqBook_RAW_Data!AB855)</f>
        <v/>
      </c>
      <c r="N865" s="167" t="str">
        <f>IF(ISBLANK(DaqBook_RAW_Data!AC855),"",DaqBook_RAW_Data!AC855)</f>
        <v/>
      </c>
      <c r="O865" s="167" t="str">
        <f>IF(ISBLANK(DaqBook_RAW_Data!AD855),"",DaqBook_RAW_Data!AD855)</f>
        <v/>
      </c>
      <c r="P865" s="167" t="str">
        <f>IF(ISBLANK(DaqBook_RAW_Data!AE855),"",DaqBook_RAW_Data!AE855)</f>
        <v/>
      </c>
    </row>
    <row r="866" spans="1:16" x14ac:dyDescent="0.2">
      <c r="A866" s="58" t="e">
        <f t="shared" si="13"/>
        <v>#VALUE!</v>
      </c>
      <c r="B866" s="144" t="str">
        <f>IF(ISBLANK(DaqBook_RAW_Data!Q856),IF(DaqBook_RAW_Data!A856="","",TIMEVALUE(DaqBook_RAW_Data!A856)),TIMEVALUE(DaqBook_RAW_Data!Q856))</f>
        <v/>
      </c>
      <c r="C866" s="167" t="str">
        <f>IF(ISBLANK(DaqBook_RAW_Data!R856),"",DaqBook_RAW_Data!R856)</f>
        <v/>
      </c>
      <c r="D866" s="167" t="str">
        <f>IF(ISBLANK(DaqBook_RAW_Data!S856),"",DaqBook_RAW_Data!S856)</f>
        <v/>
      </c>
      <c r="E866" s="167" t="str">
        <f>IF(ISBLANK(DaqBook_RAW_Data!T856),"",DaqBook_RAW_Data!T856)</f>
        <v/>
      </c>
      <c r="F866" s="167" t="str">
        <f>IF(ISBLANK(DaqBook_RAW_Data!U856),"",DaqBook_RAW_Data!U856)</f>
        <v/>
      </c>
      <c r="G866" s="167" t="str">
        <f>IF(ISBLANK(DaqBook_RAW_Data!V856),"",DaqBook_RAW_Data!V856)</f>
        <v/>
      </c>
      <c r="H866" s="167" t="str">
        <f>IF(ISBLANK(DaqBook_RAW_Data!W856),"",DaqBook_RAW_Data!W856)</f>
        <v/>
      </c>
      <c r="I866" s="167" t="str">
        <f>IF(ISBLANK(DaqBook_RAW_Data!X856),"",DaqBook_RAW_Data!X856)</f>
        <v/>
      </c>
      <c r="J866" s="167" t="str">
        <f>IF(ISBLANK(DaqBook_RAW_Data!Y856),"",DaqBook_RAW_Data!Y856)</f>
        <v/>
      </c>
      <c r="K866" s="167" t="str">
        <f>IF(ISBLANK(DaqBook_RAW_Data!Z856),"",DaqBook_RAW_Data!Z856)</f>
        <v/>
      </c>
      <c r="L866" s="167" t="str">
        <f>IF(ISBLANK(DaqBook_RAW_Data!AA856),"",DaqBook_RAW_Data!AA856)</f>
        <v/>
      </c>
      <c r="M866" s="167" t="str">
        <f>IF(ISBLANK(DaqBook_RAW_Data!AB856),"",DaqBook_RAW_Data!AB856)</f>
        <v/>
      </c>
      <c r="N866" s="167" t="str">
        <f>IF(ISBLANK(DaqBook_RAW_Data!AC856),"",DaqBook_RAW_Data!AC856)</f>
        <v/>
      </c>
      <c r="O866" s="167" t="str">
        <f>IF(ISBLANK(DaqBook_RAW_Data!AD856),"",DaqBook_RAW_Data!AD856)</f>
        <v/>
      </c>
      <c r="P866" s="167" t="str">
        <f>IF(ISBLANK(DaqBook_RAW_Data!AE856),"",DaqBook_RAW_Data!AE856)</f>
        <v/>
      </c>
    </row>
    <row r="867" spans="1:16" x14ac:dyDescent="0.2">
      <c r="A867" s="58" t="e">
        <f t="shared" si="13"/>
        <v>#VALUE!</v>
      </c>
      <c r="B867" s="144" t="str">
        <f>IF(ISBLANK(DaqBook_RAW_Data!Q857),IF(DaqBook_RAW_Data!A857="","",TIMEVALUE(DaqBook_RAW_Data!A857)),TIMEVALUE(DaqBook_RAW_Data!Q857))</f>
        <v/>
      </c>
      <c r="C867" s="167" t="str">
        <f>IF(ISBLANK(DaqBook_RAW_Data!R857),"",DaqBook_RAW_Data!R857)</f>
        <v/>
      </c>
      <c r="D867" s="167" t="str">
        <f>IF(ISBLANK(DaqBook_RAW_Data!S857),"",DaqBook_RAW_Data!S857)</f>
        <v/>
      </c>
      <c r="E867" s="167" t="str">
        <f>IF(ISBLANK(DaqBook_RAW_Data!T857),"",DaqBook_RAW_Data!T857)</f>
        <v/>
      </c>
      <c r="F867" s="167" t="str">
        <f>IF(ISBLANK(DaqBook_RAW_Data!U857),"",DaqBook_RAW_Data!U857)</f>
        <v/>
      </c>
      <c r="G867" s="167" t="str">
        <f>IF(ISBLANK(DaqBook_RAW_Data!V857),"",DaqBook_RAW_Data!V857)</f>
        <v/>
      </c>
      <c r="H867" s="167" t="str">
        <f>IF(ISBLANK(DaqBook_RAW_Data!W857),"",DaqBook_RAW_Data!W857)</f>
        <v/>
      </c>
      <c r="I867" s="167" t="str">
        <f>IF(ISBLANK(DaqBook_RAW_Data!X857),"",DaqBook_RAW_Data!X857)</f>
        <v/>
      </c>
      <c r="J867" s="167" t="str">
        <f>IF(ISBLANK(DaqBook_RAW_Data!Y857),"",DaqBook_RAW_Data!Y857)</f>
        <v/>
      </c>
      <c r="K867" s="167" t="str">
        <f>IF(ISBLANK(DaqBook_RAW_Data!Z857),"",DaqBook_RAW_Data!Z857)</f>
        <v/>
      </c>
      <c r="L867" s="167" t="str">
        <f>IF(ISBLANK(DaqBook_RAW_Data!AA857),"",DaqBook_RAW_Data!AA857)</f>
        <v/>
      </c>
      <c r="M867" s="167" t="str">
        <f>IF(ISBLANK(DaqBook_RAW_Data!AB857),"",DaqBook_RAW_Data!AB857)</f>
        <v/>
      </c>
      <c r="N867" s="167" t="str">
        <f>IF(ISBLANK(DaqBook_RAW_Data!AC857),"",DaqBook_RAW_Data!AC857)</f>
        <v/>
      </c>
      <c r="O867" s="167" t="str">
        <f>IF(ISBLANK(DaqBook_RAW_Data!AD857),"",DaqBook_RAW_Data!AD857)</f>
        <v/>
      </c>
      <c r="P867" s="167" t="str">
        <f>IF(ISBLANK(DaqBook_RAW_Data!AE857),"",DaqBook_RAW_Data!AE857)</f>
        <v/>
      </c>
    </row>
    <row r="868" spans="1:16" x14ac:dyDescent="0.2">
      <c r="A868" s="58" t="e">
        <f t="shared" si="13"/>
        <v>#VALUE!</v>
      </c>
      <c r="B868" s="144" t="str">
        <f>IF(ISBLANK(DaqBook_RAW_Data!Q858),IF(DaqBook_RAW_Data!A858="","",TIMEVALUE(DaqBook_RAW_Data!A858)),TIMEVALUE(DaqBook_RAW_Data!Q858))</f>
        <v/>
      </c>
      <c r="C868" s="167" t="str">
        <f>IF(ISBLANK(DaqBook_RAW_Data!R858),"",DaqBook_RAW_Data!R858)</f>
        <v/>
      </c>
      <c r="D868" s="167" t="str">
        <f>IF(ISBLANK(DaqBook_RAW_Data!S858),"",DaqBook_RAW_Data!S858)</f>
        <v/>
      </c>
      <c r="E868" s="167" t="str">
        <f>IF(ISBLANK(DaqBook_RAW_Data!T858),"",DaqBook_RAW_Data!T858)</f>
        <v/>
      </c>
      <c r="F868" s="167" t="str">
        <f>IF(ISBLANK(DaqBook_RAW_Data!U858),"",DaqBook_RAW_Data!U858)</f>
        <v/>
      </c>
      <c r="G868" s="167" t="str">
        <f>IF(ISBLANK(DaqBook_RAW_Data!V858),"",DaqBook_RAW_Data!V858)</f>
        <v/>
      </c>
      <c r="H868" s="167" t="str">
        <f>IF(ISBLANK(DaqBook_RAW_Data!W858),"",DaqBook_RAW_Data!W858)</f>
        <v/>
      </c>
      <c r="I868" s="167" t="str">
        <f>IF(ISBLANK(DaqBook_RAW_Data!X858),"",DaqBook_RAW_Data!X858)</f>
        <v/>
      </c>
      <c r="J868" s="167" t="str">
        <f>IF(ISBLANK(DaqBook_RAW_Data!Y858),"",DaqBook_RAW_Data!Y858)</f>
        <v/>
      </c>
      <c r="K868" s="167" t="str">
        <f>IF(ISBLANK(DaqBook_RAW_Data!Z858),"",DaqBook_RAW_Data!Z858)</f>
        <v/>
      </c>
      <c r="L868" s="167" t="str">
        <f>IF(ISBLANK(DaqBook_RAW_Data!AA858),"",DaqBook_RAW_Data!AA858)</f>
        <v/>
      </c>
      <c r="M868" s="167" t="str">
        <f>IF(ISBLANK(DaqBook_RAW_Data!AB858),"",DaqBook_RAW_Data!AB858)</f>
        <v/>
      </c>
      <c r="N868" s="167" t="str">
        <f>IF(ISBLANK(DaqBook_RAW_Data!AC858),"",DaqBook_RAW_Data!AC858)</f>
        <v/>
      </c>
      <c r="O868" s="167" t="str">
        <f>IF(ISBLANK(DaqBook_RAW_Data!AD858),"",DaqBook_RAW_Data!AD858)</f>
        <v/>
      </c>
      <c r="P868" s="167" t="str">
        <f>IF(ISBLANK(DaqBook_RAW_Data!AE858),"",DaqBook_RAW_Data!AE858)</f>
        <v/>
      </c>
    </row>
    <row r="869" spans="1:16" x14ac:dyDescent="0.2">
      <c r="A869" s="58" t="e">
        <f t="shared" si="13"/>
        <v>#VALUE!</v>
      </c>
      <c r="B869" s="144" t="str">
        <f>IF(ISBLANK(DaqBook_RAW_Data!Q859),IF(DaqBook_RAW_Data!A859="","",TIMEVALUE(DaqBook_RAW_Data!A859)),TIMEVALUE(DaqBook_RAW_Data!Q859))</f>
        <v/>
      </c>
      <c r="C869" s="167" t="str">
        <f>IF(ISBLANK(DaqBook_RAW_Data!R859),"",DaqBook_RAW_Data!R859)</f>
        <v/>
      </c>
      <c r="D869" s="167" t="str">
        <f>IF(ISBLANK(DaqBook_RAW_Data!S859),"",DaqBook_RAW_Data!S859)</f>
        <v/>
      </c>
      <c r="E869" s="167" t="str">
        <f>IF(ISBLANK(DaqBook_RAW_Data!T859),"",DaqBook_RAW_Data!T859)</f>
        <v/>
      </c>
      <c r="F869" s="167" t="str">
        <f>IF(ISBLANK(DaqBook_RAW_Data!U859),"",DaqBook_RAW_Data!U859)</f>
        <v/>
      </c>
      <c r="G869" s="167" t="str">
        <f>IF(ISBLANK(DaqBook_RAW_Data!V859),"",DaqBook_RAW_Data!V859)</f>
        <v/>
      </c>
      <c r="H869" s="167" t="str">
        <f>IF(ISBLANK(DaqBook_RAW_Data!W859),"",DaqBook_RAW_Data!W859)</f>
        <v/>
      </c>
      <c r="I869" s="167" t="str">
        <f>IF(ISBLANK(DaqBook_RAW_Data!X859),"",DaqBook_RAW_Data!X859)</f>
        <v/>
      </c>
      <c r="J869" s="167" t="str">
        <f>IF(ISBLANK(DaqBook_RAW_Data!Y859),"",DaqBook_RAW_Data!Y859)</f>
        <v/>
      </c>
      <c r="K869" s="167" t="str">
        <f>IF(ISBLANK(DaqBook_RAW_Data!Z859),"",DaqBook_RAW_Data!Z859)</f>
        <v/>
      </c>
      <c r="L869" s="167" t="str">
        <f>IF(ISBLANK(DaqBook_RAW_Data!AA859),"",DaqBook_RAW_Data!AA859)</f>
        <v/>
      </c>
      <c r="M869" s="167" t="str">
        <f>IF(ISBLANK(DaqBook_RAW_Data!AB859),"",DaqBook_RAW_Data!AB859)</f>
        <v/>
      </c>
      <c r="N869" s="167" t="str">
        <f>IF(ISBLANK(DaqBook_RAW_Data!AC859),"",DaqBook_RAW_Data!AC859)</f>
        <v/>
      </c>
      <c r="O869" s="167" t="str">
        <f>IF(ISBLANK(DaqBook_RAW_Data!AD859),"",DaqBook_RAW_Data!AD859)</f>
        <v/>
      </c>
      <c r="P869" s="167" t="str">
        <f>IF(ISBLANK(DaqBook_RAW_Data!AE859),"",DaqBook_RAW_Data!AE859)</f>
        <v/>
      </c>
    </row>
    <row r="870" spans="1:16" x14ac:dyDescent="0.2">
      <c r="A870" s="58" t="e">
        <f t="shared" si="13"/>
        <v>#VALUE!</v>
      </c>
      <c r="B870" s="144" t="str">
        <f>IF(ISBLANK(DaqBook_RAW_Data!Q860),IF(DaqBook_RAW_Data!A860="","",TIMEVALUE(DaqBook_RAW_Data!A860)),TIMEVALUE(DaqBook_RAW_Data!Q860))</f>
        <v/>
      </c>
      <c r="C870" s="167" t="str">
        <f>IF(ISBLANK(DaqBook_RAW_Data!R860),"",DaqBook_RAW_Data!R860)</f>
        <v/>
      </c>
      <c r="D870" s="167" t="str">
        <f>IF(ISBLANK(DaqBook_RAW_Data!S860),"",DaqBook_RAW_Data!S860)</f>
        <v/>
      </c>
      <c r="E870" s="167" t="str">
        <f>IF(ISBLANK(DaqBook_RAW_Data!T860),"",DaqBook_RAW_Data!T860)</f>
        <v/>
      </c>
      <c r="F870" s="167" t="str">
        <f>IF(ISBLANK(DaqBook_RAW_Data!U860),"",DaqBook_RAW_Data!U860)</f>
        <v/>
      </c>
      <c r="G870" s="167" t="str">
        <f>IF(ISBLANK(DaqBook_RAW_Data!V860),"",DaqBook_RAW_Data!V860)</f>
        <v/>
      </c>
      <c r="H870" s="167" t="str">
        <f>IF(ISBLANK(DaqBook_RAW_Data!W860),"",DaqBook_RAW_Data!W860)</f>
        <v/>
      </c>
      <c r="I870" s="167" t="str">
        <f>IF(ISBLANK(DaqBook_RAW_Data!X860),"",DaqBook_RAW_Data!X860)</f>
        <v/>
      </c>
      <c r="J870" s="167" t="str">
        <f>IF(ISBLANK(DaqBook_RAW_Data!Y860),"",DaqBook_RAW_Data!Y860)</f>
        <v/>
      </c>
      <c r="K870" s="167" t="str">
        <f>IF(ISBLANK(DaqBook_RAW_Data!Z860),"",DaqBook_RAW_Data!Z860)</f>
        <v/>
      </c>
      <c r="L870" s="167" t="str">
        <f>IF(ISBLANK(DaqBook_RAW_Data!AA860),"",DaqBook_RAW_Data!AA860)</f>
        <v/>
      </c>
      <c r="M870" s="167" t="str">
        <f>IF(ISBLANK(DaqBook_RAW_Data!AB860),"",DaqBook_RAW_Data!AB860)</f>
        <v/>
      </c>
      <c r="N870" s="167" t="str">
        <f>IF(ISBLANK(DaqBook_RAW_Data!AC860),"",DaqBook_RAW_Data!AC860)</f>
        <v/>
      </c>
      <c r="O870" s="167" t="str">
        <f>IF(ISBLANK(DaqBook_RAW_Data!AD860),"",DaqBook_RAW_Data!AD860)</f>
        <v/>
      </c>
      <c r="P870" s="167" t="str">
        <f>IF(ISBLANK(DaqBook_RAW_Data!AE860),"",DaqBook_RAW_Data!AE860)</f>
        <v/>
      </c>
    </row>
    <row r="871" spans="1:16" x14ac:dyDescent="0.2">
      <c r="A871" s="58" t="e">
        <f t="shared" si="13"/>
        <v>#VALUE!</v>
      </c>
      <c r="B871" s="144" t="str">
        <f>IF(ISBLANK(DaqBook_RAW_Data!Q861),IF(DaqBook_RAW_Data!A861="","",TIMEVALUE(DaqBook_RAW_Data!A861)),TIMEVALUE(DaqBook_RAW_Data!Q861))</f>
        <v/>
      </c>
      <c r="C871" s="167" t="str">
        <f>IF(ISBLANK(DaqBook_RAW_Data!R861),"",DaqBook_RAW_Data!R861)</f>
        <v/>
      </c>
      <c r="D871" s="167" t="str">
        <f>IF(ISBLANK(DaqBook_RAW_Data!S861),"",DaqBook_RAW_Data!S861)</f>
        <v/>
      </c>
      <c r="E871" s="167" t="str">
        <f>IF(ISBLANK(DaqBook_RAW_Data!T861),"",DaqBook_RAW_Data!T861)</f>
        <v/>
      </c>
      <c r="F871" s="167" t="str">
        <f>IF(ISBLANK(DaqBook_RAW_Data!U861),"",DaqBook_RAW_Data!U861)</f>
        <v/>
      </c>
      <c r="G871" s="167" t="str">
        <f>IF(ISBLANK(DaqBook_RAW_Data!V861),"",DaqBook_RAW_Data!V861)</f>
        <v/>
      </c>
      <c r="H871" s="167" t="str">
        <f>IF(ISBLANK(DaqBook_RAW_Data!W861),"",DaqBook_RAW_Data!W861)</f>
        <v/>
      </c>
      <c r="I871" s="167" t="str">
        <f>IF(ISBLANK(DaqBook_RAW_Data!X861),"",DaqBook_RAW_Data!X861)</f>
        <v/>
      </c>
      <c r="J871" s="167" t="str">
        <f>IF(ISBLANK(DaqBook_RAW_Data!Y861),"",DaqBook_RAW_Data!Y861)</f>
        <v/>
      </c>
      <c r="K871" s="167" t="str">
        <f>IF(ISBLANK(DaqBook_RAW_Data!Z861),"",DaqBook_RAW_Data!Z861)</f>
        <v/>
      </c>
      <c r="L871" s="167" t="str">
        <f>IF(ISBLANK(DaqBook_RAW_Data!AA861),"",DaqBook_RAW_Data!AA861)</f>
        <v/>
      </c>
      <c r="M871" s="167" t="str">
        <f>IF(ISBLANK(DaqBook_RAW_Data!AB861),"",DaqBook_RAW_Data!AB861)</f>
        <v/>
      </c>
      <c r="N871" s="167" t="str">
        <f>IF(ISBLANK(DaqBook_RAW_Data!AC861),"",DaqBook_RAW_Data!AC861)</f>
        <v/>
      </c>
      <c r="O871" s="167" t="str">
        <f>IF(ISBLANK(DaqBook_RAW_Data!AD861),"",DaqBook_RAW_Data!AD861)</f>
        <v/>
      </c>
      <c r="P871" s="167" t="str">
        <f>IF(ISBLANK(DaqBook_RAW_Data!AE861),"",DaqBook_RAW_Data!AE861)</f>
        <v/>
      </c>
    </row>
    <row r="872" spans="1:16" x14ac:dyDescent="0.2">
      <c r="A872" s="58" t="e">
        <f t="shared" si="13"/>
        <v>#VALUE!</v>
      </c>
      <c r="B872" s="144" t="str">
        <f>IF(ISBLANK(DaqBook_RAW_Data!Q862),IF(DaqBook_RAW_Data!A862="","",TIMEVALUE(DaqBook_RAW_Data!A862)),TIMEVALUE(DaqBook_RAW_Data!Q862))</f>
        <v/>
      </c>
      <c r="C872" s="167" t="str">
        <f>IF(ISBLANK(DaqBook_RAW_Data!R862),"",DaqBook_RAW_Data!R862)</f>
        <v/>
      </c>
      <c r="D872" s="167" t="str">
        <f>IF(ISBLANK(DaqBook_RAW_Data!S862),"",DaqBook_RAW_Data!S862)</f>
        <v/>
      </c>
      <c r="E872" s="167" t="str">
        <f>IF(ISBLANK(DaqBook_RAW_Data!T862),"",DaqBook_RAW_Data!T862)</f>
        <v/>
      </c>
      <c r="F872" s="167" t="str">
        <f>IF(ISBLANK(DaqBook_RAW_Data!U862),"",DaqBook_RAW_Data!U862)</f>
        <v/>
      </c>
      <c r="G872" s="167" t="str">
        <f>IF(ISBLANK(DaqBook_RAW_Data!V862),"",DaqBook_RAW_Data!V862)</f>
        <v/>
      </c>
      <c r="H872" s="167" t="str">
        <f>IF(ISBLANK(DaqBook_RAW_Data!W862),"",DaqBook_RAW_Data!W862)</f>
        <v/>
      </c>
      <c r="I872" s="167" t="str">
        <f>IF(ISBLANK(DaqBook_RAW_Data!X862),"",DaqBook_RAW_Data!X862)</f>
        <v/>
      </c>
      <c r="J872" s="167" t="str">
        <f>IF(ISBLANK(DaqBook_RAW_Data!Y862),"",DaqBook_RAW_Data!Y862)</f>
        <v/>
      </c>
      <c r="K872" s="167" t="str">
        <f>IF(ISBLANK(DaqBook_RAW_Data!Z862),"",DaqBook_RAW_Data!Z862)</f>
        <v/>
      </c>
      <c r="L872" s="167" t="str">
        <f>IF(ISBLANK(DaqBook_RAW_Data!AA862),"",DaqBook_RAW_Data!AA862)</f>
        <v/>
      </c>
      <c r="M872" s="167" t="str">
        <f>IF(ISBLANK(DaqBook_RAW_Data!AB862),"",DaqBook_RAW_Data!AB862)</f>
        <v/>
      </c>
      <c r="N872" s="167" t="str">
        <f>IF(ISBLANK(DaqBook_RAW_Data!AC862),"",DaqBook_RAW_Data!AC862)</f>
        <v/>
      </c>
      <c r="O872" s="167" t="str">
        <f>IF(ISBLANK(DaqBook_RAW_Data!AD862),"",DaqBook_RAW_Data!AD862)</f>
        <v/>
      </c>
      <c r="P872" s="167" t="str">
        <f>IF(ISBLANK(DaqBook_RAW_Data!AE862),"",DaqBook_RAW_Data!AE862)</f>
        <v/>
      </c>
    </row>
    <row r="873" spans="1:16" x14ac:dyDescent="0.2">
      <c r="A873" s="58" t="e">
        <f t="shared" si="13"/>
        <v>#VALUE!</v>
      </c>
      <c r="B873" s="144" t="str">
        <f>IF(ISBLANK(DaqBook_RAW_Data!Q863),IF(DaqBook_RAW_Data!A863="","",TIMEVALUE(DaqBook_RAW_Data!A863)),TIMEVALUE(DaqBook_RAW_Data!Q863))</f>
        <v/>
      </c>
      <c r="C873" s="167" t="str">
        <f>IF(ISBLANK(DaqBook_RAW_Data!R863),"",DaqBook_RAW_Data!R863)</f>
        <v/>
      </c>
      <c r="D873" s="167" t="str">
        <f>IF(ISBLANK(DaqBook_RAW_Data!S863),"",DaqBook_RAW_Data!S863)</f>
        <v/>
      </c>
      <c r="E873" s="167" t="str">
        <f>IF(ISBLANK(DaqBook_RAW_Data!T863),"",DaqBook_RAW_Data!T863)</f>
        <v/>
      </c>
      <c r="F873" s="167" t="str">
        <f>IF(ISBLANK(DaqBook_RAW_Data!U863),"",DaqBook_RAW_Data!U863)</f>
        <v/>
      </c>
      <c r="G873" s="167" t="str">
        <f>IF(ISBLANK(DaqBook_RAW_Data!V863),"",DaqBook_RAW_Data!V863)</f>
        <v/>
      </c>
      <c r="H873" s="167" t="str">
        <f>IF(ISBLANK(DaqBook_RAW_Data!W863),"",DaqBook_RAW_Data!W863)</f>
        <v/>
      </c>
      <c r="I873" s="167" t="str">
        <f>IF(ISBLANK(DaqBook_RAW_Data!X863),"",DaqBook_RAW_Data!X863)</f>
        <v/>
      </c>
      <c r="J873" s="167" t="str">
        <f>IF(ISBLANK(DaqBook_RAW_Data!Y863),"",DaqBook_RAW_Data!Y863)</f>
        <v/>
      </c>
      <c r="K873" s="167" t="str">
        <f>IF(ISBLANK(DaqBook_RAW_Data!Z863),"",DaqBook_RAW_Data!Z863)</f>
        <v/>
      </c>
      <c r="L873" s="167" t="str">
        <f>IF(ISBLANK(DaqBook_RAW_Data!AA863),"",DaqBook_RAW_Data!AA863)</f>
        <v/>
      </c>
      <c r="M873" s="167" t="str">
        <f>IF(ISBLANK(DaqBook_RAW_Data!AB863),"",DaqBook_RAW_Data!AB863)</f>
        <v/>
      </c>
      <c r="N873" s="167" t="str">
        <f>IF(ISBLANK(DaqBook_RAW_Data!AC863),"",DaqBook_RAW_Data!AC863)</f>
        <v/>
      </c>
      <c r="O873" s="167" t="str">
        <f>IF(ISBLANK(DaqBook_RAW_Data!AD863),"",DaqBook_RAW_Data!AD863)</f>
        <v/>
      </c>
      <c r="P873" s="167" t="str">
        <f>IF(ISBLANK(DaqBook_RAW_Data!AE863),"",DaqBook_RAW_Data!AE863)</f>
        <v/>
      </c>
    </row>
    <row r="874" spans="1:16" x14ac:dyDescent="0.2">
      <c r="A874" s="58" t="e">
        <f t="shared" si="13"/>
        <v>#VALUE!</v>
      </c>
      <c r="B874" s="144" t="str">
        <f>IF(ISBLANK(DaqBook_RAW_Data!Q864),IF(DaqBook_RAW_Data!A864="","",TIMEVALUE(DaqBook_RAW_Data!A864)),TIMEVALUE(DaqBook_RAW_Data!Q864))</f>
        <v/>
      </c>
      <c r="C874" s="167" t="str">
        <f>IF(ISBLANK(DaqBook_RAW_Data!R864),"",DaqBook_RAW_Data!R864)</f>
        <v/>
      </c>
      <c r="D874" s="167" t="str">
        <f>IF(ISBLANK(DaqBook_RAW_Data!S864),"",DaqBook_RAW_Data!S864)</f>
        <v/>
      </c>
      <c r="E874" s="167" t="str">
        <f>IF(ISBLANK(DaqBook_RAW_Data!T864),"",DaqBook_RAW_Data!T864)</f>
        <v/>
      </c>
      <c r="F874" s="167" t="str">
        <f>IF(ISBLANK(DaqBook_RAW_Data!U864),"",DaqBook_RAW_Data!U864)</f>
        <v/>
      </c>
      <c r="G874" s="167" t="str">
        <f>IF(ISBLANK(DaqBook_RAW_Data!V864),"",DaqBook_RAW_Data!V864)</f>
        <v/>
      </c>
      <c r="H874" s="167" t="str">
        <f>IF(ISBLANK(DaqBook_RAW_Data!W864),"",DaqBook_RAW_Data!W864)</f>
        <v/>
      </c>
      <c r="I874" s="167" t="str">
        <f>IF(ISBLANK(DaqBook_RAW_Data!X864),"",DaqBook_RAW_Data!X864)</f>
        <v/>
      </c>
      <c r="J874" s="167" t="str">
        <f>IF(ISBLANK(DaqBook_RAW_Data!Y864),"",DaqBook_RAW_Data!Y864)</f>
        <v/>
      </c>
      <c r="K874" s="167" t="str">
        <f>IF(ISBLANK(DaqBook_RAW_Data!Z864),"",DaqBook_RAW_Data!Z864)</f>
        <v/>
      </c>
      <c r="L874" s="167" t="str">
        <f>IF(ISBLANK(DaqBook_RAW_Data!AA864),"",DaqBook_RAW_Data!AA864)</f>
        <v/>
      </c>
      <c r="M874" s="167" t="str">
        <f>IF(ISBLANK(DaqBook_RAW_Data!AB864),"",DaqBook_RAW_Data!AB864)</f>
        <v/>
      </c>
      <c r="N874" s="167" t="str">
        <f>IF(ISBLANK(DaqBook_RAW_Data!AC864),"",DaqBook_RAW_Data!AC864)</f>
        <v/>
      </c>
      <c r="O874" s="167" t="str">
        <f>IF(ISBLANK(DaqBook_RAW_Data!AD864),"",DaqBook_RAW_Data!AD864)</f>
        <v/>
      </c>
      <c r="P874" s="167" t="str">
        <f>IF(ISBLANK(DaqBook_RAW_Data!AE864),"",DaqBook_RAW_Data!AE864)</f>
        <v/>
      </c>
    </row>
    <row r="875" spans="1:16" x14ac:dyDescent="0.2">
      <c r="A875" s="58" t="e">
        <f t="shared" si="13"/>
        <v>#VALUE!</v>
      </c>
      <c r="B875" s="144" t="str">
        <f>IF(ISBLANK(DaqBook_RAW_Data!Q865),IF(DaqBook_RAW_Data!A865="","",TIMEVALUE(DaqBook_RAW_Data!A865)),TIMEVALUE(DaqBook_RAW_Data!Q865))</f>
        <v/>
      </c>
      <c r="C875" s="167" t="str">
        <f>IF(ISBLANK(DaqBook_RAW_Data!R865),"",DaqBook_RAW_Data!R865)</f>
        <v/>
      </c>
      <c r="D875" s="167" t="str">
        <f>IF(ISBLANK(DaqBook_RAW_Data!S865),"",DaqBook_RAW_Data!S865)</f>
        <v/>
      </c>
      <c r="E875" s="167" t="str">
        <f>IF(ISBLANK(DaqBook_RAW_Data!T865),"",DaqBook_RAW_Data!T865)</f>
        <v/>
      </c>
      <c r="F875" s="167" t="str">
        <f>IF(ISBLANK(DaqBook_RAW_Data!U865),"",DaqBook_RAW_Data!U865)</f>
        <v/>
      </c>
      <c r="G875" s="167" t="str">
        <f>IF(ISBLANK(DaqBook_RAW_Data!V865),"",DaqBook_RAW_Data!V865)</f>
        <v/>
      </c>
      <c r="H875" s="167" t="str">
        <f>IF(ISBLANK(DaqBook_RAW_Data!W865),"",DaqBook_RAW_Data!W865)</f>
        <v/>
      </c>
      <c r="I875" s="167" t="str">
        <f>IF(ISBLANK(DaqBook_RAW_Data!X865),"",DaqBook_RAW_Data!X865)</f>
        <v/>
      </c>
      <c r="J875" s="167" t="str">
        <f>IF(ISBLANK(DaqBook_RAW_Data!Y865),"",DaqBook_RAW_Data!Y865)</f>
        <v/>
      </c>
      <c r="K875" s="167" t="str">
        <f>IF(ISBLANK(DaqBook_RAW_Data!Z865),"",DaqBook_RAW_Data!Z865)</f>
        <v/>
      </c>
      <c r="L875" s="167" t="str">
        <f>IF(ISBLANK(DaqBook_RAW_Data!AA865),"",DaqBook_RAW_Data!AA865)</f>
        <v/>
      </c>
      <c r="M875" s="167" t="str">
        <f>IF(ISBLANK(DaqBook_RAW_Data!AB865),"",DaqBook_RAW_Data!AB865)</f>
        <v/>
      </c>
      <c r="N875" s="167" t="str">
        <f>IF(ISBLANK(DaqBook_RAW_Data!AC865),"",DaqBook_RAW_Data!AC865)</f>
        <v/>
      </c>
      <c r="O875" s="167" t="str">
        <f>IF(ISBLANK(DaqBook_RAW_Data!AD865),"",DaqBook_RAW_Data!AD865)</f>
        <v/>
      </c>
      <c r="P875" s="167" t="str">
        <f>IF(ISBLANK(DaqBook_RAW_Data!AE865),"",DaqBook_RAW_Data!AE865)</f>
        <v/>
      </c>
    </row>
    <row r="876" spans="1:16" x14ac:dyDescent="0.2">
      <c r="A876" s="58" t="e">
        <f t="shared" si="13"/>
        <v>#VALUE!</v>
      </c>
      <c r="B876" s="144" t="str">
        <f>IF(ISBLANK(DaqBook_RAW_Data!Q866),IF(DaqBook_RAW_Data!A866="","",TIMEVALUE(DaqBook_RAW_Data!A866)),TIMEVALUE(DaqBook_RAW_Data!Q866))</f>
        <v/>
      </c>
      <c r="C876" s="167" t="str">
        <f>IF(ISBLANK(DaqBook_RAW_Data!R866),"",DaqBook_RAW_Data!R866)</f>
        <v/>
      </c>
      <c r="D876" s="167" t="str">
        <f>IF(ISBLANK(DaqBook_RAW_Data!S866),"",DaqBook_RAW_Data!S866)</f>
        <v/>
      </c>
      <c r="E876" s="167" t="str">
        <f>IF(ISBLANK(DaqBook_RAW_Data!T866),"",DaqBook_RAW_Data!T866)</f>
        <v/>
      </c>
      <c r="F876" s="167" t="str">
        <f>IF(ISBLANK(DaqBook_RAW_Data!U866),"",DaqBook_RAW_Data!U866)</f>
        <v/>
      </c>
      <c r="G876" s="167" t="str">
        <f>IF(ISBLANK(DaqBook_RAW_Data!V866),"",DaqBook_RAW_Data!V866)</f>
        <v/>
      </c>
      <c r="H876" s="167" t="str">
        <f>IF(ISBLANK(DaqBook_RAW_Data!W866),"",DaqBook_RAW_Data!W866)</f>
        <v/>
      </c>
      <c r="I876" s="167" t="str">
        <f>IF(ISBLANK(DaqBook_RAW_Data!X866),"",DaqBook_RAW_Data!X866)</f>
        <v/>
      </c>
      <c r="J876" s="167" t="str">
        <f>IF(ISBLANK(DaqBook_RAW_Data!Y866),"",DaqBook_RAW_Data!Y866)</f>
        <v/>
      </c>
      <c r="K876" s="167" t="str">
        <f>IF(ISBLANK(DaqBook_RAW_Data!Z866),"",DaqBook_RAW_Data!Z866)</f>
        <v/>
      </c>
      <c r="L876" s="167" t="str">
        <f>IF(ISBLANK(DaqBook_RAW_Data!AA866),"",DaqBook_RAW_Data!AA866)</f>
        <v/>
      </c>
      <c r="M876" s="167" t="str">
        <f>IF(ISBLANK(DaqBook_RAW_Data!AB866),"",DaqBook_RAW_Data!AB866)</f>
        <v/>
      </c>
      <c r="N876" s="167" t="str">
        <f>IF(ISBLANK(DaqBook_RAW_Data!AC866),"",DaqBook_RAW_Data!AC866)</f>
        <v/>
      </c>
      <c r="O876" s="167" t="str">
        <f>IF(ISBLANK(DaqBook_RAW_Data!AD866),"",DaqBook_RAW_Data!AD866)</f>
        <v/>
      </c>
      <c r="P876" s="167" t="str">
        <f>IF(ISBLANK(DaqBook_RAW_Data!AE866),"",DaqBook_RAW_Data!AE866)</f>
        <v/>
      </c>
    </row>
    <row r="877" spans="1:16" x14ac:dyDescent="0.2">
      <c r="A877" s="58" t="e">
        <f t="shared" si="13"/>
        <v>#VALUE!</v>
      </c>
      <c r="B877" s="144" t="str">
        <f>IF(ISBLANK(DaqBook_RAW_Data!Q867),IF(DaqBook_RAW_Data!A867="","",TIMEVALUE(DaqBook_RAW_Data!A867)),TIMEVALUE(DaqBook_RAW_Data!Q867))</f>
        <v/>
      </c>
      <c r="C877" s="167" t="str">
        <f>IF(ISBLANK(DaqBook_RAW_Data!R867),"",DaqBook_RAW_Data!R867)</f>
        <v/>
      </c>
      <c r="D877" s="167" t="str">
        <f>IF(ISBLANK(DaqBook_RAW_Data!S867),"",DaqBook_RAW_Data!S867)</f>
        <v/>
      </c>
      <c r="E877" s="167" t="str">
        <f>IF(ISBLANK(DaqBook_RAW_Data!T867),"",DaqBook_RAW_Data!T867)</f>
        <v/>
      </c>
      <c r="F877" s="167" t="str">
        <f>IF(ISBLANK(DaqBook_RAW_Data!U867),"",DaqBook_RAW_Data!U867)</f>
        <v/>
      </c>
      <c r="G877" s="167" t="str">
        <f>IF(ISBLANK(DaqBook_RAW_Data!V867),"",DaqBook_RAW_Data!V867)</f>
        <v/>
      </c>
      <c r="H877" s="167" t="str">
        <f>IF(ISBLANK(DaqBook_RAW_Data!W867),"",DaqBook_RAW_Data!W867)</f>
        <v/>
      </c>
      <c r="I877" s="167" t="str">
        <f>IF(ISBLANK(DaqBook_RAW_Data!X867),"",DaqBook_RAW_Data!X867)</f>
        <v/>
      </c>
      <c r="J877" s="167" t="str">
        <f>IF(ISBLANK(DaqBook_RAW_Data!Y867),"",DaqBook_RAW_Data!Y867)</f>
        <v/>
      </c>
      <c r="K877" s="167" t="str">
        <f>IF(ISBLANK(DaqBook_RAW_Data!Z867),"",DaqBook_RAW_Data!Z867)</f>
        <v/>
      </c>
      <c r="L877" s="167" t="str">
        <f>IF(ISBLANK(DaqBook_RAW_Data!AA867),"",DaqBook_RAW_Data!AA867)</f>
        <v/>
      </c>
      <c r="M877" s="167" t="str">
        <f>IF(ISBLANK(DaqBook_RAW_Data!AB867),"",DaqBook_RAW_Data!AB867)</f>
        <v/>
      </c>
      <c r="N877" s="167" t="str">
        <f>IF(ISBLANK(DaqBook_RAW_Data!AC867),"",DaqBook_RAW_Data!AC867)</f>
        <v/>
      </c>
      <c r="O877" s="167" t="str">
        <f>IF(ISBLANK(DaqBook_RAW_Data!AD867),"",DaqBook_RAW_Data!AD867)</f>
        <v/>
      </c>
      <c r="P877" s="167" t="str">
        <f>IF(ISBLANK(DaqBook_RAW_Data!AE867),"",DaqBook_RAW_Data!AE867)</f>
        <v/>
      </c>
    </row>
    <row r="878" spans="1:16" x14ac:dyDescent="0.2">
      <c r="A878" s="58" t="e">
        <f t="shared" si="13"/>
        <v>#VALUE!</v>
      </c>
      <c r="B878" s="144" t="str">
        <f>IF(ISBLANK(DaqBook_RAW_Data!Q868),IF(DaqBook_RAW_Data!A868="","",TIMEVALUE(DaqBook_RAW_Data!A868)),TIMEVALUE(DaqBook_RAW_Data!Q868))</f>
        <v/>
      </c>
      <c r="C878" s="167" t="str">
        <f>IF(ISBLANK(DaqBook_RAW_Data!R868),"",DaqBook_RAW_Data!R868)</f>
        <v/>
      </c>
      <c r="D878" s="167" t="str">
        <f>IF(ISBLANK(DaqBook_RAW_Data!S868),"",DaqBook_RAW_Data!S868)</f>
        <v/>
      </c>
      <c r="E878" s="167" t="str">
        <f>IF(ISBLANK(DaqBook_RAW_Data!T868),"",DaqBook_RAW_Data!T868)</f>
        <v/>
      </c>
      <c r="F878" s="167" t="str">
        <f>IF(ISBLANK(DaqBook_RAW_Data!U868),"",DaqBook_RAW_Data!U868)</f>
        <v/>
      </c>
      <c r="G878" s="167" t="str">
        <f>IF(ISBLANK(DaqBook_RAW_Data!V868),"",DaqBook_RAW_Data!V868)</f>
        <v/>
      </c>
      <c r="H878" s="167" t="str">
        <f>IF(ISBLANK(DaqBook_RAW_Data!W868),"",DaqBook_RAW_Data!W868)</f>
        <v/>
      </c>
      <c r="I878" s="167" t="str">
        <f>IF(ISBLANK(DaqBook_RAW_Data!X868),"",DaqBook_RAW_Data!X868)</f>
        <v/>
      </c>
      <c r="J878" s="167" t="str">
        <f>IF(ISBLANK(DaqBook_RAW_Data!Y868),"",DaqBook_RAW_Data!Y868)</f>
        <v/>
      </c>
      <c r="K878" s="167" t="str">
        <f>IF(ISBLANK(DaqBook_RAW_Data!Z868),"",DaqBook_RAW_Data!Z868)</f>
        <v/>
      </c>
      <c r="L878" s="167" t="str">
        <f>IF(ISBLANK(DaqBook_RAW_Data!AA868),"",DaqBook_RAW_Data!AA868)</f>
        <v/>
      </c>
      <c r="M878" s="167" t="str">
        <f>IF(ISBLANK(DaqBook_RAW_Data!AB868),"",DaqBook_RAW_Data!AB868)</f>
        <v/>
      </c>
      <c r="N878" s="167" t="str">
        <f>IF(ISBLANK(DaqBook_RAW_Data!AC868),"",DaqBook_RAW_Data!AC868)</f>
        <v/>
      </c>
      <c r="O878" s="167" t="str">
        <f>IF(ISBLANK(DaqBook_RAW_Data!AD868),"",DaqBook_RAW_Data!AD868)</f>
        <v/>
      </c>
      <c r="P878" s="167" t="str">
        <f>IF(ISBLANK(DaqBook_RAW_Data!AE868),"",DaqBook_RAW_Data!AE868)</f>
        <v/>
      </c>
    </row>
    <row r="879" spans="1:16" x14ac:dyDescent="0.2">
      <c r="A879" s="58" t="e">
        <f t="shared" si="13"/>
        <v>#VALUE!</v>
      </c>
      <c r="B879" s="144" t="str">
        <f>IF(ISBLANK(DaqBook_RAW_Data!Q869),IF(DaqBook_RAW_Data!A869="","",TIMEVALUE(DaqBook_RAW_Data!A869)),TIMEVALUE(DaqBook_RAW_Data!Q869))</f>
        <v/>
      </c>
      <c r="C879" s="167" t="str">
        <f>IF(ISBLANK(DaqBook_RAW_Data!R869),"",DaqBook_RAW_Data!R869)</f>
        <v/>
      </c>
      <c r="D879" s="167" t="str">
        <f>IF(ISBLANK(DaqBook_RAW_Data!S869),"",DaqBook_RAW_Data!S869)</f>
        <v/>
      </c>
      <c r="E879" s="167" t="str">
        <f>IF(ISBLANK(DaqBook_RAW_Data!T869),"",DaqBook_RAW_Data!T869)</f>
        <v/>
      </c>
      <c r="F879" s="167" t="str">
        <f>IF(ISBLANK(DaqBook_RAW_Data!U869),"",DaqBook_RAW_Data!U869)</f>
        <v/>
      </c>
      <c r="G879" s="167" t="str">
        <f>IF(ISBLANK(DaqBook_RAW_Data!V869),"",DaqBook_RAW_Data!V869)</f>
        <v/>
      </c>
      <c r="H879" s="167" t="str">
        <f>IF(ISBLANK(DaqBook_RAW_Data!W869),"",DaqBook_RAW_Data!W869)</f>
        <v/>
      </c>
      <c r="I879" s="167" t="str">
        <f>IF(ISBLANK(DaqBook_RAW_Data!X869),"",DaqBook_RAW_Data!X869)</f>
        <v/>
      </c>
      <c r="J879" s="167" t="str">
        <f>IF(ISBLANK(DaqBook_RAW_Data!Y869),"",DaqBook_RAW_Data!Y869)</f>
        <v/>
      </c>
      <c r="K879" s="167" t="str">
        <f>IF(ISBLANK(DaqBook_RAW_Data!Z869),"",DaqBook_RAW_Data!Z869)</f>
        <v/>
      </c>
      <c r="L879" s="167" t="str">
        <f>IF(ISBLANK(DaqBook_RAW_Data!AA869),"",DaqBook_RAW_Data!AA869)</f>
        <v/>
      </c>
      <c r="M879" s="167" t="str">
        <f>IF(ISBLANK(DaqBook_RAW_Data!AB869),"",DaqBook_RAW_Data!AB869)</f>
        <v/>
      </c>
      <c r="N879" s="167" t="str">
        <f>IF(ISBLANK(DaqBook_RAW_Data!AC869),"",DaqBook_RAW_Data!AC869)</f>
        <v/>
      </c>
      <c r="O879" s="167" t="str">
        <f>IF(ISBLANK(DaqBook_RAW_Data!AD869),"",DaqBook_RAW_Data!AD869)</f>
        <v/>
      </c>
      <c r="P879" s="167" t="str">
        <f>IF(ISBLANK(DaqBook_RAW_Data!AE869),"",DaqBook_RAW_Data!AE869)</f>
        <v/>
      </c>
    </row>
    <row r="880" spans="1:16" x14ac:dyDescent="0.2">
      <c r="A880" s="58" t="e">
        <f t="shared" si="13"/>
        <v>#VALUE!</v>
      </c>
      <c r="B880" s="144" t="str">
        <f>IF(ISBLANK(DaqBook_RAW_Data!Q870),IF(DaqBook_RAW_Data!A870="","",TIMEVALUE(DaqBook_RAW_Data!A870)),TIMEVALUE(DaqBook_RAW_Data!Q870))</f>
        <v/>
      </c>
      <c r="C880" s="167" t="str">
        <f>IF(ISBLANK(DaqBook_RAW_Data!R870),"",DaqBook_RAW_Data!R870)</f>
        <v/>
      </c>
      <c r="D880" s="167" t="str">
        <f>IF(ISBLANK(DaqBook_RAW_Data!S870),"",DaqBook_RAW_Data!S870)</f>
        <v/>
      </c>
      <c r="E880" s="167" t="str">
        <f>IF(ISBLANK(DaqBook_RAW_Data!T870),"",DaqBook_RAW_Data!T870)</f>
        <v/>
      </c>
      <c r="F880" s="167" t="str">
        <f>IF(ISBLANK(DaqBook_RAW_Data!U870),"",DaqBook_RAW_Data!U870)</f>
        <v/>
      </c>
      <c r="G880" s="167" t="str">
        <f>IF(ISBLANK(DaqBook_RAW_Data!V870),"",DaqBook_RAW_Data!V870)</f>
        <v/>
      </c>
      <c r="H880" s="167" t="str">
        <f>IF(ISBLANK(DaqBook_RAW_Data!W870),"",DaqBook_RAW_Data!W870)</f>
        <v/>
      </c>
      <c r="I880" s="167" t="str">
        <f>IF(ISBLANK(DaqBook_RAW_Data!X870),"",DaqBook_RAW_Data!X870)</f>
        <v/>
      </c>
      <c r="J880" s="167" t="str">
        <f>IF(ISBLANK(DaqBook_RAW_Data!Y870),"",DaqBook_RAW_Data!Y870)</f>
        <v/>
      </c>
      <c r="K880" s="167" t="str">
        <f>IF(ISBLANK(DaqBook_RAW_Data!Z870),"",DaqBook_RAW_Data!Z870)</f>
        <v/>
      </c>
      <c r="L880" s="167" t="str">
        <f>IF(ISBLANK(DaqBook_RAW_Data!AA870),"",DaqBook_RAW_Data!AA870)</f>
        <v/>
      </c>
      <c r="M880" s="167" t="str">
        <f>IF(ISBLANK(DaqBook_RAW_Data!AB870),"",DaqBook_RAW_Data!AB870)</f>
        <v/>
      </c>
      <c r="N880" s="167" t="str">
        <f>IF(ISBLANK(DaqBook_RAW_Data!AC870),"",DaqBook_RAW_Data!AC870)</f>
        <v/>
      </c>
      <c r="O880" s="167" t="str">
        <f>IF(ISBLANK(DaqBook_RAW_Data!AD870),"",DaqBook_RAW_Data!AD870)</f>
        <v/>
      </c>
      <c r="P880" s="167" t="str">
        <f>IF(ISBLANK(DaqBook_RAW_Data!AE870),"",DaqBook_RAW_Data!AE870)</f>
        <v/>
      </c>
    </row>
    <row r="881" spans="1:16" x14ac:dyDescent="0.2">
      <c r="A881" s="58" t="e">
        <f t="shared" si="13"/>
        <v>#VALUE!</v>
      </c>
      <c r="B881" s="144" t="str">
        <f>IF(ISBLANK(DaqBook_RAW_Data!Q871),IF(DaqBook_RAW_Data!A871="","",TIMEVALUE(DaqBook_RAW_Data!A871)),TIMEVALUE(DaqBook_RAW_Data!Q871))</f>
        <v/>
      </c>
      <c r="C881" s="167" t="str">
        <f>IF(ISBLANK(DaqBook_RAW_Data!R871),"",DaqBook_RAW_Data!R871)</f>
        <v/>
      </c>
      <c r="D881" s="167" t="str">
        <f>IF(ISBLANK(DaqBook_RAW_Data!S871),"",DaqBook_RAW_Data!S871)</f>
        <v/>
      </c>
      <c r="E881" s="167" t="str">
        <f>IF(ISBLANK(DaqBook_RAW_Data!T871),"",DaqBook_RAW_Data!T871)</f>
        <v/>
      </c>
      <c r="F881" s="167" t="str">
        <f>IF(ISBLANK(DaqBook_RAW_Data!U871),"",DaqBook_RAW_Data!U871)</f>
        <v/>
      </c>
      <c r="G881" s="167" t="str">
        <f>IF(ISBLANK(DaqBook_RAW_Data!V871),"",DaqBook_RAW_Data!V871)</f>
        <v/>
      </c>
      <c r="H881" s="167" t="str">
        <f>IF(ISBLANK(DaqBook_RAW_Data!W871),"",DaqBook_RAW_Data!W871)</f>
        <v/>
      </c>
      <c r="I881" s="167" t="str">
        <f>IF(ISBLANK(DaqBook_RAW_Data!X871),"",DaqBook_RAW_Data!X871)</f>
        <v/>
      </c>
      <c r="J881" s="167" t="str">
        <f>IF(ISBLANK(DaqBook_RAW_Data!Y871),"",DaqBook_RAW_Data!Y871)</f>
        <v/>
      </c>
      <c r="K881" s="167" t="str">
        <f>IF(ISBLANK(DaqBook_RAW_Data!Z871),"",DaqBook_RAW_Data!Z871)</f>
        <v/>
      </c>
      <c r="L881" s="167" t="str">
        <f>IF(ISBLANK(DaqBook_RAW_Data!AA871),"",DaqBook_RAW_Data!AA871)</f>
        <v/>
      </c>
      <c r="M881" s="167" t="str">
        <f>IF(ISBLANK(DaqBook_RAW_Data!AB871),"",DaqBook_RAW_Data!AB871)</f>
        <v/>
      </c>
      <c r="N881" s="167" t="str">
        <f>IF(ISBLANK(DaqBook_RAW_Data!AC871),"",DaqBook_RAW_Data!AC871)</f>
        <v/>
      </c>
      <c r="O881" s="167" t="str">
        <f>IF(ISBLANK(DaqBook_RAW_Data!AD871),"",DaqBook_RAW_Data!AD871)</f>
        <v/>
      </c>
      <c r="P881" s="167" t="str">
        <f>IF(ISBLANK(DaqBook_RAW_Data!AE871),"",DaqBook_RAW_Data!AE871)</f>
        <v/>
      </c>
    </row>
    <row r="882" spans="1:16" x14ac:dyDescent="0.2">
      <c r="A882" s="58" t="e">
        <f t="shared" si="13"/>
        <v>#VALUE!</v>
      </c>
      <c r="B882" s="144" t="str">
        <f>IF(ISBLANK(DaqBook_RAW_Data!Q872),IF(DaqBook_RAW_Data!A872="","",TIMEVALUE(DaqBook_RAW_Data!A872)),TIMEVALUE(DaqBook_RAW_Data!Q872))</f>
        <v/>
      </c>
      <c r="C882" s="167" t="str">
        <f>IF(ISBLANK(DaqBook_RAW_Data!R872),"",DaqBook_RAW_Data!R872)</f>
        <v/>
      </c>
      <c r="D882" s="167" t="str">
        <f>IF(ISBLANK(DaqBook_RAW_Data!S872),"",DaqBook_RAW_Data!S872)</f>
        <v/>
      </c>
      <c r="E882" s="167" t="str">
        <f>IF(ISBLANK(DaqBook_RAW_Data!T872),"",DaqBook_RAW_Data!T872)</f>
        <v/>
      </c>
      <c r="F882" s="167" t="str">
        <f>IF(ISBLANK(DaqBook_RAW_Data!U872),"",DaqBook_RAW_Data!U872)</f>
        <v/>
      </c>
      <c r="G882" s="167" t="str">
        <f>IF(ISBLANK(DaqBook_RAW_Data!V872),"",DaqBook_RAW_Data!V872)</f>
        <v/>
      </c>
      <c r="H882" s="167" t="str">
        <f>IF(ISBLANK(DaqBook_RAW_Data!W872),"",DaqBook_RAW_Data!W872)</f>
        <v/>
      </c>
      <c r="I882" s="167" t="str">
        <f>IF(ISBLANK(DaqBook_RAW_Data!X872),"",DaqBook_RAW_Data!X872)</f>
        <v/>
      </c>
      <c r="J882" s="167" t="str">
        <f>IF(ISBLANK(DaqBook_RAW_Data!Y872),"",DaqBook_RAW_Data!Y872)</f>
        <v/>
      </c>
      <c r="K882" s="167" t="str">
        <f>IF(ISBLANK(DaqBook_RAW_Data!Z872),"",DaqBook_RAW_Data!Z872)</f>
        <v/>
      </c>
      <c r="L882" s="167" t="str">
        <f>IF(ISBLANK(DaqBook_RAW_Data!AA872),"",DaqBook_RAW_Data!AA872)</f>
        <v/>
      </c>
      <c r="M882" s="167" t="str">
        <f>IF(ISBLANK(DaqBook_RAW_Data!AB872),"",DaqBook_RAW_Data!AB872)</f>
        <v/>
      </c>
      <c r="N882" s="167" t="str">
        <f>IF(ISBLANK(DaqBook_RAW_Data!AC872),"",DaqBook_RAW_Data!AC872)</f>
        <v/>
      </c>
      <c r="O882" s="167" t="str">
        <f>IF(ISBLANK(DaqBook_RAW_Data!AD872),"",DaqBook_RAW_Data!AD872)</f>
        <v/>
      </c>
      <c r="P882" s="167" t="str">
        <f>IF(ISBLANK(DaqBook_RAW_Data!AE872),"",DaqBook_RAW_Data!AE872)</f>
        <v/>
      </c>
    </row>
    <row r="883" spans="1:16" x14ac:dyDescent="0.2">
      <c r="A883" s="58" t="e">
        <f t="shared" si="13"/>
        <v>#VALUE!</v>
      </c>
      <c r="B883" s="144" t="str">
        <f>IF(ISBLANK(DaqBook_RAW_Data!Q873),IF(DaqBook_RAW_Data!A873="","",TIMEVALUE(DaqBook_RAW_Data!A873)),TIMEVALUE(DaqBook_RAW_Data!Q873))</f>
        <v/>
      </c>
      <c r="C883" s="167" t="str">
        <f>IF(ISBLANK(DaqBook_RAW_Data!R873),"",DaqBook_RAW_Data!R873)</f>
        <v/>
      </c>
      <c r="D883" s="167" t="str">
        <f>IF(ISBLANK(DaqBook_RAW_Data!S873),"",DaqBook_RAW_Data!S873)</f>
        <v/>
      </c>
      <c r="E883" s="167" t="str">
        <f>IF(ISBLANK(DaqBook_RAW_Data!T873),"",DaqBook_RAW_Data!T873)</f>
        <v/>
      </c>
      <c r="F883" s="167" t="str">
        <f>IF(ISBLANK(DaqBook_RAW_Data!U873),"",DaqBook_RAW_Data!U873)</f>
        <v/>
      </c>
      <c r="G883" s="167" t="str">
        <f>IF(ISBLANK(DaqBook_RAW_Data!V873),"",DaqBook_RAW_Data!V873)</f>
        <v/>
      </c>
      <c r="H883" s="167" t="str">
        <f>IF(ISBLANK(DaqBook_RAW_Data!W873),"",DaqBook_RAW_Data!W873)</f>
        <v/>
      </c>
      <c r="I883" s="167" t="str">
        <f>IF(ISBLANK(DaqBook_RAW_Data!X873),"",DaqBook_RAW_Data!X873)</f>
        <v/>
      </c>
      <c r="J883" s="167" t="str">
        <f>IF(ISBLANK(DaqBook_RAW_Data!Y873),"",DaqBook_RAW_Data!Y873)</f>
        <v/>
      </c>
      <c r="K883" s="167" t="str">
        <f>IF(ISBLANK(DaqBook_RAW_Data!Z873),"",DaqBook_RAW_Data!Z873)</f>
        <v/>
      </c>
      <c r="L883" s="167" t="str">
        <f>IF(ISBLANK(DaqBook_RAW_Data!AA873),"",DaqBook_RAW_Data!AA873)</f>
        <v/>
      </c>
      <c r="M883" s="167" t="str">
        <f>IF(ISBLANK(DaqBook_RAW_Data!AB873),"",DaqBook_RAW_Data!AB873)</f>
        <v/>
      </c>
      <c r="N883" s="167" t="str">
        <f>IF(ISBLANK(DaqBook_RAW_Data!AC873),"",DaqBook_RAW_Data!AC873)</f>
        <v/>
      </c>
      <c r="O883" s="167" t="str">
        <f>IF(ISBLANK(DaqBook_RAW_Data!AD873),"",DaqBook_RAW_Data!AD873)</f>
        <v/>
      </c>
      <c r="P883" s="167" t="str">
        <f>IF(ISBLANK(DaqBook_RAW_Data!AE873),"",DaqBook_RAW_Data!AE873)</f>
        <v/>
      </c>
    </row>
    <row r="884" spans="1:16" x14ac:dyDescent="0.2">
      <c r="A884" s="58" t="e">
        <f t="shared" si="13"/>
        <v>#VALUE!</v>
      </c>
      <c r="B884" s="144" t="str">
        <f>IF(ISBLANK(DaqBook_RAW_Data!Q874),IF(DaqBook_RAW_Data!A874="","",TIMEVALUE(DaqBook_RAW_Data!A874)),TIMEVALUE(DaqBook_RAW_Data!Q874))</f>
        <v/>
      </c>
      <c r="C884" s="167" t="str">
        <f>IF(ISBLANK(DaqBook_RAW_Data!R874),"",DaqBook_RAW_Data!R874)</f>
        <v/>
      </c>
      <c r="D884" s="167" t="str">
        <f>IF(ISBLANK(DaqBook_RAW_Data!S874),"",DaqBook_RAW_Data!S874)</f>
        <v/>
      </c>
      <c r="E884" s="167" t="str">
        <f>IF(ISBLANK(DaqBook_RAW_Data!T874),"",DaqBook_RAW_Data!T874)</f>
        <v/>
      </c>
      <c r="F884" s="167" t="str">
        <f>IF(ISBLANK(DaqBook_RAW_Data!U874),"",DaqBook_RAW_Data!U874)</f>
        <v/>
      </c>
      <c r="G884" s="167" t="str">
        <f>IF(ISBLANK(DaqBook_RAW_Data!V874),"",DaqBook_RAW_Data!V874)</f>
        <v/>
      </c>
      <c r="H884" s="167" t="str">
        <f>IF(ISBLANK(DaqBook_RAW_Data!W874),"",DaqBook_RAW_Data!W874)</f>
        <v/>
      </c>
      <c r="I884" s="167" t="str">
        <f>IF(ISBLANK(DaqBook_RAW_Data!X874),"",DaqBook_RAW_Data!X874)</f>
        <v/>
      </c>
      <c r="J884" s="167" t="str">
        <f>IF(ISBLANK(DaqBook_RAW_Data!Y874),"",DaqBook_RAW_Data!Y874)</f>
        <v/>
      </c>
      <c r="K884" s="167" t="str">
        <f>IF(ISBLANK(DaqBook_RAW_Data!Z874),"",DaqBook_RAW_Data!Z874)</f>
        <v/>
      </c>
      <c r="L884" s="167" t="str">
        <f>IF(ISBLANK(DaqBook_RAW_Data!AA874),"",DaqBook_RAW_Data!AA874)</f>
        <v/>
      </c>
      <c r="M884" s="167" t="str">
        <f>IF(ISBLANK(DaqBook_RAW_Data!AB874),"",DaqBook_RAW_Data!AB874)</f>
        <v/>
      </c>
      <c r="N884" s="167" t="str">
        <f>IF(ISBLANK(DaqBook_RAW_Data!AC874),"",DaqBook_RAW_Data!AC874)</f>
        <v/>
      </c>
      <c r="O884" s="167" t="str">
        <f>IF(ISBLANK(DaqBook_RAW_Data!AD874),"",DaqBook_RAW_Data!AD874)</f>
        <v/>
      </c>
      <c r="P884" s="167" t="str">
        <f>IF(ISBLANK(DaqBook_RAW_Data!AE874),"",DaqBook_RAW_Data!AE874)</f>
        <v/>
      </c>
    </row>
    <row r="885" spans="1:16" x14ac:dyDescent="0.2">
      <c r="A885" s="58" t="e">
        <f t="shared" si="13"/>
        <v>#VALUE!</v>
      </c>
      <c r="B885" s="144" t="str">
        <f>IF(ISBLANK(DaqBook_RAW_Data!Q875),IF(DaqBook_RAW_Data!A875="","",TIMEVALUE(DaqBook_RAW_Data!A875)),TIMEVALUE(DaqBook_RAW_Data!Q875))</f>
        <v/>
      </c>
      <c r="C885" s="167" t="str">
        <f>IF(ISBLANK(DaqBook_RAW_Data!R875),"",DaqBook_RAW_Data!R875)</f>
        <v/>
      </c>
      <c r="D885" s="167" t="str">
        <f>IF(ISBLANK(DaqBook_RAW_Data!S875),"",DaqBook_RAW_Data!S875)</f>
        <v/>
      </c>
      <c r="E885" s="167" t="str">
        <f>IF(ISBLANK(DaqBook_RAW_Data!T875),"",DaqBook_RAW_Data!T875)</f>
        <v/>
      </c>
      <c r="F885" s="167" t="str">
        <f>IF(ISBLANK(DaqBook_RAW_Data!U875),"",DaqBook_RAW_Data!U875)</f>
        <v/>
      </c>
      <c r="G885" s="167" t="str">
        <f>IF(ISBLANK(DaqBook_RAW_Data!V875),"",DaqBook_RAW_Data!V875)</f>
        <v/>
      </c>
      <c r="H885" s="167" t="str">
        <f>IF(ISBLANK(DaqBook_RAW_Data!W875),"",DaqBook_RAW_Data!W875)</f>
        <v/>
      </c>
      <c r="I885" s="167" t="str">
        <f>IF(ISBLANK(DaqBook_RAW_Data!X875),"",DaqBook_RAW_Data!X875)</f>
        <v/>
      </c>
      <c r="J885" s="167" t="str">
        <f>IF(ISBLANK(DaqBook_RAW_Data!Y875),"",DaqBook_RAW_Data!Y875)</f>
        <v/>
      </c>
      <c r="K885" s="167" t="str">
        <f>IF(ISBLANK(DaqBook_RAW_Data!Z875),"",DaqBook_RAW_Data!Z875)</f>
        <v/>
      </c>
      <c r="L885" s="167" t="str">
        <f>IF(ISBLANK(DaqBook_RAW_Data!AA875),"",DaqBook_RAW_Data!AA875)</f>
        <v/>
      </c>
      <c r="M885" s="167" t="str">
        <f>IF(ISBLANK(DaqBook_RAW_Data!AB875),"",DaqBook_RAW_Data!AB875)</f>
        <v/>
      </c>
      <c r="N885" s="167" t="str">
        <f>IF(ISBLANK(DaqBook_RAW_Data!AC875),"",DaqBook_RAW_Data!AC875)</f>
        <v/>
      </c>
      <c r="O885" s="167" t="str">
        <f>IF(ISBLANK(DaqBook_RAW_Data!AD875),"",DaqBook_RAW_Data!AD875)</f>
        <v/>
      </c>
      <c r="P885" s="167" t="str">
        <f>IF(ISBLANK(DaqBook_RAW_Data!AE875),"",DaqBook_RAW_Data!AE875)</f>
        <v/>
      </c>
    </row>
    <row r="886" spans="1:16" x14ac:dyDescent="0.2">
      <c r="A886" s="58" t="e">
        <f t="shared" si="13"/>
        <v>#VALUE!</v>
      </c>
      <c r="B886" s="144" t="str">
        <f>IF(ISBLANK(DaqBook_RAW_Data!Q876),IF(DaqBook_RAW_Data!A876="","",TIMEVALUE(DaqBook_RAW_Data!A876)),TIMEVALUE(DaqBook_RAW_Data!Q876))</f>
        <v/>
      </c>
      <c r="C886" s="167" t="str">
        <f>IF(ISBLANK(DaqBook_RAW_Data!R876),"",DaqBook_RAW_Data!R876)</f>
        <v/>
      </c>
      <c r="D886" s="167" t="str">
        <f>IF(ISBLANK(DaqBook_RAW_Data!S876),"",DaqBook_RAW_Data!S876)</f>
        <v/>
      </c>
      <c r="E886" s="167" t="str">
        <f>IF(ISBLANK(DaqBook_RAW_Data!T876),"",DaqBook_RAW_Data!T876)</f>
        <v/>
      </c>
      <c r="F886" s="167" t="str">
        <f>IF(ISBLANK(DaqBook_RAW_Data!U876),"",DaqBook_RAW_Data!U876)</f>
        <v/>
      </c>
      <c r="G886" s="167" t="str">
        <f>IF(ISBLANK(DaqBook_RAW_Data!V876),"",DaqBook_RAW_Data!V876)</f>
        <v/>
      </c>
      <c r="H886" s="167" t="str">
        <f>IF(ISBLANK(DaqBook_RAW_Data!W876),"",DaqBook_RAW_Data!W876)</f>
        <v/>
      </c>
      <c r="I886" s="167" t="str">
        <f>IF(ISBLANK(DaqBook_RAW_Data!X876),"",DaqBook_RAW_Data!X876)</f>
        <v/>
      </c>
      <c r="J886" s="167" t="str">
        <f>IF(ISBLANK(DaqBook_RAW_Data!Y876),"",DaqBook_RAW_Data!Y876)</f>
        <v/>
      </c>
      <c r="K886" s="167" t="str">
        <f>IF(ISBLANK(DaqBook_RAW_Data!Z876),"",DaqBook_RAW_Data!Z876)</f>
        <v/>
      </c>
      <c r="L886" s="167" t="str">
        <f>IF(ISBLANK(DaqBook_RAW_Data!AA876),"",DaqBook_RAW_Data!AA876)</f>
        <v/>
      </c>
      <c r="M886" s="167" t="str">
        <f>IF(ISBLANK(DaqBook_RAW_Data!AB876),"",DaqBook_RAW_Data!AB876)</f>
        <v/>
      </c>
      <c r="N886" s="167" t="str">
        <f>IF(ISBLANK(DaqBook_RAW_Data!AC876),"",DaqBook_RAW_Data!AC876)</f>
        <v/>
      </c>
      <c r="O886" s="167" t="str">
        <f>IF(ISBLANK(DaqBook_RAW_Data!AD876),"",DaqBook_RAW_Data!AD876)</f>
        <v/>
      </c>
      <c r="P886" s="167" t="str">
        <f>IF(ISBLANK(DaqBook_RAW_Data!AE876),"",DaqBook_RAW_Data!AE876)</f>
        <v/>
      </c>
    </row>
    <row r="887" spans="1:16" x14ac:dyDescent="0.2">
      <c r="A887" s="58" t="e">
        <f t="shared" si="13"/>
        <v>#VALUE!</v>
      </c>
      <c r="B887" s="144" t="str">
        <f>IF(ISBLANK(DaqBook_RAW_Data!Q877),IF(DaqBook_RAW_Data!A877="","",TIMEVALUE(DaqBook_RAW_Data!A877)),TIMEVALUE(DaqBook_RAW_Data!Q877))</f>
        <v/>
      </c>
      <c r="C887" s="167" t="str">
        <f>IF(ISBLANK(DaqBook_RAW_Data!R877),"",DaqBook_RAW_Data!R877)</f>
        <v/>
      </c>
      <c r="D887" s="167" t="str">
        <f>IF(ISBLANK(DaqBook_RAW_Data!S877),"",DaqBook_RAW_Data!S877)</f>
        <v/>
      </c>
      <c r="E887" s="167" t="str">
        <f>IF(ISBLANK(DaqBook_RAW_Data!T877),"",DaqBook_RAW_Data!T877)</f>
        <v/>
      </c>
      <c r="F887" s="167" t="str">
        <f>IF(ISBLANK(DaqBook_RAW_Data!U877),"",DaqBook_RAW_Data!U877)</f>
        <v/>
      </c>
      <c r="G887" s="167" t="str">
        <f>IF(ISBLANK(DaqBook_RAW_Data!V877),"",DaqBook_RAW_Data!V877)</f>
        <v/>
      </c>
      <c r="H887" s="167" t="str">
        <f>IF(ISBLANK(DaqBook_RAW_Data!W877),"",DaqBook_RAW_Data!W877)</f>
        <v/>
      </c>
      <c r="I887" s="167" t="str">
        <f>IF(ISBLANK(DaqBook_RAW_Data!X877),"",DaqBook_RAW_Data!X877)</f>
        <v/>
      </c>
      <c r="J887" s="167" t="str">
        <f>IF(ISBLANK(DaqBook_RAW_Data!Y877),"",DaqBook_RAW_Data!Y877)</f>
        <v/>
      </c>
      <c r="K887" s="167" t="str">
        <f>IF(ISBLANK(DaqBook_RAW_Data!Z877),"",DaqBook_RAW_Data!Z877)</f>
        <v/>
      </c>
      <c r="L887" s="167" t="str">
        <f>IF(ISBLANK(DaqBook_RAW_Data!AA877),"",DaqBook_RAW_Data!AA877)</f>
        <v/>
      </c>
      <c r="M887" s="167" t="str">
        <f>IF(ISBLANK(DaqBook_RAW_Data!AB877),"",DaqBook_RAW_Data!AB877)</f>
        <v/>
      </c>
      <c r="N887" s="167" t="str">
        <f>IF(ISBLANK(DaqBook_RAW_Data!AC877),"",DaqBook_RAW_Data!AC877)</f>
        <v/>
      </c>
      <c r="O887" s="167" t="str">
        <f>IF(ISBLANK(DaqBook_RAW_Data!AD877),"",DaqBook_RAW_Data!AD877)</f>
        <v/>
      </c>
      <c r="P887" s="167" t="str">
        <f>IF(ISBLANK(DaqBook_RAW_Data!AE877),"",DaqBook_RAW_Data!AE877)</f>
        <v/>
      </c>
    </row>
    <row r="888" spans="1:16" x14ac:dyDescent="0.2">
      <c r="A888" s="58" t="e">
        <f t="shared" si="13"/>
        <v>#VALUE!</v>
      </c>
      <c r="B888" s="144" t="str">
        <f>IF(ISBLANK(DaqBook_RAW_Data!Q878),IF(DaqBook_RAW_Data!A878="","",TIMEVALUE(DaqBook_RAW_Data!A878)),TIMEVALUE(DaqBook_RAW_Data!Q878))</f>
        <v/>
      </c>
      <c r="C888" s="167" t="str">
        <f>IF(ISBLANK(DaqBook_RAW_Data!R878),"",DaqBook_RAW_Data!R878)</f>
        <v/>
      </c>
      <c r="D888" s="167" t="str">
        <f>IF(ISBLANK(DaqBook_RAW_Data!S878),"",DaqBook_RAW_Data!S878)</f>
        <v/>
      </c>
      <c r="E888" s="167" t="str">
        <f>IF(ISBLANK(DaqBook_RAW_Data!T878),"",DaqBook_RAW_Data!T878)</f>
        <v/>
      </c>
      <c r="F888" s="167" t="str">
        <f>IF(ISBLANK(DaqBook_RAW_Data!U878),"",DaqBook_RAW_Data!U878)</f>
        <v/>
      </c>
      <c r="G888" s="167" t="str">
        <f>IF(ISBLANK(DaqBook_RAW_Data!V878),"",DaqBook_RAW_Data!V878)</f>
        <v/>
      </c>
      <c r="H888" s="167" t="str">
        <f>IF(ISBLANK(DaqBook_RAW_Data!W878),"",DaqBook_RAW_Data!W878)</f>
        <v/>
      </c>
      <c r="I888" s="167" t="str">
        <f>IF(ISBLANK(DaqBook_RAW_Data!X878),"",DaqBook_RAW_Data!X878)</f>
        <v/>
      </c>
      <c r="J888" s="167" t="str">
        <f>IF(ISBLANK(DaqBook_RAW_Data!Y878),"",DaqBook_RAW_Data!Y878)</f>
        <v/>
      </c>
      <c r="K888" s="167" t="str">
        <f>IF(ISBLANK(DaqBook_RAW_Data!Z878),"",DaqBook_RAW_Data!Z878)</f>
        <v/>
      </c>
      <c r="L888" s="167" t="str">
        <f>IF(ISBLANK(DaqBook_RAW_Data!AA878),"",DaqBook_RAW_Data!AA878)</f>
        <v/>
      </c>
      <c r="M888" s="167" t="str">
        <f>IF(ISBLANK(DaqBook_RAW_Data!AB878),"",DaqBook_RAW_Data!AB878)</f>
        <v/>
      </c>
      <c r="N888" s="167" t="str">
        <f>IF(ISBLANK(DaqBook_RAW_Data!AC878),"",DaqBook_RAW_Data!AC878)</f>
        <v/>
      </c>
      <c r="O888" s="167" t="str">
        <f>IF(ISBLANK(DaqBook_RAW_Data!AD878),"",DaqBook_RAW_Data!AD878)</f>
        <v/>
      </c>
      <c r="P888" s="167" t="str">
        <f>IF(ISBLANK(DaqBook_RAW_Data!AE878),"",DaqBook_RAW_Data!AE878)</f>
        <v/>
      </c>
    </row>
    <row r="889" spans="1:16" x14ac:dyDescent="0.2">
      <c r="A889" s="58" t="e">
        <f t="shared" si="13"/>
        <v>#VALUE!</v>
      </c>
      <c r="B889" s="144" t="str">
        <f>IF(ISBLANK(DaqBook_RAW_Data!Q879),IF(DaqBook_RAW_Data!A879="","",TIMEVALUE(DaqBook_RAW_Data!A879)),TIMEVALUE(DaqBook_RAW_Data!Q879))</f>
        <v/>
      </c>
      <c r="C889" s="167" t="str">
        <f>IF(ISBLANK(DaqBook_RAW_Data!R879),"",DaqBook_RAW_Data!R879)</f>
        <v/>
      </c>
      <c r="D889" s="167" t="str">
        <f>IF(ISBLANK(DaqBook_RAW_Data!S879),"",DaqBook_RAW_Data!S879)</f>
        <v/>
      </c>
      <c r="E889" s="167" t="str">
        <f>IF(ISBLANK(DaqBook_RAW_Data!T879),"",DaqBook_RAW_Data!T879)</f>
        <v/>
      </c>
      <c r="F889" s="167" t="str">
        <f>IF(ISBLANK(DaqBook_RAW_Data!U879),"",DaqBook_RAW_Data!U879)</f>
        <v/>
      </c>
      <c r="G889" s="167" t="str">
        <f>IF(ISBLANK(DaqBook_RAW_Data!V879),"",DaqBook_RAW_Data!V879)</f>
        <v/>
      </c>
      <c r="H889" s="167" t="str">
        <f>IF(ISBLANK(DaqBook_RAW_Data!W879),"",DaqBook_RAW_Data!W879)</f>
        <v/>
      </c>
      <c r="I889" s="167" t="str">
        <f>IF(ISBLANK(DaqBook_RAW_Data!X879),"",DaqBook_RAW_Data!X879)</f>
        <v/>
      </c>
      <c r="J889" s="167" t="str">
        <f>IF(ISBLANK(DaqBook_RAW_Data!Y879),"",DaqBook_RAW_Data!Y879)</f>
        <v/>
      </c>
      <c r="K889" s="167" t="str">
        <f>IF(ISBLANK(DaqBook_RAW_Data!Z879),"",DaqBook_RAW_Data!Z879)</f>
        <v/>
      </c>
      <c r="L889" s="167" t="str">
        <f>IF(ISBLANK(DaqBook_RAW_Data!AA879),"",DaqBook_RAW_Data!AA879)</f>
        <v/>
      </c>
      <c r="M889" s="167" t="str">
        <f>IF(ISBLANK(DaqBook_RAW_Data!AB879),"",DaqBook_RAW_Data!AB879)</f>
        <v/>
      </c>
      <c r="N889" s="167" t="str">
        <f>IF(ISBLANK(DaqBook_RAW_Data!AC879),"",DaqBook_RAW_Data!AC879)</f>
        <v/>
      </c>
      <c r="O889" s="167" t="str">
        <f>IF(ISBLANK(DaqBook_RAW_Data!AD879),"",DaqBook_RAW_Data!AD879)</f>
        <v/>
      </c>
      <c r="P889" s="167" t="str">
        <f>IF(ISBLANK(DaqBook_RAW_Data!AE879),"",DaqBook_RAW_Data!AE879)</f>
        <v/>
      </c>
    </row>
    <row r="890" spans="1:16" x14ac:dyDescent="0.2">
      <c r="A890" s="58" t="e">
        <f t="shared" si="13"/>
        <v>#VALUE!</v>
      </c>
      <c r="B890" s="144" t="str">
        <f>IF(ISBLANK(DaqBook_RAW_Data!Q880),IF(DaqBook_RAW_Data!A880="","",TIMEVALUE(DaqBook_RAW_Data!A880)),TIMEVALUE(DaqBook_RAW_Data!Q880))</f>
        <v/>
      </c>
      <c r="C890" s="167" t="str">
        <f>IF(ISBLANK(DaqBook_RAW_Data!R880),"",DaqBook_RAW_Data!R880)</f>
        <v/>
      </c>
      <c r="D890" s="167" t="str">
        <f>IF(ISBLANK(DaqBook_RAW_Data!S880),"",DaqBook_RAW_Data!S880)</f>
        <v/>
      </c>
      <c r="E890" s="167" t="str">
        <f>IF(ISBLANK(DaqBook_RAW_Data!T880),"",DaqBook_RAW_Data!T880)</f>
        <v/>
      </c>
      <c r="F890" s="167" t="str">
        <f>IF(ISBLANK(DaqBook_RAW_Data!U880),"",DaqBook_RAW_Data!U880)</f>
        <v/>
      </c>
      <c r="G890" s="167" t="str">
        <f>IF(ISBLANK(DaqBook_RAW_Data!V880),"",DaqBook_RAW_Data!V880)</f>
        <v/>
      </c>
      <c r="H890" s="167" t="str">
        <f>IF(ISBLANK(DaqBook_RAW_Data!W880),"",DaqBook_RAW_Data!W880)</f>
        <v/>
      </c>
      <c r="I890" s="167" t="str">
        <f>IF(ISBLANK(DaqBook_RAW_Data!X880),"",DaqBook_RAW_Data!X880)</f>
        <v/>
      </c>
      <c r="J890" s="167" t="str">
        <f>IF(ISBLANK(DaqBook_RAW_Data!Y880),"",DaqBook_RAW_Data!Y880)</f>
        <v/>
      </c>
      <c r="K890" s="167" t="str">
        <f>IF(ISBLANK(DaqBook_RAW_Data!Z880),"",DaqBook_RAW_Data!Z880)</f>
        <v/>
      </c>
      <c r="L890" s="167" t="str">
        <f>IF(ISBLANK(DaqBook_RAW_Data!AA880),"",DaqBook_RAW_Data!AA880)</f>
        <v/>
      </c>
      <c r="M890" s="167" t="str">
        <f>IF(ISBLANK(DaqBook_RAW_Data!AB880),"",DaqBook_RAW_Data!AB880)</f>
        <v/>
      </c>
      <c r="N890" s="167" t="str">
        <f>IF(ISBLANK(DaqBook_RAW_Data!AC880),"",DaqBook_RAW_Data!AC880)</f>
        <v/>
      </c>
      <c r="O890" s="167" t="str">
        <f>IF(ISBLANK(DaqBook_RAW_Data!AD880),"",DaqBook_RAW_Data!AD880)</f>
        <v/>
      </c>
      <c r="P890" s="167" t="str">
        <f>IF(ISBLANK(DaqBook_RAW_Data!AE880),"",DaqBook_RAW_Data!AE880)</f>
        <v/>
      </c>
    </row>
    <row r="891" spans="1:16" x14ac:dyDescent="0.2">
      <c r="A891" s="58" t="e">
        <f t="shared" si="13"/>
        <v>#VALUE!</v>
      </c>
      <c r="B891" s="144" t="str">
        <f>IF(ISBLANK(DaqBook_RAW_Data!Q881),IF(DaqBook_RAW_Data!A881="","",TIMEVALUE(DaqBook_RAW_Data!A881)),TIMEVALUE(DaqBook_RAW_Data!Q881))</f>
        <v/>
      </c>
      <c r="C891" s="167" t="str">
        <f>IF(ISBLANK(DaqBook_RAW_Data!R881),"",DaqBook_RAW_Data!R881)</f>
        <v/>
      </c>
      <c r="D891" s="167" t="str">
        <f>IF(ISBLANK(DaqBook_RAW_Data!S881),"",DaqBook_RAW_Data!S881)</f>
        <v/>
      </c>
      <c r="E891" s="167" t="str">
        <f>IF(ISBLANK(DaqBook_RAW_Data!T881),"",DaqBook_RAW_Data!T881)</f>
        <v/>
      </c>
      <c r="F891" s="167" t="str">
        <f>IF(ISBLANK(DaqBook_RAW_Data!U881),"",DaqBook_RAW_Data!U881)</f>
        <v/>
      </c>
      <c r="G891" s="167" t="str">
        <f>IF(ISBLANK(DaqBook_RAW_Data!V881),"",DaqBook_RAW_Data!V881)</f>
        <v/>
      </c>
      <c r="H891" s="167" t="str">
        <f>IF(ISBLANK(DaqBook_RAW_Data!W881),"",DaqBook_RAW_Data!W881)</f>
        <v/>
      </c>
      <c r="I891" s="167" t="str">
        <f>IF(ISBLANK(DaqBook_RAW_Data!X881),"",DaqBook_RAW_Data!X881)</f>
        <v/>
      </c>
      <c r="J891" s="167" t="str">
        <f>IF(ISBLANK(DaqBook_RAW_Data!Y881),"",DaqBook_RAW_Data!Y881)</f>
        <v/>
      </c>
      <c r="K891" s="167" t="str">
        <f>IF(ISBLANK(DaqBook_RAW_Data!Z881),"",DaqBook_RAW_Data!Z881)</f>
        <v/>
      </c>
      <c r="L891" s="167" t="str">
        <f>IF(ISBLANK(DaqBook_RAW_Data!AA881),"",DaqBook_RAW_Data!AA881)</f>
        <v/>
      </c>
      <c r="M891" s="167" t="str">
        <f>IF(ISBLANK(DaqBook_RAW_Data!AB881),"",DaqBook_RAW_Data!AB881)</f>
        <v/>
      </c>
      <c r="N891" s="167" t="str">
        <f>IF(ISBLANK(DaqBook_RAW_Data!AC881),"",DaqBook_RAW_Data!AC881)</f>
        <v/>
      </c>
      <c r="O891" s="167" t="str">
        <f>IF(ISBLANK(DaqBook_RAW_Data!AD881),"",DaqBook_RAW_Data!AD881)</f>
        <v/>
      </c>
      <c r="P891" s="167" t="str">
        <f>IF(ISBLANK(DaqBook_RAW_Data!AE881),"",DaqBook_RAW_Data!AE881)</f>
        <v/>
      </c>
    </row>
    <row r="892" spans="1:16" x14ac:dyDescent="0.2">
      <c r="A892" s="58" t="e">
        <f t="shared" si="13"/>
        <v>#VALUE!</v>
      </c>
      <c r="B892" s="144" t="str">
        <f>IF(ISBLANK(DaqBook_RAW_Data!Q882),IF(DaqBook_RAW_Data!A882="","",TIMEVALUE(DaqBook_RAW_Data!A882)),TIMEVALUE(DaqBook_RAW_Data!Q882))</f>
        <v/>
      </c>
      <c r="C892" s="167" t="str">
        <f>IF(ISBLANK(DaqBook_RAW_Data!R882),"",DaqBook_RAW_Data!R882)</f>
        <v/>
      </c>
      <c r="D892" s="167" t="str">
        <f>IF(ISBLANK(DaqBook_RAW_Data!S882),"",DaqBook_RAW_Data!S882)</f>
        <v/>
      </c>
      <c r="E892" s="167" t="str">
        <f>IF(ISBLANK(DaqBook_RAW_Data!T882),"",DaqBook_RAW_Data!T882)</f>
        <v/>
      </c>
      <c r="F892" s="167" t="str">
        <f>IF(ISBLANK(DaqBook_RAW_Data!U882),"",DaqBook_RAW_Data!U882)</f>
        <v/>
      </c>
      <c r="G892" s="167" t="str">
        <f>IF(ISBLANK(DaqBook_RAW_Data!V882),"",DaqBook_RAW_Data!V882)</f>
        <v/>
      </c>
      <c r="H892" s="167" t="str">
        <f>IF(ISBLANK(DaqBook_RAW_Data!W882),"",DaqBook_RAW_Data!W882)</f>
        <v/>
      </c>
      <c r="I892" s="167" t="str">
        <f>IF(ISBLANK(DaqBook_RAW_Data!X882),"",DaqBook_RAW_Data!X882)</f>
        <v/>
      </c>
      <c r="J892" s="167" t="str">
        <f>IF(ISBLANK(DaqBook_RAW_Data!Y882),"",DaqBook_RAW_Data!Y882)</f>
        <v/>
      </c>
      <c r="K892" s="167" t="str">
        <f>IF(ISBLANK(DaqBook_RAW_Data!Z882),"",DaqBook_RAW_Data!Z882)</f>
        <v/>
      </c>
      <c r="L892" s="167" t="str">
        <f>IF(ISBLANK(DaqBook_RAW_Data!AA882),"",DaqBook_RAW_Data!AA882)</f>
        <v/>
      </c>
      <c r="M892" s="167" t="str">
        <f>IF(ISBLANK(DaqBook_RAW_Data!AB882),"",DaqBook_RAW_Data!AB882)</f>
        <v/>
      </c>
      <c r="N892" s="167" t="str">
        <f>IF(ISBLANK(DaqBook_RAW_Data!AC882),"",DaqBook_RAW_Data!AC882)</f>
        <v/>
      </c>
      <c r="O892" s="167" t="str">
        <f>IF(ISBLANK(DaqBook_RAW_Data!AD882),"",DaqBook_RAW_Data!AD882)</f>
        <v/>
      </c>
      <c r="P892" s="167" t="str">
        <f>IF(ISBLANK(DaqBook_RAW_Data!AE882),"",DaqBook_RAW_Data!AE882)</f>
        <v/>
      </c>
    </row>
    <row r="893" spans="1:16" x14ac:dyDescent="0.2">
      <c r="A893" s="58" t="e">
        <f t="shared" si="13"/>
        <v>#VALUE!</v>
      </c>
      <c r="B893" s="144" t="str">
        <f>IF(ISBLANK(DaqBook_RAW_Data!Q883),IF(DaqBook_RAW_Data!A883="","",TIMEVALUE(DaqBook_RAW_Data!A883)),TIMEVALUE(DaqBook_RAW_Data!Q883))</f>
        <v/>
      </c>
      <c r="C893" s="167" t="str">
        <f>IF(ISBLANK(DaqBook_RAW_Data!R883),"",DaqBook_RAW_Data!R883)</f>
        <v/>
      </c>
      <c r="D893" s="167" t="str">
        <f>IF(ISBLANK(DaqBook_RAW_Data!S883),"",DaqBook_RAW_Data!S883)</f>
        <v/>
      </c>
      <c r="E893" s="167" t="str">
        <f>IF(ISBLANK(DaqBook_RAW_Data!T883),"",DaqBook_RAW_Data!T883)</f>
        <v/>
      </c>
      <c r="F893" s="167" t="str">
        <f>IF(ISBLANK(DaqBook_RAW_Data!U883),"",DaqBook_RAW_Data!U883)</f>
        <v/>
      </c>
      <c r="G893" s="167" t="str">
        <f>IF(ISBLANK(DaqBook_RAW_Data!V883),"",DaqBook_RAW_Data!V883)</f>
        <v/>
      </c>
      <c r="H893" s="167" t="str">
        <f>IF(ISBLANK(DaqBook_RAW_Data!W883),"",DaqBook_RAW_Data!W883)</f>
        <v/>
      </c>
      <c r="I893" s="167" t="str">
        <f>IF(ISBLANK(DaqBook_RAW_Data!X883),"",DaqBook_RAW_Data!X883)</f>
        <v/>
      </c>
      <c r="J893" s="167" t="str">
        <f>IF(ISBLANK(DaqBook_RAW_Data!Y883),"",DaqBook_RAW_Data!Y883)</f>
        <v/>
      </c>
      <c r="K893" s="167" t="str">
        <f>IF(ISBLANK(DaqBook_RAW_Data!Z883),"",DaqBook_RAW_Data!Z883)</f>
        <v/>
      </c>
      <c r="L893" s="167" t="str">
        <f>IF(ISBLANK(DaqBook_RAW_Data!AA883),"",DaqBook_RAW_Data!AA883)</f>
        <v/>
      </c>
      <c r="M893" s="167" t="str">
        <f>IF(ISBLANK(DaqBook_RAW_Data!AB883),"",DaqBook_RAW_Data!AB883)</f>
        <v/>
      </c>
      <c r="N893" s="167" t="str">
        <f>IF(ISBLANK(DaqBook_RAW_Data!AC883),"",DaqBook_RAW_Data!AC883)</f>
        <v/>
      </c>
      <c r="O893" s="167" t="str">
        <f>IF(ISBLANK(DaqBook_RAW_Data!AD883),"",DaqBook_RAW_Data!AD883)</f>
        <v/>
      </c>
      <c r="P893" s="167" t="str">
        <f>IF(ISBLANK(DaqBook_RAW_Data!AE883),"",DaqBook_RAW_Data!AE883)</f>
        <v/>
      </c>
    </row>
    <row r="894" spans="1:16" x14ac:dyDescent="0.2">
      <c r="A894" s="58" t="e">
        <f t="shared" si="13"/>
        <v>#VALUE!</v>
      </c>
      <c r="B894" s="144" t="str">
        <f>IF(ISBLANK(DaqBook_RAW_Data!Q884),IF(DaqBook_RAW_Data!A884="","",TIMEVALUE(DaqBook_RAW_Data!A884)),TIMEVALUE(DaqBook_RAW_Data!Q884))</f>
        <v/>
      </c>
      <c r="C894" s="167" t="str">
        <f>IF(ISBLANK(DaqBook_RAW_Data!R884),"",DaqBook_RAW_Data!R884)</f>
        <v/>
      </c>
      <c r="D894" s="167" t="str">
        <f>IF(ISBLANK(DaqBook_RAW_Data!S884),"",DaqBook_RAW_Data!S884)</f>
        <v/>
      </c>
      <c r="E894" s="167" t="str">
        <f>IF(ISBLANK(DaqBook_RAW_Data!T884),"",DaqBook_RAW_Data!T884)</f>
        <v/>
      </c>
      <c r="F894" s="167" t="str">
        <f>IF(ISBLANK(DaqBook_RAW_Data!U884),"",DaqBook_RAW_Data!U884)</f>
        <v/>
      </c>
      <c r="G894" s="167" t="str">
        <f>IF(ISBLANK(DaqBook_RAW_Data!V884),"",DaqBook_RAW_Data!V884)</f>
        <v/>
      </c>
      <c r="H894" s="167" t="str">
        <f>IF(ISBLANK(DaqBook_RAW_Data!W884),"",DaqBook_RAW_Data!W884)</f>
        <v/>
      </c>
      <c r="I894" s="167" t="str">
        <f>IF(ISBLANK(DaqBook_RAW_Data!X884),"",DaqBook_RAW_Data!X884)</f>
        <v/>
      </c>
      <c r="J894" s="167" t="str">
        <f>IF(ISBLANK(DaqBook_RAW_Data!Y884),"",DaqBook_RAW_Data!Y884)</f>
        <v/>
      </c>
      <c r="K894" s="167" t="str">
        <f>IF(ISBLANK(DaqBook_RAW_Data!Z884),"",DaqBook_RAW_Data!Z884)</f>
        <v/>
      </c>
      <c r="L894" s="167" t="str">
        <f>IF(ISBLANK(DaqBook_RAW_Data!AA884),"",DaqBook_RAW_Data!AA884)</f>
        <v/>
      </c>
      <c r="M894" s="167" t="str">
        <f>IF(ISBLANK(DaqBook_RAW_Data!AB884),"",DaqBook_RAW_Data!AB884)</f>
        <v/>
      </c>
      <c r="N894" s="167" t="str">
        <f>IF(ISBLANK(DaqBook_RAW_Data!AC884),"",DaqBook_RAW_Data!AC884)</f>
        <v/>
      </c>
      <c r="O894" s="167" t="str">
        <f>IF(ISBLANK(DaqBook_RAW_Data!AD884),"",DaqBook_RAW_Data!AD884)</f>
        <v/>
      </c>
      <c r="P894" s="167" t="str">
        <f>IF(ISBLANK(DaqBook_RAW_Data!AE884),"",DaqBook_RAW_Data!AE884)</f>
        <v/>
      </c>
    </row>
    <row r="895" spans="1:16" x14ac:dyDescent="0.2">
      <c r="A895" s="58" t="e">
        <f t="shared" si="13"/>
        <v>#VALUE!</v>
      </c>
      <c r="B895" s="144" t="str">
        <f>IF(ISBLANK(DaqBook_RAW_Data!Q885),IF(DaqBook_RAW_Data!A885="","",TIMEVALUE(DaqBook_RAW_Data!A885)),TIMEVALUE(DaqBook_RAW_Data!Q885))</f>
        <v/>
      </c>
      <c r="C895" s="167" t="str">
        <f>IF(ISBLANK(DaqBook_RAW_Data!R885),"",DaqBook_RAW_Data!R885)</f>
        <v/>
      </c>
      <c r="D895" s="167" t="str">
        <f>IF(ISBLANK(DaqBook_RAW_Data!S885),"",DaqBook_RAW_Data!S885)</f>
        <v/>
      </c>
      <c r="E895" s="167" t="str">
        <f>IF(ISBLANK(DaqBook_RAW_Data!T885),"",DaqBook_RAW_Data!T885)</f>
        <v/>
      </c>
      <c r="F895" s="167" t="str">
        <f>IF(ISBLANK(DaqBook_RAW_Data!U885),"",DaqBook_RAW_Data!U885)</f>
        <v/>
      </c>
      <c r="G895" s="167" t="str">
        <f>IF(ISBLANK(DaqBook_RAW_Data!V885),"",DaqBook_RAW_Data!V885)</f>
        <v/>
      </c>
      <c r="H895" s="167" t="str">
        <f>IF(ISBLANK(DaqBook_RAW_Data!W885),"",DaqBook_RAW_Data!W885)</f>
        <v/>
      </c>
      <c r="I895" s="167" t="str">
        <f>IF(ISBLANK(DaqBook_RAW_Data!X885),"",DaqBook_RAW_Data!X885)</f>
        <v/>
      </c>
      <c r="J895" s="167" t="str">
        <f>IF(ISBLANK(DaqBook_RAW_Data!Y885),"",DaqBook_RAW_Data!Y885)</f>
        <v/>
      </c>
      <c r="K895" s="167" t="str">
        <f>IF(ISBLANK(DaqBook_RAW_Data!Z885),"",DaqBook_RAW_Data!Z885)</f>
        <v/>
      </c>
      <c r="L895" s="167" t="str">
        <f>IF(ISBLANK(DaqBook_RAW_Data!AA885),"",DaqBook_RAW_Data!AA885)</f>
        <v/>
      </c>
      <c r="M895" s="167" t="str">
        <f>IF(ISBLANK(DaqBook_RAW_Data!AB885),"",DaqBook_RAW_Data!AB885)</f>
        <v/>
      </c>
      <c r="N895" s="167" t="str">
        <f>IF(ISBLANK(DaqBook_RAW_Data!AC885),"",DaqBook_RAW_Data!AC885)</f>
        <v/>
      </c>
      <c r="O895" s="167" t="str">
        <f>IF(ISBLANK(DaqBook_RAW_Data!AD885),"",DaqBook_RAW_Data!AD885)</f>
        <v/>
      </c>
      <c r="P895" s="167" t="str">
        <f>IF(ISBLANK(DaqBook_RAW_Data!AE885),"",DaqBook_RAW_Data!AE885)</f>
        <v/>
      </c>
    </row>
    <row r="896" spans="1:16" x14ac:dyDescent="0.2">
      <c r="A896" s="58" t="e">
        <f t="shared" si="13"/>
        <v>#VALUE!</v>
      </c>
      <c r="B896" s="144" t="str">
        <f>IF(ISBLANK(DaqBook_RAW_Data!Q886),IF(DaqBook_RAW_Data!A886="","",TIMEVALUE(DaqBook_RAW_Data!A886)),TIMEVALUE(DaqBook_RAW_Data!Q886))</f>
        <v/>
      </c>
      <c r="C896" s="167" t="str">
        <f>IF(ISBLANK(DaqBook_RAW_Data!R886),"",DaqBook_RAW_Data!R886)</f>
        <v/>
      </c>
      <c r="D896" s="167" t="str">
        <f>IF(ISBLANK(DaqBook_RAW_Data!S886),"",DaqBook_RAW_Data!S886)</f>
        <v/>
      </c>
      <c r="E896" s="167" t="str">
        <f>IF(ISBLANK(DaqBook_RAW_Data!T886),"",DaqBook_RAW_Data!T886)</f>
        <v/>
      </c>
      <c r="F896" s="167" t="str">
        <f>IF(ISBLANK(DaqBook_RAW_Data!U886),"",DaqBook_RAW_Data!U886)</f>
        <v/>
      </c>
      <c r="G896" s="167" t="str">
        <f>IF(ISBLANK(DaqBook_RAW_Data!V886),"",DaqBook_RAW_Data!V886)</f>
        <v/>
      </c>
      <c r="H896" s="167" t="str">
        <f>IF(ISBLANK(DaqBook_RAW_Data!W886),"",DaqBook_RAW_Data!W886)</f>
        <v/>
      </c>
      <c r="I896" s="167" t="str">
        <f>IF(ISBLANK(DaqBook_RAW_Data!X886),"",DaqBook_RAW_Data!X886)</f>
        <v/>
      </c>
      <c r="J896" s="167" t="str">
        <f>IF(ISBLANK(DaqBook_RAW_Data!Y886),"",DaqBook_RAW_Data!Y886)</f>
        <v/>
      </c>
      <c r="K896" s="167" t="str">
        <f>IF(ISBLANK(DaqBook_RAW_Data!Z886),"",DaqBook_RAW_Data!Z886)</f>
        <v/>
      </c>
      <c r="L896" s="167" t="str">
        <f>IF(ISBLANK(DaqBook_RAW_Data!AA886),"",DaqBook_RAW_Data!AA886)</f>
        <v/>
      </c>
      <c r="M896" s="167" t="str">
        <f>IF(ISBLANK(DaqBook_RAW_Data!AB886),"",DaqBook_RAW_Data!AB886)</f>
        <v/>
      </c>
      <c r="N896" s="167" t="str">
        <f>IF(ISBLANK(DaqBook_RAW_Data!AC886),"",DaqBook_RAW_Data!AC886)</f>
        <v/>
      </c>
      <c r="O896" s="167" t="str">
        <f>IF(ISBLANK(DaqBook_RAW_Data!AD886),"",DaqBook_RAW_Data!AD886)</f>
        <v/>
      </c>
      <c r="P896" s="167" t="str">
        <f>IF(ISBLANK(DaqBook_RAW_Data!AE886),"",DaqBook_RAW_Data!AE886)</f>
        <v/>
      </c>
    </row>
    <row r="897" spans="1:16" x14ac:dyDescent="0.2">
      <c r="A897" s="58" t="e">
        <f t="shared" si="13"/>
        <v>#VALUE!</v>
      </c>
      <c r="B897" s="144" t="str">
        <f>IF(ISBLANK(DaqBook_RAW_Data!Q887),IF(DaqBook_RAW_Data!A887="","",TIMEVALUE(DaqBook_RAW_Data!A887)),TIMEVALUE(DaqBook_RAW_Data!Q887))</f>
        <v/>
      </c>
      <c r="C897" s="167" t="str">
        <f>IF(ISBLANK(DaqBook_RAW_Data!R887),"",DaqBook_RAW_Data!R887)</f>
        <v/>
      </c>
      <c r="D897" s="167" t="str">
        <f>IF(ISBLANK(DaqBook_RAW_Data!S887),"",DaqBook_RAW_Data!S887)</f>
        <v/>
      </c>
      <c r="E897" s="167" t="str">
        <f>IF(ISBLANK(DaqBook_RAW_Data!T887),"",DaqBook_RAW_Data!T887)</f>
        <v/>
      </c>
      <c r="F897" s="167" t="str">
        <f>IF(ISBLANK(DaqBook_RAW_Data!U887),"",DaqBook_RAW_Data!U887)</f>
        <v/>
      </c>
      <c r="G897" s="167" t="str">
        <f>IF(ISBLANK(DaqBook_RAW_Data!V887),"",DaqBook_RAW_Data!V887)</f>
        <v/>
      </c>
      <c r="H897" s="167" t="str">
        <f>IF(ISBLANK(DaqBook_RAW_Data!W887),"",DaqBook_RAW_Data!W887)</f>
        <v/>
      </c>
      <c r="I897" s="167" t="str">
        <f>IF(ISBLANK(DaqBook_RAW_Data!X887),"",DaqBook_RAW_Data!X887)</f>
        <v/>
      </c>
      <c r="J897" s="167" t="str">
        <f>IF(ISBLANK(DaqBook_RAW_Data!Y887),"",DaqBook_RAW_Data!Y887)</f>
        <v/>
      </c>
      <c r="K897" s="167" t="str">
        <f>IF(ISBLANK(DaqBook_RAW_Data!Z887),"",DaqBook_RAW_Data!Z887)</f>
        <v/>
      </c>
      <c r="L897" s="167" t="str">
        <f>IF(ISBLANK(DaqBook_RAW_Data!AA887),"",DaqBook_RAW_Data!AA887)</f>
        <v/>
      </c>
      <c r="M897" s="167" t="str">
        <f>IF(ISBLANK(DaqBook_RAW_Data!AB887),"",DaqBook_RAW_Data!AB887)</f>
        <v/>
      </c>
      <c r="N897" s="167" t="str">
        <f>IF(ISBLANK(DaqBook_RAW_Data!AC887),"",DaqBook_RAW_Data!AC887)</f>
        <v/>
      </c>
      <c r="O897" s="167" t="str">
        <f>IF(ISBLANK(DaqBook_RAW_Data!AD887),"",DaqBook_RAW_Data!AD887)</f>
        <v/>
      </c>
      <c r="P897" s="167" t="str">
        <f>IF(ISBLANK(DaqBook_RAW_Data!AE887),"",DaqBook_RAW_Data!AE887)</f>
        <v/>
      </c>
    </row>
    <row r="898" spans="1:16" x14ac:dyDescent="0.2">
      <c r="A898" s="58" t="e">
        <f t="shared" si="13"/>
        <v>#VALUE!</v>
      </c>
      <c r="B898" s="144" t="str">
        <f>IF(ISBLANK(DaqBook_RAW_Data!Q888),IF(DaqBook_RAW_Data!A888="","",TIMEVALUE(DaqBook_RAW_Data!A888)),TIMEVALUE(DaqBook_RAW_Data!Q888))</f>
        <v/>
      </c>
      <c r="C898" s="167" t="str">
        <f>IF(ISBLANK(DaqBook_RAW_Data!R888),"",DaqBook_RAW_Data!R888)</f>
        <v/>
      </c>
      <c r="D898" s="167" t="str">
        <f>IF(ISBLANK(DaqBook_RAW_Data!S888),"",DaqBook_RAW_Data!S888)</f>
        <v/>
      </c>
      <c r="E898" s="167" t="str">
        <f>IF(ISBLANK(DaqBook_RAW_Data!T888),"",DaqBook_RAW_Data!T888)</f>
        <v/>
      </c>
      <c r="F898" s="167" t="str">
        <f>IF(ISBLANK(DaqBook_RAW_Data!U888),"",DaqBook_RAW_Data!U888)</f>
        <v/>
      </c>
      <c r="G898" s="167" t="str">
        <f>IF(ISBLANK(DaqBook_RAW_Data!V888),"",DaqBook_RAW_Data!V888)</f>
        <v/>
      </c>
      <c r="H898" s="167" t="str">
        <f>IF(ISBLANK(DaqBook_RAW_Data!W888),"",DaqBook_RAW_Data!W888)</f>
        <v/>
      </c>
      <c r="I898" s="167" t="str">
        <f>IF(ISBLANK(DaqBook_RAW_Data!X888),"",DaqBook_RAW_Data!X888)</f>
        <v/>
      </c>
      <c r="J898" s="167" t="str">
        <f>IF(ISBLANK(DaqBook_RAW_Data!Y888),"",DaqBook_RAW_Data!Y888)</f>
        <v/>
      </c>
      <c r="K898" s="167" t="str">
        <f>IF(ISBLANK(DaqBook_RAW_Data!Z888),"",DaqBook_RAW_Data!Z888)</f>
        <v/>
      </c>
      <c r="L898" s="167" t="str">
        <f>IF(ISBLANK(DaqBook_RAW_Data!AA888),"",DaqBook_RAW_Data!AA888)</f>
        <v/>
      </c>
      <c r="M898" s="167" t="str">
        <f>IF(ISBLANK(DaqBook_RAW_Data!AB888),"",DaqBook_RAW_Data!AB888)</f>
        <v/>
      </c>
      <c r="N898" s="167" t="str">
        <f>IF(ISBLANK(DaqBook_RAW_Data!AC888),"",DaqBook_RAW_Data!AC888)</f>
        <v/>
      </c>
      <c r="O898" s="167" t="str">
        <f>IF(ISBLANK(DaqBook_RAW_Data!AD888),"",DaqBook_RAW_Data!AD888)</f>
        <v/>
      </c>
      <c r="P898" s="167" t="str">
        <f>IF(ISBLANK(DaqBook_RAW_Data!AE888),"",DaqBook_RAW_Data!AE888)</f>
        <v/>
      </c>
    </row>
    <row r="899" spans="1:16" x14ac:dyDescent="0.2">
      <c r="A899" s="58" t="e">
        <f t="shared" si="13"/>
        <v>#VALUE!</v>
      </c>
      <c r="B899" s="144" t="str">
        <f>IF(ISBLANK(DaqBook_RAW_Data!Q889),IF(DaqBook_RAW_Data!A889="","",TIMEVALUE(DaqBook_RAW_Data!A889)),TIMEVALUE(DaqBook_RAW_Data!Q889))</f>
        <v/>
      </c>
      <c r="C899" s="167" t="str">
        <f>IF(ISBLANK(DaqBook_RAW_Data!R889),"",DaqBook_RAW_Data!R889)</f>
        <v/>
      </c>
      <c r="D899" s="167" t="str">
        <f>IF(ISBLANK(DaqBook_RAW_Data!S889),"",DaqBook_RAW_Data!S889)</f>
        <v/>
      </c>
      <c r="E899" s="167" t="str">
        <f>IF(ISBLANK(DaqBook_RAW_Data!T889),"",DaqBook_RAW_Data!T889)</f>
        <v/>
      </c>
      <c r="F899" s="167" t="str">
        <f>IF(ISBLANK(DaqBook_RAW_Data!U889),"",DaqBook_RAW_Data!U889)</f>
        <v/>
      </c>
      <c r="G899" s="167" t="str">
        <f>IF(ISBLANK(DaqBook_RAW_Data!V889),"",DaqBook_RAW_Data!V889)</f>
        <v/>
      </c>
      <c r="H899" s="167" t="str">
        <f>IF(ISBLANK(DaqBook_RAW_Data!W889),"",DaqBook_RAW_Data!W889)</f>
        <v/>
      </c>
      <c r="I899" s="167" t="str">
        <f>IF(ISBLANK(DaqBook_RAW_Data!X889),"",DaqBook_RAW_Data!X889)</f>
        <v/>
      </c>
      <c r="J899" s="167" t="str">
        <f>IF(ISBLANK(DaqBook_RAW_Data!Y889),"",DaqBook_RAW_Data!Y889)</f>
        <v/>
      </c>
      <c r="K899" s="167" t="str">
        <f>IF(ISBLANK(DaqBook_RAW_Data!Z889),"",DaqBook_RAW_Data!Z889)</f>
        <v/>
      </c>
      <c r="L899" s="167" t="str">
        <f>IF(ISBLANK(DaqBook_RAW_Data!AA889),"",DaqBook_RAW_Data!AA889)</f>
        <v/>
      </c>
      <c r="M899" s="167" t="str">
        <f>IF(ISBLANK(DaqBook_RAW_Data!AB889),"",DaqBook_RAW_Data!AB889)</f>
        <v/>
      </c>
      <c r="N899" s="167" t="str">
        <f>IF(ISBLANK(DaqBook_RAW_Data!AC889),"",DaqBook_RAW_Data!AC889)</f>
        <v/>
      </c>
      <c r="O899" s="167" t="str">
        <f>IF(ISBLANK(DaqBook_RAW_Data!AD889),"",DaqBook_RAW_Data!AD889)</f>
        <v/>
      </c>
      <c r="P899" s="167" t="str">
        <f>IF(ISBLANK(DaqBook_RAW_Data!AE889),"",DaqBook_RAW_Data!AE889)</f>
        <v/>
      </c>
    </row>
    <row r="900" spans="1:16" x14ac:dyDescent="0.2">
      <c r="A900" s="58" t="e">
        <f t="shared" si="13"/>
        <v>#VALUE!</v>
      </c>
      <c r="B900" s="144" t="str">
        <f>IF(ISBLANK(DaqBook_RAW_Data!Q890),IF(DaqBook_RAW_Data!A890="","",TIMEVALUE(DaqBook_RAW_Data!A890)),TIMEVALUE(DaqBook_RAW_Data!Q890))</f>
        <v/>
      </c>
      <c r="C900" s="167" t="str">
        <f>IF(ISBLANK(DaqBook_RAW_Data!R890),"",DaqBook_RAW_Data!R890)</f>
        <v/>
      </c>
      <c r="D900" s="167" t="str">
        <f>IF(ISBLANK(DaqBook_RAW_Data!S890),"",DaqBook_RAW_Data!S890)</f>
        <v/>
      </c>
      <c r="E900" s="167" t="str">
        <f>IF(ISBLANK(DaqBook_RAW_Data!T890),"",DaqBook_RAW_Data!T890)</f>
        <v/>
      </c>
      <c r="F900" s="167" t="str">
        <f>IF(ISBLANK(DaqBook_RAW_Data!U890),"",DaqBook_RAW_Data!U890)</f>
        <v/>
      </c>
      <c r="G900" s="167" t="str">
        <f>IF(ISBLANK(DaqBook_RAW_Data!V890),"",DaqBook_RAW_Data!V890)</f>
        <v/>
      </c>
      <c r="H900" s="167" t="str">
        <f>IF(ISBLANK(DaqBook_RAW_Data!W890),"",DaqBook_RAW_Data!W890)</f>
        <v/>
      </c>
      <c r="I900" s="167" t="str">
        <f>IF(ISBLANK(DaqBook_RAW_Data!X890),"",DaqBook_RAW_Data!X890)</f>
        <v/>
      </c>
      <c r="J900" s="167" t="str">
        <f>IF(ISBLANK(DaqBook_RAW_Data!Y890),"",DaqBook_RAW_Data!Y890)</f>
        <v/>
      </c>
      <c r="K900" s="167" t="str">
        <f>IF(ISBLANK(DaqBook_RAW_Data!Z890),"",DaqBook_RAW_Data!Z890)</f>
        <v/>
      </c>
      <c r="L900" s="167" t="str">
        <f>IF(ISBLANK(DaqBook_RAW_Data!AA890),"",DaqBook_RAW_Data!AA890)</f>
        <v/>
      </c>
      <c r="M900" s="167" t="str">
        <f>IF(ISBLANK(DaqBook_RAW_Data!AB890),"",DaqBook_RAW_Data!AB890)</f>
        <v/>
      </c>
      <c r="N900" s="167" t="str">
        <f>IF(ISBLANK(DaqBook_RAW_Data!AC890),"",DaqBook_RAW_Data!AC890)</f>
        <v/>
      </c>
      <c r="O900" s="167" t="str">
        <f>IF(ISBLANK(DaqBook_RAW_Data!AD890),"",DaqBook_RAW_Data!AD890)</f>
        <v/>
      </c>
      <c r="P900" s="167" t="str">
        <f>IF(ISBLANK(DaqBook_RAW_Data!AE890),"",DaqBook_RAW_Data!AE890)</f>
        <v/>
      </c>
    </row>
    <row r="901" spans="1:16" x14ac:dyDescent="0.2">
      <c r="A901" s="58" t="e">
        <f t="shared" si="13"/>
        <v>#VALUE!</v>
      </c>
      <c r="B901" s="144" t="str">
        <f>IF(ISBLANK(DaqBook_RAW_Data!Q891),IF(DaqBook_RAW_Data!A891="","",TIMEVALUE(DaqBook_RAW_Data!A891)),TIMEVALUE(DaqBook_RAW_Data!Q891))</f>
        <v/>
      </c>
      <c r="C901" s="167" t="str">
        <f>IF(ISBLANK(DaqBook_RAW_Data!R891),"",DaqBook_RAW_Data!R891)</f>
        <v/>
      </c>
      <c r="D901" s="167" t="str">
        <f>IF(ISBLANK(DaqBook_RAW_Data!S891),"",DaqBook_RAW_Data!S891)</f>
        <v/>
      </c>
      <c r="E901" s="167" t="str">
        <f>IF(ISBLANK(DaqBook_RAW_Data!T891),"",DaqBook_RAW_Data!T891)</f>
        <v/>
      </c>
      <c r="F901" s="167" t="str">
        <f>IF(ISBLANK(DaqBook_RAW_Data!U891),"",DaqBook_RAW_Data!U891)</f>
        <v/>
      </c>
      <c r="G901" s="167" t="str">
        <f>IF(ISBLANK(DaqBook_RAW_Data!V891),"",DaqBook_RAW_Data!V891)</f>
        <v/>
      </c>
      <c r="H901" s="167" t="str">
        <f>IF(ISBLANK(DaqBook_RAW_Data!W891),"",DaqBook_RAW_Data!W891)</f>
        <v/>
      </c>
      <c r="I901" s="167" t="str">
        <f>IF(ISBLANK(DaqBook_RAW_Data!X891),"",DaqBook_RAW_Data!X891)</f>
        <v/>
      </c>
      <c r="J901" s="167" t="str">
        <f>IF(ISBLANK(DaqBook_RAW_Data!Y891),"",DaqBook_RAW_Data!Y891)</f>
        <v/>
      </c>
      <c r="K901" s="167" t="str">
        <f>IF(ISBLANK(DaqBook_RAW_Data!Z891),"",DaqBook_RAW_Data!Z891)</f>
        <v/>
      </c>
      <c r="L901" s="167" t="str">
        <f>IF(ISBLANK(DaqBook_RAW_Data!AA891),"",DaqBook_RAW_Data!AA891)</f>
        <v/>
      </c>
      <c r="M901" s="167" t="str">
        <f>IF(ISBLANK(DaqBook_RAW_Data!AB891),"",DaqBook_RAW_Data!AB891)</f>
        <v/>
      </c>
      <c r="N901" s="167" t="str">
        <f>IF(ISBLANK(DaqBook_RAW_Data!AC891),"",DaqBook_RAW_Data!AC891)</f>
        <v/>
      </c>
      <c r="O901" s="167" t="str">
        <f>IF(ISBLANK(DaqBook_RAW_Data!AD891),"",DaqBook_RAW_Data!AD891)</f>
        <v/>
      </c>
      <c r="P901" s="167" t="str">
        <f>IF(ISBLANK(DaqBook_RAW_Data!AE891),"",DaqBook_RAW_Data!AE891)</f>
        <v/>
      </c>
    </row>
    <row r="902" spans="1:16" x14ac:dyDescent="0.2">
      <c r="A902" s="58" t="e">
        <f t="shared" si="13"/>
        <v>#VALUE!</v>
      </c>
      <c r="B902" s="144" t="str">
        <f>IF(ISBLANK(DaqBook_RAW_Data!Q892),IF(DaqBook_RAW_Data!A892="","",TIMEVALUE(DaqBook_RAW_Data!A892)),TIMEVALUE(DaqBook_RAW_Data!Q892))</f>
        <v/>
      </c>
      <c r="C902" s="167" t="str">
        <f>IF(ISBLANK(DaqBook_RAW_Data!R892),"",DaqBook_RAW_Data!R892)</f>
        <v/>
      </c>
      <c r="D902" s="167" t="str">
        <f>IF(ISBLANK(DaqBook_RAW_Data!S892),"",DaqBook_RAW_Data!S892)</f>
        <v/>
      </c>
      <c r="E902" s="167" t="str">
        <f>IF(ISBLANK(DaqBook_RAW_Data!T892),"",DaqBook_RAW_Data!T892)</f>
        <v/>
      </c>
      <c r="F902" s="167" t="str">
        <f>IF(ISBLANK(DaqBook_RAW_Data!U892),"",DaqBook_RAW_Data!U892)</f>
        <v/>
      </c>
      <c r="G902" s="167" t="str">
        <f>IF(ISBLANK(DaqBook_RAW_Data!V892),"",DaqBook_RAW_Data!V892)</f>
        <v/>
      </c>
      <c r="H902" s="167" t="str">
        <f>IF(ISBLANK(DaqBook_RAW_Data!W892),"",DaqBook_RAW_Data!W892)</f>
        <v/>
      </c>
      <c r="I902" s="167" t="str">
        <f>IF(ISBLANK(DaqBook_RAW_Data!X892),"",DaqBook_RAW_Data!X892)</f>
        <v/>
      </c>
      <c r="J902" s="167" t="str">
        <f>IF(ISBLANK(DaqBook_RAW_Data!Y892),"",DaqBook_RAW_Data!Y892)</f>
        <v/>
      </c>
      <c r="K902" s="167" t="str">
        <f>IF(ISBLANK(DaqBook_RAW_Data!Z892),"",DaqBook_RAW_Data!Z892)</f>
        <v/>
      </c>
      <c r="L902" s="167" t="str">
        <f>IF(ISBLANK(DaqBook_RAW_Data!AA892),"",DaqBook_RAW_Data!AA892)</f>
        <v/>
      </c>
      <c r="M902" s="167" t="str">
        <f>IF(ISBLANK(DaqBook_RAW_Data!AB892),"",DaqBook_RAW_Data!AB892)</f>
        <v/>
      </c>
      <c r="N902" s="167" t="str">
        <f>IF(ISBLANK(DaqBook_RAW_Data!AC892),"",DaqBook_RAW_Data!AC892)</f>
        <v/>
      </c>
      <c r="O902" s="167" t="str">
        <f>IF(ISBLANK(DaqBook_RAW_Data!AD892),"",DaqBook_RAW_Data!AD892)</f>
        <v/>
      </c>
      <c r="P902" s="167" t="str">
        <f>IF(ISBLANK(DaqBook_RAW_Data!AE892),"",DaqBook_RAW_Data!AE892)</f>
        <v/>
      </c>
    </row>
    <row r="903" spans="1:16" x14ac:dyDescent="0.2">
      <c r="A903" s="58" t="e">
        <f t="shared" si="13"/>
        <v>#VALUE!</v>
      </c>
      <c r="B903" s="144" t="str">
        <f>IF(ISBLANK(DaqBook_RAW_Data!Q893),IF(DaqBook_RAW_Data!A893="","",TIMEVALUE(DaqBook_RAW_Data!A893)),TIMEVALUE(DaqBook_RAW_Data!Q893))</f>
        <v/>
      </c>
      <c r="C903" s="167" t="str">
        <f>IF(ISBLANK(DaqBook_RAW_Data!R893),"",DaqBook_RAW_Data!R893)</f>
        <v/>
      </c>
      <c r="D903" s="167" t="str">
        <f>IF(ISBLANK(DaqBook_RAW_Data!S893),"",DaqBook_RAW_Data!S893)</f>
        <v/>
      </c>
      <c r="E903" s="167" t="str">
        <f>IF(ISBLANK(DaqBook_RAW_Data!T893),"",DaqBook_RAW_Data!T893)</f>
        <v/>
      </c>
      <c r="F903" s="167" t="str">
        <f>IF(ISBLANK(DaqBook_RAW_Data!U893),"",DaqBook_RAW_Data!U893)</f>
        <v/>
      </c>
      <c r="G903" s="167" t="str">
        <f>IF(ISBLANK(DaqBook_RAW_Data!V893),"",DaqBook_RAW_Data!V893)</f>
        <v/>
      </c>
      <c r="H903" s="167" t="str">
        <f>IF(ISBLANK(DaqBook_RAW_Data!W893),"",DaqBook_RAW_Data!W893)</f>
        <v/>
      </c>
      <c r="I903" s="167" t="str">
        <f>IF(ISBLANK(DaqBook_RAW_Data!X893),"",DaqBook_RAW_Data!X893)</f>
        <v/>
      </c>
      <c r="J903" s="167" t="str">
        <f>IF(ISBLANK(DaqBook_RAW_Data!Y893),"",DaqBook_RAW_Data!Y893)</f>
        <v/>
      </c>
      <c r="K903" s="167" t="str">
        <f>IF(ISBLANK(DaqBook_RAW_Data!Z893),"",DaqBook_RAW_Data!Z893)</f>
        <v/>
      </c>
      <c r="L903" s="167" t="str">
        <f>IF(ISBLANK(DaqBook_RAW_Data!AA893),"",DaqBook_RAW_Data!AA893)</f>
        <v/>
      </c>
      <c r="M903" s="167" t="str">
        <f>IF(ISBLANK(DaqBook_RAW_Data!AB893),"",DaqBook_RAW_Data!AB893)</f>
        <v/>
      </c>
      <c r="N903" s="167" t="str">
        <f>IF(ISBLANK(DaqBook_RAW_Data!AC893),"",DaqBook_RAW_Data!AC893)</f>
        <v/>
      </c>
      <c r="O903" s="167" t="str">
        <f>IF(ISBLANK(DaqBook_RAW_Data!AD893),"",DaqBook_RAW_Data!AD893)</f>
        <v/>
      </c>
      <c r="P903" s="167" t="str">
        <f>IF(ISBLANK(DaqBook_RAW_Data!AE893),"",DaqBook_RAW_Data!AE893)</f>
        <v/>
      </c>
    </row>
  </sheetData>
  <sheetProtection algorithmName="SHA-512" hashValue="FGlbw/JjvuGEEH13baHMgrazr5uHRkw0ICvIfPr0j5EedElkIWGTp4Mhe0BAlYfxsiwYS984Xz7yW8ph4Wkwog==" saltValue="UvHfYSCqqQSOFSVOhywqzw=="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e">
        <f>HOUR(B14)&amp;":"&amp;MINUTE(B14)</f>
        <v>#VALUE!</v>
      </c>
      <c r="B14" s="144" t="str">
        <f>IF(ISBLANK(DaqBook_RAW_Data!AG4),IF(DaqBook_RAW_Data!A4="","",TIMEVALUE(DaqBook_RAW_Data!A4)),TIMEVALUE(DaqBook_RAW_Data!AG4))</f>
        <v/>
      </c>
      <c r="C14" s="167" t="str">
        <f>IF(ISBLANK(DaqBook_RAW_Data!AH4),"",DaqBook_RAW_Data!AH4)</f>
        <v/>
      </c>
      <c r="D14" s="167" t="str">
        <f>IF(ISBLANK(DaqBook_RAW_Data!AI4),"",DaqBook_RAW_Data!AI4)</f>
        <v/>
      </c>
      <c r="E14" s="167" t="str">
        <f>IF(ISBLANK(DaqBook_RAW_Data!AJ4),"",DaqBook_RAW_Data!AJ4)</f>
        <v/>
      </c>
      <c r="F14" s="167" t="str">
        <f>IF(ISBLANK(DaqBook_RAW_Data!AK4),"",DaqBook_RAW_Data!AK4)</f>
        <v/>
      </c>
      <c r="G14" s="167" t="str">
        <f>IF(ISBLANK(DaqBook_RAW_Data!AL4),"",DaqBook_RAW_Data!AL4)</f>
        <v/>
      </c>
      <c r="H14" s="167" t="str">
        <f>IF(ISBLANK(DaqBook_RAW_Data!AM4),"",DaqBook_RAW_Data!AM4)</f>
        <v/>
      </c>
      <c r="I14" s="167" t="str">
        <f>IF(ISBLANK(DaqBook_RAW_Data!AN4),"",DaqBook_RAW_Data!AN4)</f>
        <v/>
      </c>
      <c r="J14" s="167" t="str">
        <f>IF(ISBLANK(DaqBook_RAW_Data!AO4),"",DaqBook_RAW_Data!AO4)</f>
        <v/>
      </c>
      <c r="K14" s="167" t="str">
        <f>IF(ISBLANK(DaqBook_RAW_Data!AP4),"",DaqBook_RAW_Data!AP4)</f>
        <v/>
      </c>
      <c r="L14" s="167" t="str">
        <f>IF(ISBLANK(DaqBook_RAW_Data!AQ4),"",DaqBook_RAW_Data!AQ4)</f>
        <v/>
      </c>
      <c r="M14" s="167" t="str">
        <f>IF(ISBLANK(DaqBook_RAW_Data!AR4),"",DaqBook_RAW_Data!AR4)</f>
        <v/>
      </c>
      <c r="N14" s="167" t="str">
        <f>IF(ISBLANK(DaqBook_RAW_Data!AS4),"",DaqBook_RAW_Data!AS4)</f>
        <v/>
      </c>
      <c r="O14" s="167"/>
      <c r="P14" s="167"/>
    </row>
    <row r="15" spans="1:16" s="96" customFormat="1" x14ac:dyDescent="0.2">
      <c r="A15" s="145" t="e">
        <f t="shared" ref="A15:A78" si="0">HOUR(B15)&amp;":"&amp;MINUTE(B15)</f>
        <v>#VALUE!</v>
      </c>
      <c r="B15" s="144" t="str">
        <f>IF(ISBLANK(DaqBook_RAW_Data!AG5),IF(DaqBook_RAW_Data!A5="","",TIMEVALUE(DaqBook_RAW_Data!A5)),TIMEVALUE(DaqBook_RAW_Data!AG5))</f>
        <v/>
      </c>
      <c r="C15" s="167" t="str">
        <f>IF(ISBLANK(DaqBook_RAW_Data!AH5),"",DaqBook_RAW_Data!AH5)</f>
        <v/>
      </c>
      <c r="D15" s="167" t="str">
        <f>IF(ISBLANK(DaqBook_RAW_Data!AI5),"",DaqBook_RAW_Data!AI5)</f>
        <v/>
      </c>
      <c r="E15" s="167" t="str">
        <f>IF(ISBLANK(DaqBook_RAW_Data!AJ5),"",DaqBook_RAW_Data!AJ5)</f>
        <v/>
      </c>
      <c r="F15" s="167" t="str">
        <f>IF(ISBLANK(DaqBook_RAW_Data!AK5),"",DaqBook_RAW_Data!AK5)</f>
        <v/>
      </c>
      <c r="G15" s="167" t="str">
        <f>IF(ISBLANK(DaqBook_RAW_Data!AL5),"",DaqBook_RAW_Data!AL5)</f>
        <v/>
      </c>
      <c r="H15" s="167" t="str">
        <f>IF(ISBLANK(DaqBook_RAW_Data!AM5),"",DaqBook_RAW_Data!AM5)</f>
        <v/>
      </c>
      <c r="I15" s="167" t="str">
        <f>IF(ISBLANK(DaqBook_RAW_Data!AN5),"",DaqBook_RAW_Data!AN5)</f>
        <v/>
      </c>
      <c r="J15" s="167" t="str">
        <f>IF(ISBLANK(DaqBook_RAW_Data!AO5),"",DaqBook_RAW_Data!AO5)</f>
        <v/>
      </c>
      <c r="K15" s="167" t="str">
        <f>IF(ISBLANK(DaqBook_RAW_Data!AP5),"",DaqBook_RAW_Data!AP5)</f>
        <v/>
      </c>
      <c r="L15" s="167" t="str">
        <f>IF(ISBLANK(DaqBook_RAW_Data!AQ5),"",DaqBook_RAW_Data!AQ5)</f>
        <v/>
      </c>
      <c r="M15" s="167" t="str">
        <f>IF(ISBLANK(DaqBook_RAW_Data!AR5),"",DaqBook_RAW_Data!AR5)</f>
        <v/>
      </c>
      <c r="N15" s="167" t="str">
        <f>IF(ISBLANK(DaqBook_RAW_Data!AS5),"",DaqBook_RAW_Data!AS5)</f>
        <v/>
      </c>
      <c r="O15" s="167"/>
      <c r="P15" s="167"/>
    </row>
    <row r="16" spans="1:16" s="96" customFormat="1" x14ac:dyDescent="0.2">
      <c r="A16" s="145" t="e">
        <f t="shared" si="0"/>
        <v>#VALUE!</v>
      </c>
      <c r="B16" s="144" t="str">
        <f>IF(ISBLANK(DaqBook_RAW_Data!AG6),IF(DaqBook_RAW_Data!A6="","",TIMEVALUE(DaqBook_RAW_Data!A6)),TIMEVALUE(DaqBook_RAW_Data!AG6))</f>
        <v/>
      </c>
      <c r="C16" s="167" t="str">
        <f>IF(ISBLANK(DaqBook_RAW_Data!AH6),"",DaqBook_RAW_Data!AH6)</f>
        <v/>
      </c>
      <c r="D16" s="167" t="str">
        <f>IF(ISBLANK(DaqBook_RAW_Data!AI6),"",DaqBook_RAW_Data!AI6)</f>
        <v/>
      </c>
      <c r="E16" s="167" t="str">
        <f>IF(ISBLANK(DaqBook_RAW_Data!AJ6),"",DaqBook_RAW_Data!AJ6)</f>
        <v/>
      </c>
      <c r="F16" s="167" t="str">
        <f>IF(ISBLANK(DaqBook_RAW_Data!AK6),"",DaqBook_RAW_Data!AK6)</f>
        <v/>
      </c>
      <c r="G16" s="167" t="str">
        <f>IF(ISBLANK(DaqBook_RAW_Data!AL6),"",DaqBook_RAW_Data!AL6)</f>
        <v/>
      </c>
      <c r="H16" s="167" t="str">
        <f>IF(ISBLANK(DaqBook_RAW_Data!AM6),"",DaqBook_RAW_Data!AM6)</f>
        <v/>
      </c>
      <c r="I16" s="167" t="str">
        <f>IF(ISBLANK(DaqBook_RAW_Data!AN6),"",DaqBook_RAW_Data!AN6)</f>
        <v/>
      </c>
      <c r="J16" s="167" t="str">
        <f>IF(ISBLANK(DaqBook_RAW_Data!AO6),"",DaqBook_RAW_Data!AO6)</f>
        <v/>
      </c>
      <c r="K16" s="167" t="str">
        <f>IF(ISBLANK(DaqBook_RAW_Data!AP6),"",DaqBook_RAW_Data!AP6)</f>
        <v/>
      </c>
      <c r="L16" s="167" t="str">
        <f>IF(ISBLANK(DaqBook_RAW_Data!AQ6),"",DaqBook_RAW_Data!AQ6)</f>
        <v/>
      </c>
      <c r="M16" s="167" t="str">
        <f>IF(ISBLANK(DaqBook_RAW_Data!AR6),"",DaqBook_RAW_Data!AR6)</f>
        <v/>
      </c>
      <c r="N16" s="167" t="str">
        <f>IF(ISBLANK(DaqBook_RAW_Data!AS6),"",DaqBook_RAW_Data!AS6)</f>
        <v/>
      </c>
      <c r="O16" s="167"/>
      <c r="P16" s="167"/>
    </row>
    <row r="17" spans="1:17" s="96" customFormat="1" x14ac:dyDescent="0.2">
      <c r="A17" s="145" t="e">
        <f t="shared" si="0"/>
        <v>#VALUE!</v>
      </c>
      <c r="B17" s="144" t="str">
        <f>IF(ISBLANK(DaqBook_RAW_Data!AG7),IF(DaqBook_RAW_Data!A7="","",TIMEVALUE(DaqBook_RAW_Data!A7)),TIMEVALUE(DaqBook_RAW_Data!AG7))</f>
        <v/>
      </c>
      <c r="C17" s="167" t="str">
        <f>IF(ISBLANK(DaqBook_RAW_Data!AH7),"",DaqBook_RAW_Data!AH7)</f>
        <v/>
      </c>
      <c r="D17" s="167" t="str">
        <f>IF(ISBLANK(DaqBook_RAW_Data!AI7),"",DaqBook_RAW_Data!AI7)</f>
        <v/>
      </c>
      <c r="E17" s="167" t="str">
        <f>IF(ISBLANK(DaqBook_RAW_Data!AJ7),"",DaqBook_RAW_Data!AJ7)</f>
        <v/>
      </c>
      <c r="F17" s="167" t="str">
        <f>IF(ISBLANK(DaqBook_RAW_Data!AK7),"",DaqBook_RAW_Data!AK7)</f>
        <v/>
      </c>
      <c r="G17" s="167" t="str">
        <f>IF(ISBLANK(DaqBook_RAW_Data!AL7),"",DaqBook_RAW_Data!AL7)</f>
        <v/>
      </c>
      <c r="H17" s="167" t="str">
        <f>IF(ISBLANK(DaqBook_RAW_Data!AM7),"",DaqBook_RAW_Data!AM7)</f>
        <v/>
      </c>
      <c r="I17" s="167" t="str">
        <f>IF(ISBLANK(DaqBook_RAW_Data!AN7),"",DaqBook_RAW_Data!AN7)</f>
        <v/>
      </c>
      <c r="J17" s="167" t="str">
        <f>IF(ISBLANK(DaqBook_RAW_Data!AO7),"",DaqBook_RAW_Data!AO7)</f>
        <v/>
      </c>
      <c r="K17" s="167" t="str">
        <f>IF(ISBLANK(DaqBook_RAW_Data!AP7),"",DaqBook_RAW_Data!AP7)</f>
        <v/>
      </c>
      <c r="L17" s="167" t="str">
        <f>IF(ISBLANK(DaqBook_RAW_Data!AQ7),"",DaqBook_RAW_Data!AQ7)</f>
        <v/>
      </c>
      <c r="M17" s="167" t="str">
        <f>IF(ISBLANK(DaqBook_RAW_Data!AR7),"",DaqBook_RAW_Data!AR7)</f>
        <v/>
      </c>
      <c r="N17" s="167" t="str">
        <f>IF(ISBLANK(DaqBook_RAW_Data!AS7),"",DaqBook_RAW_Data!AS7)</f>
        <v/>
      </c>
      <c r="O17" s="167"/>
      <c r="P17" s="167"/>
    </row>
    <row r="18" spans="1:17" s="96" customFormat="1" x14ac:dyDescent="0.2">
      <c r="A18" s="145" t="e">
        <f t="shared" si="0"/>
        <v>#VALUE!</v>
      </c>
      <c r="B18" s="144" t="str">
        <f>IF(ISBLANK(DaqBook_RAW_Data!AG8),IF(DaqBook_RAW_Data!A8="","",TIMEVALUE(DaqBook_RAW_Data!A8)),TIMEVALUE(DaqBook_RAW_Data!AG8))</f>
        <v/>
      </c>
      <c r="C18" s="167" t="str">
        <f>IF(ISBLANK(DaqBook_RAW_Data!AH8),"",DaqBook_RAW_Data!AH8)</f>
        <v/>
      </c>
      <c r="D18" s="167" t="str">
        <f>IF(ISBLANK(DaqBook_RAW_Data!AI8),"",DaqBook_RAW_Data!AI8)</f>
        <v/>
      </c>
      <c r="E18" s="167" t="str">
        <f>IF(ISBLANK(DaqBook_RAW_Data!AJ8),"",DaqBook_RAW_Data!AJ8)</f>
        <v/>
      </c>
      <c r="F18" s="167" t="str">
        <f>IF(ISBLANK(DaqBook_RAW_Data!AK8),"",DaqBook_RAW_Data!AK8)</f>
        <v/>
      </c>
      <c r="G18" s="167" t="str">
        <f>IF(ISBLANK(DaqBook_RAW_Data!AL8),"",DaqBook_RAW_Data!AL8)</f>
        <v/>
      </c>
      <c r="H18" s="167" t="str">
        <f>IF(ISBLANK(DaqBook_RAW_Data!AM8),"",DaqBook_RAW_Data!AM8)</f>
        <v/>
      </c>
      <c r="I18" s="167" t="str">
        <f>IF(ISBLANK(DaqBook_RAW_Data!AN8),"",DaqBook_RAW_Data!AN8)</f>
        <v/>
      </c>
      <c r="J18" s="167" t="str">
        <f>IF(ISBLANK(DaqBook_RAW_Data!AO8),"",DaqBook_RAW_Data!AO8)</f>
        <v/>
      </c>
      <c r="K18" s="167" t="str">
        <f>IF(ISBLANK(DaqBook_RAW_Data!AP8),"",DaqBook_RAW_Data!AP8)</f>
        <v/>
      </c>
      <c r="L18" s="167" t="str">
        <f>IF(ISBLANK(DaqBook_RAW_Data!AQ8),"",DaqBook_RAW_Data!AQ8)</f>
        <v/>
      </c>
      <c r="M18" s="167" t="str">
        <f>IF(ISBLANK(DaqBook_RAW_Data!AR8),"",DaqBook_RAW_Data!AR8)</f>
        <v/>
      </c>
      <c r="N18" s="167" t="str">
        <f>IF(ISBLANK(DaqBook_RAW_Data!AS8),"",DaqBook_RAW_Data!AS8)</f>
        <v/>
      </c>
      <c r="O18" s="167"/>
      <c r="P18" s="167"/>
    </row>
    <row r="19" spans="1:17" s="96" customFormat="1" x14ac:dyDescent="0.2">
      <c r="A19" s="145" t="e">
        <f t="shared" si="0"/>
        <v>#VALUE!</v>
      </c>
      <c r="B19" s="144" t="str">
        <f>IF(ISBLANK(DaqBook_RAW_Data!AG9),IF(DaqBook_RAW_Data!A9="","",TIMEVALUE(DaqBook_RAW_Data!A9)),TIMEVALUE(DaqBook_RAW_Data!AG9))</f>
        <v/>
      </c>
      <c r="C19" s="167" t="str">
        <f>IF(ISBLANK(DaqBook_RAW_Data!AH9),"",DaqBook_RAW_Data!AH9)</f>
        <v/>
      </c>
      <c r="D19" s="167" t="str">
        <f>IF(ISBLANK(DaqBook_RAW_Data!AI9),"",DaqBook_RAW_Data!AI9)</f>
        <v/>
      </c>
      <c r="E19" s="167" t="str">
        <f>IF(ISBLANK(DaqBook_RAW_Data!AJ9),"",DaqBook_RAW_Data!AJ9)</f>
        <v/>
      </c>
      <c r="F19" s="167" t="str">
        <f>IF(ISBLANK(DaqBook_RAW_Data!AK9),"",DaqBook_RAW_Data!AK9)</f>
        <v/>
      </c>
      <c r="G19" s="167" t="str">
        <f>IF(ISBLANK(DaqBook_RAW_Data!AL9),"",DaqBook_RAW_Data!AL9)</f>
        <v/>
      </c>
      <c r="H19" s="167" t="str">
        <f>IF(ISBLANK(DaqBook_RAW_Data!AM9),"",DaqBook_RAW_Data!AM9)</f>
        <v/>
      </c>
      <c r="I19" s="167" t="str">
        <f>IF(ISBLANK(DaqBook_RAW_Data!AN9),"",DaqBook_RAW_Data!AN9)</f>
        <v/>
      </c>
      <c r="J19" s="167" t="str">
        <f>IF(ISBLANK(DaqBook_RAW_Data!AO9),"",DaqBook_RAW_Data!AO9)</f>
        <v/>
      </c>
      <c r="K19" s="167" t="str">
        <f>IF(ISBLANK(DaqBook_RAW_Data!AP9),"",DaqBook_RAW_Data!AP9)</f>
        <v/>
      </c>
      <c r="L19" s="167" t="str">
        <f>IF(ISBLANK(DaqBook_RAW_Data!AQ9),"",DaqBook_RAW_Data!AQ9)</f>
        <v/>
      </c>
      <c r="M19" s="167" t="str">
        <f>IF(ISBLANK(DaqBook_RAW_Data!AR9),"",DaqBook_RAW_Data!AR9)</f>
        <v/>
      </c>
      <c r="N19" s="167" t="str">
        <f>IF(ISBLANK(DaqBook_RAW_Data!AS9),"",DaqBook_RAW_Data!AS9)</f>
        <v/>
      </c>
      <c r="O19" s="167"/>
      <c r="P19" s="167"/>
    </row>
    <row r="20" spans="1:17" s="96" customFormat="1" x14ac:dyDescent="0.2">
      <c r="A20" s="145" t="e">
        <f t="shared" si="0"/>
        <v>#VALUE!</v>
      </c>
      <c r="B20" s="144" t="str">
        <f>IF(ISBLANK(DaqBook_RAW_Data!AG10),IF(DaqBook_RAW_Data!A10="","",TIMEVALUE(DaqBook_RAW_Data!A10)),TIMEVALUE(DaqBook_RAW_Data!AG10))</f>
        <v/>
      </c>
      <c r="C20" s="167" t="str">
        <f>IF(ISBLANK(DaqBook_RAW_Data!AH10),"",DaqBook_RAW_Data!AH10)</f>
        <v/>
      </c>
      <c r="D20" s="167" t="str">
        <f>IF(ISBLANK(DaqBook_RAW_Data!AI10),"",DaqBook_RAW_Data!AI10)</f>
        <v/>
      </c>
      <c r="E20" s="167" t="str">
        <f>IF(ISBLANK(DaqBook_RAW_Data!AJ10),"",DaqBook_RAW_Data!AJ10)</f>
        <v/>
      </c>
      <c r="F20" s="167" t="str">
        <f>IF(ISBLANK(DaqBook_RAW_Data!AK10),"",DaqBook_RAW_Data!AK10)</f>
        <v/>
      </c>
      <c r="G20" s="167" t="str">
        <f>IF(ISBLANK(DaqBook_RAW_Data!AL10),"",DaqBook_RAW_Data!AL10)</f>
        <v/>
      </c>
      <c r="H20" s="167" t="str">
        <f>IF(ISBLANK(DaqBook_RAW_Data!AM10),"",DaqBook_RAW_Data!AM10)</f>
        <v/>
      </c>
      <c r="I20" s="167" t="str">
        <f>IF(ISBLANK(DaqBook_RAW_Data!AN10),"",DaqBook_RAW_Data!AN10)</f>
        <v/>
      </c>
      <c r="J20" s="167" t="str">
        <f>IF(ISBLANK(DaqBook_RAW_Data!AO10),"",DaqBook_RAW_Data!AO10)</f>
        <v/>
      </c>
      <c r="K20" s="167" t="str">
        <f>IF(ISBLANK(DaqBook_RAW_Data!AP10),"",DaqBook_RAW_Data!AP10)</f>
        <v/>
      </c>
      <c r="L20" s="167" t="str">
        <f>IF(ISBLANK(DaqBook_RAW_Data!AQ10),"",DaqBook_RAW_Data!AQ10)</f>
        <v/>
      </c>
      <c r="M20" s="167" t="str">
        <f>IF(ISBLANK(DaqBook_RAW_Data!AR10),"",DaqBook_RAW_Data!AR10)</f>
        <v/>
      </c>
      <c r="N20" s="167" t="str">
        <f>IF(ISBLANK(DaqBook_RAW_Data!AS10),"",DaqBook_RAW_Data!AS10)</f>
        <v/>
      </c>
      <c r="O20" s="167"/>
      <c r="P20" s="167"/>
    </row>
    <row r="21" spans="1:17" s="96" customFormat="1" x14ac:dyDescent="0.2">
      <c r="A21" s="145" t="e">
        <f t="shared" si="0"/>
        <v>#VALUE!</v>
      </c>
      <c r="B21" s="144" t="str">
        <f>IF(ISBLANK(DaqBook_RAW_Data!AG11),IF(DaqBook_RAW_Data!A11="","",TIMEVALUE(DaqBook_RAW_Data!A11)),TIMEVALUE(DaqBook_RAW_Data!AG11))</f>
        <v/>
      </c>
      <c r="C21" s="167" t="str">
        <f>IF(ISBLANK(DaqBook_RAW_Data!AH11),"",DaqBook_RAW_Data!AH11)</f>
        <v/>
      </c>
      <c r="D21" s="167" t="str">
        <f>IF(ISBLANK(DaqBook_RAW_Data!AI11),"",DaqBook_RAW_Data!AI11)</f>
        <v/>
      </c>
      <c r="E21" s="167" t="str">
        <f>IF(ISBLANK(DaqBook_RAW_Data!AJ11),"",DaqBook_RAW_Data!AJ11)</f>
        <v/>
      </c>
      <c r="F21" s="167" t="str">
        <f>IF(ISBLANK(DaqBook_RAW_Data!AK11),"",DaqBook_RAW_Data!AK11)</f>
        <v/>
      </c>
      <c r="G21" s="167" t="str">
        <f>IF(ISBLANK(DaqBook_RAW_Data!AL11),"",DaqBook_RAW_Data!AL11)</f>
        <v/>
      </c>
      <c r="H21" s="167" t="str">
        <f>IF(ISBLANK(DaqBook_RAW_Data!AM11),"",DaqBook_RAW_Data!AM11)</f>
        <v/>
      </c>
      <c r="I21" s="167" t="str">
        <f>IF(ISBLANK(DaqBook_RAW_Data!AN11),"",DaqBook_RAW_Data!AN11)</f>
        <v/>
      </c>
      <c r="J21" s="167" t="str">
        <f>IF(ISBLANK(DaqBook_RAW_Data!AO11),"",DaqBook_RAW_Data!AO11)</f>
        <v/>
      </c>
      <c r="K21" s="167" t="str">
        <f>IF(ISBLANK(DaqBook_RAW_Data!AP11),"",DaqBook_RAW_Data!AP11)</f>
        <v/>
      </c>
      <c r="L21" s="167" t="str">
        <f>IF(ISBLANK(DaqBook_RAW_Data!AQ11),"",DaqBook_RAW_Data!AQ11)</f>
        <v/>
      </c>
      <c r="M21" s="167" t="str">
        <f>IF(ISBLANK(DaqBook_RAW_Data!AR11),"",DaqBook_RAW_Data!AR11)</f>
        <v/>
      </c>
      <c r="N21" s="167" t="str">
        <f>IF(ISBLANK(DaqBook_RAW_Data!AS11),"",DaqBook_RAW_Data!AS11)</f>
        <v/>
      </c>
      <c r="O21" s="167"/>
      <c r="P21" s="167"/>
    </row>
    <row r="22" spans="1:17" s="96" customFormat="1" x14ac:dyDescent="0.2">
      <c r="A22" s="145" t="e">
        <f t="shared" si="0"/>
        <v>#VALUE!</v>
      </c>
      <c r="B22" s="144" t="str">
        <f>IF(ISBLANK(DaqBook_RAW_Data!AG12),IF(DaqBook_RAW_Data!A12="","",TIMEVALUE(DaqBook_RAW_Data!A12)),TIMEVALUE(DaqBook_RAW_Data!AG12))</f>
        <v/>
      </c>
      <c r="C22" s="167" t="str">
        <f>IF(ISBLANK(DaqBook_RAW_Data!AH12),"",DaqBook_RAW_Data!AH12)</f>
        <v/>
      </c>
      <c r="D22" s="167" t="str">
        <f>IF(ISBLANK(DaqBook_RAW_Data!AI12),"",DaqBook_RAW_Data!AI12)</f>
        <v/>
      </c>
      <c r="E22" s="167" t="str">
        <f>IF(ISBLANK(DaqBook_RAW_Data!AJ12),"",DaqBook_RAW_Data!AJ12)</f>
        <v/>
      </c>
      <c r="F22" s="167" t="str">
        <f>IF(ISBLANK(DaqBook_RAW_Data!AK12),"",DaqBook_RAW_Data!AK12)</f>
        <v/>
      </c>
      <c r="G22" s="167" t="str">
        <f>IF(ISBLANK(DaqBook_RAW_Data!AL12),"",DaqBook_RAW_Data!AL12)</f>
        <v/>
      </c>
      <c r="H22" s="167" t="str">
        <f>IF(ISBLANK(DaqBook_RAW_Data!AM12),"",DaqBook_RAW_Data!AM12)</f>
        <v/>
      </c>
      <c r="I22" s="167" t="str">
        <f>IF(ISBLANK(DaqBook_RAW_Data!AN12),"",DaqBook_RAW_Data!AN12)</f>
        <v/>
      </c>
      <c r="J22" s="167" t="str">
        <f>IF(ISBLANK(DaqBook_RAW_Data!AO12),"",DaqBook_RAW_Data!AO12)</f>
        <v/>
      </c>
      <c r="K22" s="167" t="str">
        <f>IF(ISBLANK(DaqBook_RAW_Data!AP12),"",DaqBook_RAW_Data!AP12)</f>
        <v/>
      </c>
      <c r="L22" s="167" t="str">
        <f>IF(ISBLANK(DaqBook_RAW_Data!AQ12),"",DaqBook_RAW_Data!AQ12)</f>
        <v/>
      </c>
      <c r="M22" s="167" t="str">
        <f>IF(ISBLANK(DaqBook_RAW_Data!AR12),"",DaqBook_RAW_Data!AR12)</f>
        <v/>
      </c>
      <c r="N22" s="167" t="str">
        <f>IF(ISBLANK(DaqBook_RAW_Data!AS12),"",DaqBook_RAW_Data!AS12)</f>
        <v/>
      </c>
      <c r="O22" s="167"/>
      <c r="P22" s="167"/>
    </row>
    <row r="23" spans="1:17" s="96" customFormat="1" x14ac:dyDescent="0.2">
      <c r="A23" s="145" t="e">
        <f t="shared" si="0"/>
        <v>#VALUE!</v>
      </c>
      <c r="B23" s="144" t="str">
        <f>IF(ISBLANK(DaqBook_RAW_Data!AG13),IF(DaqBook_RAW_Data!A13="","",TIMEVALUE(DaqBook_RAW_Data!A13)),TIMEVALUE(DaqBook_RAW_Data!AG13))</f>
        <v/>
      </c>
      <c r="C23" s="167" t="str">
        <f>IF(ISBLANK(DaqBook_RAW_Data!AH13),"",DaqBook_RAW_Data!AH13)</f>
        <v/>
      </c>
      <c r="D23" s="167" t="str">
        <f>IF(ISBLANK(DaqBook_RAW_Data!AI13),"",DaqBook_RAW_Data!AI13)</f>
        <v/>
      </c>
      <c r="E23" s="167" t="str">
        <f>IF(ISBLANK(DaqBook_RAW_Data!AJ13),"",DaqBook_RAW_Data!AJ13)</f>
        <v/>
      </c>
      <c r="F23" s="167" t="str">
        <f>IF(ISBLANK(DaqBook_RAW_Data!AK13),"",DaqBook_RAW_Data!AK13)</f>
        <v/>
      </c>
      <c r="G23" s="167" t="str">
        <f>IF(ISBLANK(DaqBook_RAW_Data!AL13),"",DaqBook_RAW_Data!AL13)</f>
        <v/>
      </c>
      <c r="H23" s="167" t="str">
        <f>IF(ISBLANK(DaqBook_RAW_Data!AM13),"",DaqBook_RAW_Data!AM13)</f>
        <v/>
      </c>
      <c r="I23" s="167" t="str">
        <f>IF(ISBLANK(DaqBook_RAW_Data!AN13),"",DaqBook_RAW_Data!AN13)</f>
        <v/>
      </c>
      <c r="J23" s="167" t="str">
        <f>IF(ISBLANK(DaqBook_RAW_Data!AO13),"",DaqBook_RAW_Data!AO13)</f>
        <v/>
      </c>
      <c r="K23" s="167" t="str">
        <f>IF(ISBLANK(DaqBook_RAW_Data!AP13),"",DaqBook_RAW_Data!AP13)</f>
        <v/>
      </c>
      <c r="L23" s="167" t="str">
        <f>IF(ISBLANK(DaqBook_RAW_Data!AQ13),"",DaqBook_RAW_Data!AQ13)</f>
        <v/>
      </c>
      <c r="M23" s="167" t="str">
        <f>IF(ISBLANK(DaqBook_RAW_Data!AR13),"",DaqBook_RAW_Data!AR13)</f>
        <v/>
      </c>
      <c r="N23" s="167" t="str">
        <f>IF(ISBLANK(DaqBook_RAW_Data!AS13),"",DaqBook_RAW_Data!AS13)</f>
        <v/>
      </c>
      <c r="O23" s="167"/>
      <c r="P23" s="167"/>
    </row>
    <row r="24" spans="1:17" s="96" customFormat="1" x14ac:dyDescent="0.2">
      <c r="A24" s="145" t="e">
        <f t="shared" si="0"/>
        <v>#VALUE!</v>
      </c>
      <c r="B24" s="144" t="str">
        <f>IF(ISBLANK(DaqBook_RAW_Data!AG14),IF(DaqBook_RAW_Data!A14="","",TIMEVALUE(DaqBook_RAW_Data!A14)),TIMEVALUE(DaqBook_RAW_Data!AG14))</f>
        <v/>
      </c>
      <c r="C24" s="167" t="str">
        <f>IF(ISBLANK(DaqBook_RAW_Data!AH14),"",DaqBook_RAW_Data!AH14)</f>
        <v/>
      </c>
      <c r="D24" s="167" t="str">
        <f>IF(ISBLANK(DaqBook_RAW_Data!AI14),"",DaqBook_RAW_Data!AI14)</f>
        <v/>
      </c>
      <c r="E24" s="167" t="str">
        <f>IF(ISBLANK(DaqBook_RAW_Data!AJ14),"",DaqBook_RAW_Data!AJ14)</f>
        <v/>
      </c>
      <c r="F24" s="167" t="str">
        <f>IF(ISBLANK(DaqBook_RAW_Data!AK14),"",DaqBook_RAW_Data!AK14)</f>
        <v/>
      </c>
      <c r="G24" s="167" t="str">
        <f>IF(ISBLANK(DaqBook_RAW_Data!AL14),"",DaqBook_RAW_Data!AL14)</f>
        <v/>
      </c>
      <c r="H24" s="167" t="str">
        <f>IF(ISBLANK(DaqBook_RAW_Data!AM14),"",DaqBook_RAW_Data!AM14)</f>
        <v/>
      </c>
      <c r="I24" s="167" t="str">
        <f>IF(ISBLANK(DaqBook_RAW_Data!AN14),"",DaqBook_RAW_Data!AN14)</f>
        <v/>
      </c>
      <c r="J24" s="167" t="str">
        <f>IF(ISBLANK(DaqBook_RAW_Data!AO14),"",DaqBook_RAW_Data!AO14)</f>
        <v/>
      </c>
      <c r="K24" s="167" t="str">
        <f>IF(ISBLANK(DaqBook_RAW_Data!AP14),"",DaqBook_RAW_Data!AP14)</f>
        <v/>
      </c>
      <c r="L24" s="167" t="str">
        <f>IF(ISBLANK(DaqBook_RAW_Data!AQ14),"",DaqBook_RAW_Data!AQ14)</f>
        <v/>
      </c>
      <c r="M24" s="167" t="str">
        <f>IF(ISBLANK(DaqBook_RAW_Data!AR14),"",DaqBook_RAW_Data!AR14)</f>
        <v/>
      </c>
      <c r="N24" s="167" t="str">
        <f>IF(ISBLANK(DaqBook_RAW_Data!AS14),"",DaqBook_RAW_Data!AS14)</f>
        <v/>
      </c>
      <c r="O24" s="167"/>
      <c r="P24" s="167"/>
    </row>
    <row r="25" spans="1:17" s="96" customFormat="1" x14ac:dyDescent="0.2">
      <c r="A25" s="145" t="e">
        <f t="shared" si="0"/>
        <v>#VALUE!</v>
      </c>
      <c r="B25" s="144" t="str">
        <f>IF(ISBLANK(DaqBook_RAW_Data!AG15),IF(DaqBook_RAW_Data!A15="","",TIMEVALUE(DaqBook_RAW_Data!A15)),TIMEVALUE(DaqBook_RAW_Data!AG15))</f>
        <v/>
      </c>
      <c r="C25" s="167" t="str">
        <f>IF(ISBLANK(DaqBook_RAW_Data!AH15),"",DaqBook_RAW_Data!AH15)</f>
        <v/>
      </c>
      <c r="D25" s="167" t="str">
        <f>IF(ISBLANK(DaqBook_RAW_Data!AI15),"",DaqBook_RAW_Data!AI15)</f>
        <v/>
      </c>
      <c r="E25" s="167" t="str">
        <f>IF(ISBLANK(DaqBook_RAW_Data!AJ15),"",DaqBook_RAW_Data!AJ15)</f>
        <v/>
      </c>
      <c r="F25" s="167" t="str">
        <f>IF(ISBLANK(DaqBook_RAW_Data!AK15),"",DaqBook_RAW_Data!AK15)</f>
        <v/>
      </c>
      <c r="G25" s="167" t="str">
        <f>IF(ISBLANK(DaqBook_RAW_Data!AL15),"",DaqBook_RAW_Data!AL15)</f>
        <v/>
      </c>
      <c r="H25" s="167" t="str">
        <f>IF(ISBLANK(DaqBook_RAW_Data!AM15),"",DaqBook_RAW_Data!AM15)</f>
        <v/>
      </c>
      <c r="I25" s="167" t="str">
        <f>IF(ISBLANK(DaqBook_RAW_Data!AN15),"",DaqBook_RAW_Data!AN15)</f>
        <v/>
      </c>
      <c r="J25" s="167" t="str">
        <f>IF(ISBLANK(DaqBook_RAW_Data!AO15),"",DaqBook_RAW_Data!AO15)</f>
        <v/>
      </c>
      <c r="K25" s="167" t="str">
        <f>IF(ISBLANK(DaqBook_RAW_Data!AP15),"",DaqBook_RAW_Data!AP15)</f>
        <v/>
      </c>
      <c r="L25" s="167" t="str">
        <f>IF(ISBLANK(DaqBook_RAW_Data!AQ15),"",DaqBook_RAW_Data!AQ15)</f>
        <v/>
      </c>
      <c r="M25" s="167" t="str">
        <f>IF(ISBLANK(DaqBook_RAW_Data!AR15),"",DaqBook_RAW_Data!AR15)</f>
        <v/>
      </c>
      <c r="N25" s="167" t="str">
        <f>IF(ISBLANK(DaqBook_RAW_Data!AS15),"",DaqBook_RAW_Data!AS15)</f>
        <v/>
      </c>
      <c r="O25" s="167"/>
      <c r="P25" s="167"/>
    </row>
    <row r="26" spans="1:17" s="96" customFormat="1" x14ac:dyDescent="0.2">
      <c r="A26" s="145" t="e">
        <f t="shared" si="0"/>
        <v>#VALUE!</v>
      </c>
      <c r="B26" s="144" t="str">
        <f>IF(ISBLANK(DaqBook_RAW_Data!AG16),IF(DaqBook_RAW_Data!A16="","",TIMEVALUE(DaqBook_RAW_Data!A16)),TIMEVALUE(DaqBook_RAW_Data!AG16))</f>
        <v/>
      </c>
      <c r="C26" s="167" t="str">
        <f>IF(ISBLANK(DaqBook_RAW_Data!AH16),"",DaqBook_RAW_Data!AH16)</f>
        <v/>
      </c>
      <c r="D26" s="167" t="str">
        <f>IF(ISBLANK(DaqBook_RAW_Data!AI16),"",DaqBook_RAW_Data!AI16)</f>
        <v/>
      </c>
      <c r="E26" s="167" t="str">
        <f>IF(ISBLANK(DaqBook_RAW_Data!AJ16),"",DaqBook_RAW_Data!AJ16)</f>
        <v/>
      </c>
      <c r="F26" s="167" t="str">
        <f>IF(ISBLANK(DaqBook_RAW_Data!AK16),"",DaqBook_RAW_Data!AK16)</f>
        <v/>
      </c>
      <c r="G26" s="167" t="str">
        <f>IF(ISBLANK(DaqBook_RAW_Data!AL16),"",DaqBook_RAW_Data!AL16)</f>
        <v/>
      </c>
      <c r="H26" s="167" t="str">
        <f>IF(ISBLANK(DaqBook_RAW_Data!AM16),"",DaqBook_RAW_Data!AM16)</f>
        <v/>
      </c>
      <c r="I26" s="167" t="str">
        <f>IF(ISBLANK(DaqBook_RAW_Data!AN16),"",DaqBook_RAW_Data!AN16)</f>
        <v/>
      </c>
      <c r="J26" s="167" t="str">
        <f>IF(ISBLANK(DaqBook_RAW_Data!AO16),"",DaqBook_RAW_Data!AO16)</f>
        <v/>
      </c>
      <c r="K26" s="167" t="str">
        <f>IF(ISBLANK(DaqBook_RAW_Data!AP16),"",DaqBook_RAW_Data!AP16)</f>
        <v/>
      </c>
      <c r="L26" s="167" t="str">
        <f>IF(ISBLANK(DaqBook_RAW_Data!AQ16),"",DaqBook_RAW_Data!AQ16)</f>
        <v/>
      </c>
      <c r="M26" s="167" t="str">
        <f>IF(ISBLANK(DaqBook_RAW_Data!AR16),"",DaqBook_RAW_Data!AR16)</f>
        <v/>
      </c>
      <c r="N26" s="167" t="str">
        <f>IF(ISBLANK(DaqBook_RAW_Data!AS16),"",DaqBook_RAW_Data!AS16)</f>
        <v/>
      </c>
      <c r="O26" s="167"/>
      <c r="P26" s="167"/>
    </row>
    <row r="27" spans="1:17" s="96" customFormat="1" x14ac:dyDescent="0.2">
      <c r="A27" s="145" t="e">
        <f t="shared" si="0"/>
        <v>#VALUE!</v>
      </c>
      <c r="B27" s="144" t="str">
        <f>IF(ISBLANK(DaqBook_RAW_Data!AG17),IF(DaqBook_RAW_Data!A17="","",TIMEVALUE(DaqBook_RAW_Data!A17)),TIMEVALUE(DaqBook_RAW_Data!AG17))</f>
        <v/>
      </c>
      <c r="C27" s="167" t="str">
        <f>IF(ISBLANK(DaqBook_RAW_Data!AH17),"",DaqBook_RAW_Data!AH17)</f>
        <v/>
      </c>
      <c r="D27" s="167" t="str">
        <f>IF(ISBLANK(DaqBook_RAW_Data!AI17),"",DaqBook_RAW_Data!AI17)</f>
        <v/>
      </c>
      <c r="E27" s="167" t="str">
        <f>IF(ISBLANK(DaqBook_RAW_Data!AJ17),"",DaqBook_RAW_Data!AJ17)</f>
        <v/>
      </c>
      <c r="F27" s="167" t="str">
        <f>IF(ISBLANK(DaqBook_RAW_Data!AK17),"",DaqBook_RAW_Data!AK17)</f>
        <v/>
      </c>
      <c r="G27" s="167" t="str">
        <f>IF(ISBLANK(DaqBook_RAW_Data!AL17),"",DaqBook_RAW_Data!AL17)</f>
        <v/>
      </c>
      <c r="H27" s="167" t="str">
        <f>IF(ISBLANK(DaqBook_RAW_Data!AM17),"",DaqBook_RAW_Data!AM17)</f>
        <v/>
      </c>
      <c r="I27" s="167" t="str">
        <f>IF(ISBLANK(DaqBook_RAW_Data!AN17),"",DaqBook_RAW_Data!AN17)</f>
        <v/>
      </c>
      <c r="J27" s="167" t="str">
        <f>IF(ISBLANK(DaqBook_RAW_Data!AO17),"",DaqBook_RAW_Data!AO17)</f>
        <v/>
      </c>
      <c r="K27" s="167" t="str">
        <f>IF(ISBLANK(DaqBook_RAW_Data!AP17),"",DaqBook_RAW_Data!AP17)</f>
        <v/>
      </c>
      <c r="L27" s="167" t="str">
        <f>IF(ISBLANK(DaqBook_RAW_Data!AQ17),"",DaqBook_RAW_Data!AQ17)</f>
        <v/>
      </c>
      <c r="M27" s="167" t="str">
        <f>IF(ISBLANK(DaqBook_RAW_Data!AR17),"",DaqBook_RAW_Data!AR17)</f>
        <v/>
      </c>
      <c r="N27" s="167" t="str">
        <f>IF(ISBLANK(DaqBook_RAW_Data!AS17),"",DaqBook_RAW_Data!AS17)</f>
        <v/>
      </c>
      <c r="O27" s="167"/>
      <c r="P27" s="167"/>
      <c r="Q27" s="146"/>
    </row>
    <row r="28" spans="1:17" s="96" customFormat="1" x14ac:dyDescent="0.2">
      <c r="A28" s="145" t="e">
        <f t="shared" si="0"/>
        <v>#VALUE!</v>
      </c>
      <c r="B28" s="144" t="str">
        <f>IF(ISBLANK(DaqBook_RAW_Data!AG18),IF(DaqBook_RAW_Data!A18="","",TIMEVALUE(DaqBook_RAW_Data!A18)),TIMEVALUE(DaqBook_RAW_Data!AG18))</f>
        <v/>
      </c>
      <c r="C28" s="167" t="str">
        <f>IF(ISBLANK(DaqBook_RAW_Data!AH18),"",DaqBook_RAW_Data!AH18)</f>
        <v/>
      </c>
      <c r="D28" s="167" t="str">
        <f>IF(ISBLANK(DaqBook_RAW_Data!AI18),"",DaqBook_RAW_Data!AI18)</f>
        <v/>
      </c>
      <c r="E28" s="167" t="str">
        <f>IF(ISBLANK(DaqBook_RAW_Data!AJ18),"",DaqBook_RAW_Data!AJ18)</f>
        <v/>
      </c>
      <c r="F28" s="167" t="str">
        <f>IF(ISBLANK(DaqBook_RAW_Data!AK18),"",DaqBook_RAW_Data!AK18)</f>
        <v/>
      </c>
      <c r="G28" s="167" t="str">
        <f>IF(ISBLANK(DaqBook_RAW_Data!AL18),"",DaqBook_RAW_Data!AL18)</f>
        <v/>
      </c>
      <c r="H28" s="167" t="str">
        <f>IF(ISBLANK(DaqBook_RAW_Data!AM18),"",DaqBook_RAW_Data!AM18)</f>
        <v/>
      </c>
      <c r="I28" s="167" t="str">
        <f>IF(ISBLANK(DaqBook_RAW_Data!AN18),"",DaqBook_RAW_Data!AN18)</f>
        <v/>
      </c>
      <c r="J28" s="167" t="str">
        <f>IF(ISBLANK(DaqBook_RAW_Data!AO18),"",DaqBook_RAW_Data!AO18)</f>
        <v/>
      </c>
      <c r="K28" s="167" t="str">
        <f>IF(ISBLANK(DaqBook_RAW_Data!AP18),"",DaqBook_RAW_Data!AP18)</f>
        <v/>
      </c>
      <c r="L28" s="167" t="str">
        <f>IF(ISBLANK(DaqBook_RAW_Data!AQ18),"",DaqBook_RAW_Data!AQ18)</f>
        <v/>
      </c>
      <c r="M28" s="167" t="str">
        <f>IF(ISBLANK(DaqBook_RAW_Data!AR18),"",DaqBook_RAW_Data!AR18)</f>
        <v/>
      </c>
      <c r="N28" s="167" t="str">
        <f>IF(ISBLANK(DaqBook_RAW_Data!AS18),"",DaqBook_RAW_Data!AS18)</f>
        <v/>
      </c>
      <c r="O28" s="167"/>
      <c r="P28" s="167"/>
    </row>
    <row r="29" spans="1:17" s="96" customFormat="1" x14ac:dyDescent="0.2">
      <c r="A29" s="145" t="e">
        <f t="shared" si="0"/>
        <v>#VALUE!</v>
      </c>
      <c r="B29" s="144" t="str">
        <f>IF(ISBLANK(DaqBook_RAW_Data!AG19),IF(DaqBook_RAW_Data!A19="","",TIMEVALUE(DaqBook_RAW_Data!A19)),TIMEVALUE(DaqBook_RAW_Data!AG19))</f>
        <v/>
      </c>
      <c r="C29" s="167" t="str">
        <f>IF(ISBLANK(DaqBook_RAW_Data!AH19),"",DaqBook_RAW_Data!AH19)</f>
        <v/>
      </c>
      <c r="D29" s="167" t="str">
        <f>IF(ISBLANK(DaqBook_RAW_Data!AI19),"",DaqBook_RAW_Data!AI19)</f>
        <v/>
      </c>
      <c r="E29" s="167" t="str">
        <f>IF(ISBLANK(DaqBook_RAW_Data!AJ19),"",DaqBook_RAW_Data!AJ19)</f>
        <v/>
      </c>
      <c r="F29" s="167" t="str">
        <f>IF(ISBLANK(DaqBook_RAW_Data!AK19),"",DaqBook_RAW_Data!AK19)</f>
        <v/>
      </c>
      <c r="G29" s="167" t="str">
        <f>IF(ISBLANK(DaqBook_RAW_Data!AL19),"",DaqBook_RAW_Data!AL19)</f>
        <v/>
      </c>
      <c r="H29" s="167" t="str">
        <f>IF(ISBLANK(DaqBook_RAW_Data!AM19),"",DaqBook_RAW_Data!AM19)</f>
        <v/>
      </c>
      <c r="I29" s="167" t="str">
        <f>IF(ISBLANK(DaqBook_RAW_Data!AN19),"",DaqBook_RAW_Data!AN19)</f>
        <v/>
      </c>
      <c r="J29" s="167" t="str">
        <f>IF(ISBLANK(DaqBook_RAW_Data!AO19),"",DaqBook_RAW_Data!AO19)</f>
        <v/>
      </c>
      <c r="K29" s="167" t="str">
        <f>IF(ISBLANK(DaqBook_RAW_Data!AP19),"",DaqBook_RAW_Data!AP19)</f>
        <v/>
      </c>
      <c r="L29" s="167" t="str">
        <f>IF(ISBLANK(DaqBook_RAW_Data!AQ19),"",DaqBook_RAW_Data!AQ19)</f>
        <v/>
      </c>
      <c r="M29" s="167" t="str">
        <f>IF(ISBLANK(DaqBook_RAW_Data!AR19),"",DaqBook_RAW_Data!AR19)</f>
        <v/>
      </c>
      <c r="N29" s="167" t="str">
        <f>IF(ISBLANK(DaqBook_RAW_Data!AS19),"",DaqBook_RAW_Data!AS19)</f>
        <v/>
      </c>
      <c r="O29" s="167"/>
      <c r="P29" s="167"/>
    </row>
    <row r="30" spans="1:17" s="96" customFormat="1" x14ac:dyDescent="0.2">
      <c r="A30" s="145" t="e">
        <f t="shared" si="0"/>
        <v>#VALUE!</v>
      </c>
      <c r="B30" s="144" t="str">
        <f>IF(ISBLANK(DaqBook_RAW_Data!AG20),IF(DaqBook_RAW_Data!A20="","",TIMEVALUE(DaqBook_RAW_Data!A20)),TIMEVALUE(DaqBook_RAW_Data!AG20))</f>
        <v/>
      </c>
      <c r="C30" s="167" t="str">
        <f>IF(ISBLANK(DaqBook_RAW_Data!AH20),"",DaqBook_RAW_Data!AH20)</f>
        <v/>
      </c>
      <c r="D30" s="167" t="str">
        <f>IF(ISBLANK(DaqBook_RAW_Data!AI20),"",DaqBook_RAW_Data!AI20)</f>
        <v/>
      </c>
      <c r="E30" s="167" t="str">
        <f>IF(ISBLANK(DaqBook_RAW_Data!AJ20),"",DaqBook_RAW_Data!AJ20)</f>
        <v/>
      </c>
      <c r="F30" s="167" t="str">
        <f>IF(ISBLANK(DaqBook_RAW_Data!AK20),"",DaqBook_RAW_Data!AK20)</f>
        <v/>
      </c>
      <c r="G30" s="167" t="str">
        <f>IF(ISBLANK(DaqBook_RAW_Data!AL20),"",DaqBook_RAW_Data!AL20)</f>
        <v/>
      </c>
      <c r="H30" s="167" t="str">
        <f>IF(ISBLANK(DaqBook_RAW_Data!AM20),"",DaqBook_RAW_Data!AM20)</f>
        <v/>
      </c>
      <c r="I30" s="167" t="str">
        <f>IF(ISBLANK(DaqBook_RAW_Data!AN20),"",DaqBook_RAW_Data!AN20)</f>
        <v/>
      </c>
      <c r="J30" s="167" t="str">
        <f>IF(ISBLANK(DaqBook_RAW_Data!AO20),"",DaqBook_RAW_Data!AO20)</f>
        <v/>
      </c>
      <c r="K30" s="167" t="str">
        <f>IF(ISBLANK(DaqBook_RAW_Data!AP20),"",DaqBook_RAW_Data!AP20)</f>
        <v/>
      </c>
      <c r="L30" s="167" t="str">
        <f>IF(ISBLANK(DaqBook_RAW_Data!AQ20),"",DaqBook_RAW_Data!AQ20)</f>
        <v/>
      </c>
      <c r="M30" s="167" t="str">
        <f>IF(ISBLANK(DaqBook_RAW_Data!AR20),"",DaqBook_RAW_Data!AR20)</f>
        <v/>
      </c>
      <c r="N30" s="167" t="str">
        <f>IF(ISBLANK(DaqBook_RAW_Data!AS20),"",DaqBook_RAW_Data!AS20)</f>
        <v/>
      </c>
      <c r="O30" s="167"/>
      <c r="P30" s="167"/>
    </row>
    <row r="31" spans="1:17" s="96" customFormat="1" x14ac:dyDescent="0.2">
      <c r="A31" s="145" t="e">
        <f t="shared" si="0"/>
        <v>#VALUE!</v>
      </c>
      <c r="B31" s="144" t="str">
        <f>IF(ISBLANK(DaqBook_RAW_Data!AG21),IF(DaqBook_RAW_Data!A21="","",TIMEVALUE(DaqBook_RAW_Data!A21)),TIMEVALUE(DaqBook_RAW_Data!AG21))</f>
        <v/>
      </c>
      <c r="C31" s="167" t="str">
        <f>IF(ISBLANK(DaqBook_RAW_Data!AH21),"",DaqBook_RAW_Data!AH21)</f>
        <v/>
      </c>
      <c r="D31" s="167" t="str">
        <f>IF(ISBLANK(DaqBook_RAW_Data!AI21),"",DaqBook_RAW_Data!AI21)</f>
        <v/>
      </c>
      <c r="E31" s="167" t="str">
        <f>IF(ISBLANK(DaqBook_RAW_Data!AJ21),"",DaqBook_RAW_Data!AJ21)</f>
        <v/>
      </c>
      <c r="F31" s="167" t="str">
        <f>IF(ISBLANK(DaqBook_RAW_Data!AK21),"",DaqBook_RAW_Data!AK21)</f>
        <v/>
      </c>
      <c r="G31" s="167" t="str">
        <f>IF(ISBLANK(DaqBook_RAW_Data!AL21),"",DaqBook_RAW_Data!AL21)</f>
        <v/>
      </c>
      <c r="H31" s="167" t="str">
        <f>IF(ISBLANK(DaqBook_RAW_Data!AM21),"",DaqBook_RAW_Data!AM21)</f>
        <v/>
      </c>
      <c r="I31" s="167" t="str">
        <f>IF(ISBLANK(DaqBook_RAW_Data!AN21),"",DaqBook_RAW_Data!AN21)</f>
        <v/>
      </c>
      <c r="J31" s="167" t="str">
        <f>IF(ISBLANK(DaqBook_RAW_Data!AO21),"",DaqBook_RAW_Data!AO21)</f>
        <v/>
      </c>
      <c r="K31" s="167" t="str">
        <f>IF(ISBLANK(DaqBook_RAW_Data!AP21),"",DaqBook_RAW_Data!AP21)</f>
        <v/>
      </c>
      <c r="L31" s="167" t="str">
        <f>IF(ISBLANK(DaqBook_RAW_Data!AQ21),"",DaqBook_RAW_Data!AQ21)</f>
        <v/>
      </c>
      <c r="M31" s="167" t="str">
        <f>IF(ISBLANK(DaqBook_RAW_Data!AR21),"",DaqBook_RAW_Data!AR21)</f>
        <v/>
      </c>
      <c r="N31" s="167" t="str">
        <f>IF(ISBLANK(DaqBook_RAW_Data!AS21),"",DaqBook_RAW_Data!AS21)</f>
        <v/>
      </c>
      <c r="O31" s="167"/>
      <c r="P31" s="167"/>
    </row>
    <row r="32" spans="1:17" s="96" customFormat="1" x14ac:dyDescent="0.2">
      <c r="A32" s="145" t="e">
        <f t="shared" si="0"/>
        <v>#VALUE!</v>
      </c>
      <c r="B32" s="144" t="str">
        <f>IF(ISBLANK(DaqBook_RAW_Data!AG22),IF(DaqBook_RAW_Data!A22="","",TIMEVALUE(DaqBook_RAW_Data!A22)),TIMEVALUE(DaqBook_RAW_Data!AG22))</f>
        <v/>
      </c>
      <c r="C32" s="167" t="str">
        <f>IF(ISBLANK(DaqBook_RAW_Data!AH22),"",DaqBook_RAW_Data!AH22)</f>
        <v/>
      </c>
      <c r="D32" s="167" t="str">
        <f>IF(ISBLANK(DaqBook_RAW_Data!AI22),"",DaqBook_RAW_Data!AI22)</f>
        <v/>
      </c>
      <c r="E32" s="167" t="str">
        <f>IF(ISBLANK(DaqBook_RAW_Data!AJ22),"",DaqBook_RAW_Data!AJ22)</f>
        <v/>
      </c>
      <c r="F32" s="167" t="str">
        <f>IF(ISBLANK(DaqBook_RAW_Data!AK22),"",DaqBook_RAW_Data!AK22)</f>
        <v/>
      </c>
      <c r="G32" s="167" t="str">
        <f>IF(ISBLANK(DaqBook_RAW_Data!AL22),"",DaqBook_RAW_Data!AL22)</f>
        <v/>
      </c>
      <c r="H32" s="167" t="str">
        <f>IF(ISBLANK(DaqBook_RAW_Data!AM22),"",DaqBook_RAW_Data!AM22)</f>
        <v/>
      </c>
      <c r="I32" s="167" t="str">
        <f>IF(ISBLANK(DaqBook_RAW_Data!AN22),"",DaqBook_RAW_Data!AN22)</f>
        <v/>
      </c>
      <c r="J32" s="167" t="str">
        <f>IF(ISBLANK(DaqBook_RAW_Data!AO22),"",DaqBook_RAW_Data!AO22)</f>
        <v/>
      </c>
      <c r="K32" s="167" t="str">
        <f>IF(ISBLANK(DaqBook_RAW_Data!AP22),"",DaqBook_RAW_Data!AP22)</f>
        <v/>
      </c>
      <c r="L32" s="167" t="str">
        <f>IF(ISBLANK(DaqBook_RAW_Data!AQ22),"",DaqBook_RAW_Data!AQ22)</f>
        <v/>
      </c>
      <c r="M32" s="167" t="str">
        <f>IF(ISBLANK(DaqBook_RAW_Data!AR22),"",DaqBook_RAW_Data!AR22)</f>
        <v/>
      </c>
      <c r="N32" s="167" t="str">
        <f>IF(ISBLANK(DaqBook_RAW_Data!AS22),"",DaqBook_RAW_Data!AS22)</f>
        <v/>
      </c>
      <c r="O32" s="167"/>
      <c r="P32" s="167"/>
    </row>
    <row r="33" spans="1:16" s="96" customFormat="1" x14ac:dyDescent="0.2">
      <c r="A33" s="145" t="e">
        <f t="shared" si="0"/>
        <v>#VALUE!</v>
      </c>
      <c r="B33" s="144" t="str">
        <f>IF(ISBLANK(DaqBook_RAW_Data!AG23),IF(DaqBook_RAW_Data!A23="","",TIMEVALUE(DaqBook_RAW_Data!A23)),TIMEVALUE(DaqBook_RAW_Data!AG23))</f>
        <v/>
      </c>
      <c r="C33" s="167" t="str">
        <f>IF(ISBLANK(DaqBook_RAW_Data!AH23),"",DaqBook_RAW_Data!AH23)</f>
        <v/>
      </c>
      <c r="D33" s="167" t="str">
        <f>IF(ISBLANK(DaqBook_RAW_Data!AI23),"",DaqBook_RAW_Data!AI23)</f>
        <v/>
      </c>
      <c r="E33" s="167" t="str">
        <f>IF(ISBLANK(DaqBook_RAW_Data!AJ23),"",DaqBook_RAW_Data!AJ23)</f>
        <v/>
      </c>
      <c r="F33" s="167" t="str">
        <f>IF(ISBLANK(DaqBook_RAW_Data!AK23),"",DaqBook_RAW_Data!AK23)</f>
        <v/>
      </c>
      <c r="G33" s="167" t="str">
        <f>IF(ISBLANK(DaqBook_RAW_Data!AL23),"",DaqBook_RAW_Data!AL23)</f>
        <v/>
      </c>
      <c r="H33" s="167" t="str">
        <f>IF(ISBLANK(DaqBook_RAW_Data!AM23),"",DaqBook_RAW_Data!AM23)</f>
        <v/>
      </c>
      <c r="I33" s="167" t="str">
        <f>IF(ISBLANK(DaqBook_RAW_Data!AN23),"",DaqBook_RAW_Data!AN23)</f>
        <v/>
      </c>
      <c r="J33" s="167" t="str">
        <f>IF(ISBLANK(DaqBook_RAW_Data!AO23),"",DaqBook_RAW_Data!AO23)</f>
        <v/>
      </c>
      <c r="K33" s="167" t="str">
        <f>IF(ISBLANK(DaqBook_RAW_Data!AP23),"",DaqBook_RAW_Data!AP23)</f>
        <v/>
      </c>
      <c r="L33" s="167" t="str">
        <f>IF(ISBLANK(DaqBook_RAW_Data!AQ23),"",DaqBook_RAW_Data!AQ23)</f>
        <v/>
      </c>
      <c r="M33" s="167" t="str">
        <f>IF(ISBLANK(DaqBook_RAW_Data!AR23),"",DaqBook_RAW_Data!AR23)</f>
        <v/>
      </c>
      <c r="N33" s="167" t="str">
        <f>IF(ISBLANK(DaqBook_RAW_Data!AS23),"",DaqBook_RAW_Data!AS23)</f>
        <v/>
      </c>
      <c r="O33" s="167"/>
      <c r="P33" s="167"/>
    </row>
    <row r="34" spans="1:16" s="96" customFormat="1" x14ac:dyDescent="0.2">
      <c r="A34" s="145" t="e">
        <f t="shared" si="0"/>
        <v>#VALUE!</v>
      </c>
      <c r="B34" s="144" t="str">
        <f>IF(ISBLANK(DaqBook_RAW_Data!AG24),IF(DaqBook_RAW_Data!A24="","",TIMEVALUE(DaqBook_RAW_Data!A24)),TIMEVALUE(DaqBook_RAW_Data!AG24))</f>
        <v/>
      </c>
      <c r="C34" s="167" t="str">
        <f>IF(ISBLANK(DaqBook_RAW_Data!AH24),"",DaqBook_RAW_Data!AH24)</f>
        <v/>
      </c>
      <c r="D34" s="167" t="str">
        <f>IF(ISBLANK(DaqBook_RAW_Data!AI24),"",DaqBook_RAW_Data!AI24)</f>
        <v/>
      </c>
      <c r="E34" s="167" t="str">
        <f>IF(ISBLANK(DaqBook_RAW_Data!AJ24),"",DaqBook_RAW_Data!AJ24)</f>
        <v/>
      </c>
      <c r="F34" s="167" t="str">
        <f>IF(ISBLANK(DaqBook_RAW_Data!AK24),"",DaqBook_RAW_Data!AK24)</f>
        <v/>
      </c>
      <c r="G34" s="167" t="str">
        <f>IF(ISBLANK(DaqBook_RAW_Data!AL24),"",DaqBook_RAW_Data!AL24)</f>
        <v/>
      </c>
      <c r="H34" s="167" t="str">
        <f>IF(ISBLANK(DaqBook_RAW_Data!AM24),"",DaqBook_RAW_Data!AM24)</f>
        <v/>
      </c>
      <c r="I34" s="167" t="str">
        <f>IF(ISBLANK(DaqBook_RAW_Data!AN24),"",DaqBook_RAW_Data!AN24)</f>
        <v/>
      </c>
      <c r="J34" s="167" t="str">
        <f>IF(ISBLANK(DaqBook_RAW_Data!AO24),"",DaqBook_RAW_Data!AO24)</f>
        <v/>
      </c>
      <c r="K34" s="167" t="str">
        <f>IF(ISBLANK(DaqBook_RAW_Data!AP24),"",DaqBook_RAW_Data!AP24)</f>
        <v/>
      </c>
      <c r="L34" s="167" t="str">
        <f>IF(ISBLANK(DaqBook_RAW_Data!AQ24),"",DaqBook_RAW_Data!AQ24)</f>
        <v/>
      </c>
      <c r="M34" s="167" t="str">
        <f>IF(ISBLANK(DaqBook_RAW_Data!AR24),"",DaqBook_RAW_Data!AR24)</f>
        <v/>
      </c>
      <c r="N34" s="167" t="str">
        <f>IF(ISBLANK(DaqBook_RAW_Data!AS24),"",DaqBook_RAW_Data!AS24)</f>
        <v/>
      </c>
      <c r="O34" s="167"/>
      <c r="P34" s="167"/>
    </row>
    <row r="35" spans="1:16" s="96" customFormat="1" x14ac:dyDescent="0.2">
      <c r="A35" s="145" t="e">
        <f t="shared" si="0"/>
        <v>#VALUE!</v>
      </c>
      <c r="B35" s="144" t="str">
        <f>IF(ISBLANK(DaqBook_RAW_Data!AG25),IF(DaqBook_RAW_Data!A25="","",TIMEVALUE(DaqBook_RAW_Data!A25)),TIMEVALUE(DaqBook_RAW_Data!AG25))</f>
        <v/>
      </c>
      <c r="C35" s="167" t="str">
        <f>IF(ISBLANK(DaqBook_RAW_Data!AH25),"",DaqBook_RAW_Data!AH25)</f>
        <v/>
      </c>
      <c r="D35" s="167" t="str">
        <f>IF(ISBLANK(DaqBook_RAW_Data!AI25),"",DaqBook_RAW_Data!AI25)</f>
        <v/>
      </c>
      <c r="E35" s="167" t="str">
        <f>IF(ISBLANK(DaqBook_RAW_Data!AJ25),"",DaqBook_RAW_Data!AJ25)</f>
        <v/>
      </c>
      <c r="F35" s="167" t="str">
        <f>IF(ISBLANK(DaqBook_RAW_Data!AK25),"",DaqBook_RAW_Data!AK25)</f>
        <v/>
      </c>
      <c r="G35" s="167" t="str">
        <f>IF(ISBLANK(DaqBook_RAW_Data!AL25),"",DaqBook_RAW_Data!AL25)</f>
        <v/>
      </c>
      <c r="H35" s="167" t="str">
        <f>IF(ISBLANK(DaqBook_RAW_Data!AM25),"",DaqBook_RAW_Data!AM25)</f>
        <v/>
      </c>
      <c r="I35" s="167" t="str">
        <f>IF(ISBLANK(DaqBook_RAW_Data!AN25),"",DaqBook_RAW_Data!AN25)</f>
        <v/>
      </c>
      <c r="J35" s="167" t="str">
        <f>IF(ISBLANK(DaqBook_RAW_Data!AO25),"",DaqBook_RAW_Data!AO25)</f>
        <v/>
      </c>
      <c r="K35" s="167" t="str">
        <f>IF(ISBLANK(DaqBook_RAW_Data!AP25),"",DaqBook_RAW_Data!AP25)</f>
        <v/>
      </c>
      <c r="L35" s="167" t="str">
        <f>IF(ISBLANK(DaqBook_RAW_Data!AQ25),"",DaqBook_RAW_Data!AQ25)</f>
        <v/>
      </c>
      <c r="M35" s="167" t="str">
        <f>IF(ISBLANK(DaqBook_RAW_Data!AR25),"",DaqBook_RAW_Data!AR25)</f>
        <v/>
      </c>
      <c r="N35" s="167" t="str">
        <f>IF(ISBLANK(DaqBook_RAW_Data!AS25),"",DaqBook_RAW_Data!AS25)</f>
        <v/>
      </c>
      <c r="O35" s="167"/>
      <c r="P35" s="167"/>
    </row>
    <row r="36" spans="1:16" s="96" customFormat="1" x14ac:dyDescent="0.2">
      <c r="A36" s="145" t="e">
        <f t="shared" si="0"/>
        <v>#VALUE!</v>
      </c>
      <c r="B36" s="144" t="str">
        <f>IF(ISBLANK(DaqBook_RAW_Data!AG26),IF(DaqBook_RAW_Data!A26="","",TIMEVALUE(DaqBook_RAW_Data!A26)),TIMEVALUE(DaqBook_RAW_Data!AG26))</f>
        <v/>
      </c>
      <c r="C36" s="167" t="str">
        <f>IF(ISBLANK(DaqBook_RAW_Data!AH26),"",DaqBook_RAW_Data!AH26)</f>
        <v/>
      </c>
      <c r="D36" s="167" t="str">
        <f>IF(ISBLANK(DaqBook_RAW_Data!AI26),"",DaqBook_RAW_Data!AI26)</f>
        <v/>
      </c>
      <c r="E36" s="167" t="str">
        <f>IF(ISBLANK(DaqBook_RAW_Data!AJ26),"",DaqBook_RAW_Data!AJ26)</f>
        <v/>
      </c>
      <c r="F36" s="167" t="str">
        <f>IF(ISBLANK(DaqBook_RAW_Data!AK26),"",DaqBook_RAW_Data!AK26)</f>
        <v/>
      </c>
      <c r="G36" s="167" t="str">
        <f>IF(ISBLANK(DaqBook_RAW_Data!AL26),"",DaqBook_RAW_Data!AL26)</f>
        <v/>
      </c>
      <c r="H36" s="167" t="str">
        <f>IF(ISBLANK(DaqBook_RAW_Data!AM26),"",DaqBook_RAW_Data!AM26)</f>
        <v/>
      </c>
      <c r="I36" s="167" t="str">
        <f>IF(ISBLANK(DaqBook_RAW_Data!AN26),"",DaqBook_RAW_Data!AN26)</f>
        <v/>
      </c>
      <c r="J36" s="167" t="str">
        <f>IF(ISBLANK(DaqBook_RAW_Data!AO26),"",DaqBook_RAW_Data!AO26)</f>
        <v/>
      </c>
      <c r="K36" s="167" t="str">
        <f>IF(ISBLANK(DaqBook_RAW_Data!AP26),"",DaqBook_RAW_Data!AP26)</f>
        <v/>
      </c>
      <c r="L36" s="167" t="str">
        <f>IF(ISBLANK(DaqBook_RAW_Data!AQ26),"",DaqBook_RAW_Data!AQ26)</f>
        <v/>
      </c>
      <c r="M36" s="167" t="str">
        <f>IF(ISBLANK(DaqBook_RAW_Data!AR26),"",DaqBook_RAW_Data!AR26)</f>
        <v/>
      </c>
      <c r="N36" s="167" t="str">
        <f>IF(ISBLANK(DaqBook_RAW_Data!AS26),"",DaqBook_RAW_Data!AS26)</f>
        <v/>
      </c>
      <c r="O36" s="167"/>
      <c r="P36" s="167"/>
    </row>
    <row r="37" spans="1:16" s="96" customFormat="1" x14ac:dyDescent="0.2">
      <c r="A37" s="145" t="e">
        <f t="shared" si="0"/>
        <v>#VALUE!</v>
      </c>
      <c r="B37" s="144" t="str">
        <f>IF(ISBLANK(DaqBook_RAW_Data!AG27),IF(DaqBook_RAW_Data!A27="","",TIMEVALUE(DaqBook_RAW_Data!A27)),TIMEVALUE(DaqBook_RAW_Data!AG27))</f>
        <v/>
      </c>
      <c r="C37" s="167" t="str">
        <f>IF(ISBLANK(DaqBook_RAW_Data!AH27),"",DaqBook_RAW_Data!AH27)</f>
        <v/>
      </c>
      <c r="D37" s="167" t="str">
        <f>IF(ISBLANK(DaqBook_RAW_Data!AI27),"",DaqBook_RAW_Data!AI27)</f>
        <v/>
      </c>
      <c r="E37" s="167" t="str">
        <f>IF(ISBLANK(DaqBook_RAW_Data!AJ27),"",DaqBook_RAW_Data!AJ27)</f>
        <v/>
      </c>
      <c r="F37" s="167" t="str">
        <f>IF(ISBLANK(DaqBook_RAW_Data!AK27),"",DaqBook_RAW_Data!AK27)</f>
        <v/>
      </c>
      <c r="G37" s="167" t="str">
        <f>IF(ISBLANK(DaqBook_RAW_Data!AL27),"",DaqBook_RAW_Data!AL27)</f>
        <v/>
      </c>
      <c r="H37" s="167" t="str">
        <f>IF(ISBLANK(DaqBook_RAW_Data!AM27),"",DaqBook_RAW_Data!AM27)</f>
        <v/>
      </c>
      <c r="I37" s="167" t="str">
        <f>IF(ISBLANK(DaqBook_RAW_Data!AN27),"",DaqBook_RAW_Data!AN27)</f>
        <v/>
      </c>
      <c r="J37" s="167" t="str">
        <f>IF(ISBLANK(DaqBook_RAW_Data!AO27),"",DaqBook_RAW_Data!AO27)</f>
        <v/>
      </c>
      <c r="K37" s="167" t="str">
        <f>IF(ISBLANK(DaqBook_RAW_Data!AP27),"",DaqBook_RAW_Data!AP27)</f>
        <v/>
      </c>
      <c r="L37" s="167" t="str">
        <f>IF(ISBLANK(DaqBook_RAW_Data!AQ27),"",DaqBook_RAW_Data!AQ27)</f>
        <v/>
      </c>
      <c r="M37" s="167" t="str">
        <f>IF(ISBLANK(DaqBook_RAW_Data!AR27),"",DaqBook_RAW_Data!AR27)</f>
        <v/>
      </c>
      <c r="N37" s="167" t="str">
        <f>IF(ISBLANK(DaqBook_RAW_Data!AS27),"",DaqBook_RAW_Data!AS27)</f>
        <v/>
      </c>
      <c r="O37" s="167"/>
      <c r="P37" s="167"/>
    </row>
    <row r="38" spans="1:16" s="96" customFormat="1" x14ac:dyDescent="0.2">
      <c r="A38" s="145" t="e">
        <f t="shared" si="0"/>
        <v>#VALUE!</v>
      </c>
      <c r="B38" s="144" t="str">
        <f>IF(ISBLANK(DaqBook_RAW_Data!AG28),IF(DaqBook_RAW_Data!A28="","",TIMEVALUE(DaqBook_RAW_Data!A28)),TIMEVALUE(DaqBook_RAW_Data!AG28))</f>
        <v/>
      </c>
      <c r="C38" s="167" t="str">
        <f>IF(ISBLANK(DaqBook_RAW_Data!AH28),"",DaqBook_RAW_Data!AH28)</f>
        <v/>
      </c>
      <c r="D38" s="167" t="str">
        <f>IF(ISBLANK(DaqBook_RAW_Data!AI28),"",DaqBook_RAW_Data!AI28)</f>
        <v/>
      </c>
      <c r="E38" s="167" t="str">
        <f>IF(ISBLANK(DaqBook_RAW_Data!AJ28),"",DaqBook_RAW_Data!AJ28)</f>
        <v/>
      </c>
      <c r="F38" s="167" t="str">
        <f>IF(ISBLANK(DaqBook_RAW_Data!AK28),"",DaqBook_RAW_Data!AK28)</f>
        <v/>
      </c>
      <c r="G38" s="167" t="str">
        <f>IF(ISBLANK(DaqBook_RAW_Data!AL28),"",DaqBook_RAW_Data!AL28)</f>
        <v/>
      </c>
      <c r="H38" s="167" t="str">
        <f>IF(ISBLANK(DaqBook_RAW_Data!AM28),"",DaqBook_RAW_Data!AM28)</f>
        <v/>
      </c>
      <c r="I38" s="167" t="str">
        <f>IF(ISBLANK(DaqBook_RAW_Data!AN28),"",DaqBook_RAW_Data!AN28)</f>
        <v/>
      </c>
      <c r="J38" s="167" t="str">
        <f>IF(ISBLANK(DaqBook_RAW_Data!AO28),"",DaqBook_RAW_Data!AO28)</f>
        <v/>
      </c>
      <c r="K38" s="167" t="str">
        <f>IF(ISBLANK(DaqBook_RAW_Data!AP28),"",DaqBook_RAW_Data!AP28)</f>
        <v/>
      </c>
      <c r="L38" s="167" t="str">
        <f>IF(ISBLANK(DaqBook_RAW_Data!AQ28),"",DaqBook_RAW_Data!AQ28)</f>
        <v/>
      </c>
      <c r="M38" s="167" t="str">
        <f>IF(ISBLANK(DaqBook_RAW_Data!AR28),"",DaqBook_RAW_Data!AR28)</f>
        <v/>
      </c>
      <c r="N38" s="167" t="str">
        <f>IF(ISBLANK(DaqBook_RAW_Data!AS28),"",DaqBook_RAW_Data!AS28)</f>
        <v/>
      </c>
      <c r="O38" s="167"/>
      <c r="P38" s="167"/>
    </row>
    <row r="39" spans="1:16" s="96" customFormat="1" x14ac:dyDescent="0.2">
      <c r="A39" s="145" t="e">
        <f t="shared" si="0"/>
        <v>#VALUE!</v>
      </c>
      <c r="B39" s="144" t="str">
        <f>IF(ISBLANK(DaqBook_RAW_Data!AG29),IF(DaqBook_RAW_Data!A29="","",TIMEVALUE(DaqBook_RAW_Data!A29)),TIMEVALUE(DaqBook_RAW_Data!AG29))</f>
        <v/>
      </c>
      <c r="C39" s="167" t="str">
        <f>IF(ISBLANK(DaqBook_RAW_Data!AH29),"",DaqBook_RAW_Data!AH29)</f>
        <v/>
      </c>
      <c r="D39" s="167" t="str">
        <f>IF(ISBLANK(DaqBook_RAW_Data!AI29),"",DaqBook_RAW_Data!AI29)</f>
        <v/>
      </c>
      <c r="E39" s="167" t="str">
        <f>IF(ISBLANK(DaqBook_RAW_Data!AJ29),"",DaqBook_RAW_Data!AJ29)</f>
        <v/>
      </c>
      <c r="F39" s="167" t="str">
        <f>IF(ISBLANK(DaqBook_RAW_Data!AK29),"",DaqBook_RAW_Data!AK29)</f>
        <v/>
      </c>
      <c r="G39" s="167" t="str">
        <f>IF(ISBLANK(DaqBook_RAW_Data!AL29),"",DaqBook_RAW_Data!AL29)</f>
        <v/>
      </c>
      <c r="H39" s="167" t="str">
        <f>IF(ISBLANK(DaqBook_RAW_Data!AM29),"",DaqBook_RAW_Data!AM29)</f>
        <v/>
      </c>
      <c r="I39" s="167" t="str">
        <f>IF(ISBLANK(DaqBook_RAW_Data!AN29),"",DaqBook_RAW_Data!AN29)</f>
        <v/>
      </c>
      <c r="J39" s="167" t="str">
        <f>IF(ISBLANK(DaqBook_RAW_Data!AO29),"",DaqBook_RAW_Data!AO29)</f>
        <v/>
      </c>
      <c r="K39" s="167" t="str">
        <f>IF(ISBLANK(DaqBook_RAW_Data!AP29),"",DaqBook_RAW_Data!AP29)</f>
        <v/>
      </c>
      <c r="L39" s="167" t="str">
        <f>IF(ISBLANK(DaqBook_RAW_Data!AQ29),"",DaqBook_RAW_Data!AQ29)</f>
        <v/>
      </c>
      <c r="M39" s="167" t="str">
        <f>IF(ISBLANK(DaqBook_RAW_Data!AR29),"",DaqBook_RAW_Data!AR29)</f>
        <v/>
      </c>
      <c r="N39" s="167" t="str">
        <f>IF(ISBLANK(DaqBook_RAW_Data!AS29),"",DaqBook_RAW_Data!AS29)</f>
        <v/>
      </c>
      <c r="O39" s="167"/>
      <c r="P39" s="167"/>
    </row>
    <row r="40" spans="1:16" s="96" customFormat="1" x14ac:dyDescent="0.2">
      <c r="A40" s="145" t="e">
        <f t="shared" si="0"/>
        <v>#VALUE!</v>
      </c>
      <c r="B40" s="144" t="str">
        <f>IF(ISBLANK(DaqBook_RAW_Data!AG30),IF(DaqBook_RAW_Data!A30="","",TIMEVALUE(DaqBook_RAW_Data!A30)),TIMEVALUE(DaqBook_RAW_Data!AG30))</f>
        <v/>
      </c>
      <c r="C40" s="167" t="str">
        <f>IF(ISBLANK(DaqBook_RAW_Data!AH30),"",DaqBook_RAW_Data!AH30)</f>
        <v/>
      </c>
      <c r="D40" s="167" t="str">
        <f>IF(ISBLANK(DaqBook_RAW_Data!AI30),"",DaqBook_RAW_Data!AI30)</f>
        <v/>
      </c>
      <c r="E40" s="167" t="str">
        <f>IF(ISBLANK(DaqBook_RAW_Data!AJ30),"",DaqBook_RAW_Data!AJ30)</f>
        <v/>
      </c>
      <c r="F40" s="167" t="str">
        <f>IF(ISBLANK(DaqBook_RAW_Data!AK30),"",DaqBook_RAW_Data!AK30)</f>
        <v/>
      </c>
      <c r="G40" s="167" t="str">
        <f>IF(ISBLANK(DaqBook_RAW_Data!AL30),"",DaqBook_RAW_Data!AL30)</f>
        <v/>
      </c>
      <c r="H40" s="167" t="str">
        <f>IF(ISBLANK(DaqBook_RAW_Data!AM30),"",DaqBook_RAW_Data!AM30)</f>
        <v/>
      </c>
      <c r="I40" s="167" t="str">
        <f>IF(ISBLANK(DaqBook_RAW_Data!AN30),"",DaqBook_RAW_Data!AN30)</f>
        <v/>
      </c>
      <c r="J40" s="167" t="str">
        <f>IF(ISBLANK(DaqBook_RAW_Data!AO30),"",DaqBook_RAW_Data!AO30)</f>
        <v/>
      </c>
      <c r="K40" s="167" t="str">
        <f>IF(ISBLANK(DaqBook_RAW_Data!AP30),"",DaqBook_RAW_Data!AP30)</f>
        <v/>
      </c>
      <c r="L40" s="167" t="str">
        <f>IF(ISBLANK(DaqBook_RAW_Data!AQ30),"",DaqBook_RAW_Data!AQ30)</f>
        <v/>
      </c>
      <c r="M40" s="167" t="str">
        <f>IF(ISBLANK(DaqBook_RAW_Data!AR30),"",DaqBook_RAW_Data!AR30)</f>
        <v/>
      </c>
      <c r="N40" s="167" t="str">
        <f>IF(ISBLANK(DaqBook_RAW_Data!AS30),"",DaqBook_RAW_Data!AS30)</f>
        <v/>
      </c>
      <c r="O40" s="167"/>
      <c r="P40" s="167"/>
    </row>
    <row r="41" spans="1:16" s="96" customFormat="1" x14ac:dyDescent="0.2">
      <c r="A41" s="145" t="e">
        <f t="shared" si="0"/>
        <v>#VALUE!</v>
      </c>
      <c r="B41" s="144" t="str">
        <f>IF(ISBLANK(DaqBook_RAW_Data!AG31),IF(DaqBook_RAW_Data!A31="","",TIMEVALUE(DaqBook_RAW_Data!A31)),TIMEVALUE(DaqBook_RAW_Data!AG31))</f>
        <v/>
      </c>
      <c r="C41" s="167" t="str">
        <f>IF(ISBLANK(DaqBook_RAW_Data!AH31),"",DaqBook_RAW_Data!AH31)</f>
        <v/>
      </c>
      <c r="D41" s="167" t="str">
        <f>IF(ISBLANK(DaqBook_RAW_Data!AI31),"",DaqBook_RAW_Data!AI31)</f>
        <v/>
      </c>
      <c r="E41" s="167" t="str">
        <f>IF(ISBLANK(DaqBook_RAW_Data!AJ31),"",DaqBook_RAW_Data!AJ31)</f>
        <v/>
      </c>
      <c r="F41" s="167" t="str">
        <f>IF(ISBLANK(DaqBook_RAW_Data!AK31),"",DaqBook_RAW_Data!AK31)</f>
        <v/>
      </c>
      <c r="G41" s="167" t="str">
        <f>IF(ISBLANK(DaqBook_RAW_Data!AL31),"",DaqBook_RAW_Data!AL31)</f>
        <v/>
      </c>
      <c r="H41" s="167" t="str">
        <f>IF(ISBLANK(DaqBook_RAW_Data!AM31),"",DaqBook_RAW_Data!AM31)</f>
        <v/>
      </c>
      <c r="I41" s="167" t="str">
        <f>IF(ISBLANK(DaqBook_RAW_Data!AN31),"",DaqBook_RAW_Data!AN31)</f>
        <v/>
      </c>
      <c r="J41" s="167" t="str">
        <f>IF(ISBLANK(DaqBook_RAW_Data!AO31),"",DaqBook_RAW_Data!AO31)</f>
        <v/>
      </c>
      <c r="K41" s="167" t="str">
        <f>IF(ISBLANK(DaqBook_RAW_Data!AP31),"",DaqBook_RAW_Data!AP31)</f>
        <v/>
      </c>
      <c r="L41" s="167" t="str">
        <f>IF(ISBLANK(DaqBook_RAW_Data!AQ31),"",DaqBook_RAW_Data!AQ31)</f>
        <v/>
      </c>
      <c r="M41" s="167" t="str">
        <f>IF(ISBLANK(DaqBook_RAW_Data!AR31),"",DaqBook_RAW_Data!AR31)</f>
        <v/>
      </c>
      <c r="N41" s="167" t="str">
        <f>IF(ISBLANK(DaqBook_RAW_Data!AS31),"",DaqBook_RAW_Data!AS31)</f>
        <v/>
      </c>
      <c r="O41" s="167"/>
      <c r="P41" s="167"/>
    </row>
    <row r="42" spans="1:16" s="96" customFormat="1" x14ac:dyDescent="0.2">
      <c r="A42" s="145" t="e">
        <f t="shared" si="0"/>
        <v>#VALUE!</v>
      </c>
      <c r="B42" s="144" t="str">
        <f>IF(ISBLANK(DaqBook_RAW_Data!AG32),IF(DaqBook_RAW_Data!A32="","",TIMEVALUE(DaqBook_RAW_Data!A32)),TIMEVALUE(DaqBook_RAW_Data!AG32))</f>
        <v/>
      </c>
      <c r="C42" s="167" t="str">
        <f>IF(ISBLANK(DaqBook_RAW_Data!AH32),"",DaqBook_RAW_Data!AH32)</f>
        <v/>
      </c>
      <c r="D42" s="167" t="str">
        <f>IF(ISBLANK(DaqBook_RAW_Data!AI32),"",DaqBook_RAW_Data!AI32)</f>
        <v/>
      </c>
      <c r="E42" s="167" t="str">
        <f>IF(ISBLANK(DaqBook_RAW_Data!AJ32),"",DaqBook_RAW_Data!AJ32)</f>
        <v/>
      </c>
      <c r="F42" s="167" t="str">
        <f>IF(ISBLANK(DaqBook_RAW_Data!AK32),"",DaqBook_RAW_Data!AK32)</f>
        <v/>
      </c>
      <c r="G42" s="167" t="str">
        <f>IF(ISBLANK(DaqBook_RAW_Data!AL32),"",DaqBook_RAW_Data!AL32)</f>
        <v/>
      </c>
      <c r="H42" s="167" t="str">
        <f>IF(ISBLANK(DaqBook_RAW_Data!AM32),"",DaqBook_RAW_Data!AM32)</f>
        <v/>
      </c>
      <c r="I42" s="167" t="str">
        <f>IF(ISBLANK(DaqBook_RAW_Data!AN32),"",DaqBook_RAW_Data!AN32)</f>
        <v/>
      </c>
      <c r="J42" s="167" t="str">
        <f>IF(ISBLANK(DaqBook_RAW_Data!AO32),"",DaqBook_RAW_Data!AO32)</f>
        <v/>
      </c>
      <c r="K42" s="167" t="str">
        <f>IF(ISBLANK(DaqBook_RAW_Data!AP32),"",DaqBook_RAW_Data!AP32)</f>
        <v/>
      </c>
      <c r="L42" s="167" t="str">
        <f>IF(ISBLANK(DaqBook_RAW_Data!AQ32),"",DaqBook_RAW_Data!AQ32)</f>
        <v/>
      </c>
      <c r="M42" s="167" t="str">
        <f>IF(ISBLANK(DaqBook_RAW_Data!AR32),"",DaqBook_RAW_Data!AR32)</f>
        <v/>
      </c>
      <c r="N42" s="167" t="str">
        <f>IF(ISBLANK(DaqBook_RAW_Data!AS32),"",DaqBook_RAW_Data!AS32)</f>
        <v/>
      </c>
      <c r="O42" s="167"/>
      <c r="P42" s="167"/>
    </row>
    <row r="43" spans="1:16" s="96" customFormat="1" x14ac:dyDescent="0.2">
      <c r="A43" s="145" t="e">
        <f t="shared" si="0"/>
        <v>#VALUE!</v>
      </c>
      <c r="B43" s="144" t="str">
        <f>IF(ISBLANK(DaqBook_RAW_Data!AG33),IF(DaqBook_RAW_Data!A33="","",TIMEVALUE(DaqBook_RAW_Data!A33)),TIMEVALUE(DaqBook_RAW_Data!AG33))</f>
        <v/>
      </c>
      <c r="C43" s="167" t="str">
        <f>IF(ISBLANK(DaqBook_RAW_Data!AH33),"",DaqBook_RAW_Data!AH33)</f>
        <v/>
      </c>
      <c r="D43" s="167" t="str">
        <f>IF(ISBLANK(DaqBook_RAW_Data!AI33),"",DaqBook_RAW_Data!AI33)</f>
        <v/>
      </c>
      <c r="E43" s="167" t="str">
        <f>IF(ISBLANK(DaqBook_RAW_Data!AJ33),"",DaqBook_RAW_Data!AJ33)</f>
        <v/>
      </c>
      <c r="F43" s="167" t="str">
        <f>IF(ISBLANK(DaqBook_RAW_Data!AK33),"",DaqBook_RAW_Data!AK33)</f>
        <v/>
      </c>
      <c r="G43" s="167" t="str">
        <f>IF(ISBLANK(DaqBook_RAW_Data!AL33),"",DaqBook_RAW_Data!AL33)</f>
        <v/>
      </c>
      <c r="H43" s="167" t="str">
        <f>IF(ISBLANK(DaqBook_RAW_Data!AM33),"",DaqBook_RAW_Data!AM33)</f>
        <v/>
      </c>
      <c r="I43" s="167" t="str">
        <f>IF(ISBLANK(DaqBook_RAW_Data!AN33),"",DaqBook_RAW_Data!AN33)</f>
        <v/>
      </c>
      <c r="J43" s="167" t="str">
        <f>IF(ISBLANK(DaqBook_RAW_Data!AO33),"",DaqBook_RAW_Data!AO33)</f>
        <v/>
      </c>
      <c r="K43" s="167" t="str">
        <f>IF(ISBLANK(DaqBook_RAW_Data!AP33),"",DaqBook_RAW_Data!AP33)</f>
        <v/>
      </c>
      <c r="L43" s="167" t="str">
        <f>IF(ISBLANK(DaqBook_RAW_Data!AQ33),"",DaqBook_RAW_Data!AQ33)</f>
        <v/>
      </c>
      <c r="M43" s="167" t="str">
        <f>IF(ISBLANK(DaqBook_RAW_Data!AR33),"",DaqBook_RAW_Data!AR33)</f>
        <v/>
      </c>
      <c r="N43" s="167" t="str">
        <f>IF(ISBLANK(DaqBook_RAW_Data!AS33),"",DaqBook_RAW_Data!AS33)</f>
        <v/>
      </c>
      <c r="O43" s="167"/>
      <c r="P43" s="167"/>
    </row>
    <row r="44" spans="1:16" s="96" customFormat="1" x14ac:dyDescent="0.2">
      <c r="A44" s="145" t="e">
        <f t="shared" si="0"/>
        <v>#VALUE!</v>
      </c>
      <c r="B44" s="144" t="str">
        <f>IF(ISBLANK(DaqBook_RAW_Data!AG34),IF(DaqBook_RAW_Data!A34="","",TIMEVALUE(DaqBook_RAW_Data!A34)),TIMEVALUE(DaqBook_RAW_Data!AG34))</f>
        <v/>
      </c>
      <c r="C44" s="167" t="str">
        <f>IF(ISBLANK(DaqBook_RAW_Data!AH34),"",DaqBook_RAW_Data!AH34)</f>
        <v/>
      </c>
      <c r="D44" s="167" t="str">
        <f>IF(ISBLANK(DaqBook_RAW_Data!AI34),"",DaqBook_RAW_Data!AI34)</f>
        <v/>
      </c>
      <c r="E44" s="167" t="str">
        <f>IF(ISBLANK(DaqBook_RAW_Data!AJ34),"",DaqBook_RAW_Data!AJ34)</f>
        <v/>
      </c>
      <c r="F44" s="167" t="str">
        <f>IF(ISBLANK(DaqBook_RAW_Data!AK34),"",DaqBook_RAW_Data!AK34)</f>
        <v/>
      </c>
      <c r="G44" s="167" t="str">
        <f>IF(ISBLANK(DaqBook_RAW_Data!AL34),"",DaqBook_RAW_Data!AL34)</f>
        <v/>
      </c>
      <c r="H44" s="167" t="str">
        <f>IF(ISBLANK(DaqBook_RAW_Data!AM34),"",DaqBook_RAW_Data!AM34)</f>
        <v/>
      </c>
      <c r="I44" s="167" t="str">
        <f>IF(ISBLANK(DaqBook_RAW_Data!AN34),"",DaqBook_RAW_Data!AN34)</f>
        <v/>
      </c>
      <c r="J44" s="167" t="str">
        <f>IF(ISBLANK(DaqBook_RAW_Data!AO34),"",DaqBook_RAW_Data!AO34)</f>
        <v/>
      </c>
      <c r="K44" s="167" t="str">
        <f>IF(ISBLANK(DaqBook_RAW_Data!AP34),"",DaqBook_RAW_Data!AP34)</f>
        <v/>
      </c>
      <c r="L44" s="167" t="str">
        <f>IF(ISBLANK(DaqBook_RAW_Data!AQ34),"",DaqBook_RAW_Data!AQ34)</f>
        <v/>
      </c>
      <c r="M44" s="167" t="str">
        <f>IF(ISBLANK(DaqBook_RAW_Data!AR34),"",DaqBook_RAW_Data!AR34)</f>
        <v/>
      </c>
      <c r="N44" s="167" t="str">
        <f>IF(ISBLANK(DaqBook_RAW_Data!AS34),"",DaqBook_RAW_Data!AS34)</f>
        <v/>
      </c>
      <c r="O44" s="167"/>
      <c r="P44" s="167"/>
    </row>
    <row r="45" spans="1:16" s="96" customFormat="1" x14ac:dyDescent="0.2">
      <c r="A45" s="145" t="e">
        <f t="shared" si="0"/>
        <v>#VALUE!</v>
      </c>
      <c r="B45" s="144" t="str">
        <f>IF(ISBLANK(DaqBook_RAW_Data!AG35),IF(DaqBook_RAW_Data!A35="","",TIMEVALUE(DaqBook_RAW_Data!A35)),TIMEVALUE(DaqBook_RAW_Data!AG35))</f>
        <v/>
      </c>
      <c r="C45" s="167" t="str">
        <f>IF(ISBLANK(DaqBook_RAW_Data!AH35),"",DaqBook_RAW_Data!AH35)</f>
        <v/>
      </c>
      <c r="D45" s="167" t="str">
        <f>IF(ISBLANK(DaqBook_RAW_Data!AI35),"",DaqBook_RAW_Data!AI35)</f>
        <v/>
      </c>
      <c r="E45" s="167" t="str">
        <f>IF(ISBLANK(DaqBook_RAW_Data!AJ35),"",DaqBook_RAW_Data!AJ35)</f>
        <v/>
      </c>
      <c r="F45" s="167" t="str">
        <f>IF(ISBLANK(DaqBook_RAW_Data!AK35),"",DaqBook_RAW_Data!AK35)</f>
        <v/>
      </c>
      <c r="G45" s="167" t="str">
        <f>IF(ISBLANK(DaqBook_RAW_Data!AL35),"",DaqBook_RAW_Data!AL35)</f>
        <v/>
      </c>
      <c r="H45" s="167" t="str">
        <f>IF(ISBLANK(DaqBook_RAW_Data!AM35),"",DaqBook_RAW_Data!AM35)</f>
        <v/>
      </c>
      <c r="I45" s="167" t="str">
        <f>IF(ISBLANK(DaqBook_RAW_Data!AN35),"",DaqBook_RAW_Data!AN35)</f>
        <v/>
      </c>
      <c r="J45" s="167" t="str">
        <f>IF(ISBLANK(DaqBook_RAW_Data!AO35),"",DaqBook_RAW_Data!AO35)</f>
        <v/>
      </c>
      <c r="K45" s="167" t="str">
        <f>IF(ISBLANK(DaqBook_RAW_Data!AP35),"",DaqBook_RAW_Data!AP35)</f>
        <v/>
      </c>
      <c r="L45" s="167" t="str">
        <f>IF(ISBLANK(DaqBook_RAW_Data!AQ35),"",DaqBook_RAW_Data!AQ35)</f>
        <v/>
      </c>
      <c r="M45" s="167" t="str">
        <f>IF(ISBLANK(DaqBook_RAW_Data!AR35),"",DaqBook_RAW_Data!AR35)</f>
        <v/>
      </c>
      <c r="N45" s="167" t="str">
        <f>IF(ISBLANK(DaqBook_RAW_Data!AS35),"",DaqBook_RAW_Data!AS35)</f>
        <v/>
      </c>
      <c r="O45" s="167"/>
      <c r="P45" s="167"/>
    </row>
    <row r="46" spans="1:16" s="96" customFormat="1" x14ac:dyDescent="0.2">
      <c r="A46" s="145" t="e">
        <f t="shared" si="0"/>
        <v>#VALUE!</v>
      </c>
      <c r="B46" s="144" t="str">
        <f>IF(ISBLANK(DaqBook_RAW_Data!AG36),IF(DaqBook_RAW_Data!A36="","",TIMEVALUE(DaqBook_RAW_Data!A36)),TIMEVALUE(DaqBook_RAW_Data!AG36))</f>
        <v/>
      </c>
      <c r="C46" s="167" t="str">
        <f>IF(ISBLANK(DaqBook_RAW_Data!AH36),"",DaqBook_RAW_Data!AH36)</f>
        <v/>
      </c>
      <c r="D46" s="167" t="str">
        <f>IF(ISBLANK(DaqBook_RAW_Data!AI36),"",DaqBook_RAW_Data!AI36)</f>
        <v/>
      </c>
      <c r="E46" s="167" t="str">
        <f>IF(ISBLANK(DaqBook_RAW_Data!AJ36),"",DaqBook_RAW_Data!AJ36)</f>
        <v/>
      </c>
      <c r="F46" s="167" t="str">
        <f>IF(ISBLANK(DaqBook_RAW_Data!AK36),"",DaqBook_RAW_Data!AK36)</f>
        <v/>
      </c>
      <c r="G46" s="167" t="str">
        <f>IF(ISBLANK(DaqBook_RAW_Data!AL36),"",DaqBook_RAW_Data!AL36)</f>
        <v/>
      </c>
      <c r="H46" s="167" t="str">
        <f>IF(ISBLANK(DaqBook_RAW_Data!AM36),"",DaqBook_RAW_Data!AM36)</f>
        <v/>
      </c>
      <c r="I46" s="167" t="str">
        <f>IF(ISBLANK(DaqBook_RAW_Data!AN36),"",DaqBook_RAW_Data!AN36)</f>
        <v/>
      </c>
      <c r="J46" s="167" t="str">
        <f>IF(ISBLANK(DaqBook_RAW_Data!AO36),"",DaqBook_RAW_Data!AO36)</f>
        <v/>
      </c>
      <c r="K46" s="167" t="str">
        <f>IF(ISBLANK(DaqBook_RAW_Data!AP36),"",DaqBook_RAW_Data!AP36)</f>
        <v/>
      </c>
      <c r="L46" s="167" t="str">
        <f>IF(ISBLANK(DaqBook_RAW_Data!AQ36),"",DaqBook_RAW_Data!AQ36)</f>
        <v/>
      </c>
      <c r="M46" s="167" t="str">
        <f>IF(ISBLANK(DaqBook_RAW_Data!AR36),"",DaqBook_RAW_Data!AR36)</f>
        <v/>
      </c>
      <c r="N46" s="167" t="str">
        <f>IF(ISBLANK(DaqBook_RAW_Data!AS36),"",DaqBook_RAW_Data!AS36)</f>
        <v/>
      </c>
      <c r="O46" s="167"/>
      <c r="P46" s="167"/>
    </row>
    <row r="47" spans="1:16" s="96" customFormat="1" x14ac:dyDescent="0.2">
      <c r="A47" s="145" t="e">
        <f t="shared" si="0"/>
        <v>#VALUE!</v>
      </c>
      <c r="B47" s="144" t="str">
        <f>IF(ISBLANK(DaqBook_RAW_Data!AG37),IF(DaqBook_RAW_Data!A37="","",TIMEVALUE(DaqBook_RAW_Data!A37)),TIMEVALUE(DaqBook_RAW_Data!AG37))</f>
        <v/>
      </c>
      <c r="C47" s="167" t="str">
        <f>IF(ISBLANK(DaqBook_RAW_Data!AH37),"",DaqBook_RAW_Data!AH37)</f>
        <v/>
      </c>
      <c r="D47" s="167" t="str">
        <f>IF(ISBLANK(DaqBook_RAW_Data!AI37),"",DaqBook_RAW_Data!AI37)</f>
        <v/>
      </c>
      <c r="E47" s="167" t="str">
        <f>IF(ISBLANK(DaqBook_RAW_Data!AJ37),"",DaqBook_RAW_Data!AJ37)</f>
        <v/>
      </c>
      <c r="F47" s="167" t="str">
        <f>IF(ISBLANK(DaqBook_RAW_Data!AK37),"",DaqBook_RAW_Data!AK37)</f>
        <v/>
      </c>
      <c r="G47" s="167" t="str">
        <f>IF(ISBLANK(DaqBook_RAW_Data!AL37),"",DaqBook_RAW_Data!AL37)</f>
        <v/>
      </c>
      <c r="H47" s="167" t="str">
        <f>IF(ISBLANK(DaqBook_RAW_Data!AM37),"",DaqBook_RAW_Data!AM37)</f>
        <v/>
      </c>
      <c r="I47" s="167" t="str">
        <f>IF(ISBLANK(DaqBook_RAW_Data!AN37),"",DaqBook_RAW_Data!AN37)</f>
        <v/>
      </c>
      <c r="J47" s="167" t="str">
        <f>IF(ISBLANK(DaqBook_RAW_Data!AO37),"",DaqBook_RAW_Data!AO37)</f>
        <v/>
      </c>
      <c r="K47" s="167" t="str">
        <f>IF(ISBLANK(DaqBook_RAW_Data!AP37),"",DaqBook_RAW_Data!AP37)</f>
        <v/>
      </c>
      <c r="L47" s="167" t="str">
        <f>IF(ISBLANK(DaqBook_RAW_Data!AQ37),"",DaqBook_RAW_Data!AQ37)</f>
        <v/>
      </c>
      <c r="M47" s="167" t="str">
        <f>IF(ISBLANK(DaqBook_RAW_Data!AR37),"",DaqBook_RAW_Data!AR37)</f>
        <v/>
      </c>
      <c r="N47" s="167" t="str">
        <f>IF(ISBLANK(DaqBook_RAW_Data!AS37),"",DaqBook_RAW_Data!AS37)</f>
        <v/>
      </c>
      <c r="O47" s="167"/>
      <c r="P47" s="167"/>
    </row>
    <row r="48" spans="1:16" s="96" customFormat="1" x14ac:dyDescent="0.2">
      <c r="A48" s="145" t="e">
        <f t="shared" si="0"/>
        <v>#VALUE!</v>
      </c>
      <c r="B48" s="144" t="str">
        <f>IF(ISBLANK(DaqBook_RAW_Data!AG38),IF(DaqBook_RAW_Data!A38="","",TIMEVALUE(DaqBook_RAW_Data!A38)),TIMEVALUE(DaqBook_RAW_Data!AG38))</f>
        <v/>
      </c>
      <c r="C48" s="167" t="str">
        <f>IF(ISBLANK(DaqBook_RAW_Data!AH38),"",DaqBook_RAW_Data!AH38)</f>
        <v/>
      </c>
      <c r="D48" s="167" t="str">
        <f>IF(ISBLANK(DaqBook_RAW_Data!AI38),"",DaqBook_RAW_Data!AI38)</f>
        <v/>
      </c>
      <c r="E48" s="167" t="str">
        <f>IF(ISBLANK(DaqBook_RAW_Data!AJ38),"",DaqBook_RAW_Data!AJ38)</f>
        <v/>
      </c>
      <c r="F48" s="167" t="str">
        <f>IF(ISBLANK(DaqBook_RAW_Data!AK38),"",DaqBook_RAW_Data!AK38)</f>
        <v/>
      </c>
      <c r="G48" s="167" t="str">
        <f>IF(ISBLANK(DaqBook_RAW_Data!AL38),"",DaqBook_RAW_Data!AL38)</f>
        <v/>
      </c>
      <c r="H48" s="167" t="str">
        <f>IF(ISBLANK(DaqBook_RAW_Data!AM38),"",DaqBook_RAW_Data!AM38)</f>
        <v/>
      </c>
      <c r="I48" s="167" t="str">
        <f>IF(ISBLANK(DaqBook_RAW_Data!AN38),"",DaqBook_RAW_Data!AN38)</f>
        <v/>
      </c>
      <c r="J48" s="167" t="str">
        <f>IF(ISBLANK(DaqBook_RAW_Data!AO38),"",DaqBook_RAW_Data!AO38)</f>
        <v/>
      </c>
      <c r="K48" s="167" t="str">
        <f>IF(ISBLANK(DaqBook_RAW_Data!AP38),"",DaqBook_RAW_Data!AP38)</f>
        <v/>
      </c>
      <c r="L48" s="167" t="str">
        <f>IF(ISBLANK(DaqBook_RAW_Data!AQ38),"",DaqBook_RAW_Data!AQ38)</f>
        <v/>
      </c>
      <c r="M48" s="167" t="str">
        <f>IF(ISBLANK(DaqBook_RAW_Data!AR38),"",DaqBook_RAW_Data!AR38)</f>
        <v/>
      </c>
      <c r="N48" s="167" t="str">
        <f>IF(ISBLANK(DaqBook_RAW_Data!AS38),"",DaqBook_RAW_Data!AS38)</f>
        <v/>
      </c>
      <c r="O48" s="167"/>
      <c r="P48" s="167"/>
    </row>
    <row r="49" spans="1:16" s="96" customFormat="1" x14ac:dyDescent="0.2">
      <c r="A49" s="145" t="e">
        <f t="shared" si="0"/>
        <v>#VALUE!</v>
      </c>
      <c r="B49" s="144" t="str">
        <f>IF(ISBLANK(DaqBook_RAW_Data!AG39),IF(DaqBook_RAW_Data!A39="","",TIMEVALUE(DaqBook_RAW_Data!A39)),TIMEVALUE(DaqBook_RAW_Data!AG39))</f>
        <v/>
      </c>
      <c r="C49" s="167" t="str">
        <f>IF(ISBLANK(DaqBook_RAW_Data!AH39),"",DaqBook_RAW_Data!AH39)</f>
        <v/>
      </c>
      <c r="D49" s="167" t="str">
        <f>IF(ISBLANK(DaqBook_RAW_Data!AI39),"",DaqBook_RAW_Data!AI39)</f>
        <v/>
      </c>
      <c r="E49" s="167" t="str">
        <f>IF(ISBLANK(DaqBook_RAW_Data!AJ39),"",DaqBook_RAW_Data!AJ39)</f>
        <v/>
      </c>
      <c r="F49" s="167" t="str">
        <f>IF(ISBLANK(DaqBook_RAW_Data!AK39),"",DaqBook_RAW_Data!AK39)</f>
        <v/>
      </c>
      <c r="G49" s="167" t="str">
        <f>IF(ISBLANK(DaqBook_RAW_Data!AL39),"",DaqBook_RAW_Data!AL39)</f>
        <v/>
      </c>
      <c r="H49" s="167" t="str">
        <f>IF(ISBLANK(DaqBook_RAW_Data!AM39),"",DaqBook_RAW_Data!AM39)</f>
        <v/>
      </c>
      <c r="I49" s="167" t="str">
        <f>IF(ISBLANK(DaqBook_RAW_Data!AN39),"",DaqBook_RAW_Data!AN39)</f>
        <v/>
      </c>
      <c r="J49" s="167" t="str">
        <f>IF(ISBLANK(DaqBook_RAW_Data!AO39),"",DaqBook_RAW_Data!AO39)</f>
        <v/>
      </c>
      <c r="K49" s="167" t="str">
        <f>IF(ISBLANK(DaqBook_RAW_Data!AP39),"",DaqBook_RAW_Data!AP39)</f>
        <v/>
      </c>
      <c r="L49" s="167" t="str">
        <f>IF(ISBLANK(DaqBook_RAW_Data!AQ39),"",DaqBook_RAW_Data!AQ39)</f>
        <v/>
      </c>
      <c r="M49" s="167" t="str">
        <f>IF(ISBLANK(DaqBook_RAW_Data!AR39),"",DaqBook_RAW_Data!AR39)</f>
        <v/>
      </c>
      <c r="N49" s="167" t="str">
        <f>IF(ISBLANK(DaqBook_RAW_Data!AS39),"",DaqBook_RAW_Data!AS39)</f>
        <v/>
      </c>
      <c r="O49" s="167"/>
      <c r="P49" s="167"/>
    </row>
    <row r="50" spans="1:16" s="96" customFormat="1" x14ac:dyDescent="0.2">
      <c r="A50" s="145" t="e">
        <f t="shared" si="0"/>
        <v>#VALUE!</v>
      </c>
      <c r="B50" s="144" t="str">
        <f>IF(ISBLANK(DaqBook_RAW_Data!AG40),IF(DaqBook_RAW_Data!A40="","",TIMEVALUE(DaqBook_RAW_Data!A40)),TIMEVALUE(DaqBook_RAW_Data!AG40))</f>
        <v/>
      </c>
      <c r="C50" s="167" t="str">
        <f>IF(ISBLANK(DaqBook_RAW_Data!AH40),"",DaqBook_RAW_Data!AH40)</f>
        <v/>
      </c>
      <c r="D50" s="167" t="str">
        <f>IF(ISBLANK(DaqBook_RAW_Data!AI40),"",DaqBook_RAW_Data!AI40)</f>
        <v/>
      </c>
      <c r="E50" s="167" t="str">
        <f>IF(ISBLANK(DaqBook_RAW_Data!AJ40),"",DaqBook_RAW_Data!AJ40)</f>
        <v/>
      </c>
      <c r="F50" s="167" t="str">
        <f>IF(ISBLANK(DaqBook_RAW_Data!AK40),"",DaqBook_RAW_Data!AK40)</f>
        <v/>
      </c>
      <c r="G50" s="167" t="str">
        <f>IF(ISBLANK(DaqBook_RAW_Data!AL40),"",DaqBook_RAW_Data!AL40)</f>
        <v/>
      </c>
      <c r="H50" s="167" t="str">
        <f>IF(ISBLANK(DaqBook_RAW_Data!AM40),"",DaqBook_RAW_Data!AM40)</f>
        <v/>
      </c>
      <c r="I50" s="167" t="str">
        <f>IF(ISBLANK(DaqBook_RAW_Data!AN40),"",DaqBook_RAW_Data!AN40)</f>
        <v/>
      </c>
      <c r="J50" s="167" t="str">
        <f>IF(ISBLANK(DaqBook_RAW_Data!AO40),"",DaqBook_RAW_Data!AO40)</f>
        <v/>
      </c>
      <c r="K50" s="167" t="str">
        <f>IF(ISBLANK(DaqBook_RAW_Data!AP40),"",DaqBook_RAW_Data!AP40)</f>
        <v/>
      </c>
      <c r="L50" s="167" t="str">
        <f>IF(ISBLANK(DaqBook_RAW_Data!AQ40),"",DaqBook_RAW_Data!AQ40)</f>
        <v/>
      </c>
      <c r="M50" s="167" t="str">
        <f>IF(ISBLANK(DaqBook_RAW_Data!AR40),"",DaqBook_RAW_Data!AR40)</f>
        <v/>
      </c>
      <c r="N50" s="167" t="str">
        <f>IF(ISBLANK(DaqBook_RAW_Data!AS40),"",DaqBook_RAW_Data!AS40)</f>
        <v/>
      </c>
      <c r="O50" s="167"/>
      <c r="P50" s="167"/>
    </row>
    <row r="51" spans="1:16" s="96" customFormat="1" x14ac:dyDescent="0.2">
      <c r="A51" s="145" t="e">
        <f t="shared" si="0"/>
        <v>#VALUE!</v>
      </c>
      <c r="B51" s="144" t="str">
        <f>IF(ISBLANK(DaqBook_RAW_Data!AG41),IF(DaqBook_RAW_Data!A41="","",TIMEVALUE(DaqBook_RAW_Data!A41)),TIMEVALUE(DaqBook_RAW_Data!AG41))</f>
        <v/>
      </c>
      <c r="C51" s="167" t="str">
        <f>IF(ISBLANK(DaqBook_RAW_Data!AH41),"",DaqBook_RAW_Data!AH41)</f>
        <v/>
      </c>
      <c r="D51" s="167" t="str">
        <f>IF(ISBLANK(DaqBook_RAW_Data!AI41),"",DaqBook_RAW_Data!AI41)</f>
        <v/>
      </c>
      <c r="E51" s="167" t="str">
        <f>IF(ISBLANK(DaqBook_RAW_Data!AJ41),"",DaqBook_RAW_Data!AJ41)</f>
        <v/>
      </c>
      <c r="F51" s="167" t="str">
        <f>IF(ISBLANK(DaqBook_RAW_Data!AK41),"",DaqBook_RAW_Data!AK41)</f>
        <v/>
      </c>
      <c r="G51" s="167" t="str">
        <f>IF(ISBLANK(DaqBook_RAW_Data!AL41),"",DaqBook_RAW_Data!AL41)</f>
        <v/>
      </c>
      <c r="H51" s="167" t="str">
        <f>IF(ISBLANK(DaqBook_RAW_Data!AM41),"",DaqBook_RAW_Data!AM41)</f>
        <v/>
      </c>
      <c r="I51" s="167" t="str">
        <f>IF(ISBLANK(DaqBook_RAW_Data!AN41),"",DaqBook_RAW_Data!AN41)</f>
        <v/>
      </c>
      <c r="J51" s="167" t="str">
        <f>IF(ISBLANK(DaqBook_RAW_Data!AO41),"",DaqBook_RAW_Data!AO41)</f>
        <v/>
      </c>
      <c r="K51" s="167" t="str">
        <f>IF(ISBLANK(DaqBook_RAW_Data!AP41),"",DaqBook_RAW_Data!AP41)</f>
        <v/>
      </c>
      <c r="L51" s="167" t="str">
        <f>IF(ISBLANK(DaqBook_RAW_Data!AQ41),"",DaqBook_RAW_Data!AQ41)</f>
        <v/>
      </c>
      <c r="M51" s="167" t="str">
        <f>IF(ISBLANK(DaqBook_RAW_Data!AR41),"",DaqBook_RAW_Data!AR41)</f>
        <v/>
      </c>
      <c r="N51" s="167" t="str">
        <f>IF(ISBLANK(DaqBook_RAW_Data!AS41),"",DaqBook_RAW_Data!AS41)</f>
        <v/>
      </c>
      <c r="O51" s="167"/>
      <c r="P51" s="167"/>
    </row>
    <row r="52" spans="1:16" s="96" customFormat="1" x14ac:dyDescent="0.2">
      <c r="A52" s="145" t="e">
        <f t="shared" si="0"/>
        <v>#VALUE!</v>
      </c>
      <c r="B52" s="144" t="str">
        <f>IF(ISBLANK(DaqBook_RAW_Data!AG42),IF(DaqBook_RAW_Data!A42="","",TIMEVALUE(DaqBook_RAW_Data!A42)),TIMEVALUE(DaqBook_RAW_Data!AG42))</f>
        <v/>
      </c>
      <c r="C52" s="167" t="str">
        <f>IF(ISBLANK(DaqBook_RAW_Data!AH42),"",DaqBook_RAW_Data!AH42)</f>
        <v/>
      </c>
      <c r="D52" s="167" t="str">
        <f>IF(ISBLANK(DaqBook_RAW_Data!AI42),"",DaqBook_RAW_Data!AI42)</f>
        <v/>
      </c>
      <c r="E52" s="167" t="str">
        <f>IF(ISBLANK(DaqBook_RAW_Data!AJ42),"",DaqBook_RAW_Data!AJ42)</f>
        <v/>
      </c>
      <c r="F52" s="167" t="str">
        <f>IF(ISBLANK(DaqBook_RAW_Data!AK42),"",DaqBook_RAW_Data!AK42)</f>
        <v/>
      </c>
      <c r="G52" s="167" t="str">
        <f>IF(ISBLANK(DaqBook_RAW_Data!AL42),"",DaqBook_RAW_Data!AL42)</f>
        <v/>
      </c>
      <c r="H52" s="167" t="str">
        <f>IF(ISBLANK(DaqBook_RAW_Data!AM42),"",DaqBook_RAW_Data!AM42)</f>
        <v/>
      </c>
      <c r="I52" s="167" t="str">
        <f>IF(ISBLANK(DaqBook_RAW_Data!AN42),"",DaqBook_RAW_Data!AN42)</f>
        <v/>
      </c>
      <c r="J52" s="167" t="str">
        <f>IF(ISBLANK(DaqBook_RAW_Data!AO42),"",DaqBook_RAW_Data!AO42)</f>
        <v/>
      </c>
      <c r="K52" s="167" t="str">
        <f>IF(ISBLANK(DaqBook_RAW_Data!AP42),"",DaqBook_RAW_Data!AP42)</f>
        <v/>
      </c>
      <c r="L52" s="167" t="str">
        <f>IF(ISBLANK(DaqBook_RAW_Data!AQ42),"",DaqBook_RAW_Data!AQ42)</f>
        <v/>
      </c>
      <c r="M52" s="167" t="str">
        <f>IF(ISBLANK(DaqBook_RAW_Data!AR42),"",DaqBook_RAW_Data!AR42)</f>
        <v/>
      </c>
      <c r="N52" s="167" t="str">
        <f>IF(ISBLANK(DaqBook_RAW_Data!AS42),"",DaqBook_RAW_Data!AS42)</f>
        <v/>
      </c>
      <c r="O52" s="167"/>
      <c r="P52" s="167"/>
    </row>
    <row r="53" spans="1:16" s="96" customFormat="1" x14ac:dyDescent="0.2">
      <c r="A53" s="145" t="e">
        <f t="shared" si="0"/>
        <v>#VALUE!</v>
      </c>
      <c r="B53" s="144" t="str">
        <f>IF(ISBLANK(DaqBook_RAW_Data!AG43),IF(DaqBook_RAW_Data!A43="","",TIMEVALUE(DaqBook_RAW_Data!A43)),TIMEVALUE(DaqBook_RAW_Data!AG43))</f>
        <v/>
      </c>
      <c r="C53" s="167" t="str">
        <f>IF(ISBLANK(DaqBook_RAW_Data!AH43),"",DaqBook_RAW_Data!AH43)</f>
        <v/>
      </c>
      <c r="D53" s="167" t="str">
        <f>IF(ISBLANK(DaqBook_RAW_Data!AI43),"",DaqBook_RAW_Data!AI43)</f>
        <v/>
      </c>
      <c r="E53" s="167" t="str">
        <f>IF(ISBLANK(DaqBook_RAW_Data!AJ43),"",DaqBook_RAW_Data!AJ43)</f>
        <v/>
      </c>
      <c r="F53" s="167" t="str">
        <f>IF(ISBLANK(DaqBook_RAW_Data!AK43),"",DaqBook_RAW_Data!AK43)</f>
        <v/>
      </c>
      <c r="G53" s="167" t="str">
        <f>IF(ISBLANK(DaqBook_RAW_Data!AL43),"",DaqBook_RAW_Data!AL43)</f>
        <v/>
      </c>
      <c r="H53" s="167" t="str">
        <f>IF(ISBLANK(DaqBook_RAW_Data!AM43),"",DaqBook_RAW_Data!AM43)</f>
        <v/>
      </c>
      <c r="I53" s="167" t="str">
        <f>IF(ISBLANK(DaqBook_RAW_Data!AN43),"",DaqBook_RAW_Data!AN43)</f>
        <v/>
      </c>
      <c r="J53" s="167" t="str">
        <f>IF(ISBLANK(DaqBook_RAW_Data!AO43),"",DaqBook_RAW_Data!AO43)</f>
        <v/>
      </c>
      <c r="K53" s="167" t="str">
        <f>IF(ISBLANK(DaqBook_RAW_Data!AP43),"",DaqBook_RAW_Data!AP43)</f>
        <v/>
      </c>
      <c r="L53" s="167" t="str">
        <f>IF(ISBLANK(DaqBook_RAW_Data!AQ43),"",DaqBook_RAW_Data!AQ43)</f>
        <v/>
      </c>
      <c r="M53" s="167" t="str">
        <f>IF(ISBLANK(DaqBook_RAW_Data!AR43),"",DaqBook_RAW_Data!AR43)</f>
        <v/>
      </c>
      <c r="N53" s="167" t="str">
        <f>IF(ISBLANK(DaqBook_RAW_Data!AS43),"",DaqBook_RAW_Data!AS43)</f>
        <v/>
      </c>
      <c r="O53" s="167"/>
      <c r="P53" s="167"/>
    </row>
    <row r="54" spans="1:16" s="96" customFormat="1" x14ac:dyDescent="0.2">
      <c r="A54" s="145" t="e">
        <f t="shared" si="0"/>
        <v>#VALUE!</v>
      </c>
      <c r="B54" s="144" t="str">
        <f>IF(ISBLANK(DaqBook_RAW_Data!AG44),IF(DaqBook_RAW_Data!A44="","",TIMEVALUE(DaqBook_RAW_Data!A44)),TIMEVALUE(DaqBook_RAW_Data!AG44))</f>
        <v/>
      </c>
      <c r="C54" s="167" t="str">
        <f>IF(ISBLANK(DaqBook_RAW_Data!AH44),"",DaqBook_RAW_Data!AH44)</f>
        <v/>
      </c>
      <c r="D54" s="167" t="str">
        <f>IF(ISBLANK(DaqBook_RAW_Data!AI44),"",DaqBook_RAW_Data!AI44)</f>
        <v/>
      </c>
      <c r="E54" s="167" t="str">
        <f>IF(ISBLANK(DaqBook_RAW_Data!AJ44),"",DaqBook_RAW_Data!AJ44)</f>
        <v/>
      </c>
      <c r="F54" s="167" t="str">
        <f>IF(ISBLANK(DaqBook_RAW_Data!AK44),"",DaqBook_RAW_Data!AK44)</f>
        <v/>
      </c>
      <c r="G54" s="167" t="str">
        <f>IF(ISBLANK(DaqBook_RAW_Data!AL44),"",DaqBook_RAW_Data!AL44)</f>
        <v/>
      </c>
      <c r="H54" s="167" t="str">
        <f>IF(ISBLANK(DaqBook_RAW_Data!AM44),"",DaqBook_RAW_Data!AM44)</f>
        <v/>
      </c>
      <c r="I54" s="167" t="str">
        <f>IF(ISBLANK(DaqBook_RAW_Data!AN44),"",DaqBook_RAW_Data!AN44)</f>
        <v/>
      </c>
      <c r="J54" s="167" t="str">
        <f>IF(ISBLANK(DaqBook_RAW_Data!AO44),"",DaqBook_RAW_Data!AO44)</f>
        <v/>
      </c>
      <c r="K54" s="167" t="str">
        <f>IF(ISBLANK(DaqBook_RAW_Data!AP44),"",DaqBook_RAW_Data!AP44)</f>
        <v/>
      </c>
      <c r="L54" s="167" t="str">
        <f>IF(ISBLANK(DaqBook_RAW_Data!AQ44),"",DaqBook_RAW_Data!AQ44)</f>
        <v/>
      </c>
      <c r="M54" s="167" t="str">
        <f>IF(ISBLANK(DaqBook_RAW_Data!AR44),"",DaqBook_RAW_Data!AR44)</f>
        <v/>
      </c>
      <c r="N54" s="167" t="str">
        <f>IF(ISBLANK(DaqBook_RAW_Data!AS44),"",DaqBook_RAW_Data!AS44)</f>
        <v/>
      </c>
      <c r="O54" s="167"/>
      <c r="P54" s="167"/>
    </row>
    <row r="55" spans="1:16" s="96" customFormat="1" x14ac:dyDescent="0.2">
      <c r="A55" s="145" t="e">
        <f t="shared" si="0"/>
        <v>#VALUE!</v>
      </c>
      <c r="B55" s="144" t="str">
        <f>IF(ISBLANK(DaqBook_RAW_Data!AG45),IF(DaqBook_RAW_Data!A45="","",TIMEVALUE(DaqBook_RAW_Data!A45)),TIMEVALUE(DaqBook_RAW_Data!AG45))</f>
        <v/>
      </c>
      <c r="C55" s="167" t="str">
        <f>IF(ISBLANK(DaqBook_RAW_Data!AH45),"",DaqBook_RAW_Data!AH45)</f>
        <v/>
      </c>
      <c r="D55" s="167" t="str">
        <f>IF(ISBLANK(DaqBook_RAW_Data!AI45),"",DaqBook_RAW_Data!AI45)</f>
        <v/>
      </c>
      <c r="E55" s="167" t="str">
        <f>IF(ISBLANK(DaqBook_RAW_Data!AJ45),"",DaqBook_RAW_Data!AJ45)</f>
        <v/>
      </c>
      <c r="F55" s="167" t="str">
        <f>IF(ISBLANK(DaqBook_RAW_Data!AK45),"",DaqBook_RAW_Data!AK45)</f>
        <v/>
      </c>
      <c r="G55" s="167" t="str">
        <f>IF(ISBLANK(DaqBook_RAW_Data!AL45),"",DaqBook_RAW_Data!AL45)</f>
        <v/>
      </c>
      <c r="H55" s="167" t="str">
        <f>IF(ISBLANK(DaqBook_RAW_Data!AM45),"",DaqBook_RAW_Data!AM45)</f>
        <v/>
      </c>
      <c r="I55" s="167" t="str">
        <f>IF(ISBLANK(DaqBook_RAW_Data!AN45),"",DaqBook_RAW_Data!AN45)</f>
        <v/>
      </c>
      <c r="J55" s="167" t="str">
        <f>IF(ISBLANK(DaqBook_RAW_Data!AO45),"",DaqBook_RAW_Data!AO45)</f>
        <v/>
      </c>
      <c r="K55" s="167" t="str">
        <f>IF(ISBLANK(DaqBook_RAW_Data!AP45),"",DaqBook_RAW_Data!AP45)</f>
        <v/>
      </c>
      <c r="L55" s="167" t="str">
        <f>IF(ISBLANK(DaqBook_RAW_Data!AQ45),"",DaqBook_RAW_Data!AQ45)</f>
        <v/>
      </c>
      <c r="M55" s="167" t="str">
        <f>IF(ISBLANK(DaqBook_RAW_Data!AR45),"",DaqBook_RAW_Data!AR45)</f>
        <v/>
      </c>
      <c r="N55" s="167" t="str">
        <f>IF(ISBLANK(DaqBook_RAW_Data!AS45),"",DaqBook_RAW_Data!AS45)</f>
        <v/>
      </c>
      <c r="O55" s="167"/>
      <c r="P55" s="167"/>
    </row>
    <row r="56" spans="1:16" s="96" customFormat="1" x14ac:dyDescent="0.2">
      <c r="A56" s="145" t="e">
        <f t="shared" si="0"/>
        <v>#VALUE!</v>
      </c>
      <c r="B56" s="144" t="str">
        <f>IF(ISBLANK(DaqBook_RAW_Data!AG46),IF(DaqBook_RAW_Data!A46="","",TIMEVALUE(DaqBook_RAW_Data!A46)),TIMEVALUE(DaqBook_RAW_Data!AG46))</f>
        <v/>
      </c>
      <c r="C56" s="167" t="str">
        <f>IF(ISBLANK(DaqBook_RAW_Data!AH46),"",DaqBook_RAW_Data!AH46)</f>
        <v/>
      </c>
      <c r="D56" s="167" t="str">
        <f>IF(ISBLANK(DaqBook_RAW_Data!AI46),"",DaqBook_RAW_Data!AI46)</f>
        <v/>
      </c>
      <c r="E56" s="167" t="str">
        <f>IF(ISBLANK(DaqBook_RAW_Data!AJ46),"",DaqBook_RAW_Data!AJ46)</f>
        <v/>
      </c>
      <c r="F56" s="167" t="str">
        <f>IF(ISBLANK(DaqBook_RAW_Data!AK46),"",DaqBook_RAW_Data!AK46)</f>
        <v/>
      </c>
      <c r="G56" s="167" t="str">
        <f>IF(ISBLANK(DaqBook_RAW_Data!AL46),"",DaqBook_RAW_Data!AL46)</f>
        <v/>
      </c>
      <c r="H56" s="167" t="str">
        <f>IF(ISBLANK(DaqBook_RAW_Data!AM46),"",DaqBook_RAW_Data!AM46)</f>
        <v/>
      </c>
      <c r="I56" s="167" t="str">
        <f>IF(ISBLANK(DaqBook_RAW_Data!AN46),"",DaqBook_RAW_Data!AN46)</f>
        <v/>
      </c>
      <c r="J56" s="167" t="str">
        <f>IF(ISBLANK(DaqBook_RAW_Data!AO46),"",DaqBook_RAW_Data!AO46)</f>
        <v/>
      </c>
      <c r="K56" s="167" t="str">
        <f>IF(ISBLANK(DaqBook_RAW_Data!AP46),"",DaqBook_RAW_Data!AP46)</f>
        <v/>
      </c>
      <c r="L56" s="167" t="str">
        <f>IF(ISBLANK(DaqBook_RAW_Data!AQ46),"",DaqBook_RAW_Data!AQ46)</f>
        <v/>
      </c>
      <c r="M56" s="167" t="str">
        <f>IF(ISBLANK(DaqBook_RAW_Data!AR46),"",DaqBook_RAW_Data!AR46)</f>
        <v/>
      </c>
      <c r="N56" s="167" t="str">
        <f>IF(ISBLANK(DaqBook_RAW_Data!AS46),"",DaqBook_RAW_Data!AS46)</f>
        <v/>
      </c>
      <c r="O56" s="167"/>
      <c r="P56" s="167"/>
    </row>
    <row r="57" spans="1:16" s="96" customFormat="1" x14ac:dyDescent="0.2">
      <c r="A57" s="145" t="e">
        <f t="shared" si="0"/>
        <v>#VALUE!</v>
      </c>
      <c r="B57" s="144" t="str">
        <f>IF(ISBLANK(DaqBook_RAW_Data!AG47),IF(DaqBook_RAW_Data!A47="","",TIMEVALUE(DaqBook_RAW_Data!A47)),TIMEVALUE(DaqBook_RAW_Data!AG47))</f>
        <v/>
      </c>
      <c r="C57" s="167" t="str">
        <f>IF(ISBLANK(DaqBook_RAW_Data!AH47),"",DaqBook_RAW_Data!AH47)</f>
        <v/>
      </c>
      <c r="D57" s="167" t="str">
        <f>IF(ISBLANK(DaqBook_RAW_Data!AI47),"",DaqBook_RAW_Data!AI47)</f>
        <v/>
      </c>
      <c r="E57" s="167" t="str">
        <f>IF(ISBLANK(DaqBook_RAW_Data!AJ47),"",DaqBook_RAW_Data!AJ47)</f>
        <v/>
      </c>
      <c r="F57" s="167" t="str">
        <f>IF(ISBLANK(DaqBook_RAW_Data!AK47),"",DaqBook_RAW_Data!AK47)</f>
        <v/>
      </c>
      <c r="G57" s="167" t="str">
        <f>IF(ISBLANK(DaqBook_RAW_Data!AL47),"",DaqBook_RAW_Data!AL47)</f>
        <v/>
      </c>
      <c r="H57" s="167" t="str">
        <f>IF(ISBLANK(DaqBook_RAW_Data!AM47),"",DaqBook_RAW_Data!AM47)</f>
        <v/>
      </c>
      <c r="I57" s="167" t="str">
        <f>IF(ISBLANK(DaqBook_RAW_Data!AN47),"",DaqBook_RAW_Data!AN47)</f>
        <v/>
      </c>
      <c r="J57" s="167" t="str">
        <f>IF(ISBLANK(DaqBook_RAW_Data!AO47),"",DaqBook_RAW_Data!AO47)</f>
        <v/>
      </c>
      <c r="K57" s="167" t="str">
        <f>IF(ISBLANK(DaqBook_RAW_Data!AP47),"",DaqBook_RAW_Data!AP47)</f>
        <v/>
      </c>
      <c r="L57" s="167" t="str">
        <f>IF(ISBLANK(DaqBook_RAW_Data!AQ47),"",DaqBook_RAW_Data!AQ47)</f>
        <v/>
      </c>
      <c r="M57" s="167" t="str">
        <f>IF(ISBLANK(DaqBook_RAW_Data!AR47),"",DaqBook_RAW_Data!AR47)</f>
        <v/>
      </c>
      <c r="N57" s="167" t="str">
        <f>IF(ISBLANK(DaqBook_RAW_Data!AS47),"",DaqBook_RAW_Data!AS47)</f>
        <v/>
      </c>
      <c r="O57" s="167"/>
      <c r="P57" s="167"/>
    </row>
    <row r="58" spans="1:16" s="96" customFormat="1" x14ac:dyDescent="0.2">
      <c r="A58" s="145" t="e">
        <f t="shared" si="0"/>
        <v>#VALUE!</v>
      </c>
      <c r="B58" s="144" t="str">
        <f>IF(ISBLANK(DaqBook_RAW_Data!AG48),IF(DaqBook_RAW_Data!A48="","",TIMEVALUE(DaqBook_RAW_Data!A48)),TIMEVALUE(DaqBook_RAW_Data!AG48))</f>
        <v/>
      </c>
      <c r="C58" s="167" t="str">
        <f>IF(ISBLANK(DaqBook_RAW_Data!AH48),"",DaqBook_RAW_Data!AH48)</f>
        <v/>
      </c>
      <c r="D58" s="167" t="str">
        <f>IF(ISBLANK(DaqBook_RAW_Data!AI48),"",DaqBook_RAW_Data!AI48)</f>
        <v/>
      </c>
      <c r="E58" s="167" t="str">
        <f>IF(ISBLANK(DaqBook_RAW_Data!AJ48),"",DaqBook_RAW_Data!AJ48)</f>
        <v/>
      </c>
      <c r="F58" s="167" t="str">
        <f>IF(ISBLANK(DaqBook_RAW_Data!AK48),"",DaqBook_RAW_Data!AK48)</f>
        <v/>
      </c>
      <c r="G58" s="167" t="str">
        <f>IF(ISBLANK(DaqBook_RAW_Data!AL48),"",DaqBook_RAW_Data!AL48)</f>
        <v/>
      </c>
      <c r="H58" s="167" t="str">
        <f>IF(ISBLANK(DaqBook_RAW_Data!AM48),"",DaqBook_RAW_Data!AM48)</f>
        <v/>
      </c>
      <c r="I58" s="167" t="str">
        <f>IF(ISBLANK(DaqBook_RAW_Data!AN48),"",DaqBook_RAW_Data!AN48)</f>
        <v/>
      </c>
      <c r="J58" s="167" t="str">
        <f>IF(ISBLANK(DaqBook_RAW_Data!AO48),"",DaqBook_RAW_Data!AO48)</f>
        <v/>
      </c>
      <c r="K58" s="167" t="str">
        <f>IF(ISBLANK(DaqBook_RAW_Data!AP48),"",DaqBook_RAW_Data!AP48)</f>
        <v/>
      </c>
      <c r="L58" s="167" t="str">
        <f>IF(ISBLANK(DaqBook_RAW_Data!AQ48),"",DaqBook_RAW_Data!AQ48)</f>
        <v/>
      </c>
      <c r="M58" s="167" t="str">
        <f>IF(ISBLANK(DaqBook_RAW_Data!AR48),"",DaqBook_RAW_Data!AR48)</f>
        <v/>
      </c>
      <c r="N58" s="167" t="str">
        <f>IF(ISBLANK(DaqBook_RAW_Data!AS48),"",DaqBook_RAW_Data!AS48)</f>
        <v/>
      </c>
      <c r="O58" s="167"/>
      <c r="P58" s="167"/>
    </row>
    <row r="59" spans="1:16" s="96" customFormat="1" x14ac:dyDescent="0.2">
      <c r="A59" s="145" t="e">
        <f t="shared" si="0"/>
        <v>#VALUE!</v>
      </c>
      <c r="B59" s="144" t="str">
        <f>IF(ISBLANK(DaqBook_RAW_Data!AG49),IF(DaqBook_RAW_Data!A49="","",TIMEVALUE(DaqBook_RAW_Data!A49)),TIMEVALUE(DaqBook_RAW_Data!AG49))</f>
        <v/>
      </c>
      <c r="C59" s="167" t="str">
        <f>IF(ISBLANK(DaqBook_RAW_Data!AH49),"",DaqBook_RAW_Data!AH49)</f>
        <v/>
      </c>
      <c r="D59" s="167" t="str">
        <f>IF(ISBLANK(DaqBook_RAW_Data!AI49),"",DaqBook_RAW_Data!AI49)</f>
        <v/>
      </c>
      <c r="E59" s="167" t="str">
        <f>IF(ISBLANK(DaqBook_RAW_Data!AJ49),"",DaqBook_RAW_Data!AJ49)</f>
        <v/>
      </c>
      <c r="F59" s="167" t="str">
        <f>IF(ISBLANK(DaqBook_RAW_Data!AK49),"",DaqBook_RAW_Data!AK49)</f>
        <v/>
      </c>
      <c r="G59" s="167" t="str">
        <f>IF(ISBLANK(DaqBook_RAW_Data!AL49),"",DaqBook_RAW_Data!AL49)</f>
        <v/>
      </c>
      <c r="H59" s="167" t="str">
        <f>IF(ISBLANK(DaqBook_RAW_Data!AM49),"",DaqBook_RAW_Data!AM49)</f>
        <v/>
      </c>
      <c r="I59" s="167" t="str">
        <f>IF(ISBLANK(DaqBook_RAW_Data!AN49),"",DaqBook_RAW_Data!AN49)</f>
        <v/>
      </c>
      <c r="J59" s="167" t="str">
        <f>IF(ISBLANK(DaqBook_RAW_Data!AO49),"",DaqBook_RAW_Data!AO49)</f>
        <v/>
      </c>
      <c r="K59" s="167" t="str">
        <f>IF(ISBLANK(DaqBook_RAW_Data!AP49),"",DaqBook_RAW_Data!AP49)</f>
        <v/>
      </c>
      <c r="L59" s="167" t="str">
        <f>IF(ISBLANK(DaqBook_RAW_Data!AQ49),"",DaqBook_RAW_Data!AQ49)</f>
        <v/>
      </c>
      <c r="M59" s="167" t="str">
        <f>IF(ISBLANK(DaqBook_RAW_Data!AR49),"",DaqBook_RAW_Data!AR49)</f>
        <v/>
      </c>
      <c r="N59" s="167" t="str">
        <f>IF(ISBLANK(DaqBook_RAW_Data!AS49),"",DaqBook_RAW_Data!AS49)</f>
        <v/>
      </c>
      <c r="O59" s="167"/>
      <c r="P59" s="167"/>
    </row>
    <row r="60" spans="1:16" s="96" customFormat="1" x14ac:dyDescent="0.2">
      <c r="A60" s="145" t="e">
        <f t="shared" si="0"/>
        <v>#VALUE!</v>
      </c>
      <c r="B60" s="144" t="str">
        <f>IF(ISBLANK(DaqBook_RAW_Data!AG50),IF(DaqBook_RAW_Data!A50="","",TIMEVALUE(DaqBook_RAW_Data!A50)),TIMEVALUE(DaqBook_RAW_Data!AG50))</f>
        <v/>
      </c>
      <c r="C60" s="167" t="str">
        <f>IF(ISBLANK(DaqBook_RAW_Data!AH50),"",DaqBook_RAW_Data!AH50)</f>
        <v/>
      </c>
      <c r="D60" s="167" t="str">
        <f>IF(ISBLANK(DaqBook_RAW_Data!AI50),"",DaqBook_RAW_Data!AI50)</f>
        <v/>
      </c>
      <c r="E60" s="167" t="str">
        <f>IF(ISBLANK(DaqBook_RAW_Data!AJ50),"",DaqBook_RAW_Data!AJ50)</f>
        <v/>
      </c>
      <c r="F60" s="167" t="str">
        <f>IF(ISBLANK(DaqBook_RAW_Data!AK50),"",DaqBook_RAW_Data!AK50)</f>
        <v/>
      </c>
      <c r="G60" s="167" t="str">
        <f>IF(ISBLANK(DaqBook_RAW_Data!AL50),"",DaqBook_RAW_Data!AL50)</f>
        <v/>
      </c>
      <c r="H60" s="167" t="str">
        <f>IF(ISBLANK(DaqBook_RAW_Data!AM50),"",DaqBook_RAW_Data!AM50)</f>
        <v/>
      </c>
      <c r="I60" s="167" t="str">
        <f>IF(ISBLANK(DaqBook_RAW_Data!AN50),"",DaqBook_RAW_Data!AN50)</f>
        <v/>
      </c>
      <c r="J60" s="167" t="str">
        <f>IF(ISBLANK(DaqBook_RAW_Data!AO50),"",DaqBook_RAW_Data!AO50)</f>
        <v/>
      </c>
      <c r="K60" s="167" t="str">
        <f>IF(ISBLANK(DaqBook_RAW_Data!AP50),"",DaqBook_RAW_Data!AP50)</f>
        <v/>
      </c>
      <c r="L60" s="167" t="str">
        <f>IF(ISBLANK(DaqBook_RAW_Data!AQ50),"",DaqBook_RAW_Data!AQ50)</f>
        <v/>
      </c>
      <c r="M60" s="167" t="str">
        <f>IF(ISBLANK(DaqBook_RAW_Data!AR50),"",DaqBook_RAW_Data!AR50)</f>
        <v/>
      </c>
      <c r="N60" s="167" t="str">
        <f>IF(ISBLANK(DaqBook_RAW_Data!AS50),"",DaqBook_RAW_Data!AS50)</f>
        <v/>
      </c>
      <c r="O60" s="167"/>
      <c r="P60" s="167"/>
    </row>
    <row r="61" spans="1:16" s="96" customFormat="1" x14ac:dyDescent="0.2">
      <c r="A61" s="145" t="e">
        <f t="shared" si="0"/>
        <v>#VALUE!</v>
      </c>
      <c r="B61" s="144" t="str">
        <f>IF(ISBLANK(DaqBook_RAW_Data!AG51),IF(DaqBook_RAW_Data!A51="","",TIMEVALUE(DaqBook_RAW_Data!A51)),TIMEVALUE(DaqBook_RAW_Data!AG51))</f>
        <v/>
      </c>
      <c r="C61" s="167" t="str">
        <f>IF(ISBLANK(DaqBook_RAW_Data!AH51),"",DaqBook_RAW_Data!AH51)</f>
        <v/>
      </c>
      <c r="D61" s="167" t="str">
        <f>IF(ISBLANK(DaqBook_RAW_Data!AI51),"",DaqBook_RAW_Data!AI51)</f>
        <v/>
      </c>
      <c r="E61" s="167" t="str">
        <f>IF(ISBLANK(DaqBook_RAW_Data!AJ51),"",DaqBook_RAW_Data!AJ51)</f>
        <v/>
      </c>
      <c r="F61" s="167" t="str">
        <f>IF(ISBLANK(DaqBook_RAW_Data!AK51),"",DaqBook_RAW_Data!AK51)</f>
        <v/>
      </c>
      <c r="G61" s="167" t="str">
        <f>IF(ISBLANK(DaqBook_RAW_Data!AL51),"",DaqBook_RAW_Data!AL51)</f>
        <v/>
      </c>
      <c r="H61" s="167" t="str">
        <f>IF(ISBLANK(DaqBook_RAW_Data!AM51),"",DaqBook_RAW_Data!AM51)</f>
        <v/>
      </c>
      <c r="I61" s="167" t="str">
        <f>IF(ISBLANK(DaqBook_RAW_Data!AN51),"",DaqBook_RAW_Data!AN51)</f>
        <v/>
      </c>
      <c r="J61" s="167" t="str">
        <f>IF(ISBLANK(DaqBook_RAW_Data!AO51),"",DaqBook_RAW_Data!AO51)</f>
        <v/>
      </c>
      <c r="K61" s="167" t="str">
        <f>IF(ISBLANK(DaqBook_RAW_Data!AP51),"",DaqBook_RAW_Data!AP51)</f>
        <v/>
      </c>
      <c r="L61" s="167" t="str">
        <f>IF(ISBLANK(DaqBook_RAW_Data!AQ51),"",DaqBook_RAW_Data!AQ51)</f>
        <v/>
      </c>
      <c r="M61" s="167" t="str">
        <f>IF(ISBLANK(DaqBook_RAW_Data!AR51),"",DaqBook_RAW_Data!AR51)</f>
        <v/>
      </c>
      <c r="N61" s="167" t="str">
        <f>IF(ISBLANK(DaqBook_RAW_Data!AS51),"",DaqBook_RAW_Data!AS51)</f>
        <v/>
      </c>
      <c r="O61" s="167"/>
      <c r="P61" s="167"/>
    </row>
    <row r="62" spans="1:16" s="96" customFormat="1" x14ac:dyDescent="0.2">
      <c r="A62" s="145" t="e">
        <f t="shared" si="0"/>
        <v>#VALUE!</v>
      </c>
      <c r="B62" s="144" t="str">
        <f>IF(ISBLANK(DaqBook_RAW_Data!AG52),IF(DaqBook_RAW_Data!A52="","",TIMEVALUE(DaqBook_RAW_Data!A52)),TIMEVALUE(DaqBook_RAW_Data!AG52))</f>
        <v/>
      </c>
      <c r="C62" s="167" t="str">
        <f>IF(ISBLANK(DaqBook_RAW_Data!AH52),"",DaqBook_RAW_Data!AH52)</f>
        <v/>
      </c>
      <c r="D62" s="167" t="str">
        <f>IF(ISBLANK(DaqBook_RAW_Data!AI52),"",DaqBook_RAW_Data!AI52)</f>
        <v/>
      </c>
      <c r="E62" s="167" t="str">
        <f>IF(ISBLANK(DaqBook_RAW_Data!AJ52),"",DaqBook_RAW_Data!AJ52)</f>
        <v/>
      </c>
      <c r="F62" s="167" t="str">
        <f>IF(ISBLANK(DaqBook_RAW_Data!AK52),"",DaqBook_RAW_Data!AK52)</f>
        <v/>
      </c>
      <c r="G62" s="167" t="str">
        <f>IF(ISBLANK(DaqBook_RAW_Data!AL52),"",DaqBook_RAW_Data!AL52)</f>
        <v/>
      </c>
      <c r="H62" s="167" t="str">
        <f>IF(ISBLANK(DaqBook_RAW_Data!AM52),"",DaqBook_RAW_Data!AM52)</f>
        <v/>
      </c>
      <c r="I62" s="167" t="str">
        <f>IF(ISBLANK(DaqBook_RAW_Data!AN52),"",DaqBook_RAW_Data!AN52)</f>
        <v/>
      </c>
      <c r="J62" s="167" t="str">
        <f>IF(ISBLANK(DaqBook_RAW_Data!AO52),"",DaqBook_RAW_Data!AO52)</f>
        <v/>
      </c>
      <c r="K62" s="167" t="str">
        <f>IF(ISBLANK(DaqBook_RAW_Data!AP52),"",DaqBook_RAW_Data!AP52)</f>
        <v/>
      </c>
      <c r="L62" s="167" t="str">
        <f>IF(ISBLANK(DaqBook_RAW_Data!AQ52),"",DaqBook_RAW_Data!AQ52)</f>
        <v/>
      </c>
      <c r="M62" s="167" t="str">
        <f>IF(ISBLANK(DaqBook_RAW_Data!AR52),"",DaqBook_RAW_Data!AR52)</f>
        <v/>
      </c>
      <c r="N62" s="167" t="str">
        <f>IF(ISBLANK(DaqBook_RAW_Data!AS52),"",DaqBook_RAW_Data!AS52)</f>
        <v/>
      </c>
      <c r="O62" s="167"/>
      <c r="P62" s="167"/>
    </row>
    <row r="63" spans="1:16" s="96" customFormat="1" x14ac:dyDescent="0.2">
      <c r="A63" s="145" t="e">
        <f t="shared" si="0"/>
        <v>#VALUE!</v>
      </c>
      <c r="B63" s="144" t="str">
        <f>IF(ISBLANK(DaqBook_RAW_Data!AG53),IF(DaqBook_RAW_Data!A53="","",TIMEVALUE(DaqBook_RAW_Data!A53)),TIMEVALUE(DaqBook_RAW_Data!AG53))</f>
        <v/>
      </c>
      <c r="C63" s="167" t="str">
        <f>IF(ISBLANK(DaqBook_RAW_Data!AH53),"",DaqBook_RAW_Data!AH53)</f>
        <v/>
      </c>
      <c r="D63" s="167" t="str">
        <f>IF(ISBLANK(DaqBook_RAW_Data!AI53),"",DaqBook_RAW_Data!AI53)</f>
        <v/>
      </c>
      <c r="E63" s="167" t="str">
        <f>IF(ISBLANK(DaqBook_RAW_Data!AJ53),"",DaqBook_RAW_Data!AJ53)</f>
        <v/>
      </c>
      <c r="F63" s="167" t="str">
        <f>IF(ISBLANK(DaqBook_RAW_Data!AK53),"",DaqBook_RAW_Data!AK53)</f>
        <v/>
      </c>
      <c r="G63" s="167" t="str">
        <f>IF(ISBLANK(DaqBook_RAW_Data!AL53),"",DaqBook_RAW_Data!AL53)</f>
        <v/>
      </c>
      <c r="H63" s="167" t="str">
        <f>IF(ISBLANK(DaqBook_RAW_Data!AM53),"",DaqBook_RAW_Data!AM53)</f>
        <v/>
      </c>
      <c r="I63" s="167" t="str">
        <f>IF(ISBLANK(DaqBook_RAW_Data!AN53),"",DaqBook_RAW_Data!AN53)</f>
        <v/>
      </c>
      <c r="J63" s="167" t="str">
        <f>IF(ISBLANK(DaqBook_RAW_Data!AO53),"",DaqBook_RAW_Data!AO53)</f>
        <v/>
      </c>
      <c r="K63" s="167" t="str">
        <f>IF(ISBLANK(DaqBook_RAW_Data!AP53),"",DaqBook_RAW_Data!AP53)</f>
        <v/>
      </c>
      <c r="L63" s="167" t="str">
        <f>IF(ISBLANK(DaqBook_RAW_Data!AQ53),"",DaqBook_RAW_Data!AQ53)</f>
        <v/>
      </c>
      <c r="M63" s="167" t="str">
        <f>IF(ISBLANK(DaqBook_RAW_Data!AR53),"",DaqBook_RAW_Data!AR53)</f>
        <v/>
      </c>
      <c r="N63" s="167" t="str">
        <f>IF(ISBLANK(DaqBook_RAW_Data!AS53),"",DaqBook_RAW_Data!AS53)</f>
        <v/>
      </c>
      <c r="O63" s="167"/>
      <c r="P63" s="167"/>
    </row>
    <row r="64" spans="1:16" s="96" customFormat="1" x14ac:dyDescent="0.2">
      <c r="A64" s="145" t="e">
        <f t="shared" si="0"/>
        <v>#VALUE!</v>
      </c>
      <c r="B64" s="144" t="str">
        <f>IF(ISBLANK(DaqBook_RAW_Data!AG54),IF(DaqBook_RAW_Data!A54="","",TIMEVALUE(DaqBook_RAW_Data!A54)),TIMEVALUE(DaqBook_RAW_Data!AG54))</f>
        <v/>
      </c>
      <c r="C64" s="167" t="str">
        <f>IF(ISBLANK(DaqBook_RAW_Data!AH54),"",DaqBook_RAW_Data!AH54)</f>
        <v/>
      </c>
      <c r="D64" s="167" t="str">
        <f>IF(ISBLANK(DaqBook_RAW_Data!AI54),"",DaqBook_RAW_Data!AI54)</f>
        <v/>
      </c>
      <c r="E64" s="167" t="str">
        <f>IF(ISBLANK(DaqBook_RAW_Data!AJ54),"",DaqBook_RAW_Data!AJ54)</f>
        <v/>
      </c>
      <c r="F64" s="167" t="str">
        <f>IF(ISBLANK(DaqBook_RAW_Data!AK54),"",DaqBook_RAW_Data!AK54)</f>
        <v/>
      </c>
      <c r="G64" s="167" t="str">
        <f>IF(ISBLANK(DaqBook_RAW_Data!AL54),"",DaqBook_RAW_Data!AL54)</f>
        <v/>
      </c>
      <c r="H64" s="167" t="str">
        <f>IF(ISBLANK(DaqBook_RAW_Data!AM54),"",DaqBook_RAW_Data!AM54)</f>
        <v/>
      </c>
      <c r="I64" s="167" t="str">
        <f>IF(ISBLANK(DaqBook_RAW_Data!AN54),"",DaqBook_RAW_Data!AN54)</f>
        <v/>
      </c>
      <c r="J64" s="167" t="str">
        <f>IF(ISBLANK(DaqBook_RAW_Data!AO54),"",DaqBook_RAW_Data!AO54)</f>
        <v/>
      </c>
      <c r="K64" s="167" t="str">
        <f>IF(ISBLANK(DaqBook_RAW_Data!AP54),"",DaqBook_RAW_Data!AP54)</f>
        <v/>
      </c>
      <c r="L64" s="167" t="str">
        <f>IF(ISBLANK(DaqBook_RAW_Data!AQ54),"",DaqBook_RAW_Data!AQ54)</f>
        <v/>
      </c>
      <c r="M64" s="167" t="str">
        <f>IF(ISBLANK(DaqBook_RAW_Data!AR54),"",DaqBook_RAW_Data!AR54)</f>
        <v/>
      </c>
      <c r="N64" s="167" t="str">
        <f>IF(ISBLANK(DaqBook_RAW_Data!AS54),"",DaqBook_RAW_Data!AS54)</f>
        <v/>
      </c>
      <c r="O64" s="167"/>
      <c r="P64" s="167"/>
    </row>
    <row r="65" spans="1:16" s="96" customFormat="1" x14ac:dyDescent="0.2">
      <c r="A65" s="145" t="e">
        <f t="shared" si="0"/>
        <v>#VALUE!</v>
      </c>
      <c r="B65" s="144" t="str">
        <f>IF(ISBLANK(DaqBook_RAW_Data!AG55),IF(DaqBook_RAW_Data!A55="","",TIMEVALUE(DaqBook_RAW_Data!A55)),TIMEVALUE(DaqBook_RAW_Data!AG55))</f>
        <v/>
      </c>
      <c r="C65" s="167" t="str">
        <f>IF(ISBLANK(DaqBook_RAW_Data!AH55),"",DaqBook_RAW_Data!AH55)</f>
        <v/>
      </c>
      <c r="D65" s="167" t="str">
        <f>IF(ISBLANK(DaqBook_RAW_Data!AI55),"",DaqBook_RAW_Data!AI55)</f>
        <v/>
      </c>
      <c r="E65" s="167" t="str">
        <f>IF(ISBLANK(DaqBook_RAW_Data!AJ55),"",DaqBook_RAW_Data!AJ55)</f>
        <v/>
      </c>
      <c r="F65" s="167" t="str">
        <f>IF(ISBLANK(DaqBook_RAW_Data!AK55),"",DaqBook_RAW_Data!AK55)</f>
        <v/>
      </c>
      <c r="G65" s="167" t="str">
        <f>IF(ISBLANK(DaqBook_RAW_Data!AL55),"",DaqBook_RAW_Data!AL55)</f>
        <v/>
      </c>
      <c r="H65" s="167" t="str">
        <f>IF(ISBLANK(DaqBook_RAW_Data!AM55),"",DaqBook_RAW_Data!AM55)</f>
        <v/>
      </c>
      <c r="I65" s="167" t="str">
        <f>IF(ISBLANK(DaqBook_RAW_Data!AN55),"",DaqBook_RAW_Data!AN55)</f>
        <v/>
      </c>
      <c r="J65" s="167" t="str">
        <f>IF(ISBLANK(DaqBook_RAW_Data!AO55),"",DaqBook_RAW_Data!AO55)</f>
        <v/>
      </c>
      <c r="K65" s="167" t="str">
        <f>IF(ISBLANK(DaqBook_RAW_Data!AP55),"",DaqBook_RAW_Data!AP55)</f>
        <v/>
      </c>
      <c r="L65" s="167" t="str">
        <f>IF(ISBLANK(DaqBook_RAW_Data!AQ55),"",DaqBook_RAW_Data!AQ55)</f>
        <v/>
      </c>
      <c r="M65" s="167" t="str">
        <f>IF(ISBLANK(DaqBook_RAW_Data!AR55),"",DaqBook_RAW_Data!AR55)</f>
        <v/>
      </c>
      <c r="N65" s="167" t="str">
        <f>IF(ISBLANK(DaqBook_RAW_Data!AS55),"",DaqBook_RAW_Data!AS55)</f>
        <v/>
      </c>
      <c r="O65" s="167"/>
      <c r="P65" s="167"/>
    </row>
    <row r="66" spans="1:16" s="96" customFormat="1" x14ac:dyDescent="0.2">
      <c r="A66" s="145" t="e">
        <f t="shared" si="0"/>
        <v>#VALUE!</v>
      </c>
      <c r="B66" s="144" t="str">
        <f>IF(ISBLANK(DaqBook_RAW_Data!AG56),IF(DaqBook_RAW_Data!A56="","",TIMEVALUE(DaqBook_RAW_Data!A56)),TIMEVALUE(DaqBook_RAW_Data!AG56))</f>
        <v/>
      </c>
      <c r="C66" s="167" t="str">
        <f>IF(ISBLANK(DaqBook_RAW_Data!AH56),"",DaqBook_RAW_Data!AH56)</f>
        <v/>
      </c>
      <c r="D66" s="167" t="str">
        <f>IF(ISBLANK(DaqBook_RAW_Data!AI56),"",DaqBook_RAW_Data!AI56)</f>
        <v/>
      </c>
      <c r="E66" s="167" t="str">
        <f>IF(ISBLANK(DaqBook_RAW_Data!AJ56),"",DaqBook_RAW_Data!AJ56)</f>
        <v/>
      </c>
      <c r="F66" s="167" t="str">
        <f>IF(ISBLANK(DaqBook_RAW_Data!AK56),"",DaqBook_RAW_Data!AK56)</f>
        <v/>
      </c>
      <c r="G66" s="167" t="str">
        <f>IF(ISBLANK(DaqBook_RAW_Data!AL56),"",DaqBook_RAW_Data!AL56)</f>
        <v/>
      </c>
      <c r="H66" s="167" t="str">
        <f>IF(ISBLANK(DaqBook_RAW_Data!AM56),"",DaqBook_RAW_Data!AM56)</f>
        <v/>
      </c>
      <c r="I66" s="167" t="str">
        <f>IF(ISBLANK(DaqBook_RAW_Data!AN56),"",DaqBook_RAW_Data!AN56)</f>
        <v/>
      </c>
      <c r="J66" s="167" t="str">
        <f>IF(ISBLANK(DaqBook_RAW_Data!AO56),"",DaqBook_RAW_Data!AO56)</f>
        <v/>
      </c>
      <c r="K66" s="167" t="str">
        <f>IF(ISBLANK(DaqBook_RAW_Data!AP56),"",DaqBook_RAW_Data!AP56)</f>
        <v/>
      </c>
      <c r="L66" s="167" t="str">
        <f>IF(ISBLANK(DaqBook_RAW_Data!AQ56),"",DaqBook_RAW_Data!AQ56)</f>
        <v/>
      </c>
      <c r="M66" s="167" t="str">
        <f>IF(ISBLANK(DaqBook_RAW_Data!AR56),"",DaqBook_RAW_Data!AR56)</f>
        <v/>
      </c>
      <c r="N66" s="167" t="str">
        <f>IF(ISBLANK(DaqBook_RAW_Data!AS56),"",DaqBook_RAW_Data!AS56)</f>
        <v/>
      </c>
      <c r="O66" s="167"/>
      <c r="P66" s="167"/>
    </row>
    <row r="67" spans="1:16" s="96" customFormat="1" x14ac:dyDescent="0.2">
      <c r="A67" s="145" t="e">
        <f t="shared" si="0"/>
        <v>#VALUE!</v>
      </c>
      <c r="B67" s="144" t="str">
        <f>IF(ISBLANK(DaqBook_RAW_Data!AG57),IF(DaqBook_RAW_Data!A57="","",TIMEVALUE(DaqBook_RAW_Data!A57)),TIMEVALUE(DaqBook_RAW_Data!AG57))</f>
        <v/>
      </c>
      <c r="C67" s="167" t="str">
        <f>IF(ISBLANK(DaqBook_RAW_Data!AH57),"",DaqBook_RAW_Data!AH57)</f>
        <v/>
      </c>
      <c r="D67" s="167" t="str">
        <f>IF(ISBLANK(DaqBook_RAW_Data!AI57),"",DaqBook_RAW_Data!AI57)</f>
        <v/>
      </c>
      <c r="E67" s="167" t="str">
        <f>IF(ISBLANK(DaqBook_RAW_Data!AJ57),"",DaqBook_RAW_Data!AJ57)</f>
        <v/>
      </c>
      <c r="F67" s="167" t="str">
        <f>IF(ISBLANK(DaqBook_RAW_Data!AK57),"",DaqBook_RAW_Data!AK57)</f>
        <v/>
      </c>
      <c r="G67" s="167" t="str">
        <f>IF(ISBLANK(DaqBook_RAW_Data!AL57),"",DaqBook_RAW_Data!AL57)</f>
        <v/>
      </c>
      <c r="H67" s="167" t="str">
        <f>IF(ISBLANK(DaqBook_RAW_Data!AM57),"",DaqBook_RAW_Data!AM57)</f>
        <v/>
      </c>
      <c r="I67" s="167" t="str">
        <f>IF(ISBLANK(DaqBook_RAW_Data!AN57),"",DaqBook_RAW_Data!AN57)</f>
        <v/>
      </c>
      <c r="J67" s="167" t="str">
        <f>IF(ISBLANK(DaqBook_RAW_Data!AO57),"",DaqBook_RAW_Data!AO57)</f>
        <v/>
      </c>
      <c r="K67" s="167" t="str">
        <f>IF(ISBLANK(DaqBook_RAW_Data!AP57),"",DaqBook_RAW_Data!AP57)</f>
        <v/>
      </c>
      <c r="L67" s="167" t="str">
        <f>IF(ISBLANK(DaqBook_RAW_Data!AQ57),"",DaqBook_RAW_Data!AQ57)</f>
        <v/>
      </c>
      <c r="M67" s="167" t="str">
        <f>IF(ISBLANK(DaqBook_RAW_Data!AR57),"",DaqBook_RAW_Data!AR57)</f>
        <v/>
      </c>
      <c r="N67" s="167" t="str">
        <f>IF(ISBLANK(DaqBook_RAW_Data!AS57),"",DaqBook_RAW_Data!AS57)</f>
        <v/>
      </c>
      <c r="O67" s="167"/>
      <c r="P67" s="167"/>
    </row>
    <row r="68" spans="1:16" s="96" customFormat="1" x14ac:dyDescent="0.2">
      <c r="A68" s="145" t="e">
        <f t="shared" si="0"/>
        <v>#VALUE!</v>
      </c>
      <c r="B68" s="144" t="str">
        <f>IF(ISBLANK(DaqBook_RAW_Data!AG58),IF(DaqBook_RAW_Data!A58="","",TIMEVALUE(DaqBook_RAW_Data!A58)),TIMEVALUE(DaqBook_RAW_Data!AG58))</f>
        <v/>
      </c>
      <c r="C68" s="167" t="str">
        <f>IF(ISBLANK(DaqBook_RAW_Data!AH58),"",DaqBook_RAW_Data!AH58)</f>
        <v/>
      </c>
      <c r="D68" s="167" t="str">
        <f>IF(ISBLANK(DaqBook_RAW_Data!AI58),"",DaqBook_RAW_Data!AI58)</f>
        <v/>
      </c>
      <c r="E68" s="167" t="str">
        <f>IF(ISBLANK(DaqBook_RAW_Data!AJ58),"",DaqBook_RAW_Data!AJ58)</f>
        <v/>
      </c>
      <c r="F68" s="167" t="str">
        <f>IF(ISBLANK(DaqBook_RAW_Data!AK58),"",DaqBook_RAW_Data!AK58)</f>
        <v/>
      </c>
      <c r="G68" s="167" t="str">
        <f>IF(ISBLANK(DaqBook_RAW_Data!AL58),"",DaqBook_RAW_Data!AL58)</f>
        <v/>
      </c>
      <c r="H68" s="167" t="str">
        <f>IF(ISBLANK(DaqBook_RAW_Data!AM58),"",DaqBook_RAW_Data!AM58)</f>
        <v/>
      </c>
      <c r="I68" s="167" t="str">
        <f>IF(ISBLANK(DaqBook_RAW_Data!AN58),"",DaqBook_RAW_Data!AN58)</f>
        <v/>
      </c>
      <c r="J68" s="167" t="str">
        <f>IF(ISBLANK(DaqBook_RAW_Data!AO58),"",DaqBook_RAW_Data!AO58)</f>
        <v/>
      </c>
      <c r="K68" s="167" t="str">
        <f>IF(ISBLANK(DaqBook_RAW_Data!AP58),"",DaqBook_RAW_Data!AP58)</f>
        <v/>
      </c>
      <c r="L68" s="167" t="str">
        <f>IF(ISBLANK(DaqBook_RAW_Data!AQ58),"",DaqBook_RAW_Data!AQ58)</f>
        <v/>
      </c>
      <c r="M68" s="167" t="str">
        <f>IF(ISBLANK(DaqBook_RAW_Data!AR58),"",DaqBook_RAW_Data!AR58)</f>
        <v/>
      </c>
      <c r="N68" s="167" t="str">
        <f>IF(ISBLANK(DaqBook_RAW_Data!AS58),"",DaqBook_RAW_Data!AS58)</f>
        <v/>
      </c>
      <c r="O68" s="167"/>
      <c r="P68" s="167"/>
    </row>
    <row r="69" spans="1:16" s="96" customFormat="1" x14ac:dyDescent="0.2">
      <c r="A69" s="145" t="e">
        <f t="shared" si="0"/>
        <v>#VALUE!</v>
      </c>
      <c r="B69" s="144" t="str">
        <f>IF(ISBLANK(DaqBook_RAW_Data!AG59),IF(DaqBook_RAW_Data!A59="","",TIMEVALUE(DaqBook_RAW_Data!A59)),TIMEVALUE(DaqBook_RAW_Data!AG59))</f>
        <v/>
      </c>
      <c r="C69" s="167" t="str">
        <f>IF(ISBLANK(DaqBook_RAW_Data!AH59),"",DaqBook_RAW_Data!AH59)</f>
        <v/>
      </c>
      <c r="D69" s="167" t="str">
        <f>IF(ISBLANK(DaqBook_RAW_Data!AI59),"",DaqBook_RAW_Data!AI59)</f>
        <v/>
      </c>
      <c r="E69" s="167" t="str">
        <f>IF(ISBLANK(DaqBook_RAW_Data!AJ59),"",DaqBook_RAW_Data!AJ59)</f>
        <v/>
      </c>
      <c r="F69" s="167" t="str">
        <f>IF(ISBLANK(DaqBook_RAW_Data!AK59),"",DaqBook_RAW_Data!AK59)</f>
        <v/>
      </c>
      <c r="G69" s="167" t="str">
        <f>IF(ISBLANK(DaqBook_RAW_Data!AL59),"",DaqBook_RAW_Data!AL59)</f>
        <v/>
      </c>
      <c r="H69" s="167" t="str">
        <f>IF(ISBLANK(DaqBook_RAW_Data!AM59),"",DaqBook_RAW_Data!AM59)</f>
        <v/>
      </c>
      <c r="I69" s="167" t="str">
        <f>IF(ISBLANK(DaqBook_RAW_Data!AN59),"",DaqBook_RAW_Data!AN59)</f>
        <v/>
      </c>
      <c r="J69" s="167" t="str">
        <f>IF(ISBLANK(DaqBook_RAW_Data!AO59),"",DaqBook_RAW_Data!AO59)</f>
        <v/>
      </c>
      <c r="K69" s="167" t="str">
        <f>IF(ISBLANK(DaqBook_RAW_Data!AP59),"",DaqBook_RAW_Data!AP59)</f>
        <v/>
      </c>
      <c r="L69" s="167" t="str">
        <f>IF(ISBLANK(DaqBook_RAW_Data!AQ59),"",DaqBook_RAW_Data!AQ59)</f>
        <v/>
      </c>
      <c r="M69" s="167" t="str">
        <f>IF(ISBLANK(DaqBook_RAW_Data!AR59),"",DaqBook_RAW_Data!AR59)</f>
        <v/>
      </c>
      <c r="N69" s="167" t="str">
        <f>IF(ISBLANK(DaqBook_RAW_Data!AS59),"",DaqBook_RAW_Data!AS59)</f>
        <v/>
      </c>
      <c r="O69" s="167"/>
      <c r="P69" s="167"/>
    </row>
    <row r="70" spans="1:16" s="96" customFormat="1" x14ac:dyDescent="0.2">
      <c r="A70" s="145" t="e">
        <f t="shared" si="0"/>
        <v>#VALUE!</v>
      </c>
      <c r="B70" s="144" t="str">
        <f>IF(ISBLANK(DaqBook_RAW_Data!AG60),IF(DaqBook_RAW_Data!A60="","",TIMEVALUE(DaqBook_RAW_Data!A60)),TIMEVALUE(DaqBook_RAW_Data!AG60))</f>
        <v/>
      </c>
      <c r="C70" s="167" t="str">
        <f>IF(ISBLANK(DaqBook_RAW_Data!AH60),"",DaqBook_RAW_Data!AH60)</f>
        <v/>
      </c>
      <c r="D70" s="167" t="str">
        <f>IF(ISBLANK(DaqBook_RAW_Data!AI60),"",DaqBook_RAW_Data!AI60)</f>
        <v/>
      </c>
      <c r="E70" s="167" t="str">
        <f>IF(ISBLANK(DaqBook_RAW_Data!AJ60),"",DaqBook_RAW_Data!AJ60)</f>
        <v/>
      </c>
      <c r="F70" s="167" t="str">
        <f>IF(ISBLANK(DaqBook_RAW_Data!AK60),"",DaqBook_RAW_Data!AK60)</f>
        <v/>
      </c>
      <c r="G70" s="167" t="str">
        <f>IF(ISBLANK(DaqBook_RAW_Data!AL60),"",DaqBook_RAW_Data!AL60)</f>
        <v/>
      </c>
      <c r="H70" s="167" t="str">
        <f>IF(ISBLANK(DaqBook_RAW_Data!AM60),"",DaqBook_RAW_Data!AM60)</f>
        <v/>
      </c>
      <c r="I70" s="167" t="str">
        <f>IF(ISBLANK(DaqBook_RAW_Data!AN60),"",DaqBook_RAW_Data!AN60)</f>
        <v/>
      </c>
      <c r="J70" s="167" t="str">
        <f>IF(ISBLANK(DaqBook_RAW_Data!AO60),"",DaqBook_RAW_Data!AO60)</f>
        <v/>
      </c>
      <c r="K70" s="167" t="str">
        <f>IF(ISBLANK(DaqBook_RAW_Data!AP60),"",DaqBook_RAW_Data!AP60)</f>
        <v/>
      </c>
      <c r="L70" s="167" t="str">
        <f>IF(ISBLANK(DaqBook_RAW_Data!AQ60),"",DaqBook_RAW_Data!AQ60)</f>
        <v/>
      </c>
      <c r="M70" s="167" t="str">
        <f>IF(ISBLANK(DaqBook_RAW_Data!AR60),"",DaqBook_RAW_Data!AR60)</f>
        <v/>
      </c>
      <c r="N70" s="167" t="str">
        <f>IF(ISBLANK(DaqBook_RAW_Data!AS60),"",DaqBook_RAW_Data!AS60)</f>
        <v/>
      </c>
      <c r="O70" s="167"/>
      <c r="P70" s="167"/>
    </row>
    <row r="71" spans="1:16" s="96" customFormat="1" x14ac:dyDescent="0.2">
      <c r="A71" s="145" t="e">
        <f t="shared" si="0"/>
        <v>#VALUE!</v>
      </c>
      <c r="B71" s="144" t="str">
        <f>IF(ISBLANK(DaqBook_RAW_Data!AG61),IF(DaqBook_RAW_Data!A61="","",TIMEVALUE(DaqBook_RAW_Data!A61)),TIMEVALUE(DaqBook_RAW_Data!AG61))</f>
        <v/>
      </c>
      <c r="C71" s="167" t="str">
        <f>IF(ISBLANK(DaqBook_RAW_Data!AH61),"",DaqBook_RAW_Data!AH61)</f>
        <v/>
      </c>
      <c r="D71" s="167" t="str">
        <f>IF(ISBLANK(DaqBook_RAW_Data!AI61),"",DaqBook_RAW_Data!AI61)</f>
        <v/>
      </c>
      <c r="E71" s="167" t="str">
        <f>IF(ISBLANK(DaqBook_RAW_Data!AJ61),"",DaqBook_RAW_Data!AJ61)</f>
        <v/>
      </c>
      <c r="F71" s="167" t="str">
        <f>IF(ISBLANK(DaqBook_RAW_Data!AK61),"",DaqBook_RAW_Data!AK61)</f>
        <v/>
      </c>
      <c r="G71" s="167" t="str">
        <f>IF(ISBLANK(DaqBook_RAW_Data!AL61),"",DaqBook_RAW_Data!AL61)</f>
        <v/>
      </c>
      <c r="H71" s="167" t="str">
        <f>IF(ISBLANK(DaqBook_RAW_Data!AM61),"",DaqBook_RAW_Data!AM61)</f>
        <v/>
      </c>
      <c r="I71" s="167" t="str">
        <f>IF(ISBLANK(DaqBook_RAW_Data!AN61),"",DaqBook_RAW_Data!AN61)</f>
        <v/>
      </c>
      <c r="J71" s="167" t="str">
        <f>IF(ISBLANK(DaqBook_RAW_Data!AO61),"",DaqBook_RAW_Data!AO61)</f>
        <v/>
      </c>
      <c r="K71" s="167" t="str">
        <f>IF(ISBLANK(DaqBook_RAW_Data!AP61),"",DaqBook_RAW_Data!AP61)</f>
        <v/>
      </c>
      <c r="L71" s="167" t="str">
        <f>IF(ISBLANK(DaqBook_RAW_Data!AQ61),"",DaqBook_RAW_Data!AQ61)</f>
        <v/>
      </c>
      <c r="M71" s="167" t="str">
        <f>IF(ISBLANK(DaqBook_RAW_Data!AR61),"",DaqBook_RAW_Data!AR61)</f>
        <v/>
      </c>
      <c r="N71" s="167" t="str">
        <f>IF(ISBLANK(DaqBook_RAW_Data!AS61),"",DaqBook_RAW_Data!AS61)</f>
        <v/>
      </c>
      <c r="O71" s="167"/>
      <c r="P71" s="167"/>
    </row>
    <row r="72" spans="1:16" s="96" customFormat="1" x14ac:dyDescent="0.2">
      <c r="A72" s="145" t="e">
        <f t="shared" si="0"/>
        <v>#VALUE!</v>
      </c>
      <c r="B72" s="144" t="str">
        <f>IF(ISBLANK(DaqBook_RAW_Data!AG62),IF(DaqBook_RAW_Data!A62="","",TIMEVALUE(DaqBook_RAW_Data!A62)),TIMEVALUE(DaqBook_RAW_Data!AG62))</f>
        <v/>
      </c>
      <c r="C72" s="167" t="str">
        <f>IF(ISBLANK(DaqBook_RAW_Data!AH62),"",DaqBook_RAW_Data!AH62)</f>
        <v/>
      </c>
      <c r="D72" s="167" t="str">
        <f>IF(ISBLANK(DaqBook_RAW_Data!AI62),"",DaqBook_RAW_Data!AI62)</f>
        <v/>
      </c>
      <c r="E72" s="167" t="str">
        <f>IF(ISBLANK(DaqBook_RAW_Data!AJ62),"",DaqBook_RAW_Data!AJ62)</f>
        <v/>
      </c>
      <c r="F72" s="167" t="str">
        <f>IF(ISBLANK(DaqBook_RAW_Data!AK62),"",DaqBook_RAW_Data!AK62)</f>
        <v/>
      </c>
      <c r="G72" s="167" t="str">
        <f>IF(ISBLANK(DaqBook_RAW_Data!AL62),"",DaqBook_RAW_Data!AL62)</f>
        <v/>
      </c>
      <c r="H72" s="167" t="str">
        <f>IF(ISBLANK(DaqBook_RAW_Data!AM62),"",DaqBook_RAW_Data!AM62)</f>
        <v/>
      </c>
      <c r="I72" s="167" t="str">
        <f>IF(ISBLANK(DaqBook_RAW_Data!AN62),"",DaqBook_RAW_Data!AN62)</f>
        <v/>
      </c>
      <c r="J72" s="167" t="str">
        <f>IF(ISBLANK(DaqBook_RAW_Data!AO62),"",DaqBook_RAW_Data!AO62)</f>
        <v/>
      </c>
      <c r="K72" s="167" t="str">
        <f>IF(ISBLANK(DaqBook_RAW_Data!AP62),"",DaqBook_RAW_Data!AP62)</f>
        <v/>
      </c>
      <c r="L72" s="167" t="str">
        <f>IF(ISBLANK(DaqBook_RAW_Data!AQ62),"",DaqBook_RAW_Data!AQ62)</f>
        <v/>
      </c>
      <c r="M72" s="167" t="str">
        <f>IF(ISBLANK(DaqBook_RAW_Data!AR62),"",DaqBook_RAW_Data!AR62)</f>
        <v/>
      </c>
      <c r="N72" s="167" t="str">
        <f>IF(ISBLANK(DaqBook_RAW_Data!AS62),"",DaqBook_RAW_Data!AS62)</f>
        <v/>
      </c>
      <c r="O72" s="167"/>
      <c r="P72" s="167"/>
    </row>
    <row r="73" spans="1:16" s="96" customFormat="1" x14ac:dyDescent="0.2">
      <c r="A73" s="145" t="e">
        <f t="shared" si="0"/>
        <v>#VALUE!</v>
      </c>
      <c r="B73" s="144" t="str">
        <f>IF(ISBLANK(DaqBook_RAW_Data!AG63),IF(DaqBook_RAW_Data!A63="","",TIMEVALUE(DaqBook_RAW_Data!A63)),TIMEVALUE(DaqBook_RAW_Data!AG63))</f>
        <v/>
      </c>
      <c r="C73" s="167" t="str">
        <f>IF(ISBLANK(DaqBook_RAW_Data!AH63),"",DaqBook_RAW_Data!AH63)</f>
        <v/>
      </c>
      <c r="D73" s="167" t="str">
        <f>IF(ISBLANK(DaqBook_RAW_Data!AI63),"",DaqBook_RAW_Data!AI63)</f>
        <v/>
      </c>
      <c r="E73" s="167" t="str">
        <f>IF(ISBLANK(DaqBook_RAW_Data!AJ63),"",DaqBook_RAW_Data!AJ63)</f>
        <v/>
      </c>
      <c r="F73" s="167" t="str">
        <f>IF(ISBLANK(DaqBook_RAW_Data!AK63),"",DaqBook_RAW_Data!AK63)</f>
        <v/>
      </c>
      <c r="G73" s="167" t="str">
        <f>IF(ISBLANK(DaqBook_RAW_Data!AL63),"",DaqBook_RAW_Data!AL63)</f>
        <v/>
      </c>
      <c r="H73" s="167" t="str">
        <f>IF(ISBLANK(DaqBook_RAW_Data!AM63),"",DaqBook_RAW_Data!AM63)</f>
        <v/>
      </c>
      <c r="I73" s="167" t="str">
        <f>IF(ISBLANK(DaqBook_RAW_Data!AN63),"",DaqBook_RAW_Data!AN63)</f>
        <v/>
      </c>
      <c r="J73" s="167" t="str">
        <f>IF(ISBLANK(DaqBook_RAW_Data!AO63),"",DaqBook_RAW_Data!AO63)</f>
        <v/>
      </c>
      <c r="K73" s="167" t="str">
        <f>IF(ISBLANK(DaqBook_RAW_Data!AP63),"",DaqBook_RAW_Data!AP63)</f>
        <v/>
      </c>
      <c r="L73" s="167" t="str">
        <f>IF(ISBLANK(DaqBook_RAW_Data!AQ63),"",DaqBook_RAW_Data!AQ63)</f>
        <v/>
      </c>
      <c r="M73" s="167" t="str">
        <f>IF(ISBLANK(DaqBook_RAW_Data!AR63),"",DaqBook_RAW_Data!AR63)</f>
        <v/>
      </c>
      <c r="N73" s="167" t="str">
        <f>IF(ISBLANK(DaqBook_RAW_Data!AS63),"",DaqBook_RAW_Data!AS63)</f>
        <v/>
      </c>
      <c r="O73" s="167"/>
      <c r="P73" s="167"/>
    </row>
    <row r="74" spans="1:16" s="96" customFormat="1" x14ac:dyDescent="0.2">
      <c r="A74" s="145" t="e">
        <f t="shared" si="0"/>
        <v>#VALUE!</v>
      </c>
      <c r="B74" s="144" t="str">
        <f>IF(ISBLANK(DaqBook_RAW_Data!AG64),IF(DaqBook_RAW_Data!A64="","",TIMEVALUE(DaqBook_RAW_Data!A64)),TIMEVALUE(DaqBook_RAW_Data!AG64))</f>
        <v/>
      </c>
      <c r="C74" s="167" t="str">
        <f>IF(ISBLANK(DaqBook_RAW_Data!AH64),"",DaqBook_RAW_Data!AH64)</f>
        <v/>
      </c>
      <c r="D74" s="167" t="str">
        <f>IF(ISBLANK(DaqBook_RAW_Data!AI64),"",DaqBook_RAW_Data!AI64)</f>
        <v/>
      </c>
      <c r="E74" s="167" t="str">
        <f>IF(ISBLANK(DaqBook_RAW_Data!AJ64),"",DaqBook_RAW_Data!AJ64)</f>
        <v/>
      </c>
      <c r="F74" s="167" t="str">
        <f>IF(ISBLANK(DaqBook_RAW_Data!AK64),"",DaqBook_RAW_Data!AK64)</f>
        <v/>
      </c>
      <c r="G74" s="167" t="str">
        <f>IF(ISBLANK(DaqBook_RAW_Data!AL64),"",DaqBook_RAW_Data!AL64)</f>
        <v/>
      </c>
      <c r="H74" s="167" t="str">
        <f>IF(ISBLANK(DaqBook_RAW_Data!AM64),"",DaqBook_RAW_Data!AM64)</f>
        <v/>
      </c>
      <c r="I74" s="167" t="str">
        <f>IF(ISBLANK(DaqBook_RAW_Data!AN64),"",DaqBook_RAW_Data!AN64)</f>
        <v/>
      </c>
      <c r="J74" s="167" t="str">
        <f>IF(ISBLANK(DaqBook_RAW_Data!AO64),"",DaqBook_RAW_Data!AO64)</f>
        <v/>
      </c>
      <c r="K74" s="167" t="str">
        <f>IF(ISBLANK(DaqBook_RAW_Data!AP64),"",DaqBook_RAW_Data!AP64)</f>
        <v/>
      </c>
      <c r="L74" s="167" t="str">
        <f>IF(ISBLANK(DaqBook_RAW_Data!AQ64),"",DaqBook_RAW_Data!AQ64)</f>
        <v/>
      </c>
      <c r="M74" s="167" t="str">
        <f>IF(ISBLANK(DaqBook_RAW_Data!AR64),"",DaqBook_RAW_Data!AR64)</f>
        <v/>
      </c>
      <c r="N74" s="167" t="str">
        <f>IF(ISBLANK(DaqBook_RAW_Data!AS64),"",DaqBook_RAW_Data!AS64)</f>
        <v/>
      </c>
      <c r="O74" s="167"/>
      <c r="P74" s="167"/>
    </row>
    <row r="75" spans="1:16" s="96" customFormat="1" x14ac:dyDescent="0.2">
      <c r="A75" s="145" t="e">
        <f t="shared" si="0"/>
        <v>#VALUE!</v>
      </c>
      <c r="B75" s="144" t="str">
        <f>IF(ISBLANK(DaqBook_RAW_Data!AG65),IF(DaqBook_RAW_Data!A65="","",TIMEVALUE(DaqBook_RAW_Data!A65)),TIMEVALUE(DaqBook_RAW_Data!AG65))</f>
        <v/>
      </c>
      <c r="C75" s="167" t="str">
        <f>IF(ISBLANK(DaqBook_RAW_Data!AH65),"",DaqBook_RAW_Data!AH65)</f>
        <v/>
      </c>
      <c r="D75" s="167" t="str">
        <f>IF(ISBLANK(DaqBook_RAW_Data!AI65),"",DaqBook_RAW_Data!AI65)</f>
        <v/>
      </c>
      <c r="E75" s="167" t="str">
        <f>IF(ISBLANK(DaqBook_RAW_Data!AJ65),"",DaqBook_RAW_Data!AJ65)</f>
        <v/>
      </c>
      <c r="F75" s="167" t="str">
        <f>IF(ISBLANK(DaqBook_RAW_Data!AK65),"",DaqBook_RAW_Data!AK65)</f>
        <v/>
      </c>
      <c r="G75" s="167" t="str">
        <f>IF(ISBLANK(DaqBook_RAW_Data!AL65),"",DaqBook_RAW_Data!AL65)</f>
        <v/>
      </c>
      <c r="H75" s="167" t="str">
        <f>IF(ISBLANK(DaqBook_RAW_Data!AM65),"",DaqBook_RAW_Data!AM65)</f>
        <v/>
      </c>
      <c r="I75" s="167" t="str">
        <f>IF(ISBLANK(DaqBook_RAW_Data!AN65),"",DaqBook_RAW_Data!AN65)</f>
        <v/>
      </c>
      <c r="J75" s="167" t="str">
        <f>IF(ISBLANK(DaqBook_RAW_Data!AO65),"",DaqBook_RAW_Data!AO65)</f>
        <v/>
      </c>
      <c r="K75" s="167" t="str">
        <f>IF(ISBLANK(DaqBook_RAW_Data!AP65),"",DaqBook_RAW_Data!AP65)</f>
        <v/>
      </c>
      <c r="L75" s="167" t="str">
        <f>IF(ISBLANK(DaqBook_RAW_Data!AQ65),"",DaqBook_RAW_Data!AQ65)</f>
        <v/>
      </c>
      <c r="M75" s="167" t="str">
        <f>IF(ISBLANK(DaqBook_RAW_Data!AR65),"",DaqBook_RAW_Data!AR65)</f>
        <v/>
      </c>
      <c r="N75" s="167" t="str">
        <f>IF(ISBLANK(DaqBook_RAW_Data!AS65),"",DaqBook_RAW_Data!AS65)</f>
        <v/>
      </c>
      <c r="O75" s="167"/>
      <c r="P75" s="167"/>
    </row>
    <row r="76" spans="1:16" s="96" customFormat="1" x14ac:dyDescent="0.2">
      <c r="A76" s="145" t="e">
        <f t="shared" si="0"/>
        <v>#VALUE!</v>
      </c>
      <c r="B76" s="144" t="str">
        <f>IF(ISBLANK(DaqBook_RAW_Data!AG66),IF(DaqBook_RAW_Data!A66="","",TIMEVALUE(DaqBook_RAW_Data!A66)),TIMEVALUE(DaqBook_RAW_Data!AG66))</f>
        <v/>
      </c>
      <c r="C76" s="167" t="str">
        <f>IF(ISBLANK(DaqBook_RAW_Data!AH66),"",DaqBook_RAW_Data!AH66)</f>
        <v/>
      </c>
      <c r="D76" s="167" t="str">
        <f>IF(ISBLANK(DaqBook_RAW_Data!AI66),"",DaqBook_RAW_Data!AI66)</f>
        <v/>
      </c>
      <c r="E76" s="167" t="str">
        <f>IF(ISBLANK(DaqBook_RAW_Data!AJ66),"",DaqBook_RAW_Data!AJ66)</f>
        <v/>
      </c>
      <c r="F76" s="167" t="str">
        <f>IF(ISBLANK(DaqBook_RAW_Data!AK66),"",DaqBook_RAW_Data!AK66)</f>
        <v/>
      </c>
      <c r="G76" s="167" t="str">
        <f>IF(ISBLANK(DaqBook_RAW_Data!AL66),"",DaqBook_RAW_Data!AL66)</f>
        <v/>
      </c>
      <c r="H76" s="167" t="str">
        <f>IF(ISBLANK(DaqBook_RAW_Data!AM66),"",DaqBook_RAW_Data!AM66)</f>
        <v/>
      </c>
      <c r="I76" s="167" t="str">
        <f>IF(ISBLANK(DaqBook_RAW_Data!AN66),"",DaqBook_RAW_Data!AN66)</f>
        <v/>
      </c>
      <c r="J76" s="167" t="str">
        <f>IF(ISBLANK(DaqBook_RAW_Data!AO66),"",DaqBook_RAW_Data!AO66)</f>
        <v/>
      </c>
      <c r="K76" s="167" t="str">
        <f>IF(ISBLANK(DaqBook_RAW_Data!AP66),"",DaqBook_RAW_Data!AP66)</f>
        <v/>
      </c>
      <c r="L76" s="167" t="str">
        <f>IF(ISBLANK(DaqBook_RAW_Data!AQ66),"",DaqBook_RAW_Data!AQ66)</f>
        <v/>
      </c>
      <c r="M76" s="167" t="str">
        <f>IF(ISBLANK(DaqBook_RAW_Data!AR66),"",DaqBook_RAW_Data!AR66)</f>
        <v/>
      </c>
      <c r="N76" s="167" t="str">
        <f>IF(ISBLANK(DaqBook_RAW_Data!AS66),"",DaqBook_RAW_Data!AS66)</f>
        <v/>
      </c>
      <c r="O76" s="167"/>
      <c r="P76" s="167"/>
    </row>
    <row r="77" spans="1:16" s="96" customFormat="1" x14ac:dyDescent="0.2">
      <c r="A77" s="145" t="e">
        <f t="shared" si="0"/>
        <v>#VALUE!</v>
      </c>
      <c r="B77" s="144" t="str">
        <f>IF(ISBLANK(DaqBook_RAW_Data!AG67),IF(DaqBook_RAW_Data!A67="","",TIMEVALUE(DaqBook_RAW_Data!A67)),TIMEVALUE(DaqBook_RAW_Data!AG67))</f>
        <v/>
      </c>
      <c r="C77" s="167" t="str">
        <f>IF(ISBLANK(DaqBook_RAW_Data!AH67),"",DaqBook_RAW_Data!AH67)</f>
        <v/>
      </c>
      <c r="D77" s="167" t="str">
        <f>IF(ISBLANK(DaqBook_RAW_Data!AI67),"",DaqBook_RAW_Data!AI67)</f>
        <v/>
      </c>
      <c r="E77" s="167" t="str">
        <f>IF(ISBLANK(DaqBook_RAW_Data!AJ67),"",DaqBook_RAW_Data!AJ67)</f>
        <v/>
      </c>
      <c r="F77" s="167" t="str">
        <f>IF(ISBLANK(DaqBook_RAW_Data!AK67),"",DaqBook_RAW_Data!AK67)</f>
        <v/>
      </c>
      <c r="G77" s="167" t="str">
        <f>IF(ISBLANK(DaqBook_RAW_Data!AL67),"",DaqBook_RAW_Data!AL67)</f>
        <v/>
      </c>
      <c r="H77" s="167" t="str">
        <f>IF(ISBLANK(DaqBook_RAW_Data!AM67),"",DaqBook_RAW_Data!AM67)</f>
        <v/>
      </c>
      <c r="I77" s="167" t="str">
        <f>IF(ISBLANK(DaqBook_RAW_Data!AN67),"",DaqBook_RAW_Data!AN67)</f>
        <v/>
      </c>
      <c r="J77" s="167" t="str">
        <f>IF(ISBLANK(DaqBook_RAW_Data!AO67),"",DaqBook_RAW_Data!AO67)</f>
        <v/>
      </c>
      <c r="K77" s="167" t="str">
        <f>IF(ISBLANK(DaqBook_RAW_Data!AP67),"",DaqBook_RAW_Data!AP67)</f>
        <v/>
      </c>
      <c r="L77" s="167" t="str">
        <f>IF(ISBLANK(DaqBook_RAW_Data!AQ67),"",DaqBook_RAW_Data!AQ67)</f>
        <v/>
      </c>
      <c r="M77" s="167" t="str">
        <f>IF(ISBLANK(DaqBook_RAW_Data!AR67),"",DaqBook_RAW_Data!AR67)</f>
        <v/>
      </c>
      <c r="N77" s="167" t="str">
        <f>IF(ISBLANK(DaqBook_RAW_Data!AS67),"",DaqBook_RAW_Data!AS67)</f>
        <v/>
      </c>
      <c r="O77" s="167"/>
      <c r="P77" s="167"/>
    </row>
    <row r="78" spans="1:16" s="96" customFormat="1" x14ac:dyDescent="0.2">
      <c r="A78" s="145" t="e">
        <f t="shared" si="0"/>
        <v>#VALUE!</v>
      </c>
      <c r="B78" s="144" t="str">
        <f>IF(ISBLANK(DaqBook_RAW_Data!AG68),IF(DaqBook_RAW_Data!A68="","",TIMEVALUE(DaqBook_RAW_Data!A68)),TIMEVALUE(DaqBook_RAW_Data!AG68))</f>
        <v/>
      </c>
      <c r="C78" s="167" t="str">
        <f>IF(ISBLANK(DaqBook_RAW_Data!AH68),"",DaqBook_RAW_Data!AH68)</f>
        <v/>
      </c>
      <c r="D78" s="167" t="str">
        <f>IF(ISBLANK(DaqBook_RAW_Data!AI68),"",DaqBook_RAW_Data!AI68)</f>
        <v/>
      </c>
      <c r="E78" s="167" t="str">
        <f>IF(ISBLANK(DaqBook_RAW_Data!AJ68),"",DaqBook_RAW_Data!AJ68)</f>
        <v/>
      </c>
      <c r="F78" s="167" t="str">
        <f>IF(ISBLANK(DaqBook_RAW_Data!AK68),"",DaqBook_RAW_Data!AK68)</f>
        <v/>
      </c>
      <c r="G78" s="167" t="str">
        <f>IF(ISBLANK(DaqBook_RAW_Data!AL68),"",DaqBook_RAW_Data!AL68)</f>
        <v/>
      </c>
      <c r="H78" s="167" t="str">
        <f>IF(ISBLANK(DaqBook_RAW_Data!AM68),"",DaqBook_RAW_Data!AM68)</f>
        <v/>
      </c>
      <c r="I78" s="167" t="str">
        <f>IF(ISBLANK(DaqBook_RAW_Data!AN68),"",DaqBook_RAW_Data!AN68)</f>
        <v/>
      </c>
      <c r="J78" s="167" t="str">
        <f>IF(ISBLANK(DaqBook_RAW_Data!AO68),"",DaqBook_RAW_Data!AO68)</f>
        <v/>
      </c>
      <c r="K78" s="167" t="str">
        <f>IF(ISBLANK(DaqBook_RAW_Data!AP68),"",DaqBook_RAW_Data!AP68)</f>
        <v/>
      </c>
      <c r="L78" s="167" t="str">
        <f>IF(ISBLANK(DaqBook_RAW_Data!AQ68),"",DaqBook_RAW_Data!AQ68)</f>
        <v/>
      </c>
      <c r="M78" s="167" t="str">
        <f>IF(ISBLANK(DaqBook_RAW_Data!AR68),"",DaqBook_RAW_Data!AR68)</f>
        <v/>
      </c>
      <c r="N78" s="167" t="str">
        <f>IF(ISBLANK(DaqBook_RAW_Data!AS68),"",DaqBook_RAW_Data!AS68)</f>
        <v/>
      </c>
      <c r="O78" s="167"/>
      <c r="P78" s="167"/>
    </row>
    <row r="79" spans="1:16" s="98" customFormat="1" x14ac:dyDescent="0.2">
      <c r="A79" s="97" t="e">
        <f t="shared" ref="A79:A142" si="1">HOUR(B79)&amp;":"&amp;MINUTE(B79)</f>
        <v>#VALUE!</v>
      </c>
      <c r="B79" s="144" t="str">
        <f>IF(ISBLANK(DaqBook_RAW_Data!AG69),IF(DaqBook_RAW_Data!A69="","",TIMEVALUE(DaqBook_RAW_Data!A69)),TIMEVALUE(DaqBook_RAW_Data!AG69))</f>
        <v/>
      </c>
      <c r="C79" s="167" t="str">
        <f>IF(ISBLANK(DaqBook_RAW_Data!AH69),"",DaqBook_RAW_Data!AH69)</f>
        <v/>
      </c>
      <c r="D79" s="167" t="str">
        <f>IF(ISBLANK(DaqBook_RAW_Data!AI69),"",DaqBook_RAW_Data!AI69)</f>
        <v/>
      </c>
      <c r="E79" s="167" t="str">
        <f>IF(ISBLANK(DaqBook_RAW_Data!AJ69),"",DaqBook_RAW_Data!AJ69)</f>
        <v/>
      </c>
      <c r="F79" s="167" t="str">
        <f>IF(ISBLANK(DaqBook_RAW_Data!AK69),"",DaqBook_RAW_Data!AK69)</f>
        <v/>
      </c>
      <c r="G79" s="167" t="str">
        <f>IF(ISBLANK(DaqBook_RAW_Data!AL69),"",DaqBook_RAW_Data!AL69)</f>
        <v/>
      </c>
      <c r="H79" s="167" t="str">
        <f>IF(ISBLANK(DaqBook_RAW_Data!AM69),"",DaqBook_RAW_Data!AM69)</f>
        <v/>
      </c>
      <c r="I79" s="167" t="str">
        <f>IF(ISBLANK(DaqBook_RAW_Data!AN69),"",DaqBook_RAW_Data!AN69)</f>
        <v/>
      </c>
      <c r="J79" s="167" t="str">
        <f>IF(ISBLANK(DaqBook_RAW_Data!AO69),"",DaqBook_RAW_Data!AO69)</f>
        <v/>
      </c>
      <c r="K79" s="167" t="str">
        <f>IF(ISBLANK(DaqBook_RAW_Data!AP69),"",DaqBook_RAW_Data!AP69)</f>
        <v/>
      </c>
      <c r="L79" s="167" t="str">
        <f>IF(ISBLANK(DaqBook_RAW_Data!AQ69),"",DaqBook_RAW_Data!AQ69)</f>
        <v/>
      </c>
      <c r="M79" s="167" t="str">
        <f>IF(ISBLANK(DaqBook_RAW_Data!AR69),"",DaqBook_RAW_Data!AR69)</f>
        <v/>
      </c>
      <c r="N79" s="167" t="str">
        <f>IF(ISBLANK(DaqBook_RAW_Data!AS69),"",DaqBook_RAW_Data!AS69)</f>
        <v/>
      </c>
      <c r="O79" s="167"/>
      <c r="P79" s="167"/>
    </row>
    <row r="80" spans="1:16" s="98" customFormat="1" x14ac:dyDescent="0.2">
      <c r="A80" s="97" t="e">
        <f t="shared" si="1"/>
        <v>#VALUE!</v>
      </c>
      <c r="B80" s="144" t="str">
        <f>IF(ISBLANK(DaqBook_RAW_Data!AG70),IF(DaqBook_RAW_Data!A70="","",TIMEVALUE(DaqBook_RAW_Data!A70)),TIMEVALUE(DaqBook_RAW_Data!AG70))</f>
        <v/>
      </c>
      <c r="C80" s="167" t="str">
        <f>IF(ISBLANK(DaqBook_RAW_Data!AH70),"",DaqBook_RAW_Data!AH70)</f>
        <v/>
      </c>
      <c r="D80" s="167" t="str">
        <f>IF(ISBLANK(DaqBook_RAW_Data!AI70),"",DaqBook_RAW_Data!AI70)</f>
        <v/>
      </c>
      <c r="E80" s="167" t="str">
        <f>IF(ISBLANK(DaqBook_RAW_Data!AJ70),"",DaqBook_RAW_Data!AJ70)</f>
        <v/>
      </c>
      <c r="F80" s="167" t="str">
        <f>IF(ISBLANK(DaqBook_RAW_Data!AK70),"",DaqBook_RAW_Data!AK70)</f>
        <v/>
      </c>
      <c r="G80" s="167" t="str">
        <f>IF(ISBLANK(DaqBook_RAW_Data!AL70),"",DaqBook_RAW_Data!AL70)</f>
        <v/>
      </c>
      <c r="H80" s="167" t="str">
        <f>IF(ISBLANK(DaqBook_RAW_Data!AM70),"",DaqBook_RAW_Data!AM70)</f>
        <v/>
      </c>
      <c r="I80" s="167" t="str">
        <f>IF(ISBLANK(DaqBook_RAW_Data!AN70),"",DaqBook_RAW_Data!AN70)</f>
        <v/>
      </c>
      <c r="J80" s="167" t="str">
        <f>IF(ISBLANK(DaqBook_RAW_Data!AO70),"",DaqBook_RAW_Data!AO70)</f>
        <v/>
      </c>
      <c r="K80" s="167" t="str">
        <f>IF(ISBLANK(DaqBook_RAW_Data!AP70),"",DaqBook_RAW_Data!AP70)</f>
        <v/>
      </c>
      <c r="L80" s="167" t="str">
        <f>IF(ISBLANK(DaqBook_RAW_Data!AQ70),"",DaqBook_RAW_Data!AQ70)</f>
        <v/>
      </c>
      <c r="M80" s="167" t="str">
        <f>IF(ISBLANK(DaqBook_RAW_Data!AR70),"",DaqBook_RAW_Data!AR70)</f>
        <v/>
      </c>
      <c r="N80" s="167" t="str">
        <f>IF(ISBLANK(DaqBook_RAW_Data!AS70),"",DaqBook_RAW_Data!AS70)</f>
        <v/>
      </c>
      <c r="O80" s="167"/>
      <c r="P80" s="167"/>
    </row>
    <row r="81" spans="1:16" s="98" customFormat="1" x14ac:dyDescent="0.2">
      <c r="A81" s="97" t="e">
        <f t="shared" si="1"/>
        <v>#VALUE!</v>
      </c>
      <c r="B81" s="144" t="str">
        <f>IF(ISBLANK(DaqBook_RAW_Data!AG71),IF(DaqBook_RAW_Data!A71="","",TIMEVALUE(DaqBook_RAW_Data!A71)),TIMEVALUE(DaqBook_RAW_Data!AG71))</f>
        <v/>
      </c>
      <c r="C81" s="167" t="str">
        <f>IF(ISBLANK(DaqBook_RAW_Data!AH71),"",DaqBook_RAW_Data!AH71)</f>
        <v/>
      </c>
      <c r="D81" s="167" t="str">
        <f>IF(ISBLANK(DaqBook_RAW_Data!AI71),"",DaqBook_RAW_Data!AI71)</f>
        <v/>
      </c>
      <c r="E81" s="167" t="str">
        <f>IF(ISBLANK(DaqBook_RAW_Data!AJ71),"",DaqBook_RAW_Data!AJ71)</f>
        <v/>
      </c>
      <c r="F81" s="167" t="str">
        <f>IF(ISBLANK(DaqBook_RAW_Data!AK71),"",DaqBook_RAW_Data!AK71)</f>
        <v/>
      </c>
      <c r="G81" s="167" t="str">
        <f>IF(ISBLANK(DaqBook_RAW_Data!AL71),"",DaqBook_RAW_Data!AL71)</f>
        <v/>
      </c>
      <c r="H81" s="167" t="str">
        <f>IF(ISBLANK(DaqBook_RAW_Data!AM71),"",DaqBook_RAW_Data!AM71)</f>
        <v/>
      </c>
      <c r="I81" s="167" t="str">
        <f>IF(ISBLANK(DaqBook_RAW_Data!AN71),"",DaqBook_RAW_Data!AN71)</f>
        <v/>
      </c>
      <c r="J81" s="167" t="str">
        <f>IF(ISBLANK(DaqBook_RAW_Data!AO71),"",DaqBook_RAW_Data!AO71)</f>
        <v/>
      </c>
      <c r="K81" s="167" t="str">
        <f>IF(ISBLANK(DaqBook_RAW_Data!AP71),"",DaqBook_RAW_Data!AP71)</f>
        <v/>
      </c>
      <c r="L81" s="167" t="str">
        <f>IF(ISBLANK(DaqBook_RAW_Data!AQ71),"",DaqBook_RAW_Data!AQ71)</f>
        <v/>
      </c>
      <c r="M81" s="167" t="str">
        <f>IF(ISBLANK(DaqBook_RAW_Data!AR71),"",DaqBook_RAW_Data!AR71)</f>
        <v/>
      </c>
      <c r="N81" s="167" t="str">
        <f>IF(ISBLANK(DaqBook_RAW_Data!AS71),"",DaqBook_RAW_Data!AS71)</f>
        <v/>
      </c>
      <c r="O81" s="167"/>
      <c r="P81" s="167"/>
    </row>
    <row r="82" spans="1:16" s="98" customFormat="1" x14ac:dyDescent="0.2">
      <c r="A82" s="97" t="e">
        <f t="shared" si="1"/>
        <v>#VALUE!</v>
      </c>
      <c r="B82" s="144" t="str">
        <f>IF(ISBLANK(DaqBook_RAW_Data!AG72),IF(DaqBook_RAW_Data!A72="","",TIMEVALUE(DaqBook_RAW_Data!A72)),TIMEVALUE(DaqBook_RAW_Data!AG72))</f>
        <v/>
      </c>
      <c r="C82" s="167" t="str">
        <f>IF(ISBLANK(DaqBook_RAW_Data!AH72),"",DaqBook_RAW_Data!AH72)</f>
        <v/>
      </c>
      <c r="D82" s="167" t="str">
        <f>IF(ISBLANK(DaqBook_RAW_Data!AI72),"",DaqBook_RAW_Data!AI72)</f>
        <v/>
      </c>
      <c r="E82" s="167" t="str">
        <f>IF(ISBLANK(DaqBook_RAW_Data!AJ72),"",DaqBook_RAW_Data!AJ72)</f>
        <v/>
      </c>
      <c r="F82" s="167" t="str">
        <f>IF(ISBLANK(DaqBook_RAW_Data!AK72),"",DaqBook_RAW_Data!AK72)</f>
        <v/>
      </c>
      <c r="G82" s="167" t="str">
        <f>IF(ISBLANK(DaqBook_RAW_Data!AL72),"",DaqBook_RAW_Data!AL72)</f>
        <v/>
      </c>
      <c r="H82" s="167" t="str">
        <f>IF(ISBLANK(DaqBook_RAW_Data!AM72),"",DaqBook_RAW_Data!AM72)</f>
        <v/>
      </c>
      <c r="I82" s="167" t="str">
        <f>IF(ISBLANK(DaqBook_RAW_Data!AN72),"",DaqBook_RAW_Data!AN72)</f>
        <v/>
      </c>
      <c r="J82" s="167" t="str">
        <f>IF(ISBLANK(DaqBook_RAW_Data!AO72),"",DaqBook_RAW_Data!AO72)</f>
        <v/>
      </c>
      <c r="K82" s="167" t="str">
        <f>IF(ISBLANK(DaqBook_RAW_Data!AP72),"",DaqBook_RAW_Data!AP72)</f>
        <v/>
      </c>
      <c r="L82" s="167" t="str">
        <f>IF(ISBLANK(DaqBook_RAW_Data!AQ72),"",DaqBook_RAW_Data!AQ72)</f>
        <v/>
      </c>
      <c r="M82" s="167" t="str">
        <f>IF(ISBLANK(DaqBook_RAW_Data!AR72),"",DaqBook_RAW_Data!AR72)</f>
        <v/>
      </c>
      <c r="N82" s="167" t="str">
        <f>IF(ISBLANK(DaqBook_RAW_Data!AS72),"",DaqBook_RAW_Data!AS72)</f>
        <v/>
      </c>
      <c r="O82" s="167"/>
      <c r="P82" s="167"/>
    </row>
    <row r="83" spans="1:16" s="98" customFormat="1" x14ac:dyDescent="0.2">
      <c r="A83" s="97" t="e">
        <f t="shared" si="1"/>
        <v>#VALUE!</v>
      </c>
      <c r="B83" s="144" t="str">
        <f>IF(ISBLANK(DaqBook_RAW_Data!AG73),IF(DaqBook_RAW_Data!A73="","",TIMEVALUE(DaqBook_RAW_Data!A73)),TIMEVALUE(DaqBook_RAW_Data!AG73))</f>
        <v/>
      </c>
      <c r="C83" s="167" t="str">
        <f>IF(ISBLANK(DaqBook_RAW_Data!AH73),"",DaqBook_RAW_Data!AH73)</f>
        <v/>
      </c>
      <c r="D83" s="167" t="str">
        <f>IF(ISBLANK(DaqBook_RAW_Data!AI73),"",DaqBook_RAW_Data!AI73)</f>
        <v/>
      </c>
      <c r="E83" s="167" t="str">
        <f>IF(ISBLANK(DaqBook_RAW_Data!AJ73),"",DaqBook_RAW_Data!AJ73)</f>
        <v/>
      </c>
      <c r="F83" s="167" t="str">
        <f>IF(ISBLANK(DaqBook_RAW_Data!AK73),"",DaqBook_RAW_Data!AK73)</f>
        <v/>
      </c>
      <c r="G83" s="167" t="str">
        <f>IF(ISBLANK(DaqBook_RAW_Data!AL73),"",DaqBook_RAW_Data!AL73)</f>
        <v/>
      </c>
      <c r="H83" s="167" t="str">
        <f>IF(ISBLANK(DaqBook_RAW_Data!AM73),"",DaqBook_RAW_Data!AM73)</f>
        <v/>
      </c>
      <c r="I83" s="167" t="str">
        <f>IF(ISBLANK(DaqBook_RAW_Data!AN73),"",DaqBook_RAW_Data!AN73)</f>
        <v/>
      </c>
      <c r="J83" s="167" t="str">
        <f>IF(ISBLANK(DaqBook_RAW_Data!AO73),"",DaqBook_RAW_Data!AO73)</f>
        <v/>
      </c>
      <c r="K83" s="167" t="str">
        <f>IF(ISBLANK(DaqBook_RAW_Data!AP73),"",DaqBook_RAW_Data!AP73)</f>
        <v/>
      </c>
      <c r="L83" s="167" t="str">
        <f>IF(ISBLANK(DaqBook_RAW_Data!AQ73),"",DaqBook_RAW_Data!AQ73)</f>
        <v/>
      </c>
      <c r="M83" s="167" t="str">
        <f>IF(ISBLANK(DaqBook_RAW_Data!AR73),"",DaqBook_RAW_Data!AR73)</f>
        <v/>
      </c>
      <c r="N83" s="167" t="str">
        <f>IF(ISBLANK(DaqBook_RAW_Data!AS73),"",DaqBook_RAW_Data!AS73)</f>
        <v/>
      </c>
      <c r="O83" s="167"/>
      <c r="P83" s="167"/>
    </row>
    <row r="84" spans="1:16" s="96" customFormat="1" x14ac:dyDescent="0.2">
      <c r="A84" s="145" t="e">
        <f t="shared" si="1"/>
        <v>#VALUE!</v>
      </c>
      <c r="B84" s="144" t="str">
        <f>IF(ISBLANK(DaqBook_RAW_Data!AG74),IF(DaqBook_RAW_Data!A74="","",TIMEVALUE(DaqBook_RAW_Data!A74)),TIMEVALUE(DaqBook_RAW_Data!AG74))</f>
        <v/>
      </c>
      <c r="C84" s="167" t="str">
        <f>IF(ISBLANK(DaqBook_RAW_Data!AH74),"",DaqBook_RAW_Data!AH74)</f>
        <v/>
      </c>
      <c r="D84" s="167" t="str">
        <f>IF(ISBLANK(DaqBook_RAW_Data!AI74),"",DaqBook_RAW_Data!AI74)</f>
        <v/>
      </c>
      <c r="E84" s="167" t="str">
        <f>IF(ISBLANK(DaqBook_RAW_Data!AJ74),"",DaqBook_RAW_Data!AJ74)</f>
        <v/>
      </c>
      <c r="F84" s="167" t="str">
        <f>IF(ISBLANK(DaqBook_RAW_Data!AK74),"",DaqBook_RAW_Data!AK74)</f>
        <v/>
      </c>
      <c r="G84" s="167" t="str">
        <f>IF(ISBLANK(DaqBook_RAW_Data!AL74),"",DaqBook_RAW_Data!AL74)</f>
        <v/>
      </c>
      <c r="H84" s="167" t="str">
        <f>IF(ISBLANK(DaqBook_RAW_Data!AM74),"",DaqBook_RAW_Data!AM74)</f>
        <v/>
      </c>
      <c r="I84" s="167" t="str">
        <f>IF(ISBLANK(DaqBook_RAW_Data!AN74),"",DaqBook_RAW_Data!AN74)</f>
        <v/>
      </c>
      <c r="J84" s="167" t="str">
        <f>IF(ISBLANK(DaqBook_RAW_Data!AO74),"",DaqBook_RAW_Data!AO74)</f>
        <v/>
      </c>
      <c r="K84" s="167" t="str">
        <f>IF(ISBLANK(DaqBook_RAW_Data!AP74),"",DaqBook_RAW_Data!AP74)</f>
        <v/>
      </c>
      <c r="L84" s="167" t="str">
        <f>IF(ISBLANK(DaqBook_RAW_Data!AQ74),"",DaqBook_RAW_Data!AQ74)</f>
        <v/>
      </c>
      <c r="M84" s="167" t="str">
        <f>IF(ISBLANK(DaqBook_RAW_Data!AR74),"",DaqBook_RAW_Data!AR74)</f>
        <v/>
      </c>
      <c r="N84" s="167" t="str">
        <f>IF(ISBLANK(DaqBook_RAW_Data!AS74),"",DaqBook_RAW_Data!AS74)</f>
        <v/>
      </c>
      <c r="O84" s="167"/>
      <c r="P84" s="167"/>
    </row>
    <row r="85" spans="1:16" s="96" customFormat="1" x14ac:dyDescent="0.2">
      <c r="A85" s="145" t="e">
        <f t="shared" si="1"/>
        <v>#VALUE!</v>
      </c>
      <c r="B85" s="144" t="str">
        <f>IF(ISBLANK(DaqBook_RAW_Data!AG75),IF(DaqBook_RAW_Data!A75="","",TIMEVALUE(DaqBook_RAW_Data!A75)),TIMEVALUE(DaqBook_RAW_Data!AG75))</f>
        <v/>
      </c>
      <c r="C85" s="167" t="str">
        <f>IF(ISBLANK(DaqBook_RAW_Data!AH75),"",DaqBook_RAW_Data!AH75)</f>
        <v/>
      </c>
      <c r="D85" s="167" t="str">
        <f>IF(ISBLANK(DaqBook_RAW_Data!AI75),"",DaqBook_RAW_Data!AI75)</f>
        <v/>
      </c>
      <c r="E85" s="167" t="str">
        <f>IF(ISBLANK(DaqBook_RAW_Data!AJ75),"",DaqBook_RAW_Data!AJ75)</f>
        <v/>
      </c>
      <c r="F85" s="167" t="str">
        <f>IF(ISBLANK(DaqBook_RAW_Data!AK75),"",DaqBook_RAW_Data!AK75)</f>
        <v/>
      </c>
      <c r="G85" s="167" t="str">
        <f>IF(ISBLANK(DaqBook_RAW_Data!AL75),"",DaqBook_RAW_Data!AL75)</f>
        <v/>
      </c>
      <c r="H85" s="167" t="str">
        <f>IF(ISBLANK(DaqBook_RAW_Data!AM75),"",DaqBook_RAW_Data!AM75)</f>
        <v/>
      </c>
      <c r="I85" s="167" t="str">
        <f>IF(ISBLANK(DaqBook_RAW_Data!AN75),"",DaqBook_RAW_Data!AN75)</f>
        <v/>
      </c>
      <c r="J85" s="167" t="str">
        <f>IF(ISBLANK(DaqBook_RAW_Data!AO75),"",DaqBook_RAW_Data!AO75)</f>
        <v/>
      </c>
      <c r="K85" s="167" t="str">
        <f>IF(ISBLANK(DaqBook_RAW_Data!AP75),"",DaqBook_RAW_Data!AP75)</f>
        <v/>
      </c>
      <c r="L85" s="167" t="str">
        <f>IF(ISBLANK(DaqBook_RAW_Data!AQ75),"",DaqBook_RAW_Data!AQ75)</f>
        <v/>
      </c>
      <c r="M85" s="167" t="str">
        <f>IF(ISBLANK(DaqBook_RAW_Data!AR75),"",DaqBook_RAW_Data!AR75)</f>
        <v/>
      </c>
      <c r="N85" s="167" t="str">
        <f>IF(ISBLANK(DaqBook_RAW_Data!AS75),"",DaqBook_RAW_Data!AS75)</f>
        <v/>
      </c>
      <c r="O85" s="167"/>
      <c r="P85" s="167"/>
    </row>
    <row r="86" spans="1:16" s="96" customFormat="1" x14ac:dyDescent="0.2">
      <c r="A86" s="145" t="e">
        <f t="shared" si="1"/>
        <v>#VALUE!</v>
      </c>
      <c r="B86" s="144" t="str">
        <f>IF(ISBLANK(DaqBook_RAW_Data!AG76),IF(DaqBook_RAW_Data!A76="","",TIMEVALUE(DaqBook_RAW_Data!A76)),TIMEVALUE(DaqBook_RAW_Data!AG76))</f>
        <v/>
      </c>
      <c r="C86" s="167" t="str">
        <f>IF(ISBLANK(DaqBook_RAW_Data!AH76),"",DaqBook_RAW_Data!AH76)</f>
        <v/>
      </c>
      <c r="D86" s="167" t="str">
        <f>IF(ISBLANK(DaqBook_RAW_Data!AI76),"",DaqBook_RAW_Data!AI76)</f>
        <v/>
      </c>
      <c r="E86" s="167" t="str">
        <f>IF(ISBLANK(DaqBook_RAW_Data!AJ76),"",DaqBook_RAW_Data!AJ76)</f>
        <v/>
      </c>
      <c r="F86" s="167" t="str">
        <f>IF(ISBLANK(DaqBook_RAW_Data!AK76),"",DaqBook_RAW_Data!AK76)</f>
        <v/>
      </c>
      <c r="G86" s="167" t="str">
        <f>IF(ISBLANK(DaqBook_RAW_Data!AL76),"",DaqBook_RAW_Data!AL76)</f>
        <v/>
      </c>
      <c r="H86" s="167" t="str">
        <f>IF(ISBLANK(DaqBook_RAW_Data!AM76),"",DaqBook_RAW_Data!AM76)</f>
        <v/>
      </c>
      <c r="I86" s="167" t="str">
        <f>IF(ISBLANK(DaqBook_RAW_Data!AN76),"",DaqBook_RAW_Data!AN76)</f>
        <v/>
      </c>
      <c r="J86" s="167" t="str">
        <f>IF(ISBLANK(DaqBook_RAW_Data!AO76),"",DaqBook_RAW_Data!AO76)</f>
        <v/>
      </c>
      <c r="K86" s="167" t="str">
        <f>IF(ISBLANK(DaqBook_RAW_Data!AP76),"",DaqBook_RAW_Data!AP76)</f>
        <v/>
      </c>
      <c r="L86" s="167" t="str">
        <f>IF(ISBLANK(DaqBook_RAW_Data!AQ76),"",DaqBook_RAW_Data!AQ76)</f>
        <v/>
      </c>
      <c r="M86" s="167" t="str">
        <f>IF(ISBLANK(DaqBook_RAW_Data!AR76),"",DaqBook_RAW_Data!AR76)</f>
        <v/>
      </c>
      <c r="N86" s="167" t="str">
        <f>IF(ISBLANK(DaqBook_RAW_Data!AS76),"",DaqBook_RAW_Data!AS76)</f>
        <v/>
      </c>
      <c r="O86" s="167"/>
      <c r="P86" s="167"/>
    </row>
    <row r="87" spans="1:16" s="96" customFormat="1" x14ac:dyDescent="0.2">
      <c r="A87" s="145" t="e">
        <f t="shared" si="1"/>
        <v>#VALUE!</v>
      </c>
      <c r="B87" s="144" t="str">
        <f>IF(ISBLANK(DaqBook_RAW_Data!AG77),IF(DaqBook_RAW_Data!A77="","",TIMEVALUE(DaqBook_RAW_Data!A77)),TIMEVALUE(DaqBook_RAW_Data!AG77))</f>
        <v/>
      </c>
      <c r="C87" s="167" t="str">
        <f>IF(ISBLANK(DaqBook_RAW_Data!AH77),"",DaqBook_RAW_Data!AH77)</f>
        <v/>
      </c>
      <c r="D87" s="167" t="str">
        <f>IF(ISBLANK(DaqBook_RAW_Data!AI77),"",DaqBook_RAW_Data!AI77)</f>
        <v/>
      </c>
      <c r="E87" s="167" t="str">
        <f>IF(ISBLANK(DaqBook_RAW_Data!AJ77),"",DaqBook_RAW_Data!AJ77)</f>
        <v/>
      </c>
      <c r="F87" s="167" t="str">
        <f>IF(ISBLANK(DaqBook_RAW_Data!AK77),"",DaqBook_RAW_Data!AK77)</f>
        <v/>
      </c>
      <c r="G87" s="167" t="str">
        <f>IF(ISBLANK(DaqBook_RAW_Data!AL77),"",DaqBook_RAW_Data!AL77)</f>
        <v/>
      </c>
      <c r="H87" s="167" t="str">
        <f>IF(ISBLANK(DaqBook_RAW_Data!AM77),"",DaqBook_RAW_Data!AM77)</f>
        <v/>
      </c>
      <c r="I87" s="167" t="str">
        <f>IF(ISBLANK(DaqBook_RAW_Data!AN77),"",DaqBook_RAW_Data!AN77)</f>
        <v/>
      </c>
      <c r="J87" s="167" t="str">
        <f>IF(ISBLANK(DaqBook_RAW_Data!AO77),"",DaqBook_RAW_Data!AO77)</f>
        <v/>
      </c>
      <c r="K87" s="167" t="str">
        <f>IF(ISBLANK(DaqBook_RAW_Data!AP77),"",DaqBook_RAW_Data!AP77)</f>
        <v/>
      </c>
      <c r="L87" s="167" t="str">
        <f>IF(ISBLANK(DaqBook_RAW_Data!AQ77),"",DaqBook_RAW_Data!AQ77)</f>
        <v/>
      </c>
      <c r="M87" s="167" t="str">
        <f>IF(ISBLANK(DaqBook_RAW_Data!AR77),"",DaqBook_RAW_Data!AR77)</f>
        <v/>
      </c>
      <c r="N87" s="167" t="str">
        <f>IF(ISBLANK(DaqBook_RAW_Data!AS77),"",DaqBook_RAW_Data!AS77)</f>
        <v/>
      </c>
      <c r="O87" s="167"/>
      <c r="P87" s="167"/>
    </row>
    <row r="88" spans="1:16" s="96" customFormat="1" x14ac:dyDescent="0.2">
      <c r="A88" s="145" t="e">
        <f t="shared" si="1"/>
        <v>#VALUE!</v>
      </c>
      <c r="B88" s="144" t="str">
        <f>IF(ISBLANK(DaqBook_RAW_Data!AG78),IF(DaqBook_RAW_Data!A78="","",TIMEVALUE(DaqBook_RAW_Data!A78)),TIMEVALUE(DaqBook_RAW_Data!AG78))</f>
        <v/>
      </c>
      <c r="C88" s="167" t="str">
        <f>IF(ISBLANK(DaqBook_RAW_Data!AH78),"",DaqBook_RAW_Data!AH78)</f>
        <v/>
      </c>
      <c r="D88" s="167" t="str">
        <f>IF(ISBLANK(DaqBook_RAW_Data!AI78),"",DaqBook_RAW_Data!AI78)</f>
        <v/>
      </c>
      <c r="E88" s="167" t="str">
        <f>IF(ISBLANK(DaqBook_RAW_Data!AJ78),"",DaqBook_RAW_Data!AJ78)</f>
        <v/>
      </c>
      <c r="F88" s="167" t="str">
        <f>IF(ISBLANK(DaqBook_RAW_Data!AK78),"",DaqBook_RAW_Data!AK78)</f>
        <v/>
      </c>
      <c r="G88" s="167" t="str">
        <f>IF(ISBLANK(DaqBook_RAW_Data!AL78),"",DaqBook_RAW_Data!AL78)</f>
        <v/>
      </c>
      <c r="H88" s="167" t="str">
        <f>IF(ISBLANK(DaqBook_RAW_Data!AM78),"",DaqBook_RAW_Data!AM78)</f>
        <v/>
      </c>
      <c r="I88" s="167" t="str">
        <f>IF(ISBLANK(DaqBook_RAW_Data!AN78),"",DaqBook_RAW_Data!AN78)</f>
        <v/>
      </c>
      <c r="J88" s="167" t="str">
        <f>IF(ISBLANK(DaqBook_RAW_Data!AO78),"",DaqBook_RAW_Data!AO78)</f>
        <v/>
      </c>
      <c r="K88" s="167" t="str">
        <f>IF(ISBLANK(DaqBook_RAW_Data!AP78),"",DaqBook_RAW_Data!AP78)</f>
        <v/>
      </c>
      <c r="L88" s="167" t="str">
        <f>IF(ISBLANK(DaqBook_RAW_Data!AQ78),"",DaqBook_RAW_Data!AQ78)</f>
        <v/>
      </c>
      <c r="M88" s="167" t="str">
        <f>IF(ISBLANK(DaqBook_RAW_Data!AR78),"",DaqBook_RAW_Data!AR78)</f>
        <v/>
      </c>
      <c r="N88" s="167" t="str">
        <f>IF(ISBLANK(DaqBook_RAW_Data!AS78),"",DaqBook_RAW_Data!AS78)</f>
        <v/>
      </c>
      <c r="O88" s="167"/>
      <c r="P88" s="167"/>
    </row>
    <row r="89" spans="1:16" s="96" customFormat="1" x14ac:dyDescent="0.2">
      <c r="A89" s="145" t="e">
        <f t="shared" si="1"/>
        <v>#VALUE!</v>
      </c>
      <c r="B89" s="144" t="str">
        <f>IF(ISBLANK(DaqBook_RAW_Data!AG79),IF(DaqBook_RAW_Data!A79="","",TIMEVALUE(DaqBook_RAW_Data!A79)),TIMEVALUE(DaqBook_RAW_Data!AG79))</f>
        <v/>
      </c>
      <c r="C89" s="167" t="str">
        <f>IF(ISBLANK(DaqBook_RAW_Data!AH79),"",DaqBook_RAW_Data!AH79)</f>
        <v/>
      </c>
      <c r="D89" s="167" t="str">
        <f>IF(ISBLANK(DaqBook_RAW_Data!AI79),"",DaqBook_RAW_Data!AI79)</f>
        <v/>
      </c>
      <c r="E89" s="167" t="str">
        <f>IF(ISBLANK(DaqBook_RAW_Data!AJ79),"",DaqBook_RAW_Data!AJ79)</f>
        <v/>
      </c>
      <c r="F89" s="167" t="str">
        <f>IF(ISBLANK(DaqBook_RAW_Data!AK79),"",DaqBook_RAW_Data!AK79)</f>
        <v/>
      </c>
      <c r="G89" s="167" t="str">
        <f>IF(ISBLANK(DaqBook_RAW_Data!AL79),"",DaqBook_RAW_Data!AL79)</f>
        <v/>
      </c>
      <c r="H89" s="167" t="str">
        <f>IF(ISBLANK(DaqBook_RAW_Data!AM79),"",DaqBook_RAW_Data!AM79)</f>
        <v/>
      </c>
      <c r="I89" s="167" t="str">
        <f>IF(ISBLANK(DaqBook_RAW_Data!AN79),"",DaqBook_RAW_Data!AN79)</f>
        <v/>
      </c>
      <c r="J89" s="167" t="str">
        <f>IF(ISBLANK(DaqBook_RAW_Data!AO79),"",DaqBook_RAW_Data!AO79)</f>
        <v/>
      </c>
      <c r="K89" s="167" t="str">
        <f>IF(ISBLANK(DaqBook_RAW_Data!AP79),"",DaqBook_RAW_Data!AP79)</f>
        <v/>
      </c>
      <c r="L89" s="167" t="str">
        <f>IF(ISBLANK(DaqBook_RAW_Data!AQ79),"",DaqBook_RAW_Data!AQ79)</f>
        <v/>
      </c>
      <c r="M89" s="167" t="str">
        <f>IF(ISBLANK(DaqBook_RAW_Data!AR79),"",DaqBook_RAW_Data!AR79)</f>
        <v/>
      </c>
      <c r="N89" s="167" t="str">
        <f>IF(ISBLANK(DaqBook_RAW_Data!AS79),"",DaqBook_RAW_Data!AS79)</f>
        <v/>
      </c>
      <c r="O89" s="167"/>
      <c r="P89" s="167"/>
    </row>
    <row r="90" spans="1:16" s="96" customFormat="1" x14ac:dyDescent="0.2">
      <c r="A90" s="145" t="e">
        <f t="shared" si="1"/>
        <v>#VALUE!</v>
      </c>
      <c r="B90" s="144" t="str">
        <f>IF(ISBLANK(DaqBook_RAW_Data!AG80),IF(DaqBook_RAW_Data!A80="","",TIMEVALUE(DaqBook_RAW_Data!A80)),TIMEVALUE(DaqBook_RAW_Data!AG80))</f>
        <v/>
      </c>
      <c r="C90" s="167" t="str">
        <f>IF(ISBLANK(DaqBook_RAW_Data!AH80),"",DaqBook_RAW_Data!AH80)</f>
        <v/>
      </c>
      <c r="D90" s="167" t="str">
        <f>IF(ISBLANK(DaqBook_RAW_Data!AI80),"",DaqBook_RAW_Data!AI80)</f>
        <v/>
      </c>
      <c r="E90" s="167" t="str">
        <f>IF(ISBLANK(DaqBook_RAW_Data!AJ80),"",DaqBook_RAW_Data!AJ80)</f>
        <v/>
      </c>
      <c r="F90" s="167" t="str">
        <f>IF(ISBLANK(DaqBook_RAW_Data!AK80),"",DaqBook_RAW_Data!AK80)</f>
        <v/>
      </c>
      <c r="G90" s="167" t="str">
        <f>IF(ISBLANK(DaqBook_RAW_Data!AL80),"",DaqBook_RAW_Data!AL80)</f>
        <v/>
      </c>
      <c r="H90" s="167" t="str">
        <f>IF(ISBLANK(DaqBook_RAW_Data!AM80),"",DaqBook_RAW_Data!AM80)</f>
        <v/>
      </c>
      <c r="I90" s="167" t="str">
        <f>IF(ISBLANK(DaqBook_RAW_Data!AN80),"",DaqBook_RAW_Data!AN80)</f>
        <v/>
      </c>
      <c r="J90" s="167" t="str">
        <f>IF(ISBLANK(DaqBook_RAW_Data!AO80),"",DaqBook_RAW_Data!AO80)</f>
        <v/>
      </c>
      <c r="K90" s="167" t="str">
        <f>IF(ISBLANK(DaqBook_RAW_Data!AP80),"",DaqBook_RAW_Data!AP80)</f>
        <v/>
      </c>
      <c r="L90" s="167" t="str">
        <f>IF(ISBLANK(DaqBook_RAW_Data!AQ80),"",DaqBook_RAW_Data!AQ80)</f>
        <v/>
      </c>
      <c r="M90" s="167" t="str">
        <f>IF(ISBLANK(DaqBook_RAW_Data!AR80),"",DaqBook_RAW_Data!AR80)</f>
        <v/>
      </c>
      <c r="N90" s="167" t="str">
        <f>IF(ISBLANK(DaqBook_RAW_Data!AS80),"",DaqBook_RAW_Data!AS80)</f>
        <v/>
      </c>
      <c r="O90" s="167"/>
      <c r="P90" s="167"/>
    </row>
    <row r="91" spans="1:16" s="96" customFormat="1" x14ac:dyDescent="0.2">
      <c r="A91" s="145" t="e">
        <f t="shared" si="1"/>
        <v>#VALUE!</v>
      </c>
      <c r="B91" s="144" t="str">
        <f>IF(ISBLANK(DaqBook_RAW_Data!AG81),IF(DaqBook_RAW_Data!A81="","",TIMEVALUE(DaqBook_RAW_Data!A81)),TIMEVALUE(DaqBook_RAW_Data!AG81))</f>
        <v/>
      </c>
      <c r="C91" s="167" t="str">
        <f>IF(ISBLANK(DaqBook_RAW_Data!AH81),"",DaqBook_RAW_Data!AH81)</f>
        <v/>
      </c>
      <c r="D91" s="167" t="str">
        <f>IF(ISBLANK(DaqBook_RAW_Data!AI81),"",DaqBook_RAW_Data!AI81)</f>
        <v/>
      </c>
      <c r="E91" s="167" t="str">
        <f>IF(ISBLANK(DaqBook_RAW_Data!AJ81),"",DaqBook_RAW_Data!AJ81)</f>
        <v/>
      </c>
      <c r="F91" s="167" t="str">
        <f>IF(ISBLANK(DaqBook_RAW_Data!AK81),"",DaqBook_RAW_Data!AK81)</f>
        <v/>
      </c>
      <c r="G91" s="167" t="str">
        <f>IF(ISBLANK(DaqBook_RAW_Data!AL81),"",DaqBook_RAW_Data!AL81)</f>
        <v/>
      </c>
      <c r="H91" s="167" t="str">
        <f>IF(ISBLANK(DaqBook_RAW_Data!AM81),"",DaqBook_RAW_Data!AM81)</f>
        <v/>
      </c>
      <c r="I91" s="167" t="str">
        <f>IF(ISBLANK(DaqBook_RAW_Data!AN81),"",DaqBook_RAW_Data!AN81)</f>
        <v/>
      </c>
      <c r="J91" s="167" t="str">
        <f>IF(ISBLANK(DaqBook_RAW_Data!AO81),"",DaqBook_RAW_Data!AO81)</f>
        <v/>
      </c>
      <c r="K91" s="167" t="str">
        <f>IF(ISBLANK(DaqBook_RAW_Data!AP81),"",DaqBook_RAW_Data!AP81)</f>
        <v/>
      </c>
      <c r="L91" s="167" t="str">
        <f>IF(ISBLANK(DaqBook_RAW_Data!AQ81),"",DaqBook_RAW_Data!AQ81)</f>
        <v/>
      </c>
      <c r="M91" s="167" t="str">
        <f>IF(ISBLANK(DaqBook_RAW_Data!AR81),"",DaqBook_RAW_Data!AR81)</f>
        <v/>
      </c>
      <c r="N91" s="167" t="str">
        <f>IF(ISBLANK(DaqBook_RAW_Data!AS81),"",DaqBook_RAW_Data!AS81)</f>
        <v/>
      </c>
      <c r="O91" s="167"/>
      <c r="P91" s="167"/>
    </row>
    <row r="92" spans="1:16" s="96" customFormat="1" x14ac:dyDescent="0.2">
      <c r="A92" s="145" t="e">
        <f t="shared" si="1"/>
        <v>#VALUE!</v>
      </c>
      <c r="B92" s="144" t="str">
        <f>IF(ISBLANK(DaqBook_RAW_Data!AG82),IF(DaqBook_RAW_Data!A82="","",TIMEVALUE(DaqBook_RAW_Data!A82)),TIMEVALUE(DaqBook_RAW_Data!AG82))</f>
        <v/>
      </c>
      <c r="C92" s="167" t="str">
        <f>IF(ISBLANK(DaqBook_RAW_Data!AH82),"",DaqBook_RAW_Data!AH82)</f>
        <v/>
      </c>
      <c r="D92" s="167" t="str">
        <f>IF(ISBLANK(DaqBook_RAW_Data!AI82),"",DaqBook_RAW_Data!AI82)</f>
        <v/>
      </c>
      <c r="E92" s="167" t="str">
        <f>IF(ISBLANK(DaqBook_RAW_Data!AJ82),"",DaqBook_RAW_Data!AJ82)</f>
        <v/>
      </c>
      <c r="F92" s="167" t="str">
        <f>IF(ISBLANK(DaqBook_RAW_Data!AK82),"",DaqBook_RAW_Data!AK82)</f>
        <v/>
      </c>
      <c r="G92" s="167" t="str">
        <f>IF(ISBLANK(DaqBook_RAW_Data!AL82),"",DaqBook_RAW_Data!AL82)</f>
        <v/>
      </c>
      <c r="H92" s="167" t="str">
        <f>IF(ISBLANK(DaqBook_RAW_Data!AM82),"",DaqBook_RAW_Data!AM82)</f>
        <v/>
      </c>
      <c r="I92" s="167" t="str">
        <f>IF(ISBLANK(DaqBook_RAW_Data!AN82),"",DaqBook_RAW_Data!AN82)</f>
        <v/>
      </c>
      <c r="J92" s="167" t="str">
        <f>IF(ISBLANK(DaqBook_RAW_Data!AO82),"",DaqBook_RAW_Data!AO82)</f>
        <v/>
      </c>
      <c r="K92" s="167" t="str">
        <f>IF(ISBLANK(DaqBook_RAW_Data!AP82),"",DaqBook_RAW_Data!AP82)</f>
        <v/>
      </c>
      <c r="L92" s="167" t="str">
        <f>IF(ISBLANK(DaqBook_RAW_Data!AQ82),"",DaqBook_RAW_Data!AQ82)</f>
        <v/>
      </c>
      <c r="M92" s="167" t="str">
        <f>IF(ISBLANK(DaqBook_RAW_Data!AR82),"",DaqBook_RAW_Data!AR82)</f>
        <v/>
      </c>
      <c r="N92" s="167" t="str">
        <f>IF(ISBLANK(DaqBook_RAW_Data!AS82),"",DaqBook_RAW_Data!AS82)</f>
        <v/>
      </c>
      <c r="O92" s="167"/>
      <c r="P92" s="167"/>
    </row>
    <row r="93" spans="1:16" s="96" customFormat="1" x14ac:dyDescent="0.2">
      <c r="A93" s="145" t="e">
        <f t="shared" si="1"/>
        <v>#VALUE!</v>
      </c>
      <c r="B93" s="144" t="str">
        <f>IF(ISBLANK(DaqBook_RAW_Data!AG83),IF(DaqBook_RAW_Data!A83="","",TIMEVALUE(DaqBook_RAW_Data!A83)),TIMEVALUE(DaqBook_RAW_Data!AG83))</f>
        <v/>
      </c>
      <c r="C93" s="167" t="str">
        <f>IF(ISBLANK(DaqBook_RAW_Data!AH83),"",DaqBook_RAW_Data!AH83)</f>
        <v/>
      </c>
      <c r="D93" s="167" t="str">
        <f>IF(ISBLANK(DaqBook_RAW_Data!AI83),"",DaqBook_RAW_Data!AI83)</f>
        <v/>
      </c>
      <c r="E93" s="167" t="str">
        <f>IF(ISBLANK(DaqBook_RAW_Data!AJ83),"",DaqBook_RAW_Data!AJ83)</f>
        <v/>
      </c>
      <c r="F93" s="167" t="str">
        <f>IF(ISBLANK(DaqBook_RAW_Data!AK83),"",DaqBook_RAW_Data!AK83)</f>
        <v/>
      </c>
      <c r="G93" s="167" t="str">
        <f>IF(ISBLANK(DaqBook_RAW_Data!AL83),"",DaqBook_RAW_Data!AL83)</f>
        <v/>
      </c>
      <c r="H93" s="167" t="str">
        <f>IF(ISBLANK(DaqBook_RAW_Data!AM83),"",DaqBook_RAW_Data!AM83)</f>
        <v/>
      </c>
      <c r="I93" s="167" t="str">
        <f>IF(ISBLANK(DaqBook_RAW_Data!AN83),"",DaqBook_RAW_Data!AN83)</f>
        <v/>
      </c>
      <c r="J93" s="167" t="str">
        <f>IF(ISBLANK(DaqBook_RAW_Data!AO83),"",DaqBook_RAW_Data!AO83)</f>
        <v/>
      </c>
      <c r="K93" s="167" t="str">
        <f>IF(ISBLANK(DaqBook_RAW_Data!AP83),"",DaqBook_RAW_Data!AP83)</f>
        <v/>
      </c>
      <c r="L93" s="167" t="str">
        <f>IF(ISBLANK(DaqBook_RAW_Data!AQ83),"",DaqBook_RAW_Data!AQ83)</f>
        <v/>
      </c>
      <c r="M93" s="167" t="str">
        <f>IF(ISBLANK(DaqBook_RAW_Data!AR83),"",DaqBook_RAW_Data!AR83)</f>
        <v/>
      </c>
      <c r="N93" s="167" t="str">
        <f>IF(ISBLANK(DaqBook_RAW_Data!AS83),"",DaqBook_RAW_Data!AS83)</f>
        <v/>
      </c>
      <c r="O93" s="167"/>
      <c r="P93" s="167"/>
    </row>
    <row r="94" spans="1:16" s="96" customFormat="1" x14ac:dyDescent="0.2">
      <c r="A94" s="145" t="e">
        <f t="shared" si="1"/>
        <v>#VALUE!</v>
      </c>
      <c r="B94" s="144" t="str">
        <f>IF(ISBLANK(DaqBook_RAW_Data!AG84),IF(DaqBook_RAW_Data!A84="","",TIMEVALUE(DaqBook_RAW_Data!A84)),TIMEVALUE(DaqBook_RAW_Data!AG84))</f>
        <v/>
      </c>
      <c r="C94" s="167" t="str">
        <f>IF(ISBLANK(DaqBook_RAW_Data!AH84),"",DaqBook_RAW_Data!AH84)</f>
        <v/>
      </c>
      <c r="D94" s="167" t="str">
        <f>IF(ISBLANK(DaqBook_RAW_Data!AI84),"",DaqBook_RAW_Data!AI84)</f>
        <v/>
      </c>
      <c r="E94" s="167" t="str">
        <f>IF(ISBLANK(DaqBook_RAW_Data!AJ84),"",DaqBook_RAW_Data!AJ84)</f>
        <v/>
      </c>
      <c r="F94" s="167" t="str">
        <f>IF(ISBLANK(DaqBook_RAW_Data!AK84),"",DaqBook_RAW_Data!AK84)</f>
        <v/>
      </c>
      <c r="G94" s="167" t="str">
        <f>IF(ISBLANK(DaqBook_RAW_Data!AL84),"",DaqBook_RAW_Data!AL84)</f>
        <v/>
      </c>
      <c r="H94" s="167" t="str">
        <f>IF(ISBLANK(DaqBook_RAW_Data!AM84),"",DaqBook_RAW_Data!AM84)</f>
        <v/>
      </c>
      <c r="I94" s="167" t="str">
        <f>IF(ISBLANK(DaqBook_RAW_Data!AN84),"",DaqBook_RAW_Data!AN84)</f>
        <v/>
      </c>
      <c r="J94" s="167" t="str">
        <f>IF(ISBLANK(DaqBook_RAW_Data!AO84),"",DaqBook_RAW_Data!AO84)</f>
        <v/>
      </c>
      <c r="K94" s="167" t="str">
        <f>IF(ISBLANK(DaqBook_RAW_Data!AP84),"",DaqBook_RAW_Data!AP84)</f>
        <v/>
      </c>
      <c r="L94" s="167" t="str">
        <f>IF(ISBLANK(DaqBook_RAW_Data!AQ84),"",DaqBook_RAW_Data!AQ84)</f>
        <v/>
      </c>
      <c r="M94" s="167" t="str">
        <f>IF(ISBLANK(DaqBook_RAW_Data!AR84),"",DaqBook_RAW_Data!AR84)</f>
        <v/>
      </c>
      <c r="N94" s="167" t="str">
        <f>IF(ISBLANK(DaqBook_RAW_Data!AS84),"",DaqBook_RAW_Data!AS84)</f>
        <v/>
      </c>
      <c r="O94" s="167"/>
      <c r="P94" s="167"/>
    </row>
    <row r="95" spans="1:16" s="96" customFormat="1" x14ac:dyDescent="0.2">
      <c r="A95" s="145" t="e">
        <f t="shared" si="1"/>
        <v>#VALUE!</v>
      </c>
      <c r="B95" s="144" t="str">
        <f>IF(ISBLANK(DaqBook_RAW_Data!AG85),IF(DaqBook_RAW_Data!A85="","",TIMEVALUE(DaqBook_RAW_Data!A85)),TIMEVALUE(DaqBook_RAW_Data!AG85))</f>
        <v/>
      </c>
      <c r="C95" s="167" t="str">
        <f>IF(ISBLANK(DaqBook_RAW_Data!AH85),"",DaqBook_RAW_Data!AH85)</f>
        <v/>
      </c>
      <c r="D95" s="167" t="str">
        <f>IF(ISBLANK(DaqBook_RAW_Data!AI85),"",DaqBook_RAW_Data!AI85)</f>
        <v/>
      </c>
      <c r="E95" s="167" t="str">
        <f>IF(ISBLANK(DaqBook_RAW_Data!AJ85),"",DaqBook_RAW_Data!AJ85)</f>
        <v/>
      </c>
      <c r="F95" s="167" t="str">
        <f>IF(ISBLANK(DaqBook_RAW_Data!AK85),"",DaqBook_RAW_Data!AK85)</f>
        <v/>
      </c>
      <c r="G95" s="167" t="str">
        <f>IF(ISBLANK(DaqBook_RAW_Data!AL85),"",DaqBook_RAW_Data!AL85)</f>
        <v/>
      </c>
      <c r="H95" s="167" t="str">
        <f>IF(ISBLANK(DaqBook_RAW_Data!AM85),"",DaqBook_RAW_Data!AM85)</f>
        <v/>
      </c>
      <c r="I95" s="167" t="str">
        <f>IF(ISBLANK(DaqBook_RAW_Data!AN85),"",DaqBook_RAW_Data!AN85)</f>
        <v/>
      </c>
      <c r="J95" s="167" t="str">
        <f>IF(ISBLANK(DaqBook_RAW_Data!AO85),"",DaqBook_RAW_Data!AO85)</f>
        <v/>
      </c>
      <c r="K95" s="167" t="str">
        <f>IF(ISBLANK(DaqBook_RAW_Data!AP85),"",DaqBook_RAW_Data!AP85)</f>
        <v/>
      </c>
      <c r="L95" s="167" t="str">
        <f>IF(ISBLANK(DaqBook_RAW_Data!AQ85),"",DaqBook_RAW_Data!AQ85)</f>
        <v/>
      </c>
      <c r="M95" s="167" t="str">
        <f>IF(ISBLANK(DaqBook_RAW_Data!AR85),"",DaqBook_RAW_Data!AR85)</f>
        <v/>
      </c>
      <c r="N95" s="167" t="str">
        <f>IF(ISBLANK(DaqBook_RAW_Data!AS85),"",DaqBook_RAW_Data!AS85)</f>
        <v/>
      </c>
      <c r="O95" s="167"/>
      <c r="P95" s="167"/>
    </row>
    <row r="96" spans="1:16" s="96" customFormat="1" x14ac:dyDescent="0.2">
      <c r="A96" s="145" t="e">
        <f t="shared" si="1"/>
        <v>#VALUE!</v>
      </c>
      <c r="B96" s="144" t="str">
        <f>IF(ISBLANK(DaqBook_RAW_Data!AG86),IF(DaqBook_RAW_Data!A86="","",TIMEVALUE(DaqBook_RAW_Data!A86)),TIMEVALUE(DaqBook_RAW_Data!AG86))</f>
        <v/>
      </c>
      <c r="C96" s="167" t="str">
        <f>IF(ISBLANK(DaqBook_RAW_Data!AH86),"",DaqBook_RAW_Data!AH86)</f>
        <v/>
      </c>
      <c r="D96" s="167" t="str">
        <f>IF(ISBLANK(DaqBook_RAW_Data!AI86),"",DaqBook_RAW_Data!AI86)</f>
        <v/>
      </c>
      <c r="E96" s="167" t="str">
        <f>IF(ISBLANK(DaqBook_RAW_Data!AJ86),"",DaqBook_RAW_Data!AJ86)</f>
        <v/>
      </c>
      <c r="F96" s="167" t="str">
        <f>IF(ISBLANK(DaqBook_RAW_Data!AK86),"",DaqBook_RAW_Data!AK86)</f>
        <v/>
      </c>
      <c r="G96" s="167" t="str">
        <f>IF(ISBLANK(DaqBook_RAW_Data!AL86),"",DaqBook_RAW_Data!AL86)</f>
        <v/>
      </c>
      <c r="H96" s="167" t="str">
        <f>IF(ISBLANK(DaqBook_RAW_Data!AM86),"",DaqBook_RAW_Data!AM86)</f>
        <v/>
      </c>
      <c r="I96" s="167" t="str">
        <f>IF(ISBLANK(DaqBook_RAW_Data!AN86),"",DaqBook_RAW_Data!AN86)</f>
        <v/>
      </c>
      <c r="J96" s="167" t="str">
        <f>IF(ISBLANK(DaqBook_RAW_Data!AO86),"",DaqBook_RAW_Data!AO86)</f>
        <v/>
      </c>
      <c r="K96" s="167" t="str">
        <f>IF(ISBLANK(DaqBook_RAW_Data!AP86),"",DaqBook_RAW_Data!AP86)</f>
        <v/>
      </c>
      <c r="L96" s="167" t="str">
        <f>IF(ISBLANK(DaqBook_RAW_Data!AQ86),"",DaqBook_RAW_Data!AQ86)</f>
        <v/>
      </c>
      <c r="M96" s="167" t="str">
        <f>IF(ISBLANK(DaqBook_RAW_Data!AR86),"",DaqBook_RAW_Data!AR86)</f>
        <v/>
      </c>
      <c r="N96" s="167" t="str">
        <f>IF(ISBLANK(DaqBook_RAW_Data!AS86),"",DaqBook_RAW_Data!AS86)</f>
        <v/>
      </c>
      <c r="O96" s="167"/>
      <c r="P96" s="167"/>
    </row>
    <row r="97" spans="1:16" s="96" customFormat="1" x14ac:dyDescent="0.2">
      <c r="A97" s="145" t="e">
        <f t="shared" si="1"/>
        <v>#VALUE!</v>
      </c>
      <c r="B97" s="144" t="str">
        <f>IF(ISBLANK(DaqBook_RAW_Data!AG87),IF(DaqBook_RAW_Data!A87="","",TIMEVALUE(DaqBook_RAW_Data!A87)),TIMEVALUE(DaqBook_RAW_Data!AG87))</f>
        <v/>
      </c>
      <c r="C97" s="167" t="str">
        <f>IF(ISBLANK(DaqBook_RAW_Data!AH87),"",DaqBook_RAW_Data!AH87)</f>
        <v/>
      </c>
      <c r="D97" s="167" t="str">
        <f>IF(ISBLANK(DaqBook_RAW_Data!AI87),"",DaqBook_RAW_Data!AI87)</f>
        <v/>
      </c>
      <c r="E97" s="167" t="str">
        <f>IF(ISBLANK(DaqBook_RAW_Data!AJ87),"",DaqBook_RAW_Data!AJ87)</f>
        <v/>
      </c>
      <c r="F97" s="167" t="str">
        <f>IF(ISBLANK(DaqBook_RAW_Data!AK87),"",DaqBook_RAW_Data!AK87)</f>
        <v/>
      </c>
      <c r="G97" s="167" t="str">
        <f>IF(ISBLANK(DaqBook_RAW_Data!AL87),"",DaqBook_RAW_Data!AL87)</f>
        <v/>
      </c>
      <c r="H97" s="167" t="str">
        <f>IF(ISBLANK(DaqBook_RAW_Data!AM87),"",DaqBook_RAW_Data!AM87)</f>
        <v/>
      </c>
      <c r="I97" s="167" t="str">
        <f>IF(ISBLANK(DaqBook_RAW_Data!AN87),"",DaqBook_RAW_Data!AN87)</f>
        <v/>
      </c>
      <c r="J97" s="167" t="str">
        <f>IF(ISBLANK(DaqBook_RAW_Data!AO87),"",DaqBook_RAW_Data!AO87)</f>
        <v/>
      </c>
      <c r="K97" s="167" t="str">
        <f>IF(ISBLANK(DaqBook_RAW_Data!AP87),"",DaqBook_RAW_Data!AP87)</f>
        <v/>
      </c>
      <c r="L97" s="167" t="str">
        <f>IF(ISBLANK(DaqBook_RAW_Data!AQ87),"",DaqBook_RAW_Data!AQ87)</f>
        <v/>
      </c>
      <c r="M97" s="167" t="str">
        <f>IF(ISBLANK(DaqBook_RAW_Data!AR87),"",DaqBook_RAW_Data!AR87)</f>
        <v/>
      </c>
      <c r="N97" s="167" t="str">
        <f>IF(ISBLANK(DaqBook_RAW_Data!AS87),"",DaqBook_RAW_Data!AS87)</f>
        <v/>
      </c>
      <c r="O97" s="167"/>
      <c r="P97" s="167"/>
    </row>
    <row r="98" spans="1:16" s="96" customFormat="1" x14ac:dyDescent="0.2">
      <c r="A98" s="145" t="e">
        <f t="shared" si="1"/>
        <v>#VALUE!</v>
      </c>
      <c r="B98" s="144" t="str">
        <f>IF(ISBLANK(DaqBook_RAW_Data!AG88),IF(DaqBook_RAW_Data!A88="","",TIMEVALUE(DaqBook_RAW_Data!A88)),TIMEVALUE(DaqBook_RAW_Data!AG88))</f>
        <v/>
      </c>
      <c r="C98" s="167" t="str">
        <f>IF(ISBLANK(DaqBook_RAW_Data!AH88),"",DaqBook_RAW_Data!AH88)</f>
        <v/>
      </c>
      <c r="D98" s="167" t="str">
        <f>IF(ISBLANK(DaqBook_RAW_Data!AI88),"",DaqBook_RAW_Data!AI88)</f>
        <v/>
      </c>
      <c r="E98" s="167" t="str">
        <f>IF(ISBLANK(DaqBook_RAW_Data!AJ88),"",DaqBook_RAW_Data!AJ88)</f>
        <v/>
      </c>
      <c r="F98" s="167" t="str">
        <f>IF(ISBLANK(DaqBook_RAW_Data!AK88),"",DaqBook_RAW_Data!AK88)</f>
        <v/>
      </c>
      <c r="G98" s="167" t="str">
        <f>IF(ISBLANK(DaqBook_RAW_Data!AL88),"",DaqBook_RAW_Data!AL88)</f>
        <v/>
      </c>
      <c r="H98" s="167" t="str">
        <f>IF(ISBLANK(DaqBook_RAW_Data!AM88),"",DaqBook_RAW_Data!AM88)</f>
        <v/>
      </c>
      <c r="I98" s="167" t="str">
        <f>IF(ISBLANK(DaqBook_RAW_Data!AN88),"",DaqBook_RAW_Data!AN88)</f>
        <v/>
      </c>
      <c r="J98" s="167" t="str">
        <f>IF(ISBLANK(DaqBook_RAW_Data!AO88),"",DaqBook_RAW_Data!AO88)</f>
        <v/>
      </c>
      <c r="K98" s="167" t="str">
        <f>IF(ISBLANK(DaqBook_RAW_Data!AP88),"",DaqBook_RAW_Data!AP88)</f>
        <v/>
      </c>
      <c r="L98" s="167" t="str">
        <f>IF(ISBLANK(DaqBook_RAW_Data!AQ88),"",DaqBook_RAW_Data!AQ88)</f>
        <v/>
      </c>
      <c r="M98" s="167" t="str">
        <f>IF(ISBLANK(DaqBook_RAW_Data!AR88),"",DaqBook_RAW_Data!AR88)</f>
        <v/>
      </c>
      <c r="N98" s="167" t="str">
        <f>IF(ISBLANK(DaqBook_RAW_Data!AS88),"",DaqBook_RAW_Data!AS88)</f>
        <v/>
      </c>
      <c r="O98" s="167"/>
      <c r="P98" s="167"/>
    </row>
    <row r="99" spans="1:16" s="96" customFormat="1" x14ac:dyDescent="0.2">
      <c r="A99" s="145" t="e">
        <f t="shared" si="1"/>
        <v>#VALUE!</v>
      </c>
      <c r="B99" s="144" t="str">
        <f>IF(ISBLANK(DaqBook_RAW_Data!AG89),IF(DaqBook_RAW_Data!A89="","",TIMEVALUE(DaqBook_RAW_Data!A89)),TIMEVALUE(DaqBook_RAW_Data!AG89))</f>
        <v/>
      </c>
      <c r="C99" s="167" t="str">
        <f>IF(ISBLANK(DaqBook_RAW_Data!AH89),"",DaqBook_RAW_Data!AH89)</f>
        <v/>
      </c>
      <c r="D99" s="167" t="str">
        <f>IF(ISBLANK(DaqBook_RAW_Data!AI89),"",DaqBook_RAW_Data!AI89)</f>
        <v/>
      </c>
      <c r="E99" s="167" t="str">
        <f>IF(ISBLANK(DaqBook_RAW_Data!AJ89),"",DaqBook_RAW_Data!AJ89)</f>
        <v/>
      </c>
      <c r="F99" s="167" t="str">
        <f>IF(ISBLANK(DaqBook_RAW_Data!AK89),"",DaqBook_RAW_Data!AK89)</f>
        <v/>
      </c>
      <c r="G99" s="167" t="str">
        <f>IF(ISBLANK(DaqBook_RAW_Data!AL89),"",DaqBook_RAW_Data!AL89)</f>
        <v/>
      </c>
      <c r="H99" s="167" t="str">
        <f>IF(ISBLANK(DaqBook_RAW_Data!AM89),"",DaqBook_RAW_Data!AM89)</f>
        <v/>
      </c>
      <c r="I99" s="167" t="str">
        <f>IF(ISBLANK(DaqBook_RAW_Data!AN89),"",DaqBook_RAW_Data!AN89)</f>
        <v/>
      </c>
      <c r="J99" s="167" t="str">
        <f>IF(ISBLANK(DaqBook_RAW_Data!AO89),"",DaqBook_RAW_Data!AO89)</f>
        <v/>
      </c>
      <c r="K99" s="167" t="str">
        <f>IF(ISBLANK(DaqBook_RAW_Data!AP89),"",DaqBook_RAW_Data!AP89)</f>
        <v/>
      </c>
      <c r="L99" s="167" t="str">
        <f>IF(ISBLANK(DaqBook_RAW_Data!AQ89),"",DaqBook_RAW_Data!AQ89)</f>
        <v/>
      </c>
      <c r="M99" s="167" t="str">
        <f>IF(ISBLANK(DaqBook_RAW_Data!AR89),"",DaqBook_RAW_Data!AR89)</f>
        <v/>
      </c>
      <c r="N99" s="167" t="str">
        <f>IF(ISBLANK(DaqBook_RAW_Data!AS89),"",DaqBook_RAW_Data!AS89)</f>
        <v/>
      </c>
      <c r="O99" s="167"/>
      <c r="P99" s="167"/>
    </row>
    <row r="100" spans="1:16" s="96" customFormat="1" x14ac:dyDescent="0.2">
      <c r="A100" s="145" t="e">
        <f t="shared" si="1"/>
        <v>#VALUE!</v>
      </c>
      <c r="B100" s="144" t="str">
        <f>IF(ISBLANK(DaqBook_RAW_Data!AG90),IF(DaqBook_RAW_Data!A90="","",TIMEVALUE(DaqBook_RAW_Data!A90)),TIMEVALUE(DaqBook_RAW_Data!AG90))</f>
        <v/>
      </c>
      <c r="C100" s="167" t="str">
        <f>IF(ISBLANK(DaqBook_RAW_Data!AH90),"",DaqBook_RAW_Data!AH90)</f>
        <v/>
      </c>
      <c r="D100" s="167" t="str">
        <f>IF(ISBLANK(DaqBook_RAW_Data!AI90),"",DaqBook_RAW_Data!AI90)</f>
        <v/>
      </c>
      <c r="E100" s="167" t="str">
        <f>IF(ISBLANK(DaqBook_RAW_Data!AJ90),"",DaqBook_RAW_Data!AJ90)</f>
        <v/>
      </c>
      <c r="F100" s="167" t="str">
        <f>IF(ISBLANK(DaqBook_RAW_Data!AK90),"",DaqBook_RAW_Data!AK90)</f>
        <v/>
      </c>
      <c r="G100" s="167" t="str">
        <f>IF(ISBLANK(DaqBook_RAW_Data!AL90),"",DaqBook_RAW_Data!AL90)</f>
        <v/>
      </c>
      <c r="H100" s="167" t="str">
        <f>IF(ISBLANK(DaqBook_RAW_Data!AM90),"",DaqBook_RAW_Data!AM90)</f>
        <v/>
      </c>
      <c r="I100" s="167" t="str">
        <f>IF(ISBLANK(DaqBook_RAW_Data!AN90),"",DaqBook_RAW_Data!AN90)</f>
        <v/>
      </c>
      <c r="J100" s="167" t="str">
        <f>IF(ISBLANK(DaqBook_RAW_Data!AO90),"",DaqBook_RAW_Data!AO90)</f>
        <v/>
      </c>
      <c r="K100" s="167" t="str">
        <f>IF(ISBLANK(DaqBook_RAW_Data!AP90),"",DaqBook_RAW_Data!AP90)</f>
        <v/>
      </c>
      <c r="L100" s="167" t="str">
        <f>IF(ISBLANK(DaqBook_RAW_Data!AQ90),"",DaqBook_RAW_Data!AQ90)</f>
        <v/>
      </c>
      <c r="M100" s="167" t="str">
        <f>IF(ISBLANK(DaqBook_RAW_Data!AR90),"",DaqBook_RAW_Data!AR90)</f>
        <v/>
      </c>
      <c r="N100" s="167" t="str">
        <f>IF(ISBLANK(DaqBook_RAW_Data!AS90),"",DaqBook_RAW_Data!AS90)</f>
        <v/>
      </c>
      <c r="O100" s="167"/>
      <c r="P100" s="167"/>
    </row>
    <row r="101" spans="1:16" s="96" customFormat="1" x14ac:dyDescent="0.2">
      <c r="A101" s="145" t="e">
        <f t="shared" si="1"/>
        <v>#VALUE!</v>
      </c>
      <c r="B101" s="144" t="str">
        <f>IF(ISBLANK(DaqBook_RAW_Data!AG91),IF(DaqBook_RAW_Data!A91="","",TIMEVALUE(DaqBook_RAW_Data!A91)),TIMEVALUE(DaqBook_RAW_Data!AG91))</f>
        <v/>
      </c>
      <c r="C101" s="167" t="str">
        <f>IF(ISBLANK(DaqBook_RAW_Data!AH91),"",DaqBook_RAW_Data!AH91)</f>
        <v/>
      </c>
      <c r="D101" s="167" t="str">
        <f>IF(ISBLANK(DaqBook_RAW_Data!AI91),"",DaqBook_RAW_Data!AI91)</f>
        <v/>
      </c>
      <c r="E101" s="167" t="str">
        <f>IF(ISBLANK(DaqBook_RAW_Data!AJ91),"",DaqBook_RAW_Data!AJ91)</f>
        <v/>
      </c>
      <c r="F101" s="167" t="str">
        <f>IF(ISBLANK(DaqBook_RAW_Data!AK91),"",DaqBook_RAW_Data!AK91)</f>
        <v/>
      </c>
      <c r="G101" s="167" t="str">
        <f>IF(ISBLANK(DaqBook_RAW_Data!AL91),"",DaqBook_RAW_Data!AL91)</f>
        <v/>
      </c>
      <c r="H101" s="167" t="str">
        <f>IF(ISBLANK(DaqBook_RAW_Data!AM91),"",DaqBook_RAW_Data!AM91)</f>
        <v/>
      </c>
      <c r="I101" s="167" t="str">
        <f>IF(ISBLANK(DaqBook_RAW_Data!AN91),"",DaqBook_RAW_Data!AN91)</f>
        <v/>
      </c>
      <c r="J101" s="167" t="str">
        <f>IF(ISBLANK(DaqBook_RAW_Data!AO91),"",DaqBook_RAW_Data!AO91)</f>
        <v/>
      </c>
      <c r="K101" s="167" t="str">
        <f>IF(ISBLANK(DaqBook_RAW_Data!AP91),"",DaqBook_RAW_Data!AP91)</f>
        <v/>
      </c>
      <c r="L101" s="167" t="str">
        <f>IF(ISBLANK(DaqBook_RAW_Data!AQ91),"",DaqBook_RAW_Data!AQ91)</f>
        <v/>
      </c>
      <c r="M101" s="167" t="str">
        <f>IF(ISBLANK(DaqBook_RAW_Data!AR91),"",DaqBook_RAW_Data!AR91)</f>
        <v/>
      </c>
      <c r="N101" s="167" t="str">
        <f>IF(ISBLANK(DaqBook_RAW_Data!AS91),"",DaqBook_RAW_Data!AS91)</f>
        <v/>
      </c>
      <c r="O101" s="167"/>
      <c r="P101" s="167"/>
    </row>
    <row r="102" spans="1:16" s="96" customFormat="1" x14ac:dyDescent="0.2">
      <c r="A102" s="145" t="e">
        <f t="shared" si="1"/>
        <v>#VALUE!</v>
      </c>
      <c r="B102" s="144" t="str">
        <f>IF(ISBLANK(DaqBook_RAW_Data!AG92),IF(DaqBook_RAW_Data!A92="","",TIMEVALUE(DaqBook_RAW_Data!A92)),TIMEVALUE(DaqBook_RAW_Data!AG92))</f>
        <v/>
      </c>
      <c r="C102" s="167" t="str">
        <f>IF(ISBLANK(DaqBook_RAW_Data!AH92),"",DaqBook_RAW_Data!AH92)</f>
        <v/>
      </c>
      <c r="D102" s="167" t="str">
        <f>IF(ISBLANK(DaqBook_RAW_Data!AI92),"",DaqBook_RAW_Data!AI92)</f>
        <v/>
      </c>
      <c r="E102" s="167" t="str">
        <f>IF(ISBLANK(DaqBook_RAW_Data!AJ92),"",DaqBook_RAW_Data!AJ92)</f>
        <v/>
      </c>
      <c r="F102" s="167" t="str">
        <f>IF(ISBLANK(DaqBook_RAW_Data!AK92),"",DaqBook_RAW_Data!AK92)</f>
        <v/>
      </c>
      <c r="G102" s="167" t="str">
        <f>IF(ISBLANK(DaqBook_RAW_Data!AL92),"",DaqBook_RAW_Data!AL92)</f>
        <v/>
      </c>
      <c r="H102" s="167" t="str">
        <f>IF(ISBLANK(DaqBook_RAW_Data!AM92),"",DaqBook_RAW_Data!AM92)</f>
        <v/>
      </c>
      <c r="I102" s="167" t="str">
        <f>IF(ISBLANK(DaqBook_RAW_Data!AN92),"",DaqBook_RAW_Data!AN92)</f>
        <v/>
      </c>
      <c r="J102" s="167" t="str">
        <f>IF(ISBLANK(DaqBook_RAW_Data!AO92),"",DaqBook_RAW_Data!AO92)</f>
        <v/>
      </c>
      <c r="K102" s="167" t="str">
        <f>IF(ISBLANK(DaqBook_RAW_Data!AP92),"",DaqBook_RAW_Data!AP92)</f>
        <v/>
      </c>
      <c r="L102" s="167" t="str">
        <f>IF(ISBLANK(DaqBook_RAW_Data!AQ92),"",DaqBook_RAW_Data!AQ92)</f>
        <v/>
      </c>
      <c r="M102" s="167" t="str">
        <f>IF(ISBLANK(DaqBook_RAW_Data!AR92),"",DaqBook_RAW_Data!AR92)</f>
        <v/>
      </c>
      <c r="N102" s="167" t="str">
        <f>IF(ISBLANK(DaqBook_RAW_Data!AS92),"",DaqBook_RAW_Data!AS92)</f>
        <v/>
      </c>
      <c r="O102" s="167"/>
      <c r="P102" s="167"/>
    </row>
    <row r="103" spans="1:16" s="96" customFormat="1" x14ac:dyDescent="0.2">
      <c r="A103" s="145" t="e">
        <f t="shared" si="1"/>
        <v>#VALUE!</v>
      </c>
      <c r="B103" s="144" t="str">
        <f>IF(ISBLANK(DaqBook_RAW_Data!AG93),IF(DaqBook_RAW_Data!A93="","",TIMEVALUE(DaqBook_RAW_Data!A93)),TIMEVALUE(DaqBook_RAW_Data!AG93))</f>
        <v/>
      </c>
      <c r="C103" s="167" t="str">
        <f>IF(ISBLANK(DaqBook_RAW_Data!AH93),"",DaqBook_RAW_Data!AH93)</f>
        <v/>
      </c>
      <c r="D103" s="167" t="str">
        <f>IF(ISBLANK(DaqBook_RAW_Data!AI93),"",DaqBook_RAW_Data!AI93)</f>
        <v/>
      </c>
      <c r="E103" s="167" t="str">
        <f>IF(ISBLANK(DaqBook_RAW_Data!AJ93),"",DaqBook_RAW_Data!AJ93)</f>
        <v/>
      </c>
      <c r="F103" s="167" t="str">
        <f>IF(ISBLANK(DaqBook_RAW_Data!AK93),"",DaqBook_RAW_Data!AK93)</f>
        <v/>
      </c>
      <c r="G103" s="167" t="str">
        <f>IF(ISBLANK(DaqBook_RAW_Data!AL93),"",DaqBook_RAW_Data!AL93)</f>
        <v/>
      </c>
      <c r="H103" s="167" t="str">
        <f>IF(ISBLANK(DaqBook_RAW_Data!AM93),"",DaqBook_RAW_Data!AM93)</f>
        <v/>
      </c>
      <c r="I103" s="167" t="str">
        <f>IF(ISBLANK(DaqBook_RAW_Data!AN93),"",DaqBook_RAW_Data!AN93)</f>
        <v/>
      </c>
      <c r="J103" s="167" t="str">
        <f>IF(ISBLANK(DaqBook_RAW_Data!AO93),"",DaqBook_RAW_Data!AO93)</f>
        <v/>
      </c>
      <c r="K103" s="167" t="str">
        <f>IF(ISBLANK(DaqBook_RAW_Data!AP93),"",DaqBook_RAW_Data!AP93)</f>
        <v/>
      </c>
      <c r="L103" s="167" t="str">
        <f>IF(ISBLANK(DaqBook_RAW_Data!AQ93),"",DaqBook_RAW_Data!AQ93)</f>
        <v/>
      </c>
      <c r="M103" s="167" t="str">
        <f>IF(ISBLANK(DaqBook_RAW_Data!AR93),"",DaqBook_RAW_Data!AR93)</f>
        <v/>
      </c>
      <c r="N103" s="167" t="str">
        <f>IF(ISBLANK(DaqBook_RAW_Data!AS93),"",DaqBook_RAW_Data!AS93)</f>
        <v/>
      </c>
      <c r="O103" s="167"/>
      <c r="P103" s="167"/>
    </row>
    <row r="104" spans="1:16" s="96" customFormat="1" x14ac:dyDescent="0.2">
      <c r="A104" s="145" t="e">
        <f t="shared" si="1"/>
        <v>#VALUE!</v>
      </c>
      <c r="B104" s="144" t="str">
        <f>IF(ISBLANK(DaqBook_RAW_Data!AG94),IF(DaqBook_RAW_Data!A94="","",TIMEVALUE(DaqBook_RAW_Data!A94)),TIMEVALUE(DaqBook_RAW_Data!AG94))</f>
        <v/>
      </c>
      <c r="C104" s="167" t="str">
        <f>IF(ISBLANK(DaqBook_RAW_Data!AH94),"",DaqBook_RAW_Data!AH94)</f>
        <v/>
      </c>
      <c r="D104" s="167" t="str">
        <f>IF(ISBLANK(DaqBook_RAW_Data!AI94),"",DaqBook_RAW_Data!AI94)</f>
        <v/>
      </c>
      <c r="E104" s="167" t="str">
        <f>IF(ISBLANK(DaqBook_RAW_Data!AJ94),"",DaqBook_RAW_Data!AJ94)</f>
        <v/>
      </c>
      <c r="F104" s="167" t="str">
        <f>IF(ISBLANK(DaqBook_RAW_Data!AK94),"",DaqBook_RAW_Data!AK94)</f>
        <v/>
      </c>
      <c r="G104" s="167" t="str">
        <f>IF(ISBLANK(DaqBook_RAW_Data!AL94),"",DaqBook_RAW_Data!AL94)</f>
        <v/>
      </c>
      <c r="H104" s="167" t="str">
        <f>IF(ISBLANK(DaqBook_RAW_Data!AM94),"",DaqBook_RAW_Data!AM94)</f>
        <v/>
      </c>
      <c r="I104" s="167" t="str">
        <f>IF(ISBLANK(DaqBook_RAW_Data!AN94),"",DaqBook_RAW_Data!AN94)</f>
        <v/>
      </c>
      <c r="J104" s="167" t="str">
        <f>IF(ISBLANK(DaqBook_RAW_Data!AO94),"",DaqBook_RAW_Data!AO94)</f>
        <v/>
      </c>
      <c r="K104" s="167" t="str">
        <f>IF(ISBLANK(DaqBook_RAW_Data!AP94),"",DaqBook_RAW_Data!AP94)</f>
        <v/>
      </c>
      <c r="L104" s="167" t="str">
        <f>IF(ISBLANK(DaqBook_RAW_Data!AQ94),"",DaqBook_RAW_Data!AQ94)</f>
        <v/>
      </c>
      <c r="M104" s="167" t="str">
        <f>IF(ISBLANK(DaqBook_RAW_Data!AR94),"",DaqBook_RAW_Data!AR94)</f>
        <v/>
      </c>
      <c r="N104" s="167" t="str">
        <f>IF(ISBLANK(DaqBook_RAW_Data!AS94),"",DaqBook_RAW_Data!AS94)</f>
        <v/>
      </c>
      <c r="O104" s="167"/>
      <c r="P104" s="167"/>
    </row>
    <row r="105" spans="1:16" s="96" customFormat="1" x14ac:dyDescent="0.2">
      <c r="A105" s="145" t="e">
        <f t="shared" si="1"/>
        <v>#VALUE!</v>
      </c>
      <c r="B105" s="144" t="str">
        <f>IF(ISBLANK(DaqBook_RAW_Data!AG95),IF(DaqBook_RAW_Data!A95="","",TIMEVALUE(DaqBook_RAW_Data!A95)),TIMEVALUE(DaqBook_RAW_Data!AG95))</f>
        <v/>
      </c>
      <c r="C105" s="167" t="str">
        <f>IF(ISBLANK(DaqBook_RAW_Data!AH95),"",DaqBook_RAW_Data!AH95)</f>
        <v/>
      </c>
      <c r="D105" s="167" t="str">
        <f>IF(ISBLANK(DaqBook_RAW_Data!AI95),"",DaqBook_RAW_Data!AI95)</f>
        <v/>
      </c>
      <c r="E105" s="167" t="str">
        <f>IF(ISBLANK(DaqBook_RAW_Data!AJ95),"",DaqBook_RAW_Data!AJ95)</f>
        <v/>
      </c>
      <c r="F105" s="167" t="str">
        <f>IF(ISBLANK(DaqBook_RAW_Data!AK95),"",DaqBook_RAW_Data!AK95)</f>
        <v/>
      </c>
      <c r="G105" s="167" t="str">
        <f>IF(ISBLANK(DaqBook_RAW_Data!AL95),"",DaqBook_RAW_Data!AL95)</f>
        <v/>
      </c>
      <c r="H105" s="167" t="str">
        <f>IF(ISBLANK(DaqBook_RAW_Data!AM95),"",DaqBook_RAW_Data!AM95)</f>
        <v/>
      </c>
      <c r="I105" s="167" t="str">
        <f>IF(ISBLANK(DaqBook_RAW_Data!AN95),"",DaqBook_RAW_Data!AN95)</f>
        <v/>
      </c>
      <c r="J105" s="167" t="str">
        <f>IF(ISBLANK(DaqBook_RAW_Data!AO95),"",DaqBook_RAW_Data!AO95)</f>
        <v/>
      </c>
      <c r="K105" s="167" t="str">
        <f>IF(ISBLANK(DaqBook_RAW_Data!AP95),"",DaqBook_RAW_Data!AP95)</f>
        <v/>
      </c>
      <c r="L105" s="167" t="str">
        <f>IF(ISBLANK(DaqBook_RAW_Data!AQ95),"",DaqBook_RAW_Data!AQ95)</f>
        <v/>
      </c>
      <c r="M105" s="167" t="str">
        <f>IF(ISBLANK(DaqBook_RAW_Data!AR95),"",DaqBook_RAW_Data!AR95)</f>
        <v/>
      </c>
      <c r="N105" s="167" t="str">
        <f>IF(ISBLANK(DaqBook_RAW_Data!AS95),"",DaqBook_RAW_Data!AS95)</f>
        <v/>
      </c>
      <c r="O105" s="167"/>
      <c r="P105" s="167"/>
    </row>
    <row r="106" spans="1:16" x14ac:dyDescent="0.2">
      <c r="A106" s="58" t="e">
        <f t="shared" si="1"/>
        <v>#VALUE!</v>
      </c>
      <c r="B106" s="144" t="str">
        <f>IF(ISBLANK(DaqBook_RAW_Data!AG96),IF(DaqBook_RAW_Data!A96="","",TIMEVALUE(DaqBook_RAW_Data!A96)),TIMEVALUE(DaqBook_RAW_Data!AG96))</f>
        <v/>
      </c>
      <c r="C106" s="167" t="str">
        <f>IF(ISBLANK(DaqBook_RAW_Data!AH96),"",DaqBook_RAW_Data!AH96)</f>
        <v/>
      </c>
      <c r="D106" s="167" t="str">
        <f>IF(ISBLANK(DaqBook_RAW_Data!AI96),"",DaqBook_RAW_Data!AI96)</f>
        <v/>
      </c>
      <c r="E106" s="167" t="str">
        <f>IF(ISBLANK(DaqBook_RAW_Data!AJ96),"",DaqBook_RAW_Data!AJ96)</f>
        <v/>
      </c>
      <c r="F106" s="167" t="str">
        <f>IF(ISBLANK(DaqBook_RAW_Data!AK96),"",DaqBook_RAW_Data!AK96)</f>
        <v/>
      </c>
      <c r="G106" s="167" t="str">
        <f>IF(ISBLANK(DaqBook_RAW_Data!AL96),"",DaqBook_RAW_Data!AL96)</f>
        <v/>
      </c>
      <c r="H106" s="167" t="str">
        <f>IF(ISBLANK(DaqBook_RAW_Data!AM96),"",DaqBook_RAW_Data!AM96)</f>
        <v/>
      </c>
      <c r="I106" s="167" t="str">
        <f>IF(ISBLANK(DaqBook_RAW_Data!AN96),"",DaqBook_RAW_Data!AN96)</f>
        <v/>
      </c>
      <c r="J106" s="167" t="str">
        <f>IF(ISBLANK(DaqBook_RAW_Data!AO96),"",DaqBook_RAW_Data!AO96)</f>
        <v/>
      </c>
      <c r="K106" s="167" t="str">
        <f>IF(ISBLANK(DaqBook_RAW_Data!AP96),"",DaqBook_RAW_Data!AP96)</f>
        <v/>
      </c>
      <c r="L106" s="167" t="str">
        <f>IF(ISBLANK(DaqBook_RAW_Data!AQ96),"",DaqBook_RAW_Data!AQ96)</f>
        <v/>
      </c>
      <c r="M106" s="167" t="str">
        <f>IF(ISBLANK(DaqBook_RAW_Data!AR96),"",DaqBook_RAW_Data!AR96)</f>
        <v/>
      </c>
      <c r="N106" s="167" t="str">
        <f>IF(ISBLANK(DaqBook_RAW_Data!AS96),"",DaqBook_RAW_Data!AS96)</f>
        <v/>
      </c>
      <c r="O106" s="167"/>
      <c r="P106" s="167"/>
    </row>
    <row r="107" spans="1:16" x14ac:dyDescent="0.2">
      <c r="A107" s="58" t="e">
        <f t="shared" si="1"/>
        <v>#VALUE!</v>
      </c>
      <c r="B107" s="144" t="str">
        <f>IF(ISBLANK(DaqBook_RAW_Data!AG97),IF(DaqBook_RAW_Data!A97="","",TIMEVALUE(DaqBook_RAW_Data!A97)),TIMEVALUE(DaqBook_RAW_Data!AG97))</f>
        <v/>
      </c>
      <c r="C107" s="167" t="str">
        <f>IF(ISBLANK(DaqBook_RAW_Data!AH97),"",DaqBook_RAW_Data!AH97)</f>
        <v/>
      </c>
      <c r="D107" s="167" t="str">
        <f>IF(ISBLANK(DaqBook_RAW_Data!AI97),"",DaqBook_RAW_Data!AI97)</f>
        <v/>
      </c>
      <c r="E107" s="167" t="str">
        <f>IF(ISBLANK(DaqBook_RAW_Data!AJ97),"",DaqBook_RAW_Data!AJ97)</f>
        <v/>
      </c>
      <c r="F107" s="167" t="str">
        <f>IF(ISBLANK(DaqBook_RAW_Data!AK97),"",DaqBook_RAW_Data!AK97)</f>
        <v/>
      </c>
      <c r="G107" s="167" t="str">
        <f>IF(ISBLANK(DaqBook_RAW_Data!AL97),"",DaqBook_RAW_Data!AL97)</f>
        <v/>
      </c>
      <c r="H107" s="167" t="str">
        <f>IF(ISBLANK(DaqBook_RAW_Data!AM97),"",DaqBook_RAW_Data!AM97)</f>
        <v/>
      </c>
      <c r="I107" s="167" t="str">
        <f>IF(ISBLANK(DaqBook_RAW_Data!AN97),"",DaqBook_RAW_Data!AN97)</f>
        <v/>
      </c>
      <c r="J107" s="167" t="str">
        <f>IF(ISBLANK(DaqBook_RAW_Data!AO97),"",DaqBook_RAW_Data!AO97)</f>
        <v/>
      </c>
      <c r="K107" s="167" t="str">
        <f>IF(ISBLANK(DaqBook_RAW_Data!AP97),"",DaqBook_RAW_Data!AP97)</f>
        <v/>
      </c>
      <c r="L107" s="167" t="str">
        <f>IF(ISBLANK(DaqBook_RAW_Data!AQ97),"",DaqBook_RAW_Data!AQ97)</f>
        <v/>
      </c>
      <c r="M107" s="167" t="str">
        <f>IF(ISBLANK(DaqBook_RAW_Data!AR97),"",DaqBook_RAW_Data!AR97)</f>
        <v/>
      </c>
      <c r="N107" s="167" t="str">
        <f>IF(ISBLANK(DaqBook_RAW_Data!AS97),"",DaqBook_RAW_Data!AS97)</f>
        <v/>
      </c>
      <c r="O107" s="167"/>
      <c r="P107" s="167"/>
    </row>
    <row r="108" spans="1:16" x14ac:dyDescent="0.2">
      <c r="A108" s="58" t="e">
        <f t="shared" si="1"/>
        <v>#VALUE!</v>
      </c>
      <c r="B108" s="144" t="str">
        <f>IF(ISBLANK(DaqBook_RAW_Data!AG98),IF(DaqBook_RAW_Data!A98="","",TIMEVALUE(DaqBook_RAW_Data!A98)),TIMEVALUE(DaqBook_RAW_Data!AG98))</f>
        <v/>
      </c>
      <c r="C108" s="167" t="str">
        <f>IF(ISBLANK(DaqBook_RAW_Data!AH98),"",DaqBook_RAW_Data!AH98)</f>
        <v/>
      </c>
      <c r="D108" s="167" t="str">
        <f>IF(ISBLANK(DaqBook_RAW_Data!AI98),"",DaqBook_RAW_Data!AI98)</f>
        <v/>
      </c>
      <c r="E108" s="167" t="str">
        <f>IF(ISBLANK(DaqBook_RAW_Data!AJ98),"",DaqBook_RAW_Data!AJ98)</f>
        <v/>
      </c>
      <c r="F108" s="167" t="str">
        <f>IF(ISBLANK(DaqBook_RAW_Data!AK98),"",DaqBook_RAW_Data!AK98)</f>
        <v/>
      </c>
      <c r="G108" s="167" t="str">
        <f>IF(ISBLANK(DaqBook_RAW_Data!AL98),"",DaqBook_RAW_Data!AL98)</f>
        <v/>
      </c>
      <c r="H108" s="167" t="str">
        <f>IF(ISBLANK(DaqBook_RAW_Data!AM98),"",DaqBook_RAW_Data!AM98)</f>
        <v/>
      </c>
      <c r="I108" s="167" t="str">
        <f>IF(ISBLANK(DaqBook_RAW_Data!AN98),"",DaqBook_RAW_Data!AN98)</f>
        <v/>
      </c>
      <c r="J108" s="167" t="str">
        <f>IF(ISBLANK(DaqBook_RAW_Data!AO98),"",DaqBook_RAW_Data!AO98)</f>
        <v/>
      </c>
      <c r="K108" s="167" t="str">
        <f>IF(ISBLANK(DaqBook_RAW_Data!AP98),"",DaqBook_RAW_Data!AP98)</f>
        <v/>
      </c>
      <c r="L108" s="167" t="str">
        <f>IF(ISBLANK(DaqBook_RAW_Data!AQ98),"",DaqBook_RAW_Data!AQ98)</f>
        <v/>
      </c>
      <c r="M108" s="167" t="str">
        <f>IF(ISBLANK(DaqBook_RAW_Data!AR98),"",DaqBook_RAW_Data!AR98)</f>
        <v/>
      </c>
      <c r="N108" s="167" t="str">
        <f>IF(ISBLANK(DaqBook_RAW_Data!AS98),"",DaqBook_RAW_Data!AS98)</f>
        <v/>
      </c>
      <c r="O108" s="167"/>
      <c r="P108" s="167"/>
    </row>
    <row r="109" spans="1:16" x14ac:dyDescent="0.2">
      <c r="A109" s="58" t="e">
        <f t="shared" si="1"/>
        <v>#VALUE!</v>
      </c>
      <c r="B109" s="144" t="str">
        <f>IF(ISBLANK(DaqBook_RAW_Data!AG99),IF(DaqBook_RAW_Data!A99="","",TIMEVALUE(DaqBook_RAW_Data!A99)),TIMEVALUE(DaqBook_RAW_Data!AG99))</f>
        <v/>
      </c>
      <c r="C109" s="167" t="str">
        <f>IF(ISBLANK(DaqBook_RAW_Data!AH99),"",DaqBook_RAW_Data!AH99)</f>
        <v/>
      </c>
      <c r="D109" s="167" t="str">
        <f>IF(ISBLANK(DaqBook_RAW_Data!AI99),"",DaqBook_RAW_Data!AI99)</f>
        <v/>
      </c>
      <c r="E109" s="167" t="str">
        <f>IF(ISBLANK(DaqBook_RAW_Data!AJ99),"",DaqBook_RAW_Data!AJ99)</f>
        <v/>
      </c>
      <c r="F109" s="167" t="str">
        <f>IF(ISBLANK(DaqBook_RAW_Data!AK99),"",DaqBook_RAW_Data!AK99)</f>
        <v/>
      </c>
      <c r="G109" s="167" t="str">
        <f>IF(ISBLANK(DaqBook_RAW_Data!AL99),"",DaqBook_RAW_Data!AL99)</f>
        <v/>
      </c>
      <c r="H109" s="167" t="str">
        <f>IF(ISBLANK(DaqBook_RAW_Data!AM99),"",DaqBook_RAW_Data!AM99)</f>
        <v/>
      </c>
      <c r="I109" s="167" t="str">
        <f>IF(ISBLANK(DaqBook_RAW_Data!AN99),"",DaqBook_RAW_Data!AN99)</f>
        <v/>
      </c>
      <c r="J109" s="167" t="str">
        <f>IF(ISBLANK(DaqBook_RAW_Data!AO99),"",DaqBook_RAW_Data!AO99)</f>
        <v/>
      </c>
      <c r="K109" s="167" t="str">
        <f>IF(ISBLANK(DaqBook_RAW_Data!AP99),"",DaqBook_RAW_Data!AP99)</f>
        <v/>
      </c>
      <c r="L109" s="167" t="str">
        <f>IF(ISBLANK(DaqBook_RAW_Data!AQ99),"",DaqBook_RAW_Data!AQ99)</f>
        <v/>
      </c>
      <c r="M109" s="167" t="str">
        <f>IF(ISBLANK(DaqBook_RAW_Data!AR99),"",DaqBook_RAW_Data!AR99)</f>
        <v/>
      </c>
      <c r="N109" s="167" t="str">
        <f>IF(ISBLANK(DaqBook_RAW_Data!AS99),"",DaqBook_RAW_Data!AS99)</f>
        <v/>
      </c>
      <c r="O109" s="167"/>
      <c r="P109" s="167"/>
    </row>
    <row r="110" spans="1:16" x14ac:dyDescent="0.2">
      <c r="A110" s="58" t="e">
        <f t="shared" si="1"/>
        <v>#VALUE!</v>
      </c>
      <c r="B110" s="144" t="str">
        <f>IF(ISBLANK(DaqBook_RAW_Data!AG100),IF(DaqBook_RAW_Data!A100="","",TIMEVALUE(DaqBook_RAW_Data!A100)),TIMEVALUE(DaqBook_RAW_Data!AG100))</f>
        <v/>
      </c>
      <c r="C110" s="167" t="str">
        <f>IF(ISBLANK(DaqBook_RAW_Data!AH100),"",DaqBook_RAW_Data!AH100)</f>
        <v/>
      </c>
      <c r="D110" s="167" t="str">
        <f>IF(ISBLANK(DaqBook_RAW_Data!AI100),"",DaqBook_RAW_Data!AI100)</f>
        <v/>
      </c>
      <c r="E110" s="167" t="str">
        <f>IF(ISBLANK(DaqBook_RAW_Data!AJ100),"",DaqBook_RAW_Data!AJ100)</f>
        <v/>
      </c>
      <c r="F110" s="167" t="str">
        <f>IF(ISBLANK(DaqBook_RAW_Data!AK100),"",DaqBook_RAW_Data!AK100)</f>
        <v/>
      </c>
      <c r="G110" s="167" t="str">
        <f>IF(ISBLANK(DaqBook_RAW_Data!AL100),"",DaqBook_RAW_Data!AL100)</f>
        <v/>
      </c>
      <c r="H110" s="167" t="str">
        <f>IF(ISBLANK(DaqBook_RAW_Data!AM100),"",DaqBook_RAW_Data!AM100)</f>
        <v/>
      </c>
      <c r="I110" s="167" t="str">
        <f>IF(ISBLANK(DaqBook_RAW_Data!AN100),"",DaqBook_RAW_Data!AN100)</f>
        <v/>
      </c>
      <c r="J110" s="167" t="str">
        <f>IF(ISBLANK(DaqBook_RAW_Data!AO100),"",DaqBook_RAW_Data!AO100)</f>
        <v/>
      </c>
      <c r="K110" s="167" t="str">
        <f>IF(ISBLANK(DaqBook_RAW_Data!AP100),"",DaqBook_RAW_Data!AP100)</f>
        <v/>
      </c>
      <c r="L110" s="167" t="str">
        <f>IF(ISBLANK(DaqBook_RAW_Data!AQ100),"",DaqBook_RAW_Data!AQ100)</f>
        <v/>
      </c>
      <c r="M110" s="167" t="str">
        <f>IF(ISBLANK(DaqBook_RAW_Data!AR100),"",DaqBook_RAW_Data!AR100)</f>
        <v/>
      </c>
      <c r="N110" s="167" t="str">
        <f>IF(ISBLANK(DaqBook_RAW_Data!AS100),"",DaqBook_RAW_Data!AS100)</f>
        <v/>
      </c>
      <c r="O110" s="167"/>
      <c r="P110" s="167"/>
    </row>
    <row r="111" spans="1:16" x14ac:dyDescent="0.2">
      <c r="A111" s="58" t="e">
        <f t="shared" si="1"/>
        <v>#VALUE!</v>
      </c>
      <c r="B111" s="144" t="str">
        <f>IF(ISBLANK(DaqBook_RAW_Data!AG101),IF(DaqBook_RAW_Data!A101="","",TIMEVALUE(DaqBook_RAW_Data!A101)),TIMEVALUE(DaqBook_RAW_Data!AG101))</f>
        <v/>
      </c>
      <c r="C111" s="167" t="str">
        <f>IF(ISBLANK(DaqBook_RAW_Data!AH101),"",DaqBook_RAW_Data!AH101)</f>
        <v/>
      </c>
      <c r="D111" s="167" t="str">
        <f>IF(ISBLANK(DaqBook_RAW_Data!AI101),"",DaqBook_RAW_Data!AI101)</f>
        <v/>
      </c>
      <c r="E111" s="167" t="str">
        <f>IF(ISBLANK(DaqBook_RAW_Data!AJ101),"",DaqBook_RAW_Data!AJ101)</f>
        <v/>
      </c>
      <c r="F111" s="167" t="str">
        <f>IF(ISBLANK(DaqBook_RAW_Data!AK101),"",DaqBook_RAW_Data!AK101)</f>
        <v/>
      </c>
      <c r="G111" s="167" t="str">
        <f>IF(ISBLANK(DaqBook_RAW_Data!AL101),"",DaqBook_RAW_Data!AL101)</f>
        <v/>
      </c>
      <c r="H111" s="167" t="str">
        <f>IF(ISBLANK(DaqBook_RAW_Data!AM101),"",DaqBook_RAW_Data!AM101)</f>
        <v/>
      </c>
      <c r="I111" s="167" t="str">
        <f>IF(ISBLANK(DaqBook_RAW_Data!AN101),"",DaqBook_RAW_Data!AN101)</f>
        <v/>
      </c>
      <c r="J111" s="167" t="str">
        <f>IF(ISBLANK(DaqBook_RAW_Data!AO101),"",DaqBook_RAW_Data!AO101)</f>
        <v/>
      </c>
      <c r="K111" s="167" t="str">
        <f>IF(ISBLANK(DaqBook_RAW_Data!AP101),"",DaqBook_RAW_Data!AP101)</f>
        <v/>
      </c>
      <c r="L111" s="167" t="str">
        <f>IF(ISBLANK(DaqBook_RAW_Data!AQ101),"",DaqBook_RAW_Data!AQ101)</f>
        <v/>
      </c>
      <c r="M111" s="167" t="str">
        <f>IF(ISBLANK(DaqBook_RAW_Data!AR101),"",DaqBook_RAW_Data!AR101)</f>
        <v/>
      </c>
      <c r="N111" s="167" t="str">
        <f>IF(ISBLANK(DaqBook_RAW_Data!AS101),"",DaqBook_RAW_Data!AS101)</f>
        <v/>
      </c>
      <c r="O111" s="167"/>
      <c r="P111" s="167"/>
    </row>
    <row r="112" spans="1:16" x14ac:dyDescent="0.2">
      <c r="A112" s="58" t="e">
        <f t="shared" si="1"/>
        <v>#VALUE!</v>
      </c>
      <c r="B112" s="144" t="str">
        <f>IF(ISBLANK(DaqBook_RAW_Data!AG102),IF(DaqBook_RAW_Data!A102="","",TIMEVALUE(DaqBook_RAW_Data!A102)),TIMEVALUE(DaqBook_RAW_Data!AG102))</f>
        <v/>
      </c>
      <c r="C112" s="167" t="str">
        <f>IF(ISBLANK(DaqBook_RAW_Data!AH102),"",DaqBook_RAW_Data!AH102)</f>
        <v/>
      </c>
      <c r="D112" s="167" t="str">
        <f>IF(ISBLANK(DaqBook_RAW_Data!AI102),"",DaqBook_RAW_Data!AI102)</f>
        <v/>
      </c>
      <c r="E112" s="167" t="str">
        <f>IF(ISBLANK(DaqBook_RAW_Data!AJ102),"",DaqBook_RAW_Data!AJ102)</f>
        <v/>
      </c>
      <c r="F112" s="167" t="str">
        <f>IF(ISBLANK(DaqBook_RAW_Data!AK102),"",DaqBook_RAW_Data!AK102)</f>
        <v/>
      </c>
      <c r="G112" s="167" t="str">
        <f>IF(ISBLANK(DaqBook_RAW_Data!AL102),"",DaqBook_RAW_Data!AL102)</f>
        <v/>
      </c>
      <c r="H112" s="167" t="str">
        <f>IF(ISBLANK(DaqBook_RAW_Data!AM102),"",DaqBook_RAW_Data!AM102)</f>
        <v/>
      </c>
      <c r="I112" s="167" t="str">
        <f>IF(ISBLANK(DaqBook_RAW_Data!AN102),"",DaqBook_RAW_Data!AN102)</f>
        <v/>
      </c>
      <c r="J112" s="167" t="str">
        <f>IF(ISBLANK(DaqBook_RAW_Data!AO102),"",DaqBook_RAW_Data!AO102)</f>
        <v/>
      </c>
      <c r="K112" s="167" t="str">
        <f>IF(ISBLANK(DaqBook_RAW_Data!AP102),"",DaqBook_RAW_Data!AP102)</f>
        <v/>
      </c>
      <c r="L112" s="167" t="str">
        <f>IF(ISBLANK(DaqBook_RAW_Data!AQ102),"",DaqBook_RAW_Data!AQ102)</f>
        <v/>
      </c>
      <c r="M112" s="167" t="str">
        <f>IF(ISBLANK(DaqBook_RAW_Data!AR102),"",DaqBook_RAW_Data!AR102)</f>
        <v/>
      </c>
      <c r="N112" s="167" t="str">
        <f>IF(ISBLANK(DaqBook_RAW_Data!AS102),"",DaqBook_RAW_Data!AS102)</f>
        <v/>
      </c>
      <c r="O112" s="167"/>
      <c r="P112" s="167"/>
    </row>
    <row r="113" spans="1:16" x14ac:dyDescent="0.2">
      <c r="A113" s="58" t="e">
        <f t="shared" si="1"/>
        <v>#VALUE!</v>
      </c>
      <c r="B113" s="144" t="str">
        <f>IF(ISBLANK(DaqBook_RAW_Data!AG103),IF(DaqBook_RAW_Data!A103="","",TIMEVALUE(DaqBook_RAW_Data!A103)),TIMEVALUE(DaqBook_RAW_Data!AG103))</f>
        <v/>
      </c>
      <c r="C113" s="167" t="str">
        <f>IF(ISBLANK(DaqBook_RAW_Data!AH103),"",DaqBook_RAW_Data!AH103)</f>
        <v/>
      </c>
      <c r="D113" s="167" t="str">
        <f>IF(ISBLANK(DaqBook_RAW_Data!AI103),"",DaqBook_RAW_Data!AI103)</f>
        <v/>
      </c>
      <c r="E113" s="167" t="str">
        <f>IF(ISBLANK(DaqBook_RAW_Data!AJ103),"",DaqBook_RAW_Data!AJ103)</f>
        <v/>
      </c>
      <c r="F113" s="167" t="str">
        <f>IF(ISBLANK(DaqBook_RAW_Data!AK103),"",DaqBook_RAW_Data!AK103)</f>
        <v/>
      </c>
      <c r="G113" s="167" t="str">
        <f>IF(ISBLANK(DaqBook_RAW_Data!AL103),"",DaqBook_RAW_Data!AL103)</f>
        <v/>
      </c>
      <c r="H113" s="167" t="str">
        <f>IF(ISBLANK(DaqBook_RAW_Data!AM103),"",DaqBook_RAW_Data!AM103)</f>
        <v/>
      </c>
      <c r="I113" s="167" t="str">
        <f>IF(ISBLANK(DaqBook_RAW_Data!AN103),"",DaqBook_RAW_Data!AN103)</f>
        <v/>
      </c>
      <c r="J113" s="167" t="str">
        <f>IF(ISBLANK(DaqBook_RAW_Data!AO103),"",DaqBook_RAW_Data!AO103)</f>
        <v/>
      </c>
      <c r="K113" s="167" t="str">
        <f>IF(ISBLANK(DaqBook_RAW_Data!AP103),"",DaqBook_RAW_Data!AP103)</f>
        <v/>
      </c>
      <c r="L113" s="167" t="str">
        <f>IF(ISBLANK(DaqBook_RAW_Data!AQ103),"",DaqBook_RAW_Data!AQ103)</f>
        <v/>
      </c>
      <c r="M113" s="167" t="str">
        <f>IF(ISBLANK(DaqBook_RAW_Data!AR103),"",DaqBook_RAW_Data!AR103)</f>
        <v/>
      </c>
      <c r="N113" s="167" t="str">
        <f>IF(ISBLANK(DaqBook_RAW_Data!AS103),"",DaqBook_RAW_Data!AS103)</f>
        <v/>
      </c>
      <c r="O113" s="167"/>
      <c r="P113" s="167"/>
    </row>
    <row r="114" spans="1:16" x14ac:dyDescent="0.2">
      <c r="A114" s="58" t="e">
        <f t="shared" si="1"/>
        <v>#VALUE!</v>
      </c>
      <c r="B114" s="144" t="str">
        <f>IF(ISBLANK(DaqBook_RAW_Data!AG104),IF(DaqBook_RAW_Data!A104="","",TIMEVALUE(DaqBook_RAW_Data!A104)),TIMEVALUE(DaqBook_RAW_Data!AG104))</f>
        <v/>
      </c>
      <c r="C114" s="167" t="str">
        <f>IF(ISBLANK(DaqBook_RAW_Data!AH104),"",DaqBook_RAW_Data!AH104)</f>
        <v/>
      </c>
      <c r="D114" s="167" t="str">
        <f>IF(ISBLANK(DaqBook_RAW_Data!AI104),"",DaqBook_RAW_Data!AI104)</f>
        <v/>
      </c>
      <c r="E114" s="167" t="str">
        <f>IF(ISBLANK(DaqBook_RAW_Data!AJ104),"",DaqBook_RAW_Data!AJ104)</f>
        <v/>
      </c>
      <c r="F114" s="167" t="str">
        <f>IF(ISBLANK(DaqBook_RAW_Data!AK104),"",DaqBook_RAW_Data!AK104)</f>
        <v/>
      </c>
      <c r="G114" s="167" t="str">
        <f>IF(ISBLANK(DaqBook_RAW_Data!AL104),"",DaqBook_RAW_Data!AL104)</f>
        <v/>
      </c>
      <c r="H114" s="167" t="str">
        <f>IF(ISBLANK(DaqBook_RAW_Data!AM104),"",DaqBook_RAW_Data!AM104)</f>
        <v/>
      </c>
      <c r="I114" s="167" t="str">
        <f>IF(ISBLANK(DaqBook_RAW_Data!AN104),"",DaqBook_RAW_Data!AN104)</f>
        <v/>
      </c>
      <c r="J114" s="167" t="str">
        <f>IF(ISBLANK(DaqBook_RAW_Data!AO104),"",DaqBook_RAW_Data!AO104)</f>
        <v/>
      </c>
      <c r="K114" s="167" t="str">
        <f>IF(ISBLANK(DaqBook_RAW_Data!AP104),"",DaqBook_RAW_Data!AP104)</f>
        <v/>
      </c>
      <c r="L114" s="167" t="str">
        <f>IF(ISBLANK(DaqBook_RAW_Data!AQ104),"",DaqBook_RAW_Data!AQ104)</f>
        <v/>
      </c>
      <c r="M114" s="167" t="str">
        <f>IF(ISBLANK(DaqBook_RAW_Data!AR104),"",DaqBook_RAW_Data!AR104)</f>
        <v/>
      </c>
      <c r="N114" s="167" t="str">
        <f>IF(ISBLANK(DaqBook_RAW_Data!AS104),"",DaqBook_RAW_Data!AS104)</f>
        <v/>
      </c>
      <c r="O114" s="167"/>
      <c r="P114" s="167"/>
    </row>
    <row r="115" spans="1:16" x14ac:dyDescent="0.2">
      <c r="A115" s="58" t="e">
        <f t="shared" si="1"/>
        <v>#VALUE!</v>
      </c>
      <c r="B115" s="144" t="str">
        <f>IF(ISBLANK(DaqBook_RAW_Data!AG105),IF(DaqBook_RAW_Data!A105="","",TIMEVALUE(DaqBook_RAW_Data!A105)),TIMEVALUE(DaqBook_RAW_Data!AG105))</f>
        <v/>
      </c>
      <c r="C115" s="167" t="str">
        <f>IF(ISBLANK(DaqBook_RAW_Data!AH105),"",DaqBook_RAW_Data!AH105)</f>
        <v/>
      </c>
      <c r="D115" s="167" t="str">
        <f>IF(ISBLANK(DaqBook_RAW_Data!AI105),"",DaqBook_RAW_Data!AI105)</f>
        <v/>
      </c>
      <c r="E115" s="167" t="str">
        <f>IF(ISBLANK(DaqBook_RAW_Data!AJ105),"",DaqBook_RAW_Data!AJ105)</f>
        <v/>
      </c>
      <c r="F115" s="167" t="str">
        <f>IF(ISBLANK(DaqBook_RAW_Data!AK105),"",DaqBook_RAW_Data!AK105)</f>
        <v/>
      </c>
      <c r="G115" s="167" t="str">
        <f>IF(ISBLANK(DaqBook_RAW_Data!AL105),"",DaqBook_RAW_Data!AL105)</f>
        <v/>
      </c>
      <c r="H115" s="167" t="str">
        <f>IF(ISBLANK(DaqBook_RAW_Data!AM105),"",DaqBook_RAW_Data!AM105)</f>
        <v/>
      </c>
      <c r="I115" s="167" t="str">
        <f>IF(ISBLANK(DaqBook_RAW_Data!AN105),"",DaqBook_RAW_Data!AN105)</f>
        <v/>
      </c>
      <c r="J115" s="167" t="str">
        <f>IF(ISBLANK(DaqBook_RAW_Data!AO105),"",DaqBook_RAW_Data!AO105)</f>
        <v/>
      </c>
      <c r="K115" s="167" t="str">
        <f>IF(ISBLANK(DaqBook_RAW_Data!AP105),"",DaqBook_RAW_Data!AP105)</f>
        <v/>
      </c>
      <c r="L115" s="167" t="str">
        <f>IF(ISBLANK(DaqBook_RAW_Data!AQ105),"",DaqBook_RAW_Data!AQ105)</f>
        <v/>
      </c>
      <c r="M115" s="167" t="str">
        <f>IF(ISBLANK(DaqBook_RAW_Data!AR105),"",DaqBook_RAW_Data!AR105)</f>
        <v/>
      </c>
      <c r="N115" s="167" t="str">
        <f>IF(ISBLANK(DaqBook_RAW_Data!AS105),"",DaqBook_RAW_Data!AS105)</f>
        <v/>
      </c>
      <c r="O115" s="167"/>
      <c r="P115" s="167"/>
    </row>
    <row r="116" spans="1:16" x14ac:dyDescent="0.2">
      <c r="A116" s="58" t="e">
        <f t="shared" si="1"/>
        <v>#VALUE!</v>
      </c>
      <c r="B116" s="144" t="str">
        <f>IF(ISBLANK(DaqBook_RAW_Data!AG106),IF(DaqBook_RAW_Data!A106="","",TIMEVALUE(DaqBook_RAW_Data!A106)),TIMEVALUE(DaqBook_RAW_Data!AG106))</f>
        <v/>
      </c>
      <c r="C116" s="167" t="str">
        <f>IF(ISBLANK(DaqBook_RAW_Data!AH106),"",DaqBook_RAW_Data!AH106)</f>
        <v/>
      </c>
      <c r="D116" s="167" t="str">
        <f>IF(ISBLANK(DaqBook_RAW_Data!AI106),"",DaqBook_RAW_Data!AI106)</f>
        <v/>
      </c>
      <c r="E116" s="167" t="str">
        <f>IF(ISBLANK(DaqBook_RAW_Data!AJ106),"",DaqBook_RAW_Data!AJ106)</f>
        <v/>
      </c>
      <c r="F116" s="167" t="str">
        <f>IF(ISBLANK(DaqBook_RAW_Data!AK106),"",DaqBook_RAW_Data!AK106)</f>
        <v/>
      </c>
      <c r="G116" s="167" t="str">
        <f>IF(ISBLANK(DaqBook_RAW_Data!AL106),"",DaqBook_RAW_Data!AL106)</f>
        <v/>
      </c>
      <c r="H116" s="167" t="str">
        <f>IF(ISBLANK(DaqBook_RAW_Data!AM106),"",DaqBook_RAW_Data!AM106)</f>
        <v/>
      </c>
      <c r="I116" s="167" t="str">
        <f>IF(ISBLANK(DaqBook_RAW_Data!AN106),"",DaqBook_RAW_Data!AN106)</f>
        <v/>
      </c>
      <c r="J116" s="167" t="str">
        <f>IF(ISBLANK(DaqBook_RAW_Data!AO106),"",DaqBook_RAW_Data!AO106)</f>
        <v/>
      </c>
      <c r="K116" s="167" t="str">
        <f>IF(ISBLANK(DaqBook_RAW_Data!AP106),"",DaqBook_RAW_Data!AP106)</f>
        <v/>
      </c>
      <c r="L116" s="167" t="str">
        <f>IF(ISBLANK(DaqBook_RAW_Data!AQ106),"",DaqBook_RAW_Data!AQ106)</f>
        <v/>
      </c>
      <c r="M116" s="167" t="str">
        <f>IF(ISBLANK(DaqBook_RAW_Data!AR106),"",DaqBook_RAW_Data!AR106)</f>
        <v/>
      </c>
      <c r="N116" s="167" t="str">
        <f>IF(ISBLANK(DaqBook_RAW_Data!AS106),"",DaqBook_RAW_Data!AS106)</f>
        <v/>
      </c>
      <c r="O116" s="167"/>
      <c r="P116" s="167"/>
    </row>
    <row r="117" spans="1:16" x14ac:dyDescent="0.2">
      <c r="A117" s="58" t="e">
        <f t="shared" si="1"/>
        <v>#VALUE!</v>
      </c>
      <c r="B117" s="144" t="str">
        <f>IF(ISBLANK(DaqBook_RAW_Data!AG107),IF(DaqBook_RAW_Data!A107="","",TIMEVALUE(DaqBook_RAW_Data!A107)),TIMEVALUE(DaqBook_RAW_Data!AG107))</f>
        <v/>
      </c>
      <c r="C117" s="167" t="str">
        <f>IF(ISBLANK(DaqBook_RAW_Data!AH107),"",DaqBook_RAW_Data!AH107)</f>
        <v/>
      </c>
      <c r="D117" s="167" t="str">
        <f>IF(ISBLANK(DaqBook_RAW_Data!AI107),"",DaqBook_RAW_Data!AI107)</f>
        <v/>
      </c>
      <c r="E117" s="167" t="str">
        <f>IF(ISBLANK(DaqBook_RAW_Data!AJ107),"",DaqBook_RAW_Data!AJ107)</f>
        <v/>
      </c>
      <c r="F117" s="167" t="str">
        <f>IF(ISBLANK(DaqBook_RAW_Data!AK107),"",DaqBook_RAW_Data!AK107)</f>
        <v/>
      </c>
      <c r="G117" s="167" t="str">
        <f>IF(ISBLANK(DaqBook_RAW_Data!AL107),"",DaqBook_RAW_Data!AL107)</f>
        <v/>
      </c>
      <c r="H117" s="167" t="str">
        <f>IF(ISBLANK(DaqBook_RAW_Data!AM107),"",DaqBook_RAW_Data!AM107)</f>
        <v/>
      </c>
      <c r="I117" s="167" t="str">
        <f>IF(ISBLANK(DaqBook_RAW_Data!AN107),"",DaqBook_RAW_Data!AN107)</f>
        <v/>
      </c>
      <c r="J117" s="167" t="str">
        <f>IF(ISBLANK(DaqBook_RAW_Data!AO107),"",DaqBook_RAW_Data!AO107)</f>
        <v/>
      </c>
      <c r="K117" s="167" t="str">
        <f>IF(ISBLANK(DaqBook_RAW_Data!AP107),"",DaqBook_RAW_Data!AP107)</f>
        <v/>
      </c>
      <c r="L117" s="167" t="str">
        <f>IF(ISBLANK(DaqBook_RAW_Data!AQ107),"",DaqBook_RAW_Data!AQ107)</f>
        <v/>
      </c>
      <c r="M117" s="167" t="str">
        <f>IF(ISBLANK(DaqBook_RAW_Data!AR107),"",DaqBook_RAW_Data!AR107)</f>
        <v/>
      </c>
      <c r="N117" s="167" t="str">
        <f>IF(ISBLANK(DaqBook_RAW_Data!AS107),"",DaqBook_RAW_Data!AS107)</f>
        <v/>
      </c>
      <c r="O117" s="167"/>
      <c r="P117" s="167"/>
    </row>
    <row r="118" spans="1:16" x14ac:dyDescent="0.2">
      <c r="A118" s="58" t="e">
        <f t="shared" si="1"/>
        <v>#VALUE!</v>
      </c>
      <c r="B118" s="144" t="str">
        <f>IF(ISBLANK(DaqBook_RAW_Data!AG108),IF(DaqBook_RAW_Data!A108="","",TIMEVALUE(DaqBook_RAW_Data!A108)),TIMEVALUE(DaqBook_RAW_Data!AG108))</f>
        <v/>
      </c>
      <c r="C118" s="167" t="str">
        <f>IF(ISBLANK(DaqBook_RAW_Data!AH108),"",DaqBook_RAW_Data!AH108)</f>
        <v/>
      </c>
      <c r="D118" s="167" t="str">
        <f>IF(ISBLANK(DaqBook_RAW_Data!AI108),"",DaqBook_RAW_Data!AI108)</f>
        <v/>
      </c>
      <c r="E118" s="167" t="str">
        <f>IF(ISBLANK(DaqBook_RAW_Data!AJ108),"",DaqBook_RAW_Data!AJ108)</f>
        <v/>
      </c>
      <c r="F118" s="167" t="str">
        <f>IF(ISBLANK(DaqBook_RAW_Data!AK108),"",DaqBook_RAW_Data!AK108)</f>
        <v/>
      </c>
      <c r="G118" s="167" t="str">
        <f>IF(ISBLANK(DaqBook_RAW_Data!AL108),"",DaqBook_RAW_Data!AL108)</f>
        <v/>
      </c>
      <c r="H118" s="167" t="str">
        <f>IF(ISBLANK(DaqBook_RAW_Data!AM108),"",DaqBook_RAW_Data!AM108)</f>
        <v/>
      </c>
      <c r="I118" s="167" t="str">
        <f>IF(ISBLANK(DaqBook_RAW_Data!AN108),"",DaqBook_RAW_Data!AN108)</f>
        <v/>
      </c>
      <c r="J118" s="167" t="str">
        <f>IF(ISBLANK(DaqBook_RAW_Data!AO108),"",DaqBook_RAW_Data!AO108)</f>
        <v/>
      </c>
      <c r="K118" s="167" t="str">
        <f>IF(ISBLANK(DaqBook_RAW_Data!AP108),"",DaqBook_RAW_Data!AP108)</f>
        <v/>
      </c>
      <c r="L118" s="167" t="str">
        <f>IF(ISBLANK(DaqBook_RAW_Data!AQ108),"",DaqBook_RAW_Data!AQ108)</f>
        <v/>
      </c>
      <c r="M118" s="167" t="str">
        <f>IF(ISBLANK(DaqBook_RAW_Data!AR108),"",DaqBook_RAW_Data!AR108)</f>
        <v/>
      </c>
      <c r="N118" s="167" t="str">
        <f>IF(ISBLANK(DaqBook_RAW_Data!AS108),"",DaqBook_RAW_Data!AS108)</f>
        <v/>
      </c>
      <c r="O118" s="167"/>
      <c r="P118" s="167"/>
    </row>
    <row r="119" spans="1:16" x14ac:dyDescent="0.2">
      <c r="A119" s="58" t="e">
        <f t="shared" si="1"/>
        <v>#VALUE!</v>
      </c>
      <c r="B119" s="144" t="str">
        <f>IF(ISBLANK(DaqBook_RAW_Data!AG109),IF(DaqBook_RAW_Data!A109="","",TIMEVALUE(DaqBook_RAW_Data!A109)),TIMEVALUE(DaqBook_RAW_Data!AG109))</f>
        <v/>
      </c>
      <c r="C119" s="167" t="str">
        <f>IF(ISBLANK(DaqBook_RAW_Data!AH109),"",DaqBook_RAW_Data!AH109)</f>
        <v/>
      </c>
      <c r="D119" s="167" t="str">
        <f>IF(ISBLANK(DaqBook_RAW_Data!AI109),"",DaqBook_RAW_Data!AI109)</f>
        <v/>
      </c>
      <c r="E119" s="167" t="str">
        <f>IF(ISBLANK(DaqBook_RAW_Data!AJ109),"",DaqBook_RAW_Data!AJ109)</f>
        <v/>
      </c>
      <c r="F119" s="167" t="str">
        <f>IF(ISBLANK(DaqBook_RAW_Data!AK109),"",DaqBook_RAW_Data!AK109)</f>
        <v/>
      </c>
      <c r="G119" s="167" t="str">
        <f>IF(ISBLANK(DaqBook_RAW_Data!AL109),"",DaqBook_RAW_Data!AL109)</f>
        <v/>
      </c>
      <c r="H119" s="167" t="str">
        <f>IF(ISBLANK(DaqBook_RAW_Data!AM109),"",DaqBook_RAW_Data!AM109)</f>
        <v/>
      </c>
      <c r="I119" s="167" t="str">
        <f>IF(ISBLANK(DaqBook_RAW_Data!AN109),"",DaqBook_RAW_Data!AN109)</f>
        <v/>
      </c>
      <c r="J119" s="167" t="str">
        <f>IF(ISBLANK(DaqBook_RAW_Data!AO109),"",DaqBook_RAW_Data!AO109)</f>
        <v/>
      </c>
      <c r="K119" s="167" t="str">
        <f>IF(ISBLANK(DaqBook_RAW_Data!AP109),"",DaqBook_RAW_Data!AP109)</f>
        <v/>
      </c>
      <c r="L119" s="167" t="str">
        <f>IF(ISBLANK(DaqBook_RAW_Data!AQ109),"",DaqBook_RAW_Data!AQ109)</f>
        <v/>
      </c>
      <c r="M119" s="167" t="str">
        <f>IF(ISBLANK(DaqBook_RAW_Data!AR109),"",DaqBook_RAW_Data!AR109)</f>
        <v/>
      </c>
      <c r="N119" s="167" t="str">
        <f>IF(ISBLANK(DaqBook_RAW_Data!AS109),"",DaqBook_RAW_Data!AS109)</f>
        <v/>
      </c>
      <c r="O119" s="167"/>
      <c r="P119" s="167"/>
    </row>
    <row r="120" spans="1:16" x14ac:dyDescent="0.2">
      <c r="A120" s="58" t="e">
        <f t="shared" si="1"/>
        <v>#VALUE!</v>
      </c>
      <c r="B120" s="144" t="str">
        <f>IF(ISBLANK(DaqBook_RAW_Data!AG110),IF(DaqBook_RAW_Data!A110="","",TIMEVALUE(DaqBook_RAW_Data!A110)),TIMEVALUE(DaqBook_RAW_Data!AG110))</f>
        <v/>
      </c>
      <c r="C120" s="167" t="str">
        <f>IF(ISBLANK(DaqBook_RAW_Data!AH110),"",DaqBook_RAW_Data!AH110)</f>
        <v/>
      </c>
      <c r="D120" s="167" t="str">
        <f>IF(ISBLANK(DaqBook_RAW_Data!AI110),"",DaqBook_RAW_Data!AI110)</f>
        <v/>
      </c>
      <c r="E120" s="167" t="str">
        <f>IF(ISBLANK(DaqBook_RAW_Data!AJ110),"",DaqBook_RAW_Data!AJ110)</f>
        <v/>
      </c>
      <c r="F120" s="167" t="str">
        <f>IF(ISBLANK(DaqBook_RAW_Data!AK110),"",DaqBook_RAW_Data!AK110)</f>
        <v/>
      </c>
      <c r="G120" s="167" t="str">
        <f>IF(ISBLANK(DaqBook_RAW_Data!AL110),"",DaqBook_RAW_Data!AL110)</f>
        <v/>
      </c>
      <c r="H120" s="167" t="str">
        <f>IF(ISBLANK(DaqBook_RAW_Data!AM110),"",DaqBook_RAW_Data!AM110)</f>
        <v/>
      </c>
      <c r="I120" s="167" t="str">
        <f>IF(ISBLANK(DaqBook_RAW_Data!AN110),"",DaqBook_RAW_Data!AN110)</f>
        <v/>
      </c>
      <c r="J120" s="167" t="str">
        <f>IF(ISBLANK(DaqBook_RAW_Data!AO110),"",DaqBook_RAW_Data!AO110)</f>
        <v/>
      </c>
      <c r="K120" s="167" t="str">
        <f>IF(ISBLANK(DaqBook_RAW_Data!AP110),"",DaqBook_RAW_Data!AP110)</f>
        <v/>
      </c>
      <c r="L120" s="167" t="str">
        <f>IF(ISBLANK(DaqBook_RAW_Data!AQ110),"",DaqBook_RAW_Data!AQ110)</f>
        <v/>
      </c>
      <c r="M120" s="167" t="str">
        <f>IF(ISBLANK(DaqBook_RAW_Data!AR110),"",DaqBook_RAW_Data!AR110)</f>
        <v/>
      </c>
      <c r="N120" s="167" t="str">
        <f>IF(ISBLANK(DaqBook_RAW_Data!AS110),"",DaqBook_RAW_Data!AS110)</f>
        <v/>
      </c>
      <c r="O120" s="167"/>
      <c r="P120" s="167"/>
    </row>
    <row r="121" spans="1:16" x14ac:dyDescent="0.2">
      <c r="A121" s="58" t="e">
        <f t="shared" si="1"/>
        <v>#VALUE!</v>
      </c>
      <c r="B121" s="144" t="str">
        <f>IF(ISBLANK(DaqBook_RAW_Data!AG111),IF(DaqBook_RAW_Data!A111="","",TIMEVALUE(DaqBook_RAW_Data!A111)),TIMEVALUE(DaqBook_RAW_Data!AG111))</f>
        <v/>
      </c>
      <c r="C121" s="167" t="str">
        <f>IF(ISBLANK(DaqBook_RAW_Data!AH111),"",DaqBook_RAW_Data!AH111)</f>
        <v/>
      </c>
      <c r="D121" s="167" t="str">
        <f>IF(ISBLANK(DaqBook_RAW_Data!AI111),"",DaqBook_RAW_Data!AI111)</f>
        <v/>
      </c>
      <c r="E121" s="167" t="str">
        <f>IF(ISBLANK(DaqBook_RAW_Data!AJ111),"",DaqBook_RAW_Data!AJ111)</f>
        <v/>
      </c>
      <c r="F121" s="167" t="str">
        <f>IF(ISBLANK(DaqBook_RAW_Data!AK111),"",DaqBook_RAW_Data!AK111)</f>
        <v/>
      </c>
      <c r="G121" s="167" t="str">
        <f>IF(ISBLANK(DaqBook_RAW_Data!AL111),"",DaqBook_RAW_Data!AL111)</f>
        <v/>
      </c>
      <c r="H121" s="167" t="str">
        <f>IF(ISBLANK(DaqBook_RAW_Data!AM111),"",DaqBook_RAW_Data!AM111)</f>
        <v/>
      </c>
      <c r="I121" s="167" t="str">
        <f>IF(ISBLANK(DaqBook_RAW_Data!AN111),"",DaqBook_RAW_Data!AN111)</f>
        <v/>
      </c>
      <c r="J121" s="167" t="str">
        <f>IF(ISBLANK(DaqBook_RAW_Data!AO111),"",DaqBook_RAW_Data!AO111)</f>
        <v/>
      </c>
      <c r="K121" s="167" t="str">
        <f>IF(ISBLANK(DaqBook_RAW_Data!AP111),"",DaqBook_RAW_Data!AP111)</f>
        <v/>
      </c>
      <c r="L121" s="167" t="str">
        <f>IF(ISBLANK(DaqBook_RAW_Data!AQ111),"",DaqBook_RAW_Data!AQ111)</f>
        <v/>
      </c>
      <c r="M121" s="167" t="str">
        <f>IF(ISBLANK(DaqBook_RAW_Data!AR111),"",DaqBook_RAW_Data!AR111)</f>
        <v/>
      </c>
      <c r="N121" s="167" t="str">
        <f>IF(ISBLANK(DaqBook_RAW_Data!AS111),"",DaqBook_RAW_Data!AS111)</f>
        <v/>
      </c>
      <c r="O121" s="167"/>
      <c r="P121" s="167"/>
    </row>
    <row r="122" spans="1:16" x14ac:dyDescent="0.2">
      <c r="A122" s="58" t="e">
        <f t="shared" si="1"/>
        <v>#VALUE!</v>
      </c>
      <c r="B122" s="144" t="str">
        <f>IF(ISBLANK(DaqBook_RAW_Data!AG112),IF(DaqBook_RAW_Data!A112="","",TIMEVALUE(DaqBook_RAW_Data!A112)),TIMEVALUE(DaqBook_RAW_Data!AG112))</f>
        <v/>
      </c>
      <c r="C122" s="167" t="str">
        <f>IF(ISBLANK(DaqBook_RAW_Data!AH112),"",DaqBook_RAW_Data!AH112)</f>
        <v/>
      </c>
      <c r="D122" s="167" t="str">
        <f>IF(ISBLANK(DaqBook_RAW_Data!AI112),"",DaqBook_RAW_Data!AI112)</f>
        <v/>
      </c>
      <c r="E122" s="167" t="str">
        <f>IF(ISBLANK(DaqBook_RAW_Data!AJ112),"",DaqBook_RAW_Data!AJ112)</f>
        <v/>
      </c>
      <c r="F122" s="167" t="str">
        <f>IF(ISBLANK(DaqBook_RAW_Data!AK112),"",DaqBook_RAW_Data!AK112)</f>
        <v/>
      </c>
      <c r="G122" s="167" t="str">
        <f>IF(ISBLANK(DaqBook_RAW_Data!AL112),"",DaqBook_RAW_Data!AL112)</f>
        <v/>
      </c>
      <c r="H122" s="167" t="str">
        <f>IF(ISBLANK(DaqBook_RAW_Data!AM112),"",DaqBook_RAW_Data!AM112)</f>
        <v/>
      </c>
      <c r="I122" s="167" t="str">
        <f>IF(ISBLANK(DaqBook_RAW_Data!AN112),"",DaqBook_RAW_Data!AN112)</f>
        <v/>
      </c>
      <c r="J122" s="167" t="str">
        <f>IF(ISBLANK(DaqBook_RAW_Data!AO112),"",DaqBook_RAW_Data!AO112)</f>
        <v/>
      </c>
      <c r="K122" s="167" t="str">
        <f>IF(ISBLANK(DaqBook_RAW_Data!AP112),"",DaqBook_RAW_Data!AP112)</f>
        <v/>
      </c>
      <c r="L122" s="167" t="str">
        <f>IF(ISBLANK(DaqBook_RAW_Data!AQ112),"",DaqBook_RAW_Data!AQ112)</f>
        <v/>
      </c>
      <c r="M122" s="167" t="str">
        <f>IF(ISBLANK(DaqBook_RAW_Data!AR112),"",DaqBook_RAW_Data!AR112)</f>
        <v/>
      </c>
      <c r="N122" s="167" t="str">
        <f>IF(ISBLANK(DaqBook_RAW_Data!AS112),"",DaqBook_RAW_Data!AS112)</f>
        <v/>
      </c>
      <c r="O122" s="167"/>
      <c r="P122" s="167"/>
    </row>
    <row r="123" spans="1:16" x14ac:dyDescent="0.2">
      <c r="A123" s="58" t="e">
        <f t="shared" si="1"/>
        <v>#VALUE!</v>
      </c>
      <c r="B123" s="144" t="str">
        <f>IF(ISBLANK(DaqBook_RAW_Data!AG113),IF(DaqBook_RAW_Data!A113="","",TIMEVALUE(DaqBook_RAW_Data!A113)),TIMEVALUE(DaqBook_RAW_Data!AG113))</f>
        <v/>
      </c>
      <c r="C123" s="167" t="str">
        <f>IF(ISBLANK(DaqBook_RAW_Data!AH113),"",DaqBook_RAW_Data!AH113)</f>
        <v/>
      </c>
      <c r="D123" s="167" t="str">
        <f>IF(ISBLANK(DaqBook_RAW_Data!AI113),"",DaqBook_RAW_Data!AI113)</f>
        <v/>
      </c>
      <c r="E123" s="167" t="str">
        <f>IF(ISBLANK(DaqBook_RAW_Data!AJ113),"",DaqBook_RAW_Data!AJ113)</f>
        <v/>
      </c>
      <c r="F123" s="167" t="str">
        <f>IF(ISBLANK(DaqBook_RAW_Data!AK113),"",DaqBook_RAW_Data!AK113)</f>
        <v/>
      </c>
      <c r="G123" s="167" t="str">
        <f>IF(ISBLANK(DaqBook_RAW_Data!AL113),"",DaqBook_RAW_Data!AL113)</f>
        <v/>
      </c>
      <c r="H123" s="167" t="str">
        <f>IF(ISBLANK(DaqBook_RAW_Data!AM113),"",DaqBook_RAW_Data!AM113)</f>
        <v/>
      </c>
      <c r="I123" s="167" t="str">
        <f>IF(ISBLANK(DaqBook_RAW_Data!AN113),"",DaqBook_RAW_Data!AN113)</f>
        <v/>
      </c>
      <c r="J123" s="167" t="str">
        <f>IF(ISBLANK(DaqBook_RAW_Data!AO113),"",DaqBook_RAW_Data!AO113)</f>
        <v/>
      </c>
      <c r="K123" s="167" t="str">
        <f>IF(ISBLANK(DaqBook_RAW_Data!AP113),"",DaqBook_RAW_Data!AP113)</f>
        <v/>
      </c>
      <c r="L123" s="167" t="str">
        <f>IF(ISBLANK(DaqBook_RAW_Data!AQ113),"",DaqBook_RAW_Data!AQ113)</f>
        <v/>
      </c>
      <c r="M123" s="167" t="str">
        <f>IF(ISBLANK(DaqBook_RAW_Data!AR113),"",DaqBook_RAW_Data!AR113)</f>
        <v/>
      </c>
      <c r="N123" s="167" t="str">
        <f>IF(ISBLANK(DaqBook_RAW_Data!AS113),"",DaqBook_RAW_Data!AS113)</f>
        <v/>
      </c>
      <c r="O123" s="167"/>
      <c r="P123" s="167"/>
    </row>
    <row r="124" spans="1:16" x14ac:dyDescent="0.2">
      <c r="A124" s="58" t="e">
        <f t="shared" si="1"/>
        <v>#VALUE!</v>
      </c>
      <c r="B124" s="144" t="str">
        <f>IF(ISBLANK(DaqBook_RAW_Data!AG114),IF(DaqBook_RAW_Data!A114="","",TIMEVALUE(DaqBook_RAW_Data!A114)),TIMEVALUE(DaqBook_RAW_Data!AG114))</f>
        <v/>
      </c>
      <c r="C124" s="167" t="str">
        <f>IF(ISBLANK(DaqBook_RAW_Data!AH114),"",DaqBook_RAW_Data!AH114)</f>
        <v/>
      </c>
      <c r="D124" s="167" t="str">
        <f>IF(ISBLANK(DaqBook_RAW_Data!AI114),"",DaqBook_RAW_Data!AI114)</f>
        <v/>
      </c>
      <c r="E124" s="167" t="str">
        <f>IF(ISBLANK(DaqBook_RAW_Data!AJ114),"",DaqBook_RAW_Data!AJ114)</f>
        <v/>
      </c>
      <c r="F124" s="167" t="str">
        <f>IF(ISBLANK(DaqBook_RAW_Data!AK114),"",DaqBook_RAW_Data!AK114)</f>
        <v/>
      </c>
      <c r="G124" s="167" t="str">
        <f>IF(ISBLANK(DaqBook_RAW_Data!AL114),"",DaqBook_RAW_Data!AL114)</f>
        <v/>
      </c>
      <c r="H124" s="167" t="str">
        <f>IF(ISBLANK(DaqBook_RAW_Data!AM114),"",DaqBook_RAW_Data!AM114)</f>
        <v/>
      </c>
      <c r="I124" s="167" t="str">
        <f>IF(ISBLANK(DaqBook_RAW_Data!AN114),"",DaqBook_RAW_Data!AN114)</f>
        <v/>
      </c>
      <c r="J124" s="167" t="str">
        <f>IF(ISBLANK(DaqBook_RAW_Data!AO114),"",DaqBook_RAW_Data!AO114)</f>
        <v/>
      </c>
      <c r="K124" s="167" t="str">
        <f>IF(ISBLANK(DaqBook_RAW_Data!AP114),"",DaqBook_RAW_Data!AP114)</f>
        <v/>
      </c>
      <c r="L124" s="167" t="str">
        <f>IF(ISBLANK(DaqBook_RAW_Data!AQ114),"",DaqBook_RAW_Data!AQ114)</f>
        <v/>
      </c>
      <c r="M124" s="167" t="str">
        <f>IF(ISBLANK(DaqBook_RAW_Data!AR114),"",DaqBook_RAW_Data!AR114)</f>
        <v/>
      </c>
      <c r="N124" s="167" t="str">
        <f>IF(ISBLANK(DaqBook_RAW_Data!AS114),"",DaqBook_RAW_Data!AS114)</f>
        <v/>
      </c>
      <c r="O124" s="167"/>
      <c r="P124" s="167"/>
    </row>
    <row r="125" spans="1:16" x14ac:dyDescent="0.2">
      <c r="A125" s="58" t="e">
        <f t="shared" si="1"/>
        <v>#VALUE!</v>
      </c>
      <c r="B125" s="144" t="str">
        <f>IF(ISBLANK(DaqBook_RAW_Data!AG115),IF(DaqBook_RAW_Data!A115="","",TIMEVALUE(DaqBook_RAW_Data!A115)),TIMEVALUE(DaqBook_RAW_Data!AG115))</f>
        <v/>
      </c>
      <c r="C125" s="167" t="str">
        <f>IF(ISBLANK(DaqBook_RAW_Data!AH115),"",DaqBook_RAW_Data!AH115)</f>
        <v/>
      </c>
      <c r="D125" s="167" t="str">
        <f>IF(ISBLANK(DaqBook_RAW_Data!AI115),"",DaqBook_RAW_Data!AI115)</f>
        <v/>
      </c>
      <c r="E125" s="167" t="str">
        <f>IF(ISBLANK(DaqBook_RAW_Data!AJ115),"",DaqBook_RAW_Data!AJ115)</f>
        <v/>
      </c>
      <c r="F125" s="167" t="str">
        <f>IF(ISBLANK(DaqBook_RAW_Data!AK115),"",DaqBook_RAW_Data!AK115)</f>
        <v/>
      </c>
      <c r="G125" s="167" t="str">
        <f>IF(ISBLANK(DaqBook_RAW_Data!AL115),"",DaqBook_RAW_Data!AL115)</f>
        <v/>
      </c>
      <c r="H125" s="167" t="str">
        <f>IF(ISBLANK(DaqBook_RAW_Data!AM115),"",DaqBook_RAW_Data!AM115)</f>
        <v/>
      </c>
      <c r="I125" s="167" t="str">
        <f>IF(ISBLANK(DaqBook_RAW_Data!AN115),"",DaqBook_RAW_Data!AN115)</f>
        <v/>
      </c>
      <c r="J125" s="167" t="str">
        <f>IF(ISBLANK(DaqBook_RAW_Data!AO115),"",DaqBook_RAW_Data!AO115)</f>
        <v/>
      </c>
      <c r="K125" s="167" t="str">
        <f>IF(ISBLANK(DaqBook_RAW_Data!AP115),"",DaqBook_RAW_Data!AP115)</f>
        <v/>
      </c>
      <c r="L125" s="167" t="str">
        <f>IF(ISBLANK(DaqBook_RAW_Data!AQ115),"",DaqBook_RAW_Data!AQ115)</f>
        <v/>
      </c>
      <c r="M125" s="167" t="str">
        <f>IF(ISBLANK(DaqBook_RAW_Data!AR115),"",DaqBook_RAW_Data!AR115)</f>
        <v/>
      </c>
      <c r="N125" s="167" t="str">
        <f>IF(ISBLANK(DaqBook_RAW_Data!AS115),"",DaqBook_RAW_Data!AS115)</f>
        <v/>
      </c>
      <c r="O125" s="167"/>
      <c r="P125" s="167"/>
    </row>
    <row r="126" spans="1:16" x14ac:dyDescent="0.2">
      <c r="A126" s="58" t="e">
        <f t="shared" si="1"/>
        <v>#VALUE!</v>
      </c>
      <c r="B126" s="144" t="str">
        <f>IF(ISBLANK(DaqBook_RAW_Data!AG116),IF(DaqBook_RAW_Data!A116="","",TIMEVALUE(DaqBook_RAW_Data!A116)),TIMEVALUE(DaqBook_RAW_Data!AG116))</f>
        <v/>
      </c>
      <c r="C126" s="167" t="str">
        <f>IF(ISBLANK(DaqBook_RAW_Data!AH116),"",DaqBook_RAW_Data!AH116)</f>
        <v/>
      </c>
      <c r="D126" s="167" t="str">
        <f>IF(ISBLANK(DaqBook_RAW_Data!AI116),"",DaqBook_RAW_Data!AI116)</f>
        <v/>
      </c>
      <c r="E126" s="167" t="str">
        <f>IF(ISBLANK(DaqBook_RAW_Data!AJ116),"",DaqBook_RAW_Data!AJ116)</f>
        <v/>
      </c>
      <c r="F126" s="167" t="str">
        <f>IF(ISBLANK(DaqBook_RAW_Data!AK116),"",DaqBook_RAW_Data!AK116)</f>
        <v/>
      </c>
      <c r="G126" s="167" t="str">
        <f>IF(ISBLANK(DaqBook_RAW_Data!AL116),"",DaqBook_RAW_Data!AL116)</f>
        <v/>
      </c>
      <c r="H126" s="167" t="str">
        <f>IF(ISBLANK(DaqBook_RAW_Data!AM116),"",DaqBook_RAW_Data!AM116)</f>
        <v/>
      </c>
      <c r="I126" s="167" t="str">
        <f>IF(ISBLANK(DaqBook_RAW_Data!AN116),"",DaqBook_RAW_Data!AN116)</f>
        <v/>
      </c>
      <c r="J126" s="167" t="str">
        <f>IF(ISBLANK(DaqBook_RAW_Data!AO116),"",DaqBook_RAW_Data!AO116)</f>
        <v/>
      </c>
      <c r="K126" s="167" t="str">
        <f>IF(ISBLANK(DaqBook_RAW_Data!AP116),"",DaqBook_RAW_Data!AP116)</f>
        <v/>
      </c>
      <c r="L126" s="167" t="str">
        <f>IF(ISBLANK(DaqBook_RAW_Data!AQ116),"",DaqBook_RAW_Data!AQ116)</f>
        <v/>
      </c>
      <c r="M126" s="167" t="str">
        <f>IF(ISBLANK(DaqBook_RAW_Data!AR116),"",DaqBook_RAW_Data!AR116)</f>
        <v/>
      </c>
      <c r="N126" s="167" t="str">
        <f>IF(ISBLANK(DaqBook_RAW_Data!AS116),"",DaqBook_RAW_Data!AS116)</f>
        <v/>
      </c>
      <c r="O126" s="167"/>
      <c r="P126" s="167"/>
    </row>
    <row r="127" spans="1:16" x14ac:dyDescent="0.2">
      <c r="A127" s="58" t="e">
        <f t="shared" si="1"/>
        <v>#VALUE!</v>
      </c>
      <c r="B127" s="144" t="str">
        <f>IF(ISBLANK(DaqBook_RAW_Data!AG117),IF(DaqBook_RAW_Data!A117="","",TIMEVALUE(DaqBook_RAW_Data!A117)),TIMEVALUE(DaqBook_RAW_Data!AG117))</f>
        <v/>
      </c>
      <c r="C127" s="167" t="str">
        <f>IF(ISBLANK(DaqBook_RAW_Data!AH117),"",DaqBook_RAW_Data!AH117)</f>
        <v/>
      </c>
      <c r="D127" s="167" t="str">
        <f>IF(ISBLANK(DaqBook_RAW_Data!AI117),"",DaqBook_RAW_Data!AI117)</f>
        <v/>
      </c>
      <c r="E127" s="167" t="str">
        <f>IF(ISBLANK(DaqBook_RAW_Data!AJ117),"",DaqBook_RAW_Data!AJ117)</f>
        <v/>
      </c>
      <c r="F127" s="167" t="str">
        <f>IF(ISBLANK(DaqBook_RAW_Data!AK117),"",DaqBook_RAW_Data!AK117)</f>
        <v/>
      </c>
      <c r="G127" s="167" t="str">
        <f>IF(ISBLANK(DaqBook_RAW_Data!AL117),"",DaqBook_RAW_Data!AL117)</f>
        <v/>
      </c>
      <c r="H127" s="167" t="str">
        <f>IF(ISBLANK(DaqBook_RAW_Data!AM117),"",DaqBook_RAW_Data!AM117)</f>
        <v/>
      </c>
      <c r="I127" s="167" t="str">
        <f>IF(ISBLANK(DaqBook_RAW_Data!AN117),"",DaqBook_RAW_Data!AN117)</f>
        <v/>
      </c>
      <c r="J127" s="167" t="str">
        <f>IF(ISBLANK(DaqBook_RAW_Data!AO117),"",DaqBook_RAW_Data!AO117)</f>
        <v/>
      </c>
      <c r="K127" s="167" t="str">
        <f>IF(ISBLANK(DaqBook_RAW_Data!AP117),"",DaqBook_RAW_Data!AP117)</f>
        <v/>
      </c>
      <c r="L127" s="167" t="str">
        <f>IF(ISBLANK(DaqBook_RAW_Data!AQ117),"",DaqBook_RAW_Data!AQ117)</f>
        <v/>
      </c>
      <c r="M127" s="167" t="str">
        <f>IF(ISBLANK(DaqBook_RAW_Data!AR117),"",DaqBook_RAW_Data!AR117)</f>
        <v/>
      </c>
      <c r="N127" s="167" t="str">
        <f>IF(ISBLANK(DaqBook_RAW_Data!AS117),"",DaqBook_RAW_Data!AS117)</f>
        <v/>
      </c>
      <c r="O127" s="167"/>
      <c r="P127" s="167"/>
    </row>
    <row r="128" spans="1:16" x14ac:dyDescent="0.2">
      <c r="A128" s="58" t="e">
        <f t="shared" si="1"/>
        <v>#VALUE!</v>
      </c>
      <c r="B128" s="144" t="str">
        <f>IF(ISBLANK(DaqBook_RAW_Data!AG118),IF(DaqBook_RAW_Data!A118="","",TIMEVALUE(DaqBook_RAW_Data!A118)),TIMEVALUE(DaqBook_RAW_Data!AG118))</f>
        <v/>
      </c>
      <c r="C128" s="167" t="str">
        <f>IF(ISBLANK(DaqBook_RAW_Data!AH118),"",DaqBook_RAW_Data!AH118)</f>
        <v/>
      </c>
      <c r="D128" s="167" t="str">
        <f>IF(ISBLANK(DaqBook_RAW_Data!AI118),"",DaqBook_RAW_Data!AI118)</f>
        <v/>
      </c>
      <c r="E128" s="167" t="str">
        <f>IF(ISBLANK(DaqBook_RAW_Data!AJ118),"",DaqBook_RAW_Data!AJ118)</f>
        <v/>
      </c>
      <c r="F128" s="167" t="str">
        <f>IF(ISBLANK(DaqBook_RAW_Data!AK118),"",DaqBook_RAW_Data!AK118)</f>
        <v/>
      </c>
      <c r="G128" s="167" t="str">
        <f>IF(ISBLANK(DaqBook_RAW_Data!AL118),"",DaqBook_RAW_Data!AL118)</f>
        <v/>
      </c>
      <c r="H128" s="167" t="str">
        <f>IF(ISBLANK(DaqBook_RAW_Data!AM118),"",DaqBook_RAW_Data!AM118)</f>
        <v/>
      </c>
      <c r="I128" s="167" t="str">
        <f>IF(ISBLANK(DaqBook_RAW_Data!AN118),"",DaqBook_RAW_Data!AN118)</f>
        <v/>
      </c>
      <c r="J128" s="167" t="str">
        <f>IF(ISBLANK(DaqBook_RAW_Data!AO118),"",DaqBook_RAW_Data!AO118)</f>
        <v/>
      </c>
      <c r="K128" s="167" t="str">
        <f>IF(ISBLANK(DaqBook_RAW_Data!AP118),"",DaqBook_RAW_Data!AP118)</f>
        <v/>
      </c>
      <c r="L128" s="167" t="str">
        <f>IF(ISBLANK(DaqBook_RAW_Data!AQ118),"",DaqBook_RAW_Data!AQ118)</f>
        <v/>
      </c>
      <c r="M128" s="167" t="str">
        <f>IF(ISBLANK(DaqBook_RAW_Data!AR118),"",DaqBook_RAW_Data!AR118)</f>
        <v/>
      </c>
      <c r="N128" s="167" t="str">
        <f>IF(ISBLANK(DaqBook_RAW_Data!AS118),"",DaqBook_RAW_Data!AS118)</f>
        <v/>
      </c>
      <c r="O128" s="167"/>
      <c r="P128" s="167"/>
    </row>
    <row r="129" spans="1:16" x14ac:dyDescent="0.2">
      <c r="A129" s="58" t="e">
        <f t="shared" si="1"/>
        <v>#VALUE!</v>
      </c>
      <c r="B129" s="144" t="str">
        <f>IF(ISBLANK(DaqBook_RAW_Data!AG119),IF(DaqBook_RAW_Data!A119="","",TIMEVALUE(DaqBook_RAW_Data!A119)),TIMEVALUE(DaqBook_RAW_Data!AG119))</f>
        <v/>
      </c>
      <c r="C129" s="167" t="str">
        <f>IF(ISBLANK(DaqBook_RAW_Data!AH119),"",DaqBook_RAW_Data!AH119)</f>
        <v/>
      </c>
      <c r="D129" s="167" t="str">
        <f>IF(ISBLANK(DaqBook_RAW_Data!AI119),"",DaqBook_RAW_Data!AI119)</f>
        <v/>
      </c>
      <c r="E129" s="167" t="str">
        <f>IF(ISBLANK(DaqBook_RAW_Data!AJ119),"",DaqBook_RAW_Data!AJ119)</f>
        <v/>
      </c>
      <c r="F129" s="167" t="str">
        <f>IF(ISBLANK(DaqBook_RAW_Data!AK119),"",DaqBook_RAW_Data!AK119)</f>
        <v/>
      </c>
      <c r="G129" s="167" t="str">
        <f>IF(ISBLANK(DaqBook_RAW_Data!AL119),"",DaqBook_RAW_Data!AL119)</f>
        <v/>
      </c>
      <c r="H129" s="167" t="str">
        <f>IF(ISBLANK(DaqBook_RAW_Data!AM119),"",DaqBook_RAW_Data!AM119)</f>
        <v/>
      </c>
      <c r="I129" s="167" t="str">
        <f>IF(ISBLANK(DaqBook_RAW_Data!AN119),"",DaqBook_RAW_Data!AN119)</f>
        <v/>
      </c>
      <c r="J129" s="167" t="str">
        <f>IF(ISBLANK(DaqBook_RAW_Data!AO119),"",DaqBook_RAW_Data!AO119)</f>
        <v/>
      </c>
      <c r="K129" s="167" t="str">
        <f>IF(ISBLANK(DaqBook_RAW_Data!AP119),"",DaqBook_RAW_Data!AP119)</f>
        <v/>
      </c>
      <c r="L129" s="167" t="str">
        <f>IF(ISBLANK(DaqBook_RAW_Data!AQ119),"",DaqBook_RAW_Data!AQ119)</f>
        <v/>
      </c>
      <c r="M129" s="167" t="str">
        <f>IF(ISBLANK(DaqBook_RAW_Data!AR119),"",DaqBook_RAW_Data!AR119)</f>
        <v/>
      </c>
      <c r="N129" s="167" t="str">
        <f>IF(ISBLANK(DaqBook_RAW_Data!AS119),"",DaqBook_RAW_Data!AS119)</f>
        <v/>
      </c>
      <c r="O129" s="167"/>
      <c r="P129" s="167"/>
    </row>
    <row r="130" spans="1:16" x14ac:dyDescent="0.2">
      <c r="A130" s="58" t="e">
        <f t="shared" si="1"/>
        <v>#VALUE!</v>
      </c>
      <c r="B130" s="144" t="str">
        <f>IF(ISBLANK(DaqBook_RAW_Data!AG120),IF(DaqBook_RAW_Data!A120="","",TIMEVALUE(DaqBook_RAW_Data!A120)),TIMEVALUE(DaqBook_RAW_Data!AG120))</f>
        <v/>
      </c>
      <c r="C130" s="167" t="str">
        <f>IF(ISBLANK(DaqBook_RAW_Data!AH120),"",DaqBook_RAW_Data!AH120)</f>
        <v/>
      </c>
      <c r="D130" s="167" t="str">
        <f>IF(ISBLANK(DaqBook_RAW_Data!AI120),"",DaqBook_RAW_Data!AI120)</f>
        <v/>
      </c>
      <c r="E130" s="167" t="str">
        <f>IF(ISBLANK(DaqBook_RAW_Data!AJ120),"",DaqBook_RAW_Data!AJ120)</f>
        <v/>
      </c>
      <c r="F130" s="167" t="str">
        <f>IF(ISBLANK(DaqBook_RAW_Data!AK120),"",DaqBook_RAW_Data!AK120)</f>
        <v/>
      </c>
      <c r="G130" s="167" t="str">
        <f>IF(ISBLANK(DaqBook_RAW_Data!AL120),"",DaqBook_RAW_Data!AL120)</f>
        <v/>
      </c>
      <c r="H130" s="167" t="str">
        <f>IF(ISBLANK(DaqBook_RAW_Data!AM120),"",DaqBook_RAW_Data!AM120)</f>
        <v/>
      </c>
      <c r="I130" s="167" t="str">
        <f>IF(ISBLANK(DaqBook_RAW_Data!AN120),"",DaqBook_RAW_Data!AN120)</f>
        <v/>
      </c>
      <c r="J130" s="167" t="str">
        <f>IF(ISBLANK(DaqBook_RAW_Data!AO120),"",DaqBook_RAW_Data!AO120)</f>
        <v/>
      </c>
      <c r="K130" s="167" t="str">
        <f>IF(ISBLANK(DaqBook_RAW_Data!AP120),"",DaqBook_RAW_Data!AP120)</f>
        <v/>
      </c>
      <c r="L130" s="167" t="str">
        <f>IF(ISBLANK(DaqBook_RAW_Data!AQ120),"",DaqBook_RAW_Data!AQ120)</f>
        <v/>
      </c>
      <c r="M130" s="167" t="str">
        <f>IF(ISBLANK(DaqBook_RAW_Data!AR120),"",DaqBook_RAW_Data!AR120)</f>
        <v/>
      </c>
      <c r="N130" s="167" t="str">
        <f>IF(ISBLANK(DaqBook_RAW_Data!AS120),"",DaqBook_RAW_Data!AS120)</f>
        <v/>
      </c>
      <c r="O130" s="167"/>
      <c r="P130" s="167"/>
    </row>
    <row r="131" spans="1:16" x14ac:dyDescent="0.2">
      <c r="A131" s="58" t="e">
        <f t="shared" si="1"/>
        <v>#VALUE!</v>
      </c>
      <c r="B131" s="144" t="str">
        <f>IF(ISBLANK(DaqBook_RAW_Data!AG121),IF(DaqBook_RAW_Data!A121="","",TIMEVALUE(DaqBook_RAW_Data!A121)),TIMEVALUE(DaqBook_RAW_Data!AG121))</f>
        <v/>
      </c>
      <c r="C131" s="167" t="str">
        <f>IF(ISBLANK(DaqBook_RAW_Data!AH121),"",DaqBook_RAW_Data!AH121)</f>
        <v/>
      </c>
      <c r="D131" s="167" t="str">
        <f>IF(ISBLANK(DaqBook_RAW_Data!AI121),"",DaqBook_RAW_Data!AI121)</f>
        <v/>
      </c>
      <c r="E131" s="167" t="str">
        <f>IF(ISBLANK(DaqBook_RAW_Data!AJ121),"",DaqBook_RAW_Data!AJ121)</f>
        <v/>
      </c>
      <c r="F131" s="167" t="str">
        <f>IF(ISBLANK(DaqBook_RAW_Data!AK121),"",DaqBook_RAW_Data!AK121)</f>
        <v/>
      </c>
      <c r="G131" s="167" t="str">
        <f>IF(ISBLANK(DaqBook_RAW_Data!AL121),"",DaqBook_RAW_Data!AL121)</f>
        <v/>
      </c>
      <c r="H131" s="167" t="str">
        <f>IF(ISBLANK(DaqBook_RAW_Data!AM121),"",DaqBook_RAW_Data!AM121)</f>
        <v/>
      </c>
      <c r="I131" s="167" t="str">
        <f>IF(ISBLANK(DaqBook_RAW_Data!AN121),"",DaqBook_RAW_Data!AN121)</f>
        <v/>
      </c>
      <c r="J131" s="167" t="str">
        <f>IF(ISBLANK(DaqBook_RAW_Data!AO121),"",DaqBook_RAW_Data!AO121)</f>
        <v/>
      </c>
      <c r="K131" s="167" t="str">
        <f>IF(ISBLANK(DaqBook_RAW_Data!AP121),"",DaqBook_RAW_Data!AP121)</f>
        <v/>
      </c>
      <c r="L131" s="167" t="str">
        <f>IF(ISBLANK(DaqBook_RAW_Data!AQ121),"",DaqBook_RAW_Data!AQ121)</f>
        <v/>
      </c>
      <c r="M131" s="167" t="str">
        <f>IF(ISBLANK(DaqBook_RAW_Data!AR121),"",DaqBook_RAW_Data!AR121)</f>
        <v/>
      </c>
      <c r="N131" s="167" t="str">
        <f>IF(ISBLANK(DaqBook_RAW_Data!AS121),"",DaqBook_RAW_Data!AS121)</f>
        <v/>
      </c>
      <c r="O131" s="167"/>
      <c r="P131" s="167"/>
    </row>
    <row r="132" spans="1:16" x14ac:dyDescent="0.2">
      <c r="A132" s="58" t="e">
        <f t="shared" si="1"/>
        <v>#VALUE!</v>
      </c>
      <c r="B132" s="144" t="str">
        <f>IF(ISBLANK(DaqBook_RAW_Data!AG122),IF(DaqBook_RAW_Data!A122="","",TIMEVALUE(DaqBook_RAW_Data!A122)),TIMEVALUE(DaqBook_RAW_Data!AG122))</f>
        <v/>
      </c>
      <c r="C132" s="167" t="str">
        <f>IF(ISBLANK(DaqBook_RAW_Data!AH122),"",DaqBook_RAW_Data!AH122)</f>
        <v/>
      </c>
      <c r="D132" s="167" t="str">
        <f>IF(ISBLANK(DaqBook_RAW_Data!AI122),"",DaqBook_RAW_Data!AI122)</f>
        <v/>
      </c>
      <c r="E132" s="167" t="str">
        <f>IF(ISBLANK(DaqBook_RAW_Data!AJ122),"",DaqBook_RAW_Data!AJ122)</f>
        <v/>
      </c>
      <c r="F132" s="167" t="str">
        <f>IF(ISBLANK(DaqBook_RAW_Data!AK122),"",DaqBook_RAW_Data!AK122)</f>
        <v/>
      </c>
      <c r="G132" s="167" t="str">
        <f>IF(ISBLANK(DaqBook_RAW_Data!AL122),"",DaqBook_RAW_Data!AL122)</f>
        <v/>
      </c>
      <c r="H132" s="167" t="str">
        <f>IF(ISBLANK(DaqBook_RAW_Data!AM122),"",DaqBook_RAW_Data!AM122)</f>
        <v/>
      </c>
      <c r="I132" s="167" t="str">
        <f>IF(ISBLANK(DaqBook_RAW_Data!AN122),"",DaqBook_RAW_Data!AN122)</f>
        <v/>
      </c>
      <c r="J132" s="167" t="str">
        <f>IF(ISBLANK(DaqBook_RAW_Data!AO122),"",DaqBook_RAW_Data!AO122)</f>
        <v/>
      </c>
      <c r="K132" s="167" t="str">
        <f>IF(ISBLANK(DaqBook_RAW_Data!AP122),"",DaqBook_RAW_Data!AP122)</f>
        <v/>
      </c>
      <c r="L132" s="167" t="str">
        <f>IF(ISBLANK(DaqBook_RAW_Data!AQ122),"",DaqBook_RAW_Data!AQ122)</f>
        <v/>
      </c>
      <c r="M132" s="167" t="str">
        <f>IF(ISBLANK(DaqBook_RAW_Data!AR122),"",DaqBook_RAW_Data!AR122)</f>
        <v/>
      </c>
      <c r="N132" s="167" t="str">
        <f>IF(ISBLANK(DaqBook_RAW_Data!AS122),"",DaqBook_RAW_Data!AS122)</f>
        <v/>
      </c>
      <c r="O132" s="167"/>
      <c r="P132" s="167"/>
    </row>
    <row r="133" spans="1:16" x14ac:dyDescent="0.2">
      <c r="A133" s="58" t="e">
        <f t="shared" si="1"/>
        <v>#VALUE!</v>
      </c>
      <c r="B133" s="144" t="str">
        <f>IF(ISBLANK(DaqBook_RAW_Data!AG123),IF(DaqBook_RAW_Data!A123="","",TIMEVALUE(DaqBook_RAW_Data!A123)),TIMEVALUE(DaqBook_RAW_Data!AG123))</f>
        <v/>
      </c>
      <c r="C133" s="167" t="str">
        <f>IF(ISBLANK(DaqBook_RAW_Data!AH123),"",DaqBook_RAW_Data!AH123)</f>
        <v/>
      </c>
      <c r="D133" s="167" t="str">
        <f>IF(ISBLANK(DaqBook_RAW_Data!AI123),"",DaqBook_RAW_Data!AI123)</f>
        <v/>
      </c>
      <c r="E133" s="167" t="str">
        <f>IF(ISBLANK(DaqBook_RAW_Data!AJ123),"",DaqBook_RAW_Data!AJ123)</f>
        <v/>
      </c>
      <c r="F133" s="167" t="str">
        <f>IF(ISBLANK(DaqBook_RAW_Data!AK123),"",DaqBook_RAW_Data!AK123)</f>
        <v/>
      </c>
      <c r="G133" s="167" t="str">
        <f>IF(ISBLANK(DaqBook_RAW_Data!AL123),"",DaqBook_RAW_Data!AL123)</f>
        <v/>
      </c>
      <c r="H133" s="167" t="str">
        <f>IF(ISBLANK(DaqBook_RAW_Data!AM123),"",DaqBook_RAW_Data!AM123)</f>
        <v/>
      </c>
      <c r="I133" s="167" t="str">
        <f>IF(ISBLANK(DaqBook_RAW_Data!AN123),"",DaqBook_RAW_Data!AN123)</f>
        <v/>
      </c>
      <c r="J133" s="167" t="str">
        <f>IF(ISBLANK(DaqBook_RAW_Data!AO123),"",DaqBook_RAW_Data!AO123)</f>
        <v/>
      </c>
      <c r="K133" s="167" t="str">
        <f>IF(ISBLANK(DaqBook_RAW_Data!AP123),"",DaqBook_RAW_Data!AP123)</f>
        <v/>
      </c>
      <c r="L133" s="167" t="str">
        <f>IF(ISBLANK(DaqBook_RAW_Data!AQ123),"",DaqBook_RAW_Data!AQ123)</f>
        <v/>
      </c>
      <c r="M133" s="167" t="str">
        <f>IF(ISBLANK(DaqBook_RAW_Data!AR123),"",DaqBook_RAW_Data!AR123)</f>
        <v/>
      </c>
      <c r="N133" s="167" t="str">
        <f>IF(ISBLANK(DaqBook_RAW_Data!AS123),"",DaqBook_RAW_Data!AS123)</f>
        <v/>
      </c>
      <c r="O133" s="167"/>
      <c r="P133" s="167"/>
    </row>
    <row r="134" spans="1:16" x14ac:dyDescent="0.2">
      <c r="A134" s="58" t="e">
        <f t="shared" si="1"/>
        <v>#VALUE!</v>
      </c>
      <c r="B134" s="144" t="str">
        <f>IF(ISBLANK(DaqBook_RAW_Data!AG124),IF(DaqBook_RAW_Data!A124="","",TIMEVALUE(DaqBook_RAW_Data!A124)),TIMEVALUE(DaqBook_RAW_Data!AG124))</f>
        <v/>
      </c>
      <c r="C134" s="167" t="str">
        <f>IF(ISBLANK(DaqBook_RAW_Data!AH124),"",DaqBook_RAW_Data!AH124)</f>
        <v/>
      </c>
      <c r="D134" s="167" t="str">
        <f>IF(ISBLANK(DaqBook_RAW_Data!AI124),"",DaqBook_RAW_Data!AI124)</f>
        <v/>
      </c>
      <c r="E134" s="167" t="str">
        <f>IF(ISBLANK(DaqBook_RAW_Data!AJ124),"",DaqBook_RAW_Data!AJ124)</f>
        <v/>
      </c>
      <c r="F134" s="167" t="str">
        <f>IF(ISBLANK(DaqBook_RAW_Data!AK124),"",DaqBook_RAW_Data!AK124)</f>
        <v/>
      </c>
      <c r="G134" s="167" t="str">
        <f>IF(ISBLANK(DaqBook_RAW_Data!AL124),"",DaqBook_RAW_Data!AL124)</f>
        <v/>
      </c>
      <c r="H134" s="167" t="str">
        <f>IF(ISBLANK(DaqBook_RAW_Data!AM124),"",DaqBook_RAW_Data!AM124)</f>
        <v/>
      </c>
      <c r="I134" s="167" t="str">
        <f>IF(ISBLANK(DaqBook_RAW_Data!AN124),"",DaqBook_RAW_Data!AN124)</f>
        <v/>
      </c>
      <c r="J134" s="167" t="str">
        <f>IF(ISBLANK(DaqBook_RAW_Data!AO124),"",DaqBook_RAW_Data!AO124)</f>
        <v/>
      </c>
      <c r="K134" s="167" t="str">
        <f>IF(ISBLANK(DaqBook_RAW_Data!AP124),"",DaqBook_RAW_Data!AP124)</f>
        <v/>
      </c>
      <c r="L134" s="167" t="str">
        <f>IF(ISBLANK(DaqBook_RAW_Data!AQ124),"",DaqBook_RAW_Data!AQ124)</f>
        <v/>
      </c>
      <c r="M134" s="167" t="str">
        <f>IF(ISBLANK(DaqBook_RAW_Data!AR124),"",DaqBook_RAW_Data!AR124)</f>
        <v/>
      </c>
      <c r="N134" s="167" t="str">
        <f>IF(ISBLANK(DaqBook_RAW_Data!AS124),"",DaqBook_RAW_Data!AS124)</f>
        <v/>
      </c>
      <c r="O134" s="167"/>
      <c r="P134" s="167"/>
    </row>
    <row r="135" spans="1:16" x14ac:dyDescent="0.2">
      <c r="A135" s="58" t="e">
        <f t="shared" si="1"/>
        <v>#VALUE!</v>
      </c>
      <c r="B135" s="144" t="str">
        <f>IF(ISBLANK(DaqBook_RAW_Data!AG125),IF(DaqBook_RAW_Data!A125="","",TIMEVALUE(DaqBook_RAW_Data!A125)),TIMEVALUE(DaqBook_RAW_Data!AG125))</f>
        <v/>
      </c>
      <c r="C135" s="167" t="str">
        <f>IF(ISBLANK(DaqBook_RAW_Data!AH125),"",DaqBook_RAW_Data!AH125)</f>
        <v/>
      </c>
      <c r="D135" s="167" t="str">
        <f>IF(ISBLANK(DaqBook_RAW_Data!AI125),"",DaqBook_RAW_Data!AI125)</f>
        <v/>
      </c>
      <c r="E135" s="167" t="str">
        <f>IF(ISBLANK(DaqBook_RAW_Data!AJ125),"",DaqBook_RAW_Data!AJ125)</f>
        <v/>
      </c>
      <c r="F135" s="167" t="str">
        <f>IF(ISBLANK(DaqBook_RAW_Data!AK125),"",DaqBook_RAW_Data!AK125)</f>
        <v/>
      </c>
      <c r="G135" s="167" t="str">
        <f>IF(ISBLANK(DaqBook_RAW_Data!AL125),"",DaqBook_RAW_Data!AL125)</f>
        <v/>
      </c>
      <c r="H135" s="167" t="str">
        <f>IF(ISBLANK(DaqBook_RAW_Data!AM125),"",DaqBook_RAW_Data!AM125)</f>
        <v/>
      </c>
      <c r="I135" s="167" t="str">
        <f>IF(ISBLANK(DaqBook_RAW_Data!AN125),"",DaqBook_RAW_Data!AN125)</f>
        <v/>
      </c>
      <c r="J135" s="167" t="str">
        <f>IF(ISBLANK(DaqBook_RAW_Data!AO125),"",DaqBook_RAW_Data!AO125)</f>
        <v/>
      </c>
      <c r="K135" s="167" t="str">
        <f>IF(ISBLANK(DaqBook_RAW_Data!AP125),"",DaqBook_RAW_Data!AP125)</f>
        <v/>
      </c>
      <c r="L135" s="167" t="str">
        <f>IF(ISBLANK(DaqBook_RAW_Data!AQ125),"",DaqBook_RAW_Data!AQ125)</f>
        <v/>
      </c>
      <c r="M135" s="167" t="str">
        <f>IF(ISBLANK(DaqBook_RAW_Data!AR125),"",DaqBook_RAW_Data!AR125)</f>
        <v/>
      </c>
      <c r="N135" s="167" t="str">
        <f>IF(ISBLANK(DaqBook_RAW_Data!AS125),"",DaqBook_RAW_Data!AS125)</f>
        <v/>
      </c>
      <c r="O135" s="167"/>
      <c r="P135" s="167"/>
    </row>
    <row r="136" spans="1:16" x14ac:dyDescent="0.2">
      <c r="A136" s="58" t="e">
        <f t="shared" si="1"/>
        <v>#VALUE!</v>
      </c>
      <c r="B136" s="144" t="str">
        <f>IF(ISBLANK(DaqBook_RAW_Data!AG126),IF(DaqBook_RAW_Data!A126="","",TIMEVALUE(DaqBook_RAW_Data!A126)),TIMEVALUE(DaqBook_RAW_Data!AG126))</f>
        <v/>
      </c>
      <c r="C136" s="167" t="str">
        <f>IF(ISBLANK(DaqBook_RAW_Data!AH126),"",DaqBook_RAW_Data!AH126)</f>
        <v/>
      </c>
      <c r="D136" s="167" t="str">
        <f>IF(ISBLANK(DaqBook_RAW_Data!AI126),"",DaqBook_RAW_Data!AI126)</f>
        <v/>
      </c>
      <c r="E136" s="167" t="str">
        <f>IF(ISBLANK(DaqBook_RAW_Data!AJ126),"",DaqBook_RAW_Data!AJ126)</f>
        <v/>
      </c>
      <c r="F136" s="167" t="str">
        <f>IF(ISBLANK(DaqBook_RAW_Data!AK126),"",DaqBook_RAW_Data!AK126)</f>
        <v/>
      </c>
      <c r="G136" s="167" t="str">
        <f>IF(ISBLANK(DaqBook_RAW_Data!AL126),"",DaqBook_RAW_Data!AL126)</f>
        <v/>
      </c>
      <c r="H136" s="167" t="str">
        <f>IF(ISBLANK(DaqBook_RAW_Data!AM126),"",DaqBook_RAW_Data!AM126)</f>
        <v/>
      </c>
      <c r="I136" s="167" t="str">
        <f>IF(ISBLANK(DaqBook_RAW_Data!AN126),"",DaqBook_RAW_Data!AN126)</f>
        <v/>
      </c>
      <c r="J136" s="167" t="str">
        <f>IF(ISBLANK(DaqBook_RAW_Data!AO126),"",DaqBook_RAW_Data!AO126)</f>
        <v/>
      </c>
      <c r="K136" s="167" t="str">
        <f>IF(ISBLANK(DaqBook_RAW_Data!AP126),"",DaqBook_RAW_Data!AP126)</f>
        <v/>
      </c>
      <c r="L136" s="167" t="str">
        <f>IF(ISBLANK(DaqBook_RAW_Data!AQ126),"",DaqBook_RAW_Data!AQ126)</f>
        <v/>
      </c>
      <c r="M136" s="167" t="str">
        <f>IF(ISBLANK(DaqBook_RAW_Data!AR126),"",DaqBook_RAW_Data!AR126)</f>
        <v/>
      </c>
      <c r="N136" s="167" t="str">
        <f>IF(ISBLANK(DaqBook_RAW_Data!AS126),"",DaqBook_RAW_Data!AS126)</f>
        <v/>
      </c>
      <c r="O136" s="167"/>
      <c r="P136" s="167"/>
    </row>
    <row r="137" spans="1:16" x14ac:dyDescent="0.2">
      <c r="A137" s="58" t="e">
        <f t="shared" si="1"/>
        <v>#VALUE!</v>
      </c>
      <c r="B137" s="144" t="str">
        <f>IF(ISBLANK(DaqBook_RAW_Data!AG127),IF(DaqBook_RAW_Data!A127="","",TIMEVALUE(DaqBook_RAW_Data!A127)),TIMEVALUE(DaqBook_RAW_Data!AG127))</f>
        <v/>
      </c>
      <c r="C137" s="167" t="str">
        <f>IF(ISBLANK(DaqBook_RAW_Data!AH127),"",DaqBook_RAW_Data!AH127)</f>
        <v/>
      </c>
      <c r="D137" s="167" t="str">
        <f>IF(ISBLANK(DaqBook_RAW_Data!AI127),"",DaqBook_RAW_Data!AI127)</f>
        <v/>
      </c>
      <c r="E137" s="167" t="str">
        <f>IF(ISBLANK(DaqBook_RAW_Data!AJ127),"",DaqBook_RAW_Data!AJ127)</f>
        <v/>
      </c>
      <c r="F137" s="167" t="str">
        <f>IF(ISBLANK(DaqBook_RAW_Data!AK127),"",DaqBook_RAW_Data!AK127)</f>
        <v/>
      </c>
      <c r="G137" s="167" t="str">
        <f>IF(ISBLANK(DaqBook_RAW_Data!AL127),"",DaqBook_RAW_Data!AL127)</f>
        <v/>
      </c>
      <c r="H137" s="167" t="str">
        <f>IF(ISBLANK(DaqBook_RAW_Data!AM127),"",DaqBook_RAW_Data!AM127)</f>
        <v/>
      </c>
      <c r="I137" s="167" t="str">
        <f>IF(ISBLANK(DaqBook_RAW_Data!AN127),"",DaqBook_RAW_Data!AN127)</f>
        <v/>
      </c>
      <c r="J137" s="167" t="str">
        <f>IF(ISBLANK(DaqBook_RAW_Data!AO127),"",DaqBook_RAW_Data!AO127)</f>
        <v/>
      </c>
      <c r="K137" s="167" t="str">
        <f>IF(ISBLANK(DaqBook_RAW_Data!AP127),"",DaqBook_RAW_Data!AP127)</f>
        <v/>
      </c>
      <c r="L137" s="167" t="str">
        <f>IF(ISBLANK(DaqBook_RAW_Data!AQ127),"",DaqBook_RAW_Data!AQ127)</f>
        <v/>
      </c>
      <c r="M137" s="167" t="str">
        <f>IF(ISBLANK(DaqBook_RAW_Data!AR127),"",DaqBook_RAW_Data!AR127)</f>
        <v/>
      </c>
      <c r="N137" s="167" t="str">
        <f>IF(ISBLANK(DaqBook_RAW_Data!AS127),"",DaqBook_RAW_Data!AS127)</f>
        <v/>
      </c>
      <c r="O137" s="167"/>
      <c r="P137" s="167"/>
    </row>
    <row r="138" spans="1:16" x14ac:dyDescent="0.2">
      <c r="A138" s="58" t="e">
        <f t="shared" si="1"/>
        <v>#VALUE!</v>
      </c>
      <c r="B138" s="144" t="str">
        <f>IF(ISBLANK(DaqBook_RAW_Data!AG128),IF(DaqBook_RAW_Data!A128="","",TIMEVALUE(DaqBook_RAW_Data!A128)),TIMEVALUE(DaqBook_RAW_Data!AG128))</f>
        <v/>
      </c>
      <c r="C138" s="167" t="str">
        <f>IF(ISBLANK(DaqBook_RAW_Data!AH128),"",DaqBook_RAW_Data!AH128)</f>
        <v/>
      </c>
      <c r="D138" s="167" t="str">
        <f>IF(ISBLANK(DaqBook_RAW_Data!AI128),"",DaqBook_RAW_Data!AI128)</f>
        <v/>
      </c>
      <c r="E138" s="167" t="str">
        <f>IF(ISBLANK(DaqBook_RAW_Data!AJ128),"",DaqBook_RAW_Data!AJ128)</f>
        <v/>
      </c>
      <c r="F138" s="167" t="str">
        <f>IF(ISBLANK(DaqBook_RAW_Data!AK128),"",DaqBook_RAW_Data!AK128)</f>
        <v/>
      </c>
      <c r="G138" s="167" t="str">
        <f>IF(ISBLANK(DaqBook_RAW_Data!AL128),"",DaqBook_RAW_Data!AL128)</f>
        <v/>
      </c>
      <c r="H138" s="167" t="str">
        <f>IF(ISBLANK(DaqBook_RAW_Data!AM128),"",DaqBook_RAW_Data!AM128)</f>
        <v/>
      </c>
      <c r="I138" s="167" t="str">
        <f>IF(ISBLANK(DaqBook_RAW_Data!AN128),"",DaqBook_RAW_Data!AN128)</f>
        <v/>
      </c>
      <c r="J138" s="167" t="str">
        <f>IF(ISBLANK(DaqBook_RAW_Data!AO128),"",DaqBook_RAW_Data!AO128)</f>
        <v/>
      </c>
      <c r="K138" s="167" t="str">
        <f>IF(ISBLANK(DaqBook_RAW_Data!AP128),"",DaqBook_RAW_Data!AP128)</f>
        <v/>
      </c>
      <c r="L138" s="167" t="str">
        <f>IF(ISBLANK(DaqBook_RAW_Data!AQ128),"",DaqBook_RAW_Data!AQ128)</f>
        <v/>
      </c>
      <c r="M138" s="167" t="str">
        <f>IF(ISBLANK(DaqBook_RAW_Data!AR128),"",DaqBook_RAW_Data!AR128)</f>
        <v/>
      </c>
      <c r="N138" s="167" t="str">
        <f>IF(ISBLANK(DaqBook_RAW_Data!AS128),"",DaqBook_RAW_Data!AS128)</f>
        <v/>
      </c>
      <c r="O138" s="167"/>
      <c r="P138" s="167"/>
    </row>
    <row r="139" spans="1:16" x14ac:dyDescent="0.2">
      <c r="A139" s="58" t="e">
        <f t="shared" si="1"/>
        <v>#VALUE!</v>
      </c>
      <c r="B139" s="144" t="str">
        <f>IF(ISBLANK(DaqBook_RAW_Data!AG129),IF(DaqBook_RAW_Data!A129="","",TIMEVALUE(DaqBook_RAW_Data!A129)),TIMEVALUE(DaqBook_RAW_Data!AG129))</f>
        <v/>
      </c>
      <c r="C139" s="167" t="str">
        <f>IF(ISBLANK(DaqBook_RAW_Data!AH129),"",DaqBook_RAW_Data!AH129)</f>
        <v/>
      </c>
      <c r="D139" s="167" t="str">
        <f>IF(ISBLANK(DaqBook_RAW_Data!AI129),"",DaqBook_RAW_Data!AI129)</f>
        <v/>
      </c>
      <c r="E139" s="167" t="str">
        <f>IF(ISBLANK(DaqBook_RAW_Data!AJ129),"",DaqBook_RAW_Data!AJ129)</f>
        <v/>
      </c>
      <c r="F139" s="167" t="str">
        <f>IF(ISBLANK(DaqBook_RAW_Data!AK129),"",DaqBook_RAW_Data!AK129)</f>
        <v/>
      </c>
      <c r="G139" s="167" t="str">
        <f>IF(ISBLANK(DaqBook_RAW_Data!AL129),"",DaqBook_RAW_Data!AL129)</f>
        <v/>
      </c>
      <c r="H139" s="167" t="str">
        <f>IF(ISBLANK(DaqBook_RAW_Data!AM129),"",DaqBook_RAW_Data!AM129)</f>
        <v/>
      </c>
      <c r="I139" s="167" t="str">
        <f>IF(ISBLANK(DaqBook_RAW_Data!AN129),"",DaqBook_RAW_Data!AN129)</f>
        <v/>
      </c>
      <c r="J139" s="167" t="str">
        <f>IF(ISBLANK(DaqBook_RAW_Data!AO129),"",DaqBook_RAW_Data!AO129)</f>
        <v/>
      </c>
      <c r="K139" s="167" t="str">
        <f>IF(ISBLANK(DaqBook_RAW_Data!AP129),"",DaqBook_RAW_Data!AP129)</f>
        <v/>
      </c>
      <c r="L139" s="167" t="str">
        <f>IF(ISBLANK(DaqBook_RAW_Data!AQ129),"",DaqBook_RAW_Data!AQ129)</f>
        <v/>
      </c>
      <c r="M139" s="167" t="str">
        <f>IF(ISBLANK(DaqBook_RAW_Data!AR129),"",DaqBook_RAW_Data!AR129)</f>
        <v/>
      </c>
      <c r="N139" s="167" t="str">
        <f>IF(ISBLANK(DaqBook_RAW_Data!AS129),"",DaqBook_RAW_Data!AS129)</f>
        <v/>
      </c>
      <c r="O139" s="167"/>
      <c r="P139" s="167"/>
    </row>
    <row r="140" spans="1:16" x14ac:dyDescent="0.2">
      <c r="A140" s="58" t="e">
        <f t="shared" si="1"/>
        <v>#VALUE!</v>
      </c>
      <c r="B140" s="144" t="str">
        <f>IF(ISBLANK(DaqBook_RAW_Data!AG130),IF(DaqBook_RAW_Data!A130="","",TIMEVALUE(DaqBook_RAW_Data!A130)),TIMEVALUE(DaqBook_RAW_Data!AG130))</f>
        <v/>
      </c>
      <c r="C140" s="167" t="str">
        <f>IF(ISBLANK(DaqBook_RAW_Data!AH130),"",DaqBook_RAW_Data!AH130)</f>
        <v/>
      </c>
      <c r="D140" s="167" t="str">
        <f>IF(ISBLANK(DaqBook_RAW_Data!AI130),"",DaqBook_RAW_Data!AI130)</f>
        <v/>
      </c>
      <c r="E140" s="167" t="str">
        <f>IF(ISBLANK(DaqBook_RAW_Data!AJ130),"",DaqBook_RAW_Data!AJ130)</f>
        <v/>
      </c>
      <c r="F140" s="167" t="str">
        <f>IF(ISBLANK(DaqBook_RAW_Data!AK130),"",DaqBook_RAW_Data!AK130)</f>
        <v/>
      </c>
      <c r="G140" s="167" t="str">
        <f>IF(ISBLANK(DaqBook_RAW_Data!AL130),"",DaqBook_RAW_Data!AL130)</f>
        <v/>
      </c>
      <c r="H140" s="167" t="str">
        <f>IF(ISBLANK(DaqBook_RAW_Data!AM130),"",DaqBook_RAW_Data!AM130)</f>
        <v/>
      </c>
      <c r="I140" s="167" t="str">
        <f>IF(ISBLANK(DaqBook_RAW_Data!AN130),"",DaqBook_RAW_Data!AN130)</f>
        <v/>
      </c>
      <c r="J140" s="167" t="str">
        <f>IF(ISBLANK(DaqBook_RAW_Data!AO130),"",DaqBook_RAW_Data!AO130)</f>
        <v/>
      </c>
      <c r="K140" s="167" t="str">
        <f>IF(ISBLANK(DaqBook_RAW_Data!AP130),"",DaqBook_RAW_Data!AP130)</f>
        <v/>
      </c>
      <c r="L140" s="167" t="str">
        <f>IF(ISBLANK(DaqBook_RAW_Data!AQ130),"",DaqBook_RAW_Data!AQ130)</f>
        <v/>
      </c>
      <c r="M140" s="167" t="str">
        <f>IF(ISBLANK(DaqBook_RAW_Data!AR130),"",DaqBook_RAW_Data!AR130)</f>
        <v/>
      </c>
      <c r="N140" s="167" t="str">
        <f>IF(ISBLANK(DaqBook_RAW_Data!AS130),"",DaqBook_RAW_Data!AS130)</f>
        <v/>
      </c>
      <c r="O140" s="167"/>
      <c r="P140" s="167"/>
    </row>
    <row r="141" spans="1:16" x14ac:dyDescent="0.2">
      <c r="A141" s="58" t="e">
        <f t="shared" si="1"/>
        <v>#VALUE!</v>
      </c>
      <c r="B141" s="144" t="str">
        <f>IF(ISBLANK(DaqBook_RAW_Data!AG131),IF(DaqBook_RAW_Data!A131="","",TIMEVALUE(DaqBook_RAW_Data!A131)),TIMEVALUE(DaqBook_RAW_Data!AG131))</f>
        <v/>
      </c>
      <c r="C141" s="167" t="str">
        <f>IF(ISBLANK(DaqBook_RAW_Data!AH131),"",DaqBook_RAW_Data!AH131)</f>
        <v/>
      </c>
      <c r="D141" s="167" t="str">
        <f>IF(ISBLANK(DaqBook_RAW_Data!AI131),"",DaqBook_RAW_Data!AI131)</f>
        <v/>
      </c>
      <c r="E141" s="167" t="str">
        <f>IF(ISBLANK(DaqBook_RAW_Data!AJ131),"",DaqBook_RAW_Data!AJ131)</f>
        <v/>
      </c>
      <c r="F141" s="167" t="str">
        <f>IF(ISBLANK(DaqBook_RAW_Data!AK131),"",DaqBook_RAW_Data!AK131)</f>
        <v/>
      </c>
      <c r="G141" s="167" t="str">
        <f>IF(ISBLANK(DaqBook_RAW_Data!AL131),"",DaqBook_RAW_Data!AL131)</f>
        <v/>
      </c>
      <c r="H141" s="167" t="str">
        <f>IF(ISBLANK(DaqBook_RAW_Data!AM131),"",DaqBook_RAW_Data!AM131)</f>
        <v/>
      </c>
      <c r="I141" s="167" t="str">
        <f>IF(ISBLANK(DaqBook_RAW_Data!AN131),"",DaqBook_RAW_Data!AN131)</f>
        <v/>
      </c>
      <c r="J141" s="167" t="str">
        <f>IF(ISBLANK(DaqBook_RAW_Data!AO131),"",DaqBook_RAW_Data!AO131)</f>
        <v/>
      </c>
      <c r="K141" s="167" t="str">
        <f>IF(ISBLANK(DaqBook_RAW_Data!AP131),"",DaqBook_RAW_Data!AP131)</f>
        <v/>
      </c>
      <c r="L141" s="167" t="str">
        <f>IF(ISBLANK(DaqBook_RAW_Data!AQ131),"",DaqBook_RAW_Data!AQ131)</f>
        <v/>
      </c>
      <c r="M141" s="167" t="str">
        <f>IF(ISBLANK(DaqBook_RAW_Data!AR131),"",DaqBook_RAW_Data!AR131)</f>
        <v/>
      </c>
      <c r="N141" s="167" t="str">
        <f>IF(ISBLANK(DaqBook_RAW_Data!AS131),"",DaqBook_RAW_Data!AS131)</f>
        <v/>
      </c>
      <c r="O141" s="167"/>
      <c r="P141" s="167"/>
    </row>
    <row r="142" spans="1:16" x14ac:dyDescent="0.2">
      <c r="A142" s="58" t="e">
        <f t="shared" si="1"/>
        <v>#VALUE!</v>
      </c>
      <c r="B142" s="144" t="str">
        <f>IF(ISBLANK(DaqBook_RAW_Data!AG132),IF(DaqBook_RAW_Data!A132="","",TIMEVALUE(DaqBook_RAW_Data!A132)),TIMEVALUE(DaqBook_RAW_Data!AG132))</f>
        <v/>
      </c>
      <c r="C142" s="167" t="str">
        <f>IF(ISBLANK(DaqBook_RAW_Data!AH132),"",DaqBook_RAW_Data!AH132)</f>
        <v/>
      </c>
      <c r="D142" s="167" t="str">
        <f>IF(ISBLANK(DaqBook_RAW_Data!AI132),"",DaqBook_RAW_Data!AI132)</f>
        <v/>
      </c>
      <c r="E142" s="167" t="str">
        <f>IF(ISBLANK(DaqBook_RAW_Data!AJ132),"",DaqBook_RAW_Data!AJ132)</f>
        <v/>
      </c>
      <c r="F142" s="167" t="str">
        <f>IF(ISBLANK(DaqBook_RAW_Data!AK132),"",DaqBook_RAW_Data!AK132)</f>
        <v/>
      </c>
      <c r="G142" s="167" t="str">
        <f>IF(ISBLANK(DaqBook_RAW_Data!AL132),"",DaqBook_RAW_Data!AL132)</f>
        <v/>
      </c>
      <c r="H142" s="167" t="str">
        <f>IF(ISBLANK(DaqBook_RAW_Data!AM132),"",DaqBook_RAW_Data!AM132)</f>
        <v/>
      </c>
      <c r="I142" s="167" t="str">
        <f>IF(ISBLANK(DaqBook_RAW_Data!AN132),"",DaqBook_RAW_Data!AN132)</f>
        <v/>
      </c>
      <c r="J142" s="167" t="str">
        <f>IF(ISBLANK(DaqBook_RAW_Data!AO132),"",DaqBook_RAW_Data!AO132)</f>
        <v/>
      </c>
      <c r="K142" s="167" t="str">
        <f>IF(ISBLANK(DaqBook_RAW_Data!AP132),"",DaqBook_RAW_Data!AP132)</f>
        <v/>
      </c>
      <c r="L142" s="167" t="str">
        <f>IF(ISBLANK(DaqBook_RAW_Data!AQ132),"",DaqBook_RAW_Data!AQ132)</f>
        <v/>
      </c>
      <c r="M142" s="167" t="str">
        <f>IF(ISBLANK(DaqBook_RAW_Data!AR132),"",DaqBook_RAW_Data!AR132)</f>
        <v/>
      </c>
      <c r="N142" s="167" t="str">
        <f>IF(ISBLANK(DaqBook_RAW_Data!AS132),"",DaqBook_RAW_Data!AS132)</f>
        <v/>
      </c>
      <c r="O142" s="167"/>
      <c r="P142" s="167"/>
    </row>
    <row r="143" spans="1:16" x14ac:dyDescent="0.2">
      <c r="A143" s="58" t="e">
        <f t="shared" ref="A143:A206" si="2">HOUR(B143)&amp;":"&amp;MINUTE(B143)</f>
        <v>#VALUE!</v>
      </c>
      <c r="B143" s="144" t="str">
        <f>IF(ISBLANK(DaqBook_RAW_Data!AG133),IF(DaqBook_RAW_Data!A133="","",TIMEVALUE(DaqBook_RAW_Data!A133)),TIMEVALUE(DaqBook_RAW_Data!AG133))</f>
        <v/>
      </c>
      <c r="C143" s="167" t="str">
        <f>IF(ISBLANK(DaqBook_RAW_Data!AH133),"",DaqBook_RAW_Data!AH133)</f>
        <v/>
      </c>
      <c r="D143" s="167" t="str">
        <f>IF(ISBLANK(DaqBook_RAW_Data!AI133),"",DaqBook_RAW_Data!AI133)</f>
        <v/>
      </c>
      <c r="E143" s="167" t="str">
        <f>IF(ISBLANK(DaqBook_RAW_Data!AJ133),"",DaqBook_RAW_Data!AJ133)</f>
        <v/>
      </c>
      <c r="F143" s="167" t="str">
        <f>IF(ISBLANK(DaqBook_RAW_Data!AK133),"",DaqBook_RAW_Data!AK133)</f>
        <v/>
      </c>
      <c r="G143" s="167" t="str">
        <f>IF(ISBLANK(DaqBook_RAW_Data!AL133),"",DaqBook_RAW_Data!AL133)</f>
        <v/>
      </c>
      <c r="H143" s="167" t="str">
        <f>IF(ISBLANK(DaqBook_RAW_Data!AM133),"",DaqBook_RAW_Data!AM133)</f>
        <v/>
      </c>
      <c r="I143" s="167" t="str">
        <f>IF(ISBLANK(DaqBook_RAW_Data!AN133),"",DaqBook_RAW_Data!AN133)</f>
        <v/>
      </c>
      <c r="J143" s="167" t="str">
        <f>IF(ISBLANK(DaqBook_RAW_Data!AO133),"",DaqBook_RAW_Data!AO133)</f>
        <v/>
      </c>
      <c r="K143" s="167" t="str">
        <f>IF(ISBLANK(DaqBook_RAW_Data!AP133),"",DaqBook_RAW_Data!AP133)</f>
        <v/>
      </c>
      <c r="L143" s="167" t="str">
        <f>IF(ISBLANK(DaqBook_RAW_Data!AQ133),"",DaqBook_RAW_Data!AQ133)</f>
        <v/>
      </c>
      <c r="M143" s="167" t="str">
        <f>IF(ISBLANK(DaqBook_RAW_Data!AR133),"",DaqBook_RAW_Data!AR133)</f>
        <v/>
      </c>
      <c r="N143" s="167" t="str">
        <f>IF(ISBLANK(DaqBook_RAW_Data!AS133),"",DaqBook_RAW_Data!AS133)</f>
        <v/>
      </c>
      <c r="O143" s="167"/>
      <c r="P143" s="167"/>
    </row>
    <row r="144" spans="1:16" x14ac:dyDescent="0.2">
      <c r="A144" s="58" t="e">
        <f t="shared" si="2"/>
        <v>#VALUE!</v>
      </c>
      <c r="B144" s="144" t="str">
        <f>IF(ISBLANK(DaqBook_RAW_Data!AG134),IF(DaqBook_RAW_Data!A134="","",TIMEVALUE(DaqBook_RAW_Data!A134)),TIMEVALUE(DaqBook_RAW_Data!AG134))</f>
        <v/>
      </c>
      <c r="C144" s="167" t="str">
        <f>IF(ISBLANK(DaqBook_RAW_Data!AH134),"",DaqBook_RAW_Data!AH134)</f>
        <v/>
      </c>
      <c r="D144" s="167" t="str">
        <f>IF(ISBLANK(DaqBook_RAW_Data!AI134),"",DaqBook_RAW_Data!AI134)</f>
        <v/>
      </c>
      <c r="E144" s="167" t="str">
        <f>IF(ISBLANK(DaqBook_RAW_Data!AJ134),"",DaqBook_RAW_Data!AJ134)</f>
        <v/>
      </c>
      <c r="F144" s="167" t="str">
        <f>IF(ISBLANK(DaqBook_RAW_Data!AK134),"",DaqBook_RAW_Data!AK134)</f>
        <v/>
      </c>
      <c r="G144" s="167" t="str">
        <f>IF(ISBLANK(DaqBook_RAW_Data!AL134),"",DaqBook_RAW_Data!AL134)</f>
        <v/>
      </c>
      <c r="H144" s="167" t="str">
        <f>IF(ISBLANK(DaqBook_RAW_Data!AM134),"",DaqBook_RAW_Data!AM134)</f>
        <v/>
      </c>
      <c r="I144" s="167" t="str">
        <f>IF(ISBLANK(DaqBook_RAW_Data!AN134),"",DaqBook_RAW_Data!AN134)</f>
        <v/>
      </c>
      <c r="J144" s="167" t="str">
        <f>IF(ISBLANK(DaqBook_RAW_Data!AO134),"",DaqBook_RAW_Data!AO134)</f>
        <v/>
      </c>
      <c r="K144" s="167" t="str">
        <f>IF(ISBLANK(DaqBook_RAW_Data!AP134),"",DaqBook_RAW_Data!AP134)</f>
        <v/>
      </c>
      <c r="L144" s="167" t="str">
        <f>IF(ISBLANK(DaqBook_RAW_Data!AQ134),"",DaqBook_RAW_Data!AQ134)</f>
        <v/>
      </c>
      <c r="M144" s="167" t="str">
        <f>IF(ISBLANK(DaqBook_RAW_Data!AR134),"",DaqBook_RAW_Data!AR134)</f>
        <v/>
      </c>
      <c r="N144" s="167" t="str">
        <f>IF(ISBLANK(DaqBook_RAW_Data!AS134),"",DaqBook_RAW_Data!AS134)</f>
        <v/>
      </c>
      <c r="O144" s="167"/>
      <c r="P144" s="167"/>
    </row>
    <row r="145" spans="1:16" x14ac:dyDescent="0.2">
      <c r="A145" s="58" t="e">
        <f t="shared" si="2"/>
        <v>#VALUE!</v>
      </c>
      <c r="B145" s="144" t="str">
        <f>IF(ISBLANK(DaqBook_RAW_Data!AG135),IF(DaqBook_RAW_Data!A135="","",TIMEVALUE(DaqBook_RAW_Data!A135)),TIMEVALUE(DaqBook_RAW_Data!AG135))</f>
        <v/>
      </c>
      <c r="C145" s="167" t="str">
        <f>IF(ISBLANK(DaqBook_RAW_Data!AH135),"",DaqBook_RAW_Data!AH135)</f>
        <v/>
      </c>
      <c r="D145" s="167" t="str">
        <f>IF(ISBLANK(DaqBook_RAW_Data!AI135),"",DaqBook_RAW_Data!AI135)</f>
        <v/>
      </c>
      <c r="E145" s="167" t="str">
        <f>IF(ISBLANK(DaqBook_RAW_Data!AJ135),"",DaqBook_RAW_Data!AJ135)</f>
        <v/>
      </c>
      <c r="F145" s="167" t="str">
        <f>IF(ISBLANK(DaqBook_RAW_Data!AK135),"",DaqBook_RAW_Data!AK135)</f>
        <v/>
      </c>
      <c r="G145" s="167" t="str">
        <f>IF(ISBLANK(DaqBook_RAW_Data!AL135),"",DaqBook_RAW_Data!AL135)</f>
        <v/>
      </c>
      <c r="H145" s="167" t="str">
        <f>IF(ISBLANK(DaqBook_RAW_Data!AM135),"",DaqBook_RAW_Data!AM135)</f>
        <v/>
      </c>
      <c r="I145" s="167" t="str">
        <f>IF(ISBLANK(DaqBook_RAW_Data!AN135),"",DaqBook_RAW_Data!AN135)</f>
        <v/>
      </c>
      <c r="J145" s="167" t="str">
        <f>IF(ISBLANK(DaqBook_RAW_Data!AO135),"",DaqBook_RAW_Data!AO135)</f>
        <v/>
      </c>
      <c r="K145" s="167" t="str">
        <f>IF(ISBLANK(DaqBook_RAW_Data!AP135),"",DaqBook_RAW_Data!AP135)</f>
        <v/>
      </c>
      <c r="L145" s="167" t="str">
        <f>IF(ISBLANK(DaqBook_RAW_Data!AQ135),"",DaqBook_RAW_Data!AQ135)</f>
        <v/>
      </c>
      <c r="M145" s="167" t="str">
        <f>IF(ISBLANK(DaqBook_RAW_Data!AR135),"",DaqBook_RAW_Data!AR135)</f>
        <v/>
      </c>
      <c r="N145" s="167" t="str">
        <f>IF(ISBLANK(DaqBook_RAW_Data!AS135),"",DaqBook_RAW_Data!AS135)</f>
        <v/>
      </c>
      <c r="O145" s="167"/>
      <c r="P145" s="167"/>
    </row>
    <row r="146" spans="1:16" x14ac:dyDescent="0.2">
      <c r="A146" s="58" t="e">
        <f t="shared" si="2"/>
        <v>#VALUE!</v>
      </c>
      <c r="B146" s="144" t="str">
        <f>IF(ISBLANK(DaqBook_RAW_Data!AG136),IF(DaqBook_RAW_Data!A136="","",TIMEVALUE(DaqBook_RAW_Data!A136)),TIMEVALUE(DaqBook_RAW_Data!AG136))</f>
        <v/>
      </c>
      <c r="C146" s="167" t="str">
        <f>IF(ISBLANK(DaqBook_RAW_Data!AH136),"",DaqBook_RAW_Data!AH136)</f>
        <v/>
      </c>
      <c r="D146" s="167" t="str">
        <f>IF(ISBLANK(DaqBook_RAW_Data!AI136),"",DaqBook_RAW_Data!AI136)</f>
        <v/>
      </c>
      <c r="E146" s="167" t="str">
        <f>IF(ISBLANK(DaqBook_RAW_Data!AJ136),"",DaqBook_RAW_Data!AJ136)</f>
        <v/>
      </c>
      <c r="F146" s="167" t="str">
        <f>IF(ISBLANK(DaqBook_RAW_Data!AK136),"",DaqBook_RAW_Data!AK136)</f>
        <v/>
      </c>
      <c r="G146" s="167" t="str">
        <f>IF(ISBLANK(DaqBook_RAW_Data!AL136),"",DaqBook_RAW_Data!AL136)</f>
        <v/>
      </c>
      <c r="H146" s="167" t="str">
        <f>IF(ISBLANK(DaqBook_RAW_Data!AM136),"",DaqBook_RAW_Data!AM136)</f>
        <v/>
      </c>
      <c r="I146" s="167" t="str">
        <f>IF(ISBLANK(DaqBook_RAW_Data!AN136),"",DaqBook_RAW_Data!AN136)</f>
        <v/>
      </c>
      <c r="J146" s="167" t="str">
        <f>IF(ISBLANK(DaqBook_RAW_Data!AO136),"",DaqBook_RAW_Data!AO136)</f>
        <v/>
      </c>
      <c r="K146" s="167" t="str">
        <f>IF(ISBLANK(DaqBook_RAW_Data!AP136),"",DaqBook_RAW_Data!AP136)</f>
        <v/>
      </c>
      <c r="L146" s="167" t="str">
        <f>IF(ISBLANK(DaqBook_RAW_Data!AQ136),"",DaqBook_RAW_Data!AQ136)</f>
        <v/>
      </c>
      <c r="M146" s="167" t="str">
        <f>IF(ISBLANK(DaqBook_RAW_Data!AR136),"",DaqBook_RAW_Data!AR136)</f>
        <v/>
      </c>
      <c r="N146" s="167" t="str">
        <f>IF(ISBLANK(DaqBook_RAW_Data!AS136),"",DaqBook_RAW_Data!AS136)</f>
        <v/>
      </c>
      <c r="O146" s="167"/>
      <c r="P146" s="167"/>
    </row>
    <row r="147" spans="1:16" x14ac:dyDescent="0.2">
      <c r="A147" s="58" t="e">
        <f t="shared" si="2"/>
        <v>#VALUE!</v>
      </c>
      <c r="B147" s="144" t="str">
        <f>IF(ISBLANK(DaqBook_RAW_Data!AG137),IF(DaqBook_RAW_Data!A137="","",TIMEVALUE(DaqBook_RAW_Data!A137)),TIMEVALUE(DaqBook_RAW_Data!AG137))</f>
        <v/>
      </c>
      <c r="C147" s="167" t="str">
        <f>IF(ISBLANK(DaqBook_RAW_Data!AH137),"",DaqBook_RAW_Data!AH137)</f>
        <v/>
      </c>
      <c r="D147" s="167" t="str">
        <f>IF(ISBLANK(DaqBook_RAW_Data!AI137),"",DaqBook_RAW_Data!AI137)</f>
        <v/>
      </c>
      <c r="E147" s="167" t="str">
        <f>IF(ISBLANK(DaqBook_RAW_Data!AJ137),"",DaqBook_RAW_Data!AJ137)</f>
        <v/>
      </c>
      <c r="F147" s="167" t="str">
        <f>IF(ISBLANK(DaqBook_RAW_Data!AK137),"",DaqBook_RAW_Data!AK137)</f>
        <v/>
      </c>
      <c r="G147" s="167" t="str">
        <f>IF(ISBLANK(DaqBook_RAW_Data!AL137),"",DaqBook_RAW_Data!AL137)</f>
        <v/>
      </c>
      <c r="H147" s="167" t="str">
        <f>IF(ISBLANK(DaqBook_RAW_Data!AM137),"",DaqBook_RAW_Data!AM137)</f>
        <v/>
      </c>
      <c r="I147" s="167" t="str">
        <f>IF(ISBLANK(DaqBook_RAW_Data!AN137),"",DaqBook_RAW_Data!AN137)</f>
        <v/>
      </c>
      <c r="J147" s="167" t="str">
        <f>IF(ISBLANK(DaqBook_RAW_Data!AO137),"",DaqBook_RAW_Data!AO137)</f>
        <v/>
      </c>
      <c r="K147" s="167" t="str">
        <f>IF(ISBLANK(DaqBook_RAW_Data!AP137),"",DaqBook_RAW_Data!AP137)</f>
        <v/>
      </c>
      <c r="L147" s="167" t="str">
        <f>IF(ISBLANK(DaqBook_RAW_Data!AQ137),"",DaqBook_RAW_Data!AQ137)</f>
        <v/>
      </c>
      <c r="M147" s="167" t="str">
        <f>IF(ISBLANK(DaqBook_RAW_Data!AR137),"",DaqBook_RAW_Data!AR137)</f>
        <v/>
      </c>
      <c r="N147" s="167" t="str">
        <f>IF(ISBLANK(DaqBook_RAW_Data!AS137),"",DaqBook_RAW_Data!AS137)</f>
        <v/>
      </c>
      <c r="O147" s="167"/>
      <c r="P147" s="167"/>
    </row>
    <row r="148" spans="1:16" x14ac:dyDescent="0.2">
      <c r="A148" s="58" t="e">
        <f t="shared" si="2"/>
        <v>#VALUE!</v>
      </c>
      <c r="B148" s="144" t="str">
        <f>IF(ISBLANK(DaqBook_RAW_Data!AG138),IF(DaqBook_RAW_Data!A138="","",TIMEVALUE(DaqBook_RAW_Data!A138)),TIMEVALUE(DaqBook_RAW_Data!AG138))</f>
        <v/>
      </c>
      <c r="C148" s="167" t="str">
        <f>IF(ISBLANK(DaqBook_RAW_Data!AH138),"",DaqBook_RAW_Data!AH138)</f>
        <v/>
      </c>
      <c r="D148" s="167" t="str">
        <f>IF(ISBLANK(DaqBook_RAW_Data!AI138),"",DaqBook_RAW_Data!AI138)</f>
        <v/>
      </c>
      <c r="E148" s="167" t="str">
        <f>IF(ISBLANK(DaqBook_RAW_Data!AJ138),"",DaqBook_RAW_Data!AJ138)</f>
        <v/>
      </c>
      <c r="F148" s="167" t="str">
        <f>IF(ISBLANK(DaqBook_RAW_Data!AK138),"",DaqBook_RAW_Data!AK138)</f>
        <v/>
      </c>
      <c r="G148" s="167" t="str">
        <f>IF(ISBLANK(DaqBook_RAW_Data!AL138),"",DaqBook_RAW_Data!AL138)</f>
        <v/>
      </c>
      <c r="H148" s="167" t="str">
        <f>IF(ISBLANK(DaqBook_RAW_Data!AM138),"",DaqBook_RAW_Data!AM138)</f>
        <v/>
      </c>
      <c r="I148" s="167" t="str">
        <f>IF(ISBLANK(DaqBook_RAW_Data!AN138),"",DaqBook_RAW_Data!AN138)</f>
        <v/>
      </c>
      <c r="J148" s="167" t="str">
        <f>IF(ISBLANK(DaqBook_RAW_Data!AO138),"",DaqBook_RAW_Data!AO138)</f>
        <v/>
      </c>
      <c r="K148" s="167" t="str">
        <f>IF(ISBLANK(DaqBook_RAW_Data!AP138),"",DaqBook_RAW_Data!AP138)</f>
        <v/>
      </c>
      <c r="L148" s="167" t="str">
        <f>IF(ISBLANK(DaqBook_RAW_Data!AQ138),"",DaqBook_RAW_Data!AQ138)</f>
        <v/>
      </c>
      <c r="M148" s="167" t="str">
        <f>IF(ISBLANK(DaqBook_RAW_Data!AR138),"",DaqBook_RAW_Data!AR138)</f>
        <v/>
      </c>
      <c r="N148" s="167" t="str">
        <f>IF(ISBLANK(DaqBook_RAW_Data!AS138),"",DaqBook_RAW_Data!AS138)</f>
        <v/>
      </c>
      <c r="O148" s="167"/>
      <c r="P148" s="167"/>
    </row>
    <row r="149" spans="1:16" x14ac:dyDescent="0.2">
      <c r="A149" s="58" t="e">
        <f t="shared" si="2"/>
        <v>#VALUE!</v>
      </c>
      <c r="B149" s="144" t="str">
        <f>IF(ISBLANK(DaqBook_RAW_Data!AG139),IF(DaqBook_RAW_Data!A139="","",TIMEVALUE(DaqBook_RAW_Data!A139)),TIMEVALUE(DaqBook_RAW_Data!AG139))</f>
        <v/>
      </c>
      <c r="C149" s="167" t="str">
        <f>IF(ISBLANK(DaqBook_RAW_Data!AH139),"",DaqBook_RAW_Data!AH139)</f>
        <v/>
      </c>
      <c r="D149" s="167" t="str">
        <f>IF(ISBLANK(DaqBook_RAW_Data!AI139),"",DaqBook_RAW_Data!AI139)</f>
        <v/>
      </c>
      <c r="E149" s="167" t="str">
        <f>IF(ISBLANK(DaqBook_RAW_Data!AJ139),"",DaqBook_RAW_Data!AJ139)</f>
        <v/>
      </c>
      <c r="F149" s="167" t="str">
        <f>IF(ISBLANK(DaqBook_RAW_Data!AK139),"",DaqBook_RAW_Data!AK139)</f>
        <v/>
      </c>
      <c r="G149" s="167" t="str">
        <f>IF(ISBLANK(DaqBook_RAW_Data!AL139),"",DaqBook_RAW_Data!AL139)</f>
        <v/>
      </c>
      <c r="H149" s="167" t="str">
        <f>IF(ISBLANK(DaqBook_RAW_Data!AM139),"",DaqBook_RAW_Data!AM139)</f>
        <v/>
      </c>
      <c r="I149" s="167" t="str">
        <f>IF(ISBLANK(DaqBook_RAW_Data!AN139),"",DaqBook_RAW_Data!AN139)</f>
        <v/>
      </c>
      <c r="J149" s="167" t="str">
        <f>IF(ISBLANK(DaqBook_RAW_Data!AO139),"",DaqBook_RAW_Data!AO139)</f>
        <v/>
      </c>
      <c r="K149" s="167" t="str">
        <f>IF(ISBLANK(DaqBook_RAW_Data!AP139),"",DaqBook_RAW_Data!AP139)</f>
        <v/>
      </c>
      <c r="L149" s="167" t="str">
        <f>IF(ISBLANK(DaqBook_RAW_Data!AQ139),"",DaqBook_RAW_Data!AQ139)</f>
        <v/>
      </c>
      <c r="M149" s="167" t="str">
        <f>IF(ISBLANK(DaqBook_RAW_Data!AR139),"",DaqBook_RAW_Data!AR139)</f>
        <v/>
      </c>
      <c r="N149" s="167" t="str">
        <f>IF(ISBLANK(DaqBook_RAW_Data!AS139),"",DaqBook_RAW_Data!AS139)</f>
        <v/>
      </c>
      <c r="O149" s="167"/>
      <c r="P149" s="167"/>
    </row>
    <row r="150" spans="1:16" x14ac:dyDescent="0.2">
      <c r="A150" s="58" t="e">
        <f t="shared" si="2"/>
        <v>#VALUE!</v>
      </c>
      <c r="B150" s="144" t="str">
        <f>IF(ISBLANK(DaqBook_RAW_Data!AG140),IF(DaqBook_RAW_Data!A140="","",TIMEVALUE(DaqBook_RAW_Data!A140)),TIMEVALUE(DaqBook_RAW_Data!AG140))</f>
        <v/>
      </c>
      <c r="C150" s="167" t="str">
        <f>IF(ISBLANK(DaqBook_RAW_Data!AH140),"",DaqBook_RAW_Data!AH140)</f>
        <v/>
      </c>
      <c r="D150" s="167" t="str">
        <f>IF(ISBLANK(DaqBook_RAW_Data!AI140),"",DaqBook_RAW_Data!AI140)</f>
        <v/>
      </c>
      <c r="E150" s="167" t="str">
        <f>IF(ISBLANK(DaqBook_RAW_Data!AJ140),"",DaqBook_RAW_Data!AJ140)</f>
        <v/>
      </c>
      <c r="F150" s="167" t="str">
        <f>IF(ISBLANK(DaqBook_RAW_Data!AK140),"",DaqBook_RAW_Data!AK140)</f>
        <v/>
      </c>
      <c r="G150" s="167" t="str">
        <f>IF(ISBLANK(DaqBook_RAW_Data!AL140),"",DaqBook_RAW_Data!AL140)</f>
        <v/>
      </c>
      <c r="H150" s="167" t="str">
        <f>IF(ISBLANK(DaqBook_RAW_Data!AM140),"",DaqBook_RAW_Data!AM140)</f>
        <v/>
      </c>
      <c r="I150" s="167" t="str">
        <f>IF(ISBLANK(DaqBook_RAW_Data!AN140),"",DaqBook_RAW_Data!AN140)</f>
        <v/>
      </c>
      <c r="J150" s="167" t="str">
        <f>IF(ISBLANK(DaqBook_RAW_Data!AO140),"",DaqBook_RAW_Data!AO140)</f>
        <v/>
      </c>
      <c r="K150" s="167" t="str">
        <f>IF(ISBLANK(DaqBook_RAW_Data!AP140),"",DaqBook_RAW_Data!AP140)</f>
        <v/>
      </c>
      <c r="L150" s="167" t="str">
        <f>IF(ISBLANK(DaqBook_RAW_Data!AQ140),"",DaqBook_RAW_Data!AQ140)</f>
        <v/>
      </c>
      <c r="M150" s="167" t="str">
        <f>IF(ISBLANK(DaqBook_RAW_Data!AR140),"",DaqBook_RAW_Data!AR140)</f>
        <v/>
      </c>
      <c r="N150" s="167" t="str">
        <f>IF(ISBLANK(DaqBook_RAW_Data!AS140),"",DaqBook_RAW_Data!AS140)</f>
        <v/>
      </c>
      <c r="O150" s="167"/>
      <c r="P150" s="167"/>
    </row>
    <row r="151" spans="1:16" x14ac:dyDescent="0.2">
      <c r="A151" s="58" t="e">
        <f t="shared" si="2"/>
        <v>#VALUE!</v>
      </c>
      <c r="B151" s="144" t="str">
        <f>IF(ISBLANK(DaqBook_RAW_Data!AG141),IF(DaqBook_RAW_Data!A141="","",TIMEVALUE(DaqBook_RAW_Data!A141)),TIMEVALUE(DaqBook_RAW_Data!AG141))</f>
        <v/>
      </c>
      <c r="C151" s="167" t="str">
        <f>IF(ISBLANK(DaqBook_RAW_Data!AH141),"",DaqBook_RAW_Data!AH141)</f>
        <v/>
      </c>
      <c r="D151" s="167" t="str">
        <f>IF(ISBLANK(DaqBook_RAW_Data!AI141),"",DaqBook_RAW_Data!AI141)</f>
        <v/>
      </c>
      <c r="E151" s="167" t="str">
        <f>IF(ISBLANK(DaqBook_RAW_Data!AJ141),"",DaqBook_RAW_Data!AJ141)</f>
        <v/>
      </c>
      <c r="F151" s="167" t="str">
        <f>IF(ISBLANK(DaqBook_RAW_Data!AK141),"",DaqBook_RAW_Data!AK141)</f>
        <v/>
      </c>
      <c r="G151" s="167" t="str">
        <f>IF(ISBLANK(DaqBook_RAW_Data!AL141),"",DaqBook_RAW_Data!AL141)</f>
        <v/>
      </c>
      <c r="H151" s="167" t="str">
        <f>IF(ISBLANK(DaqBook_RAW_Data!AM141),"",DaqBook_RAW_Data!AM141)</f>
        <v/>
      </c>
      <c r="I151" s="167" t="str">
        <f>IF(ISBLANK(DaqBook_RAW_Data!AN141),"",DaqBook_RAW_Data!AN141)</f>
        <v/>
      </c>
      <c r="J151" s="167" t="str">
        <f>IF(ISBLANK(DaqBook_RAW_Data!AO141),"",DaqBook_RAW_Data!AO141)</f>
        <v/>
      </c>
      <c r="K151" s="167" t="str">
        <f>IF(ISBLANK(DaqBook_RAW_Data!AP141),"",DaqBook_RAW_Data!AP141)</f>
        <v/>
      </c>
      <c r="L151" s="167" t="str">
        <f>IF(ISBLANK(DaqBook_RAW_Data!AQ141),"",DaqBook_RAW_Data!AQ141)</f>
        <v/>
      </c>
      <c r="M151" s="167" t="str">
        <f>IF(ISBLANK(DaqBook_RAW_Data!AR141),"",DaqBook_RAW_Data!AR141)</f>
        <v/>
      </c>
      <c r="N151" s="167" t="str">
        <f>IF(ISBLANK(DaqBook_RAW_Data!AS141),"",DaqBook_RAW_Data!AS141)</f>
        <v/>
      </c>
      <c r="O151" s="167"/>
      <c r="P151" s="167"/>
    </row>
    <row r="152" spans="1:16" x14ac:dyDescent="0.2">
      <c r="A152" s="58" t="e">
        <f t="shared" si="2"/>
        <v>#VALUE!</v>
      </c>
      <c r="B152" s="144" t="str">
        <f>IF(ISBLANK(DaqBook_RAW_Data!AG142),IF(DaqBook_RAW_Data!A142="","",TIMEVALUE(DaqBook_RAW_Data!A142)),TIMEVALUE(DaqBook_RAW_Data!AG142))</f>
        <v/>
      </c>
      <c r="C152" s="167" t="str">
        <f>IF(ISBLANK(DaqBook_RAW_Data!AH142),"",DaqBook_RAW_Data!AH142)</f>
        <v/>
      </c>
      <c r="D152" s="167" t="str">
        <f>IF(ISBLANK(DaqBook_RAW_Data!AI142),"",DaqBook_RAW_Data!AI142)</f>
        <v/>
      </c>
      <c r="E152" s="167" t="str">
        <f>IF(ISBLANK(DaqBook_RAW_Data!AJ142),"",DaqBook_RAW_Data!AJ142)</f>
        <v/>
      </c>
      <c r="F152" s="167" t="str">
        <f>IF(ISBLANK(DaqBook_RAW_Data!AK142),"",DaqBook_RAW_Data!AK142)</f>
        <v/>
      </c>
      <c r="G152" s="167" t="str">
        <f>IF(ISBLANK(DaqBook_RAW_Data!AL142),"",DaqBook_RAW_Data!AL142)</f>
        <v/>
      </c>
      <c r="H152" s="167" t="str">
        <f>IF(ISBLANK(DaqBook_RAW_Data!AM142),"",DaqBook_RAW_Data!AM142)</f>
        <v/>
      </c>
      <c r="I152" s="167" t="str">
        <f>IF(ISBLANK(DaqBook_RAW_Data!AN142),"",DaqBook_RAW_Data!AN142)</f>
        <v/>
      </c>
      <c r="J152" s="167" t="str">
        <f>IF(ISBLANK(DaqBook_RAW_Data!AO142),"",DaqBook_RAW_Data!AO142)</f>
        <v/>
      </c>
      <c r="K152" s="167" t="str">
        <f>IF(ISBLANK(DaqBook_RAW_Data!AP142),"",DaqBook_RAW_Data!AP142)</f>
        <v/>
      </c>
      <c r="L152" s="167" t="str">
        <f>IF(ISBLANK(DaqBook_RAW_Data!AQ142),"",DaqBook_RAW_Data!AQ142)</f>
        <v/>
      </c>
      <c r="M152" s="167" t="str">
        <f>IF(ISBLANK(DaqBook_RAW_Data!AR142),"",DaqBook_RAW_Data!AR142)</f>
        <v/>
      </c>
      <c r="N152" s="167" t="str">
        <f>IF(ISBLANK(DaqBook_RAW_Data!AS142),"",DaqBook_RAW_Data!AS142)</f>
        <v/>
      </c>
      <c r="O152" s="167"/>
      <c r="P152" s="167"/>
    </row>
    <row r="153" spans="1:16" x14ac:dyDescent="0.2">
      <c r="A153" s="58" t="e">
        <f t="shared" si="2"/>
        <v>#VALUE!</v>
      </c>
      <c r="B153" s="144" t="str">
        <f>IF(ISBLANK(DaqBook_RAW_Data!AG143),IF(DaqBook_RAW_Data!A143="","",TIMEVALUE(DaqBook_RAW_Data!A143)),TIMEVALUE(DaqBook_RAW_Data!AG143))</f>
        <v/>
      </c>
      <c r="C153" s="167" t="str">
        <f>IF(ISBLANK(DaqBook_RAW_Data!AH143),"",DaqBook_RAW_Data!AH143)</f>
        <v/>
      </c>
      <c r="D153" s="167" t="str">
        <f>IF(ISBLANK(DaqBook_RAW_Data!AI143),"",DaqBook_RAW_Data!AI143)</f>
        <v/>
      </c>
      <c r="E153" s="167" t="str">
        <f>IF(ISBLANK(DaqBook_RAW_Data!AJ143),"",DaqBook_RAW_Data!AJ143)</f>
        <v/>
      </c>
      <c r="F153" s="167" t="str">
        <f>IF(ISBLANK(DaqBook_RAW_Data!AK143),"",DaqBook_RAW_Data!AK143)</f>
        <v/>
      </c>
      <c r="G153" s="167" t="str">
        <f>IF(ISBLANK(DaqBook_RAW_Data!AL143),"",DaqBook_RAW_Data!AL143)</f>
        <v/>
      </c>
      <c r="H153" s="167" t="str">
        <f>IF(ISBLANK(DaqBook_RAW_Data!AM143),"",DaqBook_RAW_Data!AM143)</f>
        <v/>
      </c>
      <c r="I153" s="167" t="str">
        <f>IF(ISBLANK(DaqBook_RAW_Data!AN143),"",DaqBook_RAW_Data!AN143)</f>
        <v/>
      </c>
      <c r="J153" s="167" t="str">
        <f>IF(ISBLANK(DaqBook_RAW_Data!AO143),"",DaqBook_RAW_Data!AO143)</f>
        <v/>
      </c>
      <c r="K153" s="167" t="str">
        <f>IF(ISBLANK(DaqBook_RAW_Data!AP143),"",DaqBook_RAW_Data!AP143)</f>
        <v/>
      </c>
      <c r="L153" s="167" t="str">
        <f>IF(ISBLANK(DaqBook_RAW_Data!AQ143),"",DaqBook_RAW_Data!AQ143)</f>
        <v/>
      </c>
      <c r="M153" s="167" t="str">
        <f>IF(ISBLANK(DaqBook_RAW_Data!AR143),"",DaqBook_RAW_Data!AR143)</f>
        <v/>
      </c>
      <c r="N153" s="167" t="str">
        <f>IF(ISBLANK(DaqBook_RAW_Data!AS143),"",DaqBook_RAW_Data!AS143)</f>
        <v/>
      </c>
      <c r="O153" s="167"/>
      <c r="P153" s="167"/>
    </row>
    <row r="154" spans="1:16" x14ac:dyDescent="0.2">
      <c r="A154" s="58" t="e">
        <f t="shared" si="2"/>
        <v>#VALUE!</v>
      </c>
      <c r="B154" s="144" t="str">
        <f>IF(ISBLANK(DaqBook_RAW_Data!AG144),IF(DaqBook_RAW_Data!A144="","",TIMEVALUE(DaqBook_RAW_Data!A144)),TIMEVALUE(DaqBook_RAW_Data!AG144))</f>
        <v/>
      </c>
      <c r="C154" s="167" t="str">
        <f>IF(ISBLANK(DaqBook_RAW_Data!AH144),"",DaqBook_RAW_Data!AH144)</f>
        <v/>
      </c>
      <c r="D154" s="167" t="str">
        <f>IF(ISBLANK(DaqBook_RAW_Data!AI144),"",DaqBook_RAW_Data!AI144)</f>
        <v/>
      </c>
      <c r="E154" s="167" t="str">
        <f>IF(ISBLANK(DaqBook_RAW_Data!AJ144),"",DaqBook_RAW_Data!AJ144)</f>
        <v/>
      </c>
      <c r="F154" s="167" t="str">
        <f>IF(ISBLANK(DaqBook_RAW_Data!AK144),"",DaqBook_RAW_Data!AK144)</f>
        <v/>
      </c>
      <c r="G154" s="167" t="str">
        <f>IF(ISBLANK(DaqBook_RAW_Data!AL144),"",DaqBook_RAW_Data!AL144)</f>
        <v/>
      </c>
      <c r="H154" s="167" t="str">
        <f>IF(ISBLANK(DaqBook_RAW_Data!AM144),"",DaqBook_RAW_Data!AM144)</f>
        <v/>
      </c>
      <c r="I154" s="167" t="str">
        <f>IF(ISBLANK(DaqBook_RAW_Data!AN144),"",DaqBook_RAW_Data!AN144)</f>
        <v/>
      </c>
      <c r="J154" s="167" t="str">
        <f>IF(ISBLANK(DaqBook_RAW_Data!AO144),"",DaqBook_RAW_Data!AO144)</f>
        <v/>
      </c>
      <c r="K154" s="167" t="str">
        <f>IF(ISBLANK(DaqBook_RAW_Data!AP144),"",DaqBook_RAW_Data!AP144)</f>
        <v/>
      </c>
      <c r="L154" s="167" t="str">
        <f>IF(ISBLANK(DaqBook_RAW_Data!AQ144),"",DaqBook_RAW_Data!AQ144)</f>
        <v/>
      </c>
      <c r="M154" s="167" t="str">
        <f>IF(ISBLANK(DaqBook_RAW_Data!AR144),"",DaqBook_RAW_Data!AR144)</f>
        <v/>
      </c>
      <c r="N154" s="167" t="str">
        <f>IF(ISBLANK(DaqBook_RAW_Data!AS144),"",DaqBook_RAW_Data!AS144)</f>
        <v/>
      </c>
      <c r="O154" s="167"/>
      <c r="P154" s="167"/>
    </row>
    <row r="155" spans="1:16" x14ac:dyDescent="0.2">
      <c r="A155" s="58" t="e">
        <f t="shared" si="2"/>
        <v>#VALUE!</v>
      </c>
      <c r="B155" s="144" t="str">
        <f>IF(ISBLANK(DaqBook_RAW_Data!AG145),IF(DaqBook_RAW_Data!A145="","",TIMEVALUE(DaqBook_RAW_Data!A145)),TIMEVALUE(DaqBook_RAW_Data!AG145))</f>
        <v/>
      </c>
      <c r="C155" s="167" t="str">
        <f>IF(ISBLANK(DaqBook_RAW_Data!AH145),"",DaqBook_RAW_Data!AH145)</f>
        <v/>
      </c>
      <c r="D155" s="167" t="str">
        <f>IF(ISBLANK(DaqBook_RAW_Data!AI145),"",DaqBook_RAW_Data!AI145)</f>
        <v/>
      </c>
      <c r="E155" s="167" t="str">
        <f>IF(ISBLANK(DaqBook_RAW_Data!AJ145),"",DaqBook_RAW_Data!AJ145)</f>
        <v/>
      </c>
      <c r="F155" s="167" t="str">
        <f>IF(ISBLANK(DaqBook_RAW_Data!AK145),"",DaqBook_RAW_Data!AK145)</f>
        <v/>
      </c>
      <c r="G155" s="167" t="str">
        <f>IF(ISBLANK(DaqBook_RAW_Data!AL145),"",DaqBook_RAW_Data!AL145)</f>
        <v/>
      </c>
      <c r="H155" s="167" t="str">
        <f>IF(ISBLANK(DaqBook_RAW_Data!AM145),"",DaqBook_RAW_Data!AM145)</f>
        <v/>
      </c>
      <c r="I155" s="167" t="str">
        <f>IF(ISBLANK(DaqBook_RAW_Data!AN145),"",DaqBook_RAW_Data!AN145)</f>
        <v/>
      </c>
      <c r="J155" s="167" t="str">
        <f>IF(ISBLANK(DaqBook_RAW_Data!AO145),"",DaqBook_RAW_Data!AO145)</f>
        <v/>
      </c>
      <c r="K155" s="167" t="str">
        <f>IF(ISBLANK(DaqBook_RAW_Data!AP145),"",DaqBook_RAW_Data!AP145)</f>
        <v/>
      </c>
      <c r="L155" s="167" t="str">
        <f>IF(ISBLANK(DaqBook_RAW_Data!AQ145),"",DaqBook_RAW_Data!AQ145)</f>
        <v/>
      </c>
      <c r="M155" s="167" t="str">
        <f>IF(ISBLANK(DaqBook_RAW_Data!AR145),"",DaqBook_RAW_Data!AR145)</f>
        <v/>
      </c>
      <c r="N155" s="167" t="str">
        <f>IF(ISBLANK(DaqBook_RAW_Data!AS145),"",DaqBook_RAW_Data!AS145)</f>
        <v/>
      </c>
      <c r="O155" s="167"/>
      <c r="P155" s="167"/>
    </row>
    <row r="156" spans="1:16" x14ac:dyDescent="0.2">
      <c r="A156" s="58" t="e">
        <f t="shared" si="2"/>
        <v>#VALUE!</v>
      </c>
      <c r="B156" s="144" t="str">
        <f>IF(ISBLANK(DaqBook_RAW_Data!AG146),IF(DaqBook_RAW_Data!A146="","",TIMEVALUE(DaqBook_RAW_Data!A146)),TIMEVALUE(DaqBook_RAW_Data!AG146))</f>
        <v/>
      </c>
      <c r="C156" s="167" t="str">
        <f>IF(ISBLANK(DaqBook_RAW_Data!AH146),"",DaqBook_RAW_Data!AH146)</f>
        <v/>
      </c>
      <c r="D156" s="167" t="str">
        <f>IF(ISBLANK(DaqBook_RAW_Data!AI146),"",DaqBook_RAW_Data!AI146)</f>
        <v/>
      </c>
      <c r="E156" s="167" t="str">
        <f>IF(ISBLANK(DaqBook_RAW_Data!AJ146),"",DaqBook_RAW_Data!AJ146)</f>
        <v/>
      </c>
      <c r="F156" s="167" t="str">
        <f>IF(ISBLANK(DaqBook_RAW_Data!AK146),"",DaqBook_RAW_Data!AK146)</f>
        <v/>
      </c>
      <c r="G156" s="167" t="str">
        <f>IF(ISBLANK(DaqBook_RAW_Data!AL146),"",DaqBook_RAW_Data!AL146)</f>
        <v/>
      </c>
      <c r="H156" s="167" t="str">
        <f>IF(ISBLANK(DaqBook_RAW_Data!AM146),"",DaqBook_RAW_Data!AM146)</f>
        <v/>
      </c>
      <c r="I156" s="167" t="str">
        <f>IF(ISBLANK(DaqBook_RAW_Data!AN146),"",DaqBook_RAW_Data!AN146)</f>
        <v/>
      </c>
      <c r="J156" s="167" t="str">
        <f>IF(ISBLANK(DaqBook_RAW_Data!AO146),"",DaqBook_RAW_Data!AO146)</f>
        <v/>
      </c>
      <c r="K156" s="167" t="str">
        <f>IF(ISBLANK(DaqBook_RAW_Data!AP146),"",DaqBook_RAW_Data!AP146)</f>
        <v/>
      </c>
      <c r="L156" s="167" t="str">
        <f>IF(ISBLANK(DaqBook_RAW_Data!AQ146),"",DaqBook_RAW_Data!AQ146)</f>
        <v/>
      </c>
      <c r="M156" s="167" t="str">
        <f>IF(ISBLANK(DaqBook_RAW_Data!AR146),"",DaqBook_RAW_Data!AR146)</f>
        <v/>
      </c>
      <c r="N156" s="167" t="str">
        <f>IF(ISBLANK(DaqBook_RAW_Data!AS146),"",DaqBook_RAW_Data!AS146)</f>
        <v/>
      </c>
      <c r="O156" s="167"/>
      <c r="P156" s="167"/>
    </row>
    <row r="157" spans="1:16" x14ac:dyDescent="0.2">
      <c r="A157" s="58" t="e">
        <f t="shared" si="2"/>
        <v>#VALUE!</v>
      </c>
      <c r="B157" s="144" t="str">
        <f>IF(ISBLANK(DaqBook_RAW_Data!AG147),IF(DaqBook_RAW_Data!A147="","",TIMEVALUE(DaqBook_RAW_Data!A147)),TIMEVALUE(DaqBook_RAW_Data!AG147))</f>
        <v/>
      </c>
      <c r="C157" s="167" t="str">
        <f>IF(ISBLANK(DaqBook_RAW_Data!AH147),"",DaqBook_RAW_Data!AH147)</f>
        <v/>
      </c>
      <c r="D157" s="167" t="str">
        <f>IF(ISBLANK(DaqBook_RAW_Data!AI147),"",DaqBook_RAW_Data!AI147)</f>
        <v/>
      </c>
      <c r="E157" s="167" t="str">
        <f>IF(ISBLANK(DaqBook_RAW_Data!AJ147),"",DaqBook_RAW_Data!AJ147)</f>
        <v/>
      </c>
      <c r="F157" s="167" t="str">
        <f>IF(ISBLANK(DaqBook_RAW_Data!AK147),"",DaqBook_RAW_Data!AK147)</f>
        <v/>
      </c>
      <c r="G157" s="167" t="str">
        <f>IF(ISBLANK(DaqBook_RAW_Data!AL147),"",DaqBook_RAW_Data!AL147)</f>
        <v/>
      </c>
      <c r="H157" s="167" t="str">
        <f>IF(ISBLANK(DaqBook_RAW_Data!AM147),"",DaqBook_RAW_Data!AM147)</f>
        <v/>
      </c>
      <c r="I157" s="167" t="str">
        <f>IF(ISBLANK(DaqBook_RAW_Data!AN147),"",DaqBook_RAW_Data!AN147)</f>
        <v/>
      </c>
      <c r="J157" s="167" t="str">
        <f>IF(ISBLANK(DaqBook_RAW_Data!AO147),"",DaqBook_RAW_Data!AO147)</f>
        <v/>
      </c>
      <c r="K157" s="167" t="str">
        <f>IF(ISBLANK(DaqBook_RAW_Data!AP147),"",DaqBook_RAW_Data!AP147)</f>
        <v/>
      </c>
      <c r="L157" s="167" t="str">
        <f>IF(ISBLANK(DaqBook_RAW_Data!AQ147),"",DaqBook_RAW_Data!AQ147)</f>
        <v/>
      </c>
      <c r="M157" s="167" t="str">
        <f>IF(ISBLANK(DaqBook_RAW_Data!AR147),"",DaqBook_RAW_Data!AR147)</f>
        <v/>
      </c>
      <c r="N157" s="167" t="str">
        <f>IF(ISBLANK(DaqBook_RAW_Data!AS147),"",DaqBook_RAW_Data!AS147)</f>
        <v/>
      </c>
      <c r="O157" s="167"/>
      <c r="P157" s="167"/>
    </row>
    <row r="158" spans="1:16" x14ac:dyDescent="0.2">
      <c r="A158" s="58" t="e">
        <f t="shared" si="2"/>
        <v>#VALUE!</v>
      </c>
      <c r="B158" s="144" t="str">
        <f>IF(ISBLANK(DaqBook_RAW_Data!AG148),IF(DaqBook_RAW_Data!A148="","",TIMEVALUE(DaqBook_RAW_Data!A148)),TIMEVALUE(DaqBook_RAW_Data!AG148))</f>
        <v/>
      </c>
      <c r="C158" s="167" t="str">
        <f>IF(ISBLANK(DaqBook_RAW_Data!AH148),"",DaqBook_RAW_Data!AH148)</f>
        <v/>
      </c>
      <c r="D158" s="167" t="str">
        <f>IF(ISBLANK(DaqBook_RAW_Data!AI148),"",DaqBook_RAW_Data!AI148)</f>
        <v/>
      </c>
      <c r="E158" s="167" t="str">
        <f>IF(ISBLANK(DaqBook_RAW_Data!AJ148),"",DaqBook_RAW_Data!AJ148)</f>
        <v/>
      </c>
      <c r="F158" s="167" t="str">
        <f>IF(ISBLANK(DaqBook_RAW_Data!AK148),"",DaqBook_RAW_Data!AK148)</f>
        <v/>
      </c>
      <c r="G158" s="167" t="str">
        <f>IF(ISBLANK(DaqBook_RAW_Data!AL148),"",DaqBook_RAW_Data!AL148)</f>
        <v/>
      </c>
      <c r="H158" s="167" t="str">
        <f>IF(ISBLANK(DaqBook_RAW_Data!AM148),"",DaqBook_RAW_Data!AM148)</f>
        <v/>
      </c>
      <c r="I158" s="167" t="str">
        <f>IF(ISBLANK(DaqBook_RAW_Data!AN148),"",DaqBook_RAW_Data!AN148)</f>
        <v/>
      </c>
      <c r="J158" s="167" t="str">
        <f>IF(ISBLANK(DaqBook_RAW_Data!AO148),"",DaqBook_RAW_Data!AO148)</f>
        <v/>
      </c>
      <c r="K158" s="167" t="str">
        <f>IF(ISBLANK(DaqBook_RAW_Data!AP148),"",DaqBook_RAW_Data!AP148)</f>
        <v/>
      </c>
      <c r="L158" s="167" t="str">
        <f>IF(ISBLANK(DaqBook_RAW_Data!AQ148),"",DaqBook_RAW_Data!AQ148)</f>
        <v/>
      </c>
      <c r="M158" s="167" t="str">
        <f>IF(ISBLANK(DaqBook_RAW_Data!AR148),"",DaqBook_RAW_Data!AR148)</f>
        <v/>
      </c>
      <c r="N158" s="167" t="str">
        <f>IF(ISBLANK(DaqBook_RAW_Data!AS148),"",DaqBook_RAW_Data!AS148)</f>
        <v/>
      </c>
      <c r="O158" s="167"/>
      <c r="P158" s="167"/>
    </row>
    <row r="159" spans="1:16" x14ac:dyDescent="0.2">
      <c r="A159" s="58" t="e">
        <f t="shared" si="2"/>
        <v>#VALUE!</v>
      </c>
      <c r="B159" s="144" t="str">
        <f>IF(ISBLANK(DaqBook_RAW_Data!AG149),IF(DaqBook_RAW_Data!A149="","",TIMEVALUE(DaqBook_RAW_Data!A149)),TIMEVALUE(DaqBook_RAW_Data!AG149))</f>
        <v/>
      </c>
      <c r="C159" s="167" t="str">
        <f>IF(ISBLANK(DaqBook_RAW_Data!AH149),"",DaqBook_RAW_Data!AH149)</f>
        <v/>
      </c>
      <c r="D159" s="167" t="str">
        <f>IF(ISBLANK(DaqBook_RAW_Data!AI149),"",DaqBook_RAW_Data!AI149)</f>
        <v/>
      </c>
      <c r="E159" s="167" t="str">
        <f>IF(ISBLANK(DaqBook_RAW_Data!AJ149),"",DaqBook_RAW_Data!AJ149)</f>
        <v/>
      </c>
      <c r="F159" s="167" t="str">
        <f>IF(ISBLANK(DaqBook_RAW_Data!AK149),"",DaqBook_RAW_Data!AK149)</f>
        <v/>
      </c>
      <c r="G159" s="167" t="str">
        <f>IF(ISBLANK(DaqBook_RAW_Data!AL149),"",DaqBook_RAW_Data!AL149)</f>
        <v/>
      </c>
      <c r="H159" s="167" t="str">
        <f>IF(ISBLANK(DaqBook_RAW_Data!AM149),"",DaqBook_RAW_Data!AM149)</f>
        <v/>
      </c>
      <c r="I159" s="167" t="str">
        <f>IF(ISBLANK(DaqBook_RAW_Data!AN149),"",DaqBook_RAW_Data!AN149)</f>
        <v/>
      </c>
      <c r="J159" s="167" t="str">
        <f>IF(ISBLANK(DaqBook_RAW_Data!AO149),"",DaqBook_RAW_Data!AO149)</f>
        <v/>
      </c>
      <c r="K159" s="167" t="str">
        <f>IF(ISBLANK(DaqBook_RAW_Data!AP149),"",DaqBook_RAW_Data!AP149)</f>
        <v/>
      </c>
      <c r="L159" s="167" t="str">
        <f>IF(ISBLANK(DaqBook_RAW_Data!AQ149),"",DaqBook_RAW_Data!AQ149)</f>
        <v/>
      </c>
      <c r="M159" s="167" t="str">
        <f>IF(ISBLANK(DaqBook_RAW_Data!AR149),"",DaqBook_RAW_Data!AR149)</f>
        <v/>
      </c>
      <c r="N159" s="167" t="str">
        <f>IF(ISBLANK(DaqBook_RAW_Data!AS149),"",DaqBook_RAW_Data!AS149)</f>
        <v/>
      </c>
      <c r="O159" s="167"/>
      <c r="P159" s="167"/>
    </row>
    <row r="160" spans="1:16" x14ac:dyDescent="0.2">
      <c r="A160" s="58" t="e">
        <f t="shared" si="2"/>
        <v>#VALUE!</v>
      </c>
      <c r="B160" s="144" t="str">
        <f>IF(ISBLANK(DaqBook_RAW_Data!AG150),IF(DaqBook_RAW_Data!A150="","",TIMEVALUE(DaqBook_RAW_Data!A150)),TIMEVALUE(DaqBook_RAW_Data!AG150))</f>
        <v/>
      </c>
      <c r="C160" s="167" t="str">
        <f>IF(ISBLANK(DaqBook_RAW_Data!AH150),"",DaqBook_RAW_Data!AH150)</f>
        <v/>
      </c>
      <c r="D160" s="167" t="str">
        <f>IF(ISBLANK(DaqBook_RAW_Data!AI150),"",DaqBook_RAW_Data!AI150)</f>
        <v/>
      </c>
      <c r="E160" s="167" t="str">
        <f>IF(ISBLANK(DaqBook_RAW_Data!AJ150),"",DaqBook_RAW_Data!AJ150)</f>
        <v/>
      </c>
      <c r="F160" s="167" t="str">
        <f>IF(ISBLANK(DaqBook_RAW_Data!AK150),"",DaqBook_RAW_Data!AK150)</f>
        <v/>
      </c>
      <c r="G160" s="167" t="str">
        <f>IF(ISBLANK(DaqBook_RAW_Data!AL150),"",DaqBook_RAW_Data!AL150)</f>
        <v/>
      </c>
      <c r="H160" s="167" t="str">
        <f>IF(ISBLANK(DaqBook_RAW_Data!AM150),"",DaqBook_RAW_Data!AM150)</f>
        <v/>
      </c>
      <c r="I160" s="167" t="str">
        <f>IF(ISBLANK(DaqBook_RAW_Data!AN150),"",DaqBook_RAW_Data!AN150)</f>
        <v/>
      </c>
      <c r="J160" s="167" t="str">
        <f>IF(ISBLANK(DaqBook_RAW_Data!AO150),"",DaqBook_RAW_Data!AO150)</f>
        <v/>
      </c>
      <c r="K160" s="167" t="str">
        <f>IF(ISBLANK(DaqBook_RAW_Data!AP150),"",DaqBook_RAW_Data!AP150)</f>
        <v/>
      </c>
      <c r="L160" s="167" t="str">
        <f>IF(ISBLANK(DaqBook_RAW_Data!AQ150),"",DaqBook_RAW_Data!AQ150)</f>
        <v/>
      </c>
      <c r="M160" s="167" t="str">
        <f>IF(ISBLANK(DaqBook_RAW_Data!AR150),"",DaqBook_RAW_Data!AR150)</f>
        <v/>
      </c>
      <c r="N160" s="167" t="str">
        <f>IF(ISBLANK(DaqBook_RAW_Data!AS150),"",DaqBook_RAW_Data!AS150)</f>
        <v/>
      </c>
      <c r="O160" s="167"/>
      <c r="P160" s="167"/>
    </row>
    <row r="161" spans="1:16" x14ac:dyDescent="0.2">
      <c r="A161" s="58" t="e">
        <f t="shared" si="2"/>
        <v>#VALUE!</v>
      </c>
      <c r="B161" s="144" t="str">
        <f>IF(ISBLANK(DaqBook_RAW_Data!AG151),IF(DaqBook_RAW_Data!A151="","",TIMEVALUE(DaqBook_RAW_Data!A151)),TIMEVALUE(DaqBook_RAW_Data!AG151))</f>
        <v/>
      </c>
      <c r="C161" s="167" t="str">
        <f>IF(ISBLANK(DaqBook_RAW_Data!AH151),"",DaqBook_RAW_Data!AH151)</f>
        <v/>
      </c>
      <c r="D161" s="167" t="str">
        <f>IF(ISBLANK(DaqBook_RAW_Data!AI151),"",DaqBook_RAW_Data!AI151)</f>
        <v/>
      </c>
      <c r="E161" s="167" t="str">
        <f>IF(ISBLANK(DaqBook_RAW_Data!AJ151),"",DaqBook_RAW_Data!AJ151)</f>
        <v/>
      </c>
      <c r="F161" s="167" t="str">
        <f>IF(ISBLANK(DaqBook_RAW_Data!AK151),"",DaqBook_RAW_Data!AK151)</f>
        <v/>
      </c>
      <c r="G161" s="167" t="str">
        <f>IF(ISBLANK(DaqBook_RAW_Data!AL151),"",DaqBook_RAW_Data!AL151)</f>
        <v/>
      </c>
      <c r="H161" s="167" t="str">
        <f>IF(ISBLANK(DaqBook_RAW_Data!AM151),"",DaqBook_RAW_Data!AM151)</f>
        <v/>
      </c>
      <c r="I161" s="167" t="str">
        <f>IF(ISBLANK(DaqBook_RAW_Data!AN151),"",DaqBook_RAW_Data!AN151)</f>
        <v/>
      </c>
      <c r="J161" s="167" t="str">
        <f>IF(ISBLANK(DaqBook_RAW_Data!AO151),"",DaqBook_RAW_Data!AO151)</f>
        <v/>
      </c>
      <c r="K161" s="167" t="str">
        <f>IF(ISBLANK(DaqBook_RAW_Data!AP151),"",DaqBook_RAW_Data!AP151)</f>
        <v/>
      </c>
      <c r="L161" s="167" t="str">
        <f>IF(ISBLANK(DaqBook_RAW_Data!AQ151),"",DaqBook_RAW_Data!AQ151)</f>
        <v/>
      </c>
      <c r="M161" s="167" t="str">
        <f>IF(ISBLANK(DaqBook_RAW_Data!AR151),"",DaqBook_RAW_Data!AR151)</f>
        <v/>
      </c>
      <c r="N161" s="167" t="str">
        <f>IF(ISBLANK(DaqBook_RAW_Data!AS151),"",DaqBook_RAW_Data!AS151)</f>
        <v/>
      </c>
      <c r="O161" s="167"/>
      <c r="P161" s="167"/>
    </row>
    <row r="162" spans="1:16" x14ac:dyDescent="0.2">
      <c r="A162" s="58" t="e">
        <f t="shared" si="2"/>
        <v>#VALUE!</v>
      </c>
      <c r="B162" s="144" t="str">
        <f>IF(ISBLANK(DaqBook_RAW_Data!AG152),IF(DaqBook_RAW_Data!A152="","",TIMEVALUE(DaqBook_RAW_Data!A152)),TIMEVALUE(DaqBook_RAW_Data!AG152))</f>
        <v/>
      </c>
      <c r="C162" s="167" t="str">
        <f>IF(ISBLANK(DaqBook_RAW_Data!AH152),"",DaqBook_RAW_Data!AH152)</f>
        <v/>
      </c>
      <c r="D162" s="167" t="str">
        <f>IF(ISBLANK(DaqBook_RAW_Data!AI152),"",DaqBook_RAW_Data!AI152)</f>
        <v/>
      </c>
      <c r="E162" s="167" t="str">
        <f>IF(ISBLANK(DaqBook_RAW_Data!AJ152),"",DaqBook_RAW_Data!AJ152)</f>
        <v/>
      </c>
      <c r="F162" s="167" t="str">
        <f>IF(ISBLANK(DaqBook_RAW_Data!AK152),"",DaqBook_RAW_Data!AK152)</f>
        <v/>
      </c>
      <c r="G162" s="167" t="str">
        <f>IF(ISBLANK(DaqBook_RAW_Data!AL152),"",DaqBook_RAW_Data!AL152)</f>
        <v/>
      </c>
      <c r="H162" s="167" t="str">
        <f>IF(ISBLANK(DaqBook_RAW_Data!AM152),"",DaqBook_RAW_Data!AM152)</f>
        <v/>
      </c>
      <c r="I162" s="167" t="str">
        <f>IF(ISBLANK(DaqBook_RAW_Data!AN152),"",DaqBook_RAW_Data!AN152)</f>
        <v/>
      </c>
      <c r="J162" s="167" t="str">
        <f>IF(ISBLANK(DaqBook_RAW_Data!AO152),"",DaqBook_RAW_Data!AO152)</f>
        <v/>
      </c>
      <c r="K162" s="167" t="str">
        <f>IF(ISBLANK(DaqBook_RAW_Data!AP152),"",DaqBook_RAW_Data!AP152)</f>
        <v/>
      </c>
      <c r="L162" s="167" t="str">
        <f>IF(ISBLANK(DaqBook_RAW_Data!AQ152),"",DaqBook_RAW_Data!AQ152)</f>
        <v/>
      </c>
      <c r="M162" s="167" t="str">
        <f>IF(ISBLANK(DaqBook_RAW_Data!AR152),"",DaqBook_RAW_Data!AR152)</f>
        <v/>
      </c>
      <c r="N162" s="167" t="str">
        <f>IF(ISBLANK(DaqBook_RAW_Data!AS152),"",DaqBook_RAW_Data!AS152)</f>
        <v/>
      </c>
      <c r="O162" s="167"/>
      <c r="P162" s="167"/>
    </row>
    <row r="163" spans="1:16" x14ac:dyDescent="0.2">
      <c r="A163" s="58" t="e">
        <f t="shared" si="2"/>
        <v>#VALUE!</v>
      </c>
      <c r="B163" s="144" t="str">
        <f>IF(ISBLANK(DaqBook_RAW_Data!AG153),IF(DaqBook_RAW_Data!A153="","",TIMEVALUE(DaqBook_RAW_Data!A153)),TIMEVALUE(DaqBook_RAW_Data!AG153))</f>
        <v/>
      </c>
      <c r="C163" s="167" t="str">
        <f>IF(ISBLANK(DaqBook_RAW_Data!AH153),"",DaqBook_RAW_Data!AH153)</f>
        <v/>
      </c>
      <c r="D163" s="167" t="str">
        <f>IF(ISBLANK(DaqBook_RAW_Data!AI153),"",DaqBook_RAW_Data!AI153)</f>
        <v/>
      </c>
      <c r="E163" s="167" t="str">
        <f>IF(ISBLANK(DaqBook_RAW_Data!AJ153),"",DaqBook_RAW_Data!AJ153)</f>
        <v/>
      </c>
      <c r="F163" s="167" t="str">
        <f>IF(ISBLANK(DaqBook_RAW_Data!AK153),"",DaqBook_RAW_Data!AK153)</f>
        <v/>
      </c>
      <c r="G163" s="167" t="str">
        <f>IF(ISBLANK(DaqBook_RAW_Data!AL153),"",DaqBook_RAW_Data!AL153)</f>
        <v/>
      </c>
      <c r="H163" s="167" t="str">
        <f>IF(ISBLANK(DaqBook_RAW_Data!AM153),"",DaqBook_RAW_Data!AM153)</f>
        <v/>
      </c>
      <c r="I163" s="167" t="str">
        <f>IF(ISBLANK(DaqBook_RAW_Data!AN153),"",DaqBook_RAW_Data!AN153)</f>
        <v/>
      </c>
      <c r="J163" s="167" t="str">
        <f>IF(ISBLANK(DaqBook_RAW_Data!AO153),"",DaqBook_RAW_Data!AO153)</f>
        <v/>
      </c>
      <c r="K163" s="167" t="str">
        <f>IF(ISBLANK(DaqBook_RAW_Data!AP153),"",DaqBook_RAW_Data!AP153)</f>
        <v/>
      </c>
      <c r="L163" s="167" t="str">
        <f>IF(ISBLANK(DaqBook_RAW_Data!AQ153),"",DaqBook_RAW_Data!AQ153)</f>
        <v/>
      </c>
      <c r="M163" s="167" t="str">
        <f>IF(ISBLANK(DaqBook_RAW_Data!AR153),"",DaqBook_RAW_Data!AR153)</f>
        <v/>
      </c>
      <c r="N163" s="167" t="str">
        <f>IF(ISBLANK(DaqBook_RAW_Data!AS153),"",DaqBook_RAW_Data!AS153)</f>
        <v/>
      </c>
      <c r="O163" s="167"/>
      <c r="P163" s="167"/>
    </row>
    <row r="164" spans="1:16" x14ac:dyDescent="0.2">
      <c r="A164" s="58" t="e">
        <f t="shared" si="2"/>
        <v>#VALUE!</v>
      </c>
      <c r="B164" s="144" t="str">
        <f>IF(ISBLANK(DaqBook_RAW_Data!AG154),IF(DaqBook_RAW_Data!A154="","",TIMEVALUE(DaqBook_RAW_Data!A154)),TIMEVALUE(DaqBook_RAW_Data!AG154))</f>
        <v/>
      </c>
      <c r="C164" s="167" t="str">
        <f>IF(ISBLANK(DaqBook_RAW_Data!AH154),"",DaqBook_RAW_Data!AH154)</f>
        <v/>
      </c>
      <c r="D164" s="167" t="str">
        <f>IF(ISBLANK(DaqBook_RAW_Data!AI154),"",DaqBook_RAW_Data!AI154)</f>
        <v/>
      </c>
      <c r="E164" s="167" t="str">
        <f>IF(ISBLANK(DaqBook_RAW_Data!AJ154),"",DaqBook_RAW_Data!AJ154)</f>
        <v/>
      </c>
      <c r="F164" s="167" t="str">
        <f>IF(ISBLANK(DaqBook_RAW_Data!AK154),"",DaqBook_RAW_Data!AK154)</f>
        <v/>
      </c>
      <c r="G164" s="167" t="str">
        <f>IF(ISBLANK(DaqBook_RAW_Data!AL154),"",DaqBook_RAW_Data!AL154)</f>
        <v/>
      </c>
      <c r="H164" s="167" t="str">
        <f>IF(ISBLANK(DaqBook_RAW_Data!AM154),"",DaqBook_RAW_Data!AM154)</f>
        <v/>
      </c>
      <c r="I164" s="167" t="str">
        <f>IF(ISBLANK(DaqBook_RAW_Data!AN154),"",DaqBook_RAW_Data!AN154)</f>
        <v/>
      </c>
      <c r="J164" s="167" t="str">
        <f>IF(ISBLANK(DaqBook_RAW_Data!AO154),"",DaqBook_RAW_Data!AO154)</f>
        <v/>
      </c>
      <c r="K164" s="167" t="str">
        <f>IF(ISBLANK(DaqBook_RAW_Data!AP154),"",DaqBook_RAW_Data!AP154)</f>
        <v/>
      </c>
      <c r="L164" s="167" t="str">
        <f>IF(ISBLANK(DaqBook_RAW_Data!AQ154),"",DaqBook_RAW_Data!AQ154)</f>
        <v/>
      </c>
      <c r="M164" s="167" t="str">
        <f>IF(ISBLANK(DaqBook_RAW_Data!AR154),"",DaqBook_RAW_Data!AR154)</f>
        <v/>
      </c>
      <c r="N164" s="167" t="str">
        <f>IF(ISBLANK(DaqBook_RAW_Data!AS154),"",DaqBook_RAW_Data!AS154)</f>
        <v/>
      </c>
      <c r="O164" s="167"/>
      <c r="P164" s="167"/>
    </row>
    <row r="165" spans="1:16" x14ac:dyDescent="0.2">
      <c r="A165" s="58" t="e">
        <f t="shared" si="2"/>
        <v>#VALUE!</v>
      </c>
      <c r="B165" s="144" t="str">
        <f>IF(ISBLANK(DaqBook_RAW_Data!AG155),IF(DaqBook_RAW_Data!A155="","",TIMEVALUE(DaqBook_RAW_Data!A155)),TIMEVALUE(DaqBook_RAW_Data!AG155))</f>
        <v/>
      </c>
      <c r="C165" s="167" t="str">
        <f>IF(ISBLANK(DaqBook_RAW_Data!AH155),"",DaqBook_RAW_Data!AH155)</f>
        <v/>
      </c>
      <c r="D165" s="167" t="str">
        <f>IF(ISBLANK(DaqBook_RAW_Data!AI155),"",DaqBook_RAW_Data!AI155)</f>
        <v/>
      </c>
      <c r="E165" s="167" t="str">
        <f>IF(ISBLANK(DaqBook_RAW_Data!AJ155),"",DaqBook_RAW_Data!AJ155)</f>
        <v/>
      </c>
      <c r="F165" s="167" t="str">
        <f>IF(ISBLANK(DaqBook_RAW_Data!AK155),"",DaqBook_RAW_Data!AK155)</f>
        <v/>
      </c>
      <c r="G165" s="167" t="str">
        <f>IF(ISBLANK(DaqBook_RAW_Data!AL155),"",DaqBook_RAW_Data!AL155)</f>
        <v/>
      </c>
      <c r="H165" s="167" t="str">
        <f>IF(ISBLANK(DaqBook_RAW_Data!AM155),"",DaqBook_RAW_Data!AM155)</f>
        <v/>
      </c>
      <c r="I165" s="167" t="str">
        <f>IF(ISBLANK(DaqBook_RAW_Data!AN155),"",DaqBook_RAW_Data!AN155)</f>
        <v/>
      </c>
      <c r="J165" s="167" t="str">
        <f>IF(ISBLANK(DaqBook_RAW_Data!AO155),"",DaqBook_RAW_Data!AO155)</f>
        <v/>
      </c>
      <c r="K165" s="167" t="str">
        <f>IF(ISBLANK(DaqBook_RAW_Data!AP155),"",DaqBook_RAW_Data!AP155)</f>
        <v/>
      </c>
      <c r="L165" s="167" t="str">
        <f>IF(ISBLANK(DaqBook_RAW_Data!AQ155),"",DaqBook_RAW_Data!AQ155)</f>
        <v/>
      </c>
      <c r="M165" s="167" t="str">
        <f>IF(ISBLANK(DaqBook_RAW_Data!AR155),"",DaqBook_RAW_Data!AR155)</f>
        <v/>
      </c>
      <c r="N165" s="167" t="str">
        <f>IF(ISBLANK(DaqBook_RAW_Data!AS155),"",DaqBook_RAW_Data!AS155)</f>
        <v/>
      </c>
      <c r="O165" s="167"/>
      <c r="P165" s="167"/>
    </row>
    <row r="166" spans="1:16" x14ac:dyDescent="0.2">
      <c r="A166" s="58" t="e">
        <f t="shared" si="2"/>
        <v>#VALUE!</v>
      </c>
      <c r="B166" s="144" t="str">
        <f>IF(ISBLANK(DaqBook_RAW_Data!AG156),IF(DaqBook_RAW_Data!A156="","",TIMEVALUE(DaqBook_RAW_Data!A156)),TIMEVALUE(DaqBook_RAW_Data!AG156))</f>
        <v/>
      </c>
      <c r="C166" s="167" t="str">
        <f>IF(ISBLANK(DaqBook_RAW_Data!AH156),"",DaqBook_RAW_Data!AH156)</f>
        <v/>
      </c>
      <c r="D166" s="167" t="str">
        <f>IF(ISBLANK(DaqBook_RAW_Data!AI156),"",DaqBook_RAW_Data!AI156)</f>
        <v/>
      </c>
      <c r="E166" s="167" t="str">
        <f>IF(ISBLANK(DaqBook_RAW_Data!AJ156),"",DaqBook_RAW_Data!AJ156)</f>
        <v/>
      </c>
      <c r="F166" s="167" t="str">
        <f>IF(ISBLANK(DaqBook_RAW_Data!AK156),"",DaqBook_RAW_Data!AK156)</f>
        <v/>
      </c>
      <c r="G166" s="167" t="str">
        <f>IF(ISBLANK(DaqBook_RAW_Data!AL156),"",DaqBook_RAW_Data!AL156)</f>
        <v/>
      </c>
      <c r="H166" s="167" t="str">
        <f>IF(ISBLANK(DaqBook_RAW_Data!AM156),"",DaqBook_RAW_Data!AM156)</f>
        <v/>
      </c>
      <c r="I166" s="167" t="str">
        <f>IF(ISBLANK(DaqBook_RAW_Data!AN156),"",DaqBook_RAW_Data!AN156)</f>
        <v/>
      </c>
      <c r="J166" s="167" t="str">
        <f>IF(ISBLANK(DaqBook_RAW_Data!AO156),"",DaqBook_RAW_Data!AO156)</f>
        <v/>
      </c>
      <c r="K166" s="167" t="str">
        <f>IF(ISBLANK(DaqBook_RAW_Data!AP156),"",DaqBook_RAW_Data!AP156)</f>
        <v/>
      </c>
      <c r="L166" s="167" t="str">
        <f>IF(ISBLANK(DaqBook_RAW_Data!AQ156),"",DaqBook_RAW_Data!AQ156)</f>
        <v/>
      </c>
      <c r="M166" s="167" t="str">
        <f>IF(ISBLANK(DaqBook_RAW_Data!AR156),"",DaqBook_RAW_Data!AR156)</f>
        <v/>
      </c>
      <c r="N166" s="167" t="str">
        <f>IF(ISBLANK(DaqBook_RAW_Data!AS156),"",DaqBook_RAW_Data!AS156)</f>
        <v/>
      </c>
      <c r="O166" s="167"/>
      <c r="P166" s="167"/>
    </row>
    <row r="167" spans="1:16" x14ac:dyDescent="0.2">
      <c r="A167" s="58" t="e">
        <f t="shared" si="2"/>
        <v>#VALUE!</v>
      </c>
      <c r="B167" s="144" t="str">
        <f>IF(ISBLANK(DaqBook_RAW_Data!AG157),IF(DaqBook_RAW_Data!A157="","",TIMEVALUE(DaqBook_RAW_Data!A157)),TIMEVALUE(DaqBook_RAW_Data!AG157))</f>
        <v/>
      </c>
      <c r="C167" s="167" t="str">
        <f>IF(ISBLANK(DaqBook_RAW_Data!AH157),"",DaqBook_RAW_Data!AH157)</f>
        <v/>
      </c>
      <c r="D167" s="167" t="str">
        <f>IF(ISBLANK(DaqBook_RAW_Data!AI157),"",DaqBook_RAW_Data!AI157)</f>
        <v/>
      </c>
      <c r="E167" s="167" t="str">
        <f>IF(ISBLANK(DaqBook_RAW_Data!AJ157),"",DaqBook_RAW_Data!AJ157)</f>
        <v/>
      </c>
      <c r="F167" s="167" t="str">
        <f>IF(ISBLANK(DaqBook_RAW_Data!AK157),"",DaqBook_RAW_Data!AK157)</f>
        <v/>
      </c>
      <c r="G167" s="167" t="str">
        <f>IF(ISBLANK(DaqBook_RAW_Data!AL157),"",DaqBook_RAW_Data!AL157)</f>
        <v/>
      </c>
      <c r="H167" s="167" t="str">
        <f>IF(ISBLANK(DaqBook_RAW_Data!AM157),"",DaqBook_RAW_Data!AM157)</f>
        <v/>
      </c>
      <c r="I167" s="167" t="str">
        <f>IF(ISBLANK(DaqBook_RAW_Data!AN157),"",DaqBook_RAW_Data!AN157)</f>
        <v/>
      </c>
      <c r="J167" s="167" t="str">
        <f>IF(ISBLANK(DaqBook_RAW_Data!AO157),"",DaqBook_RAW_Data!AO157)</f>
        <v/>
      </c>
      <c r="K167" s="167" t="str">
        <f>IF(ISBLANK(DaqBook_RAW_Data!AP157),"",DaqBook_RAW_Data!AP157)</f>
        <v/>
      </c>
      <c r="L167" s="167" t="str">
        <f>IF(ISBLANK(DaqBook_RAW_Data!AQ157),"",DaqBook_RAW_Data!AQ157)</f>
        <v/>
      </c>
      <c r="M167" s="167" t="str">
        <f>IF(ISBLANK(DaqBook_RAW_Data!AR157),"",DaqBook_RAW_Data!AR157)</f>
        <v/>
      </c>
      <c r="N167" s="167" t="str">
        <f>IF(ISBLANK(DaqBook_RAW_Data!AS157),"",DaqBook_RAW_Data!AS157)</f>
        <v/>
      </c>
      <c r="O167" s="167"/>
      <c r="P167" s="167"/>
    </row>
    <row r="168" spans="1:16" x14ac:dyDescent="0.2">
      <c r="A168" s="58" t="e">
        <f t="shared" si="2"/>
        <v>#VALUE!</v>
      </c>
      <c r="B168" s="144" t="str">
        <f>IF(ISBLANK(DaqBook_RAW_Data!AG158),IF(DaqBook_RAW_Data!A158="","",TIMEVALUE(DaqBook_RAW_Data!A158)),TIMEVALUE(DaqBook_RAW_Data!AG158))</f>
        <v/>
      </c>
      <c r="C168" s="167" t="str">
        <f>IF(ISBLANK(DaqBook_RAW_Data!AH158),"",DaqBook_RAW_Data!AH158)</f>
        <v/>
      </c>
      <c r="D168" s="167" t="str">
        <f>IF(ISBLANK(DaqBook_RAW_Data!AI158),"",DaqBook_RAW_Data!AI158)</f>
        <v/>
      </c>
      <c r="E168" s="167" t="str">
        <f>IF(ISBLANK(DaqBook_RAW_Data!AJ158),"",DaqBook_RAW_Data!AJ158)</f>
        <v/>
      </c>
      <c r="F168" s="167" t="str">
        <f>IF(ISBLANK(DaqBook_RAW_Data!AK158),"",DaqBook_RAW_Data!AK158)</f>
        <v/>
      </c>
      <c r="G168" s="167" t="str">
        <f>IF(ISBLANK(DaqBook_RAW_Data!AL158),"",DaqBook_RAW_Data!AL158)</f>
        <v/>
      </c>
      <c r="H168" s="167" t="str">
        <f>IF(ISBLANK(DaqBook_RAW_Data!AM158),"",DaqBook_RAW_Data!AM158)</f>
        <v/>
      </c>
      <c r="I168" s="167" t="str">
        <f>IF(ISBLANK(DaqBook_RAW_Data!AN158),"",DaqBook_RAW_Data!AN158)</f>
        <v/>
      </c>
      <c r="J168" s="167" t="str">
        <f>IF(ISBLANK(DaqBook_RAW_Data!AO158),"",DaqBook_RAW_Data!AO158)</f>
        <v/>
      </c>
      <c r="K168" s="167" t="str">
        <f>IF(ISBLANK(DaqBook_RAW_Data!AP158),"",DaqBook_RAW_Data!AP158)</f>
        <v/>
      </c>
      <c r="L168" s="167" t="str">
        <f>IF(ISBLANK(DaqBook_RAW_Data!AQ158),"",DaqBook_RAW_Data!AQ158)</f>
        <v/>
      </c>
      <c r="M168" s="167" t="str">
        <f>IF(ISBLANK(DaqBook_RAW_Data!AR158),"",DaqBook_RAW_Data!AR158)</f>
        <v/>
      </c>
      <c r="N168" s="167" t="str">
        <f>IF(ISBLANK(DaqBook_RAW_Data!AS158),"",DaqBook_RAW_Data!AS158)</f>
        <v/>
      </c>
      <c r="O168" s="167"/>
      <c r="P168" s="167"/>
    </row>
    <row r="169" spans="1:16" x14ac:dyDescent="0.2">
      <c r="A169" s="58" t="e">
        <f t="shared" si="2"/>
        <v>#VALUE!</v>
      </c>
      <c r="B169" s="144" t="str">
        <f>IF(ISBLANK(DaqBook_RAW_Data!AG159),IF(DaqBook_RAW_Data!A159="","",TIMEVALUE(DaqBook_RAW_Data!A159)),TIMEVALUE(DaqBook_RAW_Data!AG159))</f>
        <v/>
      </c>
      <c r="C169" s="167" t="str">
        <f>IF(ISBLANK(DaqBook_RAW_Data!AH159),"",DaqBook_RAW_Data!AH159)</f>
        <v/>
      </c>
      <c r="D169" s="167" t="str">
        <f>IF(ISBLANK(DaqBook_RAW_Data!AI159),"",DaqBook_RAW_Data!AI159)</f>
        <v/>
      </c>
      <c r="E169" s="167" t="str">
        <f>IF(ISBLANK(DaqBook_RAW_Data!AJ159),"",DaqBook_RAW_Data!AJ159)</f>
        <v/>
      </c>
      <c r="F169" s="167" t="str">
        <f>IF(ISBLANK(DaqBook_RAW_Data!AK159),"",DaqBook_RAW_Data!AK159)</f>
        <v/>
      </c>
      <c r="G169" s="167" t="str">
        <f>IF(ISBLANK(DaqBook_RAW_Data!AL159),"",DaqBook_RAW_Data!AL159)</f>
        <v/>
      </c>
      <c r="H169" s="167" t="str">
        <f>IF(ISBLANK(DaqBook_RAW_Data!AM159),"",DaqBook_RAW_Data!AM159)</f>
        <v/>
      </c>
      <c r="I169" s="167" t="str">
        <f>IF(ISBLANK(DaqBook_RAW_Data!AN159),"",DaqBook_RAW_Data!AN159)</f>
        <v/>
      </c>
      <c r="J169" s="167" t="str">
        <f>IF(ISBLANK(DaqBook_RAW_Data!AO159),"",DaqBook_RAW_Data!AO159)</f>
        <v/>
      </c>
      <c r="K169" s="167" t="str">
        <f>IF(ISBLANK(DaqBook_RAW_Data!AP159),"",DaqBook_RAW_Data!AP159)</f>
        <v/>
      </c>
      <c r="L169" s="167" t="str">
        <f>IF(ISBLANK(DaqBook_RAW_Data!AQ159),"",DaqBook_RAW_Data!AQ159)</f>
        <v/>
      </c>
      <c r="M169" s="167" t="str">
        <f>IF(ISBLANK(DaqBook_RAW_Data!AR159),"",DaqBook_RAW_Data!AR159)</f>
        <v/>
      </c>
      <c r="N169" s="167" t="str">
        <f>IF(ISBLANK(DaqBook_RAW_Data!AS159),"",DaqBook_RAW_Data!AS159)</f>
        <v/>
      </c>
      <c r="O169" s="167"/>
      <c r="P169" s="167"/>
    </row>
    <row r="170" spans="1:16" x14ac:dyDescent="0.2">
      <c r="A170" s="58" t="e">
        <f t="shared" si="2"/>
        <v>#VALUE!</v>
      </c>
      <c r="B170" s="144" t="str">
        <f>IF(ISBLANK(DaqBook_RAW_Data!AG160),IF(DaqBook_RAW_Data!A160="","",TIMEVALUE(DaqBook_RAW_Data!A160)),TIMEVALUE(DaqBook_RAW_Data!AG160))</f>
        <v/>
      </c>
      <c r="C170" s="167" t="str">
        <f>IF(ISBLANK(DaqBook_RAW_Data!AH160),"",DaqBook_RAW_Data!AH160)</f>
        <v/>
      </c>
      <c r="D170" s="167" t="str">
        <f>IF(ISBLANK(DaqBook_RAW_Data!AI160),"",DaqBook_RAW_Data!AI160)</f>
        <v/>
      </c>
      <c r="E170" s="167" t="str">
        <f>IF(ISBLANK(DaqBook_RAW_Data!AJ160),"",DaqBook_RAW_Data!AJ160)</f>
        <v/>
      </c>
      <c r="F170" s="167" t="str">
        <f>IF(ISBLANK(DaqBook_RAW_Data!AK160),"",DaqBook_RAW_Data!AK160)</f>
        <v/>
      </c>
      <c r="G170" s="167" t="str">
        <f>IF(ISBLANK(DaqBook_RAW_Data!AL160),"",DaqBook_RAW_Data!AL160)</f>
        <v/>
      </c>
      <c r="H170" s="167" t="str">
        <f>IF(ISBLANK(DaqBook_RAW_Data!AM160),"",DaqBook_RAW_Data!AM160)</f>
        <v/>
      </c>
      <c r="I170" s="167" t="str">
        <f>IF(ISBLANK(DaqBook_RAW_Data!AN160),"",DaqBook_RAW_Data!AN160)</f>
        <v/>
      </c>
      <c r="J170" s="167" t="str">
        <f>IF(ISBLANK(DaqBook_RAW_Data!AO160),"",DaqBook_RAW_Data!AO160)</f>
        <v/>
      </c>
      <c r="K170" s="167" t="str">
        <f>IF(ISBLANK(DaqBook_RAW_Data!AP160),"",DaqBook_RAW_Data!AP160)</f>
        <v/>
      </c>
      <c r="L170" s="167" t="str">
        <f>IF(ISBLANK(DaqBook_RAW_Data!AQ160),"",DaqBook_RAW_Data!AQ160)</f>
        <v/>
      </c>
      <c r="M170" s="167" t="str">
        <f>IF(ISBLANK(DaqBook_RAW_Data!AR160),"",DaqBook_RAW_Data!AR160)</f>
        <v/>
      </c>
      <c r="N170" s="167" t="str">
        <f>IF(ISBLANK(DaqBook_RAW_Data!AS160),"",DaqBook_RAW_Data!AS160)</f>
        <v/>
      </c>
      <c r="O170" s="167"/>
      <c r="P170" s="167"/>
    </row>
    <row r="171" spans="1:16" x14ac:dyDescent="0.2">
      <c r="A171" s="58" t="e">
        <f t="shared" si="2"/>
        <v>#VALUE!</v>
      </c>
      <c r="B171" s="144" t="str">
        <f>IF(ISBLANK(DaqBook_RAW_Data!AG161),IF(DaqBook_RAW_Data!A161="","",TIMEVALUE(DaqBook_RAW_Data!A161)),TIMEVALUE(DaqBook_RAW_Data!AG161))</f>
        <v/>
      </c>
      <c r="C171" s="167" t="str">
        <f>IF(ISBLANK(DaqBook_RAW_Data!AH161),"",DaqBook_RAW_Data!AH161)</f>
        <v/>
      </c>
      <c r="D171" s="167" t="str">
        <f>IF(ISBLANK(DaqBook_RAW_Data!AI161),"",DaqBook_RAW_Data!AI161)</f>
        <v/>
      </c>
      <c r="E171" s="167" t="str">
        <f>IF(ISBLANK(DaqBook_RAW_Data!AJ161),"",DaqBook_RAW_Data!AJ161)</f>
        <v/>
      </c>
      <c r="F171" s="167" t="str">
        <f>IF(ISBLANK(DaqBook_RAW_Data!AK161),"",DaqBook_RAW_Data!AK161)</f>
        <v/>
      </c>
      <c r="G171" s="167" t="str">
        <f>IF(ISBLANK(DaqBook_RAW_Data!AL161),"",DaqBook_RAW_Data!AL161)</f>
        <v/>
      </c>
      <c r="H171" s="167" t="str">
        <f>IF(ISBLANK(DaqBook_RAW_Data!AM161),"",DaqBook_RAW_Data!AM161)</f>
        <v/>
      </c>
      <c r="I171" s="167" t="str">
        <f>IF(ISBLANK(DaqBook_RAW_Data!AN161),"",DaqBook_RAW_Data!AN161)</f>
        <v/>
      </c>
      <c r="J171" s="167" t="str">
        <f>IF(ISBLANK(DaqBook_RAW_Data!AO161),"",DaqBook_RAW_Data!AO161)</f>
        <v/>
      </c>
      <c r="K171" s="167" t="str">
        <f>IF(ISBLANK(DaqBook_RAW_Data!AP161),"",DaqBook_RAW_Data!AP161)</f>
        <v/>
      </c>
      <c r="L171" s="167" t="str">
        <f>IF(ISBLANK(DaqBook_RAW_Data!AQ161),"",DaqBook_RAW_Data!AQ161)</f>
        <v/>
      </c>
      <c r="M171" s="167" t="str">
        <f>IF(ISBLANK(DaqBook_RAW_Data!AR161),"",DaqBook_RAW_Data!AR161)</f>
        <v/>
      </c>
      <c r="N171" s="167" t="str">
        <f>IF(ISBLANK(DaqBook_RAW_Data!AS161),"",DaqBook_RAW_Data!AS161)</f>
        <v/>
      </c>
      <c r="O171" s="167"/>
      <c r="P171" s="167"/>
    </row>
    <row r="172" spans="1:16" x14ac:dyDescent="0.2">
      <c r="A172" s="58" t="e">
        <f t="shared" si="2"/>
        <v>#VALUE!</v>
      </c>
      <c r="B172" s="144" t="str">
        <f>IF(ISBLANK(DaqBook_RAW_Data!AG162),IF(DaqBook_RAW_Data!A162="","",TIMEVALUE(DaqBook_RAW_Data!A162)),TIMEVALUE(DaqBook_RAW_Data!AG162))</f>
        <v/>
      </c>
      <c r="C172" s="167" t="str">
        <f>IF(ISBLANK(DaqBook_RAW_Data!AH162),"",DaqBook_RAW_Data!AH162)</f>
        <v/>
      </c>
      <c r="D172" s="167" t="str">
        <f>IF(ISBLANK(DaqBook_RAW_Data!AI162),"",DaqBook_RAW_Data!AI162)</f>
        <v/>
      </c>
      <c r="E172" s="167" t="str">
        <f>IF(ISBLANK(DaqBook_RAW_Data!AJ162),"",DaqBook_RAW_Data!AJ162)</f>
        <v/>
      </c>
      <c r="F172" s="167" t="str">
        <f>IF(ISBLANK(DaqBook_RAW_Data!AK162),"",DaqBook_RAW_Data!AK162)</f>
        <v/>
      </c>
      <c r="G172" s="167" t="str">
        <f>IF(ISBLANK(DaqBook_RAW_Data!AL162),"",DaqBook_RAW_Data!AL162)</f>
        <v/>
      </c>
      <c r="H172" s="167" t="str">
        <f>IF(ISBLANK(DaqBook_RAW_Data!AM162),"",DaqBook_RAW_Data!AM162)</f>
        <v/>
      </c>
      <c r="I172" s="167" t="str">
        <f>IF(ISBLANK(DaqBook_RAW_Data!AN162),"",DaqBook_RAW_Data!AN162)</f>
        <v/>
      </c>
      <c r="J172" s="167" t="str">
        <f>IF(ISBLANK(DaqBook_RAW_Data!AO162),"",DaqBook_RAW_Data!AO162)</f>
        <v/>
      </c>
      <c r="K172" s="167" t="str">
        <f>IF(ISBLANK(DaqBook_RAW_Data!AP162),"",DaqBook_RAW_Data!AP162)</f>
        <v/>
      </c>
      <c r="L172" s="167" t="str">
        <f>IF(ISBLANK(DaqBook_RAW_Data!AQ162),"",DaqBook_RAW_Data!AQ162)</f>
        <v/>
      </c>
      <c r="M172" s="167" t="str">
        <f>IF(ISBLANK(DaqBook_RAW_Data!AR162),"",DaqBook_RAW_Data!AR162)</f>
        <v/>
      </c>
      <c r="N172" s="167" t="str">
        <f>IF(ISBLANK(DaqBook_RAW_Data!AS162),"",DaqBook_RAW_Data!AS162)</f>
        <v/>
      </c>
      <c r="O172" s="167"/>
      <c r="P172" s="167"/>
    </row>
    <row r="173" spans="1:16" x14ac:dyDescent="0.2">
      <c r="A173" s="58" t="e">
        <f t="shared" si="2"/>
        <v>#VALUE!</v>
      </c>
      <c r="B173" s="144" t="str">
        <f>IF(ISBLANK(DaqBook_RAW_Data!AG163),IF(DaqBook_RAW_Data!A163="","",TIMEVALUE(DaqBook_RAW_Data!A163)),TIMEVALUE(DaqBook_RAW_Data!AG163))</f>
        <v/>
      </c>
      <c r="C173" s="167" t="str">
        <f>IF(ISBLANK(DaqBook_RAW_Data!AH163),"",DaqBook_RAW_Data!AH163)</f>
        <v/>
      </c>
      <c r="D173" s="167" t="str">
        <f>IF(ISBLANK(DaqBook_RAW_Data!AI163),"",DaqBook_RAW_Data!AI163)</f>
        <v/>
      </c>
      <c r="E173" s="167" t="str">
        <f>IF(ISBLANK(DaqBook_RAW_Data!AJ163),"",DaqBook_RAW_Data!AJ163)</f>
        <v/>
      </c>
      <c r="F173" s="167" t="str">
        <f>IF(ISBLANK(DaqBook_RAW_Data!AK163),"",DaqBook_RAW_Data!AK163)</f>
        <v/>
      </c>
      <c r="G173" s="167" t="str">
        <f>IF(ISBLANK(DaqBook_RAW_Data!AL163),"",DaqBook_RAW_Data!AL163)</f>
        <v/>
      </c>
      <c r="H173" s="167" t="str">
        <f>IF(ISBLANK(DaqBook_RAW_Data!AM163),"",DaqBook_RAW_Data!AM163)</f>
        <v/>
      </c>
      <c r="I173" s="167" t="str">
        <f>IF(ISBLANK(DaqBook_RAW_Data!AN163),"",DaqBook_RAW_Data!AN163)</f>
        <v/>
      </c>
      <c r="J173" s="167" t="str">
        <f>IF(ISBLANK(DaqBook_RAW_Data!AO163),"",DaqBook_RAW_Data!AO163)</f>
        <v/>
      </c>
      <c r="K173" s="167" t="str">
        <f>IF(ISBLANK(DaqBook_RAW_Data!AP163),"",DaqBook_RAW_Data!AP163)</f>
        <v/>
      </c>
      <c r="L173" s="167" t="str">
        <f>IF(ISBLANK(DaqBook_RAW_Data!AQ163),"",DaqBook_RAW_Data!AQ163)</f>
        <v/>
      </c>
      <c r="M173" s="167" t="str">
        <f>IF(ISBLANK(DaqBook_RAW_Data!AR163),"",DaqBook_RAW_Data!AR163)</f>
        <v/>
      </c>
      <c r="N173" s="167" t="str">
        <f>IF(ISBLANK(DaqBook_RAW_Data!AS163),"",DaqBook_RAW_Data!AS163)</f>
        <v/>
      </c>
      <c r="O173" s="167"/>
      <c r="P173" s="167"/>
    </row>
    <row r="174" spans="1:16" x14ac:dyDescent="0.2">
      <c r="A174" s="58" t="e">
        <f t="shared" si="2"/>
        <v>#VALUE!</v>
      </c>
      <c r="B174" s="144" t="str">
        <f>IF(ISBLANK(DaqBook_RAW_Data!AG164),IF(DaqBook_RAW_Data!A164="","",TIMEVALUE(DaqBook_RAW_Data!A164)),TIMEVALUE(DaqBook_RAW_Data!AG164))</f>
        <v/>
      </c>
      <c r="C174" s="167" t="str">
        <f>IF(ISBLANK(DaqBook_RAW_Data!AH164),"",DaqBook_RAW_Data!AH164)</f>
        <v/>
      </c>
      <c r="D174" s="167" t="str">
        <f>IF(ISBLANK(DaqBook_RAW_Data!AI164),"",DaqBook_RAW_Data!AI164)</f>
        <v/>
      </c>
      <c r="E174" s="167" t="str">
        <f>IF(ISBLANK(DaqBook_RAW_Data!AJ164),"",DaqBook_RAW_Data!AJ164)</f>
        <v/>
      </c>
      <c r="F174" s="167" t="str">
        <f>IF(ISBLANK(DaqBook_RAW_Data!AK164),"",DaqBook_RAW_Data!AK164)</f>
        <v/>
      </c>
      <c r="G174" s="167" t="str">
        <f>IF(ISBLANK(DaqBook_RAW_Data!AL164),"",DaqBook_RAW_Data!AL164)</f>
        <v/>
      </c>
      <c r="H174" s="167" t="str">
        <f>IF(ISBLANK(DaqBook_RAW_Data!AM164),"",DaqBook_RAW_Data!AM164)</f>
        <v/>
      </c>
      <c r="I174" s="167" t="str">
        <f>IF(ISBLANK(DaqBook_RAW_Data!AN164),"",DaqBook_RAW_Data!AN164)</f>
        <v/>
      </c>
      <c r="J174" s="167" t="str">
        <f>IF(ISBLANK(DaqBook_RAW_Data!AO164),"",DaqBook_RAW_Data!AO164)</f>
        <v/>
      </c>
      <c r="K174" s="167" t="str">
        <f>IF(ISBLANK(DaqBook_RAW_Data!AP164),"",DaqBook_RAW_Data!AP164)</f>
        <v/>
      </c>
      <c r="L174" s="167" t="str">
        <f>IF(ISBLANK(DaqBook_RAW_Data!AQ164),"",DaqBook_RAW_Data!AQ164)</f>
        <v/>
      </c>
      <c r="M174" s="167" t="str">
        <f>IF(ISBLANK(DaqBook_RAW_Data!AR164),"",DaqBook_RAW_Data!AR164)</f>
        <v/>
      </c>
      <c r="N174" s="167" t="str">
        <f>IF(ISBLANK(DaqBook_RAW_Data!AS164),"",DaqBook_RAW_Data!AS164)</f>
        <v/>
      </c>
      <c r="O174" s="167"/>
      <c r="P174" s="167"/>
    </row>
    <row r="175" spans="1:16" x14ac:dyDescent="0.2">
      <c r="A175" s="58" t="e">
        <f t="shared" si="2"/>
        <v>#VALUE!</v>
      </c>
      <c r="B175" s="144" t="str">
        <f>IF(ISBLANK(DaqBook_RAW_Data!AG165),IF(DaqBook_RAW_Data!A165="","",TIMEVALUE(DaqBook_RAW_Data!A165)),TIMEVALUE(DaqBook_RAW_Data!AG165))</f>
        <v/>
      </c>
      <c r="C175" s="167" t="str">
        <f>IF(ISBLANK(DaqBook_RAW_Data!AH165),"",DaqBook_RAW_Data!AH165)</f>
        <v/>
      </c>
      <c r="D175" s="167" t="str">
        <f>IF(ISBLANK(DaqBook_RAW_Data!AI165),"",DaqBook_RAW_Data!AI165)</f>
        <v/>
      </c>
      <c r="E175" s="167" t="str">
        <f>IF(ISBLANK(DaqBook_RAW_Data!AJ165),"",DaqBook_RAW_Data!AJ165)</f>
        <v/>
      </c>
      <c r="F175" s="167" t="str">
        <f>IF(ISBLANK(DaqBook_RAW_Data!AK165),"",DaqBook_RAW_Data!AK165)</f>
        <v/>
      </c>
      <c r="G175" s="167" t="str">
        <f>IF(ISBLANK(DaqBook_RAW_Data!AL165),"",DaqBook_RAW_Data!AL165)</f>
        <v/>
      </c>
      <c r="H175" s="167" t="str">
        <f>IF(ISBLANK(DaqBook_RAW_Data!AM165),"",DaqBook_RAW_Data!AM165)</f>
        <v/>
      </c>
      <c r="I175" s="167" t="str">
        <f>IF(ISBLANK(DaqBook_RAW_Data!AN165),"",DaqBook_RAW_Data!AN165)</f>
        <v/>
      </c>
      <c r="J175" s="167" t="str">
        <f>IF(ISBLANK(DaqBook_RAW_Data!AO165),"",DaqBook_RAW_Data!AO165)</f>
        <v/>
      </c>
      <c r="K175" s="167" t="str">
        <f>IF(ISBLANK(DaqBook_RAW_Data!AP165),"",DaqBook_RAW_Data!AP165)</f>
        <v/>
      </c>
      <c r="L175" s="167" t="str">
        <f>IF(ISBLANK(DaqBook_RAW_Data!AQ165),"",DaqBook_RAW_Data!AQ165)</f>
        <v/>
      </c>
      <c r="M175" s="167" t="str">
        <f>IF(ISBLANK(DaqBook_RAW_Data!AR165),"",DaqBook_RAW_Data!AR165)</f>
        <v/>
      </c>
      <c r="N175" s="167" t="str">
        <f>IF(ISBLANK(DaqBook_RAW_Data!AS165),"",DaqBook_RAW_Data!AS165)</f>
        <v/>
      </c>
      <c r="O175" s="167"/>
      <c r="P175" s="167"/>
    </row>
    <row r="176" spans="1:16" x14ac:dyDescent="0.2">
      <c r="A176" s="58" t="e">
        <f t="shared" si="2"/>
        <v>#VALUE!</v>
      </c>
      <c r="B176" s="144" t="str">
        <f>IF(ISBLANK(DaqBook_RAW_Data!AG166),IF(DaqBook_RAW_Data!A166="","",TIMEVALUE(DaqBook_RAW_Data!A166)),TIMEVALUE(DaqBook_RAW_Data!AG166))</f>
        <v/>
      </c>
      <c r="C176" s="167" t="str">
        <f>IF(ISBLANK(DaqBook_RAW_Data!AH166),"",DaqBook_RAW_Data!AH166)</f>
        <v/>
      </c>
      <c r="D176" s="167" t="str">
        <f>IF(ISBLANK(DaqBook_RAW_Data!AI166),"",DaqBook_RAW_Data!AI166)</f>
        <v/>
      </c>
      <c r="E176" s="167" t="str">
        <f>IF(ISBLANK(DaqBook_RAW_Data!AJ166),"",DaqBook_RAW_Data!AJ166)</f>
        <v/>
      </c>
      <c r="F176" s="167" t="str">
        <f>IF(ISBLANK(DaqBook_RAW_Data!AK166),"",DaqBook_RAW_Data!AK166)</f>
        <v/>
      </c>
      <c r="G176" s="167" t="str">
        <f>IF(ISBLANK(DaqBook_RAW_Data!AL166),"",DaqBook_RAW_Data!AL166)</f>
        <v/>
      </c>
      <c r="H176" s="167" t="str">
        <f>IF(ISBLANK(DaqBook_RAW_Data!AM166),"",DaqBook_RAW_Data!AM166)</f>
        <v/>
      </c>
      <c r="I176" s="167" t="str">
        <f>IF(ISBLANK(DaqBook_RAW_Data!AN166),"",DaqBook_RAW_Data!AN166)</f>
        <v/>
      </c>
      <c r="J176" s="167" t="str">
        <f>IF(ISBLANK(DaqBook_RAW_Data!AO166),"",DaqBook_RAW_Data!AO166)</f>
        <v/>
      </c>
      <c r="K176" s="167" t="str">
        <f>IF(ISBLANK(DaqBook_RAW_Data!AP166),"",DaqBook_RAW_Data!AP166)</f>
        <v/>
      </c>
      <c r="L176" s="167" t="str">
        <f>IF(ISBLANK(DaqBook_RAW_Data!AQ166),"",DaqBook_RAW_Data!AQ166)</f>
        <v/>
      </c>
      <c r="M176" s="167" t="str">
        <f>IF(ISBLANK(DaqBook_RAW_Data!AR166),"",DaqBook_RAW_Data!AR166)</f>
        <v/>
      </c>
      <c r="N176" s="167" t="str">
        <f>IF(ISBLANK(DaqBook_RAW_Data!AS166),"",DaqBook_RAW_Data!AS166)</f>
        <v/>
      </c>
      <c r="O176" s="167"/>
      <c r="P176" s="167"/>
    </row>
    <row r="177" spans="1:16" x14ac:dyDescent="0.2">
      <c r="A177" s="58" t="e">
        <f t="shared" si="2"/>
        <v>#VALUE!</v>
      </c>
      <c r="B177" s="144" t="str">
        <f>IF(ISBLANK(DaqBook_RAW_Data!AG167),IF(DaqBook_RAW_Data!A167="","",TIMEVALUE(DaqBook_RAW_Data!A167)),TIMEVALUE(DaqBook_RAW_Data!AG167))</f>
        <v/>
      </c>
      <c r="C177" s="167" t="str">
        <f>IF(ISBLANK(DaqBook_RAW_Data!AH167),"",DaqBook_RAW_Data!AH167)</f>
        <v/>
      </c>
      <c r="D177" s="167" t="str">
        <f>IF(ISBLANK(DaqBook_RAW_Data!AI167),"",DaqBook_RAW_Data!AI167)</f>
        <v/>
      </c>
      <c r="E177" s="167" t="str">
        <f>IF(ISBLANK(DaqBook_RAW_Data!AJ167),"",DaqBook_RAW_Data!AJ167)</f>
        <v/>
      </c>
      <c r="F177" s="167" t="str">
        <f>IF(ISBLANK(DaqBook_RAW_Data!AK167),"",DaqBook_RAW_Data!AK167)</f>
        <v/>
      </c>
      <c r="G177" s="167" t="str">
        <f>IF(ISBLANK(DaqBook_RAW_Data!AL167),"",DaqBook_RAW_Data!AL167)</f>
        <v/>
      </c>
      <c r="H177" s="167" t="str">
        <f>IF(ISBLANK(DaqBook_RAW_Data!AM167),"",DaqBook_RAW_Data!AM167)</f>
        <v/>
      </c>
      <c r="I177" s="167" t="str">
        <f>IF(ISBLANK(DaqBook_RAW_Data!AN167),"",DaqBook_RAW_Data!AN167)</f>
        <v/>
      </c>
      <c r="J177" s="167" t="str">
        <f>IF(ISBLANK(DaqBook_RAW_Data!AO167),"",DaqBook_RAW_Data!AO167)</f>
        <v/>
      </c>
      <c r="K177" s="167" t="str">
        <f>IF(ISBLANK(DaqBook_RAW_Data!AP167),"",DaqBook_RAW_Data!AP167)</f>
        <v/>
      </c>
      <c r="L177" s="167" t="str">
        <f>IF(ISBLANK(DaqBook_RAW_Data!AQ167),"",DaqBook_RAW_Data!AQ167)</f>
        <v/>
      </c>
      <c r="M177" s="167" t="str">
        <f>IF(ISBLANK(DaqBook_RAW_Data!AR167),"",DaqBook_RAW_Data!AR167)</f>
        <v/>
      </c>
      <c r="N177" s="167" t="str">
        <f>IF(ISBLANK(DaqBook_RAW_Data!AS167),"",DaqBook_RAW_Data!AS167)</f>
        <v/>
      </c>
      <c r="O177" s="167"/>
      <c r="P177" s="167"/>
    </row>
    <row r="178" spans="1:16" x14ac:dyDescent="0.2">
      <c r="A178" s="58" t="e">
        <f t="shared" si="2"/>
        <v>#VALUE!</v>
      </c>
      <c r="B178" s="144" t="str">
        <f>IF(ISBLANK(DaqBook_RAW_Data!AG168),IF(DaqBook_RAW_Data!A168="","",TIMEVALUE(DaqBook_RAW_Data!A168)),TIMEVALUE(DaqBook_RAW_Data!AG168))</f>
        <v/>
      </c>
      <c r="C178" s="167" t="str">
        <f>IF(ISBLANK(DaqBook_RAW_Data!AH168),"",DaqBook_RAW_Data!AH168)</f>
        <v/>
      </c>
      <c r="D178" s="167" t="str">
        <f>IF(ISBLANK(DaqBook_RAW_Data!AI168),"",DaqBook_RAW_Data!AI168)</f>
        <v/>
      </c>
      <c r="E178" s="167" t="str">
        <f>IF(ISBLANK(DaqBook_RAW_Data!AJ168),"",DaqBook_RAW_Data!AJ168)</f>
        <v/>
      </c>
      <c r="F178" s="167" t="str">
        <f>IF(ISBLANK(DaqBook_RAW_Data!AK168),"",DaqBook_RAW_Data!AK168)</f>
        <v/>
      </c>
      <c r="G178" s="167" t="str">
        <f>IF(ISBLANK(DaqBook_RAW_Data!AL168),"",DaqBook_RAW_Data!AL168)</f>
        <v/>
      </c>
      <c r="H178" s="167" t="str">
        <f>IF(ISBLANK(DaqBook_RAW_Data!AM168),"",DaqBook_RAW_Data!AM168)</f>
        <v/>
      </c>
      <c r="I178" s="167" t="str">
        <f>IF(ISBLANK(DaqBook_RAW_Data!AN168),"",DaqBook_RAW_Data!AN168)</f>
        <v/>
      </c>
      <c r="J178" s="167" t="str">
        <f>IF(ISBLANK(DaqBook_RAW_Data!AO168),"",DaqBook_RAW_Data!AO168)</f>
        <v/>
      </c>
      <c r="K178" s="167" t="str">
        <f>IF(ISBLANK(DaqBook_RAW_Data!AP168),"",DaqBook_RAW_Data!AP168)</f>
        <v/>
      </c>
      <c r="L178" s="167" t="str">
        <f>IF(ISBLANK(DaqBook_RAW_Data!AQ168),"",DaqBook_RAW_Data!AQ168)</f>
        <v/>
      </c>
      <c r="M178" s="167" t="str">
        <f>IF(ISBLANK(DaqBook_RAW_Data!AR168),"",DaqBook_RAW_Data!AR168)</f>
        <v/>
      </c>
      <c r="N178" s="167" t="str">
        <f>IF(ISBLANK(DaqBook_RAW_Data!AS168),"",DaqBook_RAW_Data!AS168)</f>
        <v/>
      </c>
      <c r="O178" s="167"/>
      <c r="P178" s="167"/>
    </row>
    <row r="179" spans="1:16" x14ac:dyDescent="0.2">
      <c r="A179" s="58" t="e">
        <f t="shared" si="2"/>
        <v>#VALUE!</v>
      </c>
      <c r="B179" s="144" t="str">
        <f>IF(ISBLANK(DaqBook_RAW_Data!AG169),IF(DaqBook_RAW_Data!A169="","",TIMEVALUE(DaqBook_RAW_Data!A169)),TIMEVALUE(DaqBook_RAW_Data!AG169))</f>
        <v/>
      </c>
      <c r="C179" s="167" t="str">
        <f>IF(ISBLANK(DaqBook_RAW_Data!AH169),"",DaqBook_RAW_Data!AH169)</f>
        <v/>
      </c>
      <c r="D179" s="167" t="str">
        <f>IF(ISBLANK(DaqBook_RAW_Data!AI169),"",DaqBook_RAW_Data!AI169)</f>
        <v/>
      </c>
      <c r="E179" s="167" t="str">
        <f>IF(ISBLANK(DaqBook_RAW_Data!AJ169),"",DaqBook_RAW_Data!AJ169)</f>
        <v/>
      </c>
      <c r="F179" s="167" t="str">
        <f>IF(ISBLANK(DaqBook_RAW_Data!AK169),"",DaqBook_RAW_Data!AK169)</f>
        <v/>
      </c>
      <c r="G179" s="167" t="str">
        <f>IF(ISBLANK(DaqBook_RAW_Data!AL169),"",DaqBook_RAW_Data!AL169)</f>
        <v/>
      </c>
      <c r="H179" s="167" t="str">
        <f>IF(ISBLANK(DaqBook_RAW_Data!AM169),"",DaqBook_RAW_Data!AM169)</f>
        <v/>
      </c>
      <c r="I179" s="167" t="str">
        <f>IF(ISBLANK(DaqBook_RAW_Data!AN169),"",DaqBook_RAW_Data!AN169)</f>
        <v/>
      </c>
      <c r="J179" s="167" t="str">
        <f>IF(ISBLANK(DaqBook_RAW_Data!AO169),"",DaqBook_RAW_Data!AO169)</f>
        <v/>
      </c>
      <c r="K179" s="167" t="str">
        <f>IF(ISBLANK(DaqBook_RAW_Data!AP169),"",DaqBook_RAW_Data!AP169)</f>
        <v/>
      </c>
      <c r="L179" s="167" t="str">
        <f>IF(ISBLANK(DaqBook_RAW_Data!AQ169),"",DaqBook_RAW_Data!AQ169)</f>
        <v/>
      </c>
      <c r="M179" s="167" t="str">
        <f>IF(ISBLANK(DaqBook_RAW_Data!AR169),"",DaqBook_RAW_Data!AR169)</f>
        <v/>
      </c>
      <c r="N179" s="167" t="str">
        <f>IF(ISBLANK(DaqBook_RAW_Data!AS169),"",DaqBook_RAW_Data!AS169)</f>
        <v/>
      </c>
      <c r="O179" s="167"/>
      <c r="P179" s="167"/>
    </row>
    <row r="180" spans="1:16" x14ac:dyDescent="0.2">
      <c r="A180" s="58" t="e">
        <f t="shared" si="2"/>
        <v>#VALUE!</v>
      </c>
      <c r="B180" s="144" t="str">
        <f>IF(ISBLANK(DaqBook_RAW_Data!AG170),IF(DaqBook_RAW_Data!A170="","",TIMEVALUE(DaqBook_RAW_Data!A170)),TIMEVALUE(DaqBook_RAW_Data!AG170))</f>
        <v/>
      </c>
      <c r="C180" s="167" t="str">
        <f>IF(ISBLANK(DaqBook_RAW_Data!AH170),"",DaqBook_RAW_Data!AH170)</f>
        <v/>
      </c>
      <c r="D180" s="167" t="str">
        <f>IF(ISBLANK(DaqBook_RAW_Data!AI170),"",DaqBook_RAW_Data!AI170)</f>
        <v/>
      </c>
      <c r="E180" s="167" t="str">
        <f>IF(ISBLANK(DaqBook_RAW_Data!AJ170),"",DaqBook_RAW_Data!AJ170)</f>
        <v/>
      </c>
      <c r="F180" s="167" t="str">
        <f>IF(ISBLANK(DaqBook_RAW_Data!AK170),"",DaqBook_RAW_Data!AK170)</f>
        <v/>
      </c>
      <c r="G180" s="167" t="str">
        <f>IF(ISBLANK(DaqBook_RAW_Data!AL170),"",DaqBook_RAW_Data!AL170)</f>
        <v/>
      </c>
      <c r="H180" s="167" t="str">
        <f>IF(ISBLANK(DaqBook_RAW_Data!AM170),"",DaqBook_RAW_Data!AM170)</f>
        <v/>
      </c>
      <c r="I180" s="167" t="str">
        <f>IF(ISBLANK(DaqBook_RAW_Data!AN170),"",DaqBook_RAW_Data!AN170)</f>
        <v/>
      </c>
      <c r="J180" s="167" t="str">
        <f>IF(ISBLANK(DaqBook_RAW_Data!AO170),"",DaqBook_RAW_Data!AO170)</f>
        <v/>
      </c>
      <c r="K180" s="167" t="str">
        <f>IF(ISBLANK(DaqBook_RAW_Data!AP170),"",DaqBook_RAW_Data!AP170)</f>
        <v/>
      </c>
      <c r="L180" s="167" t="str">
        <f>IF(ISBLANK(DaqBook_RAW_Data!AQ170),"",DaqBook_RAW_Data!AQ170)</f>
        <v/>
      </c>
      <c r="M180" s="167" t="str">
        <f>IF(ISBLANK(DaqBook_RAW_Data!AR170),"",DaqBook_RAW_Data!AR170)</f>
        <v/>
      </c>
      <c r="N180" s="167" t="str">
        <f>IF(ISBLANK(DaqBook_RAW_Data!AS170),"",DaqBook_RAW_Data!AS170)</f>
        <v/>
      </c>
      <c r="O180" s="167"/>
      <c r="P180" s="167"/>
    </row>
    <row r="181" spans="1:16" x14ac:dyDescent="0.2">
      <c r="A181" s="58" t="e">
        <f t="shared" si="2"/>
        <v>#VALUE!</v>
      </c>
      <c r="B181" s="144" t="str">
        <f>IF(ISBLANK(DaqBook_RAW_Data!AG171),IF(DaqBook_RAW_Data!A171="","",TIMEVALUE(DaqBook_RAW_Data!A171)),TIMEVALUE(DaqBook_RAW_Data!AG171))</f>
        <v/>
      </c>
      <c r="C181" s="167" t="str">
        <f>IF(ISBLANK(DaqBook_RAW_Data!AH171),"",DaqBook_RAW_Data!AH171)</f>
        <v/>
      </c>
      <c r="D181" s="167" t="str">
        <f>IF(ISBLANK(DaqBook_RAW_Data!AI171),"",DaqBook_RAW_Data!AI171)</f>
        <v/>
      </c>
      <c r="E181" s="167" t="str">
        <f>IF(ISBLANK(DaqBook_RAW_Data!AJ171),"",DaqBook_RAW_Data!AJ171)</f>
        <v/>
      </c>
      <c r="F181" s="167" t="str">
        <f>IF(ISBLANK(DaqBook_RAW_Data!AK171),"",DaqBook_RAW_Data!AK171)</f>
        <v/>
      </c>
      <c r="G181" s="167" t="str">
        <f>IF(ISBLANK(DaqBook_RAW_Data!AL171),"",DaqBook_RAW_Data!AL171)</f>
        <v/>
      </c>
      <c r="H181" s="167" t="str">
        <f>IF(ISBLANK(DaqBook_RAW_Data!AM171),"",DaqBook_RAW_Data!AM171)</f>
        <v/>
      </c>
      <c r="I181" s="167" t="str">
        <f>IF(ISBLANK(DaqBook_RAW_Data!AN171),"",DaqBook_RAW_Data!AN171)</f>
        <v/>
      </c>
      <c r="J181" s="167" t="str">
        <f>IF(ISBLANK(DaqBook_RAW_Data!AO171),"",DaqBook_RAW_Data!AO171)</f>
        <v/>
      </c>
      <c r="K181" s="167" t="str">
        <f>IF(ISBLANK(DaqBook_RAW_Data!AP171),"",DaqBook_RAW_Data!AP171)</f>
        <v/>
      </c>
      <c r="L181" s="167" t="str">
        <f>IF(ISBLANK(DaqBook_RAW_Data!AQ171),"",DaqBook_RAW_Data!AQ171)</f>
        <v/>
      </c>
      <c r="M181" s="167" t="str">
        <f>IF(ISBLANK(DaqBook_RAW_Data!AR171),"",DaqBook_RAW_Data!AR171)</f>
        <v/>
      </c>
      <c r="N181" s="167" t="str">
        <f>IF(ISBLANK(DaqBook_RAW_Data!AS171),"",DaqBook_RAW_Data!AS171)</f>
        <v/>
      </c>
      <c r="O181" s="167"/>
      <c r="P181" s="167"/>
    </row>
    <row r="182" spans="1:16" x14ac:dyDescent="0.2">
      <c r="A182" s="58" t="e">
        <f t="shared" si="2"/>
        <v>#VALUE!</v>
      </c>
      <c r="B182" s="144" t="str">
        <f>IF(ISBLANK(DaqBook_RAW_Data!AG172),IF(DaqBook_RAW_Data!A172="","",TIMEVALUE(DaqBook_RAW_Data!A172)),TIMEVALUE(DaqBook_RAW_Data!AG172))</f>
        <v/>
      </c>
      <c r="C182" s="167" t="str">
        <f>IF(ISBLANK(DaqBook_RAW_Data!AH172),"",DaqBook_RAW_Data!AH172)</f>
        <v/>
      </c>
      <c r="D182" s="167" t="str">
        <f>IF(ISBLANK(DaqBook_RAW_Data!AI172),"",DaqBook_RAW_Data!AI172)</f>
        <v/>
      </c>
      <c r="E182" s="167" t="str">
        <f>IF(ISBLANK(DaqBook_RAW_Data!AJ172),"",DaqBook_RAW_Data!AJ172)</f>
        <v/>
      </c>
      <c r="F182" s="167" t="str">
        <f>IF(ISBLANK(DaqBook_RAW_Data!AK172),"",DaqBook_RAW_Data!AK172)</f>
        <v/>
      </c>
      <c r="G182" s="167" t="str">
        <f>IF(ISBLANK(DaqBook_RAW_Data!AL172),"",DaqBook_RAW_Data!AL172)</f>
        <v/>
      </c>
      <c r="H182" s="167" t="str">
        <f>IF(ISBLANK(DaqBook_RAW_Data!AM172),"",DaqBook_RAW_Data!AM172)</f>
        <v/>
      </c>
      <c r="I182" s="167" t="str">
        <f>IF(ISBLANK(DaqBook_RAW_Data!AN172),"",DaqBook_RAW_Data!AN172)</f>
        <v/>
      </c>
      <c r="J182" s="167" t="str">
        <f>IF(ISBLANK(DaqBook_RAW_Data!AO172),"",DaqBook_RAW_Data!AO172)</f>
        <v/>
      </c>
      <c r="K182" s="167" t="str">
        <f>IF(ISBLANK(DaqBook_RAW_Data!AP172),"",DaqBook_RAW_Data!AP172)</f>
        <v/>
      </c>
      <c r="L182" s="167" t="str">
        <f>IF(ISBLANK(DaqBook_RAW_Data!AQ172),"",DaqBook_RAW_Data!AQ172)</f>
        <v/>
      </c>
      <c r="M182" s="167" t="str">
        <f>IF(ISBLANK(DaqBook_RAW_Data!AR172),"",DaqBook_RAW_Data!AR172)</f>
        <v/>
      </c>
      <c r="N182" s="167" t="str">
        <f>IF(ISBLANK(DaqBook_RAW_Data!AS172),"",DaqBook_RAW_Data!AS172)</f>
        <v/>
      </c>
      <c r="O182" s="167"/>
      <c r="P182" s="167"/>
    </row>
    <row r="183" spans="1:16" x14ac:dyDescent="0.2">
      <c r="A183" s="58" t="e">
        <f t="shared" si="2"/>
        <v>#VALUE!</v>
      </c>
      <c r="B183" s="144" t="str">
        <f>IF(ISBLANK(DaqBook_RAW_Data!AG173),IF(DaqBook_RAW_Data!A173="","",TIMEVALUE(DaqBook_RAW_Data!A173)),TIMEVALUE(DaqBook_RAW_Data!AG173))</f>
        <v/>
      </c>
      <c r="C183" s="167" t="str">
        <f>IF(ISBLANK(DaqBook_RAW_Data!AH173),"",DaqBook_RAW_Data!AH173)</f>
        <v/>
      </c>
      <c r="D183" s="167" t="str">
        <f>IF(ISBLANK(DaqBook_RAW_Data!AI173),"",DaqBook_RAW_Data!AI173)</f>
        <v/>
      </c>
      <c r="E183" s="167" t="str">
        <f>IF(ISBLANK(DaqBook_RAW_Data!AJ173),"",DaqBook_RAW_Data!AJ173)</f>
        <v/>
      </c>
      <c r="F183" s="167" t="str">
        <f>IF(ISBLANK(DaqBook_RAW_Data!AK173),"",DaqBook_RAW_Data!AK173)</f>
        <v/>
      </c>
      <c r="G183" s="167" t="str">
        <f>IF(ISBLANK(DaqBook_RAW_Data!AL173),"",DaqBook_RAW_Data!AL173)</f>
        <v/>
      </c>
      <c r="H183" s="167" t="str">
        <f>IF(ISBLANK(DaqBook_RAW_Data!AM173),"",DaqBook_RAW_Data!AM173)</f>
        <v/>
      </c>
      <c r="I183" s="167" t="str">
        <f>IF(ISBLANK(DaqBook_RAW_Data!AN173),"",DaqBook_RAW_Data!AN173)</f>
        <v/>
      </c>
      <c r="J183" s="167" t="str">
        <f>IF(ISBLANK(DaqBook_RAW_Data!AO173),"",DaqBook_RAW_Data!AO173)</f>
        <v/>
      </c>
      <c r="K183" s="167" t="str">
        <f>IF(ISBLANK(DaqBook_RAW_Data!AP173),"",DaqBook_RAW_Data!AP173)</f>
        <v/>
      </c>
      <c r="L183" s="167" t="str">
        <f>IF(ISBLANK(DaqBook_RAW_Data!AQ173),"",DaqBook_RAW_Data!AQ173)</f>
        <v/>
      </c>
      <c r="M183" s="167" t="str">
        <f>IF(ISBLANK(DaqBook_RAW_Data!AR173),"",DaqBook_RAW_Data!AR173)</f>
        <v/>
      </c>
      <c r="N183" s="167" t="str">
        <f>IF(ISBLANK(DaqBook_RAW_Data!AS173),"",DaqBook_RAW_Data!AS173)</f>
        <v/>
      </c>
      <c r="O183" s="167"/>
      <c r="P183" s="167"/>
    </row>
    <row r="184" spans="1:16" x14ac:dyDescent="0.2">
      <c r="A184" s="58" t="e">
        <f t="shared" si="2"/>
        <v>#VALUE!</v>
      </c>
      <c r="B184" s="144" t="str">
        <f>IF(ISBLANK(DaqBook_RAW_Data!AG174),IF(DaqBook_RAW_Data!A174="","",TIMEVALUE(DaqBook_RAW_Data!A174)),TIMEVALUE(DaqBook_RAW_Data!AG174))</f>
        <v/>
      </c>
      <c r="C184" s="167" t="str">
        <f>IF(ISBLANK(DaqBook_RAW_Data!AH174),"",DaqBook_RAW_Data!AH174)</f>
        <v/>
      </c>
      <c r="D184" s="167" t="str">
        <f>IF(ISBLANK(DaqBook_RAW_Data!AI174),"",DaqBook_RAW_Data!AI174)</f>
        <v/>
      </c>
      <c r="E184" s="167" t="str">
        <f>IF(ISBLANK(DaqBook_RAW_Data!AJ174),"",DaqBook_RAW_Data!AJ174)</f>
        <v/>
      </c>
      <c r="F184" s="167" t="str">
        <f>IF(ISBLANK(DaqBook_RAW_Data!AK174),"",DaqBook_RAW_Data!AK174)</f>
        <v/>
      </c>
      <c r="G184" s="167" t="str">
        <f>IF(ISBLANK(DaqBook_RAW_Data!AL174),"",DaqBook_RAW_Data!AL174)</f>
        <v/>
      </c>
      <c r="H184" s="167" t="str">
        <f>IF(ISBLANK(DaqBook_RAW_Data!AM174),"",DaqBook_RAW_Data!AM174)</f>
        <v/>
      </c>
      <c r="I184" s="167" t="str">
        <f>IF(ISBLANK(DaqBook_RAW_Data!AN174),"",DaqBook_RAW_Data!AN174)</f>
        <v/>
      </c>
      <c r="J184" s="167" t="str">
        <f>IF(ISBLANK(DaqBook_RAW_Data!AO174),"",DaqBook_RAW_Data!AO174)</f>
        <v/>
      </c>
      <c r="K184" s="167" t="str">
        <f>IF(ISBLANK(DaqBook_RAW_Data!AP174),"",DaqBook_RAW_Data!AP174)</f>
        <v/>
      </c>
      <c r="L184" s="167" t="str">
        <f>IF(ISBLANK(DaqBook_RAW_Data!AQ174),"",DaqBook_RAW_Data!AQ174)</f>
        <v/>
      </c>
      <c r="M184" s="167" t="str">
        <f>IF(ISBLANK(DaqBook_RAW_Data!AR174),"",DaqBook_RAW_Data!AR174)</f>
        <v/>
      </c>
      <c r="N184" s="167" t="str">
        <f>IF(ISBLANK(DaqBook_RAW_Data!AS174),"",DaqBook_RAW_Data!AS174)</f>
        <v/>
      </c>
      <c r="O184" s="167"/>
      <c r="P184" s="167"/>
    </row>
    <row r="185" spans="1:16" x14ac:dyDescent="0.2">
      <c r="A185" s="58" t="e">
        <f t="shared" si="2"/>
        <v>#VALUE!</v>
      </c>
      <c r="B185" s="144" t="str">
        <f>IF(ISBLANK(DaqBook_RAW_Data!AG175),IF(DaqBook_RAW_Data!A175="","",TIMEVALUE(DaqBook_RAW_Data!A175)),TIMEVALUE(DaqBook_RAW_Data!AG175))</f>
        <v/>
      </c>
      <c r="C185" s="167" t="str">
        <f>IF(ISBLANK(DaqBook_RAW_Data!AH175),"",DaqBook_RAW_Data!AH175)</f>
        <v/>
      </c>
      <c r="D185" s="167" t="str">
        <f>IF(ISBLANK(DaqBook_RAW_Data!AI175),"",DaqBook_RAW_Data!AI175)</f>
        <v/>
      </c>
      <c r="E185" s="167" t="str">
        <f>IF(ISBLANK(DaqBook_RAW_Data!AJ175),"",DaqBook_RAW_Data!AJ175)</f>
        <v/>
      </c>
      <c r="F185" s="167" t="str">
        <f>IF(ISBLANK(DaqBook_RAW_Data!AK175),"",DaqBook_RAW_Data!AK175)</f>
        <v/>
      </c>
      <c r="G185" s="167" t="str">
        <f>IF(ISBLANK(DaqBook_RAW_Data!AL175),"",DaqBook_RAW_Data!AL175)</f>
        <v/>
      </c>
      <c r="H185" s="167" t="str">
        <f>IF(ISBLANK(DaqBook_RAW_Data!AM175),"",DaqBook_RAW_Data!AM175)</f>
        <v/>
      </c>
      <c r="I185" s="167" t="str">
        <f>IF(ISBLANK(DaqBook_RAW_Data!AN175),"",DaqBook_RAW_Data!AN175)</f>
        <v/>
      </c>
      <c r="J185" s="167" t="str">
        <f>IF(ISBLANK(DaqBook_RAW_Data!AO175),"",DaqBook_RAW_Data!AO175)</f>
        <v/>
      </c>
      <c r="K185" s="167" t="str">
        <f>IF(ISBLANK(DaqBook_RAW_Data!AP175),"",DaqBook_RAW_Data!AP175)</f>
        <v/>
      </c>
      <c r="L185" s="167" t="str">
        <f>IF(ISBLANK(DaqBook_RAW_Data!AQ175),"",DaqBook_RAW_Data!AQ175)</f>
        <v/>
      </c>
      <c r="M185" s="167" t="str">
        <f>IF(ISBLANK(DaqBook_RAW_Data!AR175),"",DaqBook_RAW_Data!AR175)</f>
        <v/>
      </c>
      <c r="N185" s="167" t="str">
        <f>IF(ISBLANK(DaqBook_RAW_Data!AS175),"",DaqBook_RAW_Data!AS175)</f>
        <v/>
      </c>
      <c r="O185" s="167"/>
      <c r="P185" s="167"/>
    </row>
    <row r="186" spans="1:16" x14ac:dyDescent="0.2">
      <c r="A186" s="58" t="e">
        <f t="shared" si="2"/>
        <v>#VALUE!</v>
      </c>
      <c r="B186" s="144" t="str">
        <f>IF(ISBLANK(DaqBook_RAW_Data!AG176),IF(DaqBook_RAW_Data!A176="","",TIMEVALUE(DaqBook_RAW_Data!A176)),TIMEVALUE(DaqBook_RAW_Data!AG176))</f>
        <v/>
      </c>
      <c r="C186" s="167" t="str">
        <f>IF(ISBLANK(DaqBook_RAW_Data!AH176),"",DaqBook_RAW_Data!AH176)</f>
        <v/>
      </c>
      <c r="D186" s="167" t="str">
        <f>IF(ISBLANK(DaqBook_RAW_Data!AI176),"",DaqBook_RAW_Data!AI176)</f>
        <v/>
      </c>
      <c r="E186" s="167" t="str">
        <f>IF(ISBLANK(DaqBook_RAW_Data!AJ176),"",DaqBook_RAW_Data!AJ176)</f>
        <v/>
      </c>
      <c r="F186" s="167" t="str">
        <f>IF(ISBLANK(DaqBook_RAW_Data!AK176),"",DaqBook_RAW_Data!AK176)</f>
        <v/>
      </c>
      <c r="G186" s="167" t="str">
        <f>IF(ISBLANK(DaqBook_RAW_Data!AL176),"",DaqBook_RAW_Data!AL176)</f>
        <v/>
      </c>
      <c r="H186" s="167" t="str">
        <f>IF(ISBLANK(DaqBook_RAW_Data!AM176),"",DaqBook_RAW_Data!AM176)</f>
        <v/>
      </c>
      <c r="I186" s="167" t="str">
        <f>IF(ISBLANK(DaqBook_RAW_Data!AN176),"",DaqBook_RAW_Data!AN176)</f>
        <v/>
      </c>
      <c r="J186" s="167" t="str">
        <f>IF(ISBLANK(DaqBook_RAW_Data!AO176),"",DaqBook_RAW_Data!AO176)</f>
        <v/>
      </c>
      <c r="K186" s="167" t="str">
        <f>IF(ISBLANK(DaqBook_RAW_Data!AP176),"",DaqBook_RAW_Data!AP176)</f>
        <v/>
      </c>
      <c r="L186" s="167" t="str">
        <f>IF(ISBLANK(DaqBook_RAW_Data!AQ176),"",DaqBook_RAW_Data!AQ176)</f>
        <v/>
      </c>
      <c r="M186" s="167" t="str">
        <f>IF(ISBLANK(DaqBook_RAW_Data!AR176),"",DaqBook_RAW_Data!AR176)</f>
        <v/>
      </c>
      <c r="N186" s="167" t="str">
        <f>IF(ISBLANK(DaqBook_RAW_Data!AS176),"",DaqBook_RAW_Data!AS176)</f>
        <v/>
      </c>
      <c r="O186" s="167"/>
      <c r="P186" s="167"/>
    </row>
    <row r="187" spans="1:16" x14ac:dyDescent="0.2">
      <c r="A187" s="58" t="e">
        <f t="shared" si="2"/>
        <v>#VALUE!</v>
      </c>
      <c r="B187" s="144" t="str">
        <f>IF(ISBLANK(DaqBook_RAW_Data!AG177),IF(DaqBook_RAW_Data!A177="","",TIMEVALUE(DaqBook_RAW_Data!A177)),TIMEVALUE(DaqBook_RAW_Data!AG177))</f>
        <v/>
      </c>
      <c r="C187" s="167" t="str">
        <f>IF(ISBLANK(DaqBook_RAW_Data!AH177),"",DaqBook_RAW_Data!AH177)</f>
        <v/>
      </c>
      <c r="D187" s="167" t="str">
        <f>IF(ISBLANK(DaqBook_RAW_Data!AI177),"",DaqBook_RAW_Data!AI177)</f>
        <v/>
      </c>
      <c r="E187" s="167" t="str">
        <f>IF(ISBLANK(DaqBook_RAW_Data!AJ177),"",DaqBook_RAW_Data!AJ177)</f>
        <v/>
      </c>
      <c r="F187" s="167" t="str">
        <f>IF(ISBLANK(DaqBook_RAW_Data!AK177),"",DaqBook_RAW_Data!AK177)</f>
        <v/>
      </c>
      <c r="G187" s="167" t="str">
        <f>IF(ISBLANK(DaqBook_RAW_Data!AL177),"",DaqBook_RAW_Data!AL177)</f>
        <v/>
      </c>
      <c r="H187" s="167" t="str">
        <f>IF(ISBLANK(DaqBook_RAW_Data!AM177),"",DaqBook_RAW_Data!AM177)</f>
        <v/>
      </c>
      <c r="I187" s="167" t="str">
        <f>IF(ISBLANK(DaqBook_RAW_Data!AN177),"",DaqBook_RAW_Data!AN177)</f>
        <v/>
      </c>
      <c r="J187" s="167" t="str">
        <f>IF(ISBLANK(DaqBook_RAW_Data!AO177),"",DaqBook_RAW_Data!AO177)</f>
        <v/>
      </c>
      <c r="K187" s="167" t="str">
        <f>IF(ISBLANK(DaqBook_RAW_Data!AP177),"",DaqBook_RAW_Data!AP177)</f>
        <v/>
      </c>
      <c r="L187" s="167" t="str">
        <f>IF(ISBLANK(DaqBook_RAW_Data!AQ177),"",DaqBook_RAW_Data!AQ177)</f>
        <v/>
      </c>
      <c r="M187" s="167" t="str">
        <f>IF(ISBLANK(DaqBook_RAW_Data!AR177),"",DaqBook_RAW_Data!AR177)</f>
        <v/>
      </c>
      <c r="N187" s="167" t="str">
        <f>IF(ISBLANK(DaqBook_RAW_Data!AS177),"",DaqBook_RAW_Data!AS177)</f>
        <v/>
      </c>
      <c r="O187" s="167"/>
      <c r="P187" s="167"/>
    </row>
    <row r="188" spans="1:16" x14ac:dyDescent="0.2">
      <c r="A188" s="58" t="e">
        <f t="shared" si="2"/>
        <v>#VALUE!</v>
      </c>
      <c r="B188" s="144" t="str">
        <f>IF(ISBLANK(DaqBook_RAW_Data!AG178),IF(DaqBook_RAW_Data!A178="","",TIMEVALUE(DaqBook_RAW_Data!A178)),TIMEVALUE(DaqBook_RAW_Data!AG178))</f>
        <v/>
      </c>
      <c r="C188" s="167" t="str">
        <f>IF(ISBLANK(DaqBook_RAW_Data!AH178),"",DaqBook_RAW_Data!AH178)</f>
        <v/>
      </c>
      <c r="D188" s="167" t="str">
        <f>IF(ISBLANK(DaqBook_RAW_Data!AI178),"",DaqBook_RAW_Data!AI178)</f>
        <v/>
      </c>
      <c r="E188" s="167" t="str">
        <f>IF(ISBLANK(DaqBook_RAW_Data!AJ178),"",DaqBook_RAW_Data!AJ178)</f>
        <v/>
      </c>
      <c r="F188" s="167" t="str">
        <f>IF(ISBLANK(DaqBook_RAW_Data!AK178),"",DaqBook_RAW_Data!AK178)</f>
        <v/>
      </c>
      <c r="G188" s="167" t="str">
        <f>IF(ISBLANK(DaqBook_RAW_Data!AL178),"",DaqBook_RAW_Data!AL178)</f>
        <v/>
      </c>
      <c r="H188" s="167" t="str">
        <f>IF(ISBLANK(DaqBook_RAW_Data!AM178),"",DaqBook_RAW_Data!AM178)</f>
        <v/>
      </c>
      <c r="I188" s="167" t="str">
        <f>IF(ISBLANK(DaqBook_RAW_Data!AN178),"",DaqBook_RAW_Data!AN178)</f>
        <v/>
      </c>
      <c r="J188" s="167" t="str">
        <f>IF(ISBLANK(DaqBook_RAW_Data!AO178),"",DaqBook_RAW_Data!AO178)</f>
        <v/>
      </c>
      <c r="K188" s="167" t="str">
        <f>IF(ISBLANK(DaqBook_RAW_Data!AP178),"",DaqBook_RAW_Data!AP178)</f>
        <v/>
      </c>
      <c r="L188" s="167" t="str">
        <f>IF(ISBLANK(DaqBook_RAW_Data!AQ178),"",DaqBook_RAW_Data!AQ178)</f>
        <v/>
      </c>
      <c r="M188" s="167" t="str">
        <f>IF(ISBLANK(DaqBook_RAW_Data!AR178),"",DaqBook_RAW_Data!AR178)</f>
        <v/>
      </c>
      <c r="N188" s="167" t="str">
        <f>IF(ISBLANK(DaqBook_RAW_Data!AS178),"",DaqBook_RAW_Data!AS178)</f>
        <v/>
      </c>
      <c r="O188" s="167"/>
      <c r="P188" s="167"/>
    </row>
    <row r="189" spans="1:16" x14ac:dyDescent="0.2">
      <c r="A189" s="58" t="e">
        <f t="shared" si="2"/>
        <v>#VALUE!</v>
      </c>
      <c r="B189" s="144" t="str">
        <f>IF(ISBLANK(DaqBook_RAW_Data!AG179),IF(DaqBook_RAW_Data!A179="","",TIMEVALUE(DaqBook_RAW_Data!A179)),TIMEVALUE(DaqBook_RAW_Data!AG179))</f>
        <v/>
      </c>
      <c r="C189" s="167" t="str">
        <f>IF(ISBLANK(DaqBook_RAW_Data!AH179),"",DaqBook_RAW_Data!AH179)</f>
        <v/>
      </c>
      <c r="D189" s="167" t="str">
        <f>IF(ISBLANK(DaqBook_RAW_Data!AI179),"",DaqBook_RAW_Data!AI179)</f>
        <v/>
      </c>
      <c r="E189" s="167" t="str">
        <f>IF(ISBLANK(DaqBook_RAW_Data!AJ179),"",DaqBook_RAW_Data!AJ179)</f>
        <v/>
      </c>
      <c r="F189" s="167" t="str">
        <f>IF(ISBLANK(DaqBook_RAW_Data!AK179),"",DaqBook_RAW_Data!AK179)</f>
        <v/>
      </c>
      <c r="G189" s="167" t="str">
        <f>IF(ISBLANK(DaqBook_RAW_Data!AL179),"",DaqBook_RAW_Data!AL179)</f>
        <v/>
      </c>
      <c r="H189" s="167" t="str">
        <f>IF(ISBLANK(DaqBook_RAW_Data!AM179),"",DaqBook_RAW_Data!AM179)</f>
        <v/>
      </c>
      <c r="I189" s="167" t="str">
        <f>IF(ISBLANK(DaqBook_RAW_Data!AN179),"",DaqBook_RAW_Data!AN179)</f>
        <v/>
      </c>
      <c r="J189" s="167" t="str">
        <f>IF(ISBLANK(DaqBook_RAW_Data!AO179),"",DaqBook_RAW_Data!AO179)</f>
        <v/>
      </c>
      <c r="K189" s="167" t="str">
        <f>IF(ISBLANK(DaqBook_RAW_Data!AP179),"",DaqBook_RAW_Data!AP179)</f>
        <v/>
      </c>
      <c r="L189" s="167" t="str">
        <f>IF(ISBLANK(DaqBook_RAW_Data!AQ179),"",DaqBook_RAW_Data!AQ179)</f>
        <v/>
      </c>
      <c r="M189" s="167" t="str">
        <f>IF(ISBLANK(DaqBook_RAW_Data!AR179),"",DaqBook_RAW_Data!AR179)</f>
        <v/>
      </c>
      <c r="N189" s="167" t="str">
        <f>IF(ISBLANK(DaqBook_RAW_Data!AS179),"",DaqBook_RAW_Data!AS179)</f>
        <v/>
      </c>
      <c r="O189" s="167"/>
      <c r="P189" s="167"/>
    </row>
    <row r="190" spans="1:16" x14ac:dyDescent="0.2">
      <c r="A190" s="58" t="e">
        <f t="shared" si="2"/>
        <v>#VALUE!</v>
      </c>
      <c r="B190" s="144" t="str">
        <f>IF(ISBLANK(DaqBook_RAW_Data!AG180),IF(DaqBook_RAW_Data!A180="","",TIMEVALUE(DaqBook_RAW_Data!A180)),TIMEVALUE(DaqBook_RAW_Data!AG180))</f>
        <v/>
      </c>
      <c r="C190" s="167" t="str">
        <f>IF(ISBLANK(DaqBook_RAW_Data!AH180),"",DaqBook_RAW_Data!AH180)</f>
        <v/>
      </c>
      <c r="D190" s="167" t="str">
        <f>IF(ISBLANK(DaqBook_RAW_Data!AI180),"",DaqBook_RAW_Data!AI180)</f>
        <v/>
      </c>
      <c r="E190" s="167" t="str">
        <f>IF(ISBLANK(DaqBook_RAW_Data!AJ180),"",DaqBook_RAW_Data!AJ180)</f>
        <v/>
      </c>
      <c r="F190" s="167" t="str">
        <f>IF(ISBLANK(DaqBook_RAW_Data!AK180),"",DaqBook_RAW_Data!AK180)</f>
        <v/>
      </c>
      <c r="G190" s="167" t="str">
        <f>IF(ISBLANK(DaqBook_RAW_Data!AL180),"",DaqBook_RAW_Data!AL180)</f>
        <v/>
      </c>
      <c r="H190" s="167" t="str">
        <f>IF(ISBLANK(DaqBook_RAW_Data!AM180),"",DaqBook_RAW_Data!AM180)</f>
        <v/>
      </c>
      <c r="I190" s="167" t="str">
        <f>IF(ISBLANK(DaqBook_RAW_Data!AN180),"",DaqBook_RAW_Data!AN180)</f>
        <v/>
      </c>
      <c r="J190" s="167" t="str">
        <f>IF(ISBLANK(DaqBook_RAW_Data!AO180),"",DaqBook_RAW_Data!AO180)</f>
        <v/>
      </c>
      <c r="K190" s="167" t="str">
        <f>IF(ISBLANK(DaqBook_RAW_Data!AP180),"",DaqBook_RAW_Data!AP180)</f>
        <v/>
      </c>
      <c r="L190" s="167" t="str">
        <f>IF(ISBLANK(DaqBook_RAW_Data!AQ180),"",DaqBook_RAW_Data!AQ180)</f>
        <v/>
      </c>
      <c r="M190" s="167" t="str">
        <f>IF(ISBLANK(DaqBook_RAW_Data!AR180),"",DaqBook_RAW_Data!AR180)</f>
        <v/>
      </c>
      <c r="N190" s="167" t="str">
        <f>IF(ISBLANK(DaqBook_RAW_Data!AS180),"",DaqBook_RAW_Data!AS180)</f>
        <v/>
      </c>
      <c r="O190" s="167"/>
      <c r="P190" s="167"/>
    </row>
    <row r="191" spans="1:16" x14ac:dyDescent="0.2">
      <c r="A191" s="58" t="e">
        <f t="shared" si="2"/>
        <v>#VALUE!</v>
      </c>
      <c r="B191" s="144" t="str">
        <f>IF(ISBLANK(DaqBook_RAW_Data!AG181),IF(DaqBook_RAW_Data!A181="","",TIMEVALUE(DaqBook_RAW_Data!A181)),TIMEVALUE(DaqBook_RAW_Data!AG181))</f>
        <v/>
      </c>
      <c r="C191" s="167" t="str">
        <f>IF(ISBLANK(DaqBook_RAW_Data!AH181),"",DaqBook_RAW_Data!AH181)</f>
        <v/>
      </c>
      <c r="D191" s="167" t="str">
        <f>IF(ISBLANK(DaqBook_RAW_Data!AI181),"",DaqBook_RAW_Data!AI181)</f>
        <v/>
      </c>
      <c r="E191" s="167" t="str">
        <f>IF(ISBLANK(DaqBook_RAW_Data!AJ181),"",DaqBook_RAW_Data!AJ181)</f>
        <v/>
      </c>
      <c r="F191" s="167" t="str">
        <f>IF(ISBLANK(DaqBook_RAW_Data!AK181),"",DaqBook_RAW_Data!AK181)</f>
        <v/>
      </c>
      <c r="G191" s="167" t="str">
        <f>IF(ISBLANK(DaqBook_RAW_Data!AL181),"",DaqBook_RAW_Data!AL181)</f>
        <v/>
      </c>
      <c r="H191" s="167" t="str">
        <f>IF(ISBLANK(DaqBook_RAW_Data!AM181),"",DaqBook_RAW_Data!AM181)</f>
        <v/>
      </c>
      <c r="I191" s="167" t="str">
        <f>IF(ISBLANK(DaqBook_RAW_Data!AN181),"",DaqBook_RAW_Data!AN181)</f>
        <v/>
      </c>
      <c r="J191" s="167" t="str">
        <f>IF(ISBLANK(DaqBook_RAW_Data!AO181),"",DaqBook_RAW_Data!AO181)</f>
        <v/>
      </c>
      <c r="K191" s="167" t="str">
        <f>IF(ISBLANK(DaqBook_RAW_Data!AP181),"",DaqBook_RAW_Data!AP181)</f>
        <v/>
      </c>
      <c r="L191" s="167" t="str">
        <f>IF(ISBLANK(DaqBook_RAW_Data!AQ181),"",DaqBook_RAW_Data!AQ181)</f>
        <v/>
      </c>
      <c r="M191" s="167" t="str">
        <f>IF(ISBLANK(DaqBook_RAW_Data!AR181),"",DaqBook_RAW_Data!AR181)</f>
        <v/>
      </c>
      <c r="N191" s="167" t="str">
        <f>IF(ISBLANK(DaqBook_RAW_Data!AS181),"",DaqBook_RAW_Data!AS181)</f>
        <v/>
      </c>
      <c r="O191" s="167"/>
      <c r="P191" s="167"/>
    </row>
    <row r="192" spans="1:16" x14ac:dyDescent="0.2">
      <c r="A192" s="58" t="e">
        <f t="shared" si="2"/>
        <v>#VALUE!</v>
      </c>
      <c r="B192" s="144" t="str">
        <f>IF(ISBLANK(DaqBook_RAW_Data!AG182),IF(DaqBook_RAW_Data!A182="","",TIMEVALUE(DaqBook_RAW_Data!A182)),TIMEVALUE(DaqBook_RAW_Data!AG182))</f>
        <v/>
      </c>
      <c r="C192" s="167" t="str">
        <f>IF(ISBLANK(DaqBook_RAW_Data!AH182),"",DaqBook_RAW_Data!AH182)</f>
        <v/>
      </c>
      <c r="D192" s="167" t="str">
        <f>IF(ISBLANK(DaqBook_RAW_Data!AI182),"",DaqBook_RAW_Data!AI182)</f>
        <v/>
      </c>
      <c r="E192" s="167" t="str">
        <f>IF(ISBLANK(DaqBook_RAW_Data!AJ182),"",DaqBook_RAW_Data!AJ182)</f>
        <v/>
      </c>
      <c r="F192" s="167" t="str">
        <f>IF(ISBLANK(DaqBook_RAW_Data!AK182),"",DaqBook_RAW_Data!AK182)</f>
        <v/>
      </c>
      <c r="G192" s="167" t="str">
        <f>IF(ISBLANK(DaqBook_RAW_Data!AL182),"",DaqBook_RAW_Data!AL182)</f>
        <v/>
      </c>
      <c r="H192" s="167" t="str">
        <f>IF(ISBLANK(DaqBook_RAW_Data!AM182),"",DaqBook_RAW_Data!AM182)</f>
        <v/>
      </c>
      <c r="I192" s="167" t="str">
        <f>IF(ISBLANK(DaqBook_RAW_Data!AN182),"",DaqBook_RAW_Data!AN182)</f>
        <v/>
      </c>
      <c r="J192" s="167" t="str">
        <f>IF(ISBLANK(DaqBook_RAW_Data!AO182),"",DaqBook_RAW_Data!AO182)</f>
        <v/>
      </c>
      <c r="K192" s="167" t="str">
        <f>IF(ISBLANK(DaqBook_RAW_Data!AP182),"",DaqBook_RAW_Data!AP182)</f>
        <v/>
      </c>
      <c r="L192" s="167" t="str">
        <f>IF(ISBLANK(DaqBook_RAW_Data!AQ182),"",DaqBook_RAW_Data!AQ182)</f>
        <v/>
      </c>
      <c r="M192" s="167" t="str">
        <f>IF(ISBLANK(DaqBook_RAW_Data!AR182),"",DaqBook_RAW_Data!AR182)</f>
        <v/>
      </c>
      <c r="N192" s="167" t="str">
        <f>IF(ISBLANK(DaqBook_RAW_Data!AS182),"",DaqBook_RAW_Data!AS182)</f>
        <v/>
      </c>
      <c r="O192" s="167"/>
      <c r="P192" s="167"/>
    </row>
    <row r="193" spans="1:16" x14ac:dyDescent="0.2">
      <c r="A193" s="58" t="e">
        <f t="shared" si="2"/>
        <v>#VALUE!</v>
      </c>
      <c r="B193" s="144" t="str">
        <f>IF(ISBLANK(DaqBook_RAW_Data!AG183),IF(DaqBook_RAW_Data!A183="","",TIMEVALUE(DaqBook_RAW_Data!A183)),TIMEVALUE(DaqBook_RAW_Data!AG183))</f>
        <v/>
      </c>
      <c r="C193" s="167" t="str">
        <f>IF(ISBLANK(DaqBook_RAW_Data!AH183),"",DaqBook_RAW_Data!AH183)</f>
        <v/>
      </c>
      <c r="D193" s="167" t="str">
        <f>IF(ISBLANK(DaqBook_RAW_Data!AI183),"",DaqBook_RAW_Data!AI183)</f>
        <v/>
      </c>
      <c r="E193" s="167" t="str">
        <f>IF(ISBLANK(DaqBook_RAW_Data!AJ183),"",DaqBook_RAW_Data!AJ183)</f>
        <v/>
      </c>
      <c r="F193" s="167" t="str">
        <f>IF(ISBLANK(DaqBook_RAW_Data!AK183),"",DaqBook_RAW_Data!AK183)</f>
        <v/>
      </c>
      <c r="G193" s="167" t="str">
        <f>IF(ISBLANK(DaqBook_RAW_Data!AL183),"",DaqBook_RAW_Data!AL183)</f>
        <v/>
      </c>
      <c r="H193" s="167" t="str">
        <f>IF(ISBLANK(DaqBook_RAW_Data!AM183),"",DaqBook_RAW_Data!AM183)</f>
        <v/>
      </c>
      <c r="I193" s="167" t="str">
        <f>IF(ISBLANK(DaqBook_RAW_Data!AN183),"",DaqBook_RAW_Data!AN183)</f>
        <v/>
      </c>
      <c r="J193" s="167" t="str">
        <f>IF(ISBLANK(DaqBook_RAW_Data!AO183),"",DaqBook_RAW_Data!AO183)</f>
        <v/>
      </c>
      <c r="K193" s="167" t="str">
        <f>IF(ISBLANK(DaqBook_RAW_Data!AP183),"",DaqBook_RAW_Data!AP183)</f>
        <v/>
      </c>
      <c r="L193" s="167" t="str">
        <f>IF(ISBLANK(DaqBook_RAW_Data!AQ183),"",DaqBook_RAW_Data!AQ183)</f>
        <v/>
      </c>
      <c r="M193" s="167" t="str">
        <f>IF(ISBLANK(DaqBook_RAW_Data!AR183),"",DaqBook_RAW_Data!AR183)</f>
        <v/>
      </c>
      <c r="N193" s="167" t="str">
        <f>IF(ISBLANK(DaqBook_RAW_Data!AS183),"",DaqBook_RAW_Data!AS183)</f>
        <v/>
      </c>
      <c r="O193" s="167"/>
      <c r="P193" s="167"/>
    </row>
    <row r="194" spans="1:16" x14ac:dyDescent="0.2">
      <c r="A194" s="58" t="e">
        <f t="shared" si="2"/>
        <v>#VALUE!</v>
      </c>
      <c r="B194" s="144" t="str">
        <f>IF(ISBLANK(DaqBook_RAW_Data!AG184),IF(DaqBook_RAW_Data!A184="","",TIMEVALUE(DaqBook_RAW_Data!A184)),TIMEVALUE(DaqBook_RAW_Data!AG184))</f>
        <v/>
      </c>
      <c r="C194" s="167" t="str">
        <f>IF(ISBLANK(DaqBook_RAW_Data!AH184),"",DaqBook_RAW_Data!AH184)</f>
        <v/>
      </c>
      <c r="D194" s="167" t="str">
        <f>IF(ISBLANK(DaqBook_RAW_Data!AI184),"",DaqBook_RAW_Data!AI184)</f>
        <v/>
      </c>
      <c r="E194" s="167" t="str">
        <f>IF(ISBLANK(DaqBook_RAW_Data!AJ184),"",DaqBook_RAW_Data!AJ184)</f>
        <v/>
      </c>
      <c r="F194" s="167" t="str">
        <f>IF(ISBLANK(DaqBook_RAW_Data!AK184),"",DaqBook_RAW_Data!AK184)</f>
        <v/>
      </c>
      <c r="G194" s="167" t="str">
        <f>IF(ISBLANK(DaqBook_RAW_Data!AL184),"",DaqBook_RAW_Data!AL184)</f>
        <v/>
      </c>
      <c r="H194" s="167" t="str">
        <f>IF(ISBLANK(DaqBook_RAW_Data!AM184),"",DaqBook_RAW_Data!AM184)</f>
        <v/>
      </c>
      <c r="I194" s="167" t="str">
        <f>IF(ISBLANK(DaqBook_RAW_Data!AN184),"",DaqBook_RAW_Data!AN184)</f>
        <v/>
      </c>
      <c r="J194" s="167" t="str">
        <f>IF(ISBLANK(DaqBook_RAW_Data!AO184),"",DaqBook_RAW_Data!AO184)</f>
        <v/>
      </c>
      <c r="K194" s="167" t="str">
        <f>IF(ISBLANK(DaqBook_RAW_Data!AP184),"",DaqBook_RAW_Data!AP184)</f>
        <v/>
      </c>
      <c r="L194" s="167" t="str">
        <f>IF(ISBLANK(DaqBook_RAW_Data!AQ184),"",DaqBook_RAW_Data!AQ184)</f>
        <v/>
      </c>
      <c r="M194" s="167" t="str">
        <f>IF(ISBLANK(DaqBook_RAW_Data!AR184),"",DaqBook_RAW_Data!AR184)</f>
        <v/>
      </c>
      <c r="N194" s="167" t="str">
        <f>IF(ISBLANK(DaqBook_RAW_Data!AS184),"",DaqBook_RAW_Data!AS184)</f>
        <v/>
      </c>
      <c r="O194" s="167"/>
      <c r="P194" s="167"/>
    </row>
    <row r="195" spans="1:16" x14ac:dyDescent="0.2">
      <c r="A195" s="58" t="e">
        <f t="shared" si="2"/>
        <v>#VALUE!</v>
      </c>
      <c r="B195" s="144" t="str">
        <f>IF(ISBLANK(DaqBook_RAW_Data!AG185),IF(DaqBook_RAW_Data!A185="","",TIMEVALUE(DaqBook_RAW_Data!A185)),TIMEVALUE(DaqBook_RAW_Data!AG185))</f>
        <v/>
      </c>
      <c r="C195" s="167" t="str">
        <f>IF(ISBLANK(DaqBook_RAW_Data!AH185),"",DaqBook_RAW_Data!AH185)</f>
        <v/>
      </c>
      <c r="D195" s="167" t="str">
        <f>IF(ISBLANK(DaqBook_RAW_Data!AI185),"",DaqBook_RAW_Data!AI185)</f>
        <v/>
      </c>
      <c r="E195" s="167" t="str">
        <f>IF(ISBLANK(DaqBook_RAW_Data!AJ185),"",DaqBook_RAW_Data!AJ185)</f>
        <v/>
      </c>
      <c r="F195" s="167" t="str">
        <f>IF(ISBLANK(DaqBook_RAW_Data!AK185),"",DaqBook_RAW_Data!AK185)</f>
        <v/>
      </c>
      <c r="G195" s="167" t="str">
        <f>IF(ISBLANK(DaqBook_RAW_Data!AL185),"",DaqBook_RAW_Data!AL185)</f>
        <v/>
      </c>
      <c r="H195" s="167" t="str">
        <f>IF(ISBLANK(DaqBook_RAW_Data!AM185),"",DaqBook_RAW_Data!AM185)</f>
        <v/>
      </c>
      <c r="I195" s="167" t="str">
        <f>IF(ISBLANK(DaqBook_RAW_Data!AN185),"",DaqBook_RAW_Data!AN185)</f>
        <v/>
      </c>
      <c r="J195" s="167" t="str">
        <f>IF(ISBLANK(DaqBook_RAW_Data!AO185),"",DaqBook_RAW_Data!AO185)</f>
        <v/>
      </c>
      <c r="K195" s="167" t="str">
        <f>IF(ISBLANK(DaqBook_RAW_Data!AP185),"",DaqBook_RAW_Data!AP185)</f>
        <v/>
      </c>
      <c r="L195" s="167" t="str">
        <f>IF(ISBLANK(DaqBook_RAW_Data!AQ185),"",DaqBook_RAW_Data!AQ185)</f>
        <v/>
      </c>
      <c r="M195" s="167" t="str">
        <f>IF(ISBLANK(DaqBook_RAW_Data!AR185),"",DaqBook_RAW_Data!AR185)</f>
        <v/>
      </c>
      <c r="N195" s="167" t="str">
        <f>IF(ISBLANK(DaqBook_RAW_Data!AS185),"",DaqBook_RAW_Data!AS185)</f>
        <v/>
      </c>
      <c r="O195" s="167"/>
      <c r="P195" s="167"/>
    </row>
    <row r="196" spans="1:16" x14ac:dyDescent="0.2">
      <c r="A196" s="58" t="e">
        <f t="shared" si="2"/>
        <v>#VALUE!</v>
      </c>
      <c r="B196" s="144" t="str">
        <f>IF(ISBLANK(DaqBook_RAW_Data!AG186),IF(DaqBook_RAW_Data!A186="","",TIMEVALUE(DaqBook_RAW_Data!A186)),TIMEVALUE(DaqBook_RAW_Data!AG186))</f>
        <v/>
      </c>
      <c r="C196" s="167" t="str">
        <f>IF(ISBLANK(DaqBook_RAW_Data!AH186),"",DaqBook_RAW_Data!AH186)</f>
        <v/>
      </c>
      <c r="D196" s="167" t="str">
        <f>IF(ISBLANK(DaqBook_RAW_Data!AI186),"",DaqBook_RAW_Data!AI186)</f>
        <v/>
      </c>
      <c r="E196" s="167" t="str">
        <f>IF(ISBLANK(DaqBook_RAW_Data!AJ186),"",DaqBook_RAW_Data!AJ186)</f>
        <v/>
      </c>
      <c r="F196" s="167" t="str">
        <f>IF(ISBLANK(DaqBook_RAW_Data!AK186),"",DaqBook_RAW_Data!AK186)</f>
        <v/>
      </c>
      <c r="G196" s="167" t="str">
        <f>IF(ISBLANK(DaqBook_RAW_Data!AL186),"",DaqBook_RAW_Data!AL186)</f>
        <v/>
      </c>
      <c r="H196" s="167" t="str">
        <f>IF(ISBLANK(DaqBook_RAW_Data!AM186),"",DaqBook_RAW_Data!AM186)</f>
        <v/>
      </c>
      <c r="I196" s="167" t="str">
        <f>IF(ISBLANK(DaqBook_RAW_Data!AN186),"",DaqBook_RAW_Data!AN186)</f>
        <v/>
      </c>
      <c r="J196" s="167" t="str">
        <f>IF(ISBLANK(DaqBook_RAW_Data!AO186),"",DaqBook_RAW_Data!AO186)</f>
        <v/>
      </c>
      <c r="K196" s="167" t="str">
        <f>IF(ISBLANK(DaqBook_RAW_Data!AP186),"",DaqBook_RAW_Data!AP186)</f>
        <v/>
      </c>
      <c r="L196" s="167" t="str">
        <f>IF(ISBLANK(DaqBook_RAW_Data!AQ186),"",DaqBook_RAW_Data!AQ186)</f>
        <v/>
      </c>
      <c r="M196" s="167" t="str">
        <f>IF(ISBLANK(DaqBook_RAW_Data!AR186),"",DaqBook_RAW_Data!AR186)</f>
        <v/>
      </c>
      <c r="N196" s="167" t="str">
        <f>IF(ISBLANK(DaqBook_RAW_Data!AS186),"",DaqBook_RAW_Data!AS186)</f>
        <v/>
      </c>
      <c r="O196" s="167"/>
      <c r="P196" s="167"/>
    </row>
    <row r="197" spans="1:16" x14ac:dyDescent="0.2">
      <c r="A197" s="58" t="e">
        <f t="shared" si="2"/>
        <v>#VALUE!</v>
      </c>
      <c r="B197" s="144" t="str">
        <f>IF(ISBLANK(DaqBook_RAW_Data!AG187),IF(DaqBook_RAW_Data!A187="","",TIMEVALUE(DaqBook_RAW_Data!A187)),TIMEVALUE(DaqBook_RAW_Data!AG187))</f>
        <v/>
      </c>
      <c r="C197" s="167" t="str">
        <f>IF(ISBLANK(DaqBook_RAW_Data!AH187),"",DaqBook_RAW_Data!AH187)</f>
        <v/>
      </c>
      <c r="D197" s="167" t="str">
        <f>IF(ISBLANK(DaqBook_RAW_Data!AI187),"",DaqBook_RAW_Data!AI187)</f>
        <v/>
      </c>
      <c r="E197" s="167" t="str">
        <f>IF(ISBLANK(DaqBook_RAW_Data!AJ187),"",DaqBook_RAW_Data!AJ187)</f>
        <v/>
      </c>
      <c r="F197" s="167" t="str">
        <f>IF(ISBLANK(DaqBook_RAW_Data!AK187),"",DaqBook_RAW_Data!AK187)</f>
        <v/>
      </c>
      <c r="G197" s="167" t="str">
        <f>IF(ISBLANK(DaqBook_RAW_Data!AL187),"",DaqBook_RAW_Data!AL187)</f>
        <v/>
      </c>
      <c r="H197" s="167" t="str">
        <f>IF(ISBLANK(DaqBook_RAW_Data!AM187),"",DaqBook_RAW_Data!AM187)</f>
        <v/>
      </c>
      <c r="I197" s="167" t="str">
        <f>IF(ISBLANK(DaqBook_RAW_Data!AN187),"",DaqBook_RAW_Data!AN187)</f>
        <v/>
      </c>
      <c r="J197" s="167" t="str">
        <f>IF(ISBLANK(DaqBook_RAW_Data!AO187),"",DaqBook_RAW_Data!AO187)</f>
        <v/>
      </c>
      <c r="K197" s="167" t="str">
        <f>IF(ISBLANK(DaqBook_RAW_Data!AP187),"",DaqBook_RAW_Data!AP187)</f>
        <v/>
      </c>
      <c r="L197" s="167" t="str">
        <f>IF(ISBLANK(DaqBook_RAW_Data!AQ187),"",DaqBook_RAW_Data!AQ187)</f>
        <v/>
      </c>
      <c r="M197" s="167" t="str">
        <f>IF(ISBLANK(DaqBook_RAW_Data!AR187),"",DaqBook_RAW_Data!AR187)</f>
        <v/>
      </c>
      <c r="N197" s="167" t="str">
        <f>IF(ISBLANK(DaqBook_RAW_Data!AS187),"",DaqBook_RAW_Data!AS187)</f>
        <v/>
      </c>
      <c r="O197" s="167"/>
      <c r="P197" s="167"/>
    </row>
    <row r="198" spans="1:16" x14ac:dyDescent="0.2">
      <c r="A198" s="58" t="e">
        <f t="shared" si="2"/>
        <v>#VALUE!</v>
      </c>
      <c r="B198" s="144" t="str">
        <f>IF(ISBLANK(DaqBook_RAW_Data!AG188),IF(DaqBook_RAW_Data!A188="","",TIMEVALUE(DaqBook_RAW_Data!A188)),TIMEVALUE(DaqBook_RAW_Data!AG188))</f>
        <v/>
      </c>
      <c r="C198" s="167" t="str">
        <f>IF(ISBLANK(DaqBook_RAW_Data!AH188),"",DaqBook_RAW_Data!AH188)</f>
        <v/>
      </c>
      <c r="D198" s="167" t="str">
        <f>IF(ISBLANK(DaqBook_RAW_Data!AI188),"",DaqBook_RAW_Data!AI188)</f>
        <v/>
      </c>
      <c r="E198" s="167" t="str">
        <f>IF(ISBLANK(DaqBook_RAW_Data!AJ188),"",DaqBook_RAW_Data!AJ188)</f>
        <v/>
      </c>
      <c r="F198" s="167" t="str">
        <f>IF(ISBLANK(DaqBook_RAW_Data!AK188),"",DaqBook_RAW_Data!AK188)</f>
        <v/>
      </c>
      <c r="G198" s="167" t="str">
        <f>IF(ISBLANK(DaqBook_RAW_Data!AL188),"",DaqBook_RAW_Data!AL188)</f>
        <v/>
      </c>
      <c r="H198" s="167" t="str">
        <f>IF(ISBLANK(DaqBook_RAW_Data!AM188),"",DaqBook_RAW_Data!AM188)</f>
        <v/>
      </c>
      <c r="I198" s="167" t="str">
        <f>IF(ISBLANK(DaqBook_RAW_Data!AN188),"",DaqBook_RAW_Data!AN188)</f>
        <v/>
      </c>
      <c r="J198" s="167" t="str">
        <f>IF(ISBLANK(DaqBook_RAW_Data!AO188),"",DaqBook_RAW_Data!AO188)</f>
        <v/>
      </c>
      <c r="K198" s="167" t="str">
        <f>IF(ISBLANK(DaqBook_RAW_Data!AP188),"",DaqBook_RAW_Data!AP188)</f>
        <v/>
      </c>
      <c r="L198" s="167" t="str">
        <f>IF(ISBLANK(DaqBook_RAW_Data!AQ188),"",DaqBook_RAW_Data!AQ188)</f>
        <v/>
      </c>
      <c r="M198" s="167" t="str">
        <f>IF(ISBLANK(DaqBook_RAW_Data!AR188),"",DaqBook_RAW_Data!AR188)</f>
        <v/>
      </c>
      <c r="N198" s="167" t="str">
        <f>IF(ISBLANK(DaqBook_RAW_Data!AS188),"",DaqBook_RAW_Data!AS188)</f>
        <v/>
      </c>
      <c r="O198" s="167"/>
      <c r="P198" s="167"/>
    </row>
    <row r="199" spans="1:16" x14ac:dyDescent="0.2">
      <c r="A199" s="58" t="e">
        <f t="shared" si="2"/>
        <v>#VALUE!</v>
      </c>
      <c r="B199" s="144" t="str">
        <f>IF(ISBLANK(DaqBook_RAW_Data!AG189),IF(DaqBook_RAW_Data!A189="","",TIMEVALUE(DaqBook_RAW_Data!A189)),TIMEVALUE(DaqBook_RAW_Data!AG189))</f>
        <v/>
      </c>
      <c r="C199" s="167" t="str">
        <f>IF(ISBLANK(DaqBook_RAW_Data!AH189),"",DaqBook_RAW_Data!AH189)</f>
        <v/>
      </c>
      <c r="D199" s="167" t="str">
        <f>IF(ISBLANK(DaqBook_RAW_Data!AI189),"",DaqBook_RAW_Data!AI189)</f>
        <v/>
      </c>
      <c r="E199" s="167" t="str">
        <f>IF(ISBLANK(DaqBook_RAW_Data!AJ189),"",DaqBook_RAW_Data!AJ189)</f>
        <v/>
      </c>
      <c r="F199" s="167" t="str">
        <f>IF(ISBLANK(DaqBook_RAW_Data!AK189),"",DaqBook_RAW_Data!AK189)</f>
        <v/>
      </c>
      <c r="G199" s="167" t="str">
        <f>IF(ISBLANK(DaqBook_RAW_Data!AL189),"",DaqBook_RAW_Data!AL189)</f>
        <v/>
      </c>
      <c r="H199" s="167" t="str">
        <f>IF(ISBLANK(DaqBook_RAW_Data!AM189),"",DaqBook_RAW_Data!AM189)</f>
        <v/>
      </c>
      <c r="I199" s="167" t="str">
        <f>IF(ISBLANK(DaqBook_RAW_Data!AN189),"",DaqBook_RAW_Data!AN189)</f>
        <v/>
      </c>
      <c r="J199" s="167" t="str">
        <f>IF(ISBLANK(DaqBook_RAW_Data!AO189),"",DaqBook_RAW_Data!AO189)</f>
        <v/>
      </c>
      <c r="K199" s="167" t="str">
        <f>IF(ISBLANK(DaqBook_RAW_Data!AP189),"",DaqBook_RAW_Data!AP189)</f>
        <v/>
      </c>
      <c r="L199" s="167" t="str">
        <f>IF(ISBLANK(DaqBook_RAW_Data!AQ189),"",DaqBook_RAW_Data!AQ189)</f>
        <v/>
      </c>
      <c r="M199" s="167" t="str">
        <f>IF(ISBLANK(DaqBook_RAW_Data!AR189),"",DaqBook_RAW_Data!AR189)</f>
        <v/>
      </c>
      <c r="N199" s="167" t="str">
        <f>IF(ISBLANK(DaqBook_RAW_Data!AS189),"",DaqBook_RAW_Data!AS189)</f>
        <v/>
      </c>
      <c r="O199" s="167"/>
      <c r="P199" s="167"/>
    </row>
    <row r="200" spans="1:16" x14ac:dyDescent="0.2">
      <c r="A200" s="58" t="e">
        <f t="shared" si="2"/>
        <v>#VALUE!</v>
      </c>
      <c r="B200" s="144" t="str">
        <f>IF(ISBLANK(DaqBook_RAW_Data!AG190),IF(DaqBook_RAW_Data!A190="","",TIMEVALUE(DaqBook_RAW_Data!A190)),TIMEVALUE(DaqBook_RAW_Data!AG190))</f>
        <v/>
      </c>
      <c r="C200" s="167" t="str">
        <f>IF(ISBLANK(DaqBook_RAW_Data!AH190),"",DaqBook_RAW_Data!AH190)</f>
        <v/>
      </c>
      <c r="D200" s="167" t="str">
        <f>IF(ISBLANK(DaqBook_RAW_Data!AI190),"",DaqBook_RAW_Data!AI190)</f>
        <v/>
      </c>
      <c r="E200" s="167" t="str">
        <f>IF(ISBLANK(DaqBook_RAW_Data!AJ190),"",DaqBook_RAW_Data!AJ190)</f>
        <v/>
      </c>
      <c r="F200" s="167" t="str">
        <f>IF(ISBLANK(DaqBook_RAW_Data!AK190),"",DaqBook_RAW_Data!AK190)</f>
        <v/>
      </c>
      <c r="G200" s="167" t="str">
        <f>IF(ISBLANK(DaqBook_RAW_Data!AL190),"",DaqBook_RAW_Data!AL190)</f>
        <v/>
      </c>
      <c r="H200" s="167" t="str">
        <f>IF(ISBLANK(DaqBook_RAW_Data!AM190),"",DaqBook_RAW_Data!AM190)</f>
        <v/>
      </c>
      <c r="I200" s="167" t="str">
        <f>IF(ISBLANK(DaqBook_RAW_Data!AN190),"",DaqBook_RAW_Data!AN190)</f>
        <v/>
      </c>
      <c r="J200" s="167" t="str">
        <f>IF(ISBLANK(DaqBook_RAW_Data!AO190),"",DaqBook_RAW_Data!AO190)</f>
        <v/>
      </c>
      <c r="K200" s="167" t="str">
        <f>IF(ISBLANK(DaqBook_RAW_Data!AP190),"",DaqBook_RAW_Data!AP190)</f>
        <v/>
      </c>
      <c r="L200" s="167" t="str">
        <f>IF(ISBLANK(DaqBook_RAW_Data!AQ190),"",DaqBook_RAW_Data!AQ190)</f>
        <v/>
      </c>
      <c r="M200" s="167" t="str">
        <f>IF(ISBLANK(DaqBook_RAW_Data!AR190),"",DaqBook_RAW_Data!AR190)</f>
        <v/>
      </c>
      <c r="N200" s="167" t="str">
        <f>IF(ISBLANK(DaqBook_RAW_Data!AS190),"",DaqBook_RAW_Data!AS190)</f>
        <v/>
      </c>
      <c r="O200" s="167"/>
      <c r="P200" s="167"/>
    </row>
    <row r="201" spans="1:16" x14ac:dyDescent="0.2">
      <c r="A201" s="58" t="e">
        <f t="shared" si="2"/>
        <v>#VALUE!</v>
      </c>
      <c r="B201" s="144" t="str">
        <f>IF(ISBLANK(DaqBook_RAW_Data!AG191),IF(DaqBook_RAW_Data!A191="","",TIMEVALUE(DaqBook_RAW_Data!A191)),TIMEVALUE(DaqBook_RAW_Data!AG191))</f>
        <v/>
      </c>
      <c r="C201" s="167" t="str">
        <f>IF(ISBLANK(DaqBook_RAW_Data!AH191),"",DaqBook_RAW_Data!AH191)</f>
        <v/>
      </c>
      <c r="D201" s="167" t="str">
        <f>IF(ISBLANK(DaqBook_RAW_Data!AI191),"",DaqBook_RAW_Data!AI191)</f>
        <v/>
      </c>
      <c r="E201" s="167" t="str">
        <f>IF(ISBLANK(DaqBook_RAW_Data!AJ191),"",DaqBook_RAW_Data!AJ191)</f>
        <v/>
      </c>
      <c r="F201" s="167" t="str">
        <f>IF(ISBLANK(DaqBook_RAW_Data!AK191),"",DaqBook_RAW_Data!AK191)</f>
        <v/>
      </c>
      <c r="G201" s="167" t="str">
        <f>IF(ISBLANK(DaqBook_RAW_Data!AL191),"",DaqBook_RAW_Data!AL191)</f>
        <v/>
      </c>
      <c r="H201" s="167" t="str">
        <f>IF(ISBLANK(DaqBook_RAW_Data!AM191),"",DaqBook_RAW_Data!AM191)</f>
        <v/>
      </c>
      <c r="I201" s="167" t="str">
        <f>IF(ISBLANK(DaqBook_RAW_Data!AN191),"",DaqBook_RAW_Data!AN191)</f>
        <v/>
      </c>
      <c r="J201" s="167" t="str">
        <f>IF(ISBLANK(DaqBook_RAW_Data!AO191),"",DaqBook_RAW_Data!AO191)</f>
        <v/>
      </c>
      <c r="K201" s="167" t="str">
        <f>IF(ISBLANK(DaqBook_RAW_Data!AP191),"",DaqBook_RAW_Data!AP191)</f>
        <v/>
      </c>
      <c r="L201" s="167" t="str">
        <f>IF(ISBLANK(DaqBook_RAW_Data!AQ191),"",DaqBook_RAW_Data!AQ191)</f>
        <v/>
      </c>
      <c r="M201" s="167" t="str">
        <f>IF(ISBLANK(DaqBook_RAW_Data!AR191),"",DaqBook_RAW_Data!AR191)</f>
        <v/>
      </c>
      <c r="N201" s="167" t="str">
        <f>IF(ISBLANK(DaqBook_RAW_Data!AS191),"",DaqBook_RAW_Data!AS191)</f>
        <v/>
      </c>
      <c r="O201" s="167"/>
      <c r="P201" s="167"/>
    </row>
    <row r="202" spans="1:16" x14ac:dyDescent="0.2">
      <c r="A202" s="58" t="e">
        <f t="shared" si="2"/>
        <v>#VALUE!</v>
      </c>
      <c r="B202" s="144" t="str">
        <f>IF(ISBLANK(DaqBook_RAW_Data!AG192),IF(DaqBook_RAW_Data!A192="","",TIMEVALUE(DaqBook_RAW_Data!A192)),TIMEVALUE(DaqBook_RAW_Data!AG192))</f>
        <v/>
      </c>
      <c r="C202" s="167" t="str">
        <f>IF(ISBLANK(DaqBook_RAW_Data!AH192),"",DaqBook_RAW_Data!AH192)</f>
        <v/>
      </c>
      <c r="D202" s="167" t="str">
        <f>IF(ISBLANK(DaqBook_RAW_Data!AI192),"",DaqBook_RAW_Data!AI192)</f>
        <v/>
      </c>
      <c r="E202" s="167" t="str">
        <f>IF(ISBLANK(DaqBook_RAW_Data!AJ192),"",DaqBook_RAW_Data!AJ192)</f>
        <v/>
      </c>
      <c r="F202" s="167" t="str">
        <f>IF(ISBLANK(DaqBook_RAW_Data!AK192),"",DaqBook_RAW_Data!AK192)</f>
        <v/>
      </c>
      <c r="G202" s="167" t="str">
        <f>IF(ISBLANK(DaqBook_RAW_Data!AL192),"",DaqBook_RAW_Data!AL192)</f>
        <v/>
      </c>
      <c r="H202" s="167" t="str">
        <f>IF(ISBLANK(DaqBook_RAW_Data!AM192),"",DaqBook_RAW_Data!AM192)</f>
        <v/>
      </c>
      <c r="I202" s="167" t="str">
        <f>IF(ISBLANK(DaqBook_RAW_Data!AN192),"",DaqBook_RAW_Data!AN192)</f>
        <v/>
      </c>
      <c r="J202" s="167" t="str">
        <f>IF(ISBLANK(DaqBook_RAW_Data!AO192),"",DaqBook_RAW_Data!AO192)</f>
        <v/>
      </c>
      <c r="K202" s="167" t="str">
        <f>IF(ISBLANK(DaqBook_RAW_Data!AP192),"",DaqBook_RAW_Data!AP192)</f>
        <v/>
      </c>
      <c r="L202" s="167" t="str">
        <f>IF(ISBLANK(DaqBook_RAW_Data!AQ192),"",DaqBook_RAW_Data!AQ192)</f>
        <v/>
      </c>
      <c r="M202" s="167" t="str">
        <f>IF(ISBLANK(DaqBook_RAW_Data!AR192),"",DaqBook_RAW_Data!AR192)</f>
        <v/>
      </c>
      <c r="N202" s="167" t="str">
        <f>IF(ISBLANK(DaqBook_RAW_Data!AS192),"",DaqBook_RAW_Data!AS192)</f>
        <v/>
      </c>
      <c r="O202" s="167"/>
      <c r="P202" s="167"/>
    </row>
    <row r="203" spans="1:16" x14ac:dyDescent="0.2">
      <c r="A203" s="58" t="e">
        <f t="shared" si="2"/>
        <v>#VALUE!</v>
      </c>
      <c r="B203" s="144" t="str">
        <f>IF(ISBLANK(DaqBook_RAW_Data!AG193),IF(DaqBook_RAW_Data!A193="","",TIMEVALUE(DaqBook_RAW_Data!A193)),TIMEVALUE(DaqBook_RAW_Data!AG193))</f>
        <v/>
      </c>
      <c r="C203" s="167" t="str">
        <f>IF(ISBLANK(DaqBook_RAW_Data!AH193),"",DaqBook_RAW_Data!AH193)</f>
        <v/>
      </c>
      <c r="D203" s="167" t="str">
        <f>IF(ISBLANK(DaqBook_RAW_Data!AI193),"",DaqBook_RAW_Data!AI193)</f>
        <v/>
      </c>
      <c r="E203" s="167" t="str">
        <f>IF(ISBLANK(DaqBook_RAW_Data!AJ193),"",DaqBook_RAW_Data!AJ193)</f>
        <v/>
      </c>
      <c r="F203" s="167" t="str">
        <f>IF(ISBLANK(DaqBook_RAW_Data!AK193),"",DaqBook_RAW_Data!AK193)</f>
        <v/>
      </c>
      <c r="G203" s="167" t="str">
        <f>IF(ISBLANK(DaqBook_RAW_Data!AL193),"",DaqBook_RAW_Data!AL193)</f>
        <v/>
      </c>
      <c r="H203" s="167" t="str">
        <f>IF(ISBLANK(DaqBook_RAW_Data!AM193),"",DaqBook_RAW_Data!AM193)</f>
        <v/>
      </c>
      <c r="I203" s="167" t="str">
        <f>IF(ISBLANK(DaqBook_RAW_Data!AN193),"",DaqBook_RAW_Data!AN193)</f>
        <v/>
      </c>
      <c r="J203" s="167" t="str">
        <f>IF(ISBLANK(DaqBook_RAW_Data!AO193),"",DaqBook_RAW_Data!AO193)</f>
        <v/>
      </c>
      <c r="K203" s="167" t="str">
        <f>IF(ISBLANK(DaqBook_RAW_Data!AP193),"",DaqBook_RAW_Data!AP193)</f>
        <v/>
      </c>
      <c r="L203" s="167" t="str">
        <f>IF(ISBLANK(DaqBook_RAW_Data!AQ193),"",DaqBook_RAW_Data!AQ193)</f>
        <v/>
      </c>
      <c r="M203" s="167" t="str">
        <f>IF(ISBLANK(DaqBook_RAW_Data!AR193),"",DaqBook_RAW_Data!AR193)</f>
        <v/>
      </c>
      <c r="N203" s="167" t="str">
        <f>IF(ISBLANK(DaqBook_RAW_Data!AS193),"",DaqBook_RAW_Data!AS193)</f>
        <v/>
      </c>
      <c r="O203" s="167"/>
      <c r="P203" s="167"/>
    </row>
    <row r="204" spans="1:16" x14ac:dyDescent="0.2">
      <c r="A204" s="58" t="e">
        <f t="shared" si="2"/>
        <v>#VALUE!</v>
      </c>
      <c r="B204" s="144" t="str">
        <f>IF(ISBLANK(DaqBook_RAW_Data!AG194),IF(DaqBook_RAW_Data!A194="","",TIMEVALUE(DaqBook_RAW_Data!A194)),TIMEVALUE(DaqBook_RAW_Data!AG194))</f>
        <v/>
      </c>
      <c r="C204" s="167" t="str">
        <f>IF(ISBLANK(DaqBook_RAW_Data!AH194),"",DaqBook_RAW_Data!AH194)</f>
        <v/>
      </c>
      <c r="D204" s="167" t="str">
        <f>IF(ISBLANK(DaqBook_RAW_Data!AI194),"",DaqBook_RAW_Data!AI194)</f>
        <v/>
      </c>
      <c r="E204" s="167" t="str">
        <f>IF(ISBLANK(DaqBook_RAW_Data!AJ194),"",DaqBook_RAW_Data!AJ194)</f>
        <v/>
      </c>
      <c r="F204" s="167" t="str">
        <f>IF(ISBLANK(DaqBook_RAW_Data!AK194),"",DaqBook_RAW_Data!AK194)</f>
        <v/>
      </c>
      <c r="G204" s="167" t="str">
        <f>IF(ISBLANK(DaqBook_RAW_Data!AL194),"",DaqBook_RAW_Data!AL194)</f>
        <v/>
      </c>
      <c r="H204" s="167" t="str">
        <f>IF(ISBLANK(DaqBook_RAW_Data!AM194),"",DaqBook_RAW_Data!AM194)</f>
        <v/>
      </c>
      <c r="I204" s="167" t="str">
        <f>IF(ISBLANK(DaqBook_RAW_Data!AN194),"",DaqBook_RAW_Data!AN194)</f>
        <v/>
      </c>
      <c r="J204" s="167" t="str">
        <f>IF(ISBLANK(DaqBook_RAW_Data!AO194),"",DaqBook_RAW_Data!AO194)</f>
        <v/>
      </c>
      <c r="K204" s="167" t="str">
        <f>IF(ISBLANK(DaqBook_RAW_Data!AP194),"",DaqBook_RAW_Data!AP194)</f>
        <v/>
      </c>
      <c r="L204" s="167" t="str">
        <f>IF(ISBLANK(DaqBook_RAW_Data!AQ194),"",DaqBook_RAW_Data!AQ194)</f>
        <v/>
      </c>
      <c r="M204" s="167" t="str">
        <f>IF(ISBLANK(DaqBook_RAW_Data!AR194),"",DaqBook_RAW_Data!AR194)</f>
        <v/>
      </c>
      <c r="N204" s="167" t="str">
        <f>IF(ISBLANK(DaqBook_RAW_Data!AS194),"",DaqBook_RAW_Data!AS194)</f>
        <v/>
      </c>
      <c r="O204" s="167"/>
      <c r="P204" s="167"/>
    </row>
    <row r="205" spans="1:16" x14ac:dyDescent="0.2">
      <c r="A205" s="58" t="e">
        <f t="shared" si="2"/>
        <v>#VALUE!</v>
      </c>
      <c r="B205" s="144" t="str">
        <f>IF(ISBLANK(DaqBook_RAW_Data!AG195),IF(DaqBook_RAW_Data!A195="","",TIMEVALUE(DaqBook_RAW_Data!A195)),TIMEVALUE(DaqBook_RAW_Data!AG195))</f>
        <v/>
      </c>
      <c r="C205" s="167" t="str">
        <f>IF(ISBLANK(DaqBook_RAW_Data!AH195),"",DaqBook_RAW_Data!AH195)</f>
        <v/>
      </c>
      <c r="D205" s="167" t="str">
        <f>IF(ISBLANK(DaqBook_RAW_Data!AI195),"",DaqBook_RAW_Data!AI195)</f>
        <v/>
      </c>
      <c r="E205" s="167" t="str">
        <f>IF(ISBLANK(DaqBook_RAW_Data!AJ195),"",DaqBook_RAW_Data!AJ195)</f>
        <v/>
      </c>
      <c r="F205" s="167" t="str">
        <f>IF(ISBLANK(DaqBook_RAW_Data!AK195),"",DaqBook_RAW_Data!AK195)</f>
        <v/>
      </c>
      <c r="G205" s="167" t="str">
        <f>IF(ISBLANK(DaqBook_RAW_Data!AL195),"",DaqBook_RAW_Data!AL195)</f>
        <v/>
      </c>
      <c r="H205" s="167" t="str">
        <f>IF(ISBLANK(DaqBook_RAW_Data!AM195),"",DaqBook_RAW_Data!AM195)</f>
        <v/>
      </c>
      <c r="I205" s="167" t="str">
        <f>IF(ISBLANK(DaqBook_RAW_Data!AN195),"",DaqBook_RAW_Data!AN195)</f>
        <v/>
      </c>
      <c r="J205" s="167" t="str">
        <f>IF(ISBLANK(DaqBook_RAW_Data!AO195),"",DaqBook_RAW_Data!AO195)</f>
        <v/>
      </c>
      <c r="K205" s="167" t="str">
        <f>IF(ISBLANK(DaqBook_RAW_Data!AP195),"",DaqBook_RAW_Data!AP195)</f>
        <v/>
      </c>
      <c r="L205" s="167" t="str">
        <f>IF(ISBLANK(DaqBook_RAW_Data!AQ195),"",DaqBook_RAW_Data!AQ195)</f>
        <v/>
      </c>
      <c r="M205" s="167" t="str">
        <f>IF(ISBLANK(DaqBook_RAW_Data!AR195),"",DaqBook_RAW_Data!AR195)</f>
        <v/>
      </c>
      <c r="N205" s="167" t="str">
        <f>IF(ISBLANK(DaqBook_RAW_Data!AS195),"",DaqBook_RAW_Data!AS195)</f>
        <v/>
      </c>
      <c r="O205" s="167"/>
      <c r="P205" s="167"/>
    </row>
    <row r="206" spans="1:16" x14ac:dyDescent="0.2">
      <c r="A206" s="58" t="e">
        <f t="shared" si="2"/>
        <v>#VALUE!</v>
      </c>
      <c r="B206" s="144" t="str">
        <f>IF(ISBLANK(DaqBook_RAW_Data!AG196),IF(DaqBook_RAW_Data!A196="","",TIMEVALUE(DaqBook_RAW_Data!A196)),TIMEVALUE(DaqBook_RAW_Data!AG196))</f>
        <v/>
      </c>
      <c r="C206" s="167" t="str">
        <f>IF(ISBLANK(DaqBook_RAW_Data!AH196),"",DaqBook_RAW_Data!AH196)</f>
        <v/>
      </c>
      <c r="D206" s="167" t="str">
        <f>IF(ISBLANK(DaqBook_RAW_Data!AI196),"",DaqBook_RAW_Data!AI196)</f>
        <v/>
      </c>
      <c r="E206" s="167" t="str">
        <f>IF(ISBLANK(DaqBook_RAW_Data!AJ196),"",DaqBook_RAW_Data!AJ196)</f>
        <v/>
      </c>
      <c r="F206" s="167" t="str">
        <f>IF(ISBLANK(DaqBook_RAW_Data!AK196),"",DaqBook_RAW_Data!AK196)</f>
        <v/>
      </c>
      <c r="G206" s="167" t="str">
        <f>IF(ISBLANK(DaqBook_RAW_Data!AL196),"",DaqBook_RAW_Data!AL196)</f>
        <v/>
      </c>
      <c r="H206" s="167" t="str">
        <f>IF(ISBLANK(DaqBook_RAW_Data!AM196),"",DaqBook_RAW_Data!AM196)</f>
        <v/>
      </c>
      <c r="I206" s="167" t="str">
        <f>IF(ISBLANK(DaqBook_RAW_Data!AN196),"",DaqBook_RAW_Data!AN196)</f>
        <v/>
      </c>
      <c r="J206" s="167" t="str">
        <f>IF(ISBLANK(DaqBook_RAW_Data!AO196),"",DaqBook_RAW_Data!AO196)</f>
        <v/>
      </c>
      <c r="K206" s="167" t="str">
        <f>IF(ISBLANK(DaqBook_RAW_Data!AP196),"",DaqBook_RAW_Data!AP196)</f>
        <v/>
      </c>
      <c r="L206" s="167" t="str">
        <f>IF(ISBLANK(DaqBook_RAW_Data!AQ196),"",DaqBook_RAW_Data!AQ196)</f>
        <v/>
      </c>
      <c r="M206" s="167" t="str">
        <f>IF(ISBLANK(DaqBook_RAW_Data!AR196),"",DaqBook_RAW_Data!AR196)</f>
        <v/>
      </c>
      <c r="N206" s="167" t="str">
        <f>IF(ISBLANK(DaqBook_RAW_Data!AS196),"",DaqBook_RAW_Data!AS196)</f>
        <v/>
      </c>
      <c r="O206" s="167"/>
      <c r="P206" s="167"/>
    </row>
    <row r="207" spans="1:16" x14ac:dyDescent="0.2">
      <c r="A207" s="58" t="e">
        <f t="shared" ref="A207:A270" si="3">HOUR(B207)&amp;":"&amp;MINUTE(B207)</f>
        <v>#VALUE!</v>
      </c>
      <c r="B207" s="144" t="str">
        <f>IF(ISBLANK(DaqBook_RAW_Data!AG197),IF(DaqBook_RAW_Data!A197="","",TIMEVALUE(DaqBook_RAW_Data!A197)),TIMEVALUE(DaqBook_RAW_Data!AG197))</f>
        <v/>
      </c>
      <c r="C207" s="167" t="str">
        <f>IF(ISBLANK(DaqBook_RAW_Data!AH197),"",DaqBook_RAW_Data!AH197)</f>
        <v/>
      </c>
      <c r="D207" s="167" t="str">
        <f>IF(ISBLANK(DaqBook_RAW_Data!AI197),"",DaqBook_RAW_Data!AI197)</f>
        <v/>
      </c>
      <c r="E207" s="167" t="str">
        <f>IF(ISBLANK(DaqBook_RAW_Data!AJ197),"",DaqBook_RAW_Data!AJ197)</f>
        <v/>
      </c>
      <c r="F207" s="167" t="str">
        <f>IF(ISBLANK(DaqBook_RAW_Data!AK197),"",DaqBook_RAW_Data!AK197)</f>
        <v/>
      </c>
      <c r="G207" s="167" t="str">
        <f>IF(ISBLANK(DaqBook_RAW_Data!AL197),"",DaqBook_RAW_Data!AL197)</f>
        <v/>
      </c>
      <c r="H207" s="167" t="str">
        <f>IF(ISBLANK(DaqBook_RAW_Data!AM197),"",DaqBook_RAW_Data!AM197)</f>
        <v/>
      </c>
      <c r="I207" s="167" t="str">
        <f>IF(ISBLANK(DaqBook_RAW_Data!AN197),"",DaqBook_RAW_Data!AN197)</f>
        <v/>
      </c>
      <c r="J207" s="167" t="str">
        <f>IF(ISBLANK(DaqBook_RAW_Data!AO197),"",DaqBook_RAW_Data!AO197)</f>
        <v/>
      </c>
      <c r="K207" s="167" t="str">
        <f>IF(ISBLANK(DaqBook_RAW_Data!AP197),"",DaqBook_RAW_Data!AP197)</f>
        <v/>
      </c>
      <c r="L207" s="167" t="str">
        <f>IF(ISBLANK(DaqBook_RAW_Data!AQ197),"",DaqBook_RAW_Data!AQ197)</f>
        <v/>
      </c>
      <c r="M207" s="167" t="str">
        <f>IF(ISBLANK(DaqBook_RAW_Data!AR197),"",DaqBook_RAW_Data!AR197)</f>
        <v/>
      </c>
      <c r="N207" s="167" t="str">
        <f>IF(ISBLANK(DaqBook_RAW_Data!AS197),"",DaqBook_RAW_Data!AS197)</f>
        <v/>
      </c>
      <c r="O207" s="167"/>
      <c r="P207" s="167"/>
    </row>
    <row r="208" spans="1:16" x14ac:dyDescent="0.2">
      <c r="A208" s="58" t="e">
        <f t="shared" si="3"/>
        <v>#VALUE!</v>
      </c>
      <c r="B208" s="144" t="str">
        <f>IF(ISBLANK(DaqBook_RAW_Data!AG198),IF(DaqBook_RAW_Data!A198="","",TIMEVALUE(DaqBook_RAW_Data!A198)),TIMEVALUE(DaqBook_RAW_Data!AG198))</f>
        <v/>
      </c>
      <c r="C208" s="167" t="str">
        <f>IF(ISBLANK(DaqBook_RAW_Data!AH198),"",DaqBook_RAW_Data!AH198)</f>
        <v/>
      </c>
      <c r="D208" s="167" t="str">
        <f>IF(ISBLANK(DaqBook_RAW_Data!AI198),"",DaqBook_RAW_Data!AI198)</f>
        <v/>
      </c>
      <c r="E208" s="167" t="str">
        <f>IF(ISBLANK(DaqBook_RAW_Data!AJ198),"",DaqBook_RAW_Data!AJ198)</f>
        <v/>
      </c>
      <c r="F208" s="167" t="str">
        <f>IF(ISBLANK(DaqBook_RAW_Data!AK198),"",DaqBook_RAW_Data!AK198)</f>
        <v/>
      </c>
      <c r="G208" s="167" t="str">
        <f>IF(ISBLANK(DaqBook_RAW_Data!AL198),"",DaqBook_RAW_Data!AL198)</f>
        <v/>
      </c>
      <c r="H208" s="167" t="str">
        <f>IF(ISBLANK(DaqBook_RAW_Data!AM198),"",DaqBook_RAW_Data!AM198)</f>
        <v/>
      </c>
      <c r="I208" s="167" t="str">
        <f>IF(ISBLANK(DaqBook_RAW_Data!AN198),"",DaqBook_RAW_Data!AN198)</f>
        <v/>
      </c>
      <c r="J208" s="167" t="str">
        <f>IF(ISBLANK(DaqBook_RAW_Data!AO198),"",DaqBook_RAW_Data!AO198)</f>
        <v/>
      </c>
      <c r="K208" s="167" t="str">
        <f>IF(ISBLANK(DaqBook_RAW_Data!AP198),"",DaqBook_RAW_Data!AP198)</f>
        <v/>
      </c>
      <c r="L208" s="167" t="str">
        <f>IF(ISBLANK(DaqBook_RAW_Data!AQ198),"",DaqBook_RAW_Data!AQ198)</f>
        <v/>
      </c>
      <c r="M208" s="167" t="str">
        <f>IF(ISBLANK(DaqBook_RAW_Data!AR198),"",DaqBook_RAW_Data!AR198)</f>
        <v/>
      </c>
      <c r="N208" s="167" t="str">
        <f>IF(ISBLANK(DaqBook_RAW_Data!AS198),"",DaqBook_RAW_Data!AS198)</f>
        <v/>
      </c>
      <c r="O208" s="167"/>
      <c r="P208" s="167"/>
    </row>
    <row r="209" spans="1:16" x14ac:dyDescent="0.2">
      <c r="A209" s="58" t="e">
        <f t="shared" si="3"/>
        <v>#VALUE!</v>
      </c>
      <c r="B209" s="144" t="str">
        <f>IF(ISBLANK(DaqBook_RAW_Data!AG199),IF(DaqBook_RAW_Data!A199="","",TIMEVALUE(DaqBook_RAW_Data!A199)),TIMEVALUE(DaqBook_RAW_Data!AG199))</f>
        <v/>
      </c>
      <c r="C209" s="167" t="str">
        <f>IF(ISBLANK(DaqBook_RAW_Data!AH199),"",DaqBook_RAW_Data!AH199)</f>
        <v/>
      </c>
      <c r="D209" s="167" t="str">
        <f>IF(ISBLANK(DaqBook_RAW_Data!AI199),"",DaqBook_RAW_Data!AI199)</f>
        <v/>
      </c>
      <c r="E209" s="167" t="str">
        <f>IF(ISBLANK(DaqBook_RAW_Data!AJ199),"",DaqBook_RAW_Data!AJ199)</f>
        <v/>
      </c>
      <c r="F209" s="167" t="str">
        <f>IF(ISBLANK(DaqBook_RAW_Data!AK199),"",DaqBook_RAW_Data!AK199)</f>
        <v/>
      </c>
      <c r="G209" s="167" t="str">
        <f>IF(ISBLANK(DaqBook_RAW_Data!AL199),"",DaqBook_RAW_Data!AL199)</f>
        <v/>
      </c>
      <c r="H209" s="167" t="str">
        <f>IF(ISBLANK(DaqBook_RAW_Data!AM199),"",DaqBook_RAW_Data!AM199)</f>
        <v/>
      </c>
      <c r="I209" s="167" t="str">
        <f>IF(ISBLANK(DaqBook_RAW_Data!AN199),"",DaqBook_RAW_Data!AN199)</f>
        <v/>
      </c>
      <c r="J209" s="167" t="str">
        <f>IF(ISBLANK(DaqBook_RAW_Data!AO199),"",DaqBook_RAW_Data!AO199)</f>
        <v/>
      </c>
      <c r="K209" s="167" t="str">
        <f>IF(ISBLANK(DaqBook_RAW_Data!AP199),"",DaqBook_RAW_Data!AP199)</f>
        <v/>
      </c>
      <c r="L209" s="167" t="str">
        <f>IF(ISBLANK(DaqBook_RAW_Data!AQ199),"",DaqBook_RAW_Data!AQ199)</f>
        <v/>
      </c>
      <c r="M209" s="167" t="str">
        <f>IF(ISBLANK(DaqBook_RAW_Data!AR199),"",DaqBook_RAW_Data!AR199)</f>
        <v/>
      </c>
      <c r="N209" s="167" t="str">
        <f>IF(ISBLANK(DaqBook_RAW_Data!AS199),"",DaqBook_RAW_Data!AS199)</f>
        <v/>
      </c>
      <c r="O209" s="167"/>
      <c r="P209" s="167"/>
    </row>
    <row r="210" spans="1:16" x14ac:dyDescent="0.2">
      <c r="A210" s="58" t="e">
        <f t="shared" si="3"/>
        <v>#VALUE!</v>
      </c>
      <c r="B210" s="144" t="str">
        <f>IF(ISBLANK(DaqBook_RAW_Data!AG200),IF(DaqBook_RAW_Data!A200="","",TIMEVALUE(DaqBook_RAW_Data!A200)),TIMEVALUE(DaqBook_RAW_Data!AG200))</f>
        <v/>
      </c>
      <c r="C210" s="167" t="str">
        <f>IF(ISBLANK(DaqBook_RAW_Data!AH200),"",DaqBook_RAW_Data!AH200)</f>
        <v/>
      </c>
      <c r="D210" s="167" t="str">
        <f>IF(ISBLANK(DaqBook_RAW_Data!AI200),"",DaqBook_RAW_Data!AI200)</f>
        <v/>
      </c>
      <c r="E210" s="167" t="str">
        <f>IF(ISBLANK(DaqBook_RAW_Data!AJ200),"",DaqBook_RAW_Data!AJ200)</f>
        <v/>
      </c>
      <c r="F210" s="167" t="str">
        <f>IF(ISBLANK(DaqBook_RAW_Data!AK200),"",DaqBook_RAW_Data!AK200)</f>
        <v/>
      </c>
      <c r="G210" s="167" t="str">
        <f>IF(ISBLANK(DaqBook_RAW_Data!AL200),"",DaqBook_RAW_Data!AL200)</f>
        <v/>
      </c>
      <c r="H210" s="167" t="str">
        <f>IF(ISBLANK(DaqBook_RAW_Data!AM200),"",DaqBook_RAW_Data!AM200)</f>
        <v/>
      </c>
      <c r="I210" s="167" t="str">
        <f>IF(ISBLANK(DaqBook_RAW_Data!AN200),"",DaqBook_RAW_Data!AN200)</f>
        <v/>
      </c>
      <c r="J210" s="167" t="str">
        <f>IF(ISBLANK(DaqBook_RAW_Data!AO200),"",DaqBook_RAW_Data!AO200)</f>
        <v/>
      </c>
      <c r="K210" s="167" t="str">
        <f>IF(ISBLANK(DaqBook_RAW_Data!AP200),"",DaqBook_RAW_Data!AP200)</f>
        <v/>
      </c>
      <c r="L210" s="167" t="str">
        <f>IF(ISBLANK(DaqBook_RAW_Data!AQ200),"",DaqBook_RAW_Data!AQ200)</f>
        <v/>
      </c>
      <c r="M210" s="167" t="str">
        <f>IF(ISBLANK(DaqBook_RAW_Data!AR200),"",DaqBook_RAW_Data!AR200)</f>
        <v/>
      </c>
      <c r="N210" s="167" t="str">
        <f>IF(ISBLANK(DaqBook_RAW_Data!AS200),"",DaqBook_RAW_Data!AS200)</f>
        <v/>
      </c>
      <c r="O210" s="167"/>
      <c r="P210" s="167"/>
    </row>
    <row r="211" spans="1:16" x14ac:dyDescent="0.2">
      <c r="A211" s="58" t="e">
        <f t="shared" si="3"/>
        <v>#VALUE!</v>
      </c>
      <c r="B211" s="144" t="str">
        <f>IF(ISBLANK(DaqBook_RAW_Data!AG201),IF(DaqBook_RAW_Data!A201="","",TIMEVALUE(DaqBook_RAW_Data!A201)),TIMEVALUE(DaqBook_RAW_Data!AG201))</f>
        <v/>
      </c>
      <c r="C211" s="167" t="str">
        <f>IF(ISBLANK(DaqBook_RAW_Data!AH201),"",DaqBook_RAW_Data!AH201)</f>
        <v/>
      </c>
      <c r="D211" s="167" t="str">
        <f>IF(ISBLANK(DaqBook_RAW_Data!AI201),"",DaqBook_RAW_Data!AI201)</f>
        <v/>
      </c>
      <c r="E211" s="167" t="str">
        <f>IF(ISBLANK(DaqBook_RAW_Data!AJ201),"",DaqBook_RAW_Data!AJ201)</f>
        <v/>
      </c>
      <c r="F211" s="167" t="str">
        <f>IF(ISBLANK(DaqBook_RAW_Data!AK201),"",DaqBook_RAW_Data!AK201)</f>
        <v/>
      </c>
      <c r="G211" s="167" t="str">
        <f>IF(ISBLANK(DaqBook_RAW_Data!AL201),"",DaqBook_RAW_Data!AL201)</f>
        <v/>
      </c>
      <c r="H211" s="167" t="str">
        <f>IF(ISBLANK(DaqBook_RAW_Data!AM201),"",DaqBook_RAW_Data!AM201)</f>
        <v/>
      </c>
      <c r="I211" s="167" t="str">
        <f>IF(ISBLANK(DaqBook_RAW_Data!AN201),"",DaqBook_RAW_Data!AN201)</f>
        <v/>
      </c>
      <c r="J211" s="167" t="str">
        <f>IF(ISBLANK(DaqBook_RAW_Data!AO201),"",DaqBook_RAW_Data!AO201)</f>
        <v/>
      </c>
      <c r="K211" s="167" t="str">
        <f>IF(ISBLANK(DaqBook_RAW_Data!AP201),"",DaqBook_RAW_Data!AP201)</f>
        <v/>
      </c>
      <c r="L211" s="167" t="str">
        <f>IF(ISBLANK(DaqBook_RAW_Data!AQ201),"",DaqBook_RAW_Data!AQ201)</f>
        <v/>
      </c>
      <c r="M211" s="167" t="str">
        <f>IF(ISBLANK(DaqBook_RAW_Data!AR201),"",DaqBook_RAW_Data!AR201)</f>
        <v/>
      </c>
      <c r="N211" s="167" t="str">
        <f>IF(ISBLANK(DaqBook_RAW_Data!AS201),"",DaqBook_RAW_Data!AS201)</f>
        <v/>
      </c>
      <c r="O211" s="167"/>
      <c r="P211" s="167"/>
    </row>
    <row r="212" spans="1:16" x14ac:dyDescent="0.2">
      <c r="A212" s="58" t="e">
        <f t="shared" si="3"/>
        <v>#VALUE!</v>
      </c>
      <c r="B212" s="144" t="str">
        <f>IF(ISBLANK(DaqBook_RAW_Data!AG202),IF(DaqBook_RAW_Data!A202="","",TIMEVALUE(DaqBook_RAW_Data!A202)),TIMEVALUE(DaqBook_RAW_Data!AG202))</f>
        <v/>
      </c>
      <c r="C212" s="167" t="str">
        <f>IF(ISBLANK(DaqBook_RAW_Data!AH202),"",DaqBook_RAW_Data!AH202)</f>
        <v/>
      </c>
      <c r="D212" s="167" t="str">
        <f>IF(ISBLANK(DaqBook_RAW_Data!AI202),"",DaqBook_RAW_Data!AI202)</f>
        <v/>
      </c>
      <c r="E212" s="167" t="str">
        <f>IF(ISBLANK(DaqBook_RAW_Data!AJ202),"",DaqBook_RAW_Data!AJ202)</f>
        <v/>
      </c>
      <c r="F212" s="167" t="str">
        <f>IF(ISBLANK(DaqBook_RAW_Data!AK202),"",DaqBook_RAW_Data!AK202)</f>
        <v/>
      </c>
      <c r="G212" s="167" t="str">
        <f>IF(ISBLANK(DaqBook_RAW_Data!AL202),"",DaqBook_RAW_Data!AL202)</f>
        <v/>
      </c>
      <c r="H212" s="167" t="str">
        <f>IF(ISBLANK(DaqBook_RAW_Data!AM202),"",DaqBook_RAW_Data!AM202)</f>
        <v/>
      </c>
      <c r="I212" s="167" t="str">
        <f>IF(ISBLANK(DaqBook_RAW_Data!AN202),"",DaqBook_RAW_Data!AN202)</f>
        <v/>
      </c>
      <c r="J212" s="167" t="str">
        <f>IF(ISBLANK(DaqBook_RAW_Data!AO202),"",DaqBook_RAW_Data!AO202)</f>
        <v/>
      </c>
      <c r="K212" s="167" t="str">
        <f>IF(ISBLANK(DaqBook_RAW_Data!AP202),"",DaqBook_RAW_Data!AP202)</f>
        <v/>
      </c>
      <c r="L212" s="167" t="str">
        <f>IF(ISBLANK(DaqBook_RAW_Data!AQ202),"",DaqBook_RAW_Data!AQ202)</f>
        <v/>
      </c>
      <c r="M212" s="167" t="str">
        <f>IF(ISBLANK(DaqBook_RAW_Data!AR202),"",DaqBook_RAW_Data!AR202)</f>
        <v/>
      </c>
      <c r="N212" s="167" t="str">
        <f>IF(ISBLANK(DaqBook_RAW_Data!AS202),"",DaqBook_RAW_Data!AS202)</f>
        <v/>
      </c>
      <c r="O212" s="167"/>
      <c r="P212" s="167"/>
    </row>
    <row r="213" spans="1:16" x14ac:dyDescent="0.2">
      <c r="A213" s="58" t="e">
        <f t="shared" si="3"/>
        <v>#VALUE!</v>
      </c>
      <c r="B213" s="144" t="str">
        <f>IF(ISBLANK(DaqBook_RAW_Data!AG203),IF(DaqBook_RAW_Data!A203="","",TIMEVALUE(DaqBook_RAW_Data!A203)),TIMEVALUE(DaqBook_RAW_Data!AG203))</f>
        <v/>
      </c>
      <c r="C213" s="167" t="str">
        <f>IF(ISBLANK(DaqBook_RAW_Data!AH203),"",DaqBook_RAW_Data!AH203)</f>
        <v/>
      </c>
      <c r="D213" s="167" t="str">
        <f>IF(ISBLANK(DaqBook_RAW_Data!AI203),"",DaqBook_RAW_Data!AI203)</f>
        <v/>
      </c>
      <c r="E213" s="167" t="str">
        <f>IF(ISBLANK(DaqBook_RAW_Data!AJ203),"",DaqBook_RAW_Data!AJ203)</f>
        <v/>
      </c>
      <c r="F213" s="167" t="str">
        <f>IF(ISBLANK(DaqBook_RAW_Data!AK203),"",DaqBook_RAW_Data!AK203)</f>
        <v/>
      </c>
      <c r="G213" s="167" t="str">
        <f>IF(ISBLANK(DaqBook_RAW_Data!AL203),"",DaqBook_RAW_Data!AL203)</f>
        <v/>
      </c>
      <c r="H213" s="167" t="str">
        <f>IF(ISBLANK(DaqBook_RAW_Data!AM203),"",DaqBook_RAW_Data!AM203)</f>
        <v/>
      </c>
      <c r="I213" s="167" t="str">
        <f>IF(ISBLANK(DaqBook_RAW_Data!AN203),"",DaqBook_RAW_Data!AN203)</f>
        <v/>
      </c>
      <c r="J213" s="167" t="str">
        <f>IF(ISBLANK(DaqBook_RAW_Data!AO203),"",DaqBook_RAW_Data!AO203)</f>
        <v/>
      </c>
      <c r="K213" s="167" t="str">
        <f>IF(ISBLANK(DaqBook_RAW_Data!AP203),"",DaqBook_RAW_Data!AP203)</f>
        <v/>
      </c>
      <c r="L213" s="167" t="str">
        <f>IF(ISBLANK(DaqBook_RAW_Data!AQ203),"",DaqBook_RAW_Data!AQ203)</f>
        <v/>
      </c>
      <c r="M213" s="167" t="str">
        <f>IF(ISBLANK(DaqBook_RAW_Data!AR203),"",DaqBook_RAW_Data!AR203)</f>
        <v/>
      </c>
      <c r="N213" s="167" t="str">
        <f>IF(ISBLANK(DaqBook_RAW_Data!AS203),"",DaqBook_RAW_Data!AS203)</f>
        <v/>
      </c>
      <c r="O213" s="167"/>
      <c r="P213" s="167"/>
    </row>
    <row r="214" spans="1:16" x14ac:dyDescent="0.2">
      <c r="A214" s="58" t="e">
        <f t="shared" si="3"/>
        <v>#VALUE!</v>
      </c>
      <c r="B214" s="144" t="str">
        <f>IF(ISBLANK(DaqBook_RAW_Data!AG204),IF(DaqBook_RAW_Data!A204="","",TIMEVALUE(DaqBook_RAW_Data!A204)),TIMEVALUE(DaqBook_RAW_Data!AG204))</f>
        <v/>
      </c>
      <c r="C214" s="167" t="str">
        <f>IF(ISBLANK(DaqBook_RAW_Data!AH204),"",DaqBook_RAW_Data!AH204)</f>
        <v/>
      </c>
      <c r="D214" s="167" t="str">
        <f>IF(ISBLANK(DaqBook_RAW_Data!AI204),"",DaqBook_RAW_Data!AI204)</f>
        <v/>
      </c>
      <c r="E214" s="167" t="str">
        <f>IF(ISBLANK(DaqBook_RAW_Data!AJ204),"",DaqBook_RAW_Data!AJ204)</f>
        <v/>
      </c>
      <c r="F214" s="167" t="str">
        <f>IF(ISBLANK(DaqBook_RAW_Data!AK204),"",DaqBook_RAW_Data!AK204)</f>
        <v/>
      </c>
      <c r="G214" s="167" t="str">
        <f>IF(ISBLANK(DaqBook_RAW_Data!AL204),"",DaqBook_RAW_Data!AL204)</f>
        <v/>
      </c>
      <c r="H214" s="167" t="str">
        <f>IF(ISBLANK(DaqBook_RAW_Data!AM204),"",DaqBook_RAW_Data!AM204)</f>
        <v/>
      </c>
      <c r="I214" s="167" t="str">
        <f>IF(ISBLANK(DaqBook_RAW_Data!AN204),"",DaqBook_RAW_Data!AN204)</f>
        <v/>
      </c>
      <c r="J214" s="167" t="str">
        <f>IF(ISBLANK(DaqBook_RAW_Data!AO204),"",DaqBook_RAW_Data!AO204)</f>
        <v/>
      </c>
      <c r="K214" s="167" t="str">
        <f>IF(ISBLANK(DaqBook_RAW_Data!AP204),"",DaqBook_RAW_Data!AP204)</f>
        <v/>
      </c>
      <c r="L214" s="167" t="str">
        <f>IF(ISBLANK(DaqBook_RAW_Data!AQ204),"",DaqBook_RAW_Data!AQ204)</f>
        <v/>
      </c>
      <c r="M214" s="167" t="str">
        <f>IF(ISBLANK(DaqBook_RAW_Data!AR204),"",DaqBook_RAW_Data!AR204)</f>
        <v/>
      </c>
      <c r="N214" s="167" t="str">
        <f>IF(ISBLANK(DaqBook_RAW_Data!AS204),"",DaqBook_RAW_Data!AS204)</f>
        <v/>
      </c>
      <c r="O214" s="167"/>
      <c r="P214" s="167"/>
    </row>
    <row r="215" spans="1:16" x14ac:dyDescent="0.2">
      <c r="A215" s="58" t="e">
        <f t="shared" si="3"/>
        <v>#VALUE!</v>
      </c>
      <c r="B215" s="144" t="str">
        <f>IF(ISBLANK(DaqBook_RAW_Data!AG205),IF(DaqBook_RAW_Data!A205="","",TIMEVALUE(DaqBook_RAW_Data!A205)),TIMEVALUE(DaqBook_RAW_Data!AG205))</f>
        <v/>
      </c>
      <c r="C215" s="167" t="str">
        <f>IF(ISBLANK(DaqBook_RAW_Data!AH205),"",DaqBook_RAW_Data!AH205)</f>
        <v/>
      </c>
      <c r="D215" s="167" t="str">
        <f>IF(ISBLANK(DaqBook_RAW_Data!AI205),"",DaqBook_RAW_Data!AI205)</f>
        <v/>
      </c>
      <c r="E215" s="167" t="str">
        <f>IF(ISBLANK(DaqBook_RAW_Data!AJ205),"",DaqBook_RAW_Data!AJ205)</f>
        <v/>
      </c>
      <c r="F215" s="167" t="str">
        <f>IF(ISBLANK(DaqBook_RAW_Data!AK205),"",DaqBook_RAW_Data!AK205)</f>
        <v/>
      </c>
      <c r="G215" s="167" t="str">
        <f>IF(ISBLANK(DaqBook_RAW_Data!AL205),"",DaqBook_RAW_Data!AL205)</f>
        <v/>
      </c>
      <c r="H215" s="167" t="str">
        <f>IF(ISBLANK(DaqBook_RAW_Data!AM205),"",DaqBook_RAW_Data!AM205)</f>
        <v/>
      </c>
      <c r="I215" s="167" t="str">
        <f>IF(ISBLANK(DaqBook_RAW_Data!AN205),"",DaqBook_RAW_Data!AN205)</f>
        <v/>
      </c>
      <c r="J215" s="167" t="str">
        <f>IF(ISBLANK(DaqBook_RAW_Data!AO205),"",DaqBook_RAW_Data!AO205)</f>
        <v/>
      </c>
      <c r="K215" s="167" t="str">
        <f>IF(ISBLANK(DaqBook_RAW_Data!AP205),"",DaqBook_RAW_Data!AP205)</f>
        <v/>
      </c>
      <c r="L215" s="167" t="str">
        <f>IF(ISBLANK(DaqBook_RAW_Data!AQ205),"",DaqBook_RAW_Data!AQ205)</f>
        <v/>
      </c>
      <c r="M215" s="167" t="str">
        <f>IF(ISBLANK(DaqBook_RAW_Data!AR205),"",DaqBook_RAW_Data!AR205)</f>
        <v/>
      </c>
      <c r="N215" s="167" t="str">
        <f>IF(ISBLANK(DaqBook_RAW_Data!AS205),"",DaqBook_RAW_Data!AS205)</f>
        <v/>
      </c>
      <c r="O215" s="167"/>
      <c r="P215" s="167"/>
    </row>
    <row r="216" spans="1:16" x14ac:dyDescent="0.2">
      <c r="A216" s="58" t="e">
        <f t="shared" si="3"/>
        <v>#VALUE!</v>
      </c>
      <c r="B216" s="144" t="str">
        <f>IF(ISBLANK(DaqBook_RAW_Data!AG206),IF(DaqBook_RAW_Data!A206="","",TIMEVALUE(DaqBook_RAW_Data!A206)),TIMEVALUE(DaqBook_RAW_Data!AG206))</f>
        <v/>
      </c>
      <c r="C216" s="167" t="str">
        <f>IF(ISBLANK(DaqBook_RAW_Data!AH206),"",DaqBook_RAW_Data!AH206)</f>
        <v/>
      </c>
      <c r="D216" s="167" t="str">
        <f>IF(ISBLANK(DaqBook_RAW_Data!AI206),"",DaqBook_RAW_Data!AI206)</f>
        <v/>
      </c>
      <c r="E216" s="167" t="str">
        <f>IF(ISBLANK(DaqBook_RAW_Data!AJ206),"",DaqBook_RAW_Data!AJ206)</f>
        <v/>
      </c>
      <c r="F216" s="167" t="str">
        <f>IF(ISBLANK(DaqBook_RAW_Data!AK206),"",DaqBook_RAW_Data!AK206)</f>
        <v/>
      </c>
      <c r="G216" s="167" t="str">
        <f>IF(ISBLANK(DaqBook_RAW_Data!AL206),"",DaqBook_RAW_Data!AL206)</f>
        <v/>
      </c>
      <c r="H216" s="167" t="str">
        <f>IF(ISBLANK(DaqBook_RAW_Data!AM206),"",DaqBook_RAW_Data!AM206)</f>
        <v/>
      </c>
      <c r="I216" s="167" t="str">
        <f>IF(ISBLANK(DaqBook_RAW_Data!AN206),"",DaqBook_RAW_Data!AN206)</f>
        <v/>
      </c>
      <c r="J216" s="167" t="str">
        <f>IF(ISBLANK(DaqBook_RAW_Data!AO206),"",DaqBook_RAW_Data!AO206)</f>
        <v/>
      </c>
      <c r="K216" s="167" t="str">
        <f>IF(ISBLANK(DaqBook_RAW_Data!AP206),"",DaqBook_RAW_Data!AP206)</f>
        <v/>
      </c>
      <c r="L216" s="167" t="str">
        <f>IF(ISBLANK(DaqBook_RAW_Data!AQ206),"",DaqBook_RAW_Data!AQ206)</f>
        <v/>
      </c>
      <c r="M216" s="167" t="str">
        <f>IF(ISBLANK(DaqBook_RAW_Data!AR206),"",DaqBook_RAW_Data!AR206)</f>
        <v/>
      </c>
      <c r="N216" s="167" t="str">
        <f>IF(ISBLANK(DaqBook_RAW_Data!AS206),"",DaqBook_RAW_Data!AS206)</f>
        <v/>
      </c>
      <c r="O216" s="167"/>
      <c r="P216" s="167"/>
    </row>
    <row r="217" spans="1:16" x14ac:dyDescent="0.2">
      <c r="A217" s="58" t="e">
        <f t="shared" si="3"/>
        <v>#VALUE!</v>
      </c>
      <c r="B217" s="144" t="str">
        <f>IF(ISBLANK(DaqBook_RAW_Data!AG207),IF(DaqBook_RAW_Data!A207="","",TIMEVALUE(DaqBook_RAW_Data!A207)),TIMEVALUE(DaqBook_RAW_Data!AG207))</f>
        <v/>
      </c>
      <c r="C217" s="167" t="str">
        <f>IF(ISBLANK(DaqBook_RAW_Data!AH207),"",DaqBook_RAW_Data!AH207)</f>
        <v/>
      </c>
      <c r="D217" s="167" t="str">
        <f>IF(ISBLANK(DaqBook_RAW_Data!AI207),"",DaqBook_RAW_Data!AI207)</f>
        <v/>
      </c>
      <c r="E217" s="167" t="str">
        <f>IF(ISBLANK(DaqBook_RAW_Data!AJ207),"",DaqBook_RAW_Data!AJ207)</f>
        <v/>
      </c>
      <c r="F217" s="167" t="str">
        <f>IF(ISBLANK(DaqBook_RAW_Data!AK207),"",DaqBook_RAW_Data!AK207)</f>
        <v/>
      </c>
      <c r="G217" s="167" t="str">
        <f>IF(ISBLANK(DaqBook_RAW_Data!AL207),"",DaqBook_RAW_Data!AL207)</f>
        <v/>
      </c>
      <c r="H217" s="167" t="str">
        <f>IF(ISBLANK(DaqBook_RAW_Data!AM207),"",DaqBook_RAW_Data!AM207)</f>
        <v/>
      </c>
      <c r="I217" s="167" t="str">
        <f>IF(ISBLANK(DaqBook_RAW_Data!AN207),"",DaqBook_RAW_Data!AN207)</f>
        <v/>
      </c>
      <c r="J217" s="167" t="str">
        <f>IF(ISBLANK(DaqBook_RAW_Data!AO207),"",DaqBook_RAW_Data!AO207)</f>
        <v/>
      </c>
      <c r="K217" s="167" t="str">
        <f>IF(ISBLANK(DaqBook_RAW_Data!AP207),"",DaqBook_RAW_Data!AP207)</f>
        <v/>
      </c>
      <c r="L217" s="167" t="str">
        <f>IF(ISBLANK(DaqBook_RAW_Data!AQ207),"",DaqBook_RAW_Data!AQ207)</f>
        <v/>
      </c>
      <c r="M217" s="167" t="str">
        <f>IF(ISBLANK(DaqBook_RAW_Data!AR207),"",DaqBook_RAW_Data!AR207)</f>
        <v/>
      </c>
      <c r="N217" s="167" t="str">
        <f>IF(ISBLANK(DaqBook_RAW_Data!AS207),"",DaqBook_RAW_Data!AS207)</f>
        <v/>
      </c>
      <c r="O217" s="167"/>
      <c r="P217" s="167"/>
    </row>
    <row r="218" spans="1:16" x14ac:dyDescent="0.2">
      <c r="A218" s="58" t="e">
        <f t="shared" si="3"/>
        <v>#VALUE!</v>
      </c>
      <c r="B218" s="144" t="str">
        <f>IF(ISBLANK(DaqBook_RAW_Data!AG208),IF(DaqBook_RAW_Data!A208="","",TIMEVALUE(DaqBook_RAW_Data!A208)),TIMEVALUE(DaqBook_RAW_Data!AG208))</f>
        <v/>
      </c>
      <c r="C218" s="167" t="str">
        <f>IF(ISBLANK(DaqBook_RAW_Data!AH208),"",DaqBook_RAW_Data!AH208)</f>
        <v/>
      </c>
      <c r="D218" s="167" t="str">
        <f>IF(ISBLANK(DaqBook_RAW_Data!AI208),"",DaqBook_RAW_Data!AI208)</f>
        <v/>
      </c>
      <c r="E218" s="167" t="str">
        <f>IF(ISBLANK(DaqBook_RAW_Data!AJ208),"",DaqBook_RAW_Data!AJ208)</f>
        <v/>
      </c>
      <c r="F218" s="167" t="str">
        <f>IF(ISBLANK(DaqBook_RAW_Data!AK208),"",DaqBook_RAW_Data!AK208)</f>
        <v/>
      </c>
      <c r="G218" s="167" t="str">
        <f>IF(ISBLANK(DaqBook_RAW_Data!AL208),"",DaqBook_RAW_Data!AL208)</f>
        <v/>
      </c>
      <c r="H218" s="167" t="str">
        <f>IF(ISBLANK(DaqBook_RAW_Data!AM208),"",DaqBook_RAW_Data!AM208)</f>
        <v/>
      </c>
      <c r="I218" s="167" t="str">
        <f>IF(ISBLANK(DaqBook_RAW_Data!AN208),"",DaqBook_RAW_Data!AN208)</f>
        <v/>
      </c>
      <c r="J218" s="167" t="str">
        <f>IF(ISBLANK(DaqBook_RAW_Data!AO208),"",DaqBook_RAW_Data!AO208)</f>
        <v/>
      </c>
      <c r="K218" s="167" t="str">
        <f>IF(ISBLANK(DaqBook_RAW_Data!AP208),"",DaqBook_RAW_Data!AP208)</f>
        <v/>
      </c>
      <c r="L218" s="167" t="str">
        <f>IF(ISBLANK(DaqBook_RAW_Data!AQ208),"",DaqBook_RAW_Data!AQ208)</f>
        <v/>
      </c>
      <c r="M218" s="167" t="str">
        <f>IF(ISBLANK(DaqBook_RAW_Data!AR208),"",DaqBook_RAW_Data!AR208)</f>
        <v/>
      </c>
      <c r="N218" s="167" t="str">
        <f>IF(ISBLANK(DaqBook_RAW_Data!AS208),"",DaqBook_RAW_Data!AS208)</f>
        <v/>
      </c>
      <c r="O218" s="167"/>
      <c r="P218" s="167"/>
    </row>
    <row r="219" spans="1:16" x14ac:dyDescent="0.2">
      <c r="A219" s="58" t="e">
        <f t="shared" si="3"/>
        <v>#VALUE!</v>
      </c>
      <c r="B219" s="144" t="str">
        <f>IF(ISBLANK(DaqBook_RAW_Data!AG209),IF(DaqBook_RAW_Data!A209="","",TIMEVALUE(DaqBook_RAW_Data!A209)),TIMEVALUE(DaqBook_RAW_Data!AG209))</f>
        <v/>
      </c>
      <c r="C219" s="167" t="str">
        <f>IF(ISBLANK(DaqBook_RAW_Data!AH209),"",DaqBook_RAW_Data!AH209)</f>
        <v/>
      </c>
      <c r="D219" s="167" t="str">
        <f>IF(ISBLANK(DaqBook_RAW_Data!AI209),"",DaqBook_RAW_Data!AI209)</f>
        <v/>
      </c>
      <c r="E219" s="167" t="str">
        <f>IF(ISBLANK(DaqBook_RAW_Data!AJ209),"",DaqBook_RAW_Data!AJ209)</f>
        <v/>
      </c>
      <c r="F219" s="167" t="str">
        <f>IF(ISBLANK(DaqBook_RAW_Data!AK209),"",DaqBook_RAW_Data!AK209)</f>
        <v/>
      </c>
      <c r="G219" s="167" t="str">
        <f>IF(ISBLANK(DaqBook_RAW_Data!AL209),"",DaqBook_RAW_Data!AL209)</f>
        <v/>
      </c>
      <c r="H219" s="167" t="str">
        <f>IF(ISBLANK(DaqBook_RAW_Data!AM209),"",DaqBook_RAW_Data!AM209)</f>
        <v/>
      </c>
      <c r="I219" s="167" t="str">
        <f>IF(ISBLANK(DaqBook_RAW_Data!AN209),"",DaqBook_RAW_Data!AN209)</f>
        <v/>
      </c>
      <c r="J219" s="167" t="str">
        <f>IF(ISBLANK(DaqBook_RAW_Data!AO209),"",DaqBook_RAW_Data!AO209)</f>
        <v/>
      </c>
      <c r="K219" s="167" t="str">
        <f>IF(ISBLANK(DaqBook_RAW_Data!AP209),"",DaqBook_RAW_Data!AP209)</f>
        <v/>
      </c>
      <c r="L219" s="167" t="str">
        <f>IF(ISBLANK(DaqBook_RAW_Data!AQ209),"",DaqBook_RAW_Data!AQ209)</f>
        <v/>
      </c>
      <c r="M219" s="167" t="str">
        <f>IF(ISBLANK(DaqBook_RAW_Data!AR209),"",DaqBook_RAW_Data!AR209)</f>
        <v/>
      </c>
      <c r="N219" s="167" t="str">
        <f>IF(ISBLANK(DaqBook_RAW_Data!AS209),"",DaqBook_RAW_Data!AS209)</f>
        <v/>
      </c>
      <c r="O219" s="167"/>
      <c r="P219" s="167"/>
    </row>
    <row r="220" spans="1:16" x14ac:dyDescent="0.2">
      <c r="A220" s="58" t="e">
        <f t="shared" si="3"/>
        <v>#VALUE!</v>
      </c>
      <c r="B220" s="144" t="str">
        <f>IF(ISBLANK(DaqBook_RAW_Data!AG210),IF(DaqBook_RAW_Data!A210="","",TIMEVALUE(DaqBook_RAW_Data!A210)),TIMEVALUE(DaqBook_RAW_Data!AG210))</f>
        <v/>
      </c>
      <c r="C220" s="167" t="str">
        <f>IF(ISBLANK(DaqBook_RAW_Data!AH210),"",DaqBook_RAW_Data!AH210)</f>
        <v/>
      </c>
      <c r="D220" s="167" t="str">
        <f>IF(ISBLANK(DaqBook_RAW_Data!AI210),"",DaqBook_RAW_Data!AI210)</f>
        <v/>
      </c>
      <c r="E220" s="167" t="str">
        <f>IF(ISBLANK(DaqBook_RAW_Data!AJ210),"",DaqBook_RAW_Data!AJ210)</f>
        <v/>
      </c>
      <c r="F220" s="167" t="str">
        <f>IF(ISBLANK(DaqBook_RAW_Data!AK210),"",DaqBook_RAW_Data!AK210)</f>
        <v/>
      </c>
      <c r="G220" s="167" t="str">
        <f>IF(ISBLANK(DaqBook_RAW_Data!AL210),"",DaqBook_RAW_Data!AL210)</f>
        <v/>
      </c>
      <c r="H220" s="167" t="str">
        <f>IF(ISBLANK(DaqBook_RAW_Data!AM210),"",DaqBook_RAW_Data!AM210)</f>
        <v/>
      </c>
      <c r="I220" s="167" t="str">
        <f>IF(ISBLANK(DaqBook_RAW_Data!AN210),"",DaqBook_RAW_Data!AN210)</f>
        <v/>
      </c>
      <c r="J220" s="167" t="str">
        <f>IF(ISBLANK(DaqBook_RAW_Data!AO210),"",DaqBook_RAW_Data!AO210)</f>
        <v/>
      </c>
      <c r="K220" s="167" t="str">
        <f>IF(ISBLANK(DaqBook_RAW_Data!AP210),"",DaqBook_RAW_Data!AP210)</f>
        <v/>
      </c>
      <c r="L220" s="167" t="str">
        <f>IF(ISBLANK(DaqBook_RAW_Data!AQ210),"",DaqBook_RAW_Data!AQ210)</f>
        <v/>
      </c>
      <c r="M220" s="167" t="str">
        <f>IF(ISBLANK(DaqBook_RAW_Data!AR210),"",DaqBook_RAW_Data!AR210)</f>
        <v/>
      </c>
      <c r="N220" s="167" t="str">
        <f>IF(ISBLANK(DaqBook_RAW_Data!AS210),"",DaqBook_RAW_Data!AS210)</f>
        <v/>
      </c>
      <c r="O220" s="167"/>
      <c r="P220" s="167"/>
    </row>
    <row r="221" spans="1:16" x14ac:dyDescent="0.2">
      <c r="A221" s="58" t="e">
        <f t="shared" si="3"/>
        <v>#VALUE!</v>
      </c>
      <c r="B221" s="144" t="str">
        <f>IF(ISBLANK(DaqBook_RAW_Data!AG211),IF(DaqBook_RAW_Data!A211="","",TIMEVALUE(DaqBook_RAW_Data!A211)),TIMEVALUE(DaqBook_RAW_Data!AG211))</f>
        <v/>
      </c>
      <c r="C221" s="167" t="str">
        <f>IF(ISBLANK(DaqBook_RAW_Data!AH211),"",DaqBook_RAW_Data!AH211)</f>
        <v/>
      </c>
      <c r="D221" s="167" t="str">
        <f>IF(ISBLANK(DaqBook_RAW_Data!AI211),"",DaqBook_RAW_Data!AI211)</f>
        <v/>
      </c>
      <c r="E221" s="167" t="str">
        <f>IF(ISBLANK(DaqBook_RAW_Data!AJ211),"",DaqBook_RAW_Data!AJ211)</f>
        <v/>
      </c>
      <c r="F221" s="167" t="str">
        <f>IF(ISBLANK(DaqBook_RAW_Data!AK211),"",DaqBook_RAW_Data!AK211)</f>
        <v/>
      </c>
      <c r="G221" s="167" t="str">
        <f>IF(ISBLANK(DaqBook_RAW_Data!AL211),"",DaqBook_RAW_Data!AL211)</f>
        <v/>
      </c>
      <c r="H221" s="167" t="str">
        <f>IF(ISBLANK(DaqBook_RAW_Data!AM211),"",DaqBook_RAW_Data!AM211)</f>
        <v/>
      </c>
      <c r="I221" s="167" t="str">
        <f>IF(ISBLANK(DaqBook_RAW_Data!AN211),"",DaqBook_RAW_Data!AN211)</f>
        <v/>
      </c>
      <c r="J221" s="167" t="str">
        <f>IF(ISBLANK(DaqBook_RAW_Data!AO211),"",DaqBook_RAW_Data!AO211)</f>
        <v/>
      </c>
      <c r="K221" s="167" t="str">
        <f>IF(ISBLANK(DaqBook_RAW_Data!AP211),"",DaqBook_RAW_Data!AP211)</f>
        <v/>
      </c>
      <c r="L221" s="167" t="str">
        <f>IF(ISBLANK(DaqBook_RAW_Data!AQ211),"",DaqBook_RAW_Data!AQ211)</f>
        <v/>
      </c>
      <c r="M221" s="167" t="str">
        <f>IF(ISBLANK(DaqBook_RAW_Data!AR211),"",DaqBook_RAW_Data!AR211)</f>
        <v/>
      </c>
      <c r="N221" s="167" t="str">
        <f>IF(ISBLANK(DaqBook_RAW_Data!AS211),"",DaqBook_RAW_Data!AS211)</f>
        <v/>
      </c>
      <c r="O221" s="167"/>
      <c r="P221" s="167"/>
    </row>
    <row r="222" spans="1:16" x14ac:dyDescent="0.2">
      <c r="A222" s="58" t="e">
        <f t="shared" si="3"/>
        <v>#VALUE!</v>
      </c>
      <c r="B222" s="144" t="str">
        <f>IF(ISBLANK(DaqBook_RAW_Data!AG212),IF(DaqBook_RAW_Data!A212="","",TIMEVALUE(DaqBook_RAW_Data!A212)),TIMEVALUE(DaqBook_RAW_Data!AG212))</f>
        <v/>
      </c>
      <c r="C222" s="167" t="str">
        <f>IF(ISBLANK(DaqBook_RAW_Data!AH212),"",DaqBook_RAW_Data!AH212)</f>
        <v/>
      </c>
      <c r="D222" s="167" t="str">
        <f>IF(ISBLANK(DaqBook_RAW_Data!AI212),"",DaqBook_RAW_Data!AI212)</f>
        <v/>
      </c>
      <c r="E222" s="167" t="str">
        <f>IF(ISBLANK(DaqBook_RAW_Data!AJ212),"",DaqBook_RAW_Data!AJ212)</f>
        <v/>
      </c>
      <c r="F222" s="167" t="str">
        <f>IF(ISBLANK(DaqBook_RAW_Data!AK212),"",DaqBook_RAW_Data!AK212)</f>
        <v/>
      </c>
      <c r="G222" s="167" t="str">
        <f>IF(ISBLANK(DaqBook_RAW_Data!AL212),"",DaqBook_RAW_Data!AL212)</f>
        <v/>
      </c>
      <c r="H222" s="167" t="str">
        <f>IF(ISBLANK(DaqBook_RAW_Data!AM212),"",DaqBook_RAW_Data!AM212)</f>
        <v/>
      </c>
      <c r="I222" s="167" t="str">
        <f>IF(ISBLANK(DaqBook_RAW_Data!AN212),"",DaqBook_RAW_Data!AN212)</f>
        <v/>
      </c>
      <c r="J222" s="167" t="str">
        <f>IF(ISBLANK(DaqBook_RAW_Data!AO212),"",DaqBook_RAW_Data!AO212)</f>
        <v/>
      </c>
      <c r="K222" s="167" t="str">
        <f>IF(ISBLANK(DaqBook_RAW_Data!AP212),"",DaqBook_RAW_Data!AP212)</f>
        <v/>
      </c>
      <c r="L222" s="167" t="str">
        <f>IF(ISBLANK(DaqBook_RAW_Data!AQ212),"",DaqBook_RAW_Data!AQ212)</f>
        <v/>
      </c>
      <c r="M222" s="167" t="str">
        <f>IF(ISBLANK(DaqBook_RAW_Data!AR212),"",DaqBook_RAW_Data!AR212)</f>
        <v/>
      </c>
      <c r="N222" s="167" t="str">
        <f>IF(ISBLANK(DaqBook_RAW_Data!AS212),"",DaqBook_RAW_Data!AS212)</f>
        <v/>
      </c>
      <c r="O222" s="167"/>
      <c r="P222" s="167"/>
    </row>
    <row r="223" spans="1:16" x14ac:dyDescent="0.2">
      <c r="A223" s="58" t="e">
        <f t="shared" si="3"/>
        <v>#VALUE!</v>
      </c>
      <c r="B223" s="144" t="str">
        <f>IF(ISBLANK(DaqBook_RAW_Data!AG213),IF(DaqBook_RAW_Data!A213="","",TIMEVALUE(DaqBook_RAW_Data!A213)),TIMEVALUE(DaqBook_RAW_Data!AG213))</f>
        <v/>
      </c>
      <c r="C223" s="167" t="str">
        <f>IF(ISBLANK(DaqBook_RAW_Data!AH213),"",DaqBook_RAW_Data!AH213)</f>
        <v/>
      </c>
      <c r="D223" s="167" t="str">
        <f>IF(ISBLANK(DaqBook_RAW_Data!AI213),"",DaqBook_RAW_Data!AI213)</f>
        <v/>
      </c>
      <c r="E223" s="167" t="str">
        <f>IF(ISBLANK(DaqBook_RAW_Data!AJ213),"",DaqBook_RAW_Data!AJ213)</f>
        <v/>
      </c>
      <c r="F223" s="167" t="str">
        <f>IF(ISBLANK(DaqBook_RAW_Data!AK213),"",DaqBook_RAW_Data!AK213)</f>
        <v/>
      </c>
      <c r="G223" s="167" t="str">
        <f>IF(ISBLANK(DaqBook_RAW_Data!AL213),"",DaqBook_RAW_Data!AL213)</f>
        <v/>
      </c>
      <c r="H223" s="167" t="str">
        <f>IF(ISBLANK(DaqBook_RAW_Data!AM213),"",DaqBook_RAW_Data!AM213)</f>
        <v/>
      </c>
      <c r="I223" s="167" t="str">
        <f>IF(ISBLANK(DaqBook_RAW_Data!AN213),"",DaqBook_RAW_Data!AN213)</f>
        <v/>
      </c>
      <c r="J223" s="167" t="str">
        <f>IF(ISBLANK(DaqBook_RAW_Data!AO213),"",DaqBook_RAW_Data!AO213)</f>
        <v/>
      </c>
      <c r="K223" s="167" t="str">
        <f>IF(ISBLANK(DaqBook_RAW_Data!AP213),"",DaqBook_RAW_Data!AP213)</f>
        <v/>
      </c>
      <c r="L223" s="167" t="str">
        <f>IF(ISBLANK(DaqBook_RAW_Data!AQ213),"",DaqBook_RAW_Data!AQ213)</f>
        <v/>
      </c>
      <c r="M223" s="167" t="str">
        <f>IF(ISBLANK(DaqBook_RAW_Data!AR213),"",DaqBook_RAW_Data!AR213)</f>
        <v/>
      </c>
      <c r="N223" s="167" t="str">
        <f>IF(ISBLANK(DaqBook_RAW_Data!AS213),"",DaqBook_RAW_Data!AS213)</f>
        <v/>
      </c>
      <c r="O223" s="167"/>
      <c r="P223" s="167"/>
    </row>
    <row r="224" spans="1:16" x14ac:dyDescent="0.2">
      <c r="A224" s="58" t="e">
        <f t="shared" si="3"/>
        <v>#VALUE!</v>
      </c>
      <c r="B224" s="144" t="str">
        <f>IF(ISBLANK(DaqBook_RAW_Data!AG214),IF(DaqBook_RAW_Data!A214="","",TIMEVALUE(DaqBook_RAW_Data!A214)),TIMEVALUE(DaqBook_RAW_Data!AG214))</f>
        <v/>
      </c>
      <c r="C224" s="167" t="str">
        <f>IF(ISBLANK(DaqBook_RAW_Data!AH214),"",DaqBook_RAW_Data!AH214)</f>
        <v/>
      </c>
      <c r="D224" s="167" t="str">
        <f>IF(ISBLANK(DaqBook_RAW_Data!AI214),"",DaqBook_RAW_Data!AI214)</f>
        <v/>
      </c>
      <c r="E224" s="167" t="str">
        <f>IF(ISBLANK(DaqBook_RAW_Data!AJ214),"",DaqBook_RAW_Data!AJ214)</f>
        <v/>
      </c>
      <c r="F224" s="167" t="str">
        <f>IF(ISBLANK(DaqBook_RAW_Data!AK214),"",DaqBook_RAW_Data!AK214)</f>
        <v/>
      </c>
      <c r="G224" s="167" t="str">
        <f>IF(ISBLANK(DaqBook_RAW_Data!AL214),"",DaqBook_RAW_Data!AL214)</f>
        <v/>
      </c>
      <c r="H224" s="167" t="str">
        <f>IF(ISBLANK(DaqBook_RAW_Data!AM214),"",DaqBook_RAW_Data!AM214)</f>
        <v/>
      </c>
      <c r="I224" s="167" t="str">
        <f>IF(ISBLANK(DaqBook_RAW_Data!AN214),"",DaqBook_RAW_Data!AN214)</f>
        <v/>
      </c>
      <c r="J224" s="167" t="str">
        <f>IF(ISBLANK(DaqBook_RAW_Data!AO214),"",DaqBook_RAW_Data!AO214)</f>
        <v/>
      </c>
      <c r="K224" s="167" t="str">
        <f>IF(ISBLANK(DaqBook_RAW_Data!AP214),"",DaqBook_RAW_Data!AP214)</f>
        <v/>
      </c>
      <c r="L224" s="167" t="str">
        <f>IF(ISBLANK(DaqBook_RAW_Data!AQ214),"",DaqBook_RAW_Data!AQ214)</f>
        <v/>
      </c>
      <c r="M224" s="167" t="str">
        <f>IF(ISBLANK(DaqBook_RAW_Data!AR214),"",DaqBook_RAW_Data!AR214)</f>
        <v/>
      </c>
      <c r="N224" s="167" t="str">
        <f>IF(ISBLANK(DaqBook_RAW_Data!AS214),"",DaqBook_RAW_Data!AS214)</f>
        <v/>
      </c>
      <c r="O224" s="167"/>
      <c r="P224" s="167"/>
    </row>
    <row r="225" spans="1:16" x14ac:dyDescent="0.2">
      <c r="A225" s="58" t="e">
        <f t="shared" si="3"/>
        <v>#VALUE!</v>
      </c>
      <c r="B225" s="144" t="str">
        <f>IF(ISBLANK(DaqBook_RAW_Data!AG215),IF(DaqBook_RAW_Data!A215="","",TIMEVALUE(DaqBook_RAW_Data!A215)),TIMEVALUE(DaqBook_RAW_Data!AG215))</f>
        <v/>
      </c>
      <c r="C225" s="167" t="str">
        <f>IF(ISBLANK(DaqBook_RAW_Data!AH215),"",DaqBook_RAW_Data!AH215)</f>
        <v/>
      </c>
      <c r="D225" s="167" t="str">
        <f>IF(ISBLANK(DaqBook_RAW_Data!AI215),"",DaqBook_RAW_Data!AI215)</f>
        <v/>
      </c>
      <c r="E225" s="167" t="str">
        <f>IF(ISBLANK(DaqBook_RAW_Data!AJ215),"",DaqBook_RAW_Data!AJ215)</f>
        <v/>
      </c>
      <c r="F225" s="167" t="str">
        <f>IF(ISBLANK(DaqBook_RAW_Data!AK215),"",DaqBook_RAW_Data!AK215)</f>
        <v/>
      </c>
      <c r="G225" s="167" t="str">
        <f>IF(ISBLANK(DaqBook_RAW_Data!AL215),"",DaqBook_RAW_Data!AL215)</f>
        <v/>
      </c>
      <c r="H225" s="167" t="str">
        <f>IF(ISBLANK(DaqBook_RAW_Data!AM215),"",DaqBook_RAW_Data!AM215)</f>
        <v/>
      </c>
      <c r="I225" s="167" t="str">
        <f>IF(ISBLANK(DaqBook_RAW_Data!AN215),"",DaqBook_RAW_Data!AN215)</f>
        <v/>
      </c>
      <c r="J225" s="167" t="str">
        <f>IF(ISBLANK(DaqBook_RAW_Data!AO215),"",DaqBook_RAW_Data!AO215)</f>
        <v/>
      </c>
      <c r="K225" s="167" t="str">
        <f>IF(ISBLANK(DaqBook_RAW_Data!AP215),"",DaqBook_RAW_Data!AP215)</f>
        <v/>
      </c>
      <c r="L225" s="167" t="str">
        <f>IF(ISBLANK(DaqBook_RAW_Data!AQ215),"",DaqBook_RAW_Data!AQ215)</f>
        <v/>
      </c>
      <c r="M225" s="167" t="str">
        <f>IF(ISBLANK(DaqBook_RAW_Data!AR215),"",DaqBook_RAW_Data!AR215)</f>
        <v/>
      </c>
      <c r="N225" s="167" t="str">
        <f>IF(ISBLANK(DaqBook_RAW_Data!AS215),"",DaqBook_RAW_Data!AS215)</f>
        <v/>
      </c>
      <c r="O225" s="167"/>
      <c r="P225" s="167"/>
    </row>
    <row r="226" spans="1:16" x14ac:dyDescent="0.2">
      <c r="A226" s="58" t="e">
        <f t="shared" si="3"/>
        <v>#VALUE!</v>
      </c>
      <c r="B226" s="144" t="str">
        <f>IF(ISBLANK(DaqBook_RAW_Data!AG216),IF(DaqBook_RAW_Data!A216="","",TIMEVALUE(DaqBook_RAW_Data!A216)),TIMEVALUE(DaqBook_RAW_Data!AG216))</f>
        <v/>
      </c>
      <c r="C226" s="167" t="str">
        <f>IF(ISBLANK(DaqBook_RAW_Data!AH216),"",DaqBook_RAW_Data!AH216)</f>
        <v/>
      </c>
      <c r="D226" s="167" t="str">
        <f>IF(ISBLANK(DaqBook_RAW_Data!AI216),"",DaqBook_RAW_Data!AI216)</f>
        <v/>
      </c>
      <c r="E226" s="167" t="str">
        <f>IF(ISBLANK(DaqBook_RAW_Data!AJ216),"",DaqBook_RAW_Data!AJ216)</f>
        <v/>
      </c>
      <c r="F226" s="167" t="str">
        <f>IF(ISBLANK(DaqBook_RAW_Data!AK216),"",DaqBook_RAW_Data!AK216)</f>
        <v/>
      </c>
      <c r="G226" s="167" t="str">
        <f>IF(ISBLANK(DaqBook_RAW_Data!AL216),"",DaqBook_RAW_Data!AL216)</f>
        <v/>
      </c>
      <c r="H226" s="167" t="str">
        <f>IF(ISBLANK(DaqBook_RAW_Data!AM216),"",DaqBook_RAW_Data!AM216)</f>
        <v/>
      </c>
      <c r="I226" s="167" t="str">
        <f>IF(ISBLANK(DaqBook_RAW_Data!AN216),"",DaqBook_RAW_Data!AN216)</f>
        <v/>
      </c>
      <c r="J226" s="167" t="str">
        <f>IF(ISBLANK(DaqBook_RAW_Data!AO216),"",DaqBook_RAW_Data!AO216)</f>
        <v/>
      </c>
      <c r="K226" s="167" t="str">
        <f>IF(ISBLANK(DaqBook_RAW_Data!AP216),"",DaqBook_RAW_Data!AP216)</f>
        <v/>
      </c>
      <c r="L226" s="167" t="str">
        <f>IF(ISBLANK(DaqBook_RAW_Data!AQ216),"",DaqBook_RAW_Data!AQ216)</f>
        <v/>
      </c>
      <c r="M226" s="167" t="str">
        <f>IF(ISBLANK(DaqBook_RAW_Data!AR216),"",DaqBook_RAW_Data!AR216)</f>
        <v/>
      </c>
      <c r="N226" s="167" t="str">
        <f>IF(ISBLANK(DaqBook_RAW_Data!AS216),"",DaqBook_RAW_Data!AS216)</f>
        <v/>
      </c>
      <c r="O226" s="167"/>
      <c r="P226" s="167"/>
    </row>
    <row r="227" spans="1:16" x14ac:dyDescent="0.2">
      <c r="A227" s="58" t="e">
        <f t="shared" si="3"/>
        <v>#VALUE!</v>
      </c>
      <c r="B227" s="144" t="str">
        <f>IF(ISBLANK(DaqBook_RAW_Data!AG217),IF(DaqBook_RAW_Data!A217="","",TIMEVALUE(DaqBook_RAW_Data!A217)),TIMEVALUE(DaqBook_RAW_Data!AG217))</f>
        <v/>
      </c>
      <c r="C227" s="167" t="str">
        <f>IF(ISBLANK(DaqBook_RAW_Data!AH217),"",DaqBook_RAW_Data!AH217)</f>
        <v/>
      </c>
      <c r="D227" s="167" t="str">
        <f>IF(ISBLANK(DaqBook_RAW_Data!AI217),"",DaqBook_RAW_Data!AI217)</f>
        <v/>
      </c>
      <c r="E227" s="167" t="str">
        <f>IF(ISBLANK(DaqBook_RAW_Data!AJ217),"",DaqBook_RAW_Data!AJ217)</f>
        <v/>
      </c>
      <c r="F227" s="167" t="str">
        <f>IF(ISBLANK(DaqBook_RAW_Data!AK217),"",DaqBook_RAW_Data!AK217)</f>
        <v/>
      </c>
      <c r="G227" s="167" t="str">
        <f>IF(ISBLANK(DaqBook_RAW_Data!AL217),"",DaqBook_RAW_Data!AL217)</f>
        <v/>
      </c>
      <c r="H227" s="167" t="str">
        <f>IF(ISBLANK(DaqBook_RAW_Data!AM217),"",DaqBook_RAW_Data!AM217)</f>
        <v/>
      </c>
      <c r="I227" s="167" t="str">
        <f>IF(ISBLANK(DaqBook_RAW_Data!AN217),"",DaqBook_RAW_Data!AN217)</f>
        <v/>
      </c>
      <c r="J227" s="167" t="str">
        <f>IF(ISBLANK(DaqBook_RAW_Data!AO217),"",DaqBook_RAW_Data!AO217)</f>
        <v/>
      </c>
      <c r="K227" s="167" t="str">
        <f>IF(ISBLANK(DaqBook_RAW_Data!AP217),"",DaqBook_RAW_Data!AP217)</f>
        <v/>
      </c>
      <c r="L227" s="167" t="str">
        <f>IF(ISBLANK(DaqBook_RAW_Data!AQ217),"",DaqBook_RAW_Data!AQ217)</f>
        <v/>
      </c>
      <c r="M227" s="167" t="str">
        <f>IF(ISBLANK(DaqBook_RAW_Data!AR217),"",DaqBook_RAW_Data!AR217)</f>
        <v/>
      </c>
      <c r="N227" s="167" t="str">
        <f>IF(ISBLANK(DaqBook_RAW_Data!AS217),"",DaqBook_RAW_Data!AS217)</f>
        <v/>
      </c>
      <c r="O227" s="167"/>
      <c r="P227" s="167"/>
    </row>
    <row r="228" spans="1:16" x14ac:dyDescent="0.2">
      <c r="A228" s="58" t="e">
        <f t="shared" si="3"/>
        <v>#VALUE!</v>
      </c>
      <c r="B228" s="144" t="str">
        <f>IF(ISBLANK(DaqBook_RAW_Data!AG218),IF(DaqBook_RAW_Data!A218="","",TIMEVALUE(DaqBook_RAW_Data!A218)),TIMEVALUE(DaqBook_RAW_Data!AG218))</f>
        <v/>
      </c>
      <c r="C228" s="167" t="str">
        <f>IF(ISBLANK(DaqBook_RAW_Data!AH218),"",DaqBook_RAW_Data!AH218)</f>
        <v/>
      </c>
      <c r="D228" s="167" t="str">
        <f>IF(ISBLANK(DaqBook_RAW_Data!AI218),"",DaqBook_RAW_Data!AI218)</f>
        <v/>
      </c>
      <c r="E228" s="167" t="str">
        <f>IF(ISBLANK(DaqBook_RAW_Data!AJ218),"",DaqBook_RAW_Data!AJ218)</f>
        <v/>
      </c>
      <c r="F228" s="167" t="str">
        <f>IF(ISBLANK(DaqBook_RAW_Data!AK218),"",DaqBook_RAW_Data!AK218)</f>
        <v/>
      </c>
      <c r="G228" s="167" t="str">
        <f>IF(ISBLANK(DaqBook_RAW_Data!AL218),"",DaqBook_RAW_Data!AL218)</f>
        <v/>
      </c>
      <c r="H228" s="167" t="str">
        <f>IF(ISBLANK(DaqBook_RAW_Data!AM218),"",DaqBook_RAW_Data!AM218)</f>
        <v/>
      </c>
      <c r="I228" s="167" t="str">
        <f>IF(ISBLANK(DaqBook_RAW_Data!AN218),"",DaqBook_RAW_Data!AN218)</f>
        <v/>
      </c>
      <c r="J228" s="167" t="str">
        <f>IF(ISBLANK(DaqBook_RAW_Data!AO218),"",DaqBook_RAW_Data!AO218)</f>
        <v/>
      </c>
      <c r="K228" s="167" t="str">
        <f>IF(ISBLANK(DaqBook_RAW_Data!AP218),"",DaqBook_RAW_Data!AP218)</f>
        <v/>
      </c>
      <c r="L228" s="167" t="str">
        <f>IF(ISBLANK(DaqBook_RAW_Data!AQ218),"",DaqBook_RAW_Data!AQ218)</f>
        <v/>
      </c>
      <c r="M228" s="167" t="str">
        <f>IF(ISBLANK(DaqBook_RAW_Data!AR218),"",DaqBook_RAW_Data!AR218)</f>
        <v/>
      </c>
      <c r="N228" s="167" t="str">
        <f>IF(ISBLANK(DaqBook_RAW_Data!AS218),"",DaqBook_RAW_Data!AS218)</f>
        <v/>
      </c>
      <c r="O228" s="167"/>
      <c r="P228" s="167"/>
    </row>
    <row r="229" spans="1:16" x14ac:dyDescent="0.2">
      <c r="A229" s="58" t="e">
        <f t="shared" si="3"/>
        <v>#VALUE!</v>
      </c>
      <c r="B229" s="144" t="str">
        <f>IF(ISBLANK(DaqBook_RAW_Data!AG219),IF(DaqBook_RAW_Data!A219="","",TIMEVALUE(DaqBook_RAW_Data!A219)),TIMEVALUE(DaqBook_RAW_Data!AG219))</f>
        <v/>
      </c>
      <c r="C229" s="167" t="str">
        <f>IF(ISBLANK(DaqBook_RAW_Data!AH219),"",DaqBook_RAW_Data!AH219)</f>
        <v/>
      </c>
      <c r="D229" s="167" t="str">
        <f>IF(ISBLANK(DaqBook_RAW_Data!AI219),"",DaqBook_RAW_Data!AI219)</f>
        <v/>
      </c>
      <c r="E229" s="167" t="str">
        <f>IF(ISBLANK(DaqBook_RAW_Data!AJ219),"",DaqBook_RAW_Data!AJ219)</f>
        <v/>
      </c>
      <c r="F229" s="167" t="str">
        <f>IF(ISBLANK(DaqBook_RAW_Data!AK219),"",DaqBook_RAW_Data!AK219)</f>
        <v/>
      </c>
      <c r="G229" s="167" t="str">
        <f>IF(ISBLANK(DaqBook_RAW_Data!AL219),"",DaqBook_RAW_Data!AL219)</f>
        <v/>
      </c>
      <c r="H229" s="167" t="str">
        <f>IF(ISBLANK(DaqBook_RAW_Data!AM219),"",DaqBook_RAW_Data!AM219)</f>
        <v/>
      </c>
      <c r="I229" s="167" t="str">
        <f>IF(ISBLANK(DaqBook_RAW_Data!AN219),"",DaqBook_RAW_Data!AN219)</f>
        <v/>
      </c>
      <c r="J229" s="167" t="str">
        <f>IF(ISBLANK(DaqBook_RAW_Data!AO219),"",DaqBook_RAW_Data!AO219)</f>
        <v/>
      </c>
      <c r="K229" s="167" t="str">
        <f>IF(ISBLANK(DaqBook_RAW_Data!AP219),"",DaqBook_RAW_Data!AP219)</f>
        <v/>
      </c>
      <c r="L229" s="167" t="str">
        <f>IF(ISBLANK(DaqBook_RAW_Data!AQ219),"",DaqBook_RAW_Data!AQ219)</f>
        <v/>
      </c>
      <c r="M229" s="167" t="str">
        <f>IF(ISBLANK(DaqBook_RAW_Data!AR219),"",DaqBook_RAW_Data!AR219)</f>
        <v/>
      </c>
      <c r="N229" s="167" t="str">
        <f>IF(ISBLANK(DaqBook_RAW_Data!AS219),"",DaqBook_RAW_Data!AS219)</f>
        <v/>
      </c>
      <c r="O229" s="167"/>
      <c r="P229" s="167"/>
    </row>
    <row r="230" spans="1:16" x14ac:dyDescent="0.2">
      <c r="A230" s="58" t="e">
        <f t="shared" si="3"/>
        <v>#VALUE!</v>
      </c>
      <c r="B230" s="144" t="str">
        <f>IF(ISBLANK(DaqBook_RAW_Data!AG220),IF(DaqBook_RAW_Data!A220="","",TIMEVALUE(DaqBook_RAW_Data!A220)),TIMEVALUE(DaqBook_RAW_Data!AG220))</f>
        <v/>
      </c>
      <c r="C230" s="167" t="str">
        <f>IF(ISBLANK(DaqBook_RAW_Data!AH220),"",DaqBook_RAW_Data!AH220)</f>
        <v/>
      </c>
      <c r="D230" s="167" t="str">
        <f>IF(ISBLANK(DaqBook_RAW_Data!AI220),"",DaqBook_RAW_Data!AI220)</f>
        <v/>
      </c>
      <c r="E230" s="167" t="str">
        <f>IF(ISBLANK(DaqBook_RAW_Data!AJ220),"",DaqBook_RAW_Data!AJ220)</f>
        <v/>
      </c>
      <c r="F230" s="167" t="str">
        <f>IF(ISBLANK(DaqBook_RAW_Data!AK220),"",DaqBook_RAW_Data!AK220)</f>
        <v/>
      </c>
      <c r="G230" s="167" t="str">
        <f>IF(ISBLANK(DaqBook_RAW_Data!AL220),"",DaqBook_RAW_Data!AL220)</f>
        <v/>
      </c>
      <c r="H230" s="167" t="str">
        <f>IF(ISBLANK(DaqBook_RAW_Data!AM220),"",DaqBook_RAW_Data!AM220)</f>
        <v/>
      </c>
      <c r="I230" s="167" t="str">
        <f>IF(ISBLANK(DaqBook_RAW_Data!AN220),"",DaqBook_RAW_Data!AN220)</f>
        <v/>
      </c>
      <c r="J230" s="167" t="str">
        <f>IF(ISBLANK(DaqBook_RAW_Data!AO220),"",DaqBook_RAW_Data!AO220)</f>
        <v/>
      </c>
      <c r="K230" s="167" t="str">
        <f>IF(ISBLANK(DaqBook_RAW_Data!AP220),"",DaqBook_RAW_Data!AP220)</f>
        <v/>
      </c>
      <c r="L230" s="167" t="str">
        <f>IF(ISBLANK(DaqBook_RAW_Data!AQ220),"",DaqBook_RAW_Data!AQ220)</f>
        <v/>
      </c>
      <c r="M230" s="167" t="str">
        <f>IF(ISBLANK(DaqBook_RAW_Data!AR220),"",DaqBook_RAW_Data!AR220)</f>
        <v/>
      </c>
      <c r="N230" s="167" t="str">
        <f>IF(ISBLANK(DaqBook_RAW_Data!AS220),"",DaqBook_RAW_Data!AS220)</f>
        <v/>
      </c>
      <c r="O230" s="167"/>
      <c r="P230" s="167"/>
    </row>
    <row r="231" spans="1:16" x14ac:dyDescent="0.2">
      <c r="A231" s="58" t="e">
        <f t="shared" si="3"/>
        <v>#VALUE!</v>
      </c>
      <c r="B231" s="144" t="str">
        <f>IF(ISBLANK(DaqBook_RAW_Data!AG221),IF(DaqBook_RAW_Data!A221="","",TIMEVALUE(DaqBook_RAW_Data!A221)),TIMEVALUE(DaqBook_RAW_Data!AG221))</f>
        <v/>
      </c>
      <c r="C231" s="167" t="str">
        <f>IF(ISBLANK(DaqBook_RAW_Data!AH221),"",DaqBook_RAW_Data!AH221)</f>
        <v/>
      </c>
      <c r="D231" s="167" t="str">
        <f>IF(ISBLANK(DaqBook_RAW_Data!AI221),"",DaqBook_RAW_Data!AI221)</f>
        <v/>
      </c>
      <c r="E231" s="167" t="str">
        <f>IF(ISBLANK(DaqBook_RAW_Data!AJ221),"",DaqBook_RAW_Data!AJ221)</f>
        <v/>
      </c>
      <c r="F231" s="167" t="str">
        <f>IF(ISBLANK(DaqBook_RAW_Data!AK221),"",DaqBook_RAW_Data!AK221)</f>
        <v/>
      </c>
      <c r="G231" s="167" t="str">
        <f>IF(ISBLANK(DaqBook_RAW_Data!AL221),"",DaqBook_RAW_Data!AL221)</f>
        <v/>
      </c>
      <c r="H231" s="167" t="str">
        <f>IF(ISBLANK(DaqBook_RAW_Data!AM221),"",DaqBook_RAW_Data!AM221)</f>
        <v/>
      </c>
      <c r="I231" s="167" t="str">
        <f>IF(ISBLANK(DaqBook_RAW_Data!AN221),"",DaqBook_RAW_Data!AN221)</f>
        <v/>
      </c>
      <c r="J231" s="167" t="str">
        <f>IF(ISBLANK(DaqBook_RAW_Data!AO221),"",DaqBook_RAW_Data!AO221)</f>
        <v/>
      </c>
      <c r="K231" s="167" t="str">
        <f>IF(ISBLANK(DaqBook_RAW_Data!AP221),"",DaqBook_RAW_Data!AP221)</f>
        <v/>
      </c>
      <c r="L231" s="167" t="str">
        <f>IF(ISBLANK(DaqBook_RAW_Data!AQ221),"",DaqBook_RAW_Data!AQ221)</f>
        <v/>
      </c>
      <c r="M231" s="167" t="str">
        <f>IF(ISBLANK(DaqBook_RAW_Data!AR221),"",DaqBook_RAW_Data!AR221)</f>
        <v/>
      </c>
      <c r="N231" s="167" t="str">
        <f>IF(ISBLANK(DaqBook_RAW_Data!AS221),"",DaqBook_RAW_Data!AS221)</f>
        <v/>
      </c>
      <c r="O231" s="167"/>
      <c r="P231" s="167"/>
    </row>
    <row r="232" spans="1:16" x14ac:dyDescent="0.2">
      <c r="A232" s="58" t="e">
        <f t="shared" si="3"/>
        <v>#VALUE!</v>
      </c>
      <c r="B232" s="144" t="str">
        <f>IF(ISBLANK(DaqBook_RAW_Data!AG222),IF(DaqBook_RAW_Data!A222="","",TIMEVALUE(DaqBook_RAW_Data!A222)),TIMEVALUE(DaqBook_RAW_Data!AG222))</f>
        <v/>
      </c>
      <c r="C232" s="167" t="str">
        <f>IF(ISBLANK(DaqBook_RAW_Data!AH222),"",DaqBook_RAW_Data!AH222)</f>
        <v/>
      </c>
      <c r="D232" s="167" t="str">
        <f>IF(ISBLANK(DaqBook_RAW_Data!AI222),"",DaqBook_RAW_Data!AI222)</f>
        <v/>
      </c>
      <c r="E232" s="167" t="str">
        <f>IF(ISBLANK(DaqBook_RAW_Data!AJ222),"",DaqBook_RAW_Data!AJ222)</f>
        <v/>
      </c>
      <c r="F232" s="167" t="str">
        <f>IF(ISBLANK(DaqBook_RAW_Data!AK222),"",DaqBook_RAW_Data!AK222)</f>
        <v/>
      </c>
      <c r="G232" s="167" t="str">
        <f>IF(ISBLANK(DaqBook_RAW_Data!AL222),"",DaqBook_RAW_Data!AL222)</f>
        <v/>
      </c>
      <c r="H232" s="167" t="str">
        <f>IF(ISBLANK(DaqBook_RAW_Data!AM222),"",DaqBook_RAW_Data!AM222)</f>
        <v/>
      </c>
      <c r="I232" s="167" t="str">
        <f>IF(ISBLANK(DaqBook_RAW_Data!AN222),"",DaqBook_RAW_Data!AN222)</f>
        <v/>
      </c>
      <c r="J232" s="167" t="str">
        <f>IF(ISBLANK(DaqBook_RAW_Data!AO222),"",DaqBook_RAW_Data!AO222)</f>
        <v/>
      </c>
      <c r="K232" s="167" t="str">
        <f>IF(ISBLANK(DaqBook_RAW_Data!AP222),"",DaqBook_RAW_Data!AP222)</f>
        <v/>
      </c>
      <c r="L232" s="167" t="str">
        <f>IF(ISBLANK(DaqBook_RAW_Data!AQ222),"",DaqBook_RAW_Data!AQ222)</f>
        <v/>
      </c>
      <c r="M232" s="167" t="str">
        <f>IF(ISBLANK(DaqBook_RAW_Data!AR222),"",DaqBook_RAW_Data!AR222)</f>
        <v/>
      </c>
      <c r="N232" s="167" t="str">
        <f>IF(ISBLANK(DaqBook_RAW_Data!AS222),"",DaqBook_RAW_Data!AS222)</f>
        <v/>
      </c>
      <c r="O232" s="167"/>
      <c r="P232" s="167"/>
    </row>
    <row r="233" spans="1:16" x14ac:dyDescent="0.2">
      <c r="A233" s="58" t="e">
        <f t="shared" si="3"/>
        <v>#VALUE!</v>
      </c>
      <c r="B233" s="144" t="str">
        <f>IF(ISBLANK(DaqBook_RAW_Data!AG223),IF(DaqBook_RAW_Data!A223="","",TIMEVALUE(DaqBook_RAW_Data!A223)),TIMEVALUE(DaqBook_RAW_Data!AG223))</f>
        <v/>
      </c>
      <c r="C233" s="167" t="str">
        <f>IF(ISBLANK(DaqBook_RAW_Data!AH223),"",DaqBook_RAW_Data!AH223)</f>
        <v/>
      </c>
      <c r="D233" s="167" t="str">
        <f>IF(ISBLANK(DaqBook_RAW_Data!AI223),"",DaqBook_RAW_Data!AI223)</f>
        <v/>
      </c>
      <c r="E233" s="167" t="str">
        <f>IF(ISBLANK(DaqBook_RAW_Data!AJ223),"",DaqBook_RAW_Data!AJ223)</f>
        <v/>
      </c>
      <c r="F233" s="167" t="str">
        <f>IF(ISBLANK(DaqBook_RAW_Data!AK223),"",DaqBook_RAW_Data!AK223)</f>
        <v/>
      </c>
      <c r="G233" s="167" t="str">
        <f>IF(ISBLANK(DaqBook_RAW_Data!AL223),"",DaqBook_RAW_Data!AL223)</f>
        <v/>
      </c>
      <c r="H233" s="167" t="str">
        <f>IF(ISBLANK(DaqBook_RAW_Data!AM223),"",DaqBook_RAW_Data!AM223)</f>
        <v/>
      </c>
      <c r="I233" s="167" t="str">
        <f>IF(ISBLANK(DaqBook_RAW_Data!AN223),"",DaqBook_RAW_Data!AN223)</f>
        <v/>
      </c>
      <c r="J233" s="167" t="str">
        <f>IF(ISBLANK(DaqBook_RAW_Data!AO223),"",DaqBook_RAW_Data!AO223)</f>
        <v/>
      </c>
      <c r="K233" s="167" t="str">
        <f>IF(ISBLANK(DaqBook_RAW_Data!AP223),"",DaqBook_RAW_Data!AP223)</f>
        <v/>
      </c>
      <c r="L233" s="167" t="str">
        <f>IF(ISBLANK(DaqBook_RAW_Data!AQ223),"",DaqBook_RAW_Data!AQ223)</f>
        <v/>
      </c>
      <c r="M233" s="167" t="str">
        <f>IF(ISBLANK(DaqBook_RAW_Data!AR223),"",DaqBook_RAW_Data!AR223)</f>
        <v/>
      </c>
      <c r="N233" s="167" t="str">
        <f>IF(ISBLANK(DaqBook_RAW_Data!AS223),"",DaqBook_RAW_Data!AS223)</f>
        <v/>
      </c>
      <c r="O233" s="167"/>
      <c r="P233" s="167"/>
    </row>
    <row r="234" spans="1:16" x14ac:dyDescent="0.2">
      <c r="A234" s="58" t="e">
        <f t="shared" si="3"/>
        <v>#VALUE!</v>
      </c>
      <c r="B234" s="144" t="str">
        <f>IF(ISBLANK(DaqBook_RAW_Data!AG224),IF(DaqBook_RAW_Data!A224="","",TIMEVALUE(DaqBook_RAW_Data!A224)),TIMEVALUE(DaqBook_RAW_Data!AG224))</f>
        <v/>
      </c>
      <c r="C234" s="167" t="str">
        <f>IF(ISBLANK(DaqBook_RAW_Data!AH224),"",DaqBook_RAW_Data!AH224)</f>
        <v/>
      </c>
      <c r="D234" s="167" t="str">
        <f>IF(ISBLANK(DaqBook_RAW_Data!AI224),"",DaqBook_RAW_Data!AI224)</f>
        <v/>
      </c>
      <c r="E234" s="167" t="str">
        <f>IF(ISBLANK(DaqBook_RAW_Data!AJ224),"",DaqBook_RAW_Data!AJ224)</f>
        <v/>
      </c>
      <c r="F234" s="167" t="str">
        <f>IF(ISBLANK(DaqBook_RAW_Data!AK224),"",DaqBook_RAW_Data!AK224)</f>
        <v/>
      </c>
      <c r="G234" s="167" t="str">
        <f>IF(ISBLANK(DaqBook_RAW_Data!AL224),"",DaqBook_RAW_Data!AL224)</f>
        <v/>
      </c>
      <c r="H234" s="167" t="str">
        <f>IF(ISBLANK(DaqBook_RAW_Data!AM224),"",DaqBook_RAW_Data!AM224)</f>
        <v/>
      </c>
      <c r="I234" s="167" t="str">
        <f>IF(ISBLANK(DaqBook_RAW_Data!AN224),"",DaqBook_RAW_Data!AN224)</f>
        <v/>
      </c>
      <c r="J234" s="167" t="str">
        <f>IF(ISBLANK(DaqBook_RAW_Data!AO224),"",DaqBook_RAW_Data!AO224)</f>
        <v/>
      </c>
      <c r="K234" s="167" t="str">
        <f>IF(ISBLANK(DaqBook_RAW_Data!AP224),"",DaqBook_RAW_Data!AP224)</f>
        <v/>
      </c>
      <c r="L234" s="167" t="str">
        <f>IF(ISBLANK(DaqBook_RAW_Data!AQ224),"",DaqBook_RAW_Data!AQ224)</f>
        <v/>
      </c>
      <c r="M234" s="167" t="str">
        <f>IF(ISBLANK(DaqBook_RAW_Data!AR224),"",DaqBook_RAW_Data!AR224)</f>
        <v/>
      </c>
      <c r="N234" s="167" t="str">
        <f>IF(ISBLANK(DaqBook_RAW_Data!AS224),"",DaqBook_RAW_Data!AS224)</f>
        <v/>
      </c>
      <c r="O234" s="167"/>
      <c r="P234" s="167"/>
    </row>
    <row r="235" spans="1:16" x14ac:dyDescent="0.2">
      <c r="A235" s="58" t="e">
        <f t="shared" si="3"/>
        <v>#VALUE!</v>
      </c>
      <c r="B235" s="144" t="str">
        <f>IF(ISBLANK(DaqBook_RAW_Data!AG225),IF(DaqBook_RAW_Data!A225="","",TIMEVALUE(DaqBook_RAW_Data!A225)),TIMEVALUE(DaqBook_RAW_Data!AG225))</f>
        <v/>
      </c>
      <c r="C235" s="167" t="str">
        <f>IF(ISBLANK(DaqBook_RAW_Data!AH225),"",DaqBook_RAW_Data!AH225)</f>
        <v/>
      </c>
      <c r="D235" s="167" t="str">
        <f>IF(ISBLANK(DaqBook_RAW_Data!AI225),"",DaqBook_RAW_Data!AI225)</f>
        <v/>
      </c>
      <c r="E235" s="167" t="str">
        <f>IF(ISBLANK(DaqBook_RAW_Data!AJ225),"",DaqBook_RAW_Data!AJ225)</f>
        <v/>
      </c>
      <c r="F235" s="167" t="str">
        <f>IF(ISBLANK(DaqBook_RAW_Data!AK225),"",DaqBook_RAW_Data!AK225)</f>
        <v/>
      </c>
      <c r="G235" s="167" t="str">
        <f>IF(ISBLANK(DaqBook_RAW_Data!AL225),"",DaqBook_RAW_Data!AL225)</f>
        <v/>
      </c>
      <c r="H235" s="167" t="str">
        <f>IF(ISBLANK(DaqBook_RAW_Data!AM225),"",DaqBook_RAW_Data!AM225)</f>
        <v/>
      </c>
      <c r="I235" s="167" t="str">
        <f>IF(ISBLANK(DaqBook_RAW_Data!AN225),"",DaqBook_RAW_Data!AN225)</f>
        <v/>
      </c>
      <c r="J235" s="167" t="str">
        <f>IF(ISBLANK(DaqBook_RAW_Data!AO225),"",DaqBook_RAW_Data!AO225)</f>
        <v/>
      </c>
      <c r="K235" s="167" t="str">
        <f>IF(ISBLANK(DaqBook_RAW_Data!AP225),"",DaqBook_RAW_Data!AP225)</f>
        <v/>
      </c>
      <c r="L235" s="167" t="str">
        <f>IF(ISBLANK(DaqBook_RAW_Data!AQ225),"",DaqBook_RAW_Data!AQ225)</f>
        <v/>
      </c>
      <c r="M235" s="167" t="str">
        <f>IF(ISBLANK(DaqBook_RAW_Data!AR225),"",DaqBook_RAW_Data!AR225)</f>
        <v/>
      </c>
      <c r="N235" s="167" t="str">
        <f>IF(ISBLANK(DaqBook_RAW_Data!AS225),"",DaqBook_RAW_Data!AS225)</f>
        <v/>
      </c>
      <c r="O235" s="167"/>
      <c r="P235" s="167"/>
    </row>
    <row r="236" spans="1:16" x14ac:dyDescent="0.2">
      <c r="A236" s="58" t="e">
        <f t="shared" si="3"/>
        <v>#VALUE!</v>
      </c>
      <c r="B236" s="144" t="str">
        <f>IF(ISBLANK(DaqBook_RAW_Data!AG226),IF(DaqBook_RAW_Data!A226="","",TIMEVALUE(DaqBook_RAW_Data!A226)),TIMEVALUE(DaqBook_RAW_Data!AG226))</f>
        <v/>
      </c>
      <c r="C236" s="167" t="str">
        <f>IF(ISBLANK(DaqBook_RAW_Data!AH226),"",DaqBook_RAW_Data!AH226)</f>
        <v/>
      </c>
      <c r="D236" s="167" t="str">
        <f>IF(ISBLANK(DaqBook_RAW_Data!AI226),"",DaqBook_RAW_Data!AI226)</f>
        <v/>
      </c>
      <c r="E236" s="167" t="str">
        <f>IF(ISBLANK(DaqBook_RAW_Data!AJ226),"",DaqBook_RAW_Data!AJ226)</f>
        <v/>
      </c>
      <c r="F236" s="167" t="str">
        <f>IF(ISBLANK(DaqBook_RAW_Data!AK226),"",DaqBook_RAW_Data!AK226)</f>
        <v/>
      </c>
      <c r="G236" s="167" t="str">
        <f>IF(ISBLANK(DaqBook_RAW_Data!AL226),"",DaqBook_RAW_Data!AL226)</f>
        <v/>
      </c>
      <c r="H236" s="167" t="str">
        <f>IF(ISBLANK(DaqBook_RAW_Data!AM226),"",DaqBook_RAW_Data!AM226)</f>
        <v/>
      </c>
      <c r="I236" s="167" t="str">
        <f>IF(ISBLANK(DaqBook_RAW_Data!AN226),"",DaqBook_RAW_Data!AN226)</f>
        <v/>
      </c>
      <c r="J236" s="167" t="str">
        <f>IF(ISBLANK(DaqBook_RAW_Data!AO226),"",DaqBook_RAW_Data!AO226)</f>
        <v/>
      </c>
      <c r="K236" s="167" t="str">
        <f>IF(ISBLANK(DaqBook_RAW_Data!AP226),"",DaqBook_RAW_Data!AP226)</f>
        <v/>
      </c>
      <c r="L236" s="167" t="str">
        <f>IF(ISBLANK(DaqBook_RAW_Data!AQ226),"",DaqBook_RAW_Data!AQ226)</f>
        <v/>
      </c>
      <c r="M236" s="167" t="str">
        <f>IF(ISBLANK(DaqBook_RAW_Data!AR226),"",DaqBook_RAW_Data!AR226)</f>
        <v/>
      </c>
      <c r="N236" s="167" t="str">
        <f>IF(ISBLANK(DaqBook_RAW_Data!AS226),"",DaqBook_RAW_Data!AS226)</f>
        <v/>
      </c>
      <c r="O236" s="167"/>
      <c r="P236" s="167"/>
    </row>
    <row r="237" spans="1:16" x14ac:dyDescent="0.2">
      <c r="A237" s="58" t="e">
        <f t="shared" si="3"/>
        <v>#VALUE!</v>
      </c>
      <c r="B237" s="144" t="str">
        <f>IF(ISBLANK(DaqBook_RAW_Data!AG227),IF(DaqBook_RAW_Data!A227="","",TIMEVALUE(DaqBook_RAW_Data!A227)),TIMEVALUE(DaqBook_RAW_Data!AG227))</f>
        <v/>
      </c>
      <c r="C237" s="167" t="str">
        <f>IF(ISBLANK(DaqBook_RAW_Data!AH227),"",DaqBook_RAW_Data!AH227)</f>
        <v/>
      </c>
      <c r="D237" s="167" t="str">
        <f>IF(ISBLANK(DaqBook_RAW_Data!AI227),"",DaqBook_RAW_Data!AI227)</f>
        <v/>
      </c>
      <c r="E237" s="167" t="str">
        <f>IF(ISBLANK(DaqBook_RAW_Data!AJ227),"",DaqBook_RAW_Data!AJ227)</f>
        <v/>
      </c>
      <c r="F237" s="167" t="str">
        <f>IF(ISBLANK(DaqBook_RAW_Data!AK227),"",DaqBook_RAW_Data!AK227)</f>
        <v/>
      </c>
      <c r="G237" s="167" t="str">
        <f>IF(ISBLANK(DaqBook_RAW_Data!AL227),"",DaqBook_RAW_Data!AL227)</f>
        <v/>
      </c>
      <c r="H237" s="167" t="str">
        <f>IF(ISBLANK(DaqBook_RAW_Data!AM227),"",DaqBook_RAW_Data!AM227)</f>
        <v/>
      </c>
      <c r="I237" s="167" t="str">
        <f>IF(ISBLANK(DaqBook_RAW_Data!AN227),"",DaqBook_RAW_Data!AN227)</f>
        <v/>
      </c>
      <c r="J237" s="167" t="str">
        <f>IF(ISBLANK(DaqBook_RAW_Data!AO227),"",DaqBook_RAW_Data!AO227)</f>
        <v/>
      </c>
      <c r="K237" s="167" t="str">
        <f>IF(ISBLANK(DaqBook_RAW_Data!AP227),"",DaqBook_RAW_Data!AP227)</f>
        <v/>
      </c>
      <c r="L237" s="167" t="str">
        <f>IF(ISBLANK(DaqBook_RAW_Data!AQ227),"",DaqBook_RAW_Data!AQ227)</f>
        <v/>
      </c>
      <c r="M237" s="167" t="str">
        <f>IF(ISBLANK(DaqBook_RAW_Data!AR227),"",DaqBook_RAW_Data!AR227)</f>
        <v/>
      </c>
      <c r="N237" s="167" t="str">
        <f>IF(ISBLANK(DaqBook_RAW_Data!AS227),"",DaqBook_RAW_Data!AS227)</f>
        <v/>
      </c>
      <c r="O237" s="167"/>
      <c r="P237" s="167"/>
    </row>
    <row r="238" spans="1:16" x14ac:dyDescent="0.2">
      <c r="A238" s="58" t="e">
        <f t="shared" si="3"/>
        <v>#VALUE!</v>
      </c>
      <c r="B238" s="144" t="str">
        <f>IF(ISBLANK(DaqBook_RAW_Data!AG228),IF(DaqBook_RAW_Data!A228="","",TIMEVALUE(DaqBook_RAW_Data!A228)),TIMEVALUE(DaqBook_RAW_Data!AG228))</f>
        <v/>
      </c>
      <c r="C238" s="167" t="str">
        <f>IF(ISBLANK(DaqBook_RAW_Data!AH228),"",DaqBook_RAW_Data!AH228)</f>
        <v/>
      </c>
      <c r="D238" s="167" t="str">
        <f>IF(ISBLANK(DaqBook_RAW_Data!AI228),"",DaqBook_RAW_Data!AI228)</f>
        <v/>
      </c>
      <c r="E238" s="167" t="str">
        <f>IF(ISBLANK(DaqBook_RAW_Data!AJ228),"",DaqBook_RAW_Data!AJ228)</f>
        <v/>
      </c>
      <c r="F238" s="167" t="str">
        <f>IF(ISBLANK(DaqBook_RAW_Data!AK228),"",DaqBook_RAW_Data!AK228)</f>
        <v/>
      </c>
      <c r="G238" s="167" t="str">
        <f>IF(ISBLANK(DaqBook_RAW_Data!AL228),"",DaqBook_RAW_Data!AL228)</f>
        <v/>
      </c>
      <c r="H238" s="167" t="str">
        <f>IF(ISBLANK(DaqBook_RAW_Data!AM228),"",DaqBook_RAW_Data!AM228)</f>
        <v/>
      </c>
      <c r="I238" s="167" t="str">
        <f>IF(ISBLANK(DaqBook_RAW_Data!AN228),"",DaqBook_RAW_Data!AN228)</f>
        <v/>
      </c>
      <c r="J238" s="167" t="str">
        <f>IF(ISBLANK(DaqBook_RAW_Data!AO228),"",DaqBook_RAW_Data!AO228)</f>
        <v/>
      </c>
      <c r="K238" s="167" t="str">
        <f>IF(ISBLANK(DaqBook_RAW_Data!AP228),"",DaqBook_RAW_Data!AP228)</f>
        <v/>
      </c>
      <c r="L238" s="167" t="str">
        <f>IF(ISBLANK(DaqBook_RAW_Data!AQ228),"",DaqBook_RAW_Data!AQ228)</f>
        <v/>
      </c>
      <c r="M238" s="167" t="str">
        <f>IF(ISBLANK(DaqBook_RAW_Data!AR228),"",DaqBook_RAW_Data!AR228)</f>
        <v/>
      </c>
      <c r="N238" s="167" t="str">
        <f>IF(ISBLANK(DaqBook_RAW_Data!AS228),"",DaqBook_RAW_Data!AS228)</f>
        <v/>
      </c>
      <c r="O238" s="167"/>
      <c r="P238" s="167"/>
    </row>
    <row r="239" spans="1:16" x14ac:dyDescent="0.2">
      <c r="A239" s="58" t="e">
        <f t="shared" si="3"/>
        <v>#VALUE!</v>
      </c>
      <c r="B239" s="144" t="str">
        <f>IF(ISBLANK(DaqBook_RAW_Data!AG229),IF(DaqBook_RAW_Data!A229="","",TIMEVALUE(DaqBook_RAW_Data!A229)),TIMEVALUE(DaqBook_RAW_Data!AG229))</f>
        <v/>
      </c>
      <c r="C239" s="167" t="str">
        <f>IF(ISBLANK(DaqBook_RAW_Data!AH229),"",DaqBook_RAW_Data!AH229)</f>
        <v/>
      </c>
      <c r="D239" s="167" t="str">
        <f>IF(ISBLANK(DaqBook_RAW_Data!AI229),"",DaqBook_RAW_Data!AI229)</f>
        <v/>
      </c>
      <c r="E239" s="167" t="str">
        <f>IF(ISBLANK(DaqBook_RAW_Data!AJ229),"",DaqBook_RAW_Data!AJ229)</f>
        <v/>
      </c>
      <c r="F239" s="167" t="str">
        <f>IF(ISBLANK(DaqBook_RAW_Data!AK229),"",DaqBook_RAW_Data!AK229)</f>
        <v/>
      </c>
      <c r="G239" s="167" t="str">
        <f>IF(ISBLANK(DaqBook_RAW_Data!AL229),"",DaqBook_RAW_Data!AL229)</f>
        <v/>
      </c>
      <c r="H239" s="167" t="str">
        <f>IF(ISBLANK(DaqBook_RAW_Data!AM229),"",DaqBook_RAW_Data!AM229)</f>
        <v/>
      </c>
      <c r="I239" s="167" t="str">
        <f>IF(ISBLANK(DaqBook_RAW_Data!AN229),"",DaqBook_RAW_Data!AN229)</f>
        <v/>
      </c>
      <c r="J239" s="167" t="str">
        <f>IF(ISBLANK(DaqBook_RAW_Data!AO229),"",DaqBook_RAW_Data!AO229)</f>
        <v/>
      </c>
      <c r="K239" s="167" t="str">
        <f>IF(ISBLANK(DaqBook_RAW_Data!AP229),"",DaqBook_RAW_Data!AP229)</f>
        <v/>
      </c>
      <c r="L239" s="167" t="str">
        <f>IF(ISBLANK(DaqBook_RAW_Data!AQ229),"",DaqBook_RAW_Data!AQ229)</f>
        <v/>
      </c>
      <c r="M239" s="167" t="str">
        <f>IF(ISBLANK(DaqBook_RAW_Data!AR229),"",DaqBook_RAW_Data!AR229)</f>
        <v/>
      </c>
      <c r="N239" s="167" t="str">
        <f>IF(ISBLANK(DaqBook_RAW_Data!AS229),"",DaqBook_RAW_Data!AS229)</f>
        <v/>
      </c>
      <c r="O239" s="167"/>
      <c r="P239" s="167"/>
    </row>
    <row r="240" spans="1:16" x14ac:dyDescent="0.2">
      <c r="A240" s="58" t="e">
        <f t="shared" si="3"/>
        <v>#VALUE!</v>
      </c>
      <c r="B240" s="144" t="str">
        <f>IF(ISBLANK(DaqBook_RAW_Data!AG230),IF(DaqBook_RAW_Data!A230="","",TIMEVALUE(DaqBook_RAW_Data!A230)),TIMEVALUE(DaqBook_RAW_Data!AG230))</f>
        <v/>
      </c>
      <c r="C240" s="167" t="str">
        <f>IF(ISBLANK(DaqBook_RAW_Data!AH230),"",DaqBook_RAW_Data!AH230)</f>
        <v/>
      </c>
      <c r="D240" s="167" t="str">
        <f>IF(ISBLANK(DaqBook_RAW_Data!AI230),"",DaqBook_RAW_Data!AI230)</f>
        <v/>
      </c>
      <c r="E240" s="167" t="str">
        <f>IF(ISBLANK(DaqBook_RAW_Data!AJ230),"",DaqBook_RAW_Data!AJ230)</f>
        <v/>
      </c>
      <c r="F240" s="167" t="str">
        <f>IF(ISBLANK(DaqBook_RAW_Data!AK230),"",DaqBook_RAW_Data!AK230)</f>
        <v/>
      </c>
      <c r="G240" s="167" t="str">
        <f>IF(ISBLANK(DaqBook_RAW_Data!AL230),"",DaqBook_RAW_Data!AL230)</f>
        <v/>
      </c>
      <c r="H240" s="167" t="str">
        <f>IF(ISBLANK(DaqBook_RAW_Data!AM230),"",DaqBook_RAW_Data!AM230)</f>
        <v/>
      </c>
      <c r="I240" s="167" t="str">
        <f>IF(ISBLANK(DaqBook_RAW_Data!AN230),"",DaqBook_RAW_Data!AN230)</f>
        <v/>
      </c>
      <c r="J240" s="167" t="str">
        <f>IF(ISBLANK(DaqBook_RAW_Data!AO230),"",DaqBook_RAW_Data!AO230)</f>
        <v/>
      </c>
      <c r="K240" s="167" t="str">
        <f>IF(ISBLANK(DaqBook_RAW_Data!AP230),"",DaqBook_RAW_Data!AP230)</f>
        <v/>
      </c>
      <c r="L240" s="167" t="str">
        <f>IF(ISBLANK(DaqBook_RAW_Data!AQ230),"",DaqBook_RAW_Data!AQ230)</f>
        <v/>
      </c>
      <c r="M240" s="167" t="str">
        <f>IF(ISBLANK(DaqBook_RAW_Data!AR230),"",DaqBook_RAW_Data!AR230)</f>
        <v/>
      </c>
      <c r="N240" s="167" t="str">
        <f>IF(ISBLANK(DaqBook_RAW_Data!AS230),"",DaqBook_RAW_Data!AS230)</f>
        <v/>
      </c>
      <c r="O240" s="167"/>
      <c r="P240" s="167"/>
    </row>
    <row r="241" spans="1:16" x14ac:dyDescent="0.2">
      <c r="A241" s="58" t="e">
        <f t="shared" si="3"/>
        <v>#VALUE!</v>
      </c>
      <c r="B241" s="144" t="str">
        <f>IF(ISBLANK(DaqBook_RAW_Data!AG231),IF(DaqBook_RAW_Data!A231="","",TIMEVALUE(DaqBook_RAW_Data!A231)),TIMEVALUE(DaqBook_RAW_Data!AG231))</f>
        <v/>
      </c>
      <c r="C241" s="167" t="str">
        <f>IF(ISBLANK(DaqBook_RAW_Data!AH231),"",DaqBook_RAW_Data!AH231)</f>
        <v/>
      </c>
      <c r="D241" s="167" t="str">
        <f>IF(ISBLANK(DaqBook_RAW_Data!AI231),"",DaqBook_RAW_Data!AI231)</f>
        <v/>
      </c>
      <c r="E241" s="167" t="str">
        <f>IF(ISBLANK(DaqBook_RAW_Data!AJ231),"",DaqBook_RAW_Data!AJ231)</f>
        <v/>
      </c>
      <c r="F241" s="167" t="str">
        <f>IF(ISBLANK(DaqBook_RAW_Data!AK231),"",DaqBook_RAW_Data!AK231)</f>
        <v/>
      </c>
      <c r="G241" s="167" t="str">
        <f>IF(ISBLANK(DaqBook_RAW_Data!AL231),"",DaqBook_RAW_Data!AL231)</f>
        <v/>
      </c>
      <c r="H241" s="167" t="str">
        <f>IF(ISBLANK(DaqBook_RAW_Data!AM231),"",DaqBook_RAW_Data!AM231)</f>
        <v/>
      </c>
      <c r="I241" s="167" t="str">
        <f>IF(ISBLANK(DaqBook_RAW_Data!AN231),"",DaqBook_RAW_Data!AN231)</f>
        <v/>
      </c>
      <c r="J241" s="167" t="str">
        <f>IF(ISBLANK(DaqBook_RAW_Data!AO231),"",DaqBook_RAW_Data!AO231)</f>
        <v/>
      </c>
      <c r="K241" s="167" t="str">
        <f>IF(ISBLANK(DaqBook_RAW_Data!AP231),"",DaqBook_RAW_Data!AP231)</f>
        <v/>
      </c>
      <c r="L241" s="167" t="str">
        <f>IF(ISBLANK(DaqBook_RAW_Data!AQ231),"",DaqBook_RAW_Data!AQ231)</f>
        <v/>
      </c>
      <c r="M241" s="167" t="str">
        <f>IF(ISBLANK(DaqBook_RAW_Data!AR231),"",DaqBook_RAW_Data!AR231)</f>
        <v/>
      </c>
      <c r="N241" s="167" t="str">
        <f>IF(ISBLANK(DaqBook_RAW_Data!AS231),"",DaqBook_RAW_Data!AS231)</f>
        <v/>
      </c>
      <c r="O241" s="167"/>
      <c r="P241" s="167"/>
    </row>
    <row r="242" spans="1:16" x14ac:dyDescent="0.2">
      <c r="A242" s="58" t="e">
        <f t="shared" si="3"/>
        <v>#VALUE!</v>
      </c>
      <c r="B242" s="144" t="str">
        <f>IF(ISBLANK(DaqBook_RAW_Data!AG232),IF(DaqBook_RAW_Data!A232="","",TIMEVALUE(DaqBook_RAW_Data!A232)),TIMEVALUE(DaqBook_RAW_Data!AG232))</f>
        <v/>
      </c>
      <c r="C242" s="167" t="str">
        <f>IF(ISBLANK(DaqBook_RAW_Data!AH232),"",DaqBook_RAW_Data!AH232)</f>
        <v/>
      </c>
      <c r="D242" s="167" t="str">
        <f>IF(ISBLANK(DaqBook_RAW_Data!AI232),"",DaqBook_RAW_Data!AI232)</f>
        <v/>
      </c>
      <c r="E242" s="167" t="str">
        <f>IF(ISBLANK(DaqBook_RAW_Data!AJ232),"",DaqBook_RAW_Data!AJ232)</f>
        <v/>
      </c>
      <c r="F242" s="167" t="str">
        <f>IF(ISBLANK(DaqBook_RAW_Data!AK232),"",DaqBook_RAW_Data!AK232)</f>
        <v/>
      </c>
      <c r="G242" s="167" t="str">
        <f>IF(ISBLANK(DaqBook_RAW_Data!AL232),"",DaqBook_RAW_Data!AL232)</f>
        <v/>
      </c>
      <c r="H242" s="167" t="str">
        <f>IF(ISBLANK(DaqBook_RAW_Data!AM232),"",DaqBook_RAW_Data!AM232)</f>
        <v/>
      </c>
      <c r="I242" s="167" t="str">
        <f>IF(ISBLANK(DaqBook_RAW_Data!AN232),"",DaqBook_RAW_Data!AN232)</f>
        <v/>
      </c>
      <c r="J242" s="167" t="str">
        <f>IF(ISBLANK(DaqBook_RAW_Data!AO232),"",DaqBook_RAW_Data!AO232)</f>
        <v/>
      </c>
      <c r="K242" s="167" t="str">
        <f>IF(ISBLANK(DaqBook_RAW_Data!AP232),"",DaqBook_RAW_Data!AP232)</f>
        <v/>
      </c>
      <c r="L242" s="167" t="str">
        <f>IF(ISBLANK(DaqBook_RAW_Data!AQ232),"",DaqBook_RAW_Data!AQ232)</f>
        <v/>
      </c>
      <c r="M242" s="167" t="str">
        <f>IF(ISBLANK(DaqBook_RAW_Data!AR232),"",DaqBook_RAW_Data!AR232)</f>
        <v/>
      </c>
      <c r="N242" s="167" t="str">
        <f>IF(ISBLANK(DaqBook_RAW_Data!AS232),"",DaqBook_RAW_Data!AS232)</f>
        <v/>
      </c>
      <c r="O242" s="167"/>
      <c r="P242" s="167"/>
    </row>
    <row r="243" spans="1:16" x14ac:dyDescent="0.2">
      <c r="A243" s="58" t="e">
        <f t="shared" si="3"/>
        <v>#VALUE!</v>
      </c>
      <c r="B243" s="144" t="str">
        <f>IF(ISBLANK(DaqBook_RAW_Data!AG233),IF(DaqBook_RAW_Data!A233="","",TIMEVALUE(DaqBook_RAW_Data!A233)),TIMEVALUE(DaqBook_RAW_Data!AG233))</f>
        <v/>
      </c>
      <c r="C243" s="167" t="str">
        <f>IF(ISBLANK(DaqBook_RAW_Data!AH233),"",DaqBook_RAW_Data!AH233)</f>
        <v/>
      </c>
      <c r="D243" s="167" t="str">
        <f>IF(ISBLANK(DaqBook_RAW_Data!AI233),"",DaqBook_RAW_Data!AI233)</f>
        <v/>
      </c>
      <c r="E243" s="167" t="str">
        <f>IF(ISBLANK(DaqBook_RAW_Data!AJ233),"",DaqBook_RAW_Data!AJ233)</f>
        <v/>
      </c>
      <c r="F243" s="167" t="str">
        <f>IF(ISBLANK(DaqBook_RAW_Data!AK233),"",DaqBook_RAW_Data!AK233)</f>
        <v/>
      </c>
      <c r="G243" s="167" t="str">
        <f>IF(ISBLANK(DaqBook_RAW_Data!AL233),"",DaqBook_RAW_Data!AL233)</f>
        <v/>
      </c>
      <c r="H243" s="167" t="str">
        <f>IF(ISBLANK(DaqBook_RAW_Data!AM233),"",DaqBook_RAW_Data!AM233)</f>
        <v/>
      </c>
      <c r="I243" s="167" t="str">
        <f>IF(ISBLANK(DaqBook_RAW_Data!AN233),"",DaqBook_RAW_Data!AN233)</f>
        <v/>
      </c>
      <c r="J243" s="167" t="str">
        <f>IF(ISBLANK(DaqBook_RAW_Data!AO233),"",DaqBook_RAW_Data!AO233)</f>
        <v/>
      </c>
      <c r="K243" s="167" t="str">
        <f>IF(ISBLANK(DaqBook_RAW_Data!AP233),"",DaqBook_RAW_Data!AP233)</f>
        <v/>
      </c>
      <c r="L243" s="167" t="str">
        <f>IF(ISBLANK(DaqBook_RAW_Data!AQ233),"",DaqBook_RAW_Data!AQ233)</f>
        <v/>
      </c>
      <c r="M243" s="167" t="str">
        <f>IF(ISBLANK(DaqBook_RAW_Data!AR233),"",DaqBook_RAW_Data!AR233)</f>
        <v/>
      </c>
      <c r="N243" s="167" t="str">
        <f>IF(ISBLANK(DaqBook_RAW_Data!AS233),"",DaqBook_RAW_Data!AS233)</f>
        <v/>
      </c>
      <c r="O243" s="167"/>
      <c r="P243" s="167"/>
    </row>
    <row r="244" spans="1:16" x14ac:dyDescent="0.2">
      <c r="A244" s="58" t="e">
        <f t="shared" si="3"/>
        <v>#VALUE!</v>
      </c>
      <c r="B244" s="144" t="str">
        <f>IF(ISBLANK(DaqBook_RAW_Data!AG234),IF(DaqBook_RAW_Data!A234="","",TIMEVALUE(DaqBook_RAW_Data!A234)),TIMEVALUE(DaqBook_RAW_Data!AG234))</f>
        <v/>
      </c>
      <c r="C244" s="167" t="str">
        <f>IF(ISBLANK(DaqBook_RAW_Data!AH234),"",DaqBook_RAW_Data!AH234)</f>
        <v/>
      </c>
      <c r="D244" s="167" t="str">
        <f>IF(ISBLANK(DaqBook_RAW_Data!AI234),"",DaqBook_RAW_Data!AI234)</f>
        <v/>
      </c>
      <c r="E244" s="167" t="str">
        <f>IF(ISBLANK(DaqBook_RAW_Data!AJ234),"",DaqBook_RAW_Data!AJ234)</f>
        <v/>
      </c>
      <c r="F244" s="167" t="str">
        <f>IF(ISBLANK(DaqBook_RAW_Data!AK234),"",DaqBook_RAW_Data!AK234)</f>
        <v/>
      </c>
      <c r="G244" s="167" t="str">
        <f>IF(ISBLANK(DaqBook_RAW_Data!AL234),"",DaqBook_RAW_Data!AL234)</f>
        <v/>
      </c>
      <c r="H244" s="167" t="str">
        <f>IF(ISBLANK(DaqBook_RAW_Data!AM234),"",DaqBook_RAW_Data!AM234)</f>
        <v/>
      </c>
      <c r="I244" s="167" t="str">
        <f>IF(ISBLANK(DaqBook_RAW_Data!AN234),"",DaqBook_RAW_Data!AN234)</f>
        <v/>
      </c>
      <c r="J244" s="167" t="str">
        <f>IF(ISBLANK(DaqBook_RAW_Data!AO234),"",DaqBook_RAW_Data!AO234)</f>
        <v/>
      </c>
      <c r="K244" s="167" t="str">
        <f>IF(ISBLANK(DaqBook_RAW_Data!AP234),"",DaqBook_RAW_Data!AP234)</f>
        <v/>
      </c>
      <c r="L244" s="167" t="str">
        <f>IF(ISBLANK(DaqBook_RAW_Data!AQ234),"",DaqBook_RAW_Data!AQ234)</f>
        <v/>
      </c>
      <c r="M244" s="167" t="str">
        <f>IF(ISBLANK(DaqBook_RAW_Data!AR234),"",DaqBook_RAW_Data!AR234)</f>
        <v/>
      </c>
      <c r="N244" s="167" t="str">
        <f>IF(ISBLANK(DaqBook_RAW_Data!AS234),"",DaqBook_RAW_Data!AS234)</f>
        <v/>
      </c>
      <c r="O244" s="167"/>
      <c r="P244" s="167"/>
    </row>
    <row r="245" spans="1:16" x14ac:dyDescent="0.2">
      <c r="A245" s="58" t="e">
        <f t="shared" si="3"/>
        <v>#VALUE!</v>
      </c>
      <c r="B245" s="144" t="str">
        <f>IF(ISBLANK(DaqBook_RAW_Data!AG235),IF(DaqBook_RAW_Data!A235="","",TIMEVALUE(DaqBook_RAW_Data!A235)),TIMEVALUE(DaqBook_RAW_Data!AG235))</f>
        <v/>
      </c>
      <c r="C245" s="167" t="str">
        <f>IF(ISBLANK(DaqBook_RAW_Data!AH235),"",DaqBook_RAW_Data!AH235)</f>
        <v/>
      </c>
      <c r="D245" s="167" t="str">
        <f>IF(ISBLANK(DaqBook_RAW_Data!AI235),"",DaqBook_RAW_Data!AI235)</f>
        <v/>
      </c>
      <c r="E245" s="167" t="str">
        <f>IF(ISBLANK(DaqBook_RAW_Data!AJ235),"",DaqBook_RAW_Data!AJ235)</f>
        <v/>
      </c>
      <c r="F245" s="167" t="str">
        <f>IF(ISBLANK(DaqBook_RAW_Data!AK235),"",DaqBook_RAW_Data!AK235)</f>
        <v/>
      </c>
      <c r="G245" s="167" t="str">
        <f>IF(ISBLANK(DaqBook_RAW_Data!AL235),"",DaqBook_RAW_Data!AL235)</f>
        <v/>
      </c>
      <c r="H245" s="167" t="str">
        <f>IF(ISBLANK(DaqBook_RAW_Data!AM235),"",DaqBook_RAW_Data!AM235)</f>
        <v/>
      </c>
      <c r="I245" s="167" t="str">
        <f>IF(ISBLANK(DaqBook_RAW_Data!AN235),"",DaqBook_RAW_Data!AN235)</f>
        <v/>
      </c>
      <c r="J245" s="167" t="str">
        <f>IF(ISBLANK(DaqBook_RAW_Data!AO235),"",DaqBook_RAW_Data!AO235)</f>
        <v/>
      </c>
      <c r="K245" s="167" t="str">
        <f>IF(ISBLANK(DaqBook_RAW_Data!AP235),"",DaqBook_RAW_Data!AP235)</f>
        <v/>
      </c>
      <c r="L245" s="167" t="str">
        <f>IF(ISBLANK(DaqBook_RAW_Data!AQ235),"",DaqBook_RAW_Data!AQ235)</f>
        <v/>
      </c>
      <c r="M245" s="167" t="str">
        <f>IF(ISBLANK(DaqBook_RAW_Data!AR235),"",DaqBook_RAW_Data!AR235)</f>
        <v/>
      </c>
      <c r="N245" s="167" t="str">
        <f>IF(ISBLANK(DaqBook_RAW_Data!AS235),"",DaqBook_RAW_Data!AS235)</f>
        <v/>
      </c>
      <c r="O245" s="167"/>
      <c r="P245" s="167"/>
    </row>
    <row r="246" spans="1:16" x14ac:dyDescent="0.2">
      <c r="A246" s="58" t="e">
        <f t="shared" si="3"/>
        <v>#VALUE!</v>
      </c>
      <c r="B246" s="144" t="str">
        <f>IF(ISBLANK(DaqBook_RAW_Data!AG236),IF(DaqBook_RAW_Data!A236="","",TIMEVALUE(DaqBook_RAW_Data!A236)),TIMEVALUE(DaqBook_RAW_Data!AG236))</f>
        <v/>
      </c>
      <c r="C246" s="167" t="str">
        <f>IF(ISBLANK(DaqBook_RAW_Data!AH236),"",DaqBook_RAW_Data!AH236)</f>
        <v/>
      </c>
      <c r="D246" s="167" t="str">
        <f>IF(ISBLANK(DaqBook_RAW_Data!AI236),"",DaqBook_RAW_Data!AI236)</f>
        <v/>
      </c>
      <c r="E246" s="167" t="str">
        <f>IF(ISBLANK(DaqBook_RAW_Data!AJ236),"",DaqBook_RAW_Data!AJ236)</f>
        <v/>
      </c>
      <c r="F246" s="167" t="str">
        <f>IF(ISBLANK(DaqBook_RAW_Data!AK236),"",DaqBook_RAW_Data!AK236)</f>
        <v/>
      </c>
      <c r="G246" s="167" t="str">
        <f>IF(ISBLANK(DaqBook_RAW_Data!AL236),"",DaqBook_RAW_Data!AL236)</f>
        <v/>
      </c>
      <c r="H246" s="167" t="str">
        <f>IF(ISBLANK(DaqBook_RAW_Data!AM236),"",DaqBook_RAW_Data!AM236)</f>
        <v/>
      </c>
      <c r="I246" s="167" t="str">
        <f>IF(ISBLANK(DaqBook_RAW_Data!AN236),"",DaqBook_RAW_Data!AN236)</f>
        <v/>
      </c>
      <c r="J246" s="167" t="str">
        <f>IF(ISBLANK(DaqBook_RAW_Data!AO236),"",DaqBook_RAW_Data!AO236)</f>
        <v/>
      </c>
      <c r="K246" s="167" t="str">
        <f>IF(ISBLANK(DaqBook_RAW_Data!AP236),"",DaqBook_RAW_Data!AP236)</f>
        <v/>
      </c>
      <c r="L246" s="167" t="str">
        <f>IF(ISBLANK(DaqBook_RAW_Data!AQ236),"",DaqBook_RAW_Data!AQ236)</f>
        <v/>
      </c>
      <c r="M246" s="167" t="str">
        <f>IF(ISBLANK(DaqBook_RAW_Data!AR236),"",DaqBook_RAW_Data!AR236)</f>
        <v/>
      </c>
      <c r="N246" s="167" t="str">
        <f>IF(ISBLANK(DaqBook_RAW_Data!AS236),"",DaqBook_RAW_Data!AS236)</f>
        <v/>
      </c>
      <c r="O246" s="167"/>
      <c r="P246" s="167"/>
    </row>
    <row r="247" spans="1:16" x14ac:dyDescent="0.2">
      <c r="A247" s="58" t="e">
        <f t="shared" si="3"/>
        <v>#VALUE!</v>
      </c>
      <c r="B247" s="144" t="str">
        <f>IF(ISBLANK(DaqBook_RAW_Data!AG237),IF(DaqBook_RAW_Data!A237="","",TIMEVALUE(DaqBook_RAW_Data!A237)),TIMEVALUE(DaqBook_RAW_Data!AG237))</f>
        <v/>
      </c>
      <c r="C247" s="167" t="str">
        <f>IF(ISBLANK(DaqBook_RAW_Data!AH237),"",DaqBook_RAW_Data!AH237)</f>
        <v/>
      </c>
      <c r="D247" s="167" t="str">
        <f>IF(ISBLANK(DaqBook_RAW_Data!AI237),"",DaqBook_RAW_Data!AI237)</f>
        <v/>
      </c>
      <c r="E247" s="167" t="str">
        <f>IF(ISBLANK(DaqBook_RAW_Data!AJ237),"",DaqBook_RAW_Data!AJ237)</f>
        <v/>
      </c>
      <c r="F247" s="167" t="str">
        <f>IF(ISBLANK(DaqBook_RAW_Data!AK237),"",DaqBook_RAW_Data!AK237)</f>
        <v/>
      </c>
      <c r="G247" s="167" t="str">
        <f>IF(ISBLANK(DaqBook_RAW_Data!AL237),"",DaqBook_RAW_Data!AL237)</f>
        <v/>
      </c>
      <c r="H247" s="167" t="str">
        <f>IF(ISBLANK(DaqBook_RAW_Data!AM237),"",DaqBook_RAW_Data!AM237)</f>
        <v/>
      </c>
      <c r="I247" s="167" t="str">
        <f>IF(ISBLANK(DaqBook_RAW_Data!AN237),"",DaqBook_RAW_Data!AN237)</f>
        <v/>
      </c>
      <c r="J247" s="167" t="str">
        <f>IF(ISBLANK(DaqBook_RAW_Data!AO237),"",DaqBook_RAW_Data!AO237)</f>
        <v/>
      </c>
      <c r="K247" s="167" t="str">
        <f>IF(ISBLANK(DaqBook_RAW_Data!AP237),"",DaqBook_RAW_Data!AP237)</f>
        <v/>
      </c>
      <c r="L247" s="167" t="str">
        <f>IF(ISBLANK(DaqBook_RAW_Data!AQ237),"",DaqBook_RAW_Data!AQ237)</f>
        <v/>
      </c>
      <c r="M247" s="167" t="str">
        <f>IF(ISBLANK(DaqBook_RAW_Data!AR237),"",DaqBook_RAW_Data!AR237)</f>
        <v/>
      </c>
      <c r="N247" s="167" t="str">
        <f>IF(ISBLANK(DaqBook_RAW_Data!AS237),"",DaqBook_RAW_Data!AS237)</f>
        <v/>
      </c>
      <c r="O247" s="167"/>
      <c r="P247" s="167"/>
    </row>
    <row r="248" spans="1:16" x14ac:dyDescent="0.2">
      <c r="A248" s="58" t="e">
        <f t="shared" si="3"/>
        <v>#VALUE!</v>
      </c>
      <c r="B248" s="144" t="str">
        <f>IF(ISBLANK(DaqBook_RAW_Data!AG238),IF(DaqBook_RAW_Data!A238="","",TIMEVALUE(DaqBook_RAW_Data!A238)),TIMEVALUE(DaqBook_RAW_Data!AG238))</f>
        <v/>
      </c>
      <c r="C248" s="167" t="str">
        <f>IF(ISBLANK(DaqBook_RAW_Data!AH238),"",DaqBook_RAW_Data!AH238)</f>
        <v/>
      </c>
      <c r="D248" s="167" t="str">
        <f>IF(ISBLANK(DaqBook_RAW_Data!AI238),"",DaqBook_RAW_Data!AI238)</f>
        <v/>
      </c>
      <c r="E248" s="167" t="str">
        <f>IF(ISBLANK(DaqBook_RAW_Data!AJ238),"",DaqBook_RAW_Data!AJ238)</f>
        <v/>
      </c>
      <c r="F248" s="167" t="str">
        <f>IF(ISBLANK(DaqBook_RAW_Data!AK238),"",DaqBook_RAW_Data!AK238)</f>
        <v/>
      </c>
      <c r="G248" s="167" t="str">
        <f>IF(ISBLANK(DaqBook_RAW_Data!AL238),"",DaqBook_RAW_Data!AL238)</f>
        <v/>
      </c>
      <c r="H248" s="167" t="str">
        <f>IF(ISBLANK(DaqBook_RAW_Data!AM238),"",DaqBook_RAW_Data!AM238)</f>
        <v/>
      </c>
      <c r="I248" s="167" t="str">
        <f>IF(ISBLANK(DaqBook_RAW_Data!AN238),"",DaqBook_RAW_Data!AN238)</f>
        <v/>
      </c>
      <c r="J248" s="167" t="str">
        <f>IF(ISBLANK(DaqBook_RAW_Data!AO238),"",DaqBook_RAW_Data!AO238)</f>
        <v/>
      </c>
      <c r="K248" s="167" t="str">
        <f>IF(ISBLANK(DaqBook_RAW_Data!AP238),"",DaqBook_RAW_Data!AP238)</f>
        <v/>
      </c>
      <c r="L248" s="167" t="str">
        <f>IF(ISBLANK(DaqBook_RAW_Data!AQ238),"",DaqBook_RAW_Data!AQ238)</f>
        <v/>
      </c>
      <c r="M248" s="167" t="str">
        <f>IF(ISBLANK(DaqBook_RAW_Data!AR238),"",DaqBook_RAW_Data!AR238)</f>
        <v/>
      </c>
      <c r="N248" s="167" t="str">
        <f>IF(ISBLANK(DaqBook_RAW_Data!AS238),"",DaqBook_RAW_Data!AS238)</f>
        <v/>
      </c>
      <c r="O248" s="167"/>
      <c r="P248" s="167"/>
    </row>
    <row r="249" spans="1:16" x14ac:dyDescent="0.2">
      <c r="A249" s="58" t="e">
        <f t="shared" si="3"/>
        <v>#VALUE!</v>
      </c>
      <c r="B249" s="144" t="str">
        <f>IF(ISBLANK(DaqBook_RAW_Data!AG239),IF(DaqBook_RAW_Data!A239="","",TIMEVALUE(DaqBook_RAW_Data!A239)),TIMEVALUE(DaqBook_RAW_Data!AG239))</f>
        <v/>
      </c>
      <c r="C249" s="167" t="str">
        <f>IF(ISBLANK(DaqBook_RAW_Data!AH239),"",DaqBook_RAW_Data!AH239)</f>
        <v/>
      </c>
      <c r="D249" s="167" t="str">
        <f>IF(ISBLANK(DaqBook_RAW_Data!AI239),"",DaqBook_RAW_Data!AI239)</f>
        <v/>
      </c>
      <c r="E249" s="167" t="str">
        <f>IF(ISBLANK(DaqBook_RAW_Data!AJ239),"",DaqBook_RAW_Data!AJ239)</f>
        <v/>
      </c>
      <c r="F249" s="167" t="str">
        <f>IF(ISBLANK(DaqBook_RAW_Data!AK239),"",DaqBook_RAW_Data!AK239)</f>
        <v/>
      </c>
      <c r="G249" s="167" t="str">
        <f>IF(ISBLANK(DaqBook_RAW_Data!AL239),"",DaqBook_RAW_Data!AL239)</f>
        <v/>
      </c>
      <c r="H249" s="167" t="str">
        <f>IF(ISBLANK(DaqBook_RAW_Data!AM239),"",DaqBook_RAW_Data!AM239)</f>
        <v/>
      </c>
      <c r="I249" s="167" t="str">
        <f>IF(ISBLANK(DaqBook_RAW_Data!AN239),"",DaqBook_RAW_Data!AN239)</f>
        <v/>
      </c>
      <c r="J249" s="167" t="str">
        <f>IF(ISBLANK(DaqBook_RAW_Data!AO239),"",DaqBook_RAW_Data!AO239)</f>
        <v/>
      </c>
      <c r="K249" s="167" t="str">
        <f>IF(ISBLANK(DaqBook_RAW_Data!AP239),"",DaqBook_RAW_Data!AP239)</f>
        <v/>
      </c>
      <c r="L249" s="167" t="str">
        <f>IF(ISBLANK(DaqBook_RAW_Data!AQ239),"",DaqBook_RAW_Data!AQ239)</f>
        <v/>
      </c>
      <c r="M249" s="167" t="str">
        <f>IF(ISBLANK(DaqBook_RAW_Data!AR239),"",DaqBook_RAW_Data!AR239)</f>
        <v/>
      </c>
      <c r="N249" s="167" t="str">
        <f>IF(ISBLANK(DaqBook_RAW_Data!AS239),"",DaqBook_RAW_Data!AS239)</f>
        <v/>
      </c>
      <c r="O249" s="167"/>
      <c r="P249" s="167"/>
    </row>
    <row r="250" spans="1:16" x14ac:dyDescent="0.2">
      <c r="A250" s="58" t="e">
        <f t="shared" si="3"/>
        <v>#VALUE!</v>
      </c>
      <c r="B250" s="144" t="str">
        <f>IF(ISBLANK(DaqBook_RAW_Data!AG240),IF(DaqBook_RAW_Data!A240="","",TIMEVALUE(DaqBook_RAW_Data!A240)),TIMEVALUE(DaqBook_RAW_Data!AG240))</f>
        <v/>
      </c>
      <c r="C250" s="167" t="str">
        <f>IF(ISBLANK(DaqBook_RAW_Data!AH240),"",DaqBook_RAW_Data!AH240)</f>
        <v/>
      </c>
      <c r="D250" s="167" t="str">
        <f>IF(ISBLANK(DaqBook_RAW_Data!AI240),"",DaqBook_RAW_Data!AI240)</f>
        <v/>
      </c>
      <c r="E250" s="167" t="str">
        <f>IF(ISBLANK(DaqBook_RAW_Data!AJ240),"",DaqBook_RAW_Data!AJ240)</f>
        <v/>
      </c>
      <c r="F250" s="167" t="str">
        <f>IF(ISBLANK(DaqBook_RAW_Data!AK240),"",DaqBook_RAW_Data!AK240)</f>
        <v/>
      </c>
      <c r="G250" s="167" t="str">
        <f>IF(ISBLANK(DaqBook_RAW_Data!AL240),"",DaqBook_RAW_Data!AL240)</f>
        <v/>
      </c>
      <c r="H250" s="167" t="str">
        <f>IF(ISBLANK(DaqBook_RAW_Data!AM240),"",DaqBook_RAW_Data!AM240)</f>
        <v/>
      </c>
      <c r="I250" s="167" t="str">
        <f>IF(ISBLANK(DaqBook_RAW_Data!AN240),"",DaqBook_RAW_Data!AN240)</f>
        <v/>
      </c>
      <c r="J250" s="167" t="str">
        <f>IF(ISBLANK(DaqBook_RAW_Data!AO240),"",DaqBook_RAW_Data!AO240)</f>
        <v/>
      </c>
      <c r="K250" s="167" t="str">
        <f>IF(ISBLANK(DaqBook_RAW_Data!AP240),"",DaqBook_RAW_Data!AP240)</f>
        <v/>
      </c>
      <c r="L250" s="167" t="str">
        <f>IF(ISBLANK(DaqBook_RAW_Data!AQ240),"",DaqBook_RAW_Data!AQ240)</f>
        <v/>
      </c>
      <c r="M250" s="167" t="str">
        <f>IF(ISBLANK(DaqBook_RAW_Data!AR240),"",DaqBook_RAW_Data!AR240)</f>
        <v/>
      </c>
      <c r="N250" s="167" t="str">
        <f>IF(ISBLANK(DaqBook_RAW_Data!AS240),"",DaqBook_RAW_Data!AS240)</f>
        <v/>
      </c>
      <c r="O250" s="167"/>
      <c r="P250" s="167"/>
    </row>
    <row r="251" spans="1:16" x14ac:dyDescent="0.2">
      <c r="A251" s="58" t="e">
        <f t="shared" si="3"/>
        <v>#VALUE!</v>
      </c>
      <c r="B251" s="144" t="str">
        <f>IF(ISBLANK(DaqBook_RAW_Data!AG241),IF(DaqBook_RAW_Data!A241="","",TIMEVALUE(DaqBook_RAW_Data!A241)),TIMEVALUE(DaqBook_RAW_Data!AG241))</f>
        <v/>
      </c>
      <c r="C251" s="167" t="str">
        <f>IF(ISBLANK(DaqBook_RAW_Data!AH241),"",DaqBook_RAW_Data!AH241)</f>
        <v/>
      </c>
      <c r="D251" s="167" t="str">
        <f>IF(ISBLANK(DaqBook_RAW_Data!AI241),"",DaqBook_RAW_Data!AI241)</f>
        <v/>
      </c>
      <c r="E251" s="167" t="str">
        <f>IF(ISBLANK(DaqBook_RAW_Data!AJ241),"",DaqBook_RAW_Data!AJ241)</f>
        <v/>
      </c>
      <c r="F251" s="167" t="str">
        <f>IF(ISBLANK(DaqBook_RAW_Data!AK241),"",DaqBook_RAW_Data!AK241)</f>
        <v/>
      </c>
      <c r="G251" s="167" t="str">
        <f>IF(ISBLANK(DaqBook_RAW_Data!AL241),"",DaqBook_RAW_Data!AL241)</f>
        <v/>
      </c>
      <c r="H251" s="167" t="str">
        <f>IF(ISBLANK(DaqBook_RAW_Data!AM241),"",DaqBook_RAW_Data!AM241)</f>
        <v/>
      </c>
      <c r="I251" s="167" t="str">
        <f>IF(ISBLANK(DaqBook_RAW_Data!AN241),"",DaqBook_RAW_Data!AN241)</f>
        <v/>
      </c>
      <c r="J251" s="167" t="str">
        <f>IF(ISBLANK(DaqBook_RAW_Data!AO241),"",DaqBook_RAW_Data!AO241)</f>
        <v/>
      </c>
      <c r="K251" s="167" t="str">
        <f>IF(ISBLANK(DaqBook_RAW_Data!AP241),"",DaqBook_RAW_Data!AP241)</f>
        <v/>
      </c>
      <c r="L251" s="167" t="str">
        <f>IF(ISBLANK(DaqBook_RAW_Data!AQ241),"",DaqBook_RAW_Data!AQ241)</f>
        <v/>
      </c>
      <c r="M251" s="167" t="str">
        <f>IF(ISBLANK(DaqBook_RAW_Data!AR241),"",DaqBook_RAW_Data!AR241)</f>
        <v/>
      </c>
      <c r="N251" s="167" t="str">
        <f>IF(ISBLANK(DaqBook_RAW_Data!AS241),"",DaqBook_RAW_Data!AS241)</f>
        <v/>
      </c>
      <c r="O251" s="167"/>
      <c r="P251" s="167"/>
    </row>
    <row r="252" spans="1:16" x14ac:dyDescent="0.2">
      <c r="A252" s="58" t="e">
        <f t="shared" si="3"/>
        <v>#VALUE!</v>
      </c>
      <c r="B252" s="144" t="str">
        <f>IF(ISBLANK(DaqBook_RAW_Data!AG242),IF(DaqBook_RAW_Data!A242="","",TIMEVALUE(DaqBook_RAW_Data!A242)),TIMEVALUE(DaqBook_RAW_Data!AG242))</f>
        <v/>
      </c>
      <c r="C252" s="167" t="str">
        <f>IF(ISBLANK(DaqBook_RAW_Data!AH242),"",DaqBook_RAW_Data!AH242)</f>
        <v/>
      </c>
      <c r="D252" s="167" t="str">
        <f>IF(ISBLANK(DaqBook_RAW_Data!AI242),"",DaqBook_RAW_Data!AI242)</f>
        <v/>
      </c>
      <c r="E252" s="167" t="str">
        <f>IF(ISBLANK(DaqBook_RAW_Data!AJ242),"",DaqBook_RAW_Data!AJ242)</f>
        <v/>
      </c>
      <c r="F252" s="167" t="str">
        <f>IF(ISBLANK(DaqBook_RAW_Data!AK242),"",DaqBook_RAW_Data!AK242)</f>
        <v/>
      </c>
      <c r="G252" s="167" t="str">
        <f>IF(ISBLANK(DaqBook_RAW_Data!AL242),"",DaqBook_RAW_Data!AL242)</f>
        <v/>
      </c>
      <c r="H252" s="167" t="str">
        <f>IF(ISBLANK(DaqBook_RAW_Data!AM242),"",DaqBook_RAW_Data!AM242)</f>
        <v/>
      </c>
      <c r="I252" s="167" t="str">
        <f>IF(ISBLANK(DaqBook_RAW_Data!AN242),"",DaqBook_RAW_Data!AN242)</f>
        <v/>
      </c>
      <c r="J252" s="167" t="str">
        <f>IF(ISBLANK(DaqBook_RAW_Data!AO242),"",DaqBook_RAW_Data!AO242)</f>
        <v/>
      </c>
      <c r="K252" s="167" t="str">
        <f>IF(ISBLANK(DaqBook_RAW_Data!AP242),"",DaqBook_RAW_Data!AP242)</f>
        <v/>
      </c>
      <c r="L252" s="167" t="str">
        <f>IF(ISBLANK(DaqBook_RAW_Data!AQ242),"",DaqBook_RAW_Data!AQ242)</f>
        <v/>
      </c>
      <c r="M252" s="167" t="str">
        <f>IF(ISBLANK(DaqBook_RAW_Data!AR242),"",DaqBook_RAW_Data!AR242)</f>
        <v/>
      </c>
      <c r="N252" s="167" t="str">
        <f>IF(ISBLANK(DaqBook_RAW_Data!AS242),"",DaqBook_RAW_Data!AS242)</f>
        <v/>
      </c>
      <c r="O252" s="167"/>
      <c r="P252" s="167"/>
    </row>
    <row r="253" spans="1:16" x14ac:dyDescent="0.2">
      <c r="A253" s="58" t="e">
        <f t="shared" si="3"/>
        <v>#VALUE!</v>
      </c>
      <c r="B253" s="144" t="str">
        <f>IF(ISBLANK(DaqBook_RAW_Data!AG243),IF(DaqBook_RAW_Data!A243="","",TIMEVALUE(DaqBook_RAW_Data!A243)),TIMEVALUE(DaqBook_RAW_Data!AG243))</f>
        <v/>
      </c>
      <c r="C253" s="167" t="str">
        <f>IF(ISBLANK(DaqBook_RAW_Data!AH243),"",DaqBook_RAW_Data!AH243)</f>
        <v/>
      </c>
      <c r="D253" s="167" t="str">
        <f>IF(ISBLANK(DaqBook_RAW_Data!AI243),"",DaqBook_RAW_Data!AI243)</f>
        <v/>
      </c>
      <c r="E253" s="167" t="str">
        <f>IF(ISBLANK(DaqBook_RAW_Data!AJ243),"",DaqBook_RAW_Data!AJ243)</f>
        <v/>
      </c>
      <c r="F253" s="167" t="str">
        <f>IF(ISBLANK(DaqBook_RAW_Data!AK243),"",DaqBook_RAW_Data!AK243)</f>
        <v/>
      </c>
      <c r="G253" s="167" t="str">
        <f>IF(ISBLANK(DaqBook_RAW_Data!AL243),"",DaqBook_RAW_Data!AL243)</f>
        <v/>
      </c>
      <c r="H253" s="167" t="str">
        <f>IF(ISBLANK(DaqBook_RAW_Data!AM243),"",DaqBook_RAW_Data!AM243)</f>
        <v/>
      </c>
      <c r="I253" s="167" t="str">
        <f>IF(ISBLANK(DaqBook_RAW_Data!AN243),"",DaqBook_RAW_Data!AN243)</f>
        <v/>
      </c>
      <c r="J253" s="167" t="str">
        <f>IF(ISBLANK(DaqBook_RAW_Data!AO243),"",DaqBook_RAW_Data!AO243)</f>
        <v/>
      </c>
      <c r="K253" s="167" t="str">
        <f>IF(ISBLANK(DaqBook_RAW_Data!AP243),"",DaqBook_RAW_Data!AP243)</f>
        <v/>
      </c>
      <c r="L253" s="167" t="str">
        <f>IF(ISBLANK(DaqBook_RAW_Data!AQ243),"",DaqBook_RAW_Data!AQ243)</f>
        <v/>
      </c>
      <c r="M253" s="167" t="str">
        <f>IF(ISBLANK(DaqBook_RAW_Data!AR243),"",DaqBook_RAW_Data!AR243)</f>
        <v/>
      </c>
      <c r="N253" s="167" t="str">
        <f>IF(ISBLANK(DaqBook_RAW_Data!AS243),"",DaqBook_RAW_Data!AS243)</f>
        <v/>
      </c>
      <c r="O253" s="167"/>
      <c r="P253" s="167"/>
    </row>
    <row r="254" spans="1:16" x14ac:dyDescent="0.2">
      <c r="A254" s="58" t="e">
        <f t="shared" si="3"/>
        <v>#VALUE!</v>
      </c>
      <c r="B254" s="144" t="str">
        <f>IF(ISBLANK(DaqBook_RAW_Data!AG244),IF(DaqBook_RAW_Data!A244="","",TIMEVALUE(DaqBook_RAW_Data!A244)),TIMEVALUE(DaqBook_RAW_Data!AG244))</f>
        <v/>
      </c>
      <c r="C254" s="167" t="str">
        <f>IF(ISBLANK(DaqBook_RAW_Data!AH244),"",DaqBook_RAW_Data!AH244)</f>
        <v/>
      </c>
      <c r="D254" s="167" t="str">
        <f>IF(ISBLANK(DaqBook_RAW_Data!AI244),"",DaqBook_RAW_Data!AI244)</f>
        <v/>
      </c>
      <c r="E254" s="167" t="str">
        <f>IF(ISBLANK(DaqBook_RAW_Data!AJ244),"",DaqBook_RAW_Data!AJ244)</f>
        <v/>
      </c>
      <c r="F254" s="167" t="str">
        <f>IF(ISBLANK(DaqBook_RAW_Data!AK244),"",DaqBook_RAW_Data!AK244)</f>
        <v/>
      </c>
      <c r="G254" s="167" t="str">
        <f>IF(ISBLANK(DaqBook_RAW_Data!AL244),"",DaqBook_RAW_Data!AL244)</f>
        <v/>
      </c>
      <c r="H254" s="167" t="str">
        <f>IF(ISBLANK(DaqBook_RAW_Data!AM244),"",DaqBook_RAW_Data!AM244)</f>
        <v/>
      </c>
      <c r="I254" s="167" t="str">
        <f>IF(ISBLANK(DaqBook_RAW_Data!AN244),"",DaqBook_RAW_Data!AN244)</f>
        <v/>
      </c>
      <c r="J254" s="167" t="str">
        <f>IF(ISBLANK(DaqBook_RAW_Data!AO244),"",DaqBook_RAW_Data!AO244)</f>
        <v/>
      </c>
      <c r="K254" s="167" t="str">
        <f>IF(ISBLANK(DaqBook_RAW_Data!AP244),"",DaqBook_RAW_Data!AP244)</f>
        <v/>
      </c>
      <c r="L254" s="167" t="str">
        <f>IF(ISBLANK(DaqBook_RAW_Data!AQ244),"",DaqBook_RAW_Data!AQ244)</f>
        <v/>
      </c>
      <c r="M254" s="167" t="str">
        <f>IF(ISBLANK(DaqBook_RAW_Data!AR244),"",DaqBook_RAW_Data!AR244)</f>
        <v/>
      </c>
      <c r="N254" s="167" t="str">
        <f>IF(ISBLANK(DaqBook_RAW_Data!AS244),"",DaqBook_RAW_Data!AS244)</f>
        <v/>
      </c>
      <c r="O254" s="167"/>
      <c r="P254" s="167"/>
    </row>
    <row r="255" spans="1:16" x14ac:dyDescent="0.2">
      <c r="A255" s="58" t="e">
        <f t="shared" si="3"/>
        <v>#VALUE!</v>
      </c>
      <c r="B255" s="144" t="str">
        <f>IF(ISBLANK(DaqBook_RAW_Data!AG245),IF(DaqBook_RAW_Data!A245="","",TIMEVALUE(DaqBook_RAW_Data!A245)),TIMEVALUE(DaqBook_RAW_Data!AG245))</f>
        <v/>
      </c>
      <c r="C255" s="167" t="str">
        <f>IF(ISBLANK(DaqBook_RAW_Data!AH245),"",DaqBook_RAW_Data!AH245)</f>
        <v/>
      </c>
      <c r="D255" s="167" t="str">
        <f>IF(ISBLANK(DaqBook_RAW_Data!AI245),"",DaqBook_RAW_Data!AI245)</f>
        <v/>
      </c>
      <c r="E255" s="167" t="str">
        <f>IF(ISBLANK(DaqBook_RAW_Data!AJ245),"",DaqBook_RAW_Data!AJ245)</f>
        <v/>
      </c>
      <c r="F255" s="167" t="str">
        <f>IF(ISBLANK(DaqBook_RAW_Data!AK245),"",DaqBook_RAW_Data!AK245)</f>
        <v/>
      </c>
      <c r="G255" s="167" t="str">
        <f>IF(ISBLANK(DaqBook_RAW_Data!AL245),"",DaqBook_RAW_Data!AL245)</f>
        <v/>
      </c>
      <c r="H255" s="167" t="str">
        <f>IF(ISBLANK(DaqBook_RAW_Data!AM245),"",DaqBook_RAW_Data!AM245)</f>
        <v/>
      </c>
      <c r="I255" s="167" t="str">
        <f>IF(ISBLANK(DaqBook_RAW_Data!AN245),"",DaqBook_RAW_Data!AN245)</f>
        <v/>
      </c>
      <c r="J255" s="167" t="str">
        <f>IF(ISBLANK(DaqBook_RAW_Data!AO245),"",DaqBook_RAW_Data!AO245)</f>
        <v/>
      </c>
      <c r="K255" s="167" t="str">
        <f>IF(ISBLANK(DaqBook_RAW_Data!AP245),"",DaqBook_RAW_Data!AP245)</f>
        <v/>
      </c>
      <c r="L255" s="167" t="str">
        <f>IF(ISBLANK(DaqBook_RAW_Data!AQ245),"",DaqBook_RAW_Data!AQ245)</f>
        <v/>
      </c>
      <c r="M255" s="167" t="str">
        <f>IF(ISBLANK(DaqBook_RAW_Data!AR245),"",DaqBook_RAW_Data!AR245)</f>
        <v/>
      </c>
      <c r="N255" s="167" t="str">
        <f>IF(ISBLANK(DaqBook_RAW_Data!AS245),"",DaqBook_RAW_Data!AS245)</f>
        <v/>
      </c>
      <c r="O255" s="167"/>
      <c r="P255" s="167"/>
    </row>
    <row r="256" spans="1:16" x14ac:dyDescent="0.2">
      <c r="A256" s="58" t="e">
        <f t="shared" si="3"/>
        <v>#VALUE!</v>
      </c>
      <c r="B256" s="144" t="str">
        <f>IF(ISBLANK(DaqBook_RAW_Data!AG246),IF(DaqBook_RAW_Data!A246="","",TIMEVALUE(DaqBook_RAW_Data!A246)),TIMEVALUE(DaqBook_RAW_Data!AG246))</f>
        <v/>
      </c>
      <c r="C256" s="167" t="str">
        <f>IF(ISBLANK(DaqBook_RAW_Data!AH246),"",DaqBook_RAW_Data!AH246)</f>
        <v/>
      </c>
      <c r="D256" s="167" t="str">
        <f>IF(ISBLANK(DaqBook_RAW_Data!AI246),"",DaqBook_RAW_Data!AI246)</f>
        <v/>
      </c>
      <c r="E256" s="167" t="str">
        <f>IF(ISBLANK(DaqBook_RAW_Data!AJ246),"",DaqBook_RAW_Data!AJ246)</f>
        <v/>
      </c>
      <c r="F256" s="167" t="str">
        <f>IF(ISBLANK(DaqBook_RAW_Data!AK246),"",DaqBook_RAW_Data!AK246)</f>
        <v/>
      </c>
      <c r="G256" s="167" t="str">
        <f>IF(ISBLANK(DaqBook_RAW_Data!AL246),"",DaqBook_RAW_Data!AL246)</f>
        <v/>
      </c>
      <c r="H256" s="167" t="str">
        <f>IF(ISBLANK(DaqBook_RAW_Data!AM246),"",DaqBook_RAW_Data!AM246)</f>
        <v/>
      </c>
      <c r="I256" s="167" t="str">
        <f>IF(ISBLANK(DaqBook_RAW_Data!AN246),"",DaqBook_RAW_Data!AN246)</f>
        <v/>
      </c>
      <c r="J256" s="167" t="str">
        <f>IF(ISBLANK(DaqBook_RAW_Data!AO246),"",DaqBook_RAW_Data!AO246)</f>
        <v/>
      </c>
      <c r="K256" s="167" t="str">
        <f>IF(ISBLANK(DaqBook_RAW_Data!AP246),"",DaqBook_RAW_Data!AP246)</f>
        <v/>
      </c>
      <c r="L256" s="167" t="str">
        <f>IF(ISBLANK(DaqBook_RAW_Data!AQ246),"",DaqBook_RAW_Data!AQ246)</f>
        <v/>
      </c>
      <c r="M256" s="167" t="str">
        <f>IF(ISBLANK(DaqBook_RAW_Data!AR246),"",DaqBook_RAW_Data!AR246)</f>
        <v/>
      </c>
      <c r="N256" s="167" t="str">
        <f>IF(ISBLANK(DaqBook_RAW_Data!AS246),"",DaqBook_RAW_Data!AS246)</f>
        <v/>
      </c>
      <c r="O256" s="167"/>
      <c r="P256" s="167"/>
    </row>
    <row r="257" spans="1:16" x14ac:dyDescent="0.2">
      <c r="A257" s="58" t="e">
        <f t="shared" si="3"/>
        <v>#VALUE!</v>
      </c>
      <c r="B257" s="144" t="str">
        <f>IF(ISBLANK(DaqBook_RAW_Data!AG247),IF(DaqBook_RAW_Data!A247="","",TIMEVALUE(DaqBook_RAW_Data!A247)),TIMEVALUE(DaqBook_RAW_Data!AG247))</f>
        <v/>
      </c>
      <c r="C257" s="167" t="str">
        <f>IF(ISBLANK(DaqBook_RAW_Data!AH247),"",DaqBook_RAW_Data!AH247)</f>
        <v/>
      </c>
      <c r="D257" s="167" t="str">
        <f>IF(ISBLANK(DaqBook_RAW_Data!AI247),"",DaqBook_RAW_Data!AI247)</f>
        <v/>
      </c>
      <c r="E257" s="167" t="str">
        <f>IF(ISBLANK(DaqBook_RAW_Data!AJ247),"",DaqBook_RAW_Data!AJ247)</f>
        <v/>
      </c>
      <c r="F257" s="167" t="str">
        <f>IF(ISBLANK(DaqBook_RAW_Data!AK247),"",DaqBook_RAW_Data!AK247)</f>
        <v/>
      </c>
      <c r="G257" s="167" t="str">
        <f>IF(ISBLANK(DaqBook_RAW_Data!AL247),"",DaqBook_RAW_Data!AL247)</f>
        <v/>
      </c>
      <c r="H257" s="167" t="str">
        <f>IF(ISBLANK(DaqBook_RAW_Data!AM247),"",DaqBook_RAW_Data!AM247)</f>
        <v/>
      </c>
      <c r="I257" s="167" t="str">
        <f>IF(ISBLANK(DaqBook_RAW_Data!AN247),"",DaqBook_RAW_Data!AN247)</f>
        <v/>
      </c>
      <c r="J257" s="167" t="str">
        <f>IF(ISBLANK(DaqBook_RAW_Data!AO247),"",DaqBook_RAW_Data!AO247)</f>
        <v/>
      </c>
      <c r="K257" s="167" t="str">
        <f>IF(ISBLANK(DaqBook_RAW_Data!AP247),"",DaqBook_RAW_Data!AP247)</f>
        <v/>
      </c>
      <c r="L257" s="167" t="str">
        <f>IF(ISBLANK(DaqBook_RAW_Data!AQ247),"",DaqBook_RAW_Data!AQ247)</f>
        <v/>
      </c>
      <c r="M257" s="167" t="str">
        <f>IF(ISBLANK(DaqBook_RAW_Data!AR247),"",DaqBook_RAW_Data!AR247)</f>
        <v/>
      </c>
      <c r="N257" s="167" t="str">
        <f>IF(ISBLANK(DaqBook_RAW_Data!AS247),"",DaqBook_RAW_Data!AS247)</f>
        <v/>
      </c>
      <c r="O257" s="167"/>
      <c r="P257" s="167"/>
    </row>
    <row r="258" spans="1:16" x14ac:dyDescent="0.2">
      <c r="A258" s="58" t="e">
        <f t="shared" si="3"/>
        <v>#VALUE!</v>
      </c>
      <c r="B258" s="144" t="str">
        <f>IF(ISBLANK(DaqBook_RAW_Data!AG248),IF(DaqBook_RAW_Data!A248="","",TIMEVALUE(DaqBook_RAW_Data!A248)),TIMEVALUE(DaqBook_RAW_Data!AG248))</f>
        <v/>
      </c>
      <c r="C258" s="167" t="str">
        <f>IF(ISBLANK(DaqBook_RAW_Data!AH248),"",DaqBook_RAW_Data!AH248)</f>
        <v/>
      </c>
      <c r="D258" s="167" t="str">
        <f>IF(ISBLANK(DaqBook_RAW_Data!AI248),"",DaqBook_RAW_Data!AI248)</f>
        <v/>
      </c>
      <c r="E258" s="167" t="str">
        <f>IF(ISBLANK(DaqBook_RAW_Data!AJ248),"",DaqBook_RAW_Data!AJ248)</f>
        <v/>
      </c>
      <c r="F258" s="167" t="str">
        <f>IF(ISBLANK(DaqBook_RAW_Data!AK248),"",DaqBook_RAW_Data!AK248)</f>
        <v/>
      </c>
      <c r="G258" s="167" t="str">
        <f>IF(ISBLANK(DaqBook_RAW_Data!AL248),"",DaqBook_RAW_Data!AL248)</f>
        <v/>
      </c>
      <c r="H258" s="167" t="str">
        <f>IF(ISBLANK(DaqBook_RAW_Data!AM248),"",DaqBook_RAW_Data!AM248)</f>
        <v/>
      </c>
      <c r="I258" s="167" t="str">
        <f>IF(ISBLANK(DaqBook_RAW_Data!AN248),"",DaqBook_RAW_Data!AN248)</f>
        <v/>
      </c>
      <c r="J258" s="167" t="str">
        <f>IF(ISBLANK(DaqBook_RAW_Data!AO248),"",DaqBook_RAW_Data!AO248)</f>
        <v/>
      </c>
      <c r="K258" s="167" t="str">
        <f>IF(ISBLANK(DaqBook_RAW_Data!AP248),"",DaqBook_RAW_Data!AP248)</f>
        <v/>
      </c>
      <c r="L258" s="167" t="str">
        <f>IF(ISBLANK(DaqBook_RAW_Data!AQ248),"",DaqBook_RAW_Data!AQ248)</f>
        <v/>
      </c>
      <c r="M258" s="167" t="str">
        <f>IF(ISBLANK(DaqBook_RAW_Data!AR248),"",DaqBook_RAW_Data!AR248)</f>
        <v/>
      </c>
      <c r="N258" s="167" t="str">
        <f>IF(ISBLANK(DaqBook_RAW_Data!AS248),"",DaqBook_RAW_Data!AS248)</f>
        <v/>
      </c>
      <c r="O258" s="167"/>
      <c r="P258" s="167"/>
    </row>
    <row r="259" spans="1:16" x14ac:dyDescent="0.2">
      <c r="A259" s="58" t="e">
        <f t="shared" si="3"/>
        <v>#VALUE!</v>
      </c>
      <c r="B259" s="144" t="str">
        <f>IF(ISBLANK(DaqBook_RAW_Data!AG249),IF(DaqBook_RAW_Data!A249="","",TIMEVALUE(DaqBook_RAW_Data!A249)),TIMEVALUE(DaqBook_RAW_Data!AG249))</f>
        <v/>
      </c>
      <c r="C259" s="167" t="str">
        <f>IF(ISBLANK(DaqBook_RAW_Data!AH249),"",DaqBook_RAW_Data!AH249)</f>
        <v/>
      </c>
      <c r="D259" s="167" t="str">
        <f>IF(ISBLANK(DaqBook_RAW_Data!AI249),"",DaqBook_RAW_Data!AI249)</f>
        <v/>
      </c>
      <c r="E259" s="167" t="str">
        <f>IF(ISBLANK(DaqBook_RAW_Data!AJ249),"",DaqBook_RAW_Data!AJ249)</f>
        <v/>
      </c>
      <c r="F259" s="167" t="str">
        <f>IF(ISBLANK(DaqBook_RAW_Data!AK249),"",DaqBook_RAW_Data!AK249)</f>
        <v/>
      </c>
      <c r="G259" s="167" t="str">
        <f>IF(ISBLANK(DaqBook_RAW_Data!AL249),"",DaqBook_RAW_Data!AL249)</f>
        <v/>
      </c>
      <c r="H259" s="167" t="str">
        <f>IF(ISBLANK(DaqBook_RAW_Data!AM249),"",DaqBook_RAW_Data!AM249)</f>
        <v/>
      </c>
      <c r="I259" s="167" t="str">
        <f>IF(ISBLANK(DaqBook_RAW_Data!AN249),"",DaqBook_RAW_Data!AN249)</f>
        <v/>
      </c>
      <c r="J259" s="167" t="str">
        <f>IF(ISBLANK(DaqBook_RAW_Data!AO249),"",DaqBook_RAW_Data!AO249)</f>
        <v/>
      </c>
      <c r="K259" s="167" t="str">
        <f>IF(ISBLANK(DaqBook_RAW_Data!AP249),"",DaqBook_RAW_Data!AP249)</f>
        <v/>
      </c>
      <c r="L259" s="167" t="str">
        <f>IF(ISBLANK(DaqBook_RAW_Data!AQ249),"",DaqBook_RAW_Data!AQ249)</f>
        <v/>
      </c>
      <c r="M259" s="167" t="str">
        <f>IF(ISBLANK(DaqBook_RAW_Data!AR249),"",DaqBook_RAW_Data!AR249)</f>
        <v/>
      </c>
      <c r="N259" s="167" t="str">
        <f>IF(ISBLANK(DaqBook_RAW_Data!AS249),"",DaqBook_RAW_Data!AS249)</f>
        <v/>
      </c>
      <c r="O259" s="167"/>
      <c r="P259" s="167"/>
    </row>
    <row r="260" spans="1:16" x14ac:dyDescent="0.2">
      <c r="A260" s="58" t="e">
        <f t="shared" si="3"/>
        <v>#VALUE!</v>
      </c>
      <c r="B260" s="144" t="str">
        <f>IF(ISBLANK(DaqBook_RAW_Data!AG250),IF(DaqBook_RAW_Data!A250="","",TIMEVALUE(DaqBook_RAW_Data!A250)),TIMEVALUE(DaqBook_RAW_Data!AG250))</f>
        <v/>
      </c>
      <c r="C260" s="167" t="str">
        <f>IF(ISBLANK(DaqBook_RAW_Data!AH250),"",DaqBook_RAW_Data!AH250)</f>
        <v/>
      </c>
      <c r="D260" s="167" t="str">
        <f>IF(ISBLANK(DaqBook_RAW_Data!AI250),"",DaqBook_RAW_Data!AI250)</f>
        <v/>
      </c>
      <c r="E260" s="167" t="str">
        <f>IF(ISBLANK(DaqBook_RAW_Data!AJ250),"",DaqBook_RAW_Data!AJ250)</f>
        <v/>
      </c>
      <c r="F260" s="167" t="str">
        <f>IF(ISBLANK(DaqBook_RAW_Data!AK250),"",DaqBook_RAW_Data!AK250)</f>
        <v/>
      </c>
      <c r="G260" s="167" t="str">
        <f>IF(ISBLANK(DaqBook_RAW_Data!AL250),"",DaqBook_RAW_Data!AL250)</f>
        <v/>
      </c>
      <c r="H260" s="167" t="str">
        <f>IF(ISBLANK(DaqBook_RAW_Data!AM250),"",DaqBook_RAW_Data!AM250)</f>
        <v/>
      </c>
      <c r="I260" s="167" t="str">
        <f>IF(ISBLANK(DaqBook_RAW_Data!AN250),"",DaqBook_RAW_Data!AN250)</f>
        <v/>
      </c>
      <c r="J260" s="167" t="str">
        <f>IF(ISBLANK(DaqBook_RAW_Data!AO250),"",DaqBook_RAW_Data!AO250)</f>
        <v/>
      </c>
      <c r="K260" s="167" t="str">
        <f>IF(ISBLANK(DaqBook_RAW_Data!AP250),"",DaqBook_RAW_Data!AP250)</f>
        <v/>
      </c>
      <c r="L260" s="167" t="str">
        <f>IF(ISBLANK(DaqBook_RAW_Data!AQ250),"",DaqBook_RAW_Data!AQ250)</f>
        <v/>
      </c>
      <c r="M260" s="167" t="str">
        <f>IF(ISBLANK(DaqBook_RAW_Data!AR250),"",DaqBook_RAW_Data!AR250)</f>
        <v/>
      </c>
      <c r="N260" s="167" t="str">
        <f>IF(ISBLANK(DaqBook_RAW_Data!AS250),"",DaqBook_RAW_Data!AS250)</f>
        <v/>
      </c>
      <c r="O260" s="167"/>
      <c r="P260" s="167"/>
    </row>
    <row r="261" spans="1:16" x14ac:dyDescent="0.2">
      <c r="A261" s="58" t="e">
        <f t="shared" si="3"/>
        <v>#VALUE!</v>
      </c>
      <c r="B261" s="144" t="str">
        <f>IF(ISBLANK(DaqBook_RAW_Data!AG251),IF(DaqBook_RAW_Data!A251="","",TIMEVALUE(DaqBook_RAW_Data!A251)),TIMEVALUE(DaqBook_RAW_Data!AG251))</f>
        <v/>
      </c>
      <c r="C261" s="167" t="str">
        <f>IF(ISBLANK(DaqBook_RAW_Data!AH251),"",DaqBook_RAW_Data!AH251)</f>
        <v/>
      </c>
      <c r="D261" s="167" t="str">
        <f>IF(ISBLANK(DaqBook_RAW_Data!AI251),"",DaqBook_RAW_Data!AI251)</f>
        <v/>
      </c>
      <c r="E261" s="167" t="str">
        <f>IF(ISBLANK(DaqBook_RAW_Data!AJ251),"",DaqBook_RAW_Data!AJ251)</f>
        <v/>
      </c>
      <c r="F261" s="167" t="str">
        <f>IF(ISBLANK(DaqBook_RAW_Data!AK251),"",DaqBook_RAW_Data!AK251)</f>
        <v/>
      </c>
      <c r="G261" s="167" t="str">
        <f>IF(ISBLANK(DaqBook_RAW_Data!AL251),"",DaqBook_RAW_Data!AL251)</f>
        <v/>
      </c>
      <c r="H261" s="167" t="str">
        <f>IF(ISBLANK(DaqBook_RAW_Data!AM251),"",DaqBook_RAW_Data!AM251)</f>
        <v/>
      </c>
      <c r="I261" s="167" t="str">
        <f>IF(ISBLANK(DaqBook_RAW_Data!AN251),"",DaqBook_RAW_Data!AN251)</f>
        <v/>
      </c>
      <c r="J261" s="167" t="str">
        <f>IF(ISBLANK(DaqBook_RAW_Data!AO251),"",DaqBook_RAW_Data!AO251)</f>
        <v/>
      </c>
      <c r="K261" s="167" t="str">
        <f>IF(ISBLANK(DaqBook_RAW_Data!AP251),"",DaqBook_RAW_Data!AP251)</f>
        <v/>
      </c>
      <c r="L261" s="167" t="str">
        <f>IF(ISBLANK(DaqBook_RAW_Data!AQ251),"",DaqBook_RAW_Data!AQ251)</f>
        <v/>
      </c>
      <c r="M261" s="167" t="str">
        <f>IF(ISBLANK(DaqBook_RAW_Data!AR251),"",DaqBook_RAW_Data!AR251)</f>
        <v/>
      </c>
      <c r="N261" s="167" t="str">
        <f>IF(ISBLANK(DaqBook_RAW_Data!AS251),"",DaqBook_RAW_Data!AS251)</f>
        <v/>
      </c>
      <c r="O261" s="167"/>
      <c r="P261" s="167"/>
    </row>
    <row r="262" spans="1:16" x14ac:dyDescent="0.2">
      <c r="A262" s="58" t="e">
        <f t="shared" si="3"/>
        <v>#VALUE!</v>
      </c>
      <c r="B262" s="144" t="str">
        <f>IF(ISBLANK(DaqBook_RAW_Data!AG252),IF(DaqBook_RAW_Data!A252="","",TIMEVALUE(DaqBook_RAW_Data!A252)),TIMEVALUE(DaqBook_RAW_Data!AG252))</f>
        <v/>
      </c>
      <c r="C262" s="167" t="str">
        <f>IF(ISBLANK(DaqBook_RAW_Data!AH252),"",DaqBook_RAW_Data!AH252)</f>
        <v/>
      </c>
      <c r="D262" s="167" t="str">
        <f>IF(ISBLANK(DaqBook_RAW_Data!AI252),"",DaqBook_RAW_Data!AI252)</f>
        <v/>
      </c>
      <c r="E262" s="167" t="str">
        <f>IF(ISBLANK(DaqBook_RAW_Data!AJ252),"",DaqBook_RAW_Data!AJ252)</f>
        <v/>
      </c>
      <c r="F262" s="167" t="str">
        <f>IF(ISBLANK(DaqBook_RAW_Data!AK252),"",DaqBook_RAW_Data!AK252)</f>
        <v/>
      </c>
      <c r="G262" s="167" t="str">
        <f>IF(ISBLANK(DaqBook_RAW_Data!AL252),"",DaqBook_RAW_Data!AL252)</f>
        <v/>
      </c>
      <c r="H262" s="167" t="str">
        <f>IF(ISBLANK(DaqBook_RAW_Data!AM252),"",DaqBook_RAW_Data!AM252)</f>
        <v/>
      </c>
      <c r="I262" s="167" t="str">
        <f>IF(ISBLANK(DaqBook_RAW_Data!AN252),"",DaqBook_RAW_Data!AN252)</f>
        <v/>
      </c>
      <c r="J262" s="167" t="str">
        <f>IF(ISBLANK(DaqBook_RAW_Data!AO252),"",DaqBook_RAW_Data!AO252)</f>
        <v/>
      </c>
      <c r="K262" s="167" t="str">
        <f>IF(ISBLANK(DaqBook_RAW_Data!AP252),"",DaqBook_RAW_Data!AP252)</f>
        <v/>
      </c>
      <c r="L262" s="167" t="str">
        <f>IF(ISBLANK(DaqBook_RAW_Data!AQ252),"",DaqBook_RAW_Data!AQ252)</f>
        <v/>
      </c>
      <c r="M262" s="167" t="str">
        <f>IF(ISBLANK(DaqBook_RAW_Data!AR252),"",DaqBook_RAW_Data!AR252)</f>
        <v/>
      </c>
      <c r="N262" s="167" t="str">
        <f>IF(ISBLANK(DaqBook_RAW_Data!AS252),"",DaqBook_RAW_Data!AS252)</f>
        <v/>
      </c>
      <c r="O262" s="167"/>
      <c r="P262" s="167"/>
    </row>
    <row r="263" spans="1:16" x14ac:dyDescent="0.2">
      <c r="A263" s="58" t="e">
        <f t="shared" si="3"/>
        <v>#VALUE!</v>
      </c>
      <c r="B263" s="144" t="str">
        <f>IF(ISBLANK(DaqBook_RAW_Data!AG253),IF(DaqBook_RAW_Data!A253="","",TIMEVALUE(DaqBook_RAW_Data!A253)),TIMEVALUE(DaqBook_RAW_Data!AG253))</f>
        <v/>
      </c>
      <c r="C263" s="167" t="str">
        <f>IF(ISBLANK(DaqBook_RAW_Data!AH253),"",DaqBook_RAW_Data!AH253)</f>
        <v/>
      </c>
      <c r="D263" s="167" t="str">
        <f>IF(ISBLANK(DaqBook_RAW_Data!AI253),"",DaqBook_RAW_Data!AI253)</f>
        <v/>
      </c>
      <c r="E263" s="167" t="str">
        <f>IF(ISBLANK(DaqBook_RAW_Data!AJ253),"",DaqBook_RAW_Data!AJ253)</f>
        <v/>
      </c>
      <c r="F263" s="167" t="str">
        <f>IF(ISBLANK(DaqBook_RAW_Data!AK253),"",DaqBook_RAW_Data!AK253)</f>
        <v/>
      </c>
      <c r="G263" s="167" t="str">
        <f>IF(ISBLANK(DaqBook_RAW_Data!AL253),"",DaqBook_RAW_Data!AL253)</f>
        <v/>
      </c>
      <c r="H263" s="167" t="str">
        <f>IF(ISBLANK(DaqBook_RAW_Data!AM253),"",DaqBook_RAW_Data!AM253)</f>
        <v/>
      </c>
      <c r="I263" s="167" t="str">
        <f>IF(ISBLANK(DaqBook_RAW_Data!AN253),"",DaqBook_RAW_Data!AN253)</f>
        <v/>
      </c>
      <c r="J263" s="167" t="str">
        <f>IF(ISBLANK(DaqBook_RAW_Data!AO253),"",DaqBook_RAW_Data!AO253)</f>
        <v/>
      </c>
      <c r="K263" s="167" t="str">
        <f>IF(ISBLANK(DaqBook_RAW_Data!AP253),"",DaqBook_RAW_Data!AP253)</f>
        <v/>
      </c>
      <c r="L263" s="167" t="str">
        <f>IF(ISBLANK(DaqBook_RAW_Data!AQ253),"",DaqBook_RAW_Data!AQ253)</f>
        <v/>
      </c>
      <c r="M263" s="167" t="str">
        <f>IF(ISBLANK(DaqBook_RAW_Data!AR253),"",DaqBook_RAW_Data!AR253)</f>
        <v/>
      </c>
      <c r="N263" s="167" t="str">
        <f>IF(ISBLANK(DaqBook_RAW_Data!AS253),"",DaqBook_RAW_Data!AS253)</f>
        <v/>
      </c>
      <c r="O263" s="167"/>
      <c r="P263" s="167"/>
    </row>
    <row r="264" spans="1:16" x14ac:dyDescent="0.2">
      <c r="A264" s="58" t="e">
        <f t="shared" si="3"/>
        <v>#VALUE!</v>
      </c>
      <c r="B264" s="144" t="str">
        <f>IF(ISBLANK(DaqBook_RAW_Data!AG254),IF(DaqBook_RAW_Data!A254="","",TIMEVALUE(DaqBook_RAW_Data!A254)),TIMEVALUE(DaqBook_RAW_Data!AG254))</f>
        <v/>
      </c>
      <c r="C264" s="167" t="str">
        <f>IF(ISBLANK(DaqBook_RAW_Data!AH254),"",DaqBook_RAW_Data!AH254)</f>
        <v/>
      </c>
      <c r="D264" s="167" t="str">
        <f>IF(ISBLANK(DaqBook_RAW_Data!AI254),"",DaqBook_RAW_Data!AI254)</f>
        <v/>
      </c>
      <c r="E264" s="167" t="str">
        <f>IF(ISBLANK(DaqBook_RAW_Data!AJ254),"",DaqBook_RAW_Data!AJ254)</f>
        <v/>
      </c>
      <c r="F264" s="167" t="str">
        <f>IF(ISBLANK(DaqBook_RAW_Data!AK254),"",DaqBook_RAW_Data!AK254)</f>
        <v/>
      </c>
      <c r="G264" s="167" t="str">
        <f>IF(ISBLANK(DaqBook_RAW_Data!AL254),"",DaqBook_RAW_Data!AL254)</f>
        <v/>
      </c>
      <c r="H264" s="167" t="str">
        <f>IF(ISBLANK(DaqBook_RAW_Data!AM254),"",DaqBook_RAW_Data!AM254)</f>
        <v/>
      </c>
      <c r="I264" s="167" t="str">
        <f>IF(ISBLANK(DaqBook_RAW_Data!AN254),"",DaqBook_RAW_Data!AN254)</f>
        <v/>
      </c>
      <c r="J264" s="167" t="str">
        <f>IF(ISBLANK(DaqBook_RAW_Data!AO254),"",DaqBook_RAW_Data!AO254)</f>
        <v/>
      </c>
      <c r="K264" s="167" t="str">
        <f>IF(ISBLANK(DaqBook_RAW_Data!AP254),"",DaqBook_RAW_Data!AP254)</f>
        <v/>
      </c>
      <c r="L264" s="167" t="str">
        <f>IF(ISBLANK(DaqBook_RAW_Data!AQ254),"",DaqBook_RAW_Data!AQ254)</f>
        <v/>
      </c>
      <c r="M264" s="167" t="str">
        <f>IF(ISBLANK(DaqBook_RAW_Data!AR254),"",DaqBook_RAW_Data!AR254)</f>
        <v/>
      </c>
      <c r="N264" s="167" t="str">
        <f>IF(ISBLANK(DaqBook_RAW_Data!AS254),"",DaqBook_RAW_Data!AS254)</f>
        <v/>
      </c>
      <c r="O264" s="167"/>
      <c r="P264" s="167"/>
    </row>
    <row r="265" spans="1:16" x14ac:dyDescent="0.2">
      <c r="A265" s="58" t="e">
        <f t="shared" si="3"/>
        <v>#VALUE!</v>
      </c>
      <c r="B265" s="144" t="str">
        <f>IF(ISBLANK(DaqBook_RAW_Data!AG255),IF(DaqBook_RAW_Data!A255="","",TIMEVALUE(DaqBook_RAW_Data!A255)),TIMEVALUE(DaqBook_RAW_Data!AG255))</f>
        <v/>
      </c>
      <c r="C265" s="167" t="str">
        <f>IF(ISBLANK(DaqBook_RAW_Data!AH255),"",DaqBook_RAW_Data!AH255)</f>
        <v/>
      </c>
      <c r="D265" s="167" t="str">
        <f>IF(ISBLANK(DaqBook_RAW_Data!AI255),"",DaqBook_RAW_Data!AI255)</f>
        <v/>
      </c>
      <c r="E265" s="167" t="str">
        <f>IF(ISBLANK(DaqBook_RAW_Data!AJ255),"",DaqBook_RAW_Data!AJ255)</f>
        <v/>
      </c>
      <c r="F265" s="167" t="str">
        <f>IF(ISBLANK(DaqBook_RAW_Data!AK255),"",DaqBook_RAW_Data!AK255)</f>
        <v/>
      </c>
      <c r="G265" s="167" t="str">
        <f>IF(ISBLANK(DaqBook_RAW_Data!AL255),"",DaqBook_RAW_Data!AL255)</f>
        <v/>
      </c>
      <c r="H265" s="167" t="str">
        <f>IF(ISBLANK(DaqBook_RAW_Data!AM255),"",DaqBook_RAW_Data!AM255)</f>
        <v/>
      </c>
      <c r="I265" s="167" t="str">
        <f>IF(ISBLANK(DaqBook_RAW_Data!AN255),"",DaqBook_RAW_Data!AN255)</f>
        <v/>
      </c>
      <c r="J265" s="167" t="str">
        <f>IF(ISBLANK(DaqBook_RAW_Data!AO255),"",DaqBook_RAW_Data!AO255)</f>
        <v/>
      </c>
      <c r="K265" s="167" t="str">
        <f>IF(ISBLANK(DaqBook_RAW_Data!AP255),"",DaqBook_RAW_Data!AP255)</f>
        <v/>
      </c>
      <c r="L265" s="167" t="str">
        <f>IF(ISBLANK(DaqBook_RAW_Data!AQ255),"",DaqBook_RAW_Data!AQ255)</f>
        <v/>
      </c>
      <c r="M265" s="167" t="str">
        <f>IF(ISBLANK(DaqBook_RAW_Data!AR255),"",DaqBook_RAW_Data!AR255)</f>
        <v/>
      </c>
      <c r="N265" s="167" t="str">
        <f>IF(ISBLANK(DaqBook_RAW_Data!AS255),"",DaqBook_RAW_Data!AS255)</f>
        <v/>
      </c>
      <c r="O265" s="167"/>
      <c r="P265" s="167"/>
    </row>
    <row r="266" spans="1:16" x14ac:dyDescent="0.2">
      <c r="A266" s="58" t="e">
        <f t="shared" si="3"/>
        <v>#VALUE!</v>
      </c>
      <c r="B266" s="144" t="str">
        <f>IF(ISBLANK(DaqBook_RAW_Data!AG256),IF(DaqBook_RAW_Data!A256="","",TIMEVALUE(DaqBook_RAW_Data!A256)),TIMEVALUE(DaqBook_RAW_Data!AG256))</f>
        <v/>
      </c>
      <c r="C266" s="167" t="str">
        <f>IF(ISBLANK(DaqBook_RAW_Data!AH256),"",DaqBook_RAW_Data!AH256)</f>
        <v/>
      </c>
      <c r="D266" s="167" t="str">
        <f>IF(ISBLANK(DaqBook_RAW_Data!AI256),"",DaqBook_RAW_Data!AI256)</f>
        <v/>
      </c>
      <c r="E266" s="167" t="str">
        <f>IF(ISBLANK(DaqBook_RAW_Data!AJ256),"",DaqBook_RAW_Data!AJ256)</f>
        <v/>
      </c>
      <c r="F266" s="167" t="str">
        <f>IF(ISBLANK(DaqBook_RAW_Data!AK256),"",DaqBook_RAW_Data!AK256)</f>
        <v/>
      </c>
      <c r="G266" s="167" t="str">
        <f>IF(ISBLANK(DaqBook_RAW_Data!AL256),"",DaqBook_RAW_Data!AL256)</f>
        <v/>
      </c>
      <c r="H266" s="167" t="str">
        <f>IF(ISBLANK(DaqBook_RAW_Data!AM256),"",DaqBook_RAW_Data!AM256)</f>
        <v/>
      </c>
      <c r="I266" s="167" t="str">
        <f>IF(ISBLANK(DaqBook_RAW_Data!AN256),"",DaqBook_RAW_Data!AN256)</f>
        <v/>
      </c>
      <c r="J266" s="167" t="str">
        <f>IF(ISBLANK(DaqBook_RAW_Data!AO256),"",DaqBook_RAW_Data!AO256)</f>
        <v/>
      </c>
      <c r="K266" s="167" t="str">
        <f>IF(ISBLANK(DaqBook_RAW_Data!AP256),"",DaqBook_RAW_Data!AP256)</f>
        <v/>
      </c>
      <c r="L266" s="167" t="str">
        <f>IF(ISBLANK(DaqBook_RAW_Data!AQ256),"",DaqBook_RAW_Data!AQ256)</f>
        <v/>
      </c>
      <c r="M266" s="167" t="str">
        <f>IF(ISBLANK(DaqBook_RAW_Data!AR256),"",DaqBook_RAW_Data!AR256)</f>
        <v/>
      </c>
      <c r="N266" s="167" t="str">
        <f>IF(ISBLANK(DaqBook_RAW_Data!AS256),"",DaqBook_RAW_Data!AS256)</f>
        <v/>
      </c>
      <c r="O266" s="167"/>
      <c r="P266" s="167"/>
    </row>
    <row r="267" spans="1:16" x14ac:dyDescent="0.2">
      <c r="A267" s="58" t="e">
        <f t="shared" si="3"/>
        <v>#VALUE!</v>
      </c>
      <c r="B267" s="144" t="str">
        <f>IF(ISBLANK(DaqBook_RAW_Data!AG257),IF(DaqBook_RAW_Data!A257="","",TIMEVALUE(DaqBook_RAW_Data!A257)),TIMEVALUE(DaqBook_RAW_Data!AG257))</f>
        <v/>
      </c>
      <c r="C267" s="167" t="str">
        <f>IF(ISBLANK(DaqBook_RAW_Data!AH257),"",DaqBook_RAW_Data!AH257)</f>
        <v/>
      </c>
      <c r="D267" s="167" t="str">
        <f>IF(ISBLANK(DaqBook_RAW_Data!AI257),"",DaqBook_RAW_Data!AI257)</f>
        <v/>
      </c>
      <c r="E267" s="167" t="str">
        <f>IF(ISBLANK(DaqBook_RAW_Data!AJ257),"",DaqBook_RAW_Data!AJ257)</f>
        <v/>
      </c>
      <c r="F267" s="167" t="str">
        <f>IF(ISBLANK(DaqBook_RAW_Data!AK257),"",DaqBook_RAW_Data!AK257)</f>
        <v/>
      </c>
      <c r="G267" s="167" t="str">
        <f>IF(ISBLANK(DaqBook_RAW_Data!AL257),"",DaqBook_RAW_Data!AL257)</f>
        <v/>
      </c>
      <c r="H267" s="167" t="str">
        <f>IF(ISBLANK(DaqBook_RAW_Data!AM257),"",DaqBook_RAW_Data!AM257)</f>
        <v/>
      </c>
      <c r="I267" s="167" t="str">
        <f>IF(ISBLANK(DaqBook_RAW_Data!AN257),"",DaqBook_RAW_Data!AN257)</f>
        <v/>
      </c>
      <c r="J267" s="167" t="str">
        <f>IF(ISBLANK(DaqBook_RAW_Data!AO257),"",DaqBook_RAW_Data!AO257)</f>
        <v/>
      </c>
      <c r="K267" s="167" t="str">
        <f>IF(ISBLANK(DaqBook_RAW_Data!AP257),"",DaqBook_RAW_Data!AP257)</f>
        <v/>
      </c>
      <c r="L267" s="167" t="str">
        <f>IF(ISBLANK(DaqBook_RAW_Data!AQ257),"",DaqBook_RAW_Data!AQ257)</f>
        <v/>
      </c>
      <c r="M267" s="167" t="str">
        <f>IF(ISBLANK(DaqBook_RAW_Data!AR257),"",DaqBook_RAW_Data!AR257)</f>
        <v/>
      </c>
      <c r="N267" s="167" t="str">
        <f>IF(ISBLANK(DaqBook_RAW_Data!AS257),"",DaqBook_RAW_Data!AS257)</f>
        <v/>
      </c>
      <c r="O267" s="167"/>
      <c r="P267" s="167"/>
    </row>
    <row r="268" spans="1:16" x14ac:dyDescent="0.2">
      <c r="A268" s="58" t="e">
        <f t="shared" si="3"/>
        <v>#VALUE!</v>
      </c>
      <c r="B268" s="144" t="str">
        <f>IF(ISBLANK(DaqBook_RAW_Data!AG258),IF(DaqBook_RAW_Data!A258="","",TIMEVALUE(DaqBook_RAW_Data!A258)),TIMEVALUE(DaqBook_RAW_Data!AG258))</f>
        <v/>
      </c>
      <c r="C268" s="167" t="str">
        <f>IF(ISBLANK(DaqBook_RAW_Data!AH258),"",DaqBook_RAW_Data!AH258)</f>
        <v/>
      </c>
      <c r="D268" s="167" t="str">
        <f>IF(ISBLANK(DaqBook_RAW_Data!AI258),"",DaqBook_RAW_Data!AI258)</f>
        <v/>
      </c>
      <c r="E268" s="167" t="str">
        <f>IF(ISBLANK(DaqBook_RAW_Data!AJ258),"",DaqBook_RAW_Data!AJ258)</f>
        <v/>
      </c>
      <c r="F268" s="167" t="str">
        <f>IF(ISBLANK(DaqBook_RAW_Data!AK258),"",DaqBook_RAW_Data!AK258)</f>
        <v/>
      </c>
      <c r="G268" s="167" t="str">
        <f>IF(ISBLANK(DaqBook_RAW_Data!AL258),"",DaqBook_RAW_Data!AL258)</f>
        <v/>
      </c>
      <c r="H268" s="167" t="str">
        <f>IF(ISBLANK(DaqBook_RAW_Data!AM258),"",DaqBook_RAW_Data!AM258)</f>
        <v/>
      </c>
      <c r="I268" s="167" t="str">
        <f>IF(ISBLANK(DaqBook_RAW_Data!AN258),"",DaqBook_RAW_Data!AN258)</f>
        <v/>
      </c>
      <c r="J268" s="167" t="str">
        <f>IF(ISBLANK(DaqBook_RAW_Data!AO258),"",DaqBook_RAW_Data!AO258)</f>
        <v/>
      </c>
      <c r="K268" s="167" t="str">
        <f>IF(ISBLANK(DaqBook_RAW_Data!AP258),"",DaqBook_RAW_Data!AP258)</f>
        <v/>
      </c>
      <c r="L268" s="167" t="str">
        <f>IF(ISBLANK(DaqBook_RAW_Data!AQ258),"",DaqBook_RAW_Data!AQ258)</f>
        <v/>
      </c>
      <c r="M268" s="167" t="str">
        <f>IF(ISBLANK(DaqBook_RAW_Data!AR258),"",DaqBook_RAW_Data!AR258)</f>
        <v/>
      </c>
      <c r="N268" s="167" t="str">
        <f>IF(ISBLANK(DaqBook_RAW_Data!AS258),"",DaqBook_RAW_Data!AS258)</f>
        <v/>
      </c>
      <c r="O268" s="167"/>
      <c r="P268" s="167"/>
    </row>
    <row r="269" spans="1:16" x14ac:dyDescent="0.2">
      <c r="A269" s="58" t="e">
        <f t="shared" si="3"/>
        <v>#VALUE!</v>
      </c>
      <c r="B269" s="144" t="str">
        <f>IF(ISBLANK(DaqBook_RAW_Data!AG259),IF(DaqBook_RAW_Data!A259="","",TIMEVALUE(DaqBook_RAW_Data!A259)),TIMEVALUE(DaqBook_RAW_Data!AG259))</f>
        <v/>
      </c>
      <c r="C269" s="167" t="str">
        <f>IF(ISBLANK(DaqBook_RAW_Data!AH259),"",DaqBook_RAW_Data!AH259)</f>
        <v/>
      </c>
      <c r="D269" s="167" t="str">
        <f>IF(ISBLANK(DaqBook_RAW_Data!AI259),"",DaqBook_RAW_Data!AI259)</f>
        <v/>
      </c>
      <c r="E269" s="167" t="str">
        <f>IF(ISBLANK(DaqBook_RAW_Data!AJ259),"",DaqBook_RAW_Data!AJ259)</f>
        <v/>
      </c>
      <c r="F269" s="167" t="str">
        <f>IF(ISBLANK(DaqBook_RAW_Data!AK259),"",DaqBook_RAW_Data!AK259)</f>
        <v/>
      </c>
      <c r="G269" s="167" t="str">
        <f>IF(ISBLANK(DaqBook_RAW_Data!AL259),"",DaqBook_RAW_Data!AL259)</f>
        <v/>
      </c>
      <c r="H269" s="167" t="str">
        <f>IF(ISBLANK(DaqBook_RAW_Data!AM259),"",DaqBook_RAW_Data!AM259)</f>
        <v/>
      </c>
      <c r="I269" s="167" t="str">
        <f>IF(ISBLANK(DaqBook_RAW_Data!AN259),"",DaqBook_RAW_Data!AN259)</f>
        <v/>
      </c>
      <c r="J269" s="167" t="str">
        <f>IF(ISBLANK(DaqBook_RAW_Data!AO259),"",DaqBook_RAW_Data!AO259)</f>
        <v/>
      </c>
      <c r="K269" s="167" t="str">
        <f>IF(ISBLANK(DaqBook_RAW_Data!AP259),"",DaqBook_RAW_Data!AP259)</f>
        <v/>
      </c>
      <c r="L269" s="167" t="str">
        <f>IF(ISBLANK(DaqBook_RAW_Data!AQ259),"",DaqBook_RAW_Data!AQ259)</f>
        <v/>
      </c>
      <c r="M269" s="167" t="str">
        <f>IF(ISBLANK(DaqBook_RAW_Data!AR259),"",DaqBook_RAW_Data!AR259)</f>
        <v/>
      </c>
      <c r="N269" s="167" t="str">
        <f>IF(ISBLANK(DaqBook_RAW_Data!AS259),"",DaqBook_RAW_Data!AS259)</f>
        <v/>
      </c>
      <c r="O269" s="167"/>
      <c r="P269" s="167"/>
    </row>
    <row r="270" spans="1:16" x14ac:dyDescent="0.2">
      <c r="A270" s="58" t="e">
        <f t="shared" si="3"/>
        <v>#VALUE!</v>
      </c>
      <c r="B270" s="144" t="str">
        <f>IF(ISBLANK(DaqBook_RAW_Data!AG260),IF(DaqBook_RAW_Data!A260="","",TIMEVALUE(DaqBook_RAW_Data!A260)),TIMEVALUE(DaqBook_RAW_Data!AG260))</f>
        <v/>
      </c>
      <c r="C270" s="167" t="str">
        <f>IF(ISBLANK(DaqBook_RAW_Data!AH260),"",DaqBook_RAW_Data!AH260)</f>
        <v/>
      </c>
      <c r="D270" s="167" t="str">
        <f>IF(ISBLANK(DaqBook_RAW_Data!AI260),"",DaqBook_RAW_Data!AI260)</f>
        <v/>
      </c>
      <c r="E270" s="167" t="str">
        <f>IF(ISBLANK(DaqBook_RAW_Data!AJ260),"",DaqBook_RAW_Data!AJ260)</f>
        <v/>
      </c>
      <c r="F270" s="167" t="str">
        <f>IF(ISBLANK(DaqBook_RAW_Data!AK260),"",DaqBook_RAW_Data!AK260)</f>
        <v/>
      </c>
      <c r="G270" s="167" t="str">
        <f>IF(ISBLANK(DaqBook_RAW_Data!AL260),"",DaqBook_RAW_Data!AL260)</f>
        <v/>
      </c>
      <c r="H270" s="167" t="str">
        <f>IF(ISBLANK(DaqBook_RAW_Data!AM260),"",DaqBook_RAW_Data!AM260)</f>
        <v/>
      </c>
      <c r="I270" s="167" t="str">
        <f>IF(ISBLANK(DaqBook_RAW_Data!AN260),"",DaqBook_RAW_Data!AN260)</f>
        <v/>
      </c>
      <c r="J270" s="167" t="str">
        <f>IF(ISBLANK(DaqBook_RAW_Data!AO260),"",DaqBook_RAW_Data!AO260)</f>
        <v/>
      </c>
      <c r="K270" s="167" t="str">
        <f>IF(ISBLANK(DaqBook_RAW_Data!AP260),"",DaqBook_RAW_Data!AP260)</f>
        <v/>
      </c>
      <c r="L270" s="167" t="str">
        <f>IF(ISBLANK(DaqBook_RAW_Data!AQ260),"",DaqBook_RAW_Data!AQ260)</f>
        <v/>
      </c>
      <c r="M270" s="167" t="str">
        <f>IF(ISBLANK(DaqBook_RAW_Data!AR260),"",DaqBook_RAW_Data!AR260)</f>
        <v/>
      </c>
      <c r="N270" s="167" t="str">
        <f>IF(ISBLANK(DaqBook_RAW_Data!AS260),"",DaqBook_RAW_Data!AS260)</f>
        <v/>
      </c>
      <c r="O270" s="167"/>
      <c r="P270" s="167"/>
    </row>
    <row r="271" spans="1:16" x14ac:dyDescent="0.2">
      <c r="A271" s="58" t="e">
        <f t="shared" ref="A271:A334" si="4">HOUR(B271)&amp;":"&amp;MINUTE(B271)</f>
        <v>#VALUE!</v>
      </c>
      <c r="B271" s="144" t="str">
        <f>IF(ISBLANK(DaqBook_RAW_Data!AG261),IF(DaqBook_RAW_Data!A261="","",TIMEVALUE(DaqBook_RAW_Data!A261)),TIMEVALUE(DaqBook_RAW_Data!AG261))</f>
        <v/>
      </c>
      <c r="C271" s="167" t="str">
        <f>IF(ISBLANK(DaqBook_RAW_Data!AH261),"",DaqBook_RAW_Data!AH261)</f>
        <v/>
      </c>
      <c r="D271" s="167" t="str">
        <f>IF(ISBLANK(DaqBook_RAW_Data!AI261),"",DaqBook_RAW_Data!AI261)</f>
        <v/>
      </c>
      <c r="E271" s="167" t="str">
        <f>IF(ISBLANK(DaqBook_RAW_Data!AJ261),"",DaqBook_RAW_Data!AJ261)</f>
        <v/>
      </c>
      <c r="F271" s="167" t="str">
        <f>IF(ISBLANK(DaqBook_RAW_Data!AK261),"",DaqBook_RAW_Data!AK261)</f>
        <v/>
      </c>
      <c r="G271" s="167" t="str">
        <f>IF(ISBLANK(DaqBook_RAW_Data!AL261),"",DaqBook_RAW_Data!AL261)</f>
        <v/>
      </c>
      <c r="H271" s="167" t="str">
        <f>IF(ISBLANK(DaqBook_RAW_Data!AM261),"",DaqBook_RAW_Data!AM261)</f>
        <v/>
      </c>
      <c r="I271" s="167" t="str">
        <f>IF(ISBLANK(DaqBook_RAW_Data!AN261),"",DaqBook_RAW_Data!AN261)</f>
        <v/>
      </c>
      <c r="J271" s="167" t="str">
        <f>IF(ISBLANK(DaqBook_RAW_Data!AO261),"",DaqBook_RAW_Data!AO261)</f>
        <v/>
      </c>
      <c r="K271" s="167" t="str">
        <f>IF(ISBLANK(DaqBook_RAW_Data!AP261),"",DaqBook_RAW_Data!AP261)</f>
        <v/>
      </c>
      <c r="L271" s="167" t="str">
        <f>IF(ISBLANK(DaqBook_RAW_Data!AQ261),"",DaqBook_RAW_Data!AQ261)</f>
        <v/>
      </c>
      <c r="M271" s="167" t="str">
        <f>IF(ISBLANK(DaqBook_RAW_Data!AR261),"",DaqBook_RAW_Data!AR261)</f>
        <v/>
      </c>
      <c r="N271" s="167" t="str">
        <f>IF(ISBLANK(DaqBook_RAW_Data!AS261),"",DaqBook_RAW_Data!AS261)</f>
        <v/>
      </c>
      <c r="O271" s="167"/>
      <c r="P271" s="167"/>
    </row>
    <row r="272" spans="1:16" x14ac:dyDescent="0.2">
      <c r="A272" s="58" t="e">
        <f t="shared" si="4"/>
        <v>#VALUE!</v>
      </c>
      <c r="B272" s="144" t="str">
        <f>IF(ISBLANK(DaqBook_RAW_Data!AG262),IF(DaqBook_RAW_Data!A262="","",TIMEVALUE(DaqBook_RAW_Data!A262)),TIMEVALUE(DaqBook_RAW_Data!AG262))</f>
        <v/>
      </c>
      <c r="C272" s="167" t="str">
        <f>IF(ISBLANK(DaqBook_RAW_Data!AH262),"",DaqBook_RAW_Data!AH262)</f>
        <v/>
      </c>
      <c r="D272" s="167" t="str">
        <f>IF(ISBLANK(DaqBook_RAW_Data!AI262),"",DaqBook_RAW_Data!AI262)</f>
        <v/>
      </c>
      <c r="E272" s="167" t="str">
        <f>IF(ISBLANK(DaqBook_RAW_Data!AJ262),"",DaqBook_RAW_Data!AJ262)</f>
        <v/>
      </c>
      <c r="F272" s="167" t="str">
        <f>IF(ISBLANK(DaqBook_RAW_Data!AK262),"",DaqBook_RAW_Data!AK262)</f>
        <v/>
      </c>
      <c r="G272" s="167" t="str">
        <f>IF(ISBLANK(DaqBook_RAW_Data!AL262),"",DaqBook_RAW_Data!AL262)</f>
        <v/>
      </c>
      <c r="H272" s="167" t="str">
        <f>IF(ISBLANK(DaqBook_RAW_Data!AM262),"",DaqBook_RAW_Data!AM262)</f>
        <v/>
      </c>
      <c r="I272" s="167" t="str">
        <f>IF(ISBLANK(DaqBook_RAW_Data!AN262),"",DaqBook_RAW_Data!AN262)</f>
        <v/>
      </c>
      <c r="J272" s="167" t="str">
        <f>IF(ISBLANK(DaqBook_RAW_Data!AO262),"",DaqBook_RAW_Data!AO262)</f>
        <v/>
      </c>
      <c r="K272" s="167" t="str">
        <f>IF(ISBLANK(DaqBook_RAW_Data!AP262),"",DaqBook_RAW_Data!AP262)</f>
        <v/>
      </c>
      <c r="L272" s="167" t="str">
        <f>IF(ISBLANK(DaqBook_RAW_Data!AQ262),"",DaqBook_RAW_Data!AQ262)</f>
        <v/>
      </c>
      <c r="M272" s="167" t="str">
        <f>IF(ISBLANK(DaqBook_RAW_Data!AR262),"",DaqBook_RAW_Data!AR262)</f>
        <v/>
      </c>
      <c r="N272" s="167" t="str">
        <f>IF(ISBLANK(DaqBook_RAW_Data!AS262),"",DaqBook_RAW_Data!AS262)</f>
        <v/>
      </c>
      <c r="O272" s="167"/>
      <c r="P272" s="167"/>
    </row>
    <row r="273" spans="1:16" x14ac:dyDescent="0.2">
      <c r="A273" s="58" t="e">
        <f t="shared" si="4"/>
        <v>#VALUE!</v>
      </c>
      <c r="B273" s="144" t="str">
        <f>IF(ISBLANK(DaqBook_RAW_Data!AG263),IF(DaqBook_RAW_Data!A263="","",TIMEVALUE(DaqBook_RAW_Data!A263)),TIMEVALUE(DaqBook_RAW_Data!AG263))</f>
        <v/>
      </c>
      <c r="C273" s="167" t="str">
        <f>IF(ISBLANK(DaqBook_RAW_Data!AH263),"",DaqBook_RAW_Data!AH263)</f>
        <v/>
      </c>
      <c r="D273" s="167" t="str">
        <f>IF(ISBLANK(DaqBook_RAW_Data!AI263),"",DaqBook_RAW_Data!AI263)</f>
        <v/>
      </c>
      <c r="E273" s="167" t="str">
        <f>IF(ISBLANK(DaqBook_RAW_Data!AJ263),"",DaqBook_RAW_Data!AJ263)</f>
        <v/>
      </c>
      <c r="F273" s="167" t="str">
        <f>IF(ISBLANK(DaqBook_RAW_Data!AK263),"",DaqBook_RAW_Data!AK263)</f>
        <v/>
      </c>
      <c r="G273" s="167" t="str">
        <f>IF(ISBLANK(DaqBook_RAW_Data!AL263),"",DaqBook_RAW_Data!AL263)</f>
        <v/>
      </c>
      <c r="H273" s="167" t="str">
        <f>IF(ISBLANK(DaqBook_RAW_Data!AM263),"",DaqBook_RAW_Data!AM263)</f>
        <v/>
      </c>
      <c r="I273" s="167" t="str">
        <f>IF(ISBLANK(DaqBook_RAW_Data!AN263),"",DaqBook_RAW_Data!AN263)</f>
        <v/>
      </c>
      <c r="J273" s="167" t="str">
        <f>IF(ISBLANK(DaqBook_RAW_Data!AO263),"",DaqBook_RAW_Data!AO263)</f>
        <v/>
      </c>
      <c r="K273" s="167" t="str">
        <f>IF(ISBLANK(DaqBook_RAW_Data!AP263),"",DaqBook_RAW_Data!AP263)</f>
        <v/>
      </c>
      <c r="L273" s="167" t="str">
        <f>IF(ISBLANK(DaqBook_RAW_Data!AQ263),"",DaqBook_RAW_Data!AQ263)</f>
        <v/>
      </c>
      <c r="M273" s="167" t="str">
        <f>IF(ISBLANK(DaqBook_RAW_Data!AR263),"",DaqBook_RAW_Data!AR263)</f>
        <v/>
      </c>
      <c r="N273" s="167" t="str">
        <f>IF(ISBLANK(DaqBook_RAW_Data!AS263),"",DaqBook_RAW_Data!AS263)</f>
        <v/>
      </c>
      <c r="O273" s="167"/>
      <c r="P273" s="167"/>
    </row>
    <row r="274" spans="1:16" x14ac:dyDescent="0.2">
      <c r="A274" s="58" t="e">
        <f t="shared" si="4"/>
        <v>#VALUE!</v>
      </c>
      <c r="B274" s="144" t="str">
        <f>IF(ISBLANK(DaqBook_RAW_Data!AG264),IF(DaqBook_RAW_Data!A264="","",TIMEVALUE(DaqBook_RAW_Data!A264)),TIMEVALUE(DaqBook_RAW_Data!AG264))</f>
        <v/>
      </c>
      <c r="C274" s="167" t="str">
        <f>IF(ISBLANK(DaqBook_RAW_Data!AH264),"",DaqBook_RAW_Data!AH264)</f>
        <v/>
      </c>
      <c r="D274" s="167" t="str">
        <f>IF(ISBLANK(DaqBook_RAW_Data!AI264),"",DaqBook_RAW_Data!AI264)</f>
        <v/>
      </c>
      <c r="E274" s="167" t="str">
        <f>IF(ISBLANK(DaqBook_RAW_Data!AJ264),"",DaqBook_RAW_Data!AJ264)</f>
        <v/>
      </c>
      <c r="F274" s="167" t="str">
        <f>IF(ISBLANK(DaqBook_RAW_Data!AK264),"",DaqBook_RAW_Data!AK264)</f>
        <v/>
      </c>
      <c r="G274" s="167" t="str">
        <f>IF(ISBLANK(DaqBook_RAW_Data!AL264),"",DaqBook_RAW_Data!AL264)</f>
        <v/>
      </c>
      <c r="H274" s="167" t="str">
        <f>IF(ISBLANK(DaqBook_RAW_Data!AM264),"",DaqBook_RAW_Data!AM264)</f>
        <v/>
      </c>
      <c r="I274" s="167" t="str">
        <f>IF(ISBLANK(DaqBook_RAW_Data!AN264),"",DaqBook_RAW_Data!AN264)</f>
        <v/>
      </c>
      <c r="J274" s="167" t="str">
        <f>IF(ISBLANK(DaqBook_RAW_Data!AO264),"",DaqBook_RAW_Data!AO264)</f>
        <v/>
      </c>
      <c r="K274" s="167" t="str">
        <f>IF(ISBLANK(DaqBook_RAW_Data!AP264),"",DaqBook_RAW_Data!AP264)</f>
        <v/>
      </c>
      <c r="L274" s="167" t="str">
        <f>IF(ISBLANK(DaqBook_RAW_Data!AQ264),"",DaqBook_RAW_Data!AQ264)</f>
        <v/>
      </c>
      <c r="M274" s="167" t="str">
        <f>IF(ISBLANK(DaqBook_RAW_Data!AR264),"",DaqBook_RAW_Data!AR264)</f>
        <v/>
      </c>
      <c r="N274" s="167" t="str">
        <f>IF(ISBLANK(DaqBook_RAW_Data!AS264),"",DaqBook_RAW_Data!AS264)</f>
        <v/>
      </c>
      <c r="O274" s="167"/>
      <c r="P274" s="167"/>
    </row>
    <row r="275" spans="1:16" x14ac:dyDescent="0.2">
      <c r="A275" s="58" t="e">
        <f t="shared" si="4"/>
        <v>#VALUE!</v>
      </c>
      <c r="B275" s="144" t="str">
        <f>IF(ISBLANK(DaqBook_RAW_Data!AG265),IF(DaqBook_RAW_Data!A265="","",TIMEVALUE(DaqBook_RAW_Data!A265)),TIMEVALUE(DaqBook_RAW_Data!AG265))</f>
        <v/>
      </c>
      <c r="C275" s="167" t="str">
        <f>IF(ISBLANK(DaqBook_RAW_Data!AH265),"",DaqBook_RAW_Data!AH265)</f>
        <v/>
      </c>
      <c r="D275" s="167" t="str">
        <f>IF(ISBLANK(DaqBook_RAW_Data!AI265),"",DaqBook_RAW_Data!AI265)</f>
        <v/>
      </c>
      <c r="E275" s="167" t="str">
        <f>IF(ISBLANK(DaqBook_RAW_Data!AJ265),"",DaqBook_RAW_Data!AJ265)</f>
        <v/>
      </c>
      <c r="F275" s="167" t="str">
        <f>IF(ISBLANK(DaqBook_RAW_Data!AK265),"",DaqBook_RAW_Data!AK265)</f>
        <v/>
      </c>
      <c r="G275" s="167" t="str">
        <f>IF(ISBLANK(DaqBook_RAW_Data!AL265),"",DaqBook_RAW_Data!AL265)</f>
        <v/>
      </c>
      <c r="H275" s="167" t="str">
        <f>IF(ISBLANK(DaqBook_RAW_Data!AM265),"",DaqBook_RAW_Data!AM265)</f>
        <v/>
      </c>
      <c r="I275" s="167" t="str">
        <f>IF(ISBLANK(DaqBook_RAW_Data!AN265),"",DaqBook_RAW_Data!AN265)</f>
        <v/>
      </c>
      <c r="J275" s="167" t="str">
        <f>IF(ISBLANK(DaqBook_RAW_Data!AO265),"",DaqBook_RAW_Data!AO265)</f>
        <v/>
      </c>
      <c r="K275" s="167" t="str">
        <f>IF(ISBLANK(DaqBook_RAW_Data!AP265),"",DaqBook_RAW_Data!AP265)</f>
        <v/>
      </c>
      <c r="L275" s="167" t="str">
        <f>IF(ISBLANK(DaqBook_RAW_Data!AQ265),"",DaqBook_RAW_Data!AQ265)</f>
        <v/>
      </c>
      <c r="M275" s="167" t="str">
        <f>IF(ISBLANK(DaqBook_RAW_Data!AR265),"",DaqBook_RAW_Data!AR265)</f>
        <v/>
      </c>
      <c r="N275" s="167" t="str">
        <f>IF(ISBLANK(DaqBook_RAW_Data!AS265),"",DaqBook_RAW_Data!AS265)</f>
        <v/>
      </c>
      <c r="O275" s="167"/>
      <c r="P275" s="167"/>
    </row>
    <row r="276" spans="1:16" x14ac:dyDescent="0.2">
      <c r="A276" s="58" t="e">
        <f t="shared" si="4"/>
        <v>#VALUE!</v>
      </c>
      <c r="B276" s="144" t="str">
        <f>IF(ISBLANK(DaqBook_RAW_Data!AG266),IF(DaqBook_RAW_Data!A266="","",TIMEVALUE(DaqBook_RAW_Data!A266)),TIMEVALUE(DaqBook_RAW_Data!AG266))</f>
        <v/>
      </c>
      <c r="C276" s="167" t="str">
        <f>IF(ISBLANK(DaqBook_RAW_Data!AH266),"",DaqBook_RAW_Data!AH266)</f>
        <v/>
      </c>
      <c r="D276" s="167" t="str">
        <f>IF(ISBLANK(DaqBook_RAW_Data!AI266),"",DaqBook_RAW_Data!AI266)</f>
        <v/>
      </c>
      <c r="E276" s="167" t="str">
        <f>IF(ISBLANK(DaqBook_RAW_Data!AJ266),"",DaqBook_RAW_Data!AJ266)</f>
        <v/>
      </c>
      <c r="F276" s="167" t="str">
        <f>IF(ISBLANK(DaqBook_RAW_Data!AK266),"",DaqBook_RAW_Data!AK266)</f>
        <v/>
      </c>
      <c r="G276" s="167" t="str">
        <f>IF(ISBLANK(DaqBook_RAW_Data!AL266),"",DaqBook_RAW_Data!AL266)</f>
        <v/>
      </c>
      <c r="H276" s="167" t="str">
        <f>IF(ISBLANK(DaqBook_RAW_Data!AM266),"",DaqBook_RAW_Data!AM266)</f>
        <v/>
      </c>
      <c r="I276" s="167" t="str">
        <f>IF(ISBLANK(DaqBook_RAW_Data!AN266),"",DaqBook_RAW_Data!AN266)</f>
        <v/>
      </c>
      <c r="J276" s="167" t="str">
        <f>IF(ISBLANK(DaqBook_RAW_Data!AO266),"",DaqBook_RAW_Data!AO266)</f>
        <v/>
      </c>
      <c r="K276" s="167" t="str">
        <f>IF(ISBLANK(DaqBook_RAW_Data!AP266),"",DaqBook_RAW_Data!AP266)</f>
        <v/>
      </c>
      <c r="L276" s="167" t="str">
        <f>IF(ISBLANK(DaqBook_RAW_Data!AQ266),"",DaqBook_RAW_Data!AQ266)</f>
        <v/>
      </c>
      <c r="M276" s="167" t="str">
        <f>IF(ISBLANK(DaqBook_RAW_Data!AR266),"",DaqBook_RAW_Data!AR266)</f>
        <v/>
      </c>
      <c r="N276" s="167" t="str">
        <f>IF(ISBLANK(DaqBook_RAW_Data!AS266),"",DaqBook_RAW_Data!AS266)</f>
        <v/>
      </c>
      <c r="O276" s="167"/>
      <c r="P276" s="167"/>
    </row>
    <row r="277" spans="1:16" x14ac:dyDescent="0.2">
      <c r="A277" s="58" t="e">
        <f t="shared" si="4"/>
        <v>#VALUE!</v>
      </c>
      <c r="B277" s="144" t="str">
        <f>IF(ISBLANK(DaqBook_RAW_Data!AG267),IF(DaqBook_RAW_Data!A267="","",TIMEVALUE(DaqBook_RAW_Data!A267)),TIMEVALUE(DaqBook_RAW_Data!AG267))</f>
        <v/>
      </c>
      <c r="C277" s="167" t="str">
        <f>IF(ISBLANK(DaqBook_RAW_Data!AH267),"",DaqBook_RAW_Data!AH267)</f>
        <v/>
      </c>
      <c r="D277" s="167" t="str">
        <f>IF(ISBLANK(DaqBook_RAW_Data!AI267),"",DaqBook_RAW_Data!AI267)</f>
        <v/>
      </c>
      <c r="E277" s="167" t="str">
        <f>IF(ISBLANK(DaqBook_RAW_Data!AJ267),"",DaqBook_RAW_Data!AJ267)</f>
        <v/>
      </c>
      <c r="F277" s="167" t="str">
        <f>IF(ISBLANK(DaqBook_RAW_Data!AK267),"",DaqBook_RAW_Data!AK267)</f>
        <v/>
      </c>
      <c r="G277" s="167" t="str">
        <f>IF(ISBLANK(DaqBook_RAW_Data!AL267),"",DaqBook_RAW_Data!AL267)</f>
        <v/>
      </c>
      <c r="H277" s="167" t="str">
        <f>IF(ISBLANK(DaqBook_RAW_Data!AM267),"",DaqBook_RAW_Data!AM267)</f>
        <v/>
      </c>
      <c r="I277" s="167" t="str">
        <f>IF(ISBLANK(DaqBook_RAW_Data!AN267),"",DaqBook_RAW_Data!AN267)</f>
        <v/>
      </c>
      <c r="J277" s="167" t="str">
        <f>IF(ISBLANK(DaqBook_RAW_Data!AO267),"",DaqBook_RAW_Data!AO267)</f>
        <v/>
      </c>
      <c r="K277" s="167" t="str">
        <f>IF(ISBLANK(DaqBook_RAW_Data!AP267),"",DaqBook_RAW_Data!AP267)</f>
        <v/>
      </c>
      <c r="L277" s="167" t="str">
        <f>IF(ISBLANK(DaqBook_RAW_Data!AQ267),"",DaqBook_RAW_Data!AQ267)</f>
        <v/>
      </c>
      <c r="M277" s="167" t="str">
        <f>IF(ISBLANK(DaqBook_RAW_Data!AR267),"",DaqBook_RAW_Data!AR267)</f>
        <v/>
      </c>
      <c r="N277" s="167" t="str">
        <f>IF(ISBLANK(DaqBook_RAW_Data!AS267),"",DaqBook_RAW_Data!AS267)</f>
        <v/>
      </c>
      <c r="O277" s="167"/>
      <c r="P277" s="167"/>
    </row>
    <row r="278" spans="1:16" x14ac:dyDescent="0.2">
      <c r="A278" s="58" t="e">
        <f t="shared" si="4"/>
        <v>#VALUE!</v>
      </c>
      <c r="B278" s="144" t="str">
        <f>IF(ISBLANK(DaqBook_RAW_Data!AG268),IF(DaqBook_RAW_Data!A268="","",TIMEVALUE(DaqBook_RAW_Data!A268)),TIMEVALUE(DaqBook_RAW_Data!AG268))</f>
        <v/>
      </c>
      <c r="C278" s="167" t="str">
        <f>IF(ISBLANK(DaqBook_RAW_Data!AH268),"",DaqBook_RAW_Data!AH268)</f>
        <v/>
      </c>
      <c r="D278" s="167" t="str">
        <f>IF(ISBLANK(DaqBook_RAW_Data!AI268),"",DaqBook_RAW_Data!AI268)</f>
        <v/>
      </c>
      <c r="E278" s="167" t="str">
        <f>IF(ISBLANK(DaqBook_RAW_Data!AJ268),"",DaqBook_RAW_Data!AJ268)</f>
        <v/>
      </c>
      <c r="F278" s="167" t="str">
        <f>IF(ISBLANK(DaqBook_RAW_Data!AK268),"",DaqBook_RAW_Data!AK268)</f>
        <v/>
      </c>
      <c r="G278" s="167" t="str">
        <f>IF(ISBLANK(DaqBook_RAW_Data!AL268),"",DaqBook_RAW_Data!AL268)</f>
        <v/>
      </c>
      <c r="H278" s="167" t="str">
        <f>IF(ISBLANK(DaqBook_RAW_Data!AM268),"",DaqBook_RAW_Data!AM268)</f>
        <v/>
      </c>
      <c r="I278" s="167" t="str">
        <f>IF(ISBLANK(DaqBook_RAW_Data!AN268),"",DaqBook_RAW_Data!AN268)</f>
        <v/>
      </c>
      <c r="J278" s="167" t="str">
        <f>IF(ISBLANK(DaqBook_RAW_Data!AO268),"",DaqBook_RAW_Data!AO268)</f>
        <v/>
      </c>
      <c r="K278" s="167" t="str">
        <f>IF(ISBLANK(DaqBook_RAW_Data!AP268),"",DaqBook_RAW_Data!AP268)</f>
        <v/>
      </c>
      <c r="L278" s="167" t="str">
        <f>IF(ISBLANK(DaqBook_RAW_Data!AQ268),"",DaqBook_RAW_Data!AQ268)</f>
        <v/>
      </c>
      <c r="M278" s="167" t="str">
        <f>IF(ISBLANK(DaqBook_RAW_Data!AR268),"",DaqBook_RAW_Data!AR268)</f>
        <v/>
      </c>
      <c r="N278" s="167" t="str">
        <f>IF(ISBLANK(DaqBook_RAW_Data!AS268),"",DaqBook_RAW_Data!AS268)</f>
        <v/>
      </c>
      <c r="O278" s="167"/>
      <c r="P278" s="167"/>
    </row>
    <row r="279" spans="1:16" x14ac:dyDescent="0.2">
      <c r="A279" s="58" t="e">
        <f t="shared" si="4"/>
        <v>#VALUE!</v>
      </c>
      <c r="B279" s="144" t="str">
        <f>IF(ISBLANK(DaqBook_RAW_Data!AG269),IF(DaqBook_RAW_Data!A269="","",TIMEVALUE(DaqBook_RAW_Data!A269)),TIMEVALUE(DaqBook_RAW_Data!AG269))</f>
        <v/>
      </c>
      <c r="C279" s="167" t="str">
        <f>IF(ISBLANK(DaqBook_RAW_Data!AH269),"",DaqBook_RAW_Data!AH269)</f>
        <v/>
      </c>
      <c r="D279" s="167" t="str">
        <f>IF(ISBLANK(DaqBook_RAW_Data!AI269),"",DaqBook_RAW_Data!AI269)</f>
        <v/>
      </c>
      <c r="E279" s="167" t="str">
        <f>IF(ISBLANK(DaqBook_RAW_Data!AJ269),"",DaqBook_RAW_Data!AJ269)</f>
        <v/>
      </c>
      <c r="F279" s="167" t="str">
        <f>IF(ISBLANK(DaqBook_RAW_Data!AK269),"",DaqBook_RAW_Data!AK269)</f>
        <v/>
      </c>
      <c r="G279" s="167" t="str">
        <f>IF(ISBLANK(DaqBook_RAW_Data!AL269),"",DaqBook_RAW_Data!AL269)</f>
        <v/>
      </c>
      <c r="H279" s="167" t="str">
        <f>IF(ISBLANK(DaqBook_RAW_Data!AM269),"",DaqBook_RAW_Data!AM269)</f>
        <v/>
      </c>
      <c r="I279" s="167" t="str">
        <f>IF(ISBLANK(DaqBook_RAW_Data!AN269),"",DaqBook_RAW_Data!AN269)</f>
        <v/>
      </c>
      <c r="J279" s="167" t="str">
        <f>IF(ISBLANK(DaqBook_RAW_Data!AO269),"",DaqBook_RAW_Data!AO269)</f>
        <v/>
      </c>
      <c r="K279" s="167" t="str">
        <f>IF(ISBLANK(DaqBook_RAW_Data!AP269),"",DaqBook_RAW_Data!AP269)</f>
        <v/>
      </c>
      <c r="L279" s="167" t="str">
        <f>IF(ISBLANK(DaqBook_RAW_Data!AQ269),"",DaqBook_RAW_Data!AQ269)</f>
        <v/>
      </c>
      <c r="M279" s="167" t="str">
        <f>IF(ISBLANK(DaqBook_RAW_Data!AR269),"",DaqBook_RAW_Data!AR269)</f>
        <v/>
      </c>
      <c r="N279" s="167" t="str">
        <f>IF(ISBLANK(DaqBook_RAW_Data!AS269),"",DaqBook_RAW_Data!AS269)</f>
        <v/>
      </c>
      <c r="O279" s="167"/>
      <c r="P279" s="167"/>
    </row>
    <row r="280" spans="1:16" x14ac:dyDescent="0.2">
      <c r="A280" s="58" t="e">
        <f t="shared" si="4"/>
        <v>#VALUE!</v>
      </c>
      <c r="B280" s="144" t="str">
        <f>IF(ISBLANK(DaqBook_RAW_Data!AG270),IF(DaqBook_RAW_Data!A270="","",TIMEVALUE(DaqBook_RAW_Data!A270)),TIMEVALUE(DaqBook_RAW_Data!AG270))</f>
        <v/>
      </c>
      <c r="C280" s="167" t="str">
        <f>IF(ISBLANK(DaqBook_RAW_Data!AH270),"",DaqBook_RAW_Data!AH270)</f>
        <v/>
      </c>
      <c r="D280" s="167" t="str">
        <f>IF(ISBLANK(DaqBook_RAW_Data!AI270),"",DaqBook_RAW_Data!AI270)</f>
        <v/>
      </c>
      <c r="E280" s="167" t="str">
        <f>IF(ISBLANK(DaqBook_RAW_Data!AJ270),"",DaqBook_RAW_Data!AJ270)</f>
        <v/>
      </c>
      <c r="F280" s="167" t="str">
        <f>IF(ISBLANK(DaqBook_RAW_Data!AK270),"",DaqBook_RAW_Data!AK270)</f>
        <v/>
      </c>
      <c r="G280" s="167" t="str">
        <f>IF(ISBLANK(DaqBook_RAW_Data!AL270),"",DaqBook_RAW_Data!AL270)</f>
        <v/>
      </c>
      <c r="H280" s="167" t="str">
        <f>IF(ISBLANK(DaqBook_RAW_Data!AM270),"",DaqBook_RAW_Data!AM270)</f>
        <v/>
      </c>
      <c r="I280" s="167" t="str">
        <f>IF(ISBLANK(DaqBook_RAW_Data!AN270),"",DaqBook_RAW_Data!AN270)</f>
        <v/>
      </c>
      <c r="J280" s="167" t="str">
        <f>IF(ISBLANK(DaqBook_RAW_Data!AO270),"",DaqBook_RAW_Data!AO270)</f>
        <v/>
      </c>
      <c r="K280" s="167" t="str">
        <f>IF(ISBLANK(DaqBook_RAW_Data!AP270),"",DaqBook_RAW_Data!AP270)</f>
        <v/>
      </c>
      <c r="L280" s="167" t="str">
        <f>IF(ISBLANK(DaqBook_RAW_Data!AQ270),"",DaqBook_RAW_Data!AQ270)</f>
        <v/>
      </c>
      <c r="M280" s="167" t="str">
        <f>IF(ISBLANK(DaqBook_RAW_Data!AR270),"",DaqBook_RAW_Data!AR270)</f>
        <v/>
      </c>
      <c r="N280" s="167" t="str">
        <f>IF(ISBLANK(DaqBook_RAW_Data!AS270),"",DaqBook_RAW_Data!AS270)</f>
        <v/>
      </c>
      <c r="O280" s="167"/>
      <c r="P280" s="167"/>
    </row>
    <row r="281" spans="1:16" x14ac:dyDescent="0.2">
      <c r="A281" s="58" t="e">
        <f t="shared" si="4"/>
        <v>#VALUE!</v>
      </c>
      <c r="B281" s="144" t="str">
        <f>IF(ISBLANK(DaqBook_RAW_Data!AG271),IF(DaqBook_RAW_Data!A271="","",TIMEVALUE(DaqBook_RAW_Data!A271)),TIMEVALUE(DaqBook_RAW_Data!AG271))</f>
        <v/>
      </c>
      <c r="C281" s="167" t="str">
        <f>IF(ISBLANK(DaqBook_RAW_Data!AH271),"",DaqBook_RAW_Data!AH271)</f>
        <v/>
      </c>
      <c r="D281" s="167" t="str">
        <f>IF(ISBLANK(DaqBook_RAW_Data!AI271),"",DaqBook_RAW_Data!AI271)</f>
        <v/>
      </c>
      <c r="E281" s="167" t="str">
        <f>IF(ISBLANK(DaqBook_RAW_Data!AJ271),"",DaqBook_RAW_Data!AJ271)</f>
        <v/>
      </c>
      <c r="F281" s="167" t="str">
        <f>IF(ISBLANK(DaqBook_RAW_Data!AK271),"",DaqBook_RAW_Data!AK271)</f>
        <v/>
      </c>
      <c r="G281" s="167" t="str">
        <f>IF(ISBLANK(DaqBook_RAW_Data!AL271),"",DaqBook_RAW_Data!AL271)</f>
        <v/>
      </c>
      <c r="H281" s="167" t="str">
        <f>IF(ISBLANK(DaqBook_RAW_Data!AM271),"",DaqBook_RAW_Data!AM271)</f>
        <v/>
      </c>
      <c r="I281" s="167" t="str">
        <f>IF(ISBLANK(DaqBook_RAW_Data!AN271),"",DaqBook_RAW_Data!AN271)</f>
        <v/>
      </c>
      <c r="J281" s="167" t="str">
        <f>IF(ISBLANK(DaqBook_RAW_Data!AO271),"",DaqBook_RAW_Data!AO271)</f>
        <v/>
      </c>
      <c r="K281" s="167" t="str">
        <f>IF(ISBLANK(DaqBook_RAW_Data!AP271),"",DaqBook_RAW_Data!AP271)</f>
        <v/>
      </c>
      <c r="L281" s="167" t="str">
        <f>IF(ISBLANK(DaqBook_RAW_Data!AQ271),"",DaqBook_RAW_Data!AQ271)</f>
        <v/>
      </c>
      <c r="M281" s="167" t="str">
        <f>IF(ISBLANK(DaqBook_RAW_Data!AR271),"",DaqBook_RAW_Data!AR271)</f>
        <v/>
      </c>
      <c r="N281" s="167" t="str">
        <f>IF(ISBLANK(DaqBook_RAW_Data!AS271),"",DaqBook_RAW_Data!AS271)</f>
        <v/>
      </c>
      <c r="O281" s="167"/>
      <c r="P281" s="167"/>
    </row>
    <row r="282" spans="1:16" x14ac:dyDescent="0.2">
      <c r="A282" s="58" t="e">
        <f t="shared" si="4"/>
        <v>#VALUE!</v>
      </c>
      <c r="B282" s="144" t="str">
        <f>IF(ISBLANK(DaqBook_RAW_Data!AG272),IF(DaqBook_RAW_Data!A272="","",TIMEVALUE(DaqBook_RAW_Data!A272)),TIMEVALUE(DaqBook_RAW_Data!AG272))</f>
        <v/>
      </c>
      <c r="C282" s="167" t="str">
        <f>IF(ISBLANK(DaqBook_RAW_Data!AH272),"",DaqBook_RAW_Data!AH272)</f>
        <v/>
      </c>
      <c r="D282" s="167" t="str">
        <f>IF(ISBLANK(DaqBook_RAW_Data!AI272),"",DaqBook_RAW_Data!AI272)</f>
        <v/>
      </c>
      <c r="E282" s="167" t="str">
        <f>IF(ISBLANK(DaqBook_RAW_Data!AJ272),"",DaqBook_RAW_Data!AJ272)</f>
        <v/>
      </c>
      <c r="F282" s="167" t="str">
        <f>IF(ISBLANK(DaqBook_RAW_Data!AK272),"",DaqBook_RAW_Data!AK272)</f>
        <v/>
      </c>
      <c r="G282" s="167" t="str">
        <f>IF(ISBLANK(DaqBook_RAW_Data!AL272),"",DaqBook_RAW_Data!AL272)</f>
        <v/>
      </c>
      <c r="H282" s="167" t="str">
        <f>IF(ISBLANK(DaqBook_RAW_Data!AM272),"",DaqBook_RAW_Data!AM272)</f>
        <v/>
      </c>
      <c r="I282" s="167" t="str">
        <f>IF(ISBLANK(DaqBook_RAW_Data!AN272),"",DaqBook_RAW_Data!AN272)</f>
        <v/>
      </c>
      <c r="J282" s="167" t="str">
        <f>IF(ISBLANK(DaqBook_RAW_Data!AO272),"",DaqBook_RAW_Data!AO272)</f>
        <v/>
      </c>
      <c r="K282" s="167" t="str">
        <f>IF(ISBLANK(DaqBook_RAW_Data!AP272),"",DaqBook_RAW_Data!AP272)</f>
        <v/>
      </c>
      <c r="L282" s="167" t="str">
        <f>IF(ISBLANK(DaqBook_RAW_Data!AQ272),"",DaqBook_RAW_Data!AQ272)</f>
        <v/>
      </c>
      <c r="M282" s="167" t="str">
        <f>IF(ISBLANK(DaqBook_RAW_Data!AR272),"",DaqBook_RAW_Data!AR272)</f>
        <v/>
      </c>
      <c r="N282" s="167" t="str">
        <f>IF(ISBLANK(DaqBook_RAW_Data!AS272),"",DaqBook_RAW_Data!AS272)</f>
        <v/>
      </c>
      <c r="O282" s="167"/>
      <c r="P282" s="167"/>
    </row>
    <row r="283" spans="1:16" x14ac:dyDescent="0.2">
      <c r="A283" s="58" t="e">
        <f t="shared" si="4"/>
        <v>#VALUE!</v>
      </c>
      <c r="B283" s="144" t="str">
        <f>IF(ISBLANK(DaqBook_RAW_Data!AG273),IF(DaqBook_RAW_Data!A273="","",TIMEVALUE(DaqBook_RAW_Data!A273)),TIMEVALUE(DaqBook_RAW_Data!AG273))</f>
        <v/>
      </c>
      <c r="C283" s="167" t="str">
        <f>IF(ISBLANK(DaqBook_RAW_Data!AH273),"",DaqBook_RAW_Data!AH273)</f>
        <v/>
      </c>
      <c r="D283" s="167" t="str">
        <f>IF(ISBLANK(DaqBook_RAW_Data!AI273),"",DaqBook_RAW_Data!AI273)</f>
        <v/>
      </c>
      <c r="E283" s="167" t="str">
        <f>IF(ISBLANK(DaqBook_RAW_Data!AJ273),"",DaqBook_RAW_Data!AJ273)</f>
        <v/>
      </c>
      <c r="F283" s="167" t="str">
        <f>IF(ISBLANK(DaqBook_RAW_Data!AK273),"",DaqBook_RAW_Data!AK273)</f>
        <v/>
      </c>
      <c r="G283" s="167" t="str">
        <f>IF(ISBLANK(DaqBook_RAW_Data!AL273),"",DaqBook_RAW_Data!AL273)</f>
        <v/>
      </c>
      <c r="H283" s="167" t="str">
        <f>IF(ISBLANK(DaqBook_RAW_Data!AM273),"",DaqBook_RAW_Data!AM273)</f>
        <v/>
      </c>
      <c r="I283" s="167" t="str">
        <f>IF(ISBLANK(DaqBook_RAW_Data!AN273),"",DaqBook_RAW_Data!AN273)</f>
        <v/>
      </c>
      <c r="J283" s="167" t="str">
        <f>IF(ISBLANK(DaqBook_RAW_Data!AO273),"",DaqBook_RAW_Data!AO273)</f>
        <v/>
      </c>
      <c r="K283" s="167" t="str">
        <f>IF(ISBLANK(DaqBook_RAW_Data!AP273),"",DaqBook_RAW_Data!AP273)</f>
        <v/>
      </c>
      <c r="L283" s="167" t="str">
        <f>IF(ISBLANK(DaqBook_RAW_Data!AQ273),"",DaqBook_RAW_Data!AQ273)</f>
        <v/>
      </c>
      <c r="M283" s="167" t="str">
        <f>IF(ISBLANK(DaqBook_RAW_Data!AR273),"",DaqBook_RAW_Data!AR273)</f>
        <v/>
      </c>
      <c r="N283" s="167" t="str">
        <f>IF(ISBLANK(DaqBook_RAW_Data!AS273),"",DaqBook_RAW_Data!AS273)</f>
        <v/>
      </c>
      <c r="O283" s="167"/>
      <c r="P283" s="167"/>
    </row>
    <row r="284" spans="1:16" x14ac:dyDescent="0.2">
      <c r="A284" s="58" t="e">
        <f t="shared" si="4"/>
        <v>#VALUE!</v>
      </c>
      <c r="B284" s="144" t="str">
        <f>IF(ISBLANK(DaqBook_RAW_Data!AG274),IF(DaqBook_RAW_Data!A274="","",TIMEVALUE(DaqBook_RAW_Data!A274)),TIMEVALUE(DaqBook_RAW_Data!AG274))</f>
        <v/>
      </c>
      <c r="C284" s="167" t="str">
        <f>IF(ISBLANK(DaqBook_RAW_Data!AH274),"",DaqBook_RAW_Data!AH274)</f>
        <v/>
      </c>
      <c r="D284" s="167" t="str">
        <f>IF(ISBLANK(DaqBook_RAW_Data!AI274),"",DaqBook_RAW_Data!AI274)</f>
        <v/>
      </c>
      <c r="E284" s="167" t="str">
        <f>IF(ISBLANK(DaqBook_RAW_Data!AJ274),"",DaqBook_RAW_Data!AJ274)</f>
        <v/>
      </c>
      <c r="F284" s="167" t="str">
        <f>IF(ISBLANK(DaqBook_RAW_Data!AK274),"",DaqBook_RAW_Data!AK274)</f>
        <v/>
      </c>
      <c r="G284" s="167" t="str">
        <f>IF(ISBLANK(DaqBook_RAW_Data!AL274),"",DaqBook_RAW_Data!AL274)</f>
        <v/>
      </c>
      <c r="H284" s="167" t="str">
        <f>IF(ISBLANK(DaqBook_RAW_Data!AM274),"",DaqBook_RAW_Data!AM274)</f>
        <v/>
      </c>
      <c r="I284" s="167" t="str">
        <f>IF(ISBLANK(DaqBook_RAW_Data!AN274),"",DaqBook_RAW_Data!AN274)</f>
        <v/>
      </c>
      <c r="J284" s="167" t="str">
        <f>IF(ISBLANK(DaqBook_RAW_Data!AO274),"",DaqBook_RAW_Data!AO274)</f>
        <v/>
      </c>
      <c r="K284" s="167" t="str">
        <f>IF(ISBLANK(DaqBook_RAW_Data!AP274),"",DaqBook_RAW_Data!AP274)</f>
        <v/>
      </c>
      <c r="L284" s="167" t="str">
        <f>IF(ISBLANK(DaqBook_RAW_Data!AQ274),"",DaqBook_RAW_Data!AQ274)</f>
        <v/>
      </c>
      <c r="M284" s="167" t="str">
        <f>IF(ISBLANK(DaqBook_RAW_Data!AR274),"",DaqBook_RAW_Data!AR274)</f>
        <v/>
      </c>
      <c r="N284" s="167" t="str">
        <f>IF(ISBLANK(DaqBook_RAW_Data!AS274),"",DaqBook_RAW_Data!AS274)</f>
        <v/>
      </c>
      <c r="O284" s="167"/>
      <c r="P284" s="167"/>
    </row>
    <row r="285" spans="1:16" x14ac:dyDescent="0.2">
      <c r="A285" s="58" t="e">
        <f t="shared" si="4"/>
        <v>#VALUE!</v>
      </c>
      <c r="B285" s="144" t="str">
        <f>IF(ISBLANK(DaqBook_RAW_Data!AG275),IF(DaqBook_RAW_Data!A275="","",TIMEVALUE(DaqBook_RAW_Data!A275)),TIMEVALUE(DaqBook_RAW_Data!AG275))</f>
        <v/>
      </c>
      <c r="C285" s="167" t="str">
        <f>IF(ISBLANK(DaqBook_RAW_Data!AH275),"",DaqBook_RAW_Data!AH275)</f>
        <v/>
      </c>
      <c r="D285" s="167" t="str">
        <f>IF(ISBLANK(DaqBook_RAW_Data!AI275),"",DaqBook_RAW_Data!AI275)</f>
        <v/>
      </c>
      <c r="E285" s="167" t="str">
        <f>IF(ISBLANK(DaqBook_RAW_Data!AJ275),"",DaqBook_RAW_Data!AJ275)</f>
        <v/>
      </c>
      <c r="F285" s="167" t="str">
        <f>IF(ISBLANK(DaqBook_RAW_Data!AK275),"",DaqBook_RAW_Data!AK275)</f>
        <v/>
      </c>
      <c r="G285" s="167" t="str">
        <f>IF(ISBLANK(DaqBook_RAW_Data!AL275),"",DaqBook_RAW_Data!AL275)</f>
        <v/>
      </c>
      <c r="H285" s="167" t="str">
        <f>IF(ISBLANK(DaqBook_RAW_Data!AM275),"",DaqBook_RAW_Data!AM275)</f>
        <v/>
      </c>
      <c r="I285" s="167" t="str">
        <f>IF(ISBLANK(DaqBook_RAW_Data!AN275),"",DaqBook_RAW_Data!AN275)</f>
        <v/>
      </c>
      <c r="J285" s="167" t="str">
        <f>IF(ISBLANK(DaqBook_RAW_Data!AO275),"",DaqBook_RAW_Data!AO275)</f>
        <v/>
      </c>
      <c r="K285" s="167" t="str">
        <f>IF(ISBLANK(DaqBook_RAW_Data!AP275),"",DaqBook_RAW_Data!AP275)</f>
        <v/>
      </c>
      <c r="L285" s="167" t="str">
        <f>IF(ISBLANK(DaqBook_RAW_Data!AQ275),"",DaqBook_RAW_Data!AQ275)</f>
        <v/>
      </c>
      <c r="M285" s="167" t="str">
        <f>IF(ISBLANK(DaqBook_RAW_Data!AR275),"",DaqBook_RAW_Data!AR275)</f>
        <v/>
      </c>
      <c r="N285" s="167" t="str">
        <f>IF(ISBLANK(DaqBook_RAW_Data!AS275),"",DaqBook_RAW_Data!AS275)</f>
        <v/>
      </c>
      <c r="O285" s="167"/>
      <c r="P285" s="167"/>
    </row>
    <row r="286" spans="1:16" x14ac:dyDescent="0.2">
      <c r="A286" s="58" t="e">
        <f t="shared" si="4"/>
        <v>#VALUE!</v>
      </c>
      <c r="B286" s="144" t="str">
        <f>IF(ISBLANK(DaqBook_RAW_Data!AG276),IF(DaqBook_RAW_Data!A276="","",TIMEVALUE(DaqBook_RAW_Data!A276)),TIMEVALUE(DaqBook_RAW_Data!AG276))</f>
        <v/>
      </c>
      <c r="C286" s="167" t="str">
        <f>IF(ISBLANK(DaqBook_RAW_Data!AH276),"",DaqBook_RAW_Data!AH276)</f>
        <v/>
      </c>
      <c r="D286" s="167" t="str">
        <f>IF(ISBLANK(DaqBook_RAW_Data!AI276),"",DaqBook_RAW_Data!AI276)</f>
        <v/>
      </c>
      <c r="E286" s="167" t="str">
        <f>IF(ISBLANK(DaqBook_RAW_Data!AJ276),"",DaqBook_RAW_Data!AJ276)</f>
        <v/>
      </c>
      <c r="F286" s="167" t="str">
        <f>IF(ISBLANK(DaqBook_RAW_Data!AK276),"",DaqBook_RAW_Data!AK276)</f>
        <v/>
      </c>
      <c r="G286" s="167" t="str">
        <f>IF(ISBLANK(DaqBook_RAW_Data!AL276),"",DaqBook_RAW_Data!AL276)</f>
        <v/>
      </c>
      <c r="H286" s="167" t="str">
        <f>IF(ISBLANK(DaqBook_RAW_Data!AM276),"",DaqBook_RAW_Data!AM276)</f>
        <v/>
      </c>
      <c r="I286" s="167" t="str">
        <f>IF(ISBLANK(DaqBook_RAW_Data!AN276),"",DaqBook_RAW_Data!AN276)</f>
        <v/>
      </c>
      <c r="J286" s="167" t="str">
        <f>IF(ISBLANK(DaqBook_RAW_Data!AO276),"",DaqBook_RAW_Data!AO276)</f>
        <v/>
      </c>
      <c r="K286" s="167" t="str">
        <f>IF(ISBLANK(DaqBook_RAW_Data!AP276),"",DaqBook_RAW_Data!AP276)</f>
        <v/>
      </c>
      <c r="L286" s="167" t="str">
        <f>IF(ISBLANK(DaqBook_RAW_Data!AQ276),"",DaqBook_RAW_Data!AQ276)</f>
        <v/>
      </c>
      <c r="M286" s="167" t="str">
        <f>IF(ISBLANK(DaqBook_RAW_Data!AR276),"",DaqBook_RAW_Data!AR276)</f>
        <v/>
      </c>
      <c r="N286" s="167" t="str">
        <f>IF(ISBLANK(DaqBook_RAW_Data!AS276),"",DaqBook_RAW_Data!AS276)</f>
        <v/>
      </c>
      <c r="O286" s="167"/>
      <c r="P286" s="167"/>
    </row>
    <row r="287" spans="1:16" x14ac:dyDescent="0.2">
      <c r="A287" s="58" t="e">
        <f t="shared" si="4"/>
        <v>#VALUE!</v>
      </c>
      <c r="B287" s="144" t="str">
        <f>IF(ISBLANK(DaqBook_RAW_Data!AG277),IF(DaqBook_RAW_Data!A277="","",TIMEVALUE(DaqBook_RAW_Data!A277)),TIMEVALUE(DaqBook_RAW_Data!AG277))</f>
        <v/>
      </c>
      <c r="C287" s="167" t="str">
        <f>IF(ISBLANK(DaqBook_RAW_Data!AH277),"",DaqBook_RAW_Data!AH277)</f>
        <v/>
      </c>
      <c r="D287" s="167" t="str">
        <f>IF(ISBLANK(DaqBook_RAW_Data!AI277),"",DaqBook_RAW_Data!AI277)</f>
        <v/>
      </c>
      <c r="E287" s="167" t="str">
        <f>IF(ISBLANK(DaqBook_RAW_Data!AJ277),"",DaqBook_RAW_Data!AJ277)</f>
        <v/>
      </c>
      <c r="F287" s="167" t="str">
        <f>IF(ISBLANK(DaqBook_RAW_Data!AK277),"",DaqBook_RAW_Data!AK277)</f>
        <v/>
      </c>
      <c r="G287" s="167" t="str">
        <f>IF(ISBLANK(DaqBook_RAW_Data!AL277),"",DaqBook_RAW_Data!AL277)</f>
        <v/>
      </c>
      <c r="H287" s="167" t="str">
        <f>IF(ISBLANK(DaqBook_RAW_Data!AM277),"",DaqBook_RAW_Data!AM277)</f>
        <v/>
      </c>
      <c r="I287" s="167" t="str">
        <f>IF(ISBLANK(DaqBook_RAW_Data!AN277),"",DaqBook_RAW_Data!AN277)</f>
        <v/>
      </c>
      <c r="J287" s="167" t="str">
        <f>IF(ISBLANK(DaqBook_RAW_Data!AO277),"",DaqBook_RAW_Data!AO277)</f>
        <v/>
      </c>
      <c r="K287" s="167" t="str">
        <f>IF(ISBLANK(DaqBook_RAW_Data!AP277),"",DaqBook_RAW_Data!AP277)</f>
        <v/>
      </c>
      <c r="L287" s="167" t="str">
        <f>IF(ISBLANK(DaqBook_RAW_Data!AQ277),"",DaqBook_RAW_Data!AQ277)</f>
        <v/>
      </c>
      <c r="M287" s="167" t="str">
        <f>IF(ISBLANK(DaqBook_RAW_Data!AR277),"",DaqBook_RAW_Data!AR277)</f>
        <v/>
      </c>
      <c r="N287" s="167" t="str">
        <f>IF(ISBLANK(DaqBook_RAW_Data!AS277),"",DaqBook_RAW_Data!AS277)</f>
        <v/>
      </c>
      <c r="O287" s="167"/>
      <c r="P287" s="167"/>
    </row>
    <row r="288" spans="1:16" x14ac:dyDescent="0.2">
      <c r="A288" s="58" t="e">
        <f t="shared" si="4"/>
        <v>#VALUE!</v>
      </c>
      <c r="B288" s="144" t="str">
        <f>IF(ISBLANK(DaqBook_RAW_Data!AG278),IF(DaqBook_RAW_Data!A278="","",TIMEVALUE(DaqBook_RAW_Data!A278)),TIMEVALUE(DaqBook_RAW_Data!AG278))</f>
        <v/>
      </c>
      <c r="C288" s="167" t="str">
        <f>IF(ISBLANK(DaqBook_RAW_Data!AH278),"",DaqBook_RAW_Data!AH278)</f>
        <v/>
      </c>
      <c r="D288" s="167" t="str">
        <f>IF(ISBLANK(DaqBook_RAW_Data!AI278),"",DaqBook_RAW_Data!AI278)</f>
        <v/>
      </c>
      <c r="E288" s="167" t="str">
        <f>IF(ISBLANK(DaqBook_RAW_Data!AJ278),"",DaqBook_RAW_Data!AJ278)</f>
        <v/>
      </c>
      <c r="F288" s="167" t="str">
        <f>IF(ISBLANK(DaqBook_RAW_Data!AK278),"",DaqBook_RAW_Data!AK278)</f>
        <v/>
      </c>
      <c r="G288" s="167" t="str">
        <f>IF(ISBLANK(DaqBook_RAW_Data!AL278),"",DaqBook_RAW_Data!AL278)</f>
        <v/>
      </c>
      <c r="H288" s="167" t="str">
        <f>IF(ISBLANK(DaqBook_RAW_Data!AM278),"",DaqBook_RAW_Data!AM278)</f>
        <v/>
      </c>
      <c r="I288" s="167" t="str">
        <f>IF(ISBLANK(DaqBook_RAW_Data!AN278),"",DaqBook_RAW_Data!AN278)</f>
        <v/>
      </c>
      <c r="J288" s="167" t="str">
        <f>IF(ISBLANK(DaqBook_RAW_Data!AO278),"",DaqBook_RAW_Data!AO278)</f>
        <v/>
      </c>
      <c r="K288" s="167" t="str">
        <f>IF(ISBLANK(DaqBook_RAW_Data!AP278),"",DaqBook_RAW_Data!AP278)</f>
        <v/>
      </c>
      <c r="L288" s="167" t="str">
        <f>IF(ISBLANK(DaqBook_RAW_Data!AQ278),"",DaqBook_RAW_Data!AQ278)</f>
        <v/>
      </c>
      <c r="M288" s="167" t="str">
        <f>IF(ISBLANK(DaqBook_RAW_Data!AR278),"",DaqBook_RAW_Data!AR278)</f>
        <v/>
      </c>
      <c r="N288" s="167" t="str">
        <f>IF(ISBLANK(DaqBook_RAW_Data!AS278),"",DaqBook_RAW_Data!AS278)</f>
        <v/>
      </c>
      <c r="O288" s="167"/>
      <c r="P288" s="167"/>
    </row>
    <row r="289" spans="1:16" x14ac:dyDescent="0.2">
      <c r="A289" s="58" t="e">
        <f t="shared" si="4"/>
        <v>#VALUE!</v>
      </c>
      <c r="B289" s="144" t="str">
        <f>IF(ISBLANK(DaqBook_RAW_Data!AG279),IF(DaqBook_RAW_Data!A279="","",TIMEVALUE(DaqBook_RAW_Data!A279)),TIMEVALUE(DaqBook_RAW_Data!AG279))</f>
        <v/>
      </c>
      <c r="C289" s="167" t="str">
        <f>IF(ISBLANK(DaqBook_RAW_Data!AH279),"",DaqBook_RAW_Data!AH279)</f>
        <v/>
      </c>
      <c r="D289" s="167" t="str">
        <f>IF(ISBLANK(DaqBook_RAW_Data!AI279),"",DaqBook_RAW_Data!AI279)</f>
        <v/>
      </c>
      <c r="E289" s="167" t="str">
        <f>IF(ISBLANK(DaqBook_RAW_Data!AJ279),"",DaqBook_RAW_Data!AJ279)</f>
        <v/>
      </c>
      <c r="F289" s="167" t="str">
        <f>IF(ISBLANK(DaqBook_RAW_Data!AK279),"",DaqBook_RAW_Data!AK279)</f>
        <v/>
      </c>
      <c r="G289" s="167" t="str">
        <f>IF(ISBLANK(DaqBook_RAW_Data!AL279),"",DaqBook_RAW_Data!AL279)</f>
        <v/>
      </c>
      <c r="H289" s="167" t="str">
        <f>IF(ISBLANK(DaqBook_RAW_Data!AM279),"",DaqBook_RAW_Data!AM279)</f>
        <v/>
      </c>
      <c r="I289" s="167" t="str">
        <f>IF(ISBLANK(DaqBook_RAW_Data!AN279),"",DaqBook_RAW_Data!AN279)</f>
        <v/>
      </c>
      <c r="J289" s="167" t="str">
        <f>IF(ISBLANK(DaqBook_RAW_Data!AO279),"",DaqBook_RAW_Data!AO279)</f>
        <v/>
      </c>
      <c r="K289" s="167" t="str">
        <f>IF(ISBLANK(DaqBook_RAW_Data!AP279),"",DaqBook_RAW_Data!AP279)</f>
        <v/>
      </c>
      <c r="L289" s="167" t="str">
        <f>IF(ISBLANK(DaqBook_RAW_Data!AQ279),"",DaqBook_RAW_Data!AQ279)</f>
        <v/>
      </c>
      <c r="M289" s="167" t="str">
        <f>IF(ISBLANK(DaqBook_RAW_Data!AR279),"",DaqBook_RAW_Data!AR279)</f>
        <v/>
      </c>
      <c r="N289" s="167" t="str">
        <f>IF(ISBLANK(DaqBook_RAW_Data!AS279),"",DaqBook_RAW_Data!AS279)</f>
        <v/>
      </c>
      <c r="O289" s="167"/>
      <c r="P289" s="167"/>
    </row>
    <row r="290" spans="1:16" x14ac:dyDescent="0.2">
      <c r="A290" s="58" t="e">
        <f t="shared" si="4"/>
        <v>#VALUE!</v>
      </c>
      <c r="B290" s="144" t="str">
        <f>IF(ISBLANK(DaqBook_RAW_Data!AG280),IF(DaqBook_RAW_Data!A280="","",TIMEVALUE(DaqBook_RAW_Data!A280)),TIMEVALUE(DaqBook_RAW_Data!AG280))</f>
        <v/>
      </c>
      <c r="C290" s="167" t="str">
        <f>IF(ISBLANK(DaqBook_RAW_Data!AH280),"",DaqBook_RAW_Data!AH280)</f>
        <v/>
      </c>
      <c r="D290" s="167" t="str">
        <f>IF(ISBLANK(DaqBook_RAW_Data!AI280),"",DaqBook_RAW_Data!AI280)</f>
        <v/>
      </c>
      <c r="E290" s="167" t="str">
        <f>IF(ISBLANK(DaqBook_RAW_Data!AJ280),"",DaqBook_RAW_Data!AJ280)</f>
        <v/>
      </c>
      <c r="F290" s="167" t="str">
        <f>IF(ISBLANK(DaqBook_RAW_Data!AK280),"",DaqBook_RAW_Data!AK280)</f>
        <v/>
      </c>
      <c r="G290" s="167" t="str">
        <f>IF(ISBLANK(DaqBook_RAW_Data!AL280),"",DaqBook_RAW_Data!AL280)</f>
        <v/>
      </c>
      <c r="H290" s="167" t="str">
        <f>IF(ISBLANK(DaqBook_RAW_Data!AM280),"",DaqBook_RAW_Data!AM280)</f>
        <v/>
      </c>
      <c r="I290" s="167" t="str">
        <f>IF(ISBLANK(DaqBook_RAW_Data!AN280),"",DaqBook_RAW_Data!AN280)</f>
        <v/>
      </c>
      <c r="J290" s="167" t="str">
        <f>IF(ISBLANK(DaqBook_RAW_Data!AO280),"",DaqBook_RAW_Data!AO280)</f>
        <v/>
      </c>
      <c r="K290" s="167" t="str">
        <f>IF(ISBLANK(DaqBook_RAW_Data!AP280),"",DaqBook_RAW_Data!AP280)</f>
        <v/>
      </c>
      <c r="L290" s="167" t="str">
        <f>IF(ISBLANK(DaqBook_RAW_Data!AQ280),"",DaqBook_RAW_Data!AQ280)</f>
        <v/>
      </c>
      <c r="M290" s="167" t="str">
        <f>IF(ISBLANK(DaqBook_RAW_Data!AR280),"",DaqBook_RAW_Data!AR280)</f>
        <v/>
      </c>
      <c r="N290" s="167" t="str">
        <f>IF(ISBLANK(DaqBook_RAW_Data!AS280),"",DaqBook_RAW_Data!AS280)</f>
        <v/>
      </c>
      <c r="O290" s="167"/>
      <c r="P290" s="167"/>
    </row>
    <row r="291" spans="1:16" x14ac:dyDescent="0.2">
      <c r="A291" s="58" t="e">
        <f t="shared" si="4"/>
        <v>#VALUE!</v>
      </c>
      <c r="B291" s="144" t="str">
        <f>IF(ISBLANK(DaqBook_RAW_Data!AG281),IF(DaqBook_RAW_Data!A281="","",TIMEVALUE(DaqBook_RAW_Data!A281)),TIMEVALUE(DaqBook_RAW_Data!AG281))</f>
        <v/>
      </c>
      <c r="C291" s="167" t="str">
        <f>IF(ISBLANK(DaqBook_RAW_Data!AH281),"",DaqBook_RAW_Data!AH281)</f>
        <v/>
      </c>
      <c r="D291" s="167" t="str">
        <f>IF(ISBLANK(DaqBook_RAW_Data!AI281),"",DaqBook_RAW_Data!AI281)</f>
        <v/>
      </c>
      <c r="E291" s="167" t="str">
        <f>IF(ISBLANK(DaqBook_RAW_Data!AJ281),"",DaqBook_RAW_Data!AJ281)</f>
        <v/>
      </c>
      <c r="F291" s="167" t="str">
        <f>IF(ISBLANK(DaqBook_RAW_Data!AK281),"",DaqBook_RAW_Data!AK281)</f>
        <v/>
      </c>
      <c r="G291" s="167" t="str">
        <f>IF(ISBLANK(DaqBook_RAW_Data!AL281),"",DaqBook_RAW_Data!AL281)</f>
        <v/>
      </c>
      <c r="H291" s="167" t="str">
        <f>IF(ISBLANK(DaqBook_RAW_Data!AM281),"",DaqBook_RAW_Data!AM281)</f>
        <v/>
      </c>
      <c r="I291" s="167" t="str">
        <f>IF(ISBLANK(DaqBook_RAW_Data!AN281),"",DaqBook_RAW_Data!AN281)</f>
        <v/>
      </c>
      <c r="J291" s="167" t="str">
        <f>IF(ISBLANK(DaqBook_RAW_Data!AO281),"",DaqBook_RAW_Data!AO281)</f>
        <v/>
      </c>
      <c r="K291" s="167" t="str">
        <f>IF(ISBLANK(DaqBook_RAW_Data!AP281),"",DaqBook_RAW_Data!AP281)</f>
        <v/>
      </c>
      <c r="L291" s="167" t="str">
        <f>IF(ISBLANK(DaqBook_RAW_Data!AQ281),"",DaqBook_RAW_Data!AQ281)</f>
        <v/>
      </c>
      <c r="M291" s="167" t="str">
        <f>IF(ISBLANK(DaqBook_RAW_Data!AR281),"",DaqBook_RAW_Data!AR281)</f>
        <v/>
      </c>
      <c r="N291" s="167" t="str">
        <f>IF(ISBLANK(DaqBook_RAW_Data!AS281),"",DaqBook_RAW_Data!AS281)</f>
        <v/>
      </c>
      <c r="O291" s="167"/>
      <c r="P291" s="167"/>
    </row>
    <row r="292" spans="1:16" x14ac:dyDescent="0.2">
      <c r="A292" s="58" t="e">
        <f t="shared" si="4"/>
        <v>#VALUE!</v>
      </c>
      <c r="B292" s="144" t="str">
        <f>IF(ISBLANK(DaqBook_RAW_Data!AG282),IF(DaqBook_RAW_Data!A282="","",TIMEVALUE(DaqBook_RAW_Data!A282)),TIMEVALUE(DaqBook_RAW_Data!AG282))</f>
        <v/>
      </c>
      <c r="C292" s="167" t="str">
        <f>IF(ISBLANK(DaqBook_RAW_Data!AH282),"",DaqBook_RAW_Data!AH282)</f>
        <v/>
      </c>
      <c r="D292" s="167" t="str">
        <f>IF(ISBLANK(DaqBook_RAW_Data!AI282),"",DaqBook_RAW_Data!AI282)</f>
        <v/>
      </c>
      <c r="E292" s="167" t="str">
        <f>IF(ISBLANK(DaqBook_RAW_Data!AJ282),"",DaqBook_RAW_Data!AJ282)</f>
        <v/>
      </c>
      <c r="F292" s="167" t="str">
        <f>IF(ISBLANK(DaqBook_RAW_Data!AK282),"",DaqBook_RAW_Data!AK282)</f>
        <v/>
      </c>
      <c r="G292" s="167" t="str">
        <f>IF(ISBLANK(DaqBook_RAW_Data!AL282),"",DaqBook_RAW_Data!AL282)</f>
        <v/>
      </c>
      <c r="H292" s="167" t="str">
        <f>IF(ISBLANK(DaqBook_RAW_Data!AM282),"",DaqBook_RAW_Data!AM282)</f>
        <v/>
      </c>
      <c r="I292" s="167" t="str">
        <f>IF(ISBLANK(DaqBook_RAW_Data!AN282),"",DaqBook_RAW_Data!AN282)</f>
        <v/>
      </c>
      <c r="J292" s="167" t="str">
        <f>IF(ISBLANK(DaqBook_RAW_Data!AO282),"",DaqBook_RAW_Data!AO282)</f>
        <v/>
      </c>
      <c r="K292" s="167" t="str">
        <f>IF(ISBLANK(DaqBook_RAW_Data!AP282),"",DaqBook_RAW_Data!AP282)</f>
        <v/>
      </c>
      <c r="L292" s="167" t="str">
        <f>IF(ISBLANK(DaqBook_RAW_Data!AQ282),"",DaqBook_RAW_Data!AQ282)</f>
        <v/>
      </c>
      <c r="M292" s="167" t="str">
        <f>IF(ISBLANK(DaqBook_RAW_Data!AR282),"",DaqBook_RAW_Data!AR282)</f>
        <v/>
      </c>
      <c r="N292" s="167" t="str">
        <f>IF(ISBLANK(DaqBook_RAW_Data!AS282),"",DaqBook_RAW_Data!AS282)</f>
        <v/>
      </c>
      <c r="O292" s="167"/>
      <c r="P292" s="167"/>
    </row>
    <row r="293" spans="1:16" x14ac:dyDescent="0.2">
      <c r="A293" s="58" t="e">
        <f t="shared" si="4"/>
        <v>#VALUE!</v>
      </c>
      <c r="B293" s="144" t="str">
        <f>IF(ISBLANK(DaqBook_RAW_Data!AG283),IF(DaqBook_RAW_Data!A283="","",TIMEVALUE(DaqBook_RAW_Data!A283)),TIMEVALUE(DaqBook_RAW_Data!AG283))</f>
        <v/>
      </c>
      <c r="C293" s="167" t="str">
        <f>IF(ISBLANK(DaqBook_RAW_Data!AH283),"",DaqBook_RAW_Data!AH283)</f>
        <v/>
      </c>
      <c r="D293" s="167" t="str">
        <f>IF(ISBLANK(DaqBook_RAW_Data!AI283),"",DaqBook_RAW_Data!AI283)</f>
        <v/>
      </c>
      <c r="E293" s="167" t="str">
        <f>IF(ISBLANK(DaqBook_RAW_Data!AJ283),"",DaqBook_RAW_Data!AJ283)</f>
        <v/>
      </c>
      <c r="F293" s="167" t="str">
        <f>IF(ISBLANK(DaqBook_RAW_Data!AK283),"",DaqBook_RAW_Data!AK283)</f>
        <v/>
      </c>
      <c r="G293" s="167" t="str">
        <f>IF(ISBLANK(DaqBook_RAW_Data!AL283),"",DaqBook_RAW_Data!AL283)</f>
        <v/>
      </c>
      <c r="H293" s="167" t="str">
        <f>IF(ISBLANK(DaqBook_RAW_Data!AM283),"",DaqBook_RAW_Data!AM283)</f>
        <v/>
      </c>
      <c r="I293" s="167" t="str">
        <f>IF(ISBLANK(DaqBook_RAW_Data!AN283),"",DaqBook_RAW_Data!AN283)</f>
        <v/>
      </c>
      <c r="J293" s="167" t="str">
        <f>IF(ISBLANK(DaqBook_RAW_Data!AO283),"",DaqBook_RAW_Data!AO283)</f>
        <v/>
      </c>
      <c r="K293" s="167" t="str">
        <f>IF(ISBLANK(DaqBook_RAW_Data!AP283),"",DaqBook_RAW_Data!AP283)</f>
        <v/>
      </c>
      <c r="L293" s="167" t="str">
        <f>IF(ISBLANK(DaqBook_RAW_Data!AQ283),"",DaqBook_RAW_Data!AQ283)</f>
        <v/>
      </c>
      <c r="M293" s="167" t="str">
        <f>IF(ISBLANK(DaqBook_RAW_Data!AR283),"",DaqBook_RAW_Data!AR283)</f>
        <v/>
      </c>
      <c r="N293" s="167" t="str">
        <f>IF(ISBLANK(DaqBook_RAW_Data!AS283),"",DaqBook_RAW_Data!AS283)</f>
        <v/>
      </c>
      <c r="O293" s="167"/>
      <c r="P293" s="167"/>
    </row>
    <row r="294" spans="1:16" x14ac:dyDescent="0.2">
      <c r="A294" s="58" t="e">
        <f t="shared" si="4"/>
        <v>#VALUE!</v>
      </c>
      <c r="B294" s="144" t="str">
        <f>IF(ISBLANK(DaqBook_RAW_Data!AG284),IF(DaqBook_RAW_Data!A284="","",TIMEVALUE(DaqBook_RAW_Data!A284)),TIMEVALUE(DaqBook_RAW_Data!AG284))</f>
        <v/>
      </c>
      <c r="C294" s="167" t="str">
        <f>IF(ISBLANK(DaqBook_RAW_Data!AH284),"",DaqBook_RAW_Data!AH284)</f>
        <v/>
      </c>
      <c r="D294" s="167" t="str">
        <f>IF(ISBLANK(DaqBook_RAW_Data!AI284),"",DaqBook_RAW_Data!AI284)</f>
        <v/>
      </c>
      <c r="E294" s="167" t="str">
        <f>IF(ISBLANK(DaqBook_RAW_Data!AJ284),"",DaqBook_RAW_Data!AJ284)</f>
        <v/>
      </c>
      <c r="F294" s="167" t="str">
        <f>IF(ISBLANK(DaqBook_RAW_Data!AK284),"",DaqBook_RAW_Data!AK284)</f>
        <v/>
      </c>
      <c r="G294" s="167" t="str">
        <f>IF(ISBLANK(DaqBook_RAW_Data!AL284),"",DaqBook_RAW_Data!AL284)</f>
        <v/>
      </c>
      <c r="H294" s="167" t="str">
        <f>IF(ISBLANK(DaqBook_RAW_Data!AM284),"",DaqBook_RAW_Data!AM284)</f>
        <v/>
      </c>
      <c r="I294" s="167" t="str">
        <f>IF(ISBLANK(DaqBook_RAW_Data!AN284),"",DaqBook_RAW_Data!AN284)</f>
        <v/>
      </c>
      <c r="J294" s="167" t="str">
        <f>IF(ISBLANK(DaqBook_RAW_Data!AO284),"",DaqBook_RAW_Data!AO284)</f>
        <v/>
      </c>
      <c r="K294" s="167" t="str">
        <f>IF(ISBLANK(DaqBook_RAW_Data!AP284),"",DaqBook_RAW_Data!AP284)</f>
        <v/>
      </c>
      <c r="L294" s="167" t="str">
        <f>IF(ISBLANK(DaqBook_RAW_Data!AQ284),"",DaqBook_RAW_Data!AQ284)</f>
        <v/>
      </c>
      <c r="M294" s="167" t="str">
        <f>IF(ISBLANK(DaqBook_RAW_Data!AR284),"",DaqBook_RAW_Data!AR284)</f>
        <v/>
      </c>
      <c r="N294" s="167" t="str">
        <f>IF(ISBLANK(DaqBook_RAW_Data!AS284),"",DaqBook_RAW_Data!AS284)</f>
        <v/>
      </c>
      <c r="O294" s="167"/>
      <c r="P294" s="167"/>
    </row>
    <row r="295" spans="1:16" x14ac:dyDescent="0.2">
      <c r="A295" s="58" t="e">
        <f t="shared" si="4"/>
        <v>#VALUE!</v>
      </c>
      <c r="B295" s="144" t="str">
        <f>IF(ISBLANK(DaqBook_RAW_Data!AG285),IF(DaqBook_RAW_Data!A285="","",TIMEVALUE(DaqBook_RAW_Data!A285)),TIMEVALUE(DaqBook_RAW_Data!AG285))</f>
        <v/>
      </c>
      <c r="C295" s="167" t="str">
        <f>IF(ISBLANK(DaqBook_RAW_Data!AH285),"",DaqBook_RAW_Data!AH285)</f>
        <v/>
      </c>
      <c r="D295" s="167" t="str">
        <f>IF(ISBLANK(DaqBook_RAW_Data!AI285),"",DaqBook_RAW_Data!AI285)</f>
        <v/>
      </c>
      <c r="E295" s="167" t="str">
        <f>IF(ISBLANK(DaqBook_RAW_Data!AJ285),"",DaqBook_RAW_Data!AJ285)</f>
        <v/>
      </c>
      <c r="F295" s="167" t="str">
        <f>IF(ISBLANK(DaqBook_RAW_Data!AK285),"",DaqBook_RAW_Data!AK285)</f>
        <v/>
      </c>
      <c r="G295" s="167" t="str">
        <f>IF(ISBLANK(DaqBook_RAW_Data!AL285),"",DaqBook_RAW_Data!AL285)</f>
        <v/>
      </c>
      <c r="H295" s="167" t="str">
        <f>IF(ISBLANK(DaqBook_RAW_Data!AM285),"",DaqBook_RAW_Data!AM285)</f>
        <v/>
      </c>
      <c r="I295" s="167" t="str">
        <f>IF(ISBLANK(DaqBook_RAW_Data!AN285),"",DaqBook_RAW_Data!AN285)</f>
        <v/>
      </c>
      <c r="J295" s="167" t="str">
        <f>IF(ISBLANK(DaqBook_RAW_Data!AO285),"",DaqBook_RAW_Data!AO285)</f>
        <v/>
      </c>
      <c r="K295" s="167" t="str">
        <f>IF(ISBLANK(DaqBook_RAW_Data!AP285),"",DaqBook_RAW_Data!AP285)</f>
        <v/>
      </c>
      <c r="L295" s="167" t="str">
        <f>IF(ISBLANK(DaqBook_RAW_Data!AQ285),"",DaqBook_RAW_Data!AQ285)</f>
        <v/>
      </c>
      <c r="M295" s="167" t="str">
        <f>IF(ISBLANK(DaqBook_RAW_Data!AR285),"",DaqBook_RAW_Data!AR285)</f>
        <v/>
      </c>
      <c r="N295" s="167" t="str">
        <f>IF(ISBLANK(DaqBook_RAW_Data!AS285),"",DaqBook_RAW_Data!AS285)</f>
        <v/>
      </c>
      <c r="O295" s="167"/>
      <c r="P295" s="167"/>
    </row>
    <row r="296" spans="1:16" x14ac:dyDescent="0.2">
      <c r="A296" s="58" t="e">
        <f t="shared" si="4"/>
        <v>#VALUE!</v>
      </c>
      <c r="B296" s="144" t="str">
        <f>IF(ISBLANK(DaqBook_RAW_Data!AG286),IF(DaqBook_RAW_Data!A286="","",TIMEVALUE(DaqBook_RAW_Data!A286)),TIMEVALUE(DaqBook_RAW_Data!AG286))</f>
        <v/>
      </c>
      <c r="C296" s="167" t="str">
        <f>IF(ISBLANK(DaqBook_RAW_Data!AH286),"",DaqBook_RAW_Data!AH286)</f>
        <v/>
      </c>
      <c r="D296" s="167" t="str">
        <f>IF(ISBLANK(DaqBook_RAW_Data!AI286),"",DaqBook_RAW_Data!AI286)</f>
        <v/>
      </c>
      <c r="E296" s="167" t="str">
        <f>IF(ISBLANK(DaqBook_RAW_Data!AJ286),"",DaqBook_RAW_Data!AJ286)</f>
        <v/>
      </c>
      <c r="F296" s="167" t="str">
        <f>IF(ISBLANK(DaqBook_RAW_Data!AK286),"",DaqBook_RAW_Data!AK286)</f>
        <v/>
      </c>
      <c r="G296" s="167" t="str">
        <f>IF(ISBLANK(DaqBook_RAW_Data!AL286),"",DaqBook_RAW_Data!AL286)</f>
        <v/>
      </c>
      <c r="H296" s="167" t="str">
        <f>IF(ISBLANK(DaqBook_RAW_Data!AM286),"",DaqBook_RAW_Data!AM286)</f>
        <v/>
      </c>
      <c r="I296" s="167" t="str">
        <f>IF(ISBLANK(DaqBook_RAW_Data!AN286),"",DaqBook_RAW_Data!AN286)</f>
        <v/>
      </c>
      <c r="J296" s="167" t="str">
        <f>IF(ISBLANK(DaqBook_RAW_Data!AO286),"",DaqBook_RAW_Data!AO286)</f>
        <v/>
      </c>
      <c r="K296" s="167" t="str">
        <f>IF(ISBLANK(DaqBook_RAW_Data!AP286),"",DaqBook_RAW_Data!AP286)</f>
        <v/>
      </c>
      <c r="L296" s="167" t="str">
        <f>IF(ISBLANK(DaqBook_RAW_Data!AQ286),"",DaqBook_RAW_Data!AQ286)</f>
        <v/>
      </c>
      <c r="M296" s="167" t="str">
        <f>IF(ISBLANK(DaqBook_RAW_Data!AR286),"",DaqBook_RAW_Data!AR286)</f>
        <v/>
      </c>
      <c r="N296" s="167" t="str">
        <f>IF(ISBLANK(DaqBook_RAW_Data!AS286),"",DaqBook_RAW_Data!AS286)</f>
        <v/>
      </c>
      <c r="O296" s="167"/>
      <c r="P296" s="167"/>
    </row>
    <row r="297" spans="1:16" x14ac:dyDescent="0.2">
      <c r="A297" s="58" t="e">
        <f t="shared" si="4"/>
        <v>#VALUE!</v>
      </c>
      <c r="B297" s="144" t="str">
        <f>IF(ISBLANK(DaqBook_RAW_Data!AG287),IF(DaqBook_RAW_Data!A287="","",TIMEVALUE(DaqBook_RAW_Data!A287)),TIMEVALUE(DaqBook_RAW_Data!AG287))</f>
        <v/>
      </c>
      <c r="C297" s="167" t="str">
        <f>IF(ISBLANK(DaqBook_RAW_Data!AH287),"",DaqBook_RAW_Data!AH287)</f>
        <v/>
      </c>
      <c r="D297" s="167" t="str">
        <f>IF(ISBLANK(DaqBook_RAW_Data!AI287),"",DaqBook_RAW_Data!AI287)</f>
        <v/>
      </c>
      <c r="E297" s="167" t="str">
        <f>IF(ISBLANK(DaqBook_RAW_Data!AJ287),"",DaqBook_RAW_Data!AJ287)</f>
        <v/>
      </c>
      <c r="F297" s="167" t="str">
        <f>IF(ISBLANK(DaqBook_RAW_Data!AK287),"",DaqBook_RAW_Data!AK287)</f>
        <v/>
      </c>
      <c r="G297" s="167" t="str">
        <f>IF(ISBLANK(DaqBook_RAW_Data!AL287),"",DaqBook_RAW_Data!AL287)</f>
        <v/>
      </c>
      <c r="H297" s="167" t="str">
        <f>IF(ISBLANK(DaqBook_RAW_Data!AM287),"",DaqBook_RAW_Data!AM287)</f>
        <v/>
      </c>
      <c r="I297" s="167" t="str">
        <f>IF(ISBLANK(DaqBook_RAW_Data!AN287),"",DaqBook_RAW_Data!AN287)</f>
        <v/>
      </c>
      <c r="J297" s="167" t="str">
        <f>IF(ISBLANK(DaqBook_RAW_Data!AO287),"",DaqBook_RAW_Data!AO287)</f>
        <v/>
      </c>
      <c r="K297" s="167" t="str">
        <f>IF(ISBLANK(DaqBook_RAW_Data!AP287),"",DaqBook_RAW_Data!AP287)</f>
        <v/>
      </c>
      <c r="L297" s="167" t="str">
        <f>IF(ISBLANK(DaqBook_RAW_Data!AQ287),"",DaqBook_RAW_Data!AQ287)</f>
        <v/>
      </c>
      <c r="M297" s="167" t="str">
        <f>IF(ISBLANK(DaqBook_RAW_Data!AR287),"",DaqBook_RAW_Data!AR287)</f>
        <v/>
      </c>
      <c r="N297" s="167" t="str">
        <f>IF(ISBLANK(DaqBook_RAW_Data!AS287),"",DaqBook_RAW_Data!AS287)</f>
        <v/>
      </c>
      <c r="O297" s="167"/>
      <c r="P297" s="167"/>
    </row>
    <row r="298" spans="1:16" x14ac:dyDescent="0.2">
      <c r="A298" s="58" t="e">
        <f t="shared" si="4"/>
        <v>#VALUE!</v>
      </c>
      <c r="B298" s="144" t="str">
        <f>IF(ISBLANK(DaqBook_RAW_Data!AG288),IF(DaqBook_RAW_Data!A288="","",TIMEVALUE(DaqBook_RAW_Data!A288)),TIMEVALUE(DaqBook_RAW_Data!AG288))</f>
        <v/>
      </c>
      <c r="C298" s="167" t="str">
        <f>IF(ISBLANK(DaqBook_RAW_Data!AH288),"",DaqBook_RAW_Data!AH288)</f>
        <v/>
      </c>
      <c r="D298" s="167" t="str">
        <f>IF(ISBLANK(DaqBook_RAW_Data!AI288),"",DaqBook_RAW_Data!AI288)</f>
        <v/>
      </c>
      <c r="E298" s="167" t="str">
        <f>IF(ISBLANK(DaqBook_RAW_Data!AJ288),"",DaqBook_RAW_Data!AJ288)</f>
        <v/>
      </c>
      <c r="F298" s="167" t="str">
        <f>IF(ISBLANK(DaqBook_RAW_Data!AK288),"",DaqBook_RAW_Data!AK288)</f>
        <v/>
      </c>
      <c r="G298" s="167" t="str">
        <f>IF(ISBLANK(DaqBook_RAW_Data!AL288),"",DaqBook_RAW_Data!AL288)</f>
        <v/>
      </c>
      <c r="H298" s="167" t="str">
        <f>IF(ISBLANK(DaqBook_RAW_Data!AM288),"",DaqBook_RAW_Data!AM288)</f>
        <v/>
      </c>
      <c r="I298" s="167" t="str">
        <f>IF(ISBLANK(DaqBook_RAW_Data!AN288),"",DaqBook_RAW_Data!AN288)</f>
        <v/>
      </c>
      <c r="J298" s="167" t="str">
        <f>IF(ISBLANK(DaqBook_RAW_Data!AO288),"",DaqBook_RAW_Data!AO288)</f>
        <v/>
      </c>
      <c r="K298" s="167" t="str">
        <f>IF(ISBLANK(DaqBook_RAW_Data!AP288),"",DaqBook_RAW_Data!AP288)</f>
        <v/>
      </c>
      <c r="L298" s="167" t="str">
        <f>IF(ISBLANK(DaqBook_RAW_Data!AQ288),"",DaqBook_RAW_Data!AQ288)</f>
        <v/>
      </c>
      <c r="M298" s="167" t="str">
        <f>IF(ISBLANK(DaqBook_RAW_Data!AR288),"",DaqBook_RAW_Data!AR288)</f>
        <v/>
      </c>
      <c r="N298" s="167" t="str">
        <f>IF(ISBLANK(DaqBook_RAW_Data!AS288),"",DaqBook_RAW_Data!AS288)</f>
        <v/>
      </c>
      <c r="O298" s="167"/>
      <c r="P298" s="167"/>
    </row>
    <row r="299" spans="1:16" x14ac:dyDescent="0.2">
      <c r="A299" s="58" t="e">
        <f t="shared" si="4"/>
        <v>#VALUE!</v>
      </c>
      <c r="B299" s="144" t="str">
        <f>IF(ISBLANK(DaqBook_RAW_Data!AG289),IF(DaqBook_RAW_Data!A289="","",TIMEVALUE(DaqBook_RAW_Data!A289)),TIMEVALUE(DaqBook_RAW_Data!AG289))</f>
        <v/>
      </c>
      <c r="C299" s="167" t="str">
        <f>IF(ISBLANK(DaqBook_RAW_Data!AH289),"",DaqBook_RAW_Data!AH289)</f>
        <v/>
      </c>
      <c r="D299" s="167" t="str">
        <f>IF(ISBLANK(DaqBook_RAW_Data!AI289),"",DaqBook_RAW_Data!AI289)</f>
        <v/>
      </c>
      <c r="E299" s="167" t="str">
        <f>IF(ISBLANK(DaqBook_RAW_Data!AJ289),"",DaqBook_RAW_Data!AJ289)</f>
        <v/>
      </c>
      <c r="F299" s="167" t="str">
        <f>IF(ISBLANK(DaqBook_RAW_Data!AK289),"",DaqBook_RAW_Data!AK289)</f>
        <v/>
      </c>
      <c r="G299" s="167" t="str">
        <f>IF(ISBLANK(DaqBook_RAW_Data!AL289),"",DaqBook_RAW_Data!AL289)</f>
        <v/>
      </c>
      <c r="H299" s="167" t="str">
        <f>IF(ISBLANK(DaqBook_RAW_Data!AM289),"",DaqBook_RAW_Data!AM289)</f>
        <v/>
      </c>
      <c r="I299" s="167" t="str">
        <f>IF(ISBLANK(DaqBook_RAW_Data!AN289),"",DaqBook_RAW_Data!AN289)</f>
        <v/>
      </c>
      <c r="J299" s="167" t="str">
        <f>IF(ISBLANK(DaqBook_RAW_Data!AO289),"",DaqBook_RAW_Data!AO289)</f>
        <v/>
      </c>
      <c r="K299" s="167" t="str">
        <f>IF(ISBLANK(DaqBook_RAW_Data!AP289),"",DaqBook_RAW_Data!AP289)</f>
        <v/>
      </c>
      <c r="L299" s="167" t="str">
        <f>IF(ISBLANK(DaqBook_RAW_Data!AQ289),"",DaqBook_RAW_Data!AQ289)</f>
        <v/>
      </c>
      <c r="M299" s="167" t="str">
        <f>IF(ISBLANK(DaqBook_RAW_Data!AR289),"",DaqBook_RAW_Data!AR289)</f>
        <v/>
      </c>
      <c r="N299" s="167" t="str">
        <f>IF(ISBLANK(DaqBook_RAW_Data!AS289),"",DaqBook_RAW_Data!AS289)</f>
        <v/>
      </c>
      <c r="O299" s="167"/>
      <c r="P299" s="167"/>
    </row>
    <row r="300" spans="1:16" x14ac:dyDescent="0.2">
      <c r="A300" s="58" t="e">
        <f t="shared" si="4"/>
        <v>#VALUE!</v>
      </c>
      <c r="B300" s="144" t="str">
        <f>IF(ISBLANK(DaqBook_RAW_Data!AG290),IF(DaqBook_RAW_Data!A290="","",TIMEVALUE(DaqBook_RAW_Data!A290)),TIMEVALUE(DaqBook_RAW_Data!AG290))</f>
        <v/>
      </c>
      <c r="C300" s="167" t="str">
        <f>IF(ISBLANK(DaqBook_RAW_Data!AH290),"",DaqBook_RAW_Data!AH290)</f>
        <v/>
      </c>
      <c r="D300" s="167" t="str">
        <f>IF(ISBLANK(DaqBook_RAW_Data!AI290),"",DaqBook_RAW_Data!AI290)</f>
        <v/>
      </c>
      <c r="E300" s="167" t="str">
        <f>IF(ISBLANK(DaqBook_RAW_Data!AJ290),"",DaqBook_RAW_Data!AJ290)</f>
        <v/>
      </c>
      <c r="F300" s="167" t="str">
        <f>IF(ISBLANK(DaqBook_RAW_Data!AK290),"",DaqBook_RAW_Data!AK290)</f>
        <v/>
      </c>
      <c r="G300" s="167" t="str">
        <f>IF(ISBLANK(DaqBook_RAW_Data!AL290),"",DaqBook_RAW_Data!AL290)</f>
        <v/>
      </c>
      <c r="H300" s="167" t="str">
        <f>IF(ISBLANK(DaqBook_RAW_Data!AM290),"",DaqBook_RAW_Data!AM290)</f>
        <v/>
      </c>
      <c r="I300" s="167" t="str">
        <f>IF(ISBLANK(DaqBook_RAW_Data!AN290),"",DaqBook_RAW_Data!AN290)</f>
        <v/>
      </c>
      <c r="J300" s="167" t="str">
        <f>IF(ISBLANK(DaqBook_RAW_Data!AO290),"",DaqBook_RAW_Data!AO290)</f>
        <v/>
      </c>
      <c r="K300" s="167" t="str">
        <f>IF(ISBLANK(DaqBook_RAW_Data!AP290),"",DaqBook_RAW_Data!AP290)</f>
        <v/>
      </c>
      <c r="L300" s="167" t="str">
        <f>IF(ISBLANK(DaqBook_RAW_Data!AQ290),"",DaqBook_RAW_Data!AQ290)</f>
        <v/>
      </c>
      <c r="M300" s="167" t="str">
        <f>IF(ISBLANK(DaqBook_RAW_Data!AR290),"",DaqBook_RAW_Data!AR290)</f>
        <v/>
      </c>
      <c r="N300" s="167" t="str">
        <f>IF(ISBLANK(DaqBook_RAW_Data!AS290),"",DaqBook_RAW_Data!AS290)</f>
        <v/>
      </c>
      <c r="O300" s="167"/>
      <c r="P300" s="167"/>
    </row>
    <row r="301" spans="1:16" x14ac:dyDescent="0.2">
      <c r="A301" s="58" t="e">
        <f t="shared" si="4"/>
        <v>#VALUE!</v>
      </c>
      <c r="B301" s="144" t="str">
        <f>IF(ISBLANK(DaqBook_RAW_Data!AG291),IF(DaqBook_RAW_Data!A291="","",TIMEVALUE(DaqBook_RAW_Data!A291)),TIMEVALUE(DaqBook_RAW_Data!AG291))</f>
        <v/>
      </c>
      <c r="C301" s="167" t="str">
        <f>IF(ISBLANK(DaqBook_RAW_Data!AH291),"",DaqBook_RAW_Data!AH291)</f>
        <v/>
      </c>
      <c r="D301" s="167" t="str">
        <f>IF(ISBLANK(DaqBook_RAW_Data!AI291),"",DaqBook_RAW_Data!AI291)</f>
        <v/>
      </c>
      <c r="E301" s="167" t="str">
        <f>IF(ISBLANK(DaqBook_RAW_Data!AJ291),"",DaqBook_RAW_Data!AJ291)</f>
        <v/>
      </c>
      <c r="F301" s="167" t="str">
        <f>IF(ISBLANK(DaqBook_RAW_Data!AK291),"",DaqBook_RAW_Data!AK291)</f>
        <v/>
      </c>
      <c r="G301" s="167" t="str">
        <f>IF(ISBLANK(DaqBook_RAW_Data!AL291),"",DaqBook_RAW_Data!AL291)</f>
        <v/>
      </c>
      <c r="H301" s="167" t="str">
        <f>IF(ISBLANK(DaqBook_RAW_Data!AM291),"",DaqBook_RAW_Data!AM291)</f>
        <v/>
      </c>
      <c r="I301" s="167" t="str">
        <f>IF(ISBLANK(DaqBook_RAW_Data!AN291),"",DaqBook_RAW_Data!AN291)</f>
        <v/>
      </c>
      <c r="J301" s="167" t="str">
        <f>IF(ISBLANK(DaqBook_RAW_Data!AO291),"",DaqBook_RAW_Data!AO291)</f>
        <v/>
      </c>
      <c r="K301" s="167" t="str">
        <f>IF(ISBLANK(DaqBook_RAW_Data!AP291),"",DaqBook_RAW_Data!AP291)</f>
        <v/>
      </c>
      <c r="L301" s="167" t="str">
        <f>IF(ISBLANK(DaqBook_RAW_Data!AQ291),"",DaqBook_RAW_Data!AQ291)</f>
        <v/>
      </c>
      <c r="M301" s="167" t="str">
        <f>IF(ISBLANK(DaqBook_RAW_Data!AR291),"",DaqBook_RAW_Data!AR291)</f>
        <v/>
      </c>
      <c r="N301" s="167" t="str">
        <f>IF(ISBLANK(DaqBook_RAW_Data!AS291),"",DaqBook_RAW_Data!AS291)</f>
        <v/>
      </c>
      <c r="O301" s="167"/>
      <c r="P301" s="167"/>
    </row>
    <row r="302" spans="1:16" x14ac:dyDescent="0.2">
      <c r="A302" s="58" t="e">
        <f t="shared" si="4"/>
        <v>#VALUE!</v>
      </c>
      <c r="B302" s="144" t="str">
        <f>IF(ISBLANK(DaqBook_RAW_Data!AG292),IF(DaqBook_RAW_Data!A292="","",TIMEVALUE(DaqBook_RAW_Data!A292)),TIMEVALUE(DaqBook_RAW_Data!AG292))</f>
        <v/>
      </c>
      <c r="C302" s="167" t="str">
        <f>IF(ISBLANK(DaqBook_RAW_Data!AH292),"",DaqBook_RAW_Data!AH292)</f>
        <v/>
      </c>
      <c r="D302" s="167" t="str">
        <f>IF(ISBLANK(DaqBook_RAW_Data!AI292),"",DaqBook_RAW_Data!AI292)</f>
        <v/>
      </c>
      <c r="E302" s="167" t="str">
        <f>IF(ISBLANK(DaqBook_RAW_Data!AJ292),"",DaqBook_RAW_Data!AJ292)</f>
        <v/>
      </c>
      <c r="F302" s="167" t="str">
        <f>IF(ISBLANK(DaqBook_RAW_Data!AK292),"",DaqBook_RAW_Data!AK292)</f>
        <v/>
      </c>
      <c r="G302" s="167" t="str">
        <f>IF(ISBLANK(DaqBook_RAW_Data!AL292),"",DaqBook_RAW_Data!AL292)</f>
        <v/>
      </c>
      <c r="H302" s="167" t="str">
        <f>IF(ISBLANK(DaqBook_RAW_Data!AM292),"",DaqBook_RAW_Data!AM292)</f>
        <v/>
      </c>
      <c r="I302" s="167" t="str">
        <f>IF(ISBLANK(DaqBook_RAW_Data!AN292),"",DaqBook_RAW_Data!AN292)</f>
        <v/>
      </c>
      <c r="J302" s="167" t="str">
        <f>IF(ISBLANK(DaqBook_RAW_Data!AO292),"",DaqBook_RAW_Data!AO292)</f>
        <v/>
      </c>
      <c r="K302" s="167" t="str">
        <f>IF(ISBLANK(DaqBook_RAW_Data!AP292),"",DaqBook_RAW_Data!AP292)</f>
        <v/>
      </c>
      <c r="L302" s="167" t="str">
        <f>IF(ISBLANK(DaqBook_RAW_Data!AQ292),"",DaqBook_RAW_Data!AQ292)</f>
        <v/>
      </c>
      <c r="M302" s="167" t="str">
        <f>IF(ISBLANK(DaqBook_RAW_Data!AR292),"",DaqBook_RAW_Data!AR292)</f>
        <v/>
      </c>
      <c r="N302" s="167" t="str">
        <f>IF(ISBLANK(DaqBook_RAW_Data!AS292),"",DaqBook_RAW_Data!AS292)</f>
        <v/>
      </c>
      <c r="O302" s="167"/>
      <c r="P302" s="167"/>
    </row>
    <row r="303" spans="1:16" x14ac:dyDescent="0.2">
      <c r="A303" s="58" t="e">
        <f t="shared" si="4"/>
        <v>#VALUE!</v>
      </c>
      <c r="B303" s="144" t="str">
        <f>IF(ISBLANK(DaqBook_RAW_Data!AG293),IF(DaqBook_RAW_Data!A293="","",TIMEVALUE(DaqBook_RAW_Data!A293)),TIMEVALUE(DaqBook_RAW_Data!AG293))</f>
        <v/>
      </c>
      <c r="C303" s="167" t="str">
        <f>IF(ISBLANK(DaqBook_RAW_Data!AH293),"",DaqBook_RAW_Data!AH293)</f>
        <v/>
      </c>
      <c r="D303" s="167" t="str">
        <f>IF(ISBLANK(DaqBook_RAW_Data!AI293),"",DaqBook_RAW_Data!AI293)</f>
        <v/>
      </c>
      <c r="E303" s="167" t="str">
        <f>IF(ISBLANK(DaqBook_RAW_Data!AJ293),"",DaqBook_RAW_Data!AJ293)</f>
        <v/>
      </c>
      <c r="F303" s="167" t="str">
        <f>IF(ISBLANK(DaqBook_RAW_Data!AK293),"",DaqBook_RAW_Data!AK293)</f>
        <v/>
      </c>
      <c r="G303" s="167" t="str">
        <f>IF(ISBLANK(DaqBook_RAW_Data!AL293),"",DaqBook_RAW_Data!AL293)</f>
        <v/>
      </c>
      <c r="H303" s="167" t="str">
        <f>IF(ISBLANK(DaqBook_RAW_Data!AM293),"",DaqBook_RAW_Data!AM293)</f>
        <v/>
      </c>
      <c r="I303" s="167" t="str">
        <f>IF(ISBLANK(DaqBook_RAW_Data!AN293),"",DaqBook_RAW_Data!AN293)</f>
        <v/>
      </c>
      <c r="J303" s="167" t="str">
        <f>IF(ISBLANK(DaqBook_RAW_Data!AO293),"",DaqBook_RAW_Data!AO293)</f>
        <v/>
      </c>
      <c r="K303" s="167" t="str">
        <f>IF(ISBLANK(DaqBook_RAW_Data!AP293),"",DaqBook_RAW_Data!AP293)</f>
        <v/>
      </c>
      <c r="L303" s="167" t="str">
        <f>IF(ISBLANK(DaqBook_RAW_Data!AQ293),"",DaqBook_RAW_Data!AQ293)</f>
        <v/>
      </c>
      <c r="M303" s="167" t="str">
        <f>IF(ISBLANK(DaqBook_RAW_Data!AR293),"",DaqBook_RAW_Data!AR293)</f>
        <v/>
      </c>
      <c r="N303" s="167" t="str">
        <f>IF(ISBLANK(DaqBook_RAW_Data!AS293),"",DaqBook_RAW_Data!AS293)</f>
        <v/>
      </c>
      <c r="O303" s="167"/>
      <c r="P303" s="167"/>
    </row>
    <row r="304" spans="1:16" x14ac:dyDescent="0.2">
      <c r="A304" s="58" t="e">
        <f t="shared" si="4"/>
        <v>#VALUE!</v>
      </c>
      <c r="B304" s="144" t="str">
        <f>IF(ISBLANK(DaqBook_RAW_Data!AG294),IF(DaqBook_RAW_Data!A294="","",TIMEVALUE(DaqBook_RAW_Data!A294)),TIMEVALUE(DaqBook_RAW_Data!AG294))</f>
        <v/>
      </c>
      <c r="C304" s="167" t="str">
        <f>IF(ISBLANK(DaqBook_RAW_Data!AH294),"",DaqBook_RAW_Data!AH294)</f>
        <v/>
      </c>
      <c r="D304" s="167" t="str">
        <f>IF(ISBLANK(DaqBook_RAW_Data!AI294),"",DaqBook_RAW_Data!AI294)</f>
        <v/>
      </c>
      <c r="E304" s="167" t="str">
        <f>IF(ISBLANK(DaqBook_RAW_Data!AJ294),"",DaqBook_RAW_Data!AJ294)</f>
        <v/>
      </c>
      <c r="F304" s="167" t="str">
        <f>IF(ISBLANK(DaqBook_RAW_Data!AK294),"",DaqBook_RAW_Data!AK294)</f>
        <v/>
      </c>
      <c r="G304" s="167" t="str">
        <f>IF(ISBLANK(DaqBook_RAW_Data!AL294),"",DaqBook_RAW_Data!AL294)</f>
        <v/>
      </c>
      <c r="H304" s="167" t="str">
        <f>IF(ISBLANK(DaqBook_RAW_Data!AM294),"",DaqBook_RAW_Data!AM294)</f>
        <v/>
      </c>
      <c r="I304" s="167" t="str">
        <f>IF(ISBLANK(DaqBook_RAW_Data!AN294),"",DaqBook_RAW_Data!AN294)</f>
        <v/>
      </c>
      <c r="J304" s="167" t="str">
        <f>IF(ISBLANK(DaqBook_RAW_Data!AO294),"",DaqBook_RAW_Data!AO294)</f>
        <v/>
      </c>
      <c r="K304" s="167" t="str">
        <f>IF(ISBLANK(DaqBook_RAW_Data!AP294),"",DaqBook_RAW_Data!AP294)</f>
        <v/>
      </c>
      <c r="L304" s="167" t="str">
        <f>IF(ISBLANK(DaqBook_RAW_Data!AQ294),"",DaqBook_RAW_Data!AQ294)</f>
        <v/>
      </c>
      <c r="M304" s="167" t="str">
        <f>IF(ISBLANK(DaqBook_RAW_Data!AR294),"",DaqBook_RAW_Data!AR294)</f>
        <v/>
      </c>
      <c r="N304" s="167" t="str">
        <f>IF(ISBLANK(DaqBook_RAW_Data!AS294),"",DaqBook_RAW_Data!AS294)</f>
        <v/>
      </c>
      <c r="O304" s="167"/>
      <c r="P304" s="167"/>
    </row>
    <row r="305" spans="1:16" x14ac:dyDescent="0.2">
      <c r="A305" s="58" t="e">
        <f t="shared" si="4"/>
        <v>#VALUE!</v>
      </c>
      <c r="B305" s="144" t="str">
        <f>IF(ISBLANK(DaqBook_RAW_Data!AG295),IF(DaqBook_RAW_Data!A295="","",TIMEVALUE(DaqBook_RAW_Data!A295)),TIMEVALUE(DaqBook_RAW_Data!AG295))</f>
        <v/>
      </c>
      <c r="C305" s="167" t="str">
        <f>IF(ISBLANK(DaqBook_RAW_Data!AH295),"",DaqBook_RAW_Data!AH295)</f>
        <v/>
      </c>
      <c r="D305" s="167" t="str">
        <f>IF(ISBLANK(DaqBook_RAW_Data!AI295),"",DaqBook_RAW_Data!AI295)</f>
        <v/>
      </c>
      <c r="E305" s="167" t="str">
        <f>IF(ISBLANK(DaqBook_RAW_Data!AJ295),"",DaqBook_RAW_Data!AJ295)</f>
        <v/>
      </c>
      <c r="F305" s="167" t="str">
        <f>IF(ISBLANK(DaqBook_RAW_Data!AK295),"",DaqBook_RAW_Data!AK295)</f>
        <v/>
      </c>
      <c r="G305" s="167" t="str">
        <f>IF(ISBLANK(DaqBook_RAW_Data!AL295),"",DaqBook_RAW_Data!AL295)</f>
        <v/>
      </c>
      <c r="H305" s="167" t="str">
        <f>IF(ISBLANK(DaqBook_RAW_Data!AM295),"",DaqBook_RAW_Data!AM295)</f>
        <v/>
      </c>
      <c r="I305" s="167" t="str">
        <f>IF(ISBLANK(DaqBook_RAW_Data!AN295),"",DaqBook_RAW_Data!AN295)</f>
        <v/>
      </c>
      <c r="J305" s="167" t="str">
        <f>IF(ISBLANK(DaqBook_RAW_Data!AO295),"",DaqBook_RAW_Data!AO295)</f>
        <v/>
      </c>
      <c r="K305" s="167" t="str">
        <f>IF(ISBLANK(DaqBook_RAW_Data!AP295),"",DaqBook_RAW_Data!AP295)</f>
        <v/>
      </c>
      <c r="L305" s="167" t="str">
        <f>IF(ISBLANK(DaqBook_RAW_Data!AQ295),"",DaqBook_RAW_Data!AQ295)</f>
        <v/>
      </c>
      <c r="M305" s="167" t="str">
        <f>IF(ISBLANK(DaqBook_RAW_Data!AR295),"",DaqBook_RAW_Data!AR295)</f>
        <v/>
      </c>
      <c r="N305" s="167" t="str">
        <f>IF(ISBLANK(DaqBook_RAW_Data!AS295),"",DaqBook_RAW_Data!AS295)</f>
        <v/>
      </c>
      <c r="O305" s="167"/>
      <c r="P305" s="167"/>
    </row>
    <row r="306" spans="1:16" x14ac:dyDescent="0.2">
      <c r="A306" s="58" t="e">
        <f t="shared" si="4"/>
        <v>#VALUE!</v>
      </c>
      <c r="B306" s="144" t="str">
        <f>IF(ISBLANK(DaqBook_RAW_Data!AG296),IF(DaqBook_RAW_Data!A296="","",TIMEVALUE(DaqBook_RAW_Data!A296)),TIMEVALUE(DaqBook_RAW_Data!AG296))</f>
        <v/>
      </c>
      <c r="C306" s="167" t="str">
        <f>IF(ISBLANK(DaqBook_RAW_Data!AH296),"",DaqBook_RAW_Data!AH296)</f>
        <v/>
      </c>
      <c r="D306" s="167" t="str">
        <f>IF(ISBLANK(DaqBook_RAW_Data!AI296),"",DaqBook_RAW_Data!AI296)</f>
        <v/>
      </c>
      <c r="E306" s="167" t="str">
        <f>IF(ISBLANK(DaqBook_RAW_Data!AJ296),"",DaqBook_RAW_Data!AJ296)</f>
        <v/>
      </c>
      <c r="F306" s="167" t="str">
        <f>IF(ISBLANK(DaqBook_RAW_Data!AK296),"",DaqBook_RAW_Data!AK296)</f>
        <v/>
      </c>
      <c r="G306" s="167" t="str">
        <f>IF(ISBLANK(DaqBook_RAW_Data!AL296),"",DaqBook_RAW_Data!AL296)</f>
        <v/>
      </c>
      <c r="H306" s="167" t="str">
        <f>IF(ISBLANK(DaqBook_RAW_Data!AM296),"",DaqBook_RAW_Data!AM296)</f>
        <v/>
      </c>
      <c r="I306" s="167" t="str">
        <f>IF(ISBLANK(DaqBook_RAW_Data!AN296),"",DaqBook_RAW_Data!AN296)</f>
        <v/>
      </c>
      <c r="J306" s="167" t="str">
        <f>IF(ISBLANK(DaqBook_RAW_Data!AO296),"",DaqBook_RAW_Data!AO296)</f>
        <v/>
      </c>
      <c r="K306" s="167" t="str">
        <f>IF(ISBLANK(DaqBook_RAW_Data!AP296),"",DaqBook_RAW_Data!AP296)</f>
        <v/>
      </c>
      <c r="L306" s="167" t="str">
        <f>IF(ISBLANK(DaqBook_RAW_Data!AQ296),"",DaqBook_RAW_Data!AQ296)</f>
        <v/>
      </c>
      <c r="M306" s="167" t="str">
        <f>IF(ISBLANK(DaqBook_RAW_Data!AR296),"",DaqBook_RAW_Data!AR296)</f>
        <v/>
      </c>
      <c r="N306" s="167" t="str">
        <f>IF(ISBLANK(DaqBook_RAW_Data!AS296),"",DaqBook_RAW_Data!AS296)</f>
        <v/>
      </c>
      <c r="O306" s="167"/>
      <c r="P306" s="167"/>
    </row>
    <row r="307" spans="1:16" x14ac:dyDescent="0.2">
      <c r="A307" s="58" t="e">
        <f t="shared" si="4"/>
        <v>#VALUE!</v>
      </c>
      <c r="B307" s="144" t="str">
        <f>IF(ISBLANK(DaqBook_RAW_Data!AG297),IF(DaqBook_RAW_Data!A297="","",TIMEVALUE(DaqBook_RAW_Data!A297)),TIMEVALUE(DaqBook_RAW_Data!AG297))</f>
        <v/>
      </c>
      <c r="C307" s="167" t="str">
        <f>IF(ISBLANK(DaqBook_RAW_Data!AH297),"",DaqBook_RAW_Data!AH297)</f>
        <v/>
      </c>
      <c r="D307" s="167" t="str">
        <f>IF(ISBLANK(DaqBook_RAW_Data!AI297),"",DaqBook_RAW_Data!AI297)</f>
        <v/>
      </c>
      <c r="E307" s="167" t="str">
        <f>IF(ISBLANK(DaqBook_RAW_Data!AJ297),"",DaqBook_RAW_Data!AJ297)</f>
        <v/>
      </c>
      <c r="F307" s="167" t="str">
        <f>IF(ISBLANK(DaqBook_RAW_Data!AK297),"",DaqBook_RAW_Data!AK297)</f>
        <v/>
      </c>
      <c r="G307" s="167" t="str">
        <f>IF(ISBLANK(DaqBook_RAW_Data!AL297),"",DaqBook_RAW_Data!AL297)</f>
        <v/>
      </c>
      <c r="H307" s="167" t="str">
        <f>IF(ISBLANK(DaqBook_RAW_Data!AM297),"",DaqBook_RAW_Data!AM297)</f>
        <v/>
      </c>
      <c r="I307" s="167" t="str">
        <f>IF(ISBLANK(DaqBook_RAW_Data!AN297),"",DaqBook_RAW_Data!AN297)</f>
        <v/>
      </c>
      <c r="J307" s="167" t="str">
        <f>IF(ISBLANK(DaqBook_RAW_Data!AO297),"",DaqBook_RAW_Data!AO297)</f>
        <v/>
      </c>
      <c r="K307" s="167" t="str">
        <f>IF(ISBLANK(DaqBook_RAW_Data!AP297),"",DaqBook_RAW_Data!AP297)</f>
        <v/>
      </c>
      <c r="L307" s="167" t="str">
        <f>IF(ISBLANK(DaqBook_RAW_Data!AQ297),"",DaqBook_RAW_Data!AQ297)</f>
        <v/>
      </c>
      <c r="M307" s="167" t="str">
        <f>IF(ISBLANK(DaqBook_RAW_Data!AR297),"",DaqBook_RAW_Data!AR297)</f>
        <v/>
      </c>
      <c r="N307" s="167" t="str">
        <f>IF(ISBLANK(DaqBook_RAW_Data!AS297),"",DaqBook_RAW_Data!AS297)</f>
        <v/>
      </c>
      <c r="O307" s="167"/>
      <c r="P307" s="167"/>
    </row>
    <row r="308" spans="1:16" x14ac:dyDescent="0.2">
      <c r="A308" s="58" t="e">
        <f t="shared" si="4"/>
        <v>#VALUE!</v>
      </c>
      <c r="B308" s="144" t="str">
        <f>IF(ISBLANK(DaqBook_RAW_Data!AG298),IF(DaqBook_RAW_Data!A298="","",TIMEVALUE(DaqBook_RAW_Data!A298)),TIMEVALUE(DaqBook_RAW_Data!AG298))</f>
        <v/>
      </c>
      <c r="C308" s="167" t="str">
        <f>IF(ISBLANK(DaqBook_RAW_Data!AH298),"",DaqBook_RAW_Data!AH298)</f>
        <v/>
      </c>
      <c r="D308" s="167" t="str">
        <f>IF(ISBLANK(DaqBook_RAW_Data!AI298),"",DaqBook_RAW_Data!AI298)</f>
        <v/>
      </c>
      <c r="E308" s="167" t="str">
        <f>IF(ISBLANK(DaqBook_RAW_Data!AJ298),"",DaqBook_RAW_Data!AJ298)</f>
        <v/>
      </c>
      <c r="F308" s="167" t="str">
        <f>IF(ISBLANK(DaqBook_RAW_Data!AK298),"",DaqBook_RAW_Data!AK298)</f>
        <v/>
      </c>
      <c r="G308" s="167" t="str">
        <f>IF(ISBLANK(DaqBook_RAW_Data!AL298),"",DaqBook_RAW_Data!AL298)</f>
        <v/>
      </c>
      <c r="H308" s="167" t="str">
        <f>IF(ISBLANK(DaqBook_RAW_Data!AM298),"",DaqBook_RAW_Data!AM298)</f>
        <v/>
      </c>
      <c r="I308" s="167" t="str">
        <f>IF(ISBLANK(DaqBook_RAW_Data!AN298),"",DaqBook_RAW_Data!AN298)</f>
        <v/>
      </c>
      <c r="J308" s="167" t="str">
        <f>IF(ISBLANK(DaqBook_RAW_Data!AO298),"",DaqBook_RAW_Data!AO298)</f>
        <v/>
      </c>
      <c r="K308" s="167" t="str">
        <f>IF(ISBLANK(DaqBook_RAW_Data!AP298),"",DaqBook_RAW_Data!AP298)</f>
        <v/>
      </c>
      <c r="L308" s="167" t="str">
        <f>IF(ISBLANK(DaqBook_RAW_Data!AQ298),"",DaqBook_RAW_Data!AQ298)</f>
        <v/>
      </c>
      <c r="M308" s="167" t="str">
        <f>IF(ISBLANK(DaqBook_RAW_Data!AR298),"",DaqBook_RAW_Data!AR298)</f>
        <v/>
      </c>
      <c r="N308" s="167" t="str">
        <f>IF(ISBLANK(DaqBook_RAW_Data!AS298),"",DaqBook_RAW_Data!AS298)</f>
        <v/>
      </c>
      <c r="O308" s="167"/>
      <c r="P308" s="167"/>
    </row>
    <row r="309" spans="1:16" x14ac:dyDescent="0.2">
      <c r="A309" s="58" t="e">
        <f t="shared" si="4"/>
        <v>#VALUE!</v>
      </c>
      <c r="B309" s="144" t="str">
        <f>IF(ISBLANK(DaqBook_RAW_Data!AG299),IF(DaqBook_RAW_Data!A299="","",TIMEVALUE(DaqBook_RAW_Data!A299)),TIMEVALUE(DaqBook_RAW_Data!AG299))</f>
        <v/>
      </c>
      <c r="C309" s="167" t="str">
        <f>IF(ISBLANK(DaqBook_RAW_Data!AH299),"",DaqBook_RAW_Data!AH299)</f>
        <v/>
      </c>
      <c r="D309" s="167" t="str">
        <f>IF(ISBLANK(DaqBook_RAW_Data!AI299),"",DaqBook_RAW_Data!AI299)</f>
        <v/>
      </c>
      <c r="E309" s="167" t="str">
        <f>IF(ISBLANK(DaqBook_RAW_Data!AJ299),"",DaqBook_RAW_Data!AJ299)</f>
        <v/>
      </c>
      <c r="F309" s="167" t="str">
        <f>IF(ISBLANK(DaqBook_RAW_Data!AK299),"",DaqBook_RAW_Data!AK299)</f>
        <v/>
      </c>
      <c r="G309" s="167" t="str">
        <f>IF(ISBLANK(DaqBook_RAW_Data!AL299),"",DaqBook_RAW_Data!AL299)</f>
        <v/>
      </c>
      <c r="H309" s="167" t="str">
        <f>IF(ISBLANK(DaqBook_RAW_Data!AM299),"",DaqBook_RAW_Data!AM299)</f>
        <v/>
      </c>
      <c r="I309" s="167" t="str">
        <f>IF(ISBLANK(DaqBook_RAW_Data!AN299),"",DaqBook_RAW_Data!AN299)</f>
        <v/>
      </c>
      <c r="J309" s="167" t="str">
        <f>IF(ISBLANK(DaqBook_RAW_Data!AO299),"",DaqBook_RAW_Data!AO299)</f>
        <v/>
      </c>
      <c r="K309" s="167" t="str">
        <f>IF(ISBLANK(DaqBook_RAW_Data!AP299),"",DaqBook_RAW_Data!AP299)</f>
        <v/>
      </c>
      <c r="L309" s="167" t="str">
        <f>IF(ISBLANK(DaqBook_RAW_Data!AQ299),"",DaqBook_RAW_Data!AQ299)</f>
        <v/>
      </c>
      <c r="M309" s="167" t="str">
        <f>IF(ISBLANK(DaqBook_RAW_Data!AR299),"",DaqBook_RAW_Data!AR299)</f>
        <v/>
      </c>
      <c r="N309" s="167" t="str">
        <f>IF(ISBLANK(DaqBook_RAW_Data!AS299),"",DaqBook_RAW_Data!AS299)</f>
        <v/>
      </c>
      <c r="O309" s="167"/>
      <c r="P309" s="167"/>
    </row>
    <row r="310" spans="1:16" x14ac:dyDescent="0.2">
      <c r="A310" s="58" t="e">
        <f t="shared" si="4"/>
        <v>#VALUE!</v>
      </c>
      <c r="B310" s="144" t="str">
        <f>IF(ISBLANK(DaqBook_RAW_Data!AG300),IF(DaqBook_RAW_Data!A300="","",TIMEVALUE(DaqBook_RAW_Data!A300)),TIMEVALUE(DaqBook_RAW_Data!AG300))</f>
        <v/>
      </c>
      <c r="C310" s="167" t="str">
        <f>IF(ISBLANK(DaqBook_RAW_Data!AH300),"",DaqBook_RAW_Data!AH300)</f>
        <v/>
      </c>
      <c r="D310" s="167" t="str">
        <f>IF(ISBLANK(DaqBook_RAW_Data!AI300),"",DaqBook_RAW_Data!AI300)</f>
        <v/>
      </c>
      <c r="E310" s="167" t="str">
        <f>IF(ISBLANK(DaqBook_RAW_Data!AJ300),"",DaqBook_RAW_Data!AJ300)</f>
        <v/>
      </c>
      <c r="F310" s="167" t="str">
        <f>IF(ISBLANK(DaqBook_RAW_Data!AK300),"",DaqBook_RAW_Data!AK300)</f>
        <v/>
      </c>
      <c r="G310" s="167" t="str">
        <f>IF(ISBLANK(DaqBook_RAW_Data!AL300),"",DaqBook_RAW_Data!AL300)</f>
        <v/>
      </c>
      <c r="H310" s="167" t="str">
        <f>IF(ISBLANK(DaqBook_RAW_Data!AM300),"",DaqBook_RAW_Data!AM300)</f>
        <v/>
      </c>
      <c r="I310" s="167" t="str">
        <f>IF(ISBLANK(DaqBook_RAW_Data!AN300),"",DaqBook_RAW_Data!AN300)</f>
        <v/>
      </c>
      <c r="J310" s="167" t="str">
        <f>IF(ISBLANK(DaqBook_RAW_Data!AO300),"",DaqBook_RAW_Data!AO300)</f>
        <v/>
      </c>
      <c r="K310" s="167" t="str">
        <f>IF(ISBLANK(DaqBook_RAW_Data!AP300),"",DaqBook_RAW_Data!AP300)</f>
        <v/>
      </c>
      <c r="L310" s="167" t="str">
        <f>IF(ISBLANK(DaqBook_RAW_Data!AQ300),"",DaqBook_RAW_Data!AQ300)</f>
        <v/>
      </c>
      <c r="M310" s="167" t="str">
        <f>IF(ISBLANK(DaqBook_RAW_Data!AR300),"",DaqBook_RAW_Data!AR300)</f>
        <v/>
      </c>
      <c r="N310" s="167" t="str">
        <f>IF(ISBLANK(DaqBook_RAW_Data!AS300),"",DaqBook_RAW_Data!AS300)</f>
        <v/>
      </c>
      <c r="O310" s="167"/>
      <c r="P310" s="167"/>
    </row>
    <row r="311" spans="1:16" x14ac:dyDescent="0.2">
      <c r="A311" s="58" t="e">
        <f t="shared" si="4"/>
        <v>#VALUE!</v>
      </c>
      <c r="B311" s="144" t="str">
        <f>IF(ISBLANK(DaqBook_RAW_Data!AG301),IF(DaqBook_RAW_Data!A301="","",TIMEVALUE(DaqBook_RAW_Data!A301)),TIMEVALUE(DaqBook_RAW_Data!AG301))</f>
        <v/>
      </c>
      <c r="C311" s="167" t="str">
        <f>IF(ISBLANK(DaqBook_RAW_Data!AH301),"",DaqBook_RAW_Data!AH301)</f>
        <v/>
      </c>
      <c r="D311" s="167" t="str">
        <f>IF(ISBLANK(DaqBook_RAW_Data!AI301),"",DaqBook_RAW_Data!AI301)</f>
        <v/>
      </c>
      <c r="E311" s="167" t="str">
        <f>IF(ISBLANK(DaqBook_RAW_Data!AJ301),"",DaqBook_RAW_Data!AJ301)</f>
        <v/>
      </c>
      <c r="F311" s="167" t="str">
        <f>IF(ISBLANK(DaqBook_RAW_Data!AK301),"",DaqBook_RAW_Data!AK301)</f>
        <v/>
      </c>
      <c r="G311" s="167" t="str">
        <f>IF(ISBLANK(DaqBook_RAW_Data!AL301),"",DaqBook_RAW_Data!AL301)</f>
        <v/>
      </c>
      <c r="H311" s="167" t="str">
        <f>IF(ISBLANK(DaqBook_RAW_Data!AM301),"",DaqBook_RAW_Data!AM301)</f>
        <v/>
      </c>
      <c r="I311" s="167" t="str">
        <f>IF(ISBLANK(DaqBook_RAW_Data!AN301),"",DaqBook_RAW_Data!AN301)</f>
        <v/>
      </c>
      <c r="J311" s="167" t="str">
        <f>IF(ISBLANK(DaqBook_RAW_Data!AO301),"",DaqBook_RAW_Data!AO301)</f>
        <v/>
      </c>
      <c r="K311" s="167" t="str">
        <f>IF(ISBLANK(DaqBook_RAW_Data!AP301),"",DaqBook_RAW_Data!AP301)</f>
        <v/>
      </c>
      <c r="L311" s="167" t="str">
        <f>IF(ISBLANK(DaqBook_RAW_Data!AQ301),"",DaqBook_RAW_Data!AQ301)</f>
        <v/>
      </c>
      <c r="M311" s="167" t="str">
        <f>IF(ISBLANK(DaqBook_RAW_Data!AR301),"",DaqBook_RAW_Data!AR301)</f>
        <v/>
      </c>
      <c r="N311" s="167" t="str">
        <f>IF(ISBLANK(DaqBook_RAW_Data!AS301),"",DaqBook_RAW_Data!AS301)</f>
        <v/>
      </c>
      <c r="O311" s="167"/>
      <c r="P311" s="167"/>
    </row>
    <row r="312" spans="1:16" x14ac:dyDescent="0.2">
      <c r="A312" s="58" t="e">
        <f t="shared" si="4"/>
        <v>#VALUE!</v>
      </c>
      <c r="B312" s="144" t="str">
        <f>IF(ISBLANK(DaqBook_RAW_Data!AG302),IF(DaqBook_RAW_Data!A302="","",TIMEVALUE(DaqBook_RAW_Data!A302)),TIMEVALUE(DaqBook_RAW_Data!AG302))</f>
        <v/>
      </c>
      <c r="C312" s="167" t="str">
        <f>IF(ISBLANK(DaqBook_RAW_Data!AH302),"",DaqBook_RAW_Data!AH302)</f>
        <v/>
      </c>
      <c r="D312" s="167" t="str">
        <f>IF(ISBLANK(DaqBook_RAW_Data!AI302),"",DaqBook_RAW_Data!AI302)</f>
        <v/>
      </c>
      <c r="E312" s="167" t="str">
        <f>IF(ISBLANK(DaqBook_RAW_Data!AJ302),"",DaqBook_RAW_Data!AJ302)</f>
        <v/>
      </c>
      <c r="F312" s="167" t="str">
        <f>IF(ISBLANK(DaqBook_RAW_Data!AK302),"",DaqBook_RAW_Data!AK302)</f>
        <v/>
      </c>
      <c r="G312" s="167" t="str">
        <f>IF(ISBLANK(DaqBook_RAW_Data!AL302),"",DaqBook_RAW_Data!AL302)</f>
        <v/>
      </c>
      <c r="H312" s="167" t="str">
        <f>IF(ISBLANK(DaqBook_RAW_Data!AM302),"",DaqBook_RAW_Data!AM302)</f>
        <v/>
      </c>
      <c r="I312" s="167" t="str">
        <f>IF(ISBLANK(DaqBook_RAW_Data!AN302),"",DaqBook_RAW_Data!AN302)</f>
        <v/>
      </c>
      <c r="J312" s="167" t="str">
        <f>IF(ISBLANK(DaqBook_RAW_Data!AO302),"",DaqBook_RAW_Data!AO302)</f>
        <v/>
      </c>
      <c r="K312" s="167" t="str">
        <f>IF(ISBLANK(DaqBook_RAW_Data!AP302),"",DaqBook_RAW_Data!AP302)</f>
        <v/>
      </c>
      <c r="L312" s="167" t="str">
        <f>IF(ISBLANK(DaqBook_RAW_Data!AQ302),"",DaqBook_RAW_Data!AQ302)</f>
        <v/>
      </c>
      <c r="M312" s="167" t="str">
        <f>IF(ISBLANK(DaqBook_RAW_Data!AR302),"",DaqBook_RAW_Data!AR302)</f>
        <v/>
      </c>
      <c r="N312" s="167" t="str">
        <f>IF(ISBLANK(DaqBook_RAW_Data!AS302),"",DaqBook_RAW_Data!AS302)</f>
        <v/>
      </c>
      <c r="O312" s="167"/>
      <c r="P312" s="167"/>
    </row>
    <row r="313" spans="1:16" x14ac:dyDescent="0.2">
      <c r="A313" s="58" t="e">
        <f t="shared" si="4"/>
        <v>#VALUE!</v>
      </c>
      <c r="B313" s="144" t="str">
        <f>IF(ISBLANK(DaqBook_RAW_Data!AG303),IF(DaqBook_RAW_Data!A303="","",TIMEVALUE(DaqBook_RAW_Data!A303)),TIMEVALUE(DaqBook_RAW_Data!AG303))</f>
        <v/>
      </c>
      <c r="C313" s="167" t="str">
        <f>IF(ISBLANK(DaqBook_RAW_Data!AH303),"",DaqBook_RAW_Data!AH303)</f>
        <v/>
      </c>
      <c r="D313" s="167" t="str">
        <f>IF(ISBLANK(DaqBook_RAW_Data!AI303),"",DaqBook_RAW_Data!AI303)</f>
        <v/>
      </c>
      <c r="E313" s="167" t="str">
        <f>IF(ISBLANK(DaqBook_RAW_Data!AJ303),"",DaqBook_RAW_Data!AJ303)</f>
        <v/>
      </c>
      <c r="F313" s="167" t="str">
        <f>IF(ISBLANK(DaqBook_RAW_Data!AK303),"",DaqBook_RAW_Data!AK303)</f>
        <v/>
      </c>
      <c r="G313" s="167" t="str">
        <f>IF(ISBLANK(DaqBook_RAW_Data!AL303),"",DaqBook_RAW_Data!AL303)</f>
        <v/>
      </c>
      <c r="H313" s="167" t="str">
        <f>IF(ISBLANK(DaqBook_RAW_Data!AM303),"",DaqBook_RAW_Data!AM303)</f>
        <v/>
      </c>
      <c r="I313" s="167" t="str">
        <f>IF(ISBLANK(DaqBook_RAW_Data!AN303),"",DaqBook_RAW_Data!AN303)</f>
        <v/>
      </c>
      <c r="J313" s="167" t="str">
        <f>IF(ISBLANK(DaqBook_RAW_Data!AO303),"",DaqBook_RAW_Data!AO303)</f>
        <v/>
      </c>
      <c r="K313" s="167" t="str">
        <f>IF(ISBLANK(DaqBook_RAW_Data!AP303),"",DaqBook_RAW_Data!AP303)</f>
        <v/>
      </c>
      <c r="L313" s="167" t="str">
        <f>IF(ISBLANK(DaqBook_RAW_Data!AQ303),"",DaqBook_RAW_Data!AQ303)</f>
        <v/>
      </c>
      <c r="M313" s="167" t="str">
        <f>IF(ISBLANK(DaqBook_RAW_Data!AR303),"",DaqBook_RAW_Data!AR303)</f>
        <v/>
      </c>
      <c r="N313" s="167" t="str">
        <f>IF(ISBLANK(DaqBook_RAW_Data!AS303),"",DaqBook_RAW_Data!AS303)</f>
        <v/>
      </c>
      <c r="O313" s="167"/>
      <c r="P313" s="167"/>
    </row>
    <row r="314" spans="1:16" x14ac:dyDescent="0.2">
      <c r="A314" s="58" t="e">
        <f t="shared" si="4"/>
        <v>#VALUE!</v>
      </c>
      <c r="B314" s="144" t="str">
        <f>IF(ISBLANK(DaqBook_RAW_Data!AG304),IF(DaqBook_RAW_Data!A304="","",TIMEVALUE(DaqBook_RAW_Data!A304)),TIMEVALUE(DaqBook_RAW_Data!AG304))</f>
        <v/>
      </c>
      <c r="C314" s="167" t="str">
        <f>IF(ISBLANK(DaqBook_RAW_Data!AH304),"",DaqBook_RAW_Data!AH304)</f>
        <v/>
      </c>
      <c r="D314" s="167" t="str">
        <f>IF(ISBLANK(DaqBook_RAW_Data!AI304),"",DaqBook_RAW_Data!AI304)</f>
        <v/>
      </c>
      <c r="E314" s="167" t="str">
        <f>IF(ISBLANK(DaqBook_RAW_Data!AJ304),"",DaqBook_RAW_Data!AJ304)</f>
        <v/>
      </c>
      <c r="F314" s="167" t="str">
        <f>IF(ISBLANK(DaqBook_RAW_Data!AK304),"",DaqBook_RAW_Data!AK304)</f>
        <v/>
      </c>
      <c r="G314" s="167" t="str">
        <f>IF(ISBLANK(DaqBook_RAW_Data!AL304),"",DaqBook_RAW_Data!AL304)</f>
        <v/>
      </c>
      <c r="H314" s="167" t="str">
        <f>IF(ISBLANK(DaqBook_RAW_Data!AM304),"",DaqBook_RAW_Data!AM304)</f>
        <v/>
      </c>
      <c r="I314" s="167" t="str">
        <f>IF(ISBLANK(DaqBook_RAW_Data!AN304),"",DaqBook_RAW_Data!AN304)</f>
        <v/>
      </c>
      <c r="J314" s="167" t="str">
        <f>IF(ISBLANK(DaqBook_RAW_Data!AO304),"",DaqBook_RAW_Data!AO304)</f>
        <v/>
      </c>
      <c r="K314" s="167" t="str">
        <f>IF(ISBLANK(DaqBook_RAW_Data!AP304),"",DaqBook_RAW_Data!AP304)</f>
        <v/>
      </c>
      <c r="L314" s="167" t="str">
        <f>IF(ISBLANK(DaqBook_RAW_Data!AQ304),"",DaqBook_RAW_Data!AQ304)</f>
        <v/>
      </c>
      <c r="M314" s="167" t="str">
        <f>IF(ISBLANK(DaqBook_RAW_Data!AR304),"",DaqBook_RAW_Data!AR304)</f>
        <v/>
      </c>
      <c r="N314" s="167" t="str">
        <f>IF(ISBLANK(DaqBook_RAW_Data!AS304),"",DaqBook_RAW_Data!AS304)</f>
        <v/>
      </c>
      <c r="O314" s="167"/>
      <c r="P314" s="167"/>
    </row>
    <row r="315" spans="1:16" x14ac:dyDescent="0.2">
      <c r="A315" s="58" t="e">
        <f t="shared" si="4"/>
        <v>#VALUE!</v>
      </c>
      <c r="B315" s="144" t="str">
        <f>IF(ISBLANK(DaqBook_RAW_Data!AG305),IF(DaqBook_RAW_Data!A305="","",TIMEVALUE(DaqBook_RAW_Data!A305)),TIMEVALUE(DaqBook_RAW_Data!AG305))</f>
        <v/>
      </c>
      <c r="C315" s="167" t="str">
        <f>IF(ISBLANK(DaqBook_RAW_Data!AH305),"",DaqBook_RAW_Data!AH305)</f>
        <v/>
      </c>
      <c r="D315" s="167" t="str">
        <f>IF(ISBLANK(DaqBook_RAW_Data!AI305),"",DaqBook_RAW_Data!AI305)</f>
        <v/>
      </c>
      <c r="E315" s="167" t="str">
        <f>IF(ISBLANK(DaqBook_RAW_Data!AJ305),"",DaqBook_RAW_Data!AJ305)</f>
        <v/>
      </c>
      <c r="F315" s="167" t="str">
        <f>IF(ISBLANK(DaqBook_RAW_Data!AK305),"",DaqBook_RAW_Data!AK305)</f>
        <v/>
      </c>
      <c r="G315" s="167" t="str">
        <f>IF(ISBLANK(DaqBook_RAW_Data!AL305),"",DaqBook_RAW_Data!AL305)</f>
        <v/>
      </c>
      <c r="H315" s="167" t="str">
        <f>IF(ISBLANK(DaqBook_RAW_Data!AM305),"",DaqBook_RAW_Data!AM305)</f>
        <v/>
      </c>
      <c r="I315" s="167" t="str">
        <f>IF(ISBLANK(DaqBook_RAW_Data!AN305),"",DaqBook_RAW_Data!AN305)</f>
        <v/>
      </c>
      <c r="J315" s="167" t="str">
        <f>IF(ISBLANK(DaqBook_RAW_Data!AO305),"",DaqBook_RAW_Data!AO305)</f>
        <v/>
      </c>
      <c r="K315" s="167" t="str">
        <f>IF(ISBLANK(DaqBook_RAW_Data!AP305),"",DaqBook_RAW_Data!AP305)</f>
        <v/>
      </c>
      <c r="L315" s="167" t="str">
        <f>IF(ISBLANK(DaqBook_RAW_Data!AQ305),"",DaqBook_RAW_Data!AQ305)</f>
        <v/>
      </c>
      <c r="M315" s="167" t="str">
        <f>IF(ISBLANK(DaqBook_RAW_Data!AR305),"",DaqBook_RAW_Data!AR305)</f>
        <v/>
      </c>
      <c r="N315" s="167" t="str">
        <f>IF(ISBLANK(DaqBook_RAW_Data!AS305),"",DaqBook_RAW_Data!AS305)</f>
        <v/>
      </c>
      <c r="O315" s="167"/>
      <c r="P315" s="167"/>
    </row>
    <row r="316" spans="1:16" x14ac:dyDescent="0.2">
      <c r="A316" s="58" t="e">
        <f t="shared" si="4"/>
        <v>#VALUE!</v>
      </c>
      <c r="B316" s="144" t="str">
        <f>IF(ISBLANK(DaqBook_RAW_Data!AG306),IF(DaqBook_RAW_Data!A306="","",TIMEVALUE(DaqBook_RAW_Data!A306)),TIMEVALUE(DaqBook_RAW_Data!AG306))</f>
        <v/>
      </c>
      <c r="C316" s="167" t="str">
        <f>IF(ISBLANK(DaqBook_RAW_Data!AH306),"",DaqBook_RAW_Data!AH306)</f>
        <v/>
      </c>
      <c r="D316" s="167" t="str">
        <f>IF(ISBLANK(DaqBook_RAW_Data!AI306),"",DaqBook_RAW_Data!AI306)</f>
        <v/>
      </c>
      <c r="E316" s="167" t="str">
        <f>IF(ISBLANK(DaqBook_RAW_Data!AJ306),"",DaqBook_RAW_Data!AJ306)</f>
        <v/>
      </c>
      <c r="F316" s="167" t="str">
        <f>IF(ISBLANK(DaqBook_RAW_Data!AK306),"",DaqBook_RAW_Data!AK306)</f>
        <v/>
      </c>
      <c r="G316" s="167" t="str">
        <f>IF(ISBLANK(DaqBook_RAW_Data!AL306),"",DaqBook_RAW_Data!AL306)</f>
        <v/>
      </c>
      <c r="H316" s="167" t="str">
        <f>IF(ISBLANK(DaqBook_RAW_Data!AM306),"",DaqBook_RAW_Data!AM306)</f>
        <v/>
      </c>
      <c r="I316" s="167" t="str">
        <f>IF(ISBLANK(DaqBook_RAW_Data!AN306),"",DaqBook_RAW_Data!AN306)</f>
        <v/>
      </c>
      <c r="J316" s="167" t="str">
        <f>IF(ISBLANK(DaqBook_RAW_Data!AO306),"",DaqBook_RAW_Data!AO306)</f>
        <v/>
      </c>
      <c r="K316" s="167" t="str">
        <f>IF(ISBLANK(DaqBook_RAW_Data!AP306),"",DaqBook_RAW_Data!AP306)</f>
        <v/>
      </c>
      <c r="L316" s="167" t="str">
        <f>IF(ISBLANK(DaqBook_RAW_Data!AQ306),"",DaqBook_RAW_Data!AQ306)</f>
        <v/>
      </c>
      <c r="M316" s="167" t="str">
        <f>IF(ISBLANK(DaqBook_RAW_Data!AR306),"",DaqBook_RAW_Data!AR306)</f>
        <v/>
      </c>
      <c r="N316" s="167" t="str">
        <f>IF(ISBLANK(DaqBook_RAW_Data!AS306),"",DaqBook_RAW_Data!AS306)</f>
        <v/>
      </c>
      <c r="O316" s="167"/>
      <c r="P316" s="167"/>
    </row>
    <row r="317" spans="1:16" x14ac:dyDescent="0.2">
      <c r="A317" s="58" t="e">
        <f t="shared" si="4"/>
        <v>#VALUE!</v>
      </c>
      <c r="B317" s="144" t="str">
        <f>IF(ISBLANK(DaqBook_RAW_Data!AG307),IF(DaqBook_RAW_Data!A307="","",TIMEVALUE(DaqBook_RAW_Data!A307)),TIMEVALUE(DaqBook_RAW_Data!AG307))</f>
        <v/>
      </c>
      <c r="C317" s="167" t="str">
        <f>IF(ISBLANK(DaqBook_RAW_Data!AH307),"",DaqBook_RAW_Data!AH307)</f>
        <v/>
      </c>
      <c r="D317" s="167" t="str">
        <f>IF(ISBLANK(DaqBook_RAW_Data!AI307),"",DaqBook_RAW_Data!AI307)</f>
        <v/>
      </c>
      <c r="E317" s="167" t="str">
        <f>IF(ISBLANK(DaqBook_RAW_Data!AJ307),"",DaqBook_RAW_Data!AJ307)</f>
        <v/>
      </c>
      <c r="F317" s="167" t="str">
        <f>IF(ISBLANK(DaqBook_RAW_Data!AK307),"",DaqBook_RAW_Data!AK307)</f>
        <v/>
      </c>
      <c r="G317" s="167" t="str">
        <f>IF(ISBLANK(DaqBook_RAW_Data!AL307),"",DaqBook_RAW_Data!AL307)</f>
        <v/>
      </c>
      <c r="H317" s="167" t="str">
        <f>IF(ISBLANK(DaqBook_RAW_Data!AM307),"",DaqBook_RAW_Data!AM307)</f>
        <v/>
      </c>
      <c r="I317" s="167" t="str">
        <f>IF(ISBLANK(DaqBook_RAW_Data!AN307),"",DaqBook_RAW_Data!AN307)</f>
        <v/>
      </c>
      <c r="J317" s="167" t="str">
        <f>IF(ISBLANK(DaqBook_RAW_Data!AO307),"",DaqBook_RAW_Data!AO307)</f>
        <v/>
      </c>
      <c r="K317" s="167" t="str">
        <f>IF(ISBLANK(DaqBook_RAW_Data!AP307),"",DaqBook_RAW_Data!AP307)</f>
        <v/>
      </c>
      <c r="L317" s="167" t="str">
        <f>IF(ISBLANK(DaqBook_RAW_Data!AQ307),"",DaqBook_RAW_Data!AQ307)</f>
        <v/>
      </c>
      <c r="M317" s="167" t="str">
        <f>IF(ISBLANK(DaqBook_RAW_Data!AR307),"",DaqBook_RAW_Data!AR307)</f>
        <v/>
      </c>
      <c r="N317" s="167" t="str">
        <f>IF(ISBLANK(DaqBook_RAW_Data!AS307),"",DaqBook_RAW_Data!AS307)</f>
        <v/>
      </c>
      <c r="O317" s="167"/>
      <c r="P317" s="167"/>
    </row>
    <row r="318" spans="1:16" x14ac:dyDescent="0.2">
      <c r="A318" s="58" t="e">
        <f t="shared" si="4"/>
        <v>#VALUE!</v>
      </c>
      <c r="B318" s="144" t="str">
        <f>IF(ISBLANK(DaqBook_RAW_Data!AG308),IF(DaqBook_RAW_Data!A308="","",TIMEVALUE(DaqBook_RAW_Data!A308)),TIMEVALUE(DaqBook_RAW_Data!AG308))</f>
        <v/>
      </c>
      <c r="C318" s="167" t="str">
        <f>IF(ISBLANK(DaqBook_RAW_Data!AH308),"",DaqBook_RAW_Data!AH308)</f>
        <v/>
      </c>
      <c r="D318" s="167" t="str">
        <f>IF(ISBLANK(DaqBook_RAW_Data!AI308),"",DaqBook_RAW_Data!AI308)</f>
        <v/>
      </c>
      <c r="E318" s="167" t="str">
        <f>IF(ISBLANK(DaqBook_RAW_Data!AJ308),"",DaqBook_RAW_Data!AJ308)</f>
        <v/>
      </c>
      <c r="F318" s="167" t="str">
        <f>IF(ISBLANK(DaqBook_RAW_Data!AK308),"",DaqBook_RAW_Data!AK308)</f>
        <v/>
      </c>
      <c r="G318" s="167" t="str">
        <f>IF(ISBLANK(DaqBook_RAW_Data!AL308),"",DaqBook_RAW_Data!AL308)</f>
        <v/>
      </c>
      <c r="H318" s="167" t="str">
        <f>IF(ISBLANK(DaqBook_RAW_Data!AM308),"",DaqBook_RAW_Data!AM308)</f>
        <v/>
      </c>
      <c r="I318" s="167" t="str">
        <f>IF(ISBLANK(DaqBook_RAW_Data!AN308),"",DaqBook_RAW_Data!AN308)</f>
        <v/>
      </c>
      <c r="J318" s="167" t="str">
        <f>IF(ISBLANK(DaqBook_RAW_Data!AO308),"",DaqBook_RAW_Data!AO308)</f>
        <v/>
      </c>
      <c r="K318" s="167" t="str">
        <f>IF(ISBLANK(DaqBook_RAW_Data!AP308),"",DaqBook_RAW_Data!AP308)</f>
        <v/>
      </c>
      <c r="L318" s="167" t="str">
        <f>IF(ISBLANK(DaqBook_RAW_Data!AQ308),"",DaqBook_RAW_Data!AQ308)</f>
        <v/>
      </c>
      <c r="M318" s="167" t="str">
        <f>IF(ISBLANK(DaqBook_RAW_Data!AR308),"",DaqBook_RAW_Data!AR308)</f>
        <v/>
      </c>
      <c r="N318" s="167" t="str">
        <f>IF(ISBLANK(DaqBook_RAW_Data!AS308),"",DaqBook_RAW_Data!AS308)</f>
        <v/>
      </c>
      <c r="O318" s="167"/>
      <c r="P318" s="167"/>
    </row>
    <row r="319" spans="1:16" x14ac:dyDescent="0.2">
      <c r="A319" s="58" t="e">
        <f t="shared" si="4"/>
        <v>#VALUE!</v>
      </c>
      <c r="B319" s="144" t="str">
        <f>IF(ISBLANK(DaqBook_RAW_Data!AG309),IF(DaqBook_RAW_Data!A309="","",TIMEVALUE(DaqBook_RAW_Data!A309)),TIMEVALUE(DaqBook_RAW_Data!AG309))</f>
        <v/>
      </c>
      <c r="C319" s="167" t="str">
        <f>IF(ISBLANK(DaqBook_RAW_Data!AH309),"",DaqBook_RAW_Data!AH309)</f>
        <v/>
      </c>
      <c r="D319" s="167" t="str">
        <f>IF(ISBLANK(DaqBook_RAW_Data!AI309),"",DaqBook_RAW_Data!AI309)</f>
        <v/>
      </c>
      <c r="E319" s="167" t="str">
        <f>IF(ISBLANK(DaqBook_RAW_Data!AJ309),"",DaqBook_RAW_Data!AJ309)</f>
        <v/>
      </c>
      <c r="F319" s="167" t="str">
        <f>IF(ISBLANK(DaqBook_RAW_Data!AK309),"",DaqBook_RAW_Data!AK309)</f>
        <v/>
      </c>
      <c r="G319" s="167" t="str">
        <f>IF(ISBLANK(DaqBook_RAW_Data!AL309),"",DaqBook_RAW_Data!AL309)</f>
        <v/>
      </c>
      <c r="H319" s="167" t="str">
        <f>IF(ISBLANK(DaqBook_RAW_Data!AM309),"",DaqBook_RAW_Data!AM309)</f>
        <v/>
      </c>
      <c r="I319" s="167" t="str">
        <f>IF(ISBLANK(DaqBook_RAW_Data!AN309),"",DaqBook_RAW_Data!AN309)</f>
        <v/>
      </c>
      <c r="J319" s="167" t="str">
        <f>IF(ISBLANK(DaqBook_RAW_Data!AO309),"",DaqBook_RAW_Data!AO309)</f>
        <v/>
      </c>
      <c r="K319" s="167" t="str">
        <f>IF(ISBLANK(DaqBook_RAW_Data!AP309),"",DaqBook_RAW_Data!AP309)</f>
        <v/>
      </c>
      <c r="L319" s="167" t="str">
        <f>IF(ISBLANK(DaqBook_RAW_Data!AQ309),"",DaqBook_RAW_Data!AQ309)</f>
        <v/>
      </c>
      <c r="M319" s="167" t="str">
        <f>IF(ISBLANK(DaqBook_RAW_Data!AR309),"",DaqBook_RAW_Data!AR309)</f>
        <v/>
      </c>
      <c r="N319" s="167" t="str">
        <f>IF(ISBLANK(DaqBook_RAW_Data!AS309),"",DaqBook_RAW_Data!AS309)</f>
        <v/>
      </c>
      <c r="O319" s="167"/>
      <c r="P319" s="167"/>
    </row>
    <row r="320" spans="1:16" x14ac:dyDescent="0.2">
      <c r="A320" s="58" t="e">
        <f t="shared" si="4"/>
        <v>#VALUE!</v>
      </c>
      <c r="B320" s="144" t="str">
        <f>IF(ISBLANK(DaqBook_RAW_Data!AG310),IF(DaqBook_RAW_Data!A310="","",TIMEVALUE(DaqBook_RAW_Data!A310)),TIMEVALUE(DaqBook_RAW_Data!AG310))</f>
        <v/>
      </c>
      <c r="C320" s="167" t="str">
        <f>IF(ISBLANK(DaqBook_RAW_Data!AH310),"",DaqBook_RAW_Data!AH310)</f>
        <v/>
      </c>
      <c r="D320" s="167" t="str">
        <f>IF(ISBLANK(DaqBook_RAW_Data!AI310),"",DaqBook_RAW_Data!AI310)</f>
        <v/>
      </c>
      <c r="E320" s="167" t="str">
        <f>IF(ISBLANK(DaqBook_RAW_Data!AJ310),"",DaqBook_RAW_Data!AJ310)</f>
        <v/>
      </c>
      <c r="F320" s="167" t="str">
        <f>IF(ISBLANK(DaqBook_RAW_Data!AK310),"",DaqBook_RAW_Data!AK310)</f>
        <v/>
      </c>
      <c r="G320" s="167" t="str">
        <f>IF(ISBLANK(DaqBook_RAW_Data!AL310),"",DaqBook_RAW_Data!AL310)</f>
        <v/>
      </c>
      <c r="H320" s="167" t="str">
        <f>IF(ISBLANK(DaqBook_RAW_Data!AM310),"",DaqBook_RAW_Data!AM310)</f>
        <v/>
      </c>
      <c r="I320" s="167" t="str">
        <f>IF(ISBLANK(DaqBook_RAW_Data!AN310),"",DaqBook_RAW_Data!AN310)</f>
        <v/>
      </c>
      <c r="J320" s="167" t="str">
        <f>IF(ISBLANK(DaqBook_RAW_Data!AO310),"",DaqBook_RAW_Data!AO310)</f>
        <v/>
      </c>
      <c r="K320" s="167" t="str">
        <f>IF(ISBLANK(DaqBook_RAW_Data!AP310),"",DaqBook_RAW_Data!AP310)</f>
        <v/>
      </c>
      <c r="L320" s="167" t="str">
        <f>IF(ISBLANK(DaqBook_RAW_Data!AQ310),"",DaqBook_RAW_Data!AQ310)</f>
        <v/>
      </c>
      <c r="M320" s="167" t="str">
        <f>IF(ISBLANK(DaqBook_RAW_Data!AR310),"",DaqBook_RAW_Data!AR310)</f>
        <v/>
      </c>
      <c r="N320" s="167" t="str">
        <f>IF(ISBLANK(DaqBook_RAW_Data!AS310),"",DaqBook_RAW_Data!AS310)</f>
        <v/>
      </c>
      <c r="O320" s="167"/>
      <c r="P320" s="167"/>
    </row>
    <row r="321" spans="1:16" x14ac:dyDescent="0.2">
      <c r="A321" s="58" t="e">
        <f t="shared" si="4"/>
        <v>#VALUE!</v>
      </c>
      <c r="B321" s="144" t="str">
        <f>IF(ISBLANK(DaqBook_RAW_Data!AG311),IF(DaqBook_RAW_Data!A311="","",TIMEVALUE(DaqBook_RAW_Data!A311)),TIMEVALUE(DaqBook_RAW_Data!AG311))</f>
        <v/>
      </c>
      <c r="C321" s="167" t="str">
        <f>IF(ISBLANK(DaqBook_RAW_Data!AH311),"",DaqBook_RAW_Data!AH311)</f>
        <v/>
      </c>
      <c r="D321" s="167" t="str">
        <f>IF(ISBLANK(DaqBook_RAW_Data!AI311),"",DaqBook_RAW_Data!AI311)</f>
        <v/>
      </c>
      <c r="E321" s="167" t="str">
        <f>IF(ISBLANK(DaqBook_RAW_Data!AJ311),"",DaqBook_RAW_Data!AJ311)</f>
        <v/>
      </c>
      <c r="F321" s="167" t="str">
        <f>IF(ISBLANK(DaqBook_RAW_Data!AK311),"",DaqBook_RAW_Data!AK311)</f>
        <v/>
      </c>
      <c r="G321" s="167" t="str">
        <f>IF(ISBLANK(DaqBook_RAW_Data!AL311),"",DaqBook_RAW_Data!AL311)</f>
        <v/>
      </c>
      <c r="H321" s="167" t="str">
        <f>IF(ISBLANK(DaqBook_RAW_Data!AM311),"",DaqBook_RAW_Data!AM311)</f>
        <v/>
      </c>
      <c r="I321" s="167" t="str">
        <f>IF(ISBLANK(DaqBook_RAW_Data!AN311),"",DaqBook_RAW_Data!AN311)</f>
        <v/>
      </c>
      <c r="J321" s="167" t="str">
        <f>IF(ISBLANK(DaqBook_RAW_Data!AO311),"",DaqBook_RAW_Data!AO311)</f>
        <v/>
      </c>
      <c r="K321" s="167" t="str">
        <f>IF(ISBLANK(DaqBook_RAW_Data!AP311),"",DaqBook_RAW_Data!AP311)</f>
        <v/>
      </c>
      <c r="L321" s="167" t="str">
        <f>IF(ISBLANK(DaqBook_RAW_Data!AQ311),"",DaqBook_RAW_Data!AQ311)</f>
        <v/>
      </c>
      <c r="M321" s="167" t="str">
        <f>IF(ISBLANK(DaqBook_RAW_Data!AR311),"",DaqBook_RAW_Data!AR311)</f>
        <v/>
      </c>
      <c r="N321" s="167" t="str">
        <f>IF(ISBLANK(DaqBook_RAW_Data!AS311),"",DaqBook_RAW_Data!AS311)</f>
        <v/>
      </c>
      <c r="O321" s="167"/>
      <c r="P321" s="167"/>
    </row>
    <row r="322" spans="1:16" x14ac:dyDescent="0.2">
      <c r="A322" s="58" t="e">
        <f t="shared" si="4"/>
        <v>#VALUE!</v>
      </c>
      <c r="B322" s="144" t="str">
        <f>IF(ISBLANK(DaqBook_RAW_Data!AG312),IF(DaqBook_RAW_Data!A312="","",TIMEVALUE(DaqBook_RAW_Data!A312)),TIMEVALUE(DaqBook_RAW_Data!AG312))</f>
        <v/>
      </c>
      <c r="C322" s="167" t="str">
        <f>IF(ISBLANK(DaqBook_RAW_Data!AH312),"",DaqBook_RAW_Data!AH312)</f>
        <v/>
      </c>
      <c r="D322" s="167" t="str">
        <f>IF(ISBLANK(DaqBook_RAW_Data!AI312),"",DaqBook_RAW_Data!AI312)</f>
        <v/>
      </c>
      <c r="E322" s="167" t="str">
        <f>IF(ISBLANK(DaqBook_RAW_Data!AJ312),"",DaqBook_RAW_Data!AJ312)</f>
        <v/>
      </c>
      <c r="F322" s="167" t="str">
        <f>IF(ISBLANK(DaqBook_RAW_Data!AK312),"",DaqBook_RAW_Data!AK312)</f>
        <v/>
      </c>
      <c r="G322" s="167" t="str">
        <f>IF(ISBLANK(DaqBook_RAW_Data!AL312),"",DaqBook_RAW_Data!AL312)</f>
        <v/>
      </c>
      <c r="H322" s="167" t="str">
        <f>IF(ISBLANK(DaqBook_RAW_Data!AM312),"",DaqBook_RAW_Data!AM312)</f>
        <v/>
      </c>
      <c r="I322" s="167" t="str">
        <f>IF(ISBLANK(DaqBook_RAW_Data!AN312),"",DaqBook_RAW_Data!AN312)</f>
        <v/>
      </c>
      <c r="J322" s="167" t="str">
        <f>IF(ISBLANK(DaqBook_RAW_Data!AO312),"",DaqBook_RAW_Data!AO312)</f>
        <v/>
      </c>
      <c r="K322" s="167" t="str">
        <f>IF(ISBLANK(DaqBook_RAW_Data!AP312),"",DaqBook_RAW_Data!AP312)</f>
        <v/>
      </c>
      <c r="L322" s="167" t="str">
        <f>IF(ISBLANK(DaqBook_RAW_Data!AQ312),"",DaqBook_RAW_Data!AQ312)</f>
        <v/>
      </c>
      <c r="M322" s="167" t="str">
        <f>IF(ISBLANK(DaqBook_RAW_Data!AR312),"",DaqBook_RAW_Data!AR312)</f>
        <v/>
      </c>
      <c r="N322" s="167" t="str">
        <f>IF(ISBLANK(DaqBook_RAW_Data!AS312),"",DaqBook_RAW_Data!AS312)</f>
        <v/>
      </c>
      <c r="O322" s="167"/>
      <c r="P322" s="167"/>
    </row>
    <row r="323" spans="1:16" x14ac:dyDescent="0.2">
      <c r="A323" s="58" t="e">
        <f t="shared" si="4"/>
        <v>#VALUE!</v>
      </c>
      <c r="B323" s="144" t="str">
        <f>IF(ISBLANK(DaqBook_RAW_Data!AG313),IF(DaqBook_RAW_Data!A313="","",TIMEVALUE(DaqBook_RAW_Data!A313)),TIMEVALUE(DaqBook_RAW_Data!AG313))</f>
        <v/>
      </c>
      <c r="C323" s="167" t="str">
        <f>IF(ISBLANK(DaqBook_RAW_Data!AH313),"",DaqBook_RAW_Data!AH313)</f>
        <v/>
      </c>
      <c r="D323" s="167" t="str">
        <f>IF(ISBLANK(DaqBook_RAW_Data!AI313),"",DaqBook_RAW_Data!AI313)</f>
        <v/>
      </c>
      <c r="E323" s="167" t="str">
        <f>IF(ISBLANK(DaqBook_RAW_Data!AJ313),"",DaqBook_RAW_Data!AJ313)</f>
        <v/>
      </c>
      <c r="F323" s="167" t="str">
        <f>IF(ISBLANK(DaqBook_RAW_Data!AK313),"",DaqBook_RAW_Data!AK313)</f>
        <v/>
      </c>
      <c r="G323" s="167" t="str">
        <f>IF(ISBLANK(DaqBook_RAW_Data!AL313),"",DaqBook_RAW_Data!AL313)</f>
        <v/>
      </c>
      <c r="H323" s="167" t="str">
        <f>IF(ISBLANK(DaqBook_RAW_Data!AM313),"",DaqBook_RAW_Data!AM313)</f>
        <v/>
      </c>
      <c r="I323" s="167" t="str">
        <f>IF(ISBLANK(DaqBook_RAW_Data!AN313),"",DaqBook_RAW_Data!AN313)</f>
        <v/>
      </c>
      <c r="J323" s="167" t="str">
        <f>IF(ISBLANK(DaqBook_RAW_Data!AO313),"",DaqBook_RAW_Data!AO313)</f>
        <v/>
      </c>
      <c r="K323" s="167" t="str">
        <f>IF(ISBLANK(DaqBook_RAW_Data!AP313),"",DaqBook_RAW_Data!AP313)</f>
        <v/>
      </c>
      <c r="L323" s="167" t="str">
        <f>IF(ISBLANK(DaqBook_RAW_Data!AQ313),"",DaqBook_RAW_Data!AQ313)</f>
        <v/>
      </c>
      <c r="M323" s="167" t="str">
        <f>IF(ISBLANK(DaqBook_RAW_Data!AR313),"",DaqBook_RAW_Data!AR313)</f>
        <v/>
      </c>
      <c r="N323" s="167" t="str">
        <f>IF(ISBLANK(DaqBook_RAW_Data!AS313),"",DaqBook_RAW_Data!AS313)</f>
        <v/>
      </c>
      <c r="O323" s="167"/>
      <c r="P323" s="167"/>
    </row>
    <row r="324" spans="1:16" x14ac:dyDescent="0.2">
      <c r="A324" s="58" t="e">
        <f t="shared" si="4"/>
        <v>#VALUE!</v>
      </c>
      <c r="B324" s="144" t="str">
        <f>IF(ISBLANK(DaqBook_RAW_Data!AG314),IF(DaqBook_RAW_Data!A314="","",TIMEVALUE(DaqBook_RAW_Data!A314)),TIMEVALUE(DaqBook_RAW_Data!AG314))</f>
        <v/>
      </c>
      <c r="C324" s="167" t="str">
        <f>IF(ISBLANK(DaqBook_RAW_Data!AH314),"",DaqBook_RAW_Data!AH314)</f>
        <v/>
      </c>
      <c r="D324" s="167" t="str">
        <f>IF(ISBLANK(DaqBook_RAW_Data!AI314),"",DaqBook_RAW_Data!AI314)</f>
        <v/>
      </c>
      <c r="E324" s="167" t="str">
        <f>IF(ISBLANK(DaqBook_RAW_Data!AJ314),"",DaqBook_RAW_Data!AJ314)</f>
        <v/>
      </c>
      <c r="F324" s="167" t="str">
        <f>IF(ISBLANK(DaqBook_RAW_Data!AK314),"",DaqBook_RAW_Data!AK314)</f>
        <v/>
      </c>
      <c r="G324" s="167" t="str">
        <f>IF(ISBLANK(DaqBook_RAW_Data!AL314),"",DaqBook_RAW_Data!AL314)</f>
        <v/>
      </c>
      <c r="H324" s="167" t="str">
        <f>IF(ISBLANK(DaqBook_RAW_Data!AM314),"",DaqBook_RAW_Data!AM314)</f>
        <v/>
      </c>
      <c r="I324" s="167" t="str">
        <f>IF(ISBLANK(DaqBook_RAW_Data!AN314),"",DaqBook_RAW_Data!AN314)</f>
        <v/>
      </c>
      <c r="J324" s="167" t="str">
        <f>IF(ISBLANK(DaqBook_RAW_Data!AO314),"",DaqBook_RAW_Data!AO314)</f>
        <v/>
      </c>
      <c r="K324" s="167" t="str">
        <f>IF(ISBLANK(DaqBook_RAW_Data!AP314),"",DaqBook_RAW_Data!AP314)</f>
        <v/>
      </c>
      <c r="L324" s="167" t="str">
        <f>IF(ISBLANK(DaqBook_RAW_Data!AQ314),"",DaqBook_RAW_Data!AQ314)</f>
        <v/>
      </c>
      <c r="M324" s="167" t="str">
        <f>IF(ISBLANK(DaqBook_RAW_Data!AR314),"",DaqBook_RAW_Data!AR314)</f>
        <v/>
      </c>
      <c r="N324" s="167" t="str">
        <f>IF(ISBLANK(DaqBook_RAW_Data!AS314),"",DaqBook_RAW_Data!AS314)</f>
        <v/>
      </c>
      <c r="O324" s="167"/>
      <c r="P324" s="167"/>
    </row>
    <row r="325" spans="1:16" x14ac:dyDescent="0.2">
      <c r="A325" s="58" t="e">
        <f t="shared" si="4"/>
        <v>#VALUE!</v>
      </c>
      <c r="B325" s="144" t="str">
        <f>IF(ISBLANK(DaqBook_RAW_Data!AG315),IF(DaqBook_RAW_Data!A315="","",TIMEVALUE(DaqBook_RAW_Data!A315)),TIMEVALUE(DaqBook_RAW_Data!AG315))</f>
        <v/>
      </c>
      <c r="C325" s="167" t="str">
        <f>IF(ISBLANK(DaqBook_RAW_Data!AH315),"",DaqBook_RAW_Data!AH315)</f>
        <v/>
      </c>
      <c r="D325" s="167" t="str">
        <f>IF(ISBLANK(DaqBook_RAW_Data!AI315),"",DaqBook_RAW_Data!AI315)</f>
        <v/>
      </c>
      <c r="E325" s="167" t="str">
        <f>IF(ISBLANK(DaqBook_RAW_Data!AJ315),"",DaqBook_RAW_Data!AJ315)</f>
        <v/>
      </c>
      <c r="F325" s="167" t="str">
        <f>IF(ISBLANK(DaqBook_RAW_Data!AK315),"",DaqBook_RAW_Data!AK315)</f>
        <v/>
      </c>
      <c r="G325" s="167" t="str">
        <f>IF(ISBLANK(DaqBook_RAW_Data!AL315),"",DaqBook_RAW_Data!AL315)</f>
        <v/>
      </c>
      <c r="H325" s="167" t="str">
        <f>IF(ISBLANK(DaqBook_RAW_Data!AM315),"",DaqBook_RAW_Data!AM315)</f>
        <v/>
      </c>
      <c r="I325" s="167" t="str">
        <f>IF(ISBLANK(DaqBook_RAW_Data!AN315),"",DaqBook_RAW_Data!AN315)</f>
        <v/>
      </c>
      <c r="J325" s="167" t="str">
        <f>IF(ISBLANK(DaqBook_RAW_Data!AO315),"",DaqBook_RAW_Data!AO315)</f>
        <v/>
      </c>
      <c r="K325" s="167" t="str">
        <f>IF(ISBLANK(DaqBook_RAW_Data!AP315),"",DaqBook_RAW_Data!AP315)</f>
        <v/>
      </c>
      <c r="L325" s="167" t="str">
        <f>IF(ISBLANK(DaqBook_RAW_Data!AQ315),"",DaqBook_RAW_Data!AQ315)</f>
        <v/>
      </c>
      <c r="M325" s="167" t="str">
        <f>IF(ISBLANK(DaqBook_RAW_Data!AR315),"",DaqBook_RAW_Data!AR315)</f>
        <v/>
      </c>
      <c r="N325" s="167" t="str">
        <f>IF(ISBLANK(DaqBook_RAW_Data!AS315),"",DaqBook_RAW_Data!AS315)</f>
        <v/>
      </c>
      <c r="O325" s="167"/>
      <c r="P325" s="167"/>
    </row>
    <row r="326" spans="1:16" x14ac:dyDescent="0.2">
      <c r="A326" s="58" t="e">
        <f t="shared" si="4"/>
        <v>#VALUE!</v>
      </c>
      <c r="B326" s="144" t="str">
        <f>IF(ISBLANK(DaqBook_RAW_Data!AG316),IF(DaqBook_RAW_Data!A316="","",TIMEVALUE(DaqBook_RAW_Data!A316)),TIMEVALUE(DaqBook_RAW_Data!AG316))</f>
        <v/>
      </c>
      <c r="C326" s="167" t="str">
        <f>IF(ISBLANK(DaqBook_RAW_Data!AH316),"",DaqBook_RAW_Data!AH316)</f>
        <v/>
      </c>
      <c r="D326" s="167" t="str">
        <f>IF(ISBLANK(DaqBook_RAW_Data!AI316),"",DaqBook_RAW_Data!AI316)</f>
        <v/>
      </c>
      <c r="E326" s="167" t="str">
        <f>IF(ISBLANK(DaqBook_RAW_Data!AJ316),"",DaqBook_RAW_Data!AJ316)</f>
        <v/>
      </c>
      <c r="F326" s="167" t="str">
        <f>IF(ISBLANK(DaqBook_RAW_Data!AK316),"",DaqBook_RAW_Data!AK316)</f>
        <v/>
      </c>
      <c r="G326" s="167" t="str">
        <f>IF(ISBLANK(DaqBook_RAW_Data!AL316),"",DaqBook_RAW_Data!AL316)</f>
        <v/>
      </c>
      <c r="H326" s="167" t="str">
        <f>IF(ISBLANK(DaqBook_RAW_Data!AM316),"",DaqBook_RAW_Data!AM316)</f>
        <v/>
      </c>
      <c r="I326" s="167" t="str">
        <f>IF(ISBLANK(DaqBook_RAW_Data!AN316),"",DaqBook_RAW_Data!AN316)</f>
        <v/>
      </c>
      <c r="J326" s="167" t="str">
        <f>IF(ISBLANK(DaqBook_RAW_Data!AO316),"",DaqBook_RAW_Data!AO316)</f>
        <v/>
      </c>
      <c r="K326" s="167" t="str">
        <f>IF(ISBLANK(DaqBook_RAW_Data!AP316),"",DaqBook_RAW_Data!AP316)</f>
        <v/>
      </c>
      <c r="L326" s="167" t="str">
        <f>IF(ISBLANK(DaqBook_RAW_Data!AQ316),"",DaqBook_RAW_Data!AQ316)</f>
        <v/>
      </c>
      <c r="M326" s="167" t="str">
        <f>IF(ISBLANK(DaqBook_RAW_Data!AR316),"",DaqBook_RAW_Data!AR316)</f>
        <v/>
      </c>
      <c r="N326" s="167" t="str">
        <f>IF(ISBLANK(DaqBook_RAW_Data!AS316),"",DaqBook_RAW_Data!AS316)</f>
        <v/>
      </c>
      <c r="O326" s="167"/>
      <c r="P326" s="167"/>
    </row>
    <row r="327" spans="1:16" x14ac:dyDescent="0.2">
      <c r="A327" s="58" t="e">
        <f t="shared" si="4"/>
        <v>#VALUE!</v>
      </c>
      <c r="B327" s="144" t="str">
        <f>IF(ISBLANK(DaqBook_RAW_Data!AG317),IF(DaqBook_RAW_Data!A317="","",TIMEVALUE(DaqBook_RAW_Data!A317)),TIMEVALUE(DaqBook_RAW_Data!AG317))</f>
        <v/>
      </c>
      <c r="C327" s="167" t="str">
        <f>IF(ISBLANK(DaqBook_RAW_Data!AH317),"",DaqBook_RAW_Data!AH317)</f>
        <v/>
      </c>
      <c r="D327" s="167" t="str">
        <f>IF(ISBLANK(DaqBook_RAW_Data!AI317),"",DaqBook_RAW_Data!AI317)</f>
        <v/>
      </c>
      <c r="E327" s="167" t="str">
        <f>IF(ISBLANK(DaqBook_RAW_Data!AJ317),"",DaqBook_RAW_Data!AJ317)</f>
        <v/>
      </c>
      <c r="F327" s="167" t="str">
        <f>IF(ISBLANK(DaqBook_RAW_Data!AK317),"",DaqBook_RAW_Data!AK317)</f>
        <v/>
      </c>
      <c r="G327" s="167" t="str">
        <f>IF(ISBLANK(DaqBook_RAW_Data!AL317),"",DaqBook_RAW_Data!AL317)</f>
        <v/>
      </c>
      <c r="H327" s="167" t="str">
        <f>IF(ISBLANK(DaqBook_RAW_Data!AM317),"",DaqBook_RAW_Data!AM317)</f>
        <v/>
      </c>
      <c r="I327" s="167" t="str">
        <f>IF(ISBLANK(DaqBook_RAW_Data!AN317),"",DaqBook_RAW_Data!AN317)</f>
        <v/>
      </c>
      <c r="J327" s="167" t="str">
        <f>IF(ISBLANK(DaqBook_RAW_Data!AO317),"",DaqBook_RAW_Data!AO317)</f>
        <v/>
      </c>
      <c r="K327" s="167" t="str">
        <f>IF(ISBLANK(DaqBook_RAW_Data!AP317),"",DaqBook_RAW_Data!AP317)</f>
        <v/>
      </c>
      <c r="L327" s="167" t="str">
        <f>IF(ISBLANK(DaqBook_RAW_Data!AQ317),"",DaqBook_RAW_Data!AQ317)</f>
        <v/>
      </c>
      <c r="M327" s="167" t="str">
        <f>IF(ISBLANK(DaqBook_RAW_Data!AR317),"",DaqBook_RAW_Data!AR317)</f>
        <v/>
      </c>
      <c r="N327" s="167" t="str">
        <f>IF(ISBLANK(DaqBook_RAW_Data!AS317),"",DaqBook_RAW_Data!AS317)</f>
        <v/>
      </c>
      <c r="O327" s="167"/>
      <c r="P327" s="167"/>
    </row>
    <row r="328" spans="1:16" x14ac:dyDescent="0.2">
      <c r="A328" s="58" t="e">
        <f t="shared" si="4"/>
        <v>#VALUE!</v>
      </c>
      <c r="B328" s="144" t="str">
        <f>IF(ISBLANK(DaqBook_RAW_Data!AG318),IF(DaqBook_RAW_Data!A318="","",TIMEVALUE(DaqBook_RAW_Data!A318)),TIMEVALUE(DaqBook_RAW_Data!AG318))</f>
        <v/>
      </c>
      <c r="C328" s="167" t="str">
        <f>IF(ISBLANK(DaqBook_RAW_Data!AH318),"",DaqBook_RAW_Data!AH318)</f>
        <v/>
      </c>
      <c r="D328" s="167" t="str">
        <f>IF(ISBLANK(DaqBook_RAW_Data!AI318),"",DaqBook_RAW_Data!AI318)</f>
        <v/>
      </c>
      <c r="E328" s="167" t="str">
        <f>IF(ISBLANK(DaqBook_RAW_Data!AJ318),"",DaqBook_RAW_Data!AJ318)</f>
        <v/>
      </c>
      <c r="F328" s="167" t="str">
        <f>IF(ISBLANK(DaqBook_RAW_Data!AK318),"",DaqBook_RAW_Data!AK318)</f>
        <v/>
      </c>
      <c r="G328" s="167" t="str">
        <f>IF(ISBLANK(DaqBook_RAW_Data!AL318),"",DaqBook_RAW_Data!AL318)</f>
        <v/>
      </c>
      <c r="H328" s="167" t="str">
        <f>IF(ISBLANK(DaqBook_RAW_Data!AM318),"",DaqBook_RAW_Data!AM318)</f>
        <v/>
      </c>
      <c r="I328" s="167" t="str">
        <f>IF(ISBLANK(DaqBook_RAW_Data!AN318),"",DaqBook_RAW_Data!AN318)</f>
        <v/>
      </c>
      <c r="J328" s="167" t="str">
        <f>IF(ISBLANK(DaqBook_RAW_Data!AO318),"",DaqBook_RAW_Data!AO318)</f>
        <v/>
      </c>
      <c r="K328" s="167" t="str">
        <f>IF(ISBLANK(DaqBook_RAW_Data!AP318),"",DaqBook_RAW_Data!AP318)</f>
        <v/>
      </c>
      <c r="L328" s="167" t="str">
        <f>IF(ISBLANK(DaqBook_RAW_Data!AQ318),"",DaqBook_RAW_Data!AQ318)</f>
        <v/>
      </c>
      <c r="M328" s="167" t="str">
        <f>IF(ISBLANK(DaqBook_RAW_Data!AR318),"",DaqBook_RAW_Data!AR318)</f>
        <v/>
      </c>
      <c r="N328" s="167" t="str">
        <f>IF(ISBLANK(DaqBook_RAW_Data!AS318),"",DaqBook_RAW_Data!AS318)</f>
        <v/>
      </c>
      <c r="O328" s="167"/>
      <c r="P328" s="167"/>
    </row>
    <row r="329" spans="1:16" x14ac:dyDescent="0.2">
      <c r="A329" s="58" t="e">
        <f t="shared" si="4"/>
        <v>#VALUE!</v>
      </c>
      <c r="B329" s="144" t="str">
        <f>IF(ISBLANK(DaqBook_RAW_Data!AG319),IF(DaqBook_RAW_Data!A319="","",TIMEVALUE(DaqBook_RAW_Data!A319)),TIMEVALUE(DaqBook_RAW_Data!AG319))</f>
        <v/>
      </c>
      <c r="C329" s="167" t="str">
        <f>IF(ISBLANK(DaqBook_RAW_Data!AH319),"",DaqBook_RAW_Data!AH319)</f>
        <v/>
      </c>
      <c r="D329" s="167" t="str">
        <f>IF(ISBLANK(DaqBook_RAW_Data!AI319),"",DaqBook_RAW_Data!AI319)</f>
        <v/>
      </c>
      <c r="E329" s="167" t="str">
        <f>IF(ISBLANK(DaqBook_RAW_Data!AJ319),"",DaqBook_RAW_Data!AJ319)</f>
        <v/>
      </c>
      <c r="F329" s="167" t="str">
        <f>IF(ISBLANK(DaqBook_RAW_Data!AK319),"",DaqBook_RAW_Data!AK319)</f>
        <v/>
      </c>
      <c r="G329" s="167" t="str">
        <f>IF(ISBLANK(DaqBook_RAW_Data!AL319),"",DaqBook_RAW_Data!AL319)</f>
        <v/>
      </c>
      <c r="H329" s="167" t="str">
        <f>IF(ISBLANK(DaqBook_RAW_Data!AM319),"",DaqBook_RAW_Data!AM319)</f>
        <v/>
      </c>
      <c r="I329" s="167" t="str">
        <f>IF(ISBLANK(DaqBook_RAW_Data!AN319),"",DaqBook_RAW_Data!AN319)</f>
        <v/>
      </c>
      <c r="J329" s="167" t="str">
        <f>IF(ISBLANK(DaqBook_RAW_Data!AO319),"",DaqBook_RAW_Data!AO319)</f>
        <v/>
      </c>
      <c r="K329" s="167" t="str">
        <f>IF(ISBLANK(DaqBook_RAW_Data!AP319),"",DaqBook_RAW_Data!AP319)</f>
        <v/>
      </c>
      <c r="L329" s="167" t="str">
        <f>IF(ISBLANK(DaqBook_RAW_Data!AQ319),"",DaqBook_RAW_Data!AQ319)</f>
        <v/>
      </c>
      <c r="M329" s="167" t="str">
        <f>IF(ISBLANK(DaqBook_RAW_Data!AR319),"",DaqBook_RAW_Data!AR319)</f>
        <v/>
      </c>
      <c r="N329" s="167" t="str">
        <f>IF(ISBLANK(DaqBook_RAW_Data!AS319),"",DaqBook_RAW_Data!AS319)</f>
        <v/>
      </c>
      <c r="O329" s="167"/>
      <c r="P329" s="167"/>
    </row>
    <row r="330" spans="1:16" x14ac:dyDescent="0.2">
      <c r="A330" s="58" t="e">
        <f t="shared" si="4"/>
        <v>#VALUE!</v>
      </c>
      <c r="B330" s="144" t="str">
        <f>IF(ISBLANK(DaqBook_RAW_Data!AG320),IF(DaqBook_RAW_Data!A320="","",TIMEVALUE(DaqBook_RAW_Data!A320)),TIMEVALUE(DaqBook_RAW_Data!AG320))</f>
        <v/>
      </c>
      <c r="C330" s="167" t="str">
        <f>IF(ISBLANK(DaqBook_RAW_Data!AH320),"",DaqBook_RAW_Data!AH320)</f>
        <v/>
      </c>
      <c r="D330" s="167" t="str">
        <f>IF(ISBLANK(DaqBook_RAW_Data!AI320),"",DaqBook_RAW_Data!AI320)</f>
        <v/>
      </c>
      <c r="E330" s="167" t="str">
        <f>IF(ISBLANK(DaqBook_RAW_Data!AJ320),"",DaqBook_RAW_Data!AJ320)</f>
        <v/>
      </c>
      <c r="F330" s="167" t="str">
        <f>IF(ISBLANK(DaqBook_RAW_Data!AK320),"",DaqBook_RAW_Data!AK320)</f>
        <v/>
      </c>
      <c r="G330" s="167" t="str">
        <f>IF(ISBLANK(DaqBook_RAW_Data!AL320),"",DaqBook_RAW_Data!AL320)</f>
        <v/>
      </c>
      <c r="H330" s="167" t="str">
        <f>IF(ISBLANK(DaqBook_RAW_Data!AM320),"",DaqBook_RAW_Data!AM320)</f>
        <v/>
      </c>
      <c r="I330" s="167" t="str">
        <f>IF(ISBLANK(DaqBook_RAW_Data!AN320),"",DaqBook_RAW_Data!AN320)</f>
        <v/>
      </c>
      <c r="J330" s="167" t="str">
        <f>IF(ISBLANK(DaqBook_RAW_Data!AO320),"",DaqBook_RAW_Data!AO320)</f>
        <v/>
      </c>
      <c r="K330" s="167" t="str">
        <f>IF(ISBLANK(DaqBook_RAW_Data!AP320),"",DaqBook_RAW_Data!AP320)</f>
        <v/>
      </c>
      <c r="L330" s="167" t="str">
        <f>IF(ISBLANK(DaqBook_RAW_Data!AQ320),"",DaqBook_RAW_Data!AQ320)</f>
        <v/>
      </c>
      <c r="M330" s="167" t="str">
        <f>IF(ISBLANK(DaqBook_RAW_Data!AR320),"",DaqBook_RAW_Data!AR320)</f>
        <v/>
      </c>
      <c r="N330" s="167" t="str">
        <f>IF(ISBLANK(DaqBook_RAW_Data!AS320),"",DaqBook_RAW_Data!AS320)</f>
        <v/>
      </c>
      <c r="O330" s="167"/>
      <c r="P330" s="167"/>
    </row>
    <row r="331" spans="1:16" x14ac:dyDescent="0.2">
      <c r="A331" s="58" t="e">
        <f t="shared" si="4"/>
        <v>#VALUE!</v>
      </c>
      <c r="B331" s="144" t="str">
        <f>IF(ISBLANK(DaqBook_RAW_Data!AG321),IF(DaqBook_RAW_Data!A321="","",TIMEVALUE(DaqBook_RAW_Data!A321)),TIMEVALUE(DaqBook_RAW_Data!AG321))</f>
        <v/>
      </c>
      <c r="C331" s="167" t="str">
        <f>IF(ISBLANK(DaqBook_RAW_Data!AH321),"",DaqBook_RAW_Data!AH321)</f>
        <v/>
      </c>
      <c r="D331" s="167" t="str">
        <f>IF(ISBLANK(DaqBook_RAW_Data!AI321),"",DaqBook_RAW_Data!AI321)</f>
        <v/>
      </c>
      <c r="E331" s="167" t="str">
        <f>IF(ISBLANK(DaqBook_RAW_Data!AJ321),"",DaqBook_RAW_Data!AJ321)</f>
        <v/>
      </c>
      <c r="F331" s="167" t="str">
        <f>IF(ISBLANK(DaqBook_RAW_Data!AK321),"",DaqBook_RAW_Data!AK321)</f>
        <v/>
      </c>
      <c r="G331" s="167" t="str">
        <f>IF(ISBLANK(DaqBook_RAW_Data!AL321),"",DaqBook_RAW_Data!AL321)</f>
        <v/>
      </c>
      <c r="H331" s="167" t="str">
        <f>IF(ISBLANK(DaqBook_RAW_Data!AM321),"",DaqBook_RAW_Data!AM321)</f>
        <v/>
      </c>
      <c r="I331" s="167" t="str">
        <f>IF(ISBLANK(DaqBook_RAW_Data!AN321),"",DaqBook_RAW_Data!AN321)</f>
        <v/>
      </c>
      <c r="J331" s="167" t="str">
        <f>IF(ISBLANK(DaqBook_RAW_Data!AO321),"",DaqBook_RAW_Data!AO321)</f>
        <v/>
      </c>
      <c r="K331" s="167" t="str">
        <f>IF(ISBLANK(DaqBook_RAW_Data!AP321),"",DaqBook_RAW_Data!AP321)</f>
        <v/>
      </c>
      <c r="L331" s="167" t="str">
        <f>IF(ISBLANK(DaqBook_RAW_Data!AQ321),"",DaqBook_RAW_Data!AQ321)</f>
        <v/>
      </c>
      <c r="M331" s="167" t="str">
        <f>IF(ISBLANK(DaqBook_RAW_Data!AR321),"",DaqBook_RAW_Data!AR321)</f>
        <v/>
      </c>
      <c r="N331" s="167" t="str">
        <f>IF(ISBLANK(DaqBook_RAW_Data!AS321),"",DaqBook_RAW_Data!AS321)</f>
        <v/>
      </c>
      <c r="O331" s="167"/>
      <c r="P331" s="167"/>
    </row>
    <row r="332" spans="1:16" x14ac:dyDescent="0.2">
      <c r="A332" s="58" t="e">
        <f t="shared" si="4"/>
        <v>#VALUE!</v>
      </c>
      <c r="B332" s="144" t="str">
        <f>IF(ISBLANK(DaqBook_RAW_Data!AG322),IF(DaqBook_RAW_Data!A322="","",TIMEVALUE(DaqBook_RAW_Data!A322)),TIMEVALUE(DaqBook_RAW_Data!AG322))</f>
        <v/>
      </c>
      <c r="C332" s="167" t="str">
        <f>IF(ISBLANK(DaqBook_RAW_Data!AH322),"",DaqBook_RAW_Data!AH322)</f>
        <v/>
      </c>
      <c r="D332" s="167" t="str">
        <f>IF(ISBLANK(DaqBook_RAW_Data!AI322),"",DaqBook_RAW_Data!AI322)</f>
        <v/>
      </c>
      <c r="E332" s="167" t="str">
        <f>IF(ISBLANK(DaqBook_RAW_Data!AJ322),"",DaqBook_RAW_Data!AJ322)</f>
        <v/>
      </c>
      <c r="F332" s="167" t="str">
        <f>IF(ISBLANK(DaqBook_RAW_Data!AK322),"",DaqBook_RAW_Data!AK322)</f>
        <v/>
      </c>
      <c r="G332" s="167" t="str">
        <f>IF(ISBLANK(DaqBook_RAW_Data!AL322),"",DaqBook_RAW_Data!AL322)</f>
        <v/>
      </c>
      <c r="H332" s="167" t="str">
        <f>IF(ISBLANK(DaqBook_RAW_Data!AM322),"",DaqBook_RAW_Data!AM322)</f>
        <v/>
      </c>
      <c r="I332" s="167" t="str">
        <f>IF(ISBLANK(DaqBook_RAW_Data!AN322),"",DaqBook_RAW_Data!AN322)</f>
        <v/>
      </c>
      <c r="J332" s="167" t="str">
        <f>IF(ISBLANK(DaqBook_RAW_Data!AO322),"",DaqBook_RAW_Data!AO322)</f>
        <v/>
      </c>
      <c r="K332" s="167" t="str">
        <f>IF(ISBLANK(DaqBook_RAW_Data!AP322),"",DaqBook_RAW_Data!AP322)</f>
        <v/>
      </c>
      <c r="L332" s="167" t="str">
        <f>IF(ISBLANK(DaqBook_RAW_Data!AQ322),"",DaqBook_RAW_Data!AQ322)</f>
        <v/>
      </c>
      <c r="M332" s="167" t="str">
        <f>IF(ISBLANK(DaqBook_RAW_Data!AR322),"",DaqBook_RAW_Data!AR322)</f>
        <v/>
      </c>
      <c r="N332" s="167" t="str">
        <f>IF(ISBLANK(DaqBook_RAW_Data!AS322),"",DaqBook_RAW_Data!AS322)</f>
        <v/>
      </c>
      <c r="O332" s="167"/>
      <c r="P332" s="167"/>
    </row>
    <row r="333" spans="1:16" x14ac:dyDescent="0.2">
      <c r="A333" s="58" t="e">
        <f t="shared" si="4"/>
        <v>#VALUE!</v>
      </c>
      <c r="B333" s="144" t="str">
        <f>IF(ISBLANK(DaqBook_RAW_Data!AG323),IF(DaqBook_RAW_Data!A323="","",TIMEVALUE(DaqBook_RAW_Data!A323)),TIMEVALUE(DaqBook_RAW_Data!AG323))</f>
        <v/>
      </c>
      <c r="C333" s="167" t="str">
        <f>IF(ISBLANK(DaqBook_RAW_Data!AH323),"",DaqBook_RAW_Data!AH323)</f>
        <v/>
      </c>
      <c r="D333" s="167" t="str">
        <f>IF(ISBLANK(DaqBook_RAW_Data!AI323),"",DaqBook_RAW_Data!AI323)</f>
        <v/>
      </c>
      <c r="E333" s="167" t="str">
        <f>IF(ISBLANK(DaqBook_RAW_Data!AJ323),"",DaqBook_RAW_Data!AJ323)</f>
        <v/>
      </c>
      <c r="F333" s="167" t="str">
        <f>IF(ISBLANK(DaqBook_RAW_Data!AK323),"",DaqBook_RAW_Data!AK323)</f>
        <v/>
      </c>
      <c r="G333" s="167" t="str">
        <f>IF(ISBLANK(DaqBook_RAW_Data!AL323),"",DaqBook_RAW_Data!AL323)</f>
        <v/>
      </c>
      <c r="H333" s="167" t="str">
        <f>IF(ISBLANK(DaqBook_RAW_Data!AM323),"",DaqBook_RAW_Data!AM323)</f>
        <v/>
      </c>
      <c r="I333" s="167" t="str">
        <f>IF(ISBLANK(DaqBook_RAW_Data!AN323),"",DaqBook_RAW_Data!AN323)</f>
        <v/>
      </c>
      <c r="J333" s="167" t="str">
        <f>IF(ISBLANK(DaqBook_RAW_Data!AO323),"",DaqBook_RAW_Data!AO323)</f>
        <v/>
      </c>
      <c r="K333" s="167" t="str">
        <f>IF(ISBLANK(DaqBook_RAW_Data!AP323),"",DaqBook_RAW_Data!AP323)</f>
        <v/>
      </c>
      <c r="L333" s="167" t="str">
        <f>IF(ISBLANK(DaqBook_RAW_Data!AQ323),"",DaqBook_RAW_Data!AQ323)</f>
        <v/>
      </c>
      <c r="M333" s="167" t="str">
        <f>IF(ISBLANK(DaqBook_RAW_Data!AR323),"",DaqBook_RAW_Data!AR323)</f>
        <v/>
      </c>
      <c r="N333" s="167" t="str">
        <f>IF(ISBLANK(DaqBook_RAW_Data!AS323),"",DaqBook_RAW_Data!AS323)</f>
        <v/>
      </c>
      <c r="O333" s="167"/>
      <c r="P333" s="167"/>
    </row>
    <row r="334" spans="1:16" x14ac:dyDescent="0.2">
      <c r="A334" s="58" t="e">
        <f t="shared" si="4"/>
        <v>#VALUE!</v>
      </c>
      <c r="B334" s="144" t="str">
        <f>IF(ISBLANK(DaqBook_RAW_Data!AG324),IF(DaqBook_RAW_Data!A324="","",TIMEVALUE(DaqBook_RAW_Data!A324)),TIMEVALUE(DaqBook_RAW_Data!AG324))</f>
        <v/>
      </c>
      <c r="C334" s="167" t="str">
        <f>IF(ISBLANK(DaqBook_RAW_Data!AH324),"",DaqBook_RAW_Data!AH324)</f>
        <v/>
      </c>
      <c r="D334" s="167" t="str">
        <f>IF(ISBLANK(DaqBook_RAW_Data!AI324),"",DaqBook_RAW_Data!AI324)</f>
        <v/>
      </c>
      <c r="E334" s="167" t="str">
        <f>IF(ISBLANK(DaqBook_RAW_Data!AJ324),"",DaqBook_RAW_Data!AJ324)</f>
        <v/>
      </c>
      <c r="F334" s="167" t="str">
        <f>IF(ISBLANK(DaqBook_RAW_Data!AK324),"",DaqBook_RAW_Data!AK324)</f>
        <v/>
      </c>
      <c r="G334" s="167" t="str">
        <f>IF(ISBLANK(DaqBook_RAW_Data!AL324),"",DaqBook_RAW_Data!AL324)</f>
        <v/>
      </c>
      <c r="H334" s="167" t="str">
        <f>IF(ISBLANK(DaqBook_RAW_Data!AM324),"",DaqBook_RAW_Data!AM324)</f>
        <v/>
      </c>
      <c r="I334" s="167" t="str">
        <f>IF(ISBLANK(DaqBook_RAW_Data!AN324),"",DaqBook_RAW_Data!AN324)</f>
        <v/>
      </c>
      <c r="J334" s="167" t="str">
        <f>IF(ISBLANK(DaqBook_RAW_Data!AO324),"",DaqBook_RAW_Data!AO324)</f>
        <v/>
      </c>
      <c r="K334" s="167" t="str">
        <f>IF(ISBLANK(DaqBook_RAW_Data!AP324),"",DaqBook_RAW_Data!AP324)</f>
        <v/>
      </c>
      <c r="L334" s="167" t="str">
        <f>IF(ISBLANK(DaqBook_RAW_Data!AQ324),"",DaqBook_RAW_Data!AQ324)</f>
        <v/>
      </c>
      <c r="M334" s="167" t="str">
        <f>IF(ISBLANK(DaqBook_RAW_Data!AR324),"",DaqBook_RAW_Data!AR324)</f>
        <v/>
      </c>
      <c r="N334" s="167" t="str">
        <f>IF(ISBLANK(DaqBook_RAW_Data!AS324),"",DaqBook_RAW_Data!AS324)</f>
        <v/>
      </c>
      <c r="O334" s="167"/>
      <c r="P334" s="167"/>
    </row>
    <row r="335" spans="1:16" x14ac:dyDescent="0.2">
      <c r="A335" s="58" t="e">
        <f t="shared" ref="A335:A398" si="5">HOUR(B335)&amp;":"&amp;MINUTE(B335)</f>
        <v>#VALUE!</v>
      </c>
      <c r="B335" s="144" t="str">
        <f>IF(ISBLANK(DaqBook_RAW_Data!AG325),IF(DaqBook_RAW_Data!A325="","",TIMEVALUE(DaqBook_RAW_Data!A325)),TIMEVALUE(DaqBook_RAW_Data!AG325))</f>
        <v/>
      </c>
      <c r="C335" s="167" t="str">
        <f>IF(ISBLANK(DaqBook_RAW_Data!AH325),"",DaqBook_RAW_Data!AH325)</f>
        <v/>
      </c>
      <c r="D335" s="167" t="str">
        <f>IF(ISBLANK(DaqBook_RAW_Data!AI325),"",DaqBook_RAW_Data!AI325)</f>
        <v/>
      </c>
      <c r="E335" s="167" t="str">
        <f>IF(ISBLANK(DaqBook_RAW_Data!AJ325),"",DaqBook_RAW_Data!AJ325)</f>
        <v/>
      </c>
      <c r="F335" s="167" t="str">
        <f>IF(ISBLANK(DaqBook_RAW_Data!AK325),"",DaqBook_RAW_Data!AK325)</f>
        <v/>
      </c>
      <c r="G335" s="167" t="str">
        <f>IF(ISBLANK(DaqBook_RAW_Data!AL325),"",DaqBook_RAW_Data!AL325)</f>
        <v/>
      </c>
      <c r="H335" s="167" t="str">
        <f>IF(ISBLANK(DaqBook_RAW_Data!AM325),"",DaqBook_RAW_Data!AM325)</f>
        <v/>
      </c>
      <c r="I335" s="167" t="str">
        <f>IF(ISBLANK(DaqBook_RAW_Data!AN325),"",DaqBook_RAW_Data!AN325)</f>
        <v/>
      </c>
      <c r="J335" s="167" t="str">
        <f>IF(ISBLANK(DaqBook_RAW_Data!AO325),"",DaqBook_RAW_Data!AO325)</f>
        <v/>
      </c>
      <c r="K335" s="167" t="str">
        <f>IF(ISBLANK(DaqBook_RAW_Data!AP325),"",DaqBook_RAW_Data!AP325)</f>
        <v/>
      </c>
      <c r="L335" s="167" t="str">
        <f>IF(ISBLANK(DaqBook_RAW_Data!AQ325),"",DaqBook_RAW_Data!AQ325)</f>
        <v/>
      </c>
      <c r="M335" s="167" t="str">
        <f>IF(ISBLANK(DaqBook_RAW_Data!AR325),"",DaqBook_RAW_Data!AR325)</f>
        <v/>
      </c>
      <c r="N335" s="167" t="str">
        <f>IF(ISBLANK(DaqBook_RAW_Data!AS325),"",DaqBook_RAW_Data!AS325)</f>
        <v/>
      </c>
      <c r="O335" s="167"/>
      <c r="P335" s="167"/>
    </row>
    <row r="336" spans="1:16" x14ac:dyDescent="0.2">
      <c r="A336" s="58" t="e">
        <f t="shared" si="5"/>
        <v>#VALUE!</v>
      </c>
      <c r="B336" s="144" t="str">
        <f>IF(ISBLANK(DaqBook_RAW_Data!AG326),IF(DaqBook_RAW_Data!A326="","",TIMEVALUE(DaqBook_RAW_Data!A326)),TIMEVALUE(DaqBook_RAW_Data!AG326))</f>
        <v/>
      </c>
      <c r="C336" s="167" t="str">
        <f>IF(ISBLANK(DaqBook_RAW_Data!AH326),"",DaqBook_RAW_Data!AH326)</f>
        <v/>
      </c>
      <c r="D336" s="167" t="str">
        <f>IF(ISBLANK(DaqBook_RAW_Data!AI326),"",DaqBook_RAW_Data!AI326)</f>
        <v/>
      </c>
      <c r="E336" s="167" t="str">
        <f>IF(ISBLANK(DaqBook_RAW_Data!AJ326),"",DaqBook_RAW_Data!AJ326)</f>
        <v/>
      </c>
      <c r="F336" s="167" t="str">
        <f>IF(ISBLANK(DaqBook_RAW_Data!AK326),"",DaqBook_RAW_Data!AK326)</f>
        <v/>
      </c>
      <c r="G336" s="167" t="str">
        <f>IF(ISBLANK(DaqBook_RAW_Data!AL326),"",DaqBook_RAW_Data!AL326)</f>
        <v/>
      </c>
      <c r="H336" s="167" t="str">
        <f>IF(ISBLANK(DaqBook_RAW_Data!AM326),"",DaqBook_RAW_Data!AM326)</f>
        <v/>
      </c>
      <c r="I336" s="167" t="str">
        <f>IF(ISBLANK(DaqBook_RAW_Data!AN326),"",DaqBook_RAW_Data!AN326)</f>
        <v/>
      </c>
      <c r="J336" s="167" t="str">
        <f>IF(ISBLANK(DaqBook_RAW_Data!AO326),"",DaqBook_RAW_Data!AO326)</f>
        <v/>
      </c>
      <c r="K336" s="167" t="str">
        <f>IF(ISBLANK(DaqBook_RAW_Data!AP326),"",DaqBook_RAW_Data!AP326)</f>
        <v/>
      </c>
      <c r="L336" s="167" t="str">
        <f>IF(ISBLANK(DaqBook_RAW_Data!AQ326),"",DaqBook_RAW_Data!AQ326)</f>
        <v/>
      </c>
      <c r="M336" s="167" t="str">
        <f>IF(ISBLANK(DaqBook_RAW_Data!AR326),"",DaqBook_RAW_Data!AR326)</f>
        <v/>
      </c>
      <c r="N336" s="167" t="str">
        <f>IF(ISBLANK(DaqBook_RAW_Data!AS326),"",DaqBook_RAW_Data!AS326)</f>
        <v/>
      </c>
      <c r="O336" s="167"/>
      <c r="P336" s="167"/>
    </row>
    <row r="337" spans="1:16" x14ac:dyDescent="0.2">
      <c r="A337" s="58" t="e">
        <f t="shared" si="5"/>
        <v>#VALUE!</v>
      </c>
      <c r="B337" s="144" t="str">
        <f>IF(ISBLANK(DaqBook_RAW_Data!AG327),IF(DaqBook_RAW_Data!A327="","",TIMEVALUE(DaqBook_RAW_Data!A327)),TIMEVALUE(DaqBook_RAW_Data!AG327))</f>
        <v/>
      </c>
      <c r="C337" s="167" t="str">
        <f>IF(ISBLANK(DaqBook_RAW_Data!AH327),"",DaqBook_RAW_Data!AH327)</f>
        <v/>
      </c>
      <c r="D337" s="167" t="str">
        <f>IF(ISBLANK(DaqBook_RAW_Data!AI327),"",DaqBook_RAW_Data!AI327)</f>
        <v/>
      </c>
      <c r="E337" s="167" t="str">
        <f>IF(ISBLANK(DaqBook_RAW_Data!AJ327),"",DaqBook_RAW_Data!AJ327)</f>
        <v/>
      </c>
      <c r="F337" s="167" t="str">
        <f>IF(ISBLANK(DaqBook_RAW_Data!AK327),"",DaqBook_RAW_Data!AK327)</f>
        <v/>
      </c>
      <c r="G337" s="167" t="str">
        <f>IF(ISBLANK(DaqBook_RAW_Data!AL327),"",DaqBook_RAW_Data!AL327)</f>
        <v/>
      </c>
      <c r="H337" s="167" t="str">
        <f>IF(ISBLANK(DaqBook_RAW_Data!AM327),"",DaqBook_RAW_Data!AM327)</f>
        <v/>
      </c>
      <c r="I337" s="167" t="str">
        <f>IF(ISBLANK(DaqBook_RAW_Data!AN327),"",DaqBook_RAW_Data!AN327)</f>
        <v/>
      </c>
      <c r="J337" s="167" t="str">
        <f>IF(ISBLANK(DaqBook_RAW_Data!AO327),"",DaqBook_RAW_Data!AO327)</f>
        <v/>
      </c>
      <c r="K337" s="167" t="str">
        <f>IF(ISBLANK(DaqBook_RAW_Data!AP327),"",DaqBook_RAW_Data!AP327)</f>
        <v/>
      </c>
      <c r="L337" s="167" t="str">
        <f>IF(ISBLANK(DaqBook_RAW_Data!AQ327),"",DaqBook_RAW_Data!AQ327)</f>
        <v/>
      </c>
      <c r="M337" s="167" t="str">
        <f>IF(ISBLANK(DaqBook_RAW_Data!AR327),"",DaqBook_RAW_Data!AR327)</f>
        <v/>
      </c>
      <c r="N337" s="167" t="str">
        <f>IF(ISBLANK(DaqBook_RAW_Data!AS327),"",DaqBook_RAW_Data!AS327)</f>
        <v/>
      </c>
      <c r="O337" s="167"/>
      <c r="P337" s="167"/>
    </row>
    <row r="338" spans="1:16" x14ac:dyDescent="0.2">
      <c r="A338" s="58" t="e">
        <f t="shared" si="5"/>
        <v>#VALUE!</v>
      </c>
      <c r="B338" s="144" t="str">
        <f>IF(ISBLANK(DaqBook_RAW_Data!AG328),IF(DaqBook_RAW_Data!A328="","",TIMEVALUE(DaqBook_RAW_Data!A328)),TIMEVALUE(DaqBook_RAW_Data!AG328))</f>
        <v/>
      </c>
      <c r="C338" s="167" t="str">
        <f>IF(ISBLANK(DaqBook_RAW_Data!AH328),"",DaqBook_RAW_Data!AH328)</f>
        <v/>
      </c>
      <c r="D338" s="167" t="str">
        <f>IF(ISBLANK(DaqBook_RAW_Data!AI328),"",DaqBook_RAW_Data!AI328)</f>
        <v/>
      </c>
      <c r="E338" s="167" t="str">
        <f>IF(ISBLANK(DaqBook_RAW_Data!AJ328),"",DaqBook_RAW_Data!AJ328)</f>
        <v/>
      </c>
      <c r="F338" s="167" t="str">
        <f>IF(ISBLANK(DaqBook_RAW_Data!AK328),"",DaqBook_RAW_Data!AK328)</f>
        <v/>
      </c>
      <c r="G338" s="167" t="str">
        <f>IF(ISBLANK(DaqBook_RAW_Data!AL328),"",DaqBook_RAW_Data!AL328)</f>
        <v/>
      </c>
      <c r="H338" s="167" t="str">
        <f>IF(ISBLANK(DaqBook_RAW_Data!AM328),"",DaqBook_RAW_Data!AM328)</f>
        <v/>
      </c>
      <c r="I338" s="167" t="str">
        <f>IF(ISBLANK(DaqBook_RAW_Data!AN328),"",DaqBook_RAW_Data!AN328)</f>
        <v/>
      </c>
      <c r="J338" s="167" t="str">
        <f>IF(ISBLANK(DaqBook_RAW_Data!AO328),"",DaqBook_RAW_Data!AO328)</f>
        <v/>
      </c>
      <c r="K338" s="167" t="str">
        <f>IF(ISBLANK(DaqBook_RAW_Data!AP328),"",DaqBook_RAW_Data!AP328)</f>
        <v/>
      </c>
      <c r="L338" s="167" t="str">
        <f>IF(ISBLANK(DaqBook_RAW_Data!AQ328),"",DaqBook_RAW_Data!AQ328)</f>
        <v/>
      </c>
      <c r="M338" s="167" t="str">
        <f>IF(ISBLANK(DaqBook_RAW_Data!AR328),"",DaqBook_RAW_Data!AR328)</f>
        <v/>
      </c>
      <c r="N338" s="167" t="str">
        <f>IF(ISBLANK(DaqBook_RAW_Data!AS328),"",DaqBook_RAW_Data!AS328)</f>
        <v/>
      </c>
      <c r="O338" s="167"/>
      <c r="P338" s="167"/>
    </row>
    <row r="339" spans="1:16" x14ac:dyDescent="0.2">
      <c r="A339" s="58" t="e">
        <f t="shared" si="5"/>
        <v>#VALUE!</v>
      </c>
      <c r="B339" s="144" t="str">
        <f>IF(ISBLANK(DaqBook_RAW_Data!AG329),IF(DaqBook_RAW_Data!A329="","",TIMEVALUE(DaqBook_RAW_Data!A329)),TIMEVALUE(DaqBook_RAW_Data!AG329))</f>
        <v/>
      </c>
      <c r="C339" s="167" t="str">
        <f>IF(ISBLANK(DaqBook_RAW_Data!AH329),"",DaqBook_RAW_Data!AH329)</f>
        <v/>
      </c>
      <c r="D339" s="167" t="str">
        <f>IF(ISBLANK(DaqBook_RAW_Data!AI329),"",DaqBook_RAW_Data!AI329)</f>
        <v/>
      </c>
      <c r="E339" s="167" t="str">
        <f>IF(ISBLANK(DaqBook_RAW_Data!AJ329),"",DaqBook_RAW_Data!AJ329)</f>
        <v/>
      </c>
      <c r="F339" s="167" t="str">
        <f>IF(ISBLANK(DaqBook_RAW_Data!AK329),"",DaqBook_RAW_Data!AK329)</f>
        <v/>
      </c>
      <c r="G339" s="167" t="str">
        <f>IF(ISBLANK(DaqBook_RAW_Data!AL329),"",DaqBook_RAW_Data!AL329)</f>
        <v/>
      </c>
      <c r="H339" s="167" t="str">
        <f>IF(ISBLANK(DaqBook_RAW_Data!AM329),"",DaqBook_RAW_Data!AM329)</f>
        <v/>
      </c>
      <c r="I339" s="167" t="str">
        <f>IF(ISBLANK(DaqBook_RAW_Data!AN329),"",DaqBook_RAW_Data!AN329)</f>
        <v/>
      </c>
      <c r="J339" s="167" t="str">
        <f>IF(ISBLANK(DaqBook_RAW_Data!AO329),"",DaqBook_RAW_Data!AO329)</f>
        <v/>
      </c>
      <c r="K339" s="167" t="str">
        <f>IF(ISBLANK(DaqBook_RAW_Data!AP329),"",DaqBook_RAW_Data!AP329)</f>
        <v/>
      </c>
      <c r="L339" s="167" t="str">
        <f>IF(ISBLANK(DaqBook_RAW_Data!AQ329),"",DaqBook_RAW_Data!AQ329)</f>
        <v/>
      </c>
      <c r="M339" s="167" t="str">
        <f>IF(ISBLANK(DaqBook_RAW_Data!AR329),"",DaqBook_RAW_Data!AR329)</f>
        <v/>
      </c>
      <c r="N339" s="167" t="str">
        <f>IF(ISBLANK(DaqBook_RAW_Data!AS329),"",DaqBook_RAW_Data!AS329)</f>
        <v/>
      </c>
      <c r="O339" s="167"/>
      <c r="P339" s="167"/>
    </row>
    <row r="340" spans="1:16" x14ac:dyDescent="0.2">
      <c r="A340" s="58" t="e">
        <f t="shared" si="5"/>
        <v>#VALUE!</v>
      </c>
      <c r="B340" s="144" t="str">
        <f>IF(ISBLANK(DaqBook_RAW_Data!AG330),IF(DaqBook_RAW_Data!A330="","",TIMEVALUE(DaqBook_RAW_Data!A330)),TIMEVALUE(DaqBook_RAW_Data!AG330))</f>
        <v/>
      </c>
      <c r="C340" s="167" t="str">
        <f>IF(ISBLANK(DaqBook_RAW_Data!AH330),"",DaqBook_RAW_Data!AH330)</f>
        <v/>
      </c>
      <c r="D340" s="167" t="str">
        <f>IF(ISBLANK(DaqBook_RAW_Data!AI330),"",DaqBook_RAW_Data!AI330)</f>
        <v/>
      </c>
      <c r="E340" s="167" t="str">
        <f>IF(ISBLANK(DaqBook_RAW_Data!AJ330),"",DaqBook_RAW_Data!AJ330)</f>
        <v/>
      </c>
      <c r="F340" s="167" t="str">
        <f>IF(ISBLANK(DaqBook_RAW_Data!AK330),"",DaqBook_RAW_Data!AK330)</f>
        <v/>
      </c>
      <c r="G340" s="167" t="str">
        <f>IF(ISBLANK(DaqBook_RAW_Data!AL330),"",DaqBook_RAW_Data!AL330)</f>
        <v/>
      </c>
      <c r="H340" s="167" t="str">
        <f>IF(ISBLANK(DaqBook_RAW_Data!AM330),"",DaqBook_RAW_Data!AM330)</f>
        <v/>
      </c>
      <c r="I340" s="167" t="str">
        <f>IF(ISBLANK(DaqBook_RAW_Data!AN330),"",DaqBook_RAW_Data!AN330)</f>
        <v/>
      </c>
      <c r="J340" s="167" t="str">
        <f>IF(ISBLANK(DaqBook_RAW_Data!AO330),"",DaqBook_RAW_Data!AO330)</f>
        <v/>
      </c>
      <c r="K340" s="167" t="str">
        <f>IF(ISBLANK(DaqBook_RAW_Data!AP330),"",DaqBook_RAW_Data!AP330)</f>
        <v/>
      </c>
      <c r="L340" s="167" t="str">
        <f>IF(ISBLANK(DaqBook_RAW_Data!AQ330),"",DaqBook_RAW_Data!AQ330)</f>
        <v/>
      </c>
      <c r="M340" s="167" t="str">
        <f>IF(ISBLANK(DaqBook_RAW_Data!AR330),"",DaqBook_RAW_Data!AR330)</f>
        <v/>
      </c>
      <c r="N340" s="167" t="str">
        <f>IF(ISBLANK(DaqBook_RAW_Data!AS330),"",DaqBook_RAW_Data!AS330)</f>
        <v/>
      </c>
      <c r="O340" s="167"/>
      <c r="P340" s="167"/>
    </row>
    <row r="341" spans="1:16" x14ac:dyDescent="0.2">
      <c r="A341" s="58" t="e">
        <f t="shared" si="5"/>
        <v>#VALUE!</v>
      </c>
      <c r="B341" s="144" t="str">
        <f>IF(ISBLANK(DaqBook_RAW_Data!AG331),IF(DaqBook_RAW_Data!A331="","",TIMEVALUE(DaqBook_RAW_Data!A331)),TIMEVALUE(DaqBook_RAW_Data!AG331))</f>
        <v/>
      </c>
      <c r="C341" s="167" t="str">
        <f>IF(ISBLANK(DaqBook_RAW_Data!AH331),"",DaqBook_RAW_Data!AH331)</f>
        <v/>
      </c>
      <c r="D341" s="167" t="str">
        <f>IF(ISBLANK(DaqBook_RAW_Data!AI331),"",DaqBook_RAW_Data!AI331)</f>
        <v/>
      </c>
      <c r="E341" s="167" t="str">
        <f>IF(ISBLANK(DaqBook_RAW_Data!AJ331),"",DaqBook_RAW_Data!AJ331)</f>
        <v/>
      </c>
      <c r="F341" s="167" t="str">
        <f>IF(ISBLANK(DaqBook_RAW_Data!AK331),"",DaqBook_RAW_Data!AK331)</f>
        <v/>
      </c>
      <c r="G341" s="167" t="str">
        <f>IF(ISBLANK(DaqBook_RAW_Data!AL331),"",DaqBook_RAW_Data!AL331)</f>
        <v/>
      </c>
      <c r="H341" s="167" t="str">
        <f>IF(ISBLANK(DaqBook_RAW_Data!AM331),"",DaqBook_RAW_Data!AM331)</f>
        <v/>
      </c>
      <c r="I341" s="167" t="str">
        <f>IF(ISBLANK(DaqBook_RAW_Data!AN331),"",DaqBook_RAW_Data!AN331)</f>
        <v/>
      </c>
      <c r="J341" s="167" t="str">
        <f>IF(ISBLANK(DaqBook_RAW_Data!AO331),"",DaqBook_RAW_Data!AO331)</f>
        <v/>
      </c>
      <c r="K341" s="167" t="str">
        <f>IF(ISBLANK(DaqBook_RAW_Data!AP331),"",DaqBook_RAW_Data!AP331)</f>
        <v/>
      </c>
      <c r="L341" s="167" t="str">
        <f>IF(ISBLANK(DaqBook_RAW_Data!AQ331),"",DaqBook_RAW_Data!AQ331)</f>
        <v/>
      </c>
      <c r="M341" s="167" t="str">
        <f>IF(ISBLANK(DaqBook_RAW_Data!AR331),"",DaqBook_RAW_Data!AR331)</f>
        <v/>
      </c>
      <c r="N341" s="167" t="str">
        <f>IF(ISBLANK(DaqBook_RAW_Data!AS331),"",DaqBook_RAW_Data!AS331)</f>
        <v/>
      </c>
      <c r="O341" s="167"/>
      <c r="P341" s="167"/>
    </row>
    <row r="342" spans="1:16" x14ac:dyDescent="0.2">
      <c r="A342" s="58" t="e">
        <f t="shared" si="5"/>
        <v>#VALUE!</v>
      </c>
      <c r="B342" s="144" t="str">
        <f>IF(ISBLANK(DaqBook_RAW_Data!AG332),IF(DaqBook_RAW_Data!A332="","",TIMEVALUE(DaqBook_RAW_Data!A332)),TIMEVALUE(DaqBook_RAW_Data!AG332))</f>
        <v/>
      </c>
      <c r="C342" s="167" t="str">
        <f>IF(ISBLANK(DaqBook_RAW_Data!AH332),"",DaqBook_RAW_Data!AH332)</f>
        <v/>
      </c>
      <c r="D342" s="167" t="str">
        <f>IF(ISBLANK(DaqBook_RAW_Data!AI332),"",DaqBook_RAW_Data!AI332)</f>
        <v/>
      </c>
      <c r="E342" s="167" t="str">
        <f>IF(ISBLANK(DaqBook_RAW_Data!AJ332),"",DaqBook_RAW_Data!AJ332)</f>
        <v/>
      </c>
      <c r="F342" s="167" t="str">
        <f>IF(ISBLANK(DaqBook_RAW_Data!AK332),"",DaqBook_RAW_Data!AK332)</f>
        <v/>
      </c>
      <c r="G342" s="167" t="str">
        <f>IF(ISBLANK(DaqBook_RAW_Data!AL332),"",DaqBook_RAW_Data!AL332)</f>
        <v/>
      </c>
      <c r="H342" s="167" t="str">
        <f>IF(ISBLANK(DaqBook_RAW_Data!AM332),"",DaqBook_RAW_Data!AM332)</f>
        <v/>
      </c>
      <c r="I342" s="167" t="str">
        <f>IF(ISBLANK(DaqBook_RAW_Data!AN332),"",DaqBook_RAW_Data!AN332)</f>
        <v/>
      </c>
      <c r="J342" s="167" t="str">
        <f>IF(ISBLANK(DaqBook_RAW_Data!AO332),"",DaqBook_RAW_Data!AO332)</f>
        <v/>
      </c>
      <c r="K342" s="167" t="str">
        <f>IF(ISBLANK(DaqBook_RAW_Data!AP332),"",DaqBook_RAW_Data!AP332)</f>
        <v/>
      </c>
      <c r="L342" s="167" t="str">
        <f>IF(ISBLANK(DaqBook_RAW_Data!AQ332),"",DaqBook_RAW_Data!AQ332)</f>
        <v/>
      </c>
      <c r="M342" s="167" t="str">
        <f>IF(ISBLANK(DaqBook_RAW_Data!AR332),"",DaqBook_RAW_Data!AR332)</f>
        <v/>
      </c>
      <c r="N342" s="167" t="str">
        <f>IF(ISBLANK(DaqBook_RAW_Data!AS332),"",DaqBook_RAW_Data!AS332)</f>
        <v/>
      </c>
      <c r="O342" s="167"/>
      <c r="P342" s="167"/>
    </row>
    <row r="343" spans="1:16" x14ac:dyDescent="0.2">
      <c r="A343" s="58" t="e">
        <f t="shared" si="5"/>
        <v>#VALUE!</v>
      </c>
      <c r="B343" s="144" t="str">
        <f>IF(ISBLANK(DaqBook_RAW_Data!AG333),IF(DaqBook_RAW_Data!A333="","",TIMEVALUE(DaqBook_RAW_Data!A333)),TIMEVALUE(DaqBook_RAW_Data!AG333))</f>
        <v/>
      </c>
      <c r="C343" s="167" t="str">
        <f>IF(ISBLANK(DaqBook_RAW_Data!AH333),"",DaqBook_RAW_Data!AH333)</f>
        <v/>
      </c>
      <c r="D343" s="167" t="str">
        <f>IF(ISBLANK(DaqBook_RAW_Data!AI333),"",DaqBook_RAW_Data!AI333)</f>
        <v/>
      </c>
      <c r="E343" s="167" t="str">
        <f>IF(ISBLANK(DaqBook_RAW_Data!AJ333),"",DaqBook_RAW_Data!AJ333)</f>
        <v/>
      </c>
      <c r="F343" s="167" t="str">
        <f>IF(ISBLANK(DaqBook_RAW_Data!AK333),"",DaqBook_RAW_Data!AK333)</f>
        <v/>
      </c>
      <c r="G343" s="167" t="str">
        <f>IF(ISBLANK(DaqBook_RAW_Data!AL333),"",DaqBook_RAW_Data!AL333)</f>
        <v/>
      </c>
      <c r="H343" s="167" t="str">
        <f>IF(ISBLANK(DaqBook_RAW_Data!AM333),"",DaqBook_RAW_Data!AM333)</f>
        <v/>
      </c>
      <c r="I343" s="167" t="str">
        <f>IF(ISBLANK(DaqBook_RAW_Data!AN333),"",DaqBook_RAW_Data!AN333)</f>
        <v/>
      </c>
      <c r="J343" s="167" t="str">
        <f>IF(ISBLANK(DaqBook_RAW_Data!AO333),"",DaqBook_RAW_Data!AO333)</f>
        <v/>
      </c>
      <c r="K343" s="167" t="str">
        <f>IF(ISBLANK(DaqBook_RAW_Data!AP333),"",DaqBook_RAW_Data!AP333)</f>
        <v/>
      </c>
      <c r="L343" s="167" t="str">
        <f>IF(ISBLANK(DaqBook_RAW_Data!AQ333),"",DaqBook_RAW_Data!AQ333)</f>
        <v/>
      </c>
      <c r="M343" s="167" t="str">
        <f>IF(ISBLANK(DaqBook_RAW_Data!AR333),"",DaqBook_RAW_Data!AR333)</f>
        <v/>
      </c>
      <c r="N343" s="167" t="str">
        <f>IF(ISBLANK(DaqBook_RAW_Data!AS333),"",DaqBook_RAW_Data!AS333)</f>
        <v/>
      </c>
      <c r="O343" s="167"/>
      <c r="P343" s="167"/>
    </row>
    <row r="344" spans="1:16" x14ac:dyDescent="0.2">
      <c r="A344" s="58" t="e">
        <f t="shared" si="5"/>
        <v>#VALUE!</v>
      </c>
      <c r="B344" s="144" t="str">
        <f>IF(ISBLANK(DaqBook_RAW_Data!AG334),IF(DaqBook_RAW_Data!A334="","",TIMEVALUE(DaqBook_RAW_Data!A334)),TIMEVALUE(DaqBook_RAW_Data!AG334))</f>
        <v/>
      </c>
      <c r="C344" s="167" t="str">
        <f>IF(ISBLANK(DaqBook_RAW_Data!AH334),"",DaqBook_RAW_Data!AH334)</f>
        <v/>
      </c>
      <c r="D344" s="167" t="str">
        <f>IF(ISBLANK(DaqBook_RAW_Data!AI334),"",DaqBook_RAW_Data!AI334)</f>
        <v/>
      </c>
      <c r="E344" s="167" t="str">
        <f>IF(ISBLANK(DaqBook_RAW_Data!AJ334),"",DaqBook_RAW_Data!AJ334)</f>
        <v/>
      </c>
      <c r="F344" s="167" t="str">
        <f>IF(ISBLANK(DaqBook_RAW_Data!AK334),"",DaqBook_RAW_Data!AK334)</f>
        <v/>
      </c>
      <c r="G344" s="167" t="str">
        <f>IF(ISBLANK(DaqBook_RAW_Data!AL334),"",DaqBook_RAW_Data!AL334)</f>
        <v/>
      </c>
      <c r="H344" s="167" t="str">
        <f>IF(ISBLANK(DaqBook_RAW_Data!AM334),"",DaqBook_RAW_Data!AM334)</f>
        <v/>
      </c>
      <c r="I344" s="167" t="str">
        <f>IF(ISBLANK(DaqBook_RAW_Data!AN334),"",DaqBook_RAW_Data!AN334)</f>
        <v/>
      </c>
      <c r="J344" s="167" t="str">
        <f>IF(ISBLANK(DaqBook_RAW_Data!AO334),"",DaqBook_RAW_Data!AO334)</f>
        <v/>
      </c>
      <c r="K344" s="167" t="str">
        <f>IF(ISBLANK(DaqBook_RAW_Data!AP334),"",DaqBook_RAW_Data!AP334)</f>
        <v/>
      </c>
      <c r="L344" s="167" t="str">
        <f>IF(ISBLANK(DaqBook_RAW_Data!AQ334),"",DaqBook_RAW_Data!AQ334)</f>
        <v/>
      </c>
      <c r="M344" s="167" t="str">
        <f>IF(ISBLANK(DaqBook_RAW_Data!AR334),"",DaqBook_RAW_Data!AR334)</f>
        <v/>
      </c>
      <c r="N344" s="167" t="str">
        <f>IF(ISBLANK(DaqBook_RAW_Data!AS334),"",DaqBook_RAW_Data!AS334)</f>
        <v/>
      </c>
      <c r="O344" s="167"/>
      <c r="P344" s="167"/>
    </row>
    <row r="345" spans="1:16" x14ac:dyDescent="0.2">
      <c r="A345" s="58" t="e">
        <f t="shared" si="5"/>
        <v>#VALUE!</v>
      </c>
      <c r="B345" s="144" t="str">
        <f>IF(ISBLANK(DaqBook_RAW_Data!AG335),IF(DaqBook_RAW_Data!A335="","",TIMEVALUE(DaqBook_RAW_Data!A335)),TIMEVALUE(DaqBook_RAW_Data!AG335))</f>
        <v/>
      </c>
      <c r="C345" s="167" t="str">
        <f>IF(ISBLANK(DaqBook_RAW_Data!AH335),"",DaqBook_RAW_Data!AH335)</f>
        <v/>
      </c>
      <c r="D345" s="167" t="str">
        <f>IF(ISBLANK(DaqBook_RAW_Data!AI335),"",DaqBook_RAW_Data!AI335)</f>
        <v/>
      </c>
      <c r="E345" s="167" t="str">
        <f>IF(ISBLANK(DaqBook_RAW_Data!AJ335),"",DaqBook_RAW_Data!AJ335)</f>
        <v/>
      </c>
      <c r="F345" s="167" t="str">
        <f>IF(ISBLANK(DaqBook_RAW_Data!AK335),"",DaqBook_RAW_Data!AK335)</f>
        <v/>
      </c>
      <c r="G345" s="167" t="str">
        <f>IF(ISBLANK(DaqBook_RAW_Data!AL335),"",DaqBook_RAW_Data!AL335)</f>
        <v/>
      </c>
      <c r="H345" s="167" t="str">
        <f>IF(ISBLANK(DaqBook_RAW_Data!AM335),"",DaqBook_RAW_Data!AM335)</f>
        <v/>
      </c>
      <c r="I345" s="167" t="str">
        <f>IF(ISBLANK(DaqBook_RAW_Data!AN335),"",DaqBook_RAW_Data!AN335)</f>
        <v/>
      </c>
      <c r="J345" s="167" t="str">
        <f>IF(ISBLANK(DaqBook_RAW_Data!AO335),"",DaqBook_RAW_Data!AO335)</f>
        <v/>
      </c>
      <c r="K345" s="167" t="str">
        <f>IF(ISBLANK(DaqBook_RAW_Data!AP335),"",DaqBook_RAW_Data!AP335)</f>
        <v/>
      </c>
      <c r="L345" s="167" t="str">
        <f>IF(ISBLANK(DaqBook_RAW_Data!AQ335),"",DaqBook_RAW_Data!AQ335)</f>
        <v/>
      </c>
      <c r="M345" s="167" t="str">
        <f>IF(ISBLANK(DaqBook_RAW_Data!AR335),"",DaqBook_RAW_Data!AR335)</f>
        <v/>
      </c>
      <c r="N345" s="167" t="str">
        <f>IF(ISBLANK(DaqBook_RAW_Data!AS335),"",DaqBook_RAW_Data!AS335)</f>
        <v/>
      </c>
      <c r="O345" s="167"/>
      <c r="P345" s="167"/>
    </row>
    <row r="346" spans="1:16" x14ac:dyDescent="0.2">
      <c r="A346" s="58" t="e">
        <f t="shared" si="5"/>
        <v>#VALUE!</v>
      </c>
      <c r="B346" s="144" t="str">
        <f>IF(ISBLANK(DaqBook_RAW_Data!AG336),IF(DaqBook_RAW_Data!A336="","",TIMEVALUE(DaqBook_RAW_Data!A336)),TIMEVALUE(DaqBook_RAW_Data!AG336))</f>
        <v/>
      </c>
      <c r="C346" s="167" t="str">
        <f>IF(ISBLANK(DaqBook_RAW_Data!AH336),"",DaqBook_RAW_Data!AH336)</f>
        <v/>
      </c>
      <c r="D346" s="167" t="str">
        <f>IF(ISBLANK(DaqBook_RAW_Data!AI336),"",DaqBook_RAW_Data!AI336)</f>
        <v/>
      </c>
      <c r="E346" s="167" t="str">
        <f>IF(ISBLANK(DaqBook_RAW_Data!AJ336),"",DaqBook_RAW_Data!AJ336)</f>
        <v/>
      </c>
      <c r="F346" s="167" t="str">
        <f>IF(ISBLANK(DaqBook_RAW_Data!AK336),"",DaqBook_RAW_Data!AK336)</f>
        <v/>
      </c>
      <c r="G346" s="167" t="str">
        <f>IF(ISBLANK(DaqBook_RAW_Data!AL336),"",DaqBook_RAW_Data!AL336)</f>
        <v/>
      </c>
      <c r="H346" s="167" t="str">
        <f>IF(ISBLANK(DaqBook_RAW_Data!AM336),"",DaqBook_RAW_Data!AM336)</f>
        <v/>
      </c>
      <c r="I346" s="167" t="str">
        <f>IF(ISBLANK(DaqBook_RAW_Data!AN336),"",DaqBook_RAW_Data!AN336)</f>
        <v/>
      </c>
      <c r="J346" s="167" t="str">
        <f>IF(ISBLANK(DaqBook_RAW_Data!AO336),"",DaqBook_RAW_Data!AO336)</f>
        <v/>
      </c>
      <c r="K346" s="167" t="str">
        <f>IF(ISBLANK(DaqBook_RAW_Data!AP336),"",DaqBook_RAW_Data!AP336)</f>
        <v/>
      </c>
      <c r="L346" s="167" t="str">
        <f>IF(ISBLANK(DaqBook_RAW_Data!AQ336),"",DaqBook_RAW_Data!AQ336)</f>
        <v/>
      </c>
      <c r="M346" s="167" t="str">
        <f>IF(ISBLANK(DaqBook_RAW_Data!AR336),"",DaqBook_RAW_Data!AR336)</f>
        <v/>
      </c>
      <c r="N346" s="167" t="str">
        <f>IF(ISBLANK(DaqBook_RAW_Data!AS336),"",DaqBook_RAW_Data!AS336)</f>
        <v/>
      </c>
      <c r="O346" s="167"/>
      <c r="P346" s="167"/>
    </row>
    <row r="347" spans="1:16" x14ac:dyDescent="0.2">
      <c r="A347" s="58" t="e">
        <f t="shared" si="5"/>
        <v>#VALUE!</v>
      </c>
      <c r="B347" s="144" t="str">
        <f>IF(ISBLANK(DaqBook_RAW_Data!AG337),IF(DaqBook_RAW_Data!A337="","",TIMEVALUE(DaqBook_RAW_Data!A337)),TIMEVALUE(DaqBook_RAW_Data!AG337))</f>
        <v/>
      </c>
      <c r="C347" s="167" t="str">
        <f>IF(ISBLANK(DaqBook_RAW_Data!AH337),"",DaqBook_RAW_Data!AH337)</f>
        <v/>
      </c>
      <c r="D347" s="167" t="str">
        <f>IF(ISBLANK(DaqBook_RAW_Data!AI337),"",DaqBook_RAW_Data!AI337)</f>
        <v/>
      </c>
      <c r="E347" s="167" t="str">
        <f>IF(ISBLANK(DaqBook_RAW_Data!AJ337),"",DaqBook_RAW_Data!AJ337)</f>
        <v/>
      </c>
      <c r="F347" s="167" t="str">
        <f>IF(ISBLANK(DaqBook_RAW_Data!AK337),"",DaqBook_RAW_Data!AK337)</f>
        <v/>
      </c>
      <c r="G347" s="167" t="str">
        <f>IF(ISBLANK(DaqBook_RAW_Data!AL337),"",DaqBook_RAW_Data!AL337)</f>
        <v/>
      </c>
      <c r="H347" s="167" t="str">
        <f>IF(ISBLANK(DaqBook_RAW_Data!AM337),"",DaqBook_RAW_Data!AM337)</f>
        <v/>
      </c>
      <c r="I347" s="167" t="str">
        <f>IF(ISBLANK(DaqBook_RAW_Data!AN337),"",DaqBook_RAW_Data!AN337)</f>
        <v/>
      </c>
      <c r="J347" s="167" t="str">
        <f>IF(ISBLANK(DaqBook_RAW_Data!AO337),"",DaqBook_RAW_Data!AO337)</f>
        <v/>
      </c>
      <c r="K347" s="167" t="str">
        <f>IF(ISBLANK(DaqBook_RAW_Data!AP337),"",DaqBook_RAW_Data!AP337)</f>
        <v/>
      </c>
      <c r="L347" s="167" t="str">
        <f>IF(ISBLANK(DaqBook_RAW_Data!AQ337),"",DaqBook_RAW_Data!AQ337)</f>
        <v/>
      </c>
      <c r="M347" s="167" t="str">
        <f>IF(ISBLANK(DaqBook_RAW_Data!AR337),"",DaqBook_RAW_Data!AR337)</f>
        <v/>
      </c>
      <c r="N347" s="167" t="str">
        <f>IF(ISBLANK(DaqBook_RAW_Data!AS337),"",DaqBook_RAW_Data!AS337)</f>
        <v/>
      </c>
      <c r="O347" s="167"/>
      <c r="P347" s="167"/>
    </row>
    <row r="348" spans="1:16" x14ac:dyDescent="0.2">
      <c r="A348" s="58" t="e">
        <f t="shared" si="5"/>
        <v>#VALUE!</v>
      </c>
      <c r="B348" s="144" t="str">
        <f>IF(ISBLANK(DaqBook_RAW_Data!AG338),IF(DaqBook_RAW_Data!A338="","",TIMEVALUE(DaqBook_RAW_Data!A338)),TIMEVALUE(DaqBook_RAW_Data!AG338))</f>
        <v/>
      </c>
      <c r="C348" s="167" t="str">
        <f>IF(ISBLANK(DaqBook_RAW_Data!AH338),"",DaqBook_RAW_Data!AH338)</f>
        <v/>
      </c>
      <c r="D348" s="167" t="str">
        <f>IF(ISBLANK(DaqBook_RAW_Data!AI338),"",DaqBook_RAW_Data!AI338)</f>
        <v/>
      </c>
      <c r="E348" s="167" t="str">
        <f>IF(ISBLANK(DaqBook_RAW_Data!AJ338),"",DaqBook_RAW_Data!AJ338)</f>
        <v/>
      </c>
      <c r="F348" s="167" t="str">
        <f>IF(ISBLANK(DaqBook_RAW_Data!AK338),"",DaqBook_RAW_Data!AK338)</f>
        <v/>
      </c>
      <c r="G348" s="167" t="str">
        <f>IF(ISBLANK(DaqBook_RAW_Data!AL338),"",DaqBook_RAW_Data!AL338)</f>
        <v/>
      </c>
      <c r="H348" s="167" t="str">
        <f>IF(ISBLANK(DaqBook_RAW_Data!AM338),"",DaqBook_RAW_Data!AM338)</f>
        <v/>
      </c>
      <c r="I348" s="167" t="str">
        <f>IF(ISBLANK(DaqBook_RAW_Data!AN338),"",DaqBook_RAW_Data!AN338)</f>
        <v/>
      </c>
      <c r="J348" s="167" t="str">
        <f>IF(ISBLANK(DaqBook_RAW_Data!AO338),"",DaqBook_RAW_Data!AO338)</f>
        <v/>
      </c>
      <c r="K348" s="167" t="str">
        <f>IF(ISBLANK(DaqBook_RAW_Data!AP338),"",DaqBook_RAW_Data!AP338)</f>
        <v/>
      </c>
      <c r="L348" s="167" t="str">
        <f>IF(ISBLANK(DaqBook_RAW_Data!AQ338),"",DaqBook_RAW_Data!AQ338)</f>
        <v/>
      </c>
      <c r="M348" s="167" t="str">
        <f>IF(ISBLANK(DaqBook_RAW_Data!AR338),"",DaqBook_RAW_Data!AR338)</f>
        <v/>
      </c>
      <c r="N348" s="167" t="str">
        <f>IF(ISBLANK(DaqBook_RAW_Data!AS338),"",DaqBook_RAW_Data!AS338)</f>
        <v/>
      </c>
      <c r="O348" s="167"/>
      <c r="P348" s="167"/>
    </row>
    <row r="349" spans="1:16" x14ac:dyDescent="0.2">
      <c r="A349" s="58" t="e">
        <f t="shared" si="5"/>
        <v>#VALUE!</v>
      </c>
      <c r="B349" s="144" t="str">
        <f>IF(ISBLANK(DaqBook_RAW_Data!AG339),IF(DaqBook_RAW_Data!A339="","",TIMEVALUE(DaqBook_RAW_Data!A339)),TIMEVALUE(DaqBook_RAW_Data!AG339))</f>
        <v/>
      </c>
      <c r="C349" s="167" t="str">
        <f>IF(ISBLANK(DaqBook_RAW_Data!AH339),"",DaqBook_RAW_Data!AH339)</f>
        <v/>
      </c>
      <c r="D349" s="167" t="str">
        <f>IF(ISBLANK(DaqBook_RAW_Data!AI339),"",DaqBook_RAW_Data!AI339)</f>
        <v/>
      </c>
      <c r="E349" s="167" t="str">
        <f>IF(ISBLANK(DaqBook_RAW_Data!AJ339),"",DaqBook_RAW_Data!AJ339)</f>
        <v/>
      </c>
      <c r="F349" s="167" t="str">
        <f>IF(ISBLANK(DaqBook_RAW_Data!AK339),"",DaqBook_RAW_Data!AK339)</f>
        <v/>
      </c>
      <c r="G349" s="167" t="str">
        <f>IF(ISBLANK(DaqBook_RAW_Data!AL339),"",DaqBook_RAW_Data!AL339)</f>
        <v/>
      </c>
      <c r="H349" s="167" t="str">
        <f>IF(ISBLANK(DaqBook_RAW_Data!AM339),"",DaqBook_RAW_Data!AM339)</f>
        <v/>
      </c>
      <c r="I349" s="167" t="str">
        <f>IF(ISBLANK(DaqBook_RAW_Data!AN339),"",DaqBook_RAW_Data!AN339)</f>
        <v/>
      </c>
      <c r="J349" s="167" t="str">
        <f>IF(ISBLANK(DaqBook_RAW_Data!AO339),"",DaqBook_RAW_Data!AO339)</f>
        <v/>
      </c>
      <c r="K349" s="167" t="str">
        <f>IF(ISBLANK(DaqBook_RAW_Data!AP339),"",DaqBook_RAW_Data!AP339)</f>
        <v/>
      </c>
      <c r="L349" s="167" t="str">
        <f>IF(ISBLANK(DaqBook_RAW_Data!AQ339),"",DaqBook_RAW_Data!AQ339)</f>
        <v/>
      </c>
      <c r="M349" s="167" t="str">
        <f>IF(ISBLANK(DaqBook_RAW_Data!AR339),"",DaqBook_RAW_Data!AR339)</f>
        <v/>
      </c>
      <c r="N349" s="167" t="str">
        <f>IF(ISBLANK(DaqBook_RAW_Data!AS339),"",DaqBook_RAW_Data!AS339)</f>
        <v/>
      </c>
      <c r="O349" s="167"/>
      <c r="P349" s="167"/>
    </row>
    <row r="350" spans="1:16" x14ac:dyDescent="0.2">
      <c r="A350" s="58" t="e">
        <f t="shared" si="5"/>
        <v>#VALUE!</v>
      </c>
      <c r="B350" s="144" t="str">
        <f>IF(ISBLANK(DaqBook_RAW_Data!AG340),IF(DaqBook_RAW_Data!A340="","",TIMEVALUE(DaqBook_RAW_Data!A340)),TIMEVALUE(DaqBook_RAW_Data!AG340))</f>
        <v/>
      </c>
      <c r="C350" s="167" t="str">
        <f>IF(ISBLANK(DaqBook_RAW_Data!AH340),"",DaqBook_RAW_Data!AH340)</f>
        <v/>
      </c>
      <c r="D350" s="167" t="str">
        <f>IF(ISBLANK(DaqBook_RAW_Data!AI340),"",DaqBook_RAW_Data!AI340)</f>
        <v/>
      </c>
      <c r="E350" s="167" t="str">
        <f>IF(ISBLANK(DaqBook_RAW_Data!AJ340),"",DaqBook_RAW_Data!AJ340)</f>
        <v/>
      </c>
      <c r="F350" s="167" t="str">
        <f>IF(ISBLANK(DaqBook_RAW_Data!AK340),"",DaqBook_RAW_Data!AK340)</f>
        <v/>
      </c>
      <c r="G350" s="167" t="str">
        <f>IF(ISBLANK(DaqBook_RAW_Data!AL340),"",DaqBook_RAW_Data!AL340)</f>
        <v/>
      </c>
      <c r="H350" s="167" t="str">
        <f>IF(ISBLANK(DaqBook_RAW_Data!AM340),"",DaqBook_RAW_Data!AM340)</f>
        <v/>
      </c>
      <c r="I350" s="167" t="str">
        <f>IF(ISBLANK(DaqBook_RAW_Data!AN340),"",DaqBook_RAW_Data!AN340)</f>
        <v/>
      </c>
      <c r="J350" s="167" t="str">
        <f>IF(ISBLANK(DaqBook_RAW_Data!AO340),"",DaqBook_RAW_Data!AO340)</f>
        <v/>
      </c>
      <c r="K350" s="167" t="str">
        <f>IF(ISBLANK(DaqBook_RAW_Data!AP340),"",DaqBook_RAW_Data!AP340)</f>
        <v/>
      </c>
      <c r="L350" s="167" t="str">
        <f>IF(ISBLANK(DaqBook_RAW_Data!AQ340),"",DaqBook_RAW_Data!AQ340)</f>
        <v/>
      </c>
      <c r="M350" s="167" t="str">
        <f>IF(ISBLANK(DaqBook_RAW_Data!AR340),"",DaqBook_RAW_Data!AR340)</f>
        <v/>
      </c>
      <c r="N350" s="167" t="str">
        <f>IF(ISBLANK(DaqBook_RAW_Data!AS340),"",DaqBook_RAW_Data!AS340)</f>
        <v/>
      </c>
      <c r="O350" s="167"/>
      <c r="P350" s="167"/>
    </row>
    <row r="351" spans="1:16" x14ac:dyDescent="0.2">
      <c r="A351" s="58" t="e">
        <f t="shared" si="5"/>
        <v>#VALUE!</v>
      </c>
      <c r="B351" s="144" t="str">
        <f>IF(ISBLANK(DaqBook_RAW_Data!AG341),IF(DaqBook_RAW_Data!A341="","",TIMEVALUE(DaqBook_RAW_Data!A341)),TIMEVALUE(DaqBook_RAW_Data!AG341))</f>
        <v/>
      </c>
      <c r="C351" s="167" t="str">
        <f>IF(ISBLANK(DaqBook_RAW_Data!AH341),"",DaqBook_RAW_Data!AH341)</f>
        <v/>
      </c>
      <c r="D351" s="167" t="str">
        <f>IF(ISBLANK(DaqBook_RAW_Data!AI341),"",DaqBook_RAW_Data!AI341)</f>
        <v/>
      </c>
      <c r="E351" s="167" t="str">
        <f>IF(ISBLANK(DaqBook_RAW_Data!AJ341),"",DaqBook_RAW_Data!AJ341)</f>
        <v/>
      </c>
      <c r="F351" s="167" t="str">
        <f>IF(ISBLANK(DaqBook_RAW_Data!AK341),"",DaqBook_RAW_Data!AK341)</f>
        <v/>
      </c>
      <c r="G351" s="167" t="str">
        <f>IF(ISBLANK(DaqBook_RAW_Data!AL341),"",DaqBook_RAW_Data!AL341)</f>
        <v/>
      </c>
      <c r="H351" s="167" t="str">
        <f>IF(ISBLANK(DaqBook_RAW_Data!AM341),"",DaqBook_RAW_Data!AM341)</f>
        <v/>
      </c>
      <c r="I351" s="167" t="str">
        <f>IF(ISBLANK(DaqBook_RAW_Data!AN341),"",DaqBook_RAW_Data!AN341)</f>
        <v/>
      </c>
      <c r="J351" s="167" t="str">
        <f>IF(ISBLANK(DaqBook_RAW_Data!AO341),"",DaqBook_RAW_Data!AO341)</f>
        <v/>
      </c>
      <c r="K351" s="167" t="str">
        <f>IF(ISBLANK(DaqBook_RAW_Data!AP341),"",DaqBook_RAW_Data!AP341)</f>
        <v/>
      </c>
      <c r="L351" s="167" t="str">
        <f>IF(ISBLANK(DaqBook_RAW_Data!AQ341),"",DaqBook_RAW_Data!AQ341)</f>
        <v/>
      </c>
      <c r="M351" s="167" t="str">
        <f>IF(ISBLANK(DaqBook_RAW_Data!AR341),"",DaqBook_RAW_Data!AR341)</f>
        <v/>
      </c>
      <c r="N351" s="167" t="str">
        <f>IF(ISBLANK(DaqBook_RAW_Data!AS341),"",DaqBook_RAW_Data!AS341)</f>
        <v/>
      </c>
      <c r="O351" s="167"/>
      <c r="P351" s="167"/>
    </row>
    <row r="352" spans="1:16" x14ac:dyDescent="0.2">
      <c r="A352" s="58" t="e">
        <f t="shared" si="5"/>
        <v>#VALUE!</v>
      </c>
      <c r="B352" s="144" t="str">
        <f>IF(ISBLANK(DaqBook_RAW_Data!AG342),IF(DaqBook_RAW_Data!A342="","",TIMEVALUE(DaqBook_RAW_Data!A342)),TIMEVALUE(DaqBook_RAW_Data!AG342))</f>
        <v/>
      </c>
      <c r="C352" s="167" t="str">
        <f>IF(ISBLANK(DaqBook_RAW_Data!AH342),"",DaqBook_RAW_Data!AH342)</f>
        <v/>
      </c>
      <c r="D352" s="167" t="str">
        <f>IF(ISBLANK(DaqBook_RAW_Data!AI342),"",DaqBook_RAW_Data!AI342)</f>
        <v/>
      </c>
      <c r="E352" s="167" t="str">
        <f>IF(ISBLANK(DaqBook_RAW_Data!AJ342),"",DaqBook_RAW_Data!AJ342)</f>
        <v/>
      </c>
      <c r="F352" s="167" t="str">
        <f>IF(ISBLANK(DaqBook_RAW_Data!AK342),"",DaqBook_RAW_Data!AK342)</f>
        <v/>
      </c>
      <c r="G352" s="167" t="str">
        <f>IF(ISBLANK(DaqBook_RAW_Data!AL342),"",DaqBook_RAW_Data!AL342)</f>
        <v/>
      </c>
      <c r="H352" s="167" t="str">
        <f>IF(ISBLANK(DaqBook_RAW_Data!AM342),"",DaqBook_RAW_Data!AM342)</f>
        <v/>
      </c>
      <c r="I352" s="167" t="str">
        <f>IF(ISBLANK(DaqBook_RAW_Data!AN342),"",DaqBook_RAW_Data!AN342)</f>
        <v/>
      </c>
      <c r="J352" s="167" t="str">
        <f>IF(ISBLANK(DaqBook_RAW_Data!AO342),"",DaqBook_RAW_Data!AO342)</f>
        <v/>
      </c>
      <c r="K352" s="167" t="str">
        <f>IF(ISBLANK(DaqBook_RAW_Data!AP342),"",DaqBook_RAW_Data!AP342)</f>
        <v/>
      </c>
      <c r="L352" s="167" t="str">
        <f>IF(ISBLANK(DaqBook_RAW_Data!AQ342),"",DaqBook_RAW_Data!AQ342)</f>
        <v/>
      </c>
      <c r="M352" s="167" t="str">
        <f>IF(ISBLANK(DaqBook_RAW_Data!AR342),"",DaqBook_RAW_Data!AR342)</f>
        <v/>
      </c>
      <c r="N352" s="167" t="str">
        <f>IF(ISBLANK(DaqBook_RAW_Data!AS342),"",DaqBook_RAW_Data!AS342)</f>
        <v/>
      </c>
      <c r="O352" s="167"/>
      <c r="P352" s="167"/>
    </row>
    <row r="353" spans="1:16" x14ac:dyDescent="0.2">
      <c r="A353" s="58" t="e">
        <f t="shared" si="5"/>
        <v>#VALUE!</v>
      </c>
      <c r="B353" s="144" t="str">
        <f>IF(ISBLANK(DaqBook_RAW_Data!AG343),IF(DaqBook_RAW_Data!A343="","",TIMEVALUE(DaqBook_RAW_Data!A343)),TIMEVALUE(DaqBook_RAW_Data!AG343))</f>
        <v/>
      </c>
      <c r="C353" s="167" t="str">
        <f>IF(ISBLANK(DaqBook_RAW_Data!AH343),"",DaqBook_RAW_Data!AH343)</f>
        <v/>
      </c>
      <c r="D353" s="167" t="str">
        <f>IF(ISBLANK(DaqBook_RAW_Data!AI343),"",DaqBook_RAW_Data!AI343)</f>
        <v/>
      </c>
      <c r="E353" s="167" t="str">
        <f>IF(ISBLANK(DaqBook_RAW_Data!AJ343),"",DaqBook_RAW_Data!AJ343)</f>
        <v/>
      </c>
      <c r="F353" s="167" t="str">
        <f>IF(ISBLANK(DaqBook_RAW_Data!AK343),"",DaqBook_RAW_Data!AK343)</f>
        <v/>
      </c>
      <c r="G353" s="167" t="str">
        <f>IF(ISBLANK(DaqBook_RAW_Data!AL343),"",DaqBook_RAW_Data!AL343)</f>
        <v/>
      </c>
      <c r="H353" s="167" t="str">
        <f>IF(ISBLANK(DaqBook_RAW_Data!AM343),"",DaqBook_RAW_Data!AM343)</f>
        <v/>
      </c>
      <c r="I353" s="167" t="str">
        <f>IF(ISBLANK(DaqBook_RAW_Data!AN343),"",DaqBook_RAW_Data!AN343)</f>
        <v/>
      </c>
      <c r="J353" s="167" t="str">
        <f>IF(ISBLANK(DaqBook_RAW_Data!AO343),"",DaqBook_RAW_Data!AO343)</f>
        <v/>
      </c>
      <c r="K353" s="167" t="str">
        <f>IF(ISBLANK(DaqBook_RAW_Data!AP343),"",DaqBook_RAW_Data!AP343)</f>
        <v/>
      </c>
      <c r="L353" s="167" t="str">
        <f>IF(ISBLANK(DaqBook_RAW_Data!AQ343),"",DaqBook_RAW_Data!AQ343)</f>
        <v/>
      </c>
      <c r="M353" s="167" t="str">
        <f>IF(ISBLANK(DaqBook_RAW_Data!AR343),"",DaqBook_RAW_Data!AR343)</f>
        <v/>
      </c>
      <c r="N353" s="167" t="str">
        <f>IF(ISBLANK(DaqBook_RAW_Data!AS343),"",DaqBook_RAW_Data!AS343)</f>
        <v/>
      </c>
      <c r="O353" s="167"/>
      <c r="P353" s="167"/>
    </row>
    <row r="354" spans="1:16" x14ac:dyDescent="0.2">
      <c r="A354" s="58" t="e">
        <f t="shared" si="5"/>
        <v>#VALUE!</v>
      </c>
      <c r="B354" s="144" t="str">
        <f>IF(ISBLANK(DaqBook_RAW_Data!AG344),IF(DaqBook_RAW_Data!A344="","",TIMEVALUE(DaqBook_RAW_Data!A344)),TIMEVALUE(DaqBook_RAW_Data!AG344))</f>
        <v/>
      </c>
      <c r="C354" s="167" t="str">
        <f>IF(ISBLANK(DaqBook_RAW_Data!AH344),"",DaqBook_RAW_Data!AH344)</f>
        <v/>
      </c>
      <c r="D354" s="167" t="str">
        <f>IF(ISBLANK(DaqBook_RAW_Data!AI344),"",DaqBook_RAW_Data!AI344)</f>
        <v/>
      </c>
      <c r="E354" s="167" t="str">
        <f>IF(ISBLANK(DaqBook_RAW_Data!AJ344),"",DaqBook_RAW_Data!AJ344)</f>
        <v/>
      </c>
      <c r="F354" s="167" t="str">
        <f>IF(ISBLANK(DaqBook_RAW_Data!AK344),"",DaqBook_RAW_Data!AK344)</f>
        <v/>
      </c>
      <c r="G354" s="167" t="str">
        <f>IF(ISBLANK(DaqBook_RAW_Data!AL344),"",DaqBook_RAW_Data!AL344)</f>
        <v/>
      </c>
      <c r="H354" s="167" t="str">
        <f>IF(ISBLANK(DaqBook_RAW_Data!AM344),"",DaqBook_RAW_Data!AM344)</f>
        <v/>
      </c>
      <c r="I354" s="167" t="str">
        <f>IF(ISBLANK(DaqBook_RAW_Data!AN344),"",DaqBook_RAW_Data!AN344)</f>
        <v/>
      </c>
      <c r="J354" s="167" t="str">
        <f>IF(ISBLANK(DaqBook_RAW_Data!AO344),"",DaqBook_RAW_Data!AO344)</f>
        <v/>
      </c>
      <c r="K354" s="167" t="str">
        <f>IF(ISBLANK(DaqBook_RAW_Data!AP344),"",DaqBook_RAW_Data!AP344)</f>
        <v/>
      </c>
      <c r="L354" s="167" t="str">
        <f>IF(ISBLANK(DaqBook_RAW_Data!AQ344),"",DaqBook_RAW_Data!AQ344)</f>
        <v/>
      </c>
      <c r="M354" s="167" t="str">
        <f>IF(ISBLANK(DaqBook_RAW_Data!AR344),"",DaqBook_RAW_Data!AR344)</f>
        <v/>
      </c>
      <c r="N354" s="167" t="str">
        <f>IF(ISBLANK(DaqBook_RAW_Data!AS344),"",DaqBook_RAW_Data!AS344)</f>
        <v/>
      </c>
      <c r="O354" s="167"/>
      <c r="P354" s="167"/>
    </row>
    <row r="355" spans="1:16" x14ac:dyDescent="0.2">
      <c r="A355" s="58" t="e">
        <f t="shared" si="5"/>
        <v>#VALUE!</v>
      </c>
      <c r="B355" s="144" t="str">
        <f>IF(ISBLANK(DaqBook_RAW_Data!AG345),IF(DaqBook_RAW_Data!A345="","",TIMEVALUE(DaqBook_RAW_Data!A345)),TIMEVALUE(DaqBook_RAW_Data!AG345))</f>
        <v/>
      </c>
      <c r="C355" s="167" t="str">
        <f>IF(ISBLANK(DaqBook_RAW_Data!AH345),"",DaqBook_RAW_Data!AH345)</f>
        <v/>
      </c>
      <c r="D355" s="167" t="str">
        <f>IF(ISBLANK(DaqBook_RAW_Data!AI345),"",DaqBook_RAW_Data!AI345)</f>
        <v/>
      </c>
      <c r="E355" s="167" t="str">
        <f>IF(ISBLANK(DaqBook_RAW_Data!AJ345),"",DaqBook_RAW_Data!AJ345)</f>
        <v/>
      </c>
      <c r="F355" s="167" t="str">
        <f>IF(ISBLANK(DaqBook_RAW_Data!AK345),"",DaqBook_RAW_Data!AK345)</f>
        <v/>
      </c>
      <c r="G355" s="167" t="str">
        <f>IF(ISBLANK(DaqBook_RAW_Data!AL345),"",DaqBook_RAW_Data!AL345)</f>
        <v/>
      </c>
      <c r="H355" s="167" t="str">
        <f>IF(ISBLANK(DaqBook_RAW_Data!AM345),"",DaqBook_RAW_Data!AM345)</f>
        <v/>
      </c>
      <c r="I355" s="167" t="str">
        <f>IF(ISBLANK(DaqBook_RAW_Data!AN345),"",DaqBook_RAW_Data!AN345)</f>
        <v/>
      </c>
      <c r="J355" s="167" t="str">
        <f>IF(ISBLANK(DaqBook_RAW_Data!AO345),"",DaqBook_RAW_Data!AO345)</f>
        <v/>
      </c>
      <c r="K355" s="167" t="str">
        <f>IF(ISBLANK(DaqBook_RAW_Data!AP345),"",DaqBook_RAW_Data!AP345)</f>
        <v/>
      </c>
      <c r="L355" s="167" t="str">
        <f>IF(ISBLANK(DaqBook_RAW_Data!AQ345),"",DaqBook_RAW_Data!AQ345)</f>
        <v/>
      </c>
      <c r="M355" s="167" t="str">
        <f>IF(ISBLANK(DaqBook_RAW_Data!AR345),"",DaqBook_RAW_Data!AR345)</f>
        <v/>
      </c>
      <c r="N355" s="167" t="str">
        <f>IF(ISBLANK(DaqBook_RAW_Data!AS345),"",DaqBook_RAW_Data!AS345)</f>
        <v/>
      </c>
      <c r="O355" s="167"/>
      <c r="P355" s="167"/>
    </row>
    <row r="356" spans="1:16" x14ac:dyDescent="0.2">
      <c r="A356" s="58" t="e">
        <f t="shared" si="5"/>
        <v>#VALUE!</v>
      </c>
      <c r="B356" s="144" t="str">
        <f>IF(ISBLANK(DaqBook_RAW_Data!AG346),IF(DaqBook_RAW_Data!A346="","",TIMEVALUE(DaqBook_RAW_Data!A346)),TIMEVALUE(DaqBook_RAW_Data!AG346))</f>
        <v/>
      </c>
      <c r="C356" s="167" t="str">
        <f>IF(ISBLANK(DaqBook_RAW_Data!AH346),"",DaqBook_RAW_Data!AH346)</f>
        <v/>
      </c>
      <c r="D356" s="167" t="str">
        <f>IF(ISBLANK(DaqBook_RAW_Data!AI346),"",DaqBook_RAW_Data!AI346)</f>
        <v/>
      </c>
      <c r="E356" s="167" t="str">
        <f>IF(ISBLANK(DaqBook_RAW_Data!AJ346),"",DaqBook_RAW_Data!AJ346)</f>
        <v/>
      </c>
      <c r="F356" s="167" t="str">
        <f>IF(ISBLANK(DaqBook_RAW_Data!AK346),"",DaqBook_RAW_Data!AK346)</f>
        <v/>
      </c>
      <c r="G356" s="167" t="str">
        <f>IF(ISBLANK(DaqBook_RAW_Data!AL346),"",DaqBook_RAW_Data!AL346)</f>
        <v/>
      </c>
      <c r="H356" s="167" t="str">
        <f>IF(ISBLANK(DaqBook_RAW_Data!AM346),"",DaqBook_RAW_Data!AM346)</f>
        <v/>
      </c>
      <c r="I356" s="167" t="str">
        <f>IF(ISBLANK(DaqBook_RAW_Data!AN346),"",DaqBook_RAW_Data!AN346)</f>
        <v/>
      </c>
      <c r="J356" s="167" t="str">
        <f>IF(ISBLANK(DaqBook_RAW_Data!AO346),"",DaqBook_RAW_Data!AO346)</f>
        <v/>
      </c>
      <c r="K356" s="167" t="str">
        <f>IF(ISBLANK(DaqBook_RAW_Data!AP346),"",DaqBook_RAW_Data!AP346)</f>
        <v/>
      </c>
      <c r="L356" s="167" t="str">
        <f>IF(ISBLANK(DaqBook_RAW_Data!AQ346),"",DaqBook_RAW_Data!AQ346)</f>
        <v/>
      </c>
      <c r="M356" s="167" t="str">
        <f>IF(ISBLANK(DaqBook_RAW_Data!AR346),"",DaqBook_RAW_Data!AR346)</f>
        <v/>
      </c>
      <c r="N356" s="167" t="str">
        <f>IF(ISBLANK(DaqBook_RAW_Data!AS346),"",DaqBook_RAW_Data!AS346)</f>
        <v/>
      </c>
      <c r="O356" s="167"/>
      <c r="P356" s="167"/>
    </row>
    <row r="357" spans="1:16" x14ac:dyDescent="0.2">
      <c r="A357" s="58" t="e">
        <f t="shared" si="5"/>
        <v>#VALUE!</v>
      </c>
      <c r="B357" s="144" t="str">
        <f>IF(ISBLANK(DaqBook_RAW_Data!AG347),IF(DaqBook_RAW_Data!A347="","",TIMEVALUE(DaqBook_RAW_Data!A347)),TIMEVALUE(DaqBook_RAW_Data!AG347))</f>
        <v/>
      </c>
      <c r="C357" s="167" t="str">
        <f>IF(ISBLANK(DaqBook_RAW_Data!AH347),"",DaqBook_RAW_Data!AH347)</f>
        <v/>
      </c>
      <c r="D357" s="167" t="str">
        <f>IF(ISBLANK(DaqBook_RAW_Data!AI347),"",DaqBook_RAW_Data!AI347)</f>
        <v/>
      </c>
      <c r="E357" s="167" t="str">
        <f>IF(ISBLANK(DaqBook_RAW_Data!AJ347),"",DaqBook_RAW_Data!AJ347)</f>
        <v/>
      </c>
      <c r="F357" s="167" t="str">
        <f>IF(ISBLANK(DaqBook_RAW_Data!AK347),"",DaqBook_RAW_Data!AK347)</f>
        <v/>
      </c>
      <c r="G357" s="167" t="str">
        <f>IF(ISBLANK(DaqBook_RAW_Data!AL347),"",DaqBook_RAW_Data!AL347)</f>
        <v/>
      </c>
      <c r="H357" s="167" t="str">
        <f>IF(ISBLANK(DaqBook_RAW_Data!AM347),"",DaqBook_RAW_Data!AM347)</f>
        <v/>
      </c>
      <c r="I357" s="167" t="str">
        <f>IF(ISBLANK(DaqBook_RAW_Data!AN347),"",DaqBook_RAW_Data!AN347)</f>
        <v/>
      </c>
      <c r="J357" s="167" t="str">
        <f>IF(ISBLANK(DaqBook_RAW_Data!AO347),"",DaqBook_RAW_Data!AO347)</f>
        <v/>
      </c>
      <c r="K357" s="167" t="str">
        <f>IF(ISBLANK(DaqBook_RAW_Data!AP347),"",DaqBook_RAW_Data!AP347)</f>
        <v/>
      </c>
      <c r="L357" s="167" t="str">
        <f>IF(ISBLANK(DaqBook_RAW_Data!AQ347),"",DaqBook_RAW_Data!AQ347)</f>
        <v/>
      </c>
      <c r="M357" s="167" t="str">
        <f>IF(ISBLANK(DaqBook_RAW_Data!AR347),"",DaqBook_RAW_Data!AR347)</f>
        <v/>
      </c>
      <c r="N357" s="167" t="str">
        <f>IF(ISBLANK(DaqBook_RAW_Data!AS347),"",DaqBook_RAW_Data!AS347)</f>
        <v/>
      </c>
      <c r="O357" s="167"/>
      <c r="P357" s="167"/>
    </row>
    <row r="358" spans="1:16" x14ac:dyDescent="0.2">
      <c r="A358" s="58" t="e">
        <f t="shared" si="5"/>
        <v>#VALUE!</v>
      </c>
      <c r="B358" s="144" t="str">
        <f>IF(ISBLANK(DaqBook_RAW_Data!AG348),IF(DaqBook_RAW_Data!A348="","",TIMEVALUE(DaqBook_RAW_Data!A348)),TIMEVALUE(DaqBook_RAW_Data!AG348))</f>
        <v/>
      </c>
      <c r="C358" s="167" t="str">
        <f>IF(ISBLANK(DaqBook_RAW_Data!AH348),"",DaqBook_RAW_Data!AH348)</f>
        <v/>
      </c>
      <c r="D358" s="167" t="str">
        <f>IF(ISBLANK(DaqBook_RAW_Data!AI348),"",DaqBook_RAW_Data!AI348)</f>
        <v/>
      </c>
      <c r="E358" s="167" t="str">
        <f>IF(ISBLANK(DaqBook_RAW_Data!AJ348),"",DaqBook_RAW_Data!AJ348)</f>
        <v/>
      </c>
      <c r="F358" s="167" t="str">
        <f>IF(ISBLANK(DaqBook_RAW_Data!AK348),"",DaqBook_RAW_Data!AK348)</f>
        <v/>
      </c>
      <c r="G358" s="167" t="str">
        <f>IF(ISBLANK(DaqBook_RAW_Data!AL348),"",DaqBook_RAW_Data!AL348)</f>
        <v/>
      </c>
      <c r="H358" s="167" t="str">
        <f>IF(ISBLANK(DaqBook_RAW_Data!AM348),"",DaqBook_RAW_Data!AM348)</f>
        <v/>
      </c>
      <c r="I358" s="167" t="str">
        <f>IF(ISBLANK(DaqBook_RAW_Data!AN348),"",DaqBook_RAW_Data!AN348)</f>
        <v/>
      </c>
      <c r="J358" s="167" t="str">
        <f>IF(ISBLANK(DaqBook_RAW_Data!AO348),"",DaqBook_RAW_Data!AO348)</f>
        <v/>
      </c>
      <c r="K358" s="167" t="str">
        <f>IF(ISBLANK(DaqBook_RAW_Data!AP348),"",DaqBook_RAW_Data!AP348)</f>
        <v/>
      </c>
      <c r="L358" s="167" t="str">
        <f>IF(ISBLANK(DaqBook_RAW_Data!AQ348),"",DaqBook_RAW_Data!AQ348)</f>
        <v/>
      </c>
      <c r="M358" s="167" t="str">
        <f>IF(ISBLANK(DaqBook_RAW_Data!AR348),"",DaqBook_RAW_Data!AR348)</f>
        <v/>
      </c>
      <c r="N358" s="167" t="str">
        <f>IF(ISBLANK(DaqBook_RAW_Data!AS348),"",DaqBook_RAW_Data!AS348)</f>
        <v/>
      </c>
      <c r="O358" s="167"/>
      <c r="P358" s="167"/>
    </row>
    <row r="359" spans="1:16" x14ac:dyDescent="0.2">
      <c r="A359" s="58" t="e">
        <f t="shared" si="5"/>
        <v>#VALUE!</v>
      </c>
      <c r="B359" s="144" t="str">
        <f>IF(ISBLANK(DaqBook_RAW_Data!AG349),IF(DaqBook_RAW_Data!A349="","",TIMEVALUE(DaqBook_RAW_Data!A349)),TIMEVALUE(DaqBook_RAW_Data!AG349))</f>
        <v/>
      </c>
      <c r="C359" s="167" t="str">
        <f>IF(ISBLANK(DaqBook_RAW_Data!AH349),"",DaqBook_RAW_Data!AH349)</f>
        <v/>
      </c>
      <c r="D359" s="167" t="str">
        <f>IF(ISBLANK(DaqBook_RAW_Data!AI349),"",DaqBook_RAW_Data!AI349)</f>
        <v/>
      </c>
      <c r="E359" s="167" t="str">
        <f>IF(ISBLANK(DaqBook_RAW_Data!AJ349),"",DaqBook_RAW_Data!AJ349)</f>
        <v/>
      </c>
      <c r="F359" s="167" t="str">
        <f>IF(ISBLANK(DaqBook_RAW_Data!AK349),"",DaqBook_RAW_Data!AK349)</f>
        <v/>
      </c>
      <c r="G359" s="167" t="str">
        <f>IF(ISBLANK(DaqBook_RAW_Data!AL349),"",DaqBook_RAW_Data!AL349)</f>
        <v/>
      </c>
      <c r="H359" s="167" t="str">
        <f>IF(ISBLANK(DaqBook_RAW_Data!AM349),"",DaqBook_RAW_Data!AM349)</f>
        <v/>
      </c>
      <c r="I359" s="167" t="str">
        <f>IF(ISBLANK(DaqBook_RAW_Data!AN349),"",DaqBook_RAW_Data!AN349)</f>
        <v/>
      </c>
      <c r="J359" s="167" t="str">
        <f>IF(ISBLANK(DaqBook_RAW_Data!AO349),"",DaqBook_RAW_Data!AO349)</f>
        <v/>
      </c>
      <c r="K359" s="167" t="str">
        <f>IF(ISBLANK(DaqBook_RAW_Data!AP349),"",DaqBook_RAW_Data!AP349)</f>
        <v/>
      </c>
      <c r="L359" s="167" t="str">
        <f>IF(ISBLANK(DaqBook_RAW_Data!AQ349),"",DaqBook_RAW_Data!AQ349)</f>
        <v/>
      </c>
      <c r="M359" s="167" t="str">
        <f>IF(ISBLANK(DaqBook_RAW_Data!AR349),"",DaqBook_RAW_Data!AR349)</f>
        <v/>
      </c>
      <c r="N359" s="167" t="str">
        <f>IF(ISBLANK(DaqBook_RAW_Data!AS349),"",DaqBook_RAW_Data!AS349)</f>
        <v/>
      </c>
      <c r="O359" s="167"/>
      <c r="P359" s="167"/>
    </row>
    <row r="360" spans="1:16" x14ac:dyDescent="0.2">
      <c r="A360" s="58" t="e">
        <f t="shared" si="5"/>
        <v>#VALUE!</v>
      </c>
      <c r="B360" s="144" t="str">
        <f>IF(ISBLANK(DaqBook_RAW_Data!AG350),IF(DaqBook_RAW_Data!A350="","",TIMEVALUE(DaqBook_RAW_Data!A350)),TIMEVALUE(DaqBook_RAW_Data!AG350))</f>
        <v/>
      </c>
      <c r="C360" s="167" t="str">
        <f>IF(ISBLANK(DaqBook_RAW_Data!AH350),"",DaqBook_RAW_Data!AH350)</f>
        <v/>
      </c>
      <c r="D360" s="167" t="str">
        <f>IF(ISBLANK(DaqBook_RAW_Data!AI350),"",DaqBook_RAW_Data!AI350)</f>
        <v/>
      </c>
      <c r="E360" s="167" t="str">
        <f>IF(ISBLANK(DaqBook_RAW_Data!AJ350),"",DaqBook_RAW_Data!AJ350)</f>
        <v/>
      </c>
      <c r="F360" s="167" t="str">
        <f>IF(ISBLANK(DaqBook_RAW_Data!AK350),"",DaqBook_RAW_Data!AK350)</f>
        <v/>
      </c>
      <c r="G360" s="167" t="str">
        <f>IF(ISBLANK(DaqBook_RAW_Data!AL350),"",DaqBook_RAW_Data!AL350)</f>
        <v/>
      </c>
      <c r="H360" s="167" t="str">
        <f>IF(ISBLANK(DaqBook_RAW_Data!AM350),"",DaqBook_RAW_Data!AM350)</f>
        <v/>
      </c>
      <c r="I360" s="167" t="str">
        <f>IF(ISBLANK(DaqBook_RAW_Data!AN350),"",DaqBook_RAW_Data!AN350)</f>
        <v/>
      </c>
      <c r="J360" s="167" t="str">
        <f>IF(ISBLANK(DaqBook_RAW_Data!AO350),"",DaqBook_RAW_Data!AO350)</f>
        <v/>
      </c>
      <c r="K360" s="167" t="str">
        <f>IF(ISBLANK(DaqBook_RAW_Data!AP350),"",DaqBook_RAW_Data!AP350)</f>
        <v/>
      </c>
      <c r="L360" s="167" t="str">
        <f>IF(ISBLANK(DaqBook_RAW_Data!AQ350),"",DaqBook_RAW_Data!AQ350)</f>
        <v/>
      </c>
      <c r="M360" s="167" t="str">
        <f>IF(ISBLANK(DaqBook_RAW_Data!AR350),"",DaqBook_RAW_Data!AR350)</f>
        <v/>
      </c>
      <c r="N360" s="167" t="str">
        <f>IF(ISBLANK(DaqBook_RAW_Data!AS350),"",DaqBook_RAW_Data!AS350)</f>
        <v/>
      </c>
      <c r="O360" s="167"/>
      <c r="P360" s="167"/>
    </row>
    <row r="361" spans="1:16" x14ac:dyDescent="0.2">
      <c r="A361" s="58" t="e">
        <f t="shared" si="5"/>
        <v>#VALUE!</v>
      </c>
      <c r="B361" s="144" t="str">
        <f>IF(ISBLANK(DaqBook_RAW_Data!AG351),IF(DaqBook_RAW_Data!A351="","",TIMEVALUE(DaqBook_RAW_Data!A351)),TIMEVALUE(DaqBook_RAW_Data!AG351))</f>
        <v/>
      </c>
      <c r="C361" s="167" t="str">
        <f>IF(ISBLANK(DaqBook_RAW_Data!AH351),"",DaqBook_RAW_Data!AH351)</f>
        <v/>
      </c>
      <c r="D361" s="167" t="str">
        <f>IF(ISBLANK(DaqBook_RAW_Data!AI351),"",DaqBook_RAW_Data!AI351)</f>
        <v/>
      </c>
      <c r="E361" s="167" t="str">
        <f>IF(ISBLANK(DaqBook_RAW_Data!AJ351),"",DaqBook_RAW_Data!AJ351)</f>
        <v/>
      </c>
      <c r="F361" s="167" t="str">
        <f>IF(ISBLANK(DaqBook_RAW_Data!AK351),"",DaqBook_RAW_Data!AK351)</f>
        <v/>
      </c>
      <c r="G361" s="167" t="str">
        <f>IF(ISBLANK(DaqBook_RAW_Data!AL351),"",DaqBook_RAW_Data!AL351)</f>
        <v/>
      </c>
      <c r="H361" s="167" t="str">
        <f>IF(ISBLANK(DaqBook_RAW_Data!AM351),"",DaqBook_RAW_Data!AM351)</f>
        <v/>
      </c>
      <c r="I361" s="167" t="str">
        <f>IF(ISBLANK(DaqBook_RAW_Data!AN351),"",DaqBook_RAW_Data!AN351)</f>
        <v/>
      </c>
      <c r="J361" s="167" t="str">
        <f>IF(ISBLANK(DaqBook_RAW_Data!AO351),"",DaqBook_RAW_Data!AO351)</f>
        <v/>
      </c>
      <c r="K361" s="167" t="str">
        <f>IF(ISBLANK(DaqBook_RAW_Data!AP351),"",DaqBook_RAW_Data!AP351)</f>
        <v/>
      </c>
      <c r="L361" s="167" t="str">
        <f>IF(ISBLANK(DaqBook_RAW_Data!AQ351),"",DaqBook_RAW_Data!AQ351)</f>
        <v/>
      </c>
      <c r="M361" s="167" t="str">
        <f>IF(ISBLANK(DaqBook_RAW_Data!AR351),"",DaqBook_RAW_Data!AR351)</f>
        <v/>
      </c>
      <c r="N361" s="167" t="str">
        <f>IF(ISBLANK(DaqBook_RAW_Data!AS351),"",DaqBook_RAW_Data!AS351)</f>
        <v/>
      </c>
      <c r="O361" s="167"/>
      <c r="P361" s="167"/>
    </row>
    <row r="362" spans="1:16" x14ac:dyDescent="0.2">
      <c r="A362" s="58" t="e">
        <f t="shared" si="5"/>
        <v>#VALUE!</v>
      </c>
      <c r="B362" s="144" t="str">
        <f>IF(ISBLANK(DaqBook_RAW_Data!AG352),IF(DaqBook_RAW_Data!A352="","",TIMEVALUE(DaqBook_RAW_Data!A352)),TIMEVALUE(DaqBook_RAW_Data!AG352))</f>
        <v/>
      </c>
      <c r="C362" s="167" t="str">
        <f>IF(ISBLANK(DaqBook_RAW_Data!AH352),"",DaqBook_RAW_Data!AH352)</f>
        <v/>
      </c>
      <c r="D362" s="167" t="str">
        <f>IF(ISBLANK(DaqBook_RAW_Data!AI352),"",DaqBook_RAW_Data!AI352)</f>
        <v/>
      </c>
      <c r="E362" s="167" t="str">
        <f>IF(ISBLANK(DaqBook_RAW_Data!AJ352),"",DaqBook_RAW_Data!AJ352)</f>
        <v/>
      </c>
      <c r="F362" s="167" t="str">
        <f>IF(ISBLANK(DaqBook_RAW_Data!AK352),"",DaqBook_RAW_Data!AK352)</f>
        <v/>
      </c>
      <c r="G362" s="167" t="str">
        <f>IF(ISBLANK(DaqBook_RAW_Data!AL352),"",DaqBook_RAW_Data!AL352)</f>
        <v/>
      </c>
      <c r="H362" s="167" t="str">
        <f>IF(ISBLANK(DaqBook_RAW_Data!AM352),"",DaqBook_RAW_Data!AM352)</f>
        <v/>
      </c>
      <c r="I362" s="167" t="str">
        <f>IF(ISBLANK(DaqBook_RAW_Data!AN352),"",DaqBook_RAW_Data!AN352)</f>
        <v/>
      </c>
      <c r="J362" s="167" t="str">
        <f>IF(ISBLANK(DaqBook_RAW_Data!AO352),"",DaqBook_RAW_Data!AO352)</f>
        <v/>
      </c>
      <c r="K362" s="167" t="str">
        <f>IF(ISBLANK(DaqBook_RAW_Data!AP352),"",DaqBook_RAW_Data!AP352)</f>
        <v/>
      </c>
      <c r="L362" s="167" t="str">
        <f>IF(ISBLANK(DaqBook_RAW_Data!AQ352),"",DaqBook_RAW_Data!AQ352)</f>
        <v/>
      </c>
      <c r="M362" s="167" t="str">
        <f>IF(ISBLANK(DaqBook_RAW_Data!AR352),"",DaqBook_RAW_Data!AR352)</f>
        <v/>
      </c>
      <c r="N362" s="167" t="str">
        <f>IF(ISBLANK(DaqBook_RAW_Data!AS352),"",DaqBook_RAW_Data!AS352)</f>
        <v/>
      </c>
      <c r="O362" s="167"/>
      <c r="P362" s="167"/>
    </row>
    <row r="363" spans="1:16" x14ac:dyDescent="0.2">
      <c r="A363" s="58" t="e">
        <f t="shared" si="5"/>
        <v>#VALUE!</v>
      </c>
      <c r="B363" s="144" t="str">
        <f>IF(ISBLANK(DaqBook_RAW_Data!AG353),IF(DaqBook_RAW_Data!A353="","",TIMEVALUE(DaqBook_RAW_Data!A353)),TIMEVALUE(DaqBook_RAW_Data!AG353))</f>
        <v/>
      </c>
      <c r="C363" s="167" t="str">
        <f>IF(ISBLANK(DaqBook_RAW_Data!AH353),"",DaqBook_RAW_Data!AH353)</f>
        <v/>
      </c>
      <c r="D363" s="167" t="str">
        <f>IF(ISBLANK(DaqBook_RAW_Data!AI353),"",DaqBook_RAW_Data!AI353)</f>
        <v/>
      </c>
      <c r="E363" s="167" t="str">
        <f>IF(ISBLANK(DaqBook_RAW_Data!AJ353),"",DaqBook_RAW_Data!AJ353)</f>
        <v/>
      </c>
      <c r="F363" s="167" t="str">
        <f>IF(ISBLANK(DaqBook_RAW_Data!AK353),"",DaqBook_RAW_Data!AK353)</f>
        <v/>
      </c>
      <c r="G363" s="167" t="str">
        <f>IF(ISBLANK(DaqBook_RAW_Data!AL353),"",DaqBook_RAW_Data!AL353)</f>
        <v/>
      </c>
      <c r="H363" s="167" t="str">
        <f>IF(ISBLANK(DaqBook_RAW_Data!AM353),"",DaqBook_RAW_Data!AM353)</f>
        <v/>
      </c>
      <c r="I363" s="167" t="str">
        <f>IF(ISBLANK(DaqBook_RAW_Data!AN353),"",DaqBook_RAW_Data!AN353)</f>
        <v/>
      </c>
      <c r="J363" s="167" t="str">
        <f>IF(ISBLANK(DaqBook_RAW_Data!AO353),"",DaqBook_RAW_Data!AO353)</f>
        <v/>
      </c>
      <c r="K363" s="167" t="str">
        <f>IF(ISBLANK(DaqBook_RAW_Data!AP353),"",DaqBook_RAW_Data!AP353)</f>
        <v/>
      </c>
      <c r="L363" s="167" t="str">
        <f>IF(ISBLANK(DaqBook_RAW_Data!AQ353),"",DaqBook_RAW_Data!AQ353)</f>
        <v/>
      </c>
      <c r="M363" s="167" t="str">
        <f>IF(ISBLANK(DaqBook_RAW_Data!AR353),"",DaqBook_RAW_Data!AR353)</f>
        <v/>
      </c>
      <c r="N363" s="167" t="str">
        <f>IF(ISBLANK(DaqBook_RAW_Data!AS353),"",DaqBook_RAW_Data!AS353)</f>
        <v/>
      </c>
      <c r="O363" s="167"/>
      <c r="P363" s="167"/>
    </row>
    <row r="364" spans="1:16" x14ac:dyDescent="0.2">
      <c r="A364" s="58" t="e">
        <f t="shared" si="5"/>
        <v>#VALUE!</v>
      </c>
      <c r="B364" s="144" t="str">
        <f>IF(ISBLANK(DaqBook_RAW_Data!AG354),IF(DaqBook_RAW_Data!A354="","",TIMEVALUE(DaqBook_RAW_Data!A354)),TIMEVALUE(DaqBook_RAW_Data!AG354))</f>
        <v/>
      </c>
      <c r="C364" s="167" t="str">
        <f>IF(ISBLANK(DaqBook_RAW_Data!AH354),"",DaqBook_RAW_Data!AH354)</f>
        <v/>
      </c>
      <c r="D364" s="167" t="str">
        <f>IF(ISBLANK(DaqBook_RAW_Data!AI354),"",DaqBook_RAW_Data!AI354)</f>
        <v/>
      </c>
      <c r="E364" s="167" t="str">
        <f>IF(ISBLANK(DaqBook_RAW_Data!AJ354),"",DaqBook_RAW_Data!AJ354)</f>
        <v/>
      </c>
      <c r="F364" s="167" t="str">
        <f>IF(ISBLANK(DaqBook_RAW_Data!AK354),"",DaqBook_RAW_Data!AK354)</f>
        <v/>
      </c>
      <c r="G364" s="167" t="str">
        <f>IF(ISBLANK(DaqBook_RAW_Data!AL354),"",DaqBook_RAW_Data!AL354)</f>
        <v/>
      </c>
      <c r="H364" s="167" t="str">
        <f>IF(ISBLANK(DaqBook_RAW_Data!AM354),"",DaqBook_RAW_Data!AM354)</f>
        <v/>
      </c>
      <c r="I364" s="167" t="str">
        <f>IF(ISBLANK(DaqBook_RAW_Data!AN354),"",DaqBook_RAW_Data!AN354)</f>
        <v/>
      </c>
      <c r="J364" s="167" t="str">
        <f>IF(ISBLANK(DaqBook_RAW_Data!AO354),"",DaqBook_RAW_Data!AO354)</f>
        <v/>
      </c>
      <c r="K364" s="167" t="str">
        <f>IF(ISBLANK(DaqBook_RAW_Data!AP354),"",DaqBook_RAW_Data!AP354)</f>
        <v/>
      </c>
      <c r="L364" s="167" t="str">
        <f>IF(ISBLANK(DaqBook_RAW_Data!AQ354),"",DaqBook_RAW_Data!AQ354)</f>
        <v/>
      </c>
      <c r="M364" s="167" t="str">
        <f>IF(ISBLANK(DaqBook_RAW_Data!AR354),"",DaqBook_RAW_Data!AR354)</f>
        <v/>
      </c>
      <c r="N364" s="167" t="str">
        <f>IF(ISBLANK(DaqBook_RAW_Data!AS354),"",DaqBook_RAW_Data!AS354)</f>
        <v/>
      </c>
      <c r="O364" s="167"/>
      <c r="P364" s="167"/>
    </row>
    <row r="365" spans="1:16" x14ac:dyDescent="0.2">
      <c r="A365" s="58" t="e">
        <f t="shared" si="5"/>
        <v>#VALUE!</v>
      </c>
      <c r="B365" s="144" t="str">
        <f>IF(ISBLANK(DaqBook_RAW_Data!AG355),IF(DaqBook_RAW_Data!A355="","",TIMEVALUE(DaqBook_RAW_Data!A355)),TIMEVALUE(DaqBook_RAW_Data!AG355))</f>
        <v/>
      </c>
      <c r="C365" s="167" t="str">
        <f>IF(ISBLANK(DaqBook_RAW_Data!AH355),"",DaqBook_RAW_Data!AH355)</f>
        <v/>
      </c>
      <c r="D365" s="167" t="str">
        <f>IF(ISBLANK(DaqBook_RAW_Data!AI355),"",DaqBook_RAW_Data!AI355)</f>
        <v/>
      </c>
      <c r="E365" s="167" t="str">
        <f>IF(ISBLANK(DaqBook_RAW_Data!AJ355),"",DaqBook_RAW_Data!AJ355)</f>
        <v/>
      </c>
      <c r="F365" s="167" t="str">
        <f>IF(ISBLANK(DaqBook_RAW_Data!AK355),"",DaqBook_RAW_Data!AK355)</f>
        <v/>
      </c>
      <c r="G365" s="167" t="str">
        <f>IF(ISBLANK(DaqBook_RAW_Data!AL355),"",DaqBook_RAW_Data!AL355)</f>
        <v/>
      </c>
      <c r="H365" s="167" t="str">
        <f>IF(ISBLANK(DaqBook_RAW_Data!AM355),"",DaqBook_RAW_Data!AM355)</f>
        <v/>
      </c>
      <c r="I365" s="167" t="str">
        <f>IF(ISBLANK(DaqBook_RAW_Data!AN355),"",DaqBook_RAW_Data!AN355)</f>
        <v/>
      </c>
      <c r="J365" s="167" t="str">
        <f>IF(ISBLANK(DaqBook_RAW_Data!AO355),"",DaqBook_RAW_Data!AO355)</f>
        <v/>
      </c>
      <c r="K365" s="167" t="str">
        <f>IF(ISBLANK(DaqBook_RAW_Data!AP355),"",DaqBook_RAW_Data!AP355)</f>
        <v/>
      </c>
      <c r="L365" s="167" t="str">
        <f>IF(ISBLANK(DaqBook_RAW_Data!AQ355),"",DaqBook_RAW_Data!AQ355)</f>
        <v/>
      </c>
      <c r="M365" s="167" t="str">
        <f>IF(ISBLANK(DaqBook_RAW_Data!AR355),"",DaqBook_RAW_Data!AR355)</f>
        <v/>
      </c>
      <c r="N365" s="167" t="str">
        <f>IF(ISBLANK(DaqBook_RAW_Data!AS355),"",DaqBook_RAW_Data!AS355)</f>
        <v/>
      </c>
      <c r="O365" s="167"/>
      <c r="P365" s="167"/>
    </row>
    <row r="366" spans="1:16" x14ac:dyDescent="0.2">
      <c r="A366" s="58" t="e">
        <f t="shared" si="5"/>
        <v>#VALUE!</v>
      </c>
      <c r="B366" s="144" t="str">
        <f>IF(ISBLANK(DaqBook_RAW_Data!AG356),IF(DaqBook_RAW_Data!A356="","",TIMEVALUE(DaqBook_RAW_Data!A356)),TIMEVALUE(DaqBook_RAW_Data!AG356))</f>
        <v/>
      </c>
      <c r="C366" s="167" t="str">
        <f>IF(ISBLANK(DaqBook_RAW_Data!AH356),"",DaqBook_RAW_Data!AH356)</f>
        <v/>
      </c>
      <c r="D366" s="167" t="str">
        <f>IF(ISBLANK(DaqBook_RAW_Data!AI356),"",DaqBook_RAW_Data!AI356)</f>
        <v/>
      </c>
      <c r="E366" s="167" t="str">
        <f>IF(ISBLANK(DaqBook_RAW_Data!AJ356),"",DaqBook_RAW_Data!AJ356)</f>
        <v/>
      </c>
      <c r="F366" s="167" t="str">
        <f>IF(ISBLANK(DaqBook_RAW_Data!AK356),"",DaqBook_RAW_Data!AK356)</f>
        <v/>
      </c>
      <c r="G366" s="167" t="str">
        <f>IF(ISBLANK(DaqBook_RAW_Data!AL356),"",DaqBook_RAW_Data!AL356)</f>
        <v/>
      </c>
      <c r="H366" s="167" t="str">
        <f>IF(ISBLANK(DaqBook_RAW_Data!AM356),"",DaqBook_RAW_Data!AM356)</f>
        <v/>
      </c>
      <c r="I366" s="167" t="str">
        <f>IF(ISBLANK(DaqBook_RAW_Data!AN356),"",DaqBook_RAW_Data!AN356)</f>
        <v/>
      </c>
      <c r="J366" s="167" t="str">
        <f>IF(ISBLANK(DaqBook_RAW_Data!AO356),"",DaqBook_RAW_Data!AO356)</f>
        <v/>
      </c>
      <c r="K366" s="167" t="str">
        <f>IF(ISBLANK(DaqBook_RAW_Data!AP356),"",DaqBook_RAW_Data!AP356)</f>
        <v/>
      </c>
      <c r="L366" s="167" t="str">
        <f>IF(ISBLANK(DaqBook_RAW_Data!AQ356),"",DaqBook_RAW_Data!AQ356)</f>
        <v/>
      </c>
      <c r="M366" s="167" t="str">
        <f>IF(ISBLANK(DaqBook_RAW_Data!AR356),"",DaqBook_RAW_Data!AR356)</f>
        <v/>
      </c>
      <c r="N366" s="167" t="str">
        <f>IF(ISBLANK(DaqBook_RAW_Data!AS356),"",DaqBook_RAW_Data!AS356)</f>
        <v/>
      </c>
      <c r="O366" s="167"/>
      <c r="P366" s="167"/>
    </row>
    <row r="367" spans="1:16" x14ac:dyDescent="0.2">
      <c r="A367" s="58" t="e">
        <f t="shared" si="5"/>
        <v>#VALUE!</v>
      </c>
      <c r="B367" s="144" t="str">
        <f>IF(ISBLANK(DaqBook_RAW_Data!AG357),IF(DaqBook_RAW_Data!A357="","",TIMEVALUE(DaqBook_RAW_Data!A357)),TIMEVALUE(DaqBook_RAW_Data!AG357))</f>
        <v/>
      </c>
      <c r="C367" s="167" t="str">
        <f>IF(ISBLANK(DaqBook_RAW_Data!AH357),"",DaqBook_RAW_Data!AH357)</f>
        <v/>
      </c>
      <c r="D367" s="167" t="str">
        <f>IF(ISBLANK(DaqBook_RAW_Data!AI357),"",DaqBook_RAW_Data!AI357)</f>
        <v/>
      </c>
      <c r="E367" s="167" t="str">
        <f>IF(ISBLANK(DaqBook_RAW_Data!AJ357),"",DaqBook_RAW_Data!AJ357)</f>
        <v/>
      </c>
      <c r="F367" s="167" t="str">
        <f>IF(ISBLANK(DaqBook_RAW_Data!AK357),"",DaqBook_RAW_Data!AK357)</f>
        <v/>
      </c>
      <c r="G367" s="167" t="str">
        <f>IF(ISBLANK(DaqBook_RAW_Data!AL357),"",DaqBook_RAW_Data!AL357)</f>
        <v/>
      </c>
      <c r="H367" s="167" t="str">
        <f>IF(ISBLANK(DaqBook_RAW_Data!AM357),"",DaqBook_RAW_Data!AM357)</f>
        <v/>
      </c>
      <c r="I367" s="167" t="str">
        <f>IF(ISBLANK(DaqBook_RAW_Data!AN357),"",DaqBook_RAW_Data!AN357)</f>
        <v/>
      </c>
      <c r="J367" s="167" t="str">
        <f>IF(ISBLANK(DaqBook_RAW_Data!AO357),"",DaqBook_RAW_Data!AO357)</f>
        <v/>
      </c>
      <c r="K367" s="167" t="str">
        <f>IF(ISBLANK(DaqBook_RAW_Data!AP357),"",DaqBook_RAW_Data!AP357)</f>
        <v/>
      </c>
      <c r="L367" s="167" t="str">
        <f>IF(ISBLANK(DaqBook_RAW_Data!AQ357),"",DaqBook_RAW_Data!AQ357)</f>
        <v/>
      </c>
      <c r="M367" s="167" t="str">
        <f>IF(ISBLANK(DaqBook_RAW_Data!AR357),"",DaqBook_RAW_Data!AR357)</f>
        <v/>
      </c>
      <c r="N367" s="167" t="str">
        <f>IF(ISBLANK(DaqBook_RAW_Data!AS357),"",DaqBook_RAW_Data!AS357)</f>
        <v/>
      </c>
      <c r="O367" s="167"/>
      <c r="P367" s="167"/>
    </row>
    <row r="368" spans="1:16" x14ac:dyDescent="0.2">
      <c r="A368" s="58" t="e">
        <f t="shared" si="5"/>
        <v>#VALUE!</v>
      </c>
      <c r="B368" s="144" t="str">
        <f>IF(ISBLANK(DaqBook_RAW_Data!AG358),IF(DaqBook_RAW_Data!A358="","",TIMEVALUE(DaqBook_RAW_Data!A358)),TIMEVALUE(DaqBook_RAW_Data!AG358))</f>
        <v/>
      </c>
      <c r="C368" s="167" t="str">
        <f>IF(ISBLANK(DaqBook_RAW_Data!AH358),"",DaqBook_RAW_Data!AH358)</f>
        <v/>
      </c>
      <c r="D368" s="167" t="str">
        <f>IF(ISBLANK(DaqBook_RAW_Data!AI358),"",DaqBook_RAW_Data!AI358)</f>
        <v/>
      </c>
      <c r="E368" s="167" t="str">
        <f>IF(ISBLANK(DaqBook_RAW_Data!AJ358),"",DaqBook_RAW_Data!AJ358)</f>
        <v/>
      </c>
      <c r="F368" s="167" t="str">
        <f>IF(ISBLANK(DaqBook_RAW_Data!AK358),"",DaqBook_RAW_Data!AK358)</f>
        <v/>
      </c>
      <c r="G368" s="167" t="str">
        <f>IF(ISBLANK(DaqBook_RAW_Data!AL358),"",DaqBook_RAW_Data!AL358)</f>
        <v/>
      </c>
      <c r="H368" s="167" t="str">
        <f>IF(ISBLANK(DaqBook_RAW_Data!AM358),"",DaqBook_RAW_Data!AM358)</f>
        <v/>
      </c>
      <c r="I368" s="167" t="str">
        <f>IF(ISBLANK(DaqBook_RAW_Data!AN358),"",DaqBook_RAW_Data!AN358)</f>
        <v/>
      </c>
      <c r="J368" s="167" t="str">
        <f>IF(ISBLANK(DaqBook_RAW_Data!AO358),"",DaqBook_RAW_Data!AO358)</f>
        <v/>
      </c>
      <c r="K368" s="167" t="str">
        <f>IF(ISBLANK(DaqBook_RAW_Data!AP358),"",DaqBook_RAW_Data!AP358)</f>
        <v/>
      </c>
      <c r="L368" s="167" t="str">
        <f>IF(ISBLANK(DaqBook_RAW_Data!AQ358),"",DaqBook_RAW_Data!AQ358)</f>
        <v/>
      </c>
      <c r="M368" s="167" t="str">
        <f>IF(ISBLANK(DaqBook_RAW_Data!AR358),"",DaqBook_RAW_Data!AR358)</f>
        <v/>
      </c>
      <c r="N368" s="167" t="str">
        <f>IF(ISBLANK(DaqBook_RAW_Data!AS358),"",DaqBook_RAW_Data!AS358)</f>
        <v/>
      </c>
      <c r="O368" s="167"/>
      <c r="P368" s="167"/>
    </row>
    <row r="369" spans="1:16" x14ac:dyDescent="0.2">
      <c r="A369" s="58" t="e">
        <f t="shared" si="5"/>
        <v>#VALUE!</v>
      </c>
      <c r="B369" s="144" t="str">
        <f>IF(ISBLANK(DaqBook_RAW_Data!AG359),IF(DaqBook_RAW_Data!A359="","",TIMEVALUE(DaqBook_RAW_Data!A359)),TIMEVALUE(DaqBook_RAW_Data!AG359))</f>
        <v/>
      </c>
      <c r="C369" s="167" t="str">
        <f>IF(ISBLANK(DaqBook_RAW_Data!AH359),"",DaqBook_RAW_Data!AH359)</f>
        <v/>
      </c>
      <c r="D369" s="167" t="str">
        <f>IF(ISBLANK(DaqBook_RAW_Data!AI359),"",DaqBook_RAW_Data!AI359)</f>
        <v/>
      </c>
      <c r="E369" s="167" t="str">
        <f>IF(ISBLANK(DaqBook_RAW_Data!AJ359),"",DaqBook_RAW_Data!AJ359)</f>
        <v/>
      </c>
      <c r="F369" s="167" t="str">
        <f>IF(ISBLANK(DaqBook_RAW_Data!AK359),"",DaqBook_RAW_Data!AK359)</f>
        <v/>
      </c>
      <c r="G369" s="167" t="str">
        <f>IF(ISBLANK(DaqBook_RAW_Data!AL359),"",DaqBook_RAW_Data!AL359)</f>
        <v/>
      </c>
      <c r="H369" s="167" t="str">
        <f>IF(ISBLANK(DaqBook_RAW_Data!AM359),"",DaqBook_RAW_Data!AM359)</f>
        <v/>
      </c>
      <c r="I369" s="167" t="str">
        <f>IF(ISBLANK(DaqBook_RAW_Data!AN359),"",DaqBook_RAW_Data!AN359)</f>
        <v/>
      </c>
      <c r="J369" s="167" t="str">
        <f>IF(ISBLANK(DaqBook_RAW_Data!AO359),"",DaqBook_RAW_Data!AO359)</f>
        <v/>
      </c>
      <c r="K369" s="167" t="str">
        <f>IF(ISBLANK(DaqBook_RAW_Data!AP359),"",DaqBook_RAW_Data!AP359)</f>
        <v/>
      </c>
      <c r="L369" s="167" t="str">
        <f>IF(ISBLANK(DaqBook_RAW_Data!AQ359),"",DaqBook_RAW_Data!AQ359)</f>
        <v/>
      </c>
      <c r="M369" s="167" t="str">
        <f>IF(ISBLANK(DaqBook_RAW_Data!AR359),"",DaqBook_RAW_Data!AR359)</f>
        <v/>
      </c>
      <c r="N369" s="167" t="str">
        <f>IF(ISBLANK(DaqBook_RAW_Data!AS359),"",DaqBook_RAW_Data!AS359)</f>
        <v/>
      </c>
      <c r="O369" s="167"/>
      <c r="P369" s="167"/>
    </row>
    <row r="370" spans="1:16" x14ac:dyDescent="0.2">
      <c r="A370" s="58" t="e">
        <f t="shared" si="5"/>
        <v>#VALUE!</v>
      </c>
      <c r="B370" s="144" t="str">
        <f>IF(ISBLANK(DaqBook_RAW_Data!AG360),IF(DaqBook_RAW_Data!A360="","",TIMEVALUE(DaqBook_RAW_Data!A360)),TIMEVALUE(DaqBook_RAW_Data!AG360))</f>
        <v/>
      </c>
      <c r="C370" s="167" t="str">
        <f>IF(ISBLANK(DaqBook_RAW_Data!AH360),"",DaqBook_RAW_Data!AH360)</f>
        <v/>
      </c>
      <c r="D370" s="167" t="str">
        <f>IF(ISBLANK(DaqBook_RAW_Data!AI360),"",DaqBook_RAW_Data!AI360)</f>
        <v/>
      </c>
      <c r="E370" s="167" t="str">
        <f>IF(ISBLANK(DaqBook_RAW_Data!AJ360),"",DaqBook_RAW_Data!AJ360)</f>
        <v/>
      </c>
      <c r="F370" s="167" t="str">
        <f>IF(ISBLANK(DaqBook_RAW_Data!AK360),"",DaqBook_RAW_Data!AK360)</f>
        <v/>
      </c>
      <c r="G370" s="167" t="str">
        <f>IF(ISBLANK(DaqBook_RAW_Data!AL360),"",DaqBook_RAW_Data!AL360)</f>
        <v/>
      </c>
      <c r="H370" s="167" t="str">
        <f>IF(ISBLANK(DaqBook_RAW_Data!AM360),"",DaqBook_RAW_Data!AM360)</f>
        <v/>
      </c>
      <c r="I370" s="167" t="str">
        <f>IF(ISBLANK(DaqBook_RAW_Data!AN360),"",DaqBook_RAW_Data!AN360)</f>
        <v/>
      </c>
      <c r="J370" s="167" t="str">
        <f>IF(ISBLANK(DaqBook_RAW_Data!AO360),"",DaqBook_RAW_Data!AO360)</f>
        <v/>
      </c>
      <c r="K370" s="167" t="str">
        <f>IF(ISBLANK(DaqBook_RAW_Data!AP360),"",DaqBook_RAW_Data!AP360)</f>
        <v/>
      </c>
      <c r="L370" s="167" t="str">
        <f>IF(ISBLANK(DaqBook_RAW_Data!AQ360),"",DaqBook_RAW_Data!AQ360)</f>
        <v/>
      </c>
      <c r="M370" s="167" t="str">
        <f>IF(ISBLANK(DaqBook_RAW_Data!AR360),"",DaqBook_RAW_Data!AR360)</f>
        <v/>
      </c>
      <c r="N370" s="167" t="str">
        <f>IF(ISBLANK(DaqBook_RAW_Data!AS360),"",DaqBook_RAW_Data!AS360)</f>
        <v/>
      </c>
      <c r="O370" s="167"/>
      <c r="P370" s="167"/>
    </row>
    <row r="371" spans="1:16" x14ac:dyDescent="0.2">
      <c r="A371" s="58" t="e">
        <f t="shared" si="5"/>
        <v>#VALUE!</v>
      </c>
      <c r="B371" s="144" t="str">
        <f>IF(ISBLANK(DaqBook_RAW_Data!AG361),IF(DaqBook_RAW_Data!A361="","",TIMEVALUE(DaqBook_RAW_Data!A361)),TIMEVALUE(DaqBook_RAW_Data!AG361))</f>
        <v/>
      </c>
      <c r="C371" s="167" t="str">
        <f>IF(ISBLANK(DaqBook_RAW_Data!AH361),"",DaqBook_RAW_Data!AH361)</f>
        <v/>
      </c>
      <c r="D371" s="167" t="str">
        <f>IF(ISBLANK(DaqBook_RAW_Data!AI361),"",DaqBook_RAW_Data!AI361)</f>
        <v/>
      </c>
      <c r="E371" s="167" t="str">
        <f>IF(ISBLANK(DaqBook_RAW_Data!AJ361),"",DaqBook_RAW_Data!AJ361)</f>
        <v/>
      </c>
      <c r="F371" s="167" t="str">
        <f>IF(ISBLANK(DaqBook_RAW_Data!AK361),"",DaqBook_RAW_Data!AK361)</f>
        <v/>
      </c>
      <c r="G371" s="167" t="str">
        <f>IF(ISBLANK(DaqBook_RAW_Data!AL361),"",DaqBook_RAW_Data!AL361)</f>
        <v/>
      </c>
      <c r="H371" s="167" t="str">
        <f>IF(ISBLANK(DaqBook_RAW_Data!AM361),"",DaqBook_RAW_Data!AM361)</f>
        <v/>
      </c>
      <c r="I371" s="167" t="str">
        <f>IF(ISBLANK(DaqBook_RAW_Data!AN361),"",DaqBook_RAW_Data!AN361)</f>
        <v/>
      </c>
      <c r="J371" s="167" t="str">
        <f>IF(ISBLANK(DaqBook_RAW_Data!AO361),"",DaqBook_RAW_Data!AO361)</f>
        <v/>
      </c>
      <c r="K371" s="167" t="str">
        <f>IF(ISBLANK(DaqBook_RAW_Data!AP361),"",DaqBook_RAW_Data!AP361)</f>
        <v/>
      </c>
      <c r="L371" s="167" t="str">
        <f>IF(ISBLANK(DaqBook_RAW_Data!AQ361),"",DaqBook_RAW_Data!AQ361)</f>
        <v/>
      </c>
      <c r="M371" s="167" t="str">
        <f>IF(ISBLANK(DaqBook_RAW_Data!AR361),"",DaqBook_RAW_Data!AR361)</f>
        <v/>
      </c>
      <c r="N371" s="167" t="str">
        <f>IF(ISBLANK(DaqBook_RAW_Data!AS361),"",DaqBook_RAW_Data!AS361)</f>
        <v/>
      </c>
      <c r="O371" s="167"/>
      <c r="P371" s="167"/>
    </row>
    <row r="372" spans="1:16" x14ac:dyDescent="0.2">
      <c r="A372" s="58" t="e">
        <f t="shared" si="5"/>
        <v>#VALUE!</v>
      </c>
      <c r="B372" s="144" t="str">
        <f>IF(ISBLANK(DaqBook_RAW_Data!AG362),IF(DaqBook_RAW_Data!A362="","",TIMEVALUE(DaqBook_RAW_Data!A362)),TIMEVALUE(DaqBook_RAW_Data!AG362))</f>
        <v/>
      </c>
      <c r="C372" s="167" t="str">
        <f>IF(ISBLANK(DaqBook_RAW_Data!AH362),"",DaqBook_RAW_Data!AH362)</f>
        <v/>
      </c>
      <c r="D372" s="167" t="str">
        <f>IF(ISBLANK(DaqBook_RAW_Data!AI362),"",DaqBook_RAW_Data!AI362)</f>
        <v/>
      </c>
      <c r="E372" s="167" t="str">
        <f>IF(ISBLANK(DaqBook_RAW_Data!AJ362),"",DaqBook_RAW_Data!AJ362)</f>
        <v/>
      </c>
      <c r="F372" s="167" t="str">
        <f>IF(ISBLANK(DaqBook_RAW_Data!AK362),"",DaqBook_RAW_Data!AK362)</f>
        <v/>
      </c>
      <c r="G372" s="167" t="str">
        <f>IF(ISBLANK(DaqBook_RAW_Data!AL362),"",DaqBook_RAW_Data!AL362)</f>
        <v/>
      </c>
      <c r="H372" s="167" t="str">
        <f>IF(ISBLANK(DaqBook_RAW_Data!AM362),"",DaqBook_RAW_Data!AM362)</f>
        <v/>
      </c>
      <c r="I372" s="167" t="str">
        <f>IF(ISBLANK(DaqBook_RAW_Data!AN362),"",DaqBook_RAW_Data!AN362)</f>
        <v/>
      </c>
      <c r="J372" s="167" t="str">
        <f>IF(ISBLANK(DaqBook_RAW_Data!AO362),"",DaqBook_RAW_Data!AO362)</f>
        <v/>
      </c>
      <c r="K372" s="167" t="str">
        <f>IF(ISBLANK(DaqBook_RAW_Data!AP362),"",DaqBook_RAW_Data!AP362)</f>
        <v/>
      </c>
      <c r="L372" s="167" t="str">
        <f>IF(ISBLANK(DaqBook_RAW_Data!AQ362),"",DaqBook_RAW_Data!AQ362)</f>
        <v/>
      </c>
      <c r="M372" s="167" t="str">
        <f>IF(ISBLANK(DaqBook_RAW_Data!AR362),"",DaqBook_RAW_Data!AR362)</f>
        <v/>
      </c>
      <c r="N372" s="167" t="str">
        <f>IF(ISBLANK(DaqBook_RAW_Data!AS362),"",DaqBook_RAW_Data!AS362)</f>
        <v/>
      </c>
      <c r="O372" s="167"/>
      <c r="P372" s="167"/>
    </row>
    <row r="373" spans="1:16" x14ac:dyDescent="0.2">
      <c r="A373" s="58" t="e">
        <f t="shared" si="5"/>
        <v>#VALUE!</v>
      </c>
      <c r="B373" s="144" t="str">
        <f>IF(ISBLANK(DaqBook_RAW_Data!AG363),IF(DaqBook_RAW_Data!A363="","",TIMEVALUE(DaqBook_RAW_Data!A363)),TIMEVALUE(DaqBook_RAW_Data!AG363))</f>
        <v/>
      </c>
      <c r="C373" s="167" t="str">
        <f>IF(ISBLANK(DaqBook_RAW_Data!AH363),"",DaqBook_RAW_Data!AH363)</f>
        <v/>
      </c>
      <c r="D373" s="167" t="str">
        <f>IF(ISBLANK(DaqBook_RAW_Data!AI363),"",DaqBook_RAW_Data!AI363)</f>
        <v/>
      </c>
      <c r="E373" s="167" t="str">
        <f>IF(ISBLANK(DaqBook_RAW_Data!AJ363),"",DaqBook_RAW_Data!AJ363)</f>
        <v/>
      </c>
      <c r="F373" s="167" t="str">
        <f>IF(ISBLANK(DaqBook_RAW_Data!AK363),"",DaqBook_RAW_Data!AK363)</f>
        <v/>
      </c>
      <c r="G373" s="167" t="str">
        <f>IF(ISBLANK(DaqBook_RAW_Data!AL363),"",DaqBook_RAW_Data!AL363)</f>
        <v/>
      </c>
      <c r="H373" s="167" t="str">
        <f>IF(ISBLANK(DaqBook_RAW_Data!AM363),"",DaqBook_RAW_Data!AM363)</f>
        <v/>
      </c>
      <c r="I373" s="167" t="str">
        <f>IF(ISBLANK(DaqBook_RAW_Data!AN363),"",DaqBook_RAW_Data!AN363)</f>
        <v/>
      </c>
      <c r="J373" s="167" t="str">
        <f>IF(ISBLANK(DaqBook_RAW_Data!AO363),"",DaqBook_RAW_Data!AO363)</f>
        <v/>
      </c>
      <c r="K373" s="167" t="str">
        <f>IF(ISBLANK(DaqBook_RAW_Data!AP363),"",DaqBook_RAW_Data!AP363)</f>
        <v/>
      </c>
      <c r="L373" s="167" t="str">
        <f>IF(ISBLANK(DaqBook_RAW_Data!AQ363),"",DaqBook_RAW_Data!AQ363)</f>
        <v/>
      </c>
      <c r="M373" s="167" t="str">
        <f>IF(ISBLANK(DaqBook_RAW_Data!AR363),"",DaqBook_RAW_Data!AR363)</f>
        <v/>
      </c>
      <c r="N373" s="167" t="str">
        <f>IF(ISBLANK(DaqBook_RAW_Data!AS363),"",DaqBook_RAW_Data!AS363)</f>
        <v/>
      </c>
      <c r="O373" s="167"/>
      <c r="P373" s="167"/>
    </row>
    <row r="374" spans="1:16" x14ac:dyDescent="0.2">
      <c r="A374" s="58" t="e">
        <f t="shared" si="5"/>
        <v>#VALUE!</v>
      </c>
      <c r="B374" s="144" t="str">
        <f>IF(ISBLANK(DaqBook_RAW_Data!AG364),IF(DaqBook_RAW_Data!A364="","",TIMEVALUE(DaqBook_RAW_Data!A364)),TIMEVALUE(DaqBook_RAW_Data!AG364))</f>
        <v/>
      </c>
      <c r="C374" s="167" t="str">
        <f>IF(ISBLANK(DaqBook_RAW_Data!AH364),"",DaqBook_RAW_Data!AH364)</f>
        <v/>
      </c>
      <c r="D374" s="167" t="str">
        <f>IF(ISBLANK(DaqBook_RAW_Data!AI364),"",DaqBook_RAW_Data!AI364)</f>
        <v/>
      </c>
      <c r="E374" s="167" t="str">
        <f>IF(ISBLANK(DaqBook_RAW_Data!AJ364),"",DaqBook_RAW_Data!AJ364)</f>
        <v/>
      </c>
      <c r="F374" s="167" t="str">
        <f>IF(ISBLANK(DaqBook_RAW_Data!AK364),"",DaqBook_RAW_Data!AK364)</f>
        <v/>
      </c>
      <c r="G374" s="167" t="str">
        <f>IF(ISBLANK(DaqBook_RAW_Data!AL364),"",DaqBook_RAW_Data!AL364)</f>
        <v/>
      </c>
      <c r="H374" s="167" t="str">
        <f>IF(ISBLANK(DaqBook_RAW_Data!AM364),"",DaqBook_RAW_Data!AM364)</f>
        <v/>
      </c>
      <c r="I374" s="167" t="str">
        <f>IF(ISBLANK(DaqBook_RAW_Data!AN364),"",DaqBook_RAW_Data!AN364)</f>
        <v/>
      </c>
      <c r="J374" s="167" t="str">
        <f>IF(ISBLANK(DaqBook_RAW_Data!AO364),"",DaqBook_RAW_Data!AO364)</f>
        <v/>
      </c>
      <c r="K374" s="167" t="str">
        <f>IF(ISBLANK(DaqBook_RAW_Data!AP364),"",DaqBook_RAW_Data!AP364)</f>
        <v/>
      </c>
      <c r="L374" s="167" t="str">
        <f>IF(ISBLANK(DaqBook_RAW_Data!AQ364),"",DaqBook_RAW_Data!AQ364)</f>
        <v/>
      </c>
      <c r="M374" s="167" t="str">
        <f>IF(ISBLANK(DaqBook_RAW_Data!AR364),"",DaqBook_RAW_Data!AR364)</f>
        <v/>
      </c>
      <c r="N374" s="167" t="str">
        <f>IF(ISBLANK(DaqBook_RAW_Data!AS364),"",DaqBook_RAW_Data!AS364)</f>
        <v/>
      </c>
      <c r="O374" s="167"/>
      <c r="P374" s="167"/>
    </row>
    <row r="375" spans="1:16" x14ac:dyDescent="0.2">
      <c r="A375" s="58" t="e">
        <f t="shared" si="5"/>
        <v>#VALUE!</v>
      </c>
      <c r="B375" s="144" t="str">
        <f>IF(ISBLANK(DaqBook_RAW_Data!AG365),IF(DaqBook_RAW_Data!A365="","",TIMEVALUE(DaqBook_RAW_Data!A365)),TIMEVALUE(DaqBook_RAW_Data!AG365))</f>
        <v/>
      </c>
      <c r="C375" s="167" t="str">
        <f>IF(ISBLANK(DaqBook_RAW_Data!AH365),"",DaqBook_RAW_Data!AH365)</f>
        <v/>
      </c>
      <c r="D375" s="167" t="str">
        <f>IF(ISBLANK(DaqBook_RAW_Data!AI365),"",DaqBook_RAW_Data!AI365)</f>
        <v/>
      </c>
      <c r="E375" s="167" t="str">
        <f>IF(ISBLANK(DaqBook_RAW_Data!AJ365),"",DaqBook_RAW_Data!AJ365)</f>
        <v/>
      </c>
      <c r="F375" s="167" t="str">
        <f>IF(ISBLANK(DaqBook_RAW_Data!AK365),"",DaqBook_RAW_Data!AK365)</f>
        <v/>
      </c>
      <c r="G375" s="167" t="str">
        <f>IF(ISBLANK(DaqBook_RAW_Data!AL365),"",DaqBook_RAW_Data!AL365)</f>
        <v/>
      </c>
      <c r="H375" s="167" t="str">
        <f>IF(ISBLANK(DaqBook_RAW_Data!AM365),"",DaqBook_RAW_Data!AM365)</f>
        <v/>
      </c>
      <c r="I375" s="167" t="str">
        <f>IF(ISBLANK(DaqBook_RAW_Data!AN365),"",DaqBook_RAW_Data!AN365)</f>
        <v/>
      </c>
      <c r="J375" s="167" t="str">
        <f>IF(ISBLANK(DaqBook_RAW_Data!AO365),"",DaqBook_RAW_Data!AO365)</f>
        <v/>
      </c>
      <c r="K375" s="167" t="str">
        <f>IF(ISBLANK(DaqBook_RAW_Data!AP365),"",DaqBook_RAW_Data!AP365)</f>
        <v/>
      </c>
      <c r="L375" s="167" t="str">
        <f>IF(ISBLANK(DaqBook_RAW_Data!AQ365),"",DaqBook_RAW_Data!AQ365)</f>
        <v/>
      </c>
      <c r="M375" s="167" t="str">
        <f>IF(ISBLANK(DaqBook_RAW_Data!AR365),"",DaqBook_RAW_Data!AR365)</f>
        <v/>
      </c>
      <c r="N375" s="167" t="str">
        <f>IF(ISBLANK(DaqBook_RAW_Data!AS365),"",DaqBook_RAW_Data!AS365)</f>
        <v/>
      </c>
      <c r="O375" s="167"/>
      <c r="P375" s="167"/>
    </row>
    <row r="376" spans="1:16" x14ac:dyDescent="0.2">
      <c r="A376" s="58" t="e">
        <f t="shared" si="5"/>
        <v>#VALUE!</v>
      </c>
      <c r="B376" s="144" t="str">
        <f>IF(ISBLANK(DaqBook_RAW_Data!AG366),IF(DaqBook_RAW_Data!A366="","",TIMEVALUE(DaqBook_RAW_Data!A366)),TIMEVALUE(DaqBook_RAW_Data!AG366))</f>
        <v/>
      </c>
      <c r="C376" s="167" t="str">
        <f>IF(ISBLANK(DaqBook_RAW_Data!AH366),"",DaqBook_RAW_Data!AH366)</f>
        <v/>
      </c>
      <c r="D376" s="167" t="str">
        <f>IF(ISBLANK(DaqBook_RAW_Data!AI366),"",DaqBook_RAW_Data!AI366)</f>
        <v/>
      </c>
      <c r="E376" s="167" t="str">
        <f>IF(ISBLANK(DaqBook_RAW_Data!AJ366),"",DaqBook_RAW_Data!AJ366)</f>
        <v/>
      </c>
      <c r="F376" s="167" t="str">
        <f>IF(ISBLANK(DaqBook_RAW_Data!AK366),"",DaqBook_RAW_Data!AK366)</f>
        <v/>
      </c>
      <c r="G376" s="167" t="str">
        <f>IF(ISBLANK(DaqBook_RAW_Data!AL366),"",DaqBook_RAW_Data!AL366)</f>
        <v/>
      </c>
      <c r="H376" s="167" t="str">
        <f>IF(ISBLANK(DaqBook_RAW_Data!AM366),"",DaqBook_RAW_Data!AM366)</f>
        <v/>
      </c>
      <c r="I376" s="167" t="str">
        <f>IF(ISBLANK(DaqBook_RAW_Data!AN366),"",DaqBook_RAW_Data!AN366)</f>
        <v/>
      </c>
      <c r="J376" s="167" t="str">
        <f>IF(ISBLANK(DaqBook_RAW_Data!AO366),"",DaqBook_RAW_Data!AO366)</f>
        <v/>
      </c>
      <c r="K376" s="167" t="str">
        <f>IF(ISBLANK(DaqBook_RAW_Data!AP366),"",DaqBook_RAW_Data!AP366)</f>
        <v/>
      </c>
      <c r="L376" s="167" t="str">
        <f>IF(ISBLANK(DaqBook_RAW_Data!AQ366),"",DaqBook_RAW_Data!AQ366)</f>
        <v/>
      </c>
      <c r="M376" s="167" t="str">
        <f>IF(ISBLANK(DaqBook_RAW_Data!AR366),"",DaqBook_RAW_Data!AR366)</f>
        <v/>
      </c>
      <c r="N376" s="167" t="str">
        <f>IF(ISBLANK(DaqBook_RAW_Data!AS366),"",DaqBook_RAW_Data!AS366)</f>
        <v/>
      </c>
      <c r="O376" s="167"/>
      <c r="P376" s="167"/>
    </row>
    <row r="377" spans="1:16" x14ac:dyDescent="0.2">
      <c r="A377" s="58" t="e">
        <f t="shared" si="5"/>
        <v>#VALUE!</v>
      </c>
      <c r="B377" s="144" t="str">
        <f>IF(ISBLANK(DaqBook_RAW_Data!AG367),IF(DaqBook_RAW_Data!A367="","",TIMEVALUE(DaqBook_RAW_Data!A367)),TIMEVALUE(DaqBook_RAW_Data!AG367))</f>
        <v/>
      </c>
      <c r="C377" s="167" t="str">
        <f>IF(ISBLANK(DaqBook_RAW_Data!AH367),"",DaqBook_RAW_Data!AH367)</f>
        <v/>
      </c>
      <c r="D377" s="167" t="str">
        <f>IF(ISBLANK(DaqBook_RAW_Data!AI367),"",DaqBook_RAW_Data!AI367)</f>
        <v/>
      </c>
      <c r="E377" s="167" t="str">
        <f>IF(ISBLANK(DaqBook_RAW_Data!AJ367),"",DaqBook_RAW_Data!AJ367)</f>
        <v/>
      </c>
      <c r="F377" s="167" t="str">
        <f>IF(ISBLANK(DaqBook_RAW_Data!AK367),"",DaqBook_RAW_Data!AK367)</f>
        <v/>
      </c>
      <c r="G377" s="167" t="str">
        <f>IF(ISBLANK(DaqBook_RAW_Data!AL367),"",DaqBook_RAW_Data!AL367)</f>
        <v/>
      </c>
      <c r="H377" s="167" t="str">
        <f>IF(ISBLANK(DaqBook_RAW_Data!AM367),"",DaqBook_RAW_Data!AM367)</f>
        <v/>
      </c>
      <c r="I377" s="167" t="str">
        <f>IF(ISBLANK(DaqBook_RAW_Data!AN367),"",DaqBook_RAW_Data!AN367)</f>
        <v/>
      </c>
      <c r="J377" s="167" t="str">
        <f>IF(ISBLANK(DaqBook_RAW_Data!AO367),"",DaqBook_RAW_Data!AO367)</f>
        <v/>
      </c>
      <c r="K377" s="167" t="str">
        <f>IF(ISBLANK(DaqBook_RAW_Data!AP367),"",DaqBook_RAW_Data!AP367)</f>
        <v/>
      </c>
      <c r="L377" s="167" t="str">
        <f>IF(ISBLANK(DaqBook_RAW_Data!AQ367),"",DaqBook_RAW_Data!AQ367)</f>
        <v/>
      </c>
      <c r="M377" s="167" t="str">
        <f>IF(ISBLANK(DaqBook_RAW_Data!AR367),"",DaqBook_RAW_Data!AR367)</f>
        <v/>
      </c>
      <c r="N377" s="167" t="str">
        <f>IF(ISBLANK(DaqBook_RAW_Data!AS367),"",DaqBook_RAW_Data!AS367)</f>
        <v/>
      </c>
      <c r="O377" s="167"/>
      <c r="P377" s="167"/>
    </row>
    <row r="378" spans="1:16" x14ac:dyDescent="0.2">
      <c r="A378" s="58" t="e">
        <f t="shared" si="5"/>
        <v>#VALUE!</v>
      </c>
      <c r="B378" s="144" t="str">
        <f>IF(ISBLANK(DaqBook_RAW_Data!AG368),IF(DaqBook_RAW_Data!A368="","",TIMEVALUE(DaqBook_RAW_Data!A368)),TIMEVALUE(DaqBook_RAW_Data!AG368))</f>
        <v/>
      </c>
      <c r="C378" s="167" t="str">
        <f>IF(ISBLANK(DaqBook_RAW_Data!AH368),"",DaqBook_RAW_Data!AH368)</f>
        <v/>
      </c>
      <c r="D378" s="167" t="str">
        <f>IF(ISBLANK(DaqBook_RAW_Data!AI368),"",DaqBook_RAW_Data!AI368)</f>
        <v/>
      </c>
      <c r="E378" s="167" t="str">
        <f>IF(ISBLANK(DaqBook_RAW_Data!AJ368),"",DaqBook_RAW_Data!AJ368)</f>
        <v/>
      </c>
      <c r="F378" s="167" t="str">
        <f>IF(ISBLANK(DaqBook_RAW_Data!AK368),"",DaqBook_RAW_Data!AK368)</f>
        <v/>
      </c>
      <c r="G378" s="167" t="str">
        <f>IF(ISBLANK(DaqBook_RAW_Data!AL368),"",DaqBook_RAW_Data!AL368)</f>
        <v/>
      </c>
      <c r="H378" s="167" t="str">
        <f>IF(ISBLANK(DaqBook_RAW_Data!AM368),"",DaqBook_RAW_Data!AM368)</f>
        <v/>
      </c>
      <c r="I378" s="167" t="str">
        <f>IF(ISBLANK(DaqBook_RAW_Data!AN368),"",DaqBook_RAW_Data!AN368)</f>
        <v/>
      </c>
      <c r="J378" s="167" t="str">
        <f>IF(ISBLANK(DaqBook_RAW_Data!AO368),"",DaqBook_RAW_Data!AO368)</f>
        <v/>
      </c>
      <c r="K378" s="167" t="str">
        <f>IF(ISBLANK(DaqBook_RAW_Data!AP368),"",DaqBook_RAW_Data!AP368)</f>
        <v/>
      </c>
      <c r="L378" s="167" t="str">
        <f>IF(ISBLANK(DaqBook_RAW_Data!AQ368),"",DaqBook_RAW_Data!AQ368)</f>
        <v/>
      </c>
      <c r="M378" s="167" t="str">
        <f>IF(ISBLANK(DaqBook_RAW_Data!AR368),"",DaqBook_RAW_Data!AR368)</f>
        <v/>
      </c>
      <c r="N378" s="167" t="str">
        <f>IF(ISBLANK(DaqBook_RAW_Data!AS368),"",DaqBook_RAW_Data!AS368)</f>
        <v/>
      </c>
      <c r="O378" s="167"/>
      <c r="P378" s="167"/>
    </row>
    <row r="379" spans="1:16" x14ac:dyDescent="0.2">
      <c r="A379" s="58" t="e">
        <f t="shared" si="5"/>
        <v>#VALUE!</v>
      </c>
      <c r="B379" s="144" t="str">
        <f>IF(ISBLANK(DaqBook_RAW_Data!AG369),IF(DaqBook_RAW_Data!A369="","",TIMEVALUE(DaqBook_RAW_Data!A369)),TIMEVALUE(DaqBook_RAW_Data!AG369))</f>
        <v/>
      </c>
      <c r="C379" s="167" t="str">
        <f>IF(ISBLANK(DaqBook_RAW_Data!AH369),"",DaqBook_RAW_Data!AH369)</f>
        <v/>
      </c>
      <c r="D379" s="167" t="str">
        <f>IF(ISBLANK(DaqBook_RAW_Data!AI369),"",DaqBook_RAW_Data!AI369)</f>
        <v/>
      </c>
      <c r="E379" s="167" t="str">
        <f>IF(ISBLANK(DaqBook_RAW_Data!AJ369),"",DaqBook_RAW_Data!AJ369)</f>
        <v/>
      </c>
      <c r="F379" s="167" t="str">
        <f>IF(ISBLANK(DaqBook_RAW_Data!AK369),"",DaqBook_RAW_Data!AK369)</f>
        <v/>
      </c>
      <c r="G379" s="167" t="str">
        <f>IF(ISBLANK(DaqBook_RAW_Data!AL369),"",DaqBook_RAW_Data!AL369)</f>
        <v/>
      </c>
      <c r="H379" s="167" t="str">
        <f>IF(ISBLANK(DaqBook_RAW_Data!AM369),"",DaqBook_RAW_Data!AM369)</f>
        <v/>
      </c>
      <c r="I379" s="167" t="str">
        <f>IF(ISBLANK(DaqBook_RAW_Data!AN369),"",DaqBook_RAW_Data!AN369)</f>
        <v/>
      </c>
      <c r="J379" s="167" t="str">
        <f>IF(ISBLANK(DaqBook_RAW_Data!AO369),"",DaqBook_RAW_Data!AO369)</f>
        <v/>
      </c>
      <c r="K379" s="167" t="str">
        <f>IF(ISBLANK(DaqBook_RAW_Data!AP369),"",DaqBook_RAW_Data!AP369)</f>
        <v/>
      </c>
      <c r="L379" s="167" t="str">
        <f>IF(ISBLANK(DaqBook_RAW_Data!AQ369),"",DaqBook_RAW_Data!AQ369)</f>
        <v/>
      </c>
      <c r="M379" s="167" t="str">
        <f>IF(ISBLANK(DaqBook_RAW_Data!AR369),"",DaqBook_RAW_Data!AR369)</f>
        <v/>
      </c>
      <c r="N379" s="167" t="str">
        <f>IF(ISBLANK(DaqBook_RAW_Data!AS369),"",DaqBook_RAW_Data!AS369)</f>
        <v/>
      </c>
      <c r="O379" s="167"/>
      <c r="P379" s="167"/>
    </row>
    <row r="380" spans="1:16" x14ac:dyDescent="0.2">
      <c r="A380" s="58" t="e">
        <f t="shared" si="5"/>
        <v>#VALUE!</v>
      </c>
      <c r="B380" s="144" t="str">
        <f>IF(ISBLANK(DaqBook_RAW_Data!AG370),IF(DaqBook_RAW_Data!A370="","",TIMEVALUE(DaqBook_RAW_Data!A370)),TIMEVALUE(DaqBook_RAW_Data!AG370))</f>
        <v/>
      </c>
      <c r="C380" s="167" t="str">
        <f>IF(ISBLANK(DaqBook_RAW_Data!AH370),"",DaqBook_RAW_Data!AH370)</f>
        <v/>
      </c>
      <c r="D380" s="167" t="str">
        <f>IF(ISBLANK(DaqBook_RAW_Data!AI370),"",DaqBook_RAW_Data!AI370)</f>
        <v/>
      </c>
      <c r="E380" s="167" t="str">
        <f>IF(ISBLANK(DaqBook_RAW_Data!AJ370),"",DaqBook_RAW_Data!AJ370)</f>
        <v/>
      </c>
      <c r="F380" s="167" t="str">
        <f>IF(ISBLANK(DaqBook_RAW_Data!AK370),"",DaqBook_RAW_Data!AK370)</f>
        <v/>
      </c>
      <c r="G380" s="167" t="str">
        <f>IF(ISBLANK(DaqBook_RAW_Data!AL370),"",DaqBook_RAW_Data!AL370)</f>
        <v/>
      </c>
      <c r="H380" s="167" t="str">
        <f>IF(ISBLANK(DaqBook_RAW_Data!AM370),"",DaqBook_RAW_Data!AM370)</f>
        <v/>
      </c>
      <c r="I380" s="167" t="str">
        <f>IF(ISBLANK(DaqBook_RAW_Data!AN370),"",DaqBook_RAW_Data!AN370)</f>
        <v/>
      </c>
      <c r="J380" s="167" t="str">
        <f>IF(ISBLANK(DaqBook_RAW_Data!AO370),"",DaqBook_RAW_Data!AO370)</f>
        <v/>
      </c>
      <c r="K380" s="167" t="str">
        <f>IF(ISBLANK(DaqBook_RAW_Data!AP370),"",DaqBook_RAW_Data!AP370)</f>
        <v/>
      </c>
      <c r="L380" s="167" t="str">
        <f>IF(ISBLANK(DaqBook_RAW_Data!AQ370),"",DaqBook_RAW_Data!AQ370)</f>
        <v/>
      </c>
      <c r="M380" s="167" t="str">
        <f>IF(ISBLANK(DaqBook_RAW_Data!AR370),"",DaqBook_RAW_Data!AR370)</f>
        <v/>
      </c>
      <c r="N380" s="167" t="str">
        <f>IF(ISBLANK(DaqBook_RAW_Data!AS370),"",DaqBook_RAW_Data!AS370)</f>
        <v/>
      </c>
      <c r="O380" s="167"/>
      <c r="P380" s="167"/>
    </row>
    <row r="381" spans="1:16" x14ac:dyDescent="0.2">
      <c r="A381" s="58" t="e">
        <f t="shared" si="5"/>
        <v>#VALUE!</v>
      </c>
      <c r="B381" s="144" t="str">
        <f>IF(ISBLANK(DaqBook_RAW_Data!AG371),IF(DaqBook_RAW_Data!A371="","",TIMEVALUE(DaqBook_RAW_Data!A371)),TIMEVALUE(DaqBook_RAW_Data!AG371))</f>
        <v/>
      </c>
      <c r="C381" s="167" t="str">
        <f>IF(ISBLANK(DaqBook_RAW_Data!AH371),"",DaqBook_RAW_Data!AH371)</f>
        <v/>
      </c>
      <c r="D381" s="167" t="str">
        <f>IF(ISBLANK(DaqBook_RAW_Data!AI371),"",DaqBook_RAW_Data!AI371)</f>
        <v/>
      </c>
      <c r="E381" s="167" t="str">
        <f>IF(ISBLANK(DaqBook_RAW_Data!AJ371),"",DaqBook_RAW_Data!AJ371)</f>
        <v/>
      </c>
      <c r="F381" s="167" t="str">
        <f>IF(ISBLANK(DaqBook_RAW_Data!AK371),"",DaqBook_RAW_Data!AK371)</f>
        <v/>
      </c>
      <c r="G381" s="167" t="str">
        <f>IF(ISBLANK(DaqBook_RAW_Data!AL371),"",DaqBook_RAW_Data!AL371)</f>
        <v/>
      </c>
      <c r="H381" s="167" t="str">
        <f>IF(ISBLANK(DaqBook_RAW_Data!AM371),"",DaqBook_RAW_Data!AM371)</f>
        <v/>
      </c>
      <c r="I381" s="167" t="str">
        <f>IF(ISBLANK(DaqBook_RAW_Data!AN371),"",DaqBook_RAW_Data!AN371)</f>
        <v/>
      </c>
      <c r="J381" s="167" t="str">
        <f>IF(ISBLANK(DaqBook_RAW_Data!AO371),"",DaqBook_RAW_Data!AO371)</f>
        <v/>
      </c>
      <c r="K381" s="167" t="str">
        <f>IF(ISBLANK(DaqBook_RAW_Data!AP371),"",DaqBook_RAW_Data!AP371)</f>
        <v/>
      </c>
      <c r="L381" s="167" t="str">
        <f>IF(ISBLANK(DaqBook_RAW_Data!AQ371),"",DaqBook_RAW_Data!AQ371)</f>
        <v/>
      </c>
      <c r="M381" s="167" t="str">
        <f>IF(ISBLANK(DaqBook_RAW_Data!AR371),"",DaqBook_RAW_Data!AR371)</f>
        <v/>
      </c>
      <c r="N381" s="167" t="str">
        <f>IF(ISBLANK(DaqBook_RAW_Data!AS371),"",DaqBook_RAW_Data!AS371)</f>
        <v/>
      </c>
      <c r="O381" s="167"/>
      <c r="P381" s="167"/>
    </row>
    <row r="382" spans="1:16" x14ac:dyDescent="0.2">
      <c r="A382" s="58" t="e">
        <f t="shared" si="5"/>
        <v>#VALUE!</v>
      </c>
      <c r="B382" s="144" t="str">
        <f>IF(ISBLANK(DaqBook_RAW_Data!AG372),IF(DaqBook_RAW_Data!A372="","",TIMEVALUE(DaqBook_RAW_Data!A372)),TIMEVALUE(DaqBook_RAW_Data!AG372))</f>
        <v/>
      </c>
      <c r="C382" s="167" t="str">
        <f>IF(ISBLANK(DaqBook_RAW_Data!AH372),"",DaqBook_RAW_Data!AH372)</f>
        <v/>
      </c>
      <c r="D382" s="167" t="str">
        <f>IF(ISBLANK(DaqBook_RAW_Data!AI372),"",DaqBook_RAW_Data!AI372)</f>
        <v/>
      </c>
      <c r="E382" s="167" t="str">
        <f>IF(ISBLANK(DaqBook_RAW_Data!AJ372),"",DaqBook_RAW_Data!AJ372)</f>
        <v/>
      </c>
      <c r="F382" s="167" t="str">
        <f>IF(ISBLANK(DaqBook_RAW_Data!AK372),"",DaqBook_RAW_Data!AK372)</f>
        <v/>
      </c>
      <c r="G382" s="167" t="str">
        <f>IF(ISBLANK(DaqBook_RAW_Data!AL372),"",DaqBook_RAW_Data!AL372)</f>
        <v/>
      </c>
      <c r="H382" s="167" t="str">
        <f>IF(ISBLANK(DaqBook_RAW_Data!AM372),"",DaqBook_RAW_Data!AM372)</f>
        <v/>
      </c>
      <c r="I382" s="167" t="str">
        <f>IF(ISBLANK(DaqBook_RAW_Data!AN372),"",DaqBook_RAW_Data!AN372)</f>
        <v/>
      </c>
      <c r="J382" s="167" t="str">
        <f>IF(ISBLANK(DaqBook_RAW_Data!AO372),"",DaqBook_RAW_Data!AO372)</f>
        <v/>
      </c>
      <c r="K382" s="167" t="str">
        <f>IF(ISBLANK(DaqBook_RAW_Data!AP372),"",DaqBook_RAW_Data!AP372)</f>
        <v/>
      </c>
      <c r="L382" s="167" t="str">
        <f>IF(ISBLANK(DaqBook_RAW_Data!AQ372),"",DaqBook_RAW_Data!AQ372)</f>
        <v/>
      </c>
      <c r="M382" s="167" t="str">
        <f>IF(ISBLANK(DaqBook_RAW_Data!AR372),"",DaqBook_RAW_Data!AR372)</f>
        <v/>
      </c>
      <c r="N382" s="167" t="str">
        <f>IF(ISBLANK(DaqBook_RAW_Data!AS372),"",DaqBook_RAW_Data!AS372)</f>
        <v/>
      </c>
      <c r="O382" s="167"/>
      <c r="P382" s="167"/>
    </row>
    <row r="383" spans="1:16" x14ac:dyDescent="0.2">
      <c r="A383" s="58" t="e">
        <f t="shared" si="5"/>
        <v>#VALUE!</v>
      </c>
      <c r="B383" s="144" t="str">
        <f>IF(ISBLANK(DaqBook_RAW_Data!AG373),IF(DaqBook_RAW_Data!A373="","",TIMEVALUE(DaqBook_RAW_Data!A373)),TIMEVALUE(DaqBook_RAW_Data!AG373))</f>
        <v/>
      </c>
      <c r="C383" s="167" t="str">
        <f>IF(ISBLANK(DaqBook_RAW_Data!AH373),"",DaqBook_RAW_Data!AH373)</f>
        <v/>
      </c>
      <c r="D383" s="167" t="str">
        <f>IF(ISBLANK(DaqBook_RAW_Data!AI373),"",DaqBook_RAW_Data!AI373)</f>
        <v/>
      </c>
      <c r="E383" s="167" t="str">
        <f>IF(ISBLANK(DaqBook_RAW_Data!AJ373),"",DaqBook_RAW_Data!AJ373)</f>
        <v/>
      </c>
      <c r="F383" s="167" t="str">
        <f>IF(ISBLANK(DaqBook_RAW_Data!AK373),"",DaqBook_RAW_Data!AK373)</f>
        <v/>
      </c>
      <c r="G383" s="167" t="str">
        <f>IF(ISBLANK(DaqBook_RAW_Data!AL373),"",DaqBook_RAW_Data!AL373)</f>
        <v/>
      </c>
      <c r="H383" s="167" t="str">
        <f>IF(ISBLANK(DaqBook_RAW_Data!AM373),"",DaqBook_RAW_Data!AM373)</f>
        <v/>
      </c>
      <c r="I383" s="167" t="str">
        <f>IF(ISBLANK(DaqBook_RAW_Data!AN373),"",DaqBook_RAW_Data!AN373)</f>
        <v/>
      </c>
      <c r="J383" s="167" t="str">
        <f>IF(ISBLANK(DaqBook_RAW_Data!AO373),"",DaqBook_RAW_Data!AO373)</f>
        <v/>
      </c>
      <c r="K383" s="167" t="str">
        <f>IF(ISBLANK(DaqBook_RAW_Data!AP373),"",DaqBook_RAW_Data!AP373)</f>
        <v/>
      </c>
      <c r="L383" s="167" t="str">
        <f>IF(ISBLANK(DaqBook_RAW_Data!AQ373),"",DaqBook_RAW_Data!AQ373)</f>
        <v/>
      </c>
      <c r="M383" s="167" t="str">
        <f>IF(ISBLANK(DaqBook_RAW_Data!AR373),"",DaqBook_RAW_Data!AR373)</f>
        <v/>
      </c>
      <c r="N383" s="167" t="str">
        <f>IF(ISBLANK(DaqBook_RAW_Data!AS373),"",DaqBook_RAW_Data!AS373)</f>
        <v/>
      </c>
      <c r="O383" s="167"/>
      <c r="P383" s="167"/>
    </row>
    <row r="384" spans="1:16" x14ac:dyDescent="0.2">
      <c r="A384" s="58" t="e">
        <f t="shared" si="5"/>
        <v>#VALUE!</v>
      </c>
      <c r="B384" s="144" t="str">
        <f>IF(ISBLANK(DaqBook_RAW_Data!AG374),IF(DaqBook_RAW_Data!A374="","",TIMEVALUE(DaqBook_RAW_Data!A374)),TIMEVALUE(DaqBook_RAW_Data!AG374))</f>
        <v/>
      </c>
      <c r="C384" s="167" t="str">
        <f>IF(ISBLANK(DaqBook_RAW_Data!AH374),"",DaqBook_RAW_Data!AH374)</f>
        <v/>
      </c>
      <c r="D384" s="167" t="str">
        <f>IF(ISBLANK(DaqBook_RAW_Data!AI374),"",DaqBook_RAW_Data!AI374)</f>
        <v/>
      </c>
      <c r="E384" s="167" t="str">
        <f>IF(ISBLANK(DaqBook_RAW_Data!AJ374),"",DaqBook_RAW_Data!AJ374)</f>
        <v/>
      </c>
      <c r="F384" s="167" t="str">
        <f>IF(ISBLANK(DaqBook_RAW_Data!AK374),"",DaqBook_RAW_Data!AK374)</f>
        <v/>
      </c>
      <c r="G384" s="167" t="str">
        <f>IF(ISBLANK(DaqBook_RAW_Data!AL374),"",DaqBook_RAW_Data!AL374)</f>
        <v/>
      </c>
      <c r="H384" s="167" t="str">
        <f>IF(ISBLANK(DaqBook_RAW_Data!AM374),"",DaqBook_RAW_Data!AM374)</f>
        <v/>
      </c>
      <c r="I384" s="167" t="str">
        <f>IF(ISBLANK(DaqBook_RAW_Data!AN374),"",DaqBook_RAW_Data!AN374)</f>
        <v/>
      </c>
      <c r="J384" s="167" t="str">
        <f>IF(ISBLANK(DaqBook_RAW_Data!AO374),"",DaqBook_RAW_Data!AO374)</f>
        <v/>
      </c>
      <c r="K384" s="167" t="str">
        <f>IF(ISBLANK(DaqBook_RAW_Data!AP374),"",DaqBook_RAW_Data!AP374)</f>
        <v/>
      </c>
      <c r="L384" s="167" t="str">
        <f>IF(ISBLANK(DaqBook_RAW_Data!AQ374),"",DaqBook_RAW_Data!AQ374)</f>
        <v/>
      </c>
      <c r="M384" s="167" t="str">
        <f>IF(ISBLANK(DaqBook_RAW_Data!AR374),"",DaqBook_RAW_Data!AR374)</f>
        <v/>
      </c>
      <c r="N384" s="167" t="str">
        <f>IF(ISBLANK(DaqBook_RAW_Data!AS374),"",DaqBook_RAW_Data!AS374)</f>
        <v/>
      </c>
      <c r="O384" s="167"/>
      <c r="P384" s="167"/>
    </row>
    <row r="385" spans="1:16" x14ac:dyDescent="0.2">
      <c r="A385" s="58" t="e">
        <f t="shared" si="5"/>
        <v>#VALUE!</v>
      </c>
      <c r="B385" s="144" t="str">
        <f>IF(ISBLANK(DaqBook_RAW_Data!AG375),IF(DaqBook_RAW_Data!A375="","",TIMEVALUE(DaqBook_RAW_Data!A375)),TIMEVALUE(DaqBook_RAW_Data!AG375))</f>
        <v/>
      </c>
      <c r="C385" s="167" t="str">
        <f>IF(ISBLANK(DaqBook_RAW_Data!AH375),"",DaqBook_RAW_Data!AH375)</f>
        <v/>
      </c>
      <c r="D385" s="167" t="str">
        <f>IF(ISBLANK(DaqBook_RAW_Data!AI375),"",DaqBook_RAW_Data!AI375)</f>
        <v/>
      </c>
      <c r="E385" s="167" t="str">
        <f>IF(ISBLANK(DaqBook_RAW_Data!AJ375),"",DaqBook_RAW_Data!AJ375)</f>
        <v/>
      </c>
      <c r="F385" s="167" t="str">
        <f>IF(ISBLANK(DaqBook_RAW_Data!AK375),"",DaqBook_RAW_Data!AK375)</f>
        <v/>
      </c>
      <c r="G385" s="167" t="str">
        <f>IF(ISBLANK(DaqBook_RAW_Data!AL375),"",DaqBook_RAW_Data!AL375)</f>
        <v/>
      </c>
      <c r="H385" s="167" t="str">
        <f>IF(ISBLANK(DaqBook_RAW_Data!AM375),"",DaqBook_RAW_Data!AM375)</f>
        <v/>
      </c>
      <c r="I385" s="167" t="str">
        <f>IF(ISBLANK(DaqBook_RAW_Data!AN375),"",DaqBook_RAW_Data!AN375)</f>
        <v/>
      </c>
      <c r="J385" s="167" t="str">
        <f>IF(ISBLANK(DaqBook_RAW_Data!AO375),"",DaqBook_RAW_Data!AO375)</f>
        <v/>
      </c>
      <c r="K385" s="167" t="str">
        <f>IF(ISBLANK(DaqBook_RAW_Data!AP375),"",DaqBook_RAW_Data!AP375)</f>
        <v/>
      </c>
      <c r="L385" s="167" t="str">
        <f>IF(ISBLANK(DaqBook_RAW_Data!AQ375),"",DaqBook_RAW_Data!AQ375)</f>
        <v/>
      </c>
      <c r="M385" s="167" t="str">
        <f>IF(ISBLANK(DaqBook_RAW_Data!AR375),"",DaqBook_RAW_Data!AR375)</f>
        <v/>
      </c>
      <c r="N385" s="167" t="str">
        <f>IF(ISBLANK(DaqBook_RAW_Data!AS375),"",DaqBook_RAW_Data!AS375)</f>
        <v/>
      </c>
      <c r="O385" s="167"/>
      <c r="P385" s="167"/>
    </row>
    <row r="386" spans="1:16" x14ac:dyDescent="0.2">
      <c r="A386" s="58" t="e">
        <f t="shared" si="5"/>
        <v>#VALUE!</v>
      </c>
      <c r="B386" s="144" t="str">
        <f>IF(ISBLANK(DaqBook_RAW_Data!AG376),IF(DaqBook_RAW_Data!A376="","",TIMEVALUE(DaqBook_RAW_Data!A376)),TIMEVALUE(DaqBook_RAW_Data!AG376))</f>
        <v/>
      </c>
      <c r="C386" s="167" t="str">
        <f>IF(ISBLANK(DaqBook_RAW_Data!AH376),"",DaqBook_RAW_Data!AH376)</f>
        <v/>
      </c>
      <c r="D386" s="167" t="str">
        <f>IF(ISBLANK(DaqBook_RAW_Data!AI376),"",DaqBook_RAW_Data!AI376)</f>
        <v/>
      </c>
      <c r="E386" s="167" t="str">
        <f>IF(ISBLANK(DaqBook_RAW_Data!AJ376),"",DaqBook_RAW_Data!AJ376)</f>
        <v/>
      </c>
      <c r="F386" s="167" t="str">
        <f>IF(ISBLANK(DaqBook_RAW_Data!AK376),"",DaqBook_RAW_Data!AK376)</f>
        <v/>
      </c>
      <c r="G386" s="167" t="str">
        <f>IF(ISBLANK(DaqBook_RAW_Data!AL376),"",DaqBook_RAW_Data!AL376)</f>
        <v/>
      </c>
      <c r="H386" s="167" t="str">
        <f>IF(ISBLANK(DaqBook_RAW_Data!AM376),"",DaqBook_RAW_Data!AM376)</f>
        <v/>
      </c>
      <c r="I386" s="167" t="str">
        <f>IF(ISBLANK(DaqBook_RAW_Data!AN376),"",DaqBook_RAW_Data!AN376)</f>
        <v/>
      </c>
      <c r="J386" s="167" t="str">
        <f>IF(ISBLANK(DaqBook_RAW_Data!AO376),"",DaqBook_RAW_Data!AO376)</f>
        <v/>
      </c>
      <c r="K386" s="167" t="str">
        <f>IF(ISBLANK(DaqBook_RAW_Data!AP376),"",DaqBook_RAW_Data!AP376)</f>
        <v/>
      </c>
      <c r="L386" s="167" t="str">
        <f>IF(ISBLANK(DaqBook_RAW_Data!AQ376),"",DaqBook_RAW_Data!AQ376)</f>
        <v/>
      </c>
      <c r="M386" s="167" t="str">
        <f>IF(ISBLANK(DaqBook_RAW_Data!AR376),"",DaqBook_RAW_Data!AR376)</f>
        <v/>
      </c>
      <c r="N386" s="167" t="str">
        <f>IF(ISBLANK(DaqBook_RAW_Data!AS376),"",DaqBook_RAW_Data!AS376)</f>
        <v/>
      </c>
      <c r="O386" s="167"/>
      <c r="P386" s="167"/>
    </row>
    <row r="387" spans="1:16" x14ac:dyDescent="0.2">
      <c r="A387" s="58" t="e">
        <f t="shared" si="5"/>
        <v>#VALUE!</v>
      </c>
      <c r="B387" s="144" t="str">
        <f>IF(ISBLANK(DaqBook_RAW_Data!AG377),IF(DaqBook_RAW_Data!A377="","",TIMEVALUE(DaqBook_RAW_Data!A377)),TIMEVALUE(DaqBook_RAW_Data!AG377))</f>
        <v/>
      </c>
      <c r="C387" s="167" t="str">
        <f>IF(ISBLANK(DaqBook_RAW_Data!AH377),"",DaqBook_RAW_Data!AH377)</f>
        <v/>
      </c>
      <c r="D387" s="167" t="str">
        <f>IF(ISBLANK(DaqBook_RAW_Data!AI377),"",DaqBook_RAW_Data!AI377)</f>
        <v/>
      </c>
      <c r="E387" s="167" t="str">
        <f>IF(ISBLANK(DaqBook_RAW_Data!AJ377),"",DaqBook_RAW_Data!AJ377)</f>
        <v/>
      </c>
      <c r="F387" s="167" t="str">
        <f>IF(ISBLANK(DaqBook_RAW_Data!AK377),"",DaqBook_RAW_Data!AK377)</f>
        <v/>
      </c>
      <c r="G387" s="167" t="str">
        <f>IF(ISBLANK(DaqBook_RAW_Data!AL377),"",DaqBook_RAW_Data!AL377)</f>
        <v/>
      </c>
      <c r="H387" s="167" t="str">
        <f>IF(ISBLANK(DaqBook_RAW_Data!AM377),"",DaqBook_RAW_Data!AM377)</f>
        <v/>
      </c>
      <c r="I387" s="167" t="str">
        <f>IF(ISBLANK(DaqBook_RAW_Data!AN377),"",DaqBook_RAW_Data!AN377)</f>
        <v/>
      </c>
      <c r="J387" s="167" t="str">
        <f>IF(ISBLANK(DaqBook_RAW_Data!AO377),"",DaqBook_RAW_Data!AO377)</f>
        <v/>
      </c>
      <c r="K387" s="167" t="str">
        <f>IF(ISBLANK(DaqBook_RAW_Data!AP377),"",DaqBook_RAW_Data!AP377)</f>
        <v/>
      </c>
      <c r="L387" s="167" t="str">
        <f>IF(ISBLANK(DaqBook_RAW_Data!AQ377),"",DaqBook_RAW_Data!AQ377)</f>
        <v/>
      </c>
      <c r="M387" s="167" t="str">
        <f>IF(ISBLANK(DaqBook_RAW_Data!AR377),"",DaqBook_RAW_Data!AR377)</f>
        <v/>
      </c>
      <c r="N387" s="167" t="str">
        <f>IF(ISBLANK(DaqBook_RAW_Data!AS377),"",DaqBook_RAW_Data!AS377)</f>
        <v/>
      </c>
      <c r="O387" s="167"/>
      <c r="P387" s="167"/>
    </row>
    <row r="388" spans="1:16" x14ac:dyDescent="0.2">
      <c r="A388" s="58" t="e">
        <f t="shared" si="5"/>
        <v>#VALUE!</v>
      </c>
      <c r="B388" s="144" t="str">
        <f>IF(ISBLANK(DaqBook_RAW_Data!AG378),IF(DaqBook_RAW_Data!A378="","",TIMEVALUE(DaqBook_RAW_Data!A378)),TIMEVALUE(DaqBook_RAW_Data!AG378))</f>
        <v/>
      </c>
      <c r="C388" s="167" t="str">
        <f>IF(ISBLANK(DaqBook_RAW_Data!AH378),"",DaqBook_RAW_Data!AH378)</f>
        <v/>
      </c>
      <c r="D388" s="167" t="str">
        <f>IF(ISBLANK(DaqBook_RAW_Data!AI378),"",DaqBook_RAW_Data!AI378)</f>
        <v/>
      </c>
      <c r="E388" s="167" t="str">
        <f>IF(ISBLANK(DaqBook_RAW_Data!AJ378),"",DaqBook_RAW_Data!AJ378)</f>
        <v/>
      </c>
      <c r="F388" s="167" t="str">
        <f>IF(ISBLANK(DaqBook_RAW_Data!AK378),"",DaqBook_RAW_Data!AK378)</f>
        <v/>
      </c>
      <c r="G388" s="167" t="str">
        <f>IF(ISBLANK(DaqBook_RAW_Data!AL378),"",DaqBook_RAW_Data!AL378)</f>
        <v/>
      </c>
      <c r="H388" s="167" t="str">
        <f>IF(ISBLANK(DaqBook_RAW_Data!AM378),"",DaqBook_RAW_Data!AM378)</f>
        <v/>
      </c>
      <c r="I388" s="167" t="str">
        <f>IF(ISBLANK(DaqBook_RAW_Data!AN378),"",DaqBook_RAW_Data!AN378)</f>
        <v/>
      </c>
      <c r="J388" s="167" t="str">
        <f>IF(ISBLANK(DaqBook_RAW_Data!AO378),"",DaqBook_RAW_Data!AO378)</f>
        <v/>
      </c>
      <c r="K388" s="167" t="str">
        <f>IF(ISBLANK(DaqBook_RAW_Data!AP378),"",DaqBook_RAW_Data!AP378)</f>
        <v/>
      </c>
      <c r="L388" s="167" t="str">
        <f>IF(ISBLANK(DaqBook_RAW_Data!AQ378),"",DaqBook_RAW_Data!AQ378)</f>
        <v/>
      </c>
      <c r="M388" s="167" t="str">
        <f>IF(ISBLANK(DaqBook_RAW_Data!AR378),"",DaqBook_RAW_Data!AR378)</f>
        <v/>
      </c>
      <c r="N388" s="167" t="str">
        <f>IF(ISBLANK(DaqBook_RAW_Data!AS378),"",DaqBook_RAW_Data!AS378)</f>
        <v/>
      </c>
      <c r="O388" s="167"/>
      <c r="P388" s="167"/>
    </row>
    <row r="389" spans="1:16" x14ac:dyDescent="0.2">
      <c r="A389" s="58" t="e">
        <f t="shared" si="5"/>
        <v>#VALUE!</v>
      </c>
      <c r="B389" s="144" t="str">
        <f>IF(ISBLANK(DaqBook_RAW_Data!AG379),IF(DaqBook_RAW_Data!A379="","",TIMEVALUE(DaqBook_RAW_Data!A379)),TIMEVALUE(DaqBook_RAW_Data!AG379))</f>
        <v/>
      </c>
      <c r="C389" s="167" t="str">
        <f>IF(ISBLANK(DaqBook_RAW_Data!AH379),"",DaqBook_RAW_Data!AH379)</f>
        <v/>
      </c>
      <c r="D389" s="167" t="str">
        <f>IF(ISBLANK(DaqBook_RAW_Data!AI379),"",DaqBook_RAW_Data!AI379)</f>
        <v/>
      </c>
      <c r="E389" s="167" t="str">
        <f>IF(ISBLANK(DaqBook_RAW_Data!AJ379),"",DaqBook_RAW_Data!AJ379)</f>
        <v/>
      </c>
      <c r="F389" s="167" t="str">
        <f>IF(ISBLANK(DaqBook_RAW_Data!AK379),"",DaqBook_RAW_Data!AK379)</f>
        <v/>
      </c>
      <c r="G389" s="167" t="str">
        <f>IF(ISBLANK(DaqBook_RAW_Data!AL379),"",DaqBook_RAW_Data!AL379)</f>
        <v/>
      </c>
      <c r="H389" s="167" t="str">
        <f>IF(ISBLANK(DaqBook_RAW_Data!AM379),"",DaqBook_RAW_Data!AM379)</f>
        <v/>
      </c>
      <c r="I389" s="167" t="str">
        <f>IF(ISBLANK(DaqBook_RAW_Data!AN379),"",DaqBook_RAW_Data!AN379)</f>
        <v/>
      </c>
      <c r="J389" s="167" t="str">
        <f>IF(ISBLANK(DaqBook_RAW_Data!AO379),"",DaqBook_RAW_Data!AO379)</f>
        <v/>
      </c>
      <c r="K389" s="167" t="str">
        <f>IF(ISBLANK(DaqBook_RAW_Data!AP379),"",DaqBook_RAW_Data!AP379)</f>
        <v/>
      </c>
      <c r="L389" s="167" t="str">
        <f>IF(ISBLANK(DaqBook_RAW_Data!AQ379),"",DaqBook_RAW_Data!AQ379)</f>
        <v/>
      </c>
      <c r="M389" s="167" t="str">
        <f>IF(ISBLANK(DaqBook_RAW_Data!AR379),"",DaqBook_RAW_Data!AR379)</f>
        <v/>
      </c>
      <c r="N389" s="167" t="str">
        <f>IF(ISBLANK(DaqBook_RAW_Data!AS379),"",DaqBook_RAW_Data!AS379)</f>
        <v/>
      </c>
      <c r="O389" s="167"/>
      <c r="P389" s="167"/>
    </row>
    <row r="390" spans="1:16" x14ac:dyDescent="0.2">
      <c r="A390" s="58" t="e">
        <f t="shared" si="5"/>
        <v>#VALUE!</v>
      </c>
      <c r="B390" s="144" t="str">
        <f>IF(ISBLANK(DaqBook_RAW_Data!AG380),IF(DaqBook_RAW_Data!A380="","",TIMEVALUE(DaqBook_RAW_Data!A380)),TIMEVALUE(DaqBook_RAW_Data!AG380))</f>
        <v/>
      </c>
      <c r="C390" s="167" t="str">
        <f>IF(ISBLANK(DaqBook_RAW_Data!AH380),"",DaqBook_RAW_Data!AH380)</f>
        <v/>
      </c>
      <c r="D390" s="167" t="str">
        <f>IF(ISBLANK(DaqBook_RAW_Data!AI380),"",DaqBook_RAW_Data!AI380)</f>
        <v/>
      </c>
      <c r="E390" s="167" t="str">
        <f>IF(ISBLANK(DaqBook_RAW_Data!AJ380),"",DaqBook_RAW_Data!AJ380)</f>
        <v/>
      </c>
      <c r="F390" s="167" t="str">
        <f>IF(ISBLANK(DaqBook_RAW_Data!AK380),"",DaqBook_RAW_Data!AK380)</f>
        <v/>
      </c>
      <c r="G390" s="167" t="str">
        <f>IF(ISBLANK(DaqBook_RAW_Data!AL380),"",DaqBook_RAW_Data!AL380)</f>
        <v/>
      </c>
      <c r="H390" s="167" t="str">
        <f>IF(ISBLANK(DaqBook_RAW_Data!AM380),"",DaqBook_RAW_Data!AM380)</f>
        <v/>
      </c>
      <c r="I390" s="167" t="str">
        <f>IF(ISBLANK(DaqBook_RAW_Data!AN380),"",DaqBook_RAW_Data!AN380)</f>
        <v/>
      </c>
      <c r="J390" s="167" t="str">
        <f>IF(ISBLANK(DaqBook_RAW_Data!AO380),"",DaqBook_RAW_Data!AO380)</f>
        <v/>
      </c>
      <c r="K390" s="167" t="str">
        <f>IF(ISBLANK(DaqBook_RAW_Data!AP380),"",DaqBook_RAW_Data!AP380)</f>
        <v/>
      </c>
      <c r="L390" s="167" t="str">
        <f>IF(ISBLANK(DaqBook_RAW_Data!AQ380),"",DaqBook_RAW_Data!AQ380)</f>
        <v/>
      </c>
      <c r="M390" s="167" t="str">
        <f>IF(ISBLANK(DaqBook_RAW_Data!AR380),"",DaqBook_RAW_Data!AR380)</f>
        <v/>
      </c>
      <c r="N390" s="167" t="str">
        <f>IF(ISBLANK(DaqBook_RAW_Data!AS380),"",DaqBook_RAW_Data!AS380)</f>
        <v/>
      </c>
      <c r="O390" s="167"/>
      <c r="P390" s="167"/>
    </row>
    <row r="391" spans="1:16" x14ac:dyDescent="0.2">
      <c r="A391" s="58" t="e">
        <f t="shared" si="5"/>
        <v>#VALUE!</v>
      </c>
      <c r="B391" s="144" t="str">
        <f>IF(ISBLANK(DaqBook_RAW_Data!AG381),IF(DaqBook_RAW_Data!A381="","",TIMEVALUE(DaqBook_RAW_Data!A381)),TIMEVALUE(DaqBook_RAW_Data!AG381))</f>
        <v/>
      </c>
      <c r="C391" s="167" t="str">
        <f>IF(ISBLANK(DaqBook_RAW_Data!AH381),"",DaqBook_RAW_Data!AH381)</f>
        <v/>
      </c>
      <c r="D391" s="167" t="str">
        <f>IF(ISBLANK(DaqBook_RAW_Data!AI381),"",DaqBook_RAW_Data!AI381)</f>
        <v/>
      </c>
      <c r="E391" s="167" t="str">
        <f>IF(ISBLANK(DaqBook_RAW_Data!AJ381),"",DaqBook_RAW_Data!AJ381)</f>
        <v/>
      </c>
      <c r="F391" s="167" t="str">
        <f>IF(ISBLANK(DaqBook_RAW_Data!AK381),"",DaqBook_RAW_Data!AK381)</f>
        <v/>
      </c>
      <c r="G391" s="167" t="str">
        <f>IF(ISBLANK(DaqBook_RAW_Data!AL381),"",DaqBook_RAW_Data!AL381)</f>
        <v/>
      </c>
      <c r="H391" s="167" t="str">
        <f>IF(ISBLANK(DaqBook_RAW_Data!AM381),"",DaqBook_RAW_Data!AM381)</f>
        <v/>
      </c>
      <c r="I391" s="167" t="str">
        <f>IF(ISBLANK(DaqBook_RAW_Data!AN381),"",DaqBook_RAW_Data!AN381)</f>
        <v/>
      </c>
      <c r="J391" s="167" t="str">
        <f>IF(ISBLANK(DaqBook_RAW_Data!AO381),"",DaqBook_RAW_Data!AO381)</f>
        <v/>
      </c>
      <c r="K391" s="167" t="str">
        <f>IF(ISBLANK(DaqBook_RAW_Data!AP381),"",DaqBook_RAW_Data!AP381)</f>
        <v/>
      </c>
      <c r="L391" s="167" t="str">
        <f>IF(ISBLANK(DaqBook_RAW_Data!AQ381),"",DaqBook_RAW_Data!AQ381)</f>
        <v/>
      </c>
      <c r="M391" s="167" t="str">
        <f>IF(ISBLANK(DaqBook_RAW_Data!AR381),"",DaqBook_RAW_Data!AR381)</f>
        <v/>
      </c>
      <c r="N391" s="167" t="str">
        <f>IF(ISBLANK(DaqBook_RAW_Data!AS381),"",DaqBook_RAW_Data!AS381)</f>
        <v/>
      </c>
      <c r="O391" s="167"/>
      <c r="P391" s="167"/>
    </row>
    <row r="392" spans="1:16" x14ac:dyDescent="0.2">
      <c r="A392" s="58" t="e">
        <f t="shared" si="5"/>
        <v>#VALUE!</v>
      </c>
      <c r="B392" s="144" t="str">
        <f>IF(ISBLANK(DaqBook_RAW_Data!AG382),IF(DaqBook_RAW_Data!A382="","",TIMEVALUE(DaqBook_RAW_Data!A382)),TIMEVALUE(DaqBook_RAW_Data!AG382))</f>
        <v/>
      </c>
      <c r="C392" s="167" t="str">
        <f>IF(ISBLANK(DaqBook_RAW_Data!AH382),"",DaqBook_RAW_Data!AH382)</f>
        <v/>
      </c>
      <c r="D392" s="167" t="str">
        <f>IF(ISBLANK(DaqBook_RAW_Data!AI382),"",DaqBook_RAW_Data!AI382)</f>
        <v/>
      </c>
      <c r="E392" s="167" t="str">
        <f>IF(ISBLANK(DaqBook_RAW_Data!AJ382),"",DaqBook_RAW_Data!AJ382)</f>
        <v/>
      </c>
      <c r="F392" s="167" t="str">
        <f>IF(ISBLANK(DaqBook_RAW_Data!AK382),"",DaqBook_RAW_Data!AK382)</f>
        <v/>
      </c>
      <c r="G392" s="167" t="str">
        <f>IF(ISBLANK(DaqBook_RAW_Data!AL382),"",DaqBook_RAW_Data!AL382)</f>
        <v/>
      </c>
      <c r="H392" s="167" t="str">
        <f>IF(ISBLANK(DaqBook_RAW_Data!AM382),"",DaqBook_RAW_Data!AM382)</f>
        <v/>
      </c>
      <c r="I392" s="167" t="str">
        <f>IF(ISBLANK(DaqBook_RAW_Data!AN382),"",DaqBook_RAW_Data!AN382)</f>
        <v/>
      </c>
      <c r="J392" s="167" t="str">
        <f>IF(ISBLANK(DaqBook_RAW_Data!AO382),"",DaqBook_RAW_Data!AO382)</f>
        <v/>
      </c>
      <c r="K392" s="167" t="str">
        <f>IF(ISBLANK(DaqBook_RAW_Data!AP382),"",DaqBook_RAW_Data!AP382)</f>
        <v/>
      </c>
      <c r="L392" s="167" t="str">
        <f>IF(ISBLANK(DaqBook_RAW_Data!AQ382),"",DaqBook_RAW_Data!AQ382)</f>
        <v/>
      </c>
      <c r="M392" s="167" t="str">
        <f>IF(ISBLANK(DaqBook_RAW_Data!AR382),"",DaqBook_RAW_Data!AR382)</f>
        <v/>
      </c>
      <c r="N392" s="167" t="str">
        <f>IF(ISBLANK(DaqBook_RAW_Data!AS382),"",DaqBook_RAW_Data!AS382)</f>
        <v/>
      </c>
      <c r="O392" s="167"/>
      <c r="P392" s="167"/>
    </row>
    <row r="393" spans="1:16" x14ac:dyDescent="0.2">
      <c r="A393" s="58" t="e">
        <f t="shared" si="5"/>
        <v>#VALUE!</v>
      </c>
      <c r="B393" s="144" t="str">
        <f>IF(ISBLANK(DaqBook_RAW_Data!AG383),IF(DaqBook_RAW_Data!A383="","",TIMEVALUE(DaqBook_RAW_Data!A383)),TIMEVALUE(DaqBook_RAW_Data!AG383))</f>
        <v/>
      </c>
      <c r="C393" s="167" t="str">
        <f>IF(ISBLANK(DaqBook_RAW_Data!AH383),"",DaqBook_RAW_Data!AH383)</f>
        <v/>
      </c>
      <c r="D393" s="167" t="str">
        <f>IF(ISBLANK(DaqBook_RAW_Data!AI383),"",DaqBook_RAW_Data!AI383)</f>
        <v/>
      </c>
      <c r="E393" s="167" t="str">
        <f>IF(ISBLANK(DaqBook_RAW_Data!AJ383),"",DaqBook_RAW_Data!AJ383)</f>
        <v/>
      </c>
      <c r="F393" s="167" t="str">
        <f>IF(ISBLANK(DaqBook_RAW_Data!AK383),"",DaqBook_RAW_Data!AK383)</f>
        <v/>
      </c>
      <c r="G393" s="167" t="str">
        <f>IF(ISBLANK(DaqBook_RAW_Data!AL383),"",DaqBook_RAW_Data!AL383)</f>
        <v/>
      </c>
      <c r="H393" s="167" t="str">
        <f>IF(ISBLANK(DaqBook_RAW_Data!AM383),"",DaqBook_RAW_Data!AM383)</f>
        <v/>
      </c>
      <c r="I393" s="167" t="str">
        <f>IF(ISBLANK(DaqBook_RAW_Data!AN383),"",DaqBook_RAW_Data!AN383)</f>
        <v/>
      </c>
      <c r="J393" s="167" t="str">
        <f>IF(ISBLANK(DaqBook_RAW_Data!AO383),"",DaqBook_RAW_Data!AO383)</f>
        <v/>
      </c>
      <c r="K393" s="167" t="str">
        <f>IF(ISBLANK(DaqBook_RAW_Data!AP383),"",DaqBook_RAW_Data!AP383)</f>
        <v/>
      </c>
      <c r="L393" s="167" t="str">
        <f>IF(ISBLANK(DaqBook_RAW_Data!AQ383),"",DaqBook_RAW_Data!AQ383)</f>
        <v/>
      </c>
      <c r="M393" s="167" t="str">
        <f>IF(ISBLANK(DaqBook_RAW_Data!AR383),"",DaqBook_RAW_Data!AR383)</f>
        <v/>
      </c>
      <c r="N393" s="167" t="str">
        <f>IF(ISBLANK(DaqBook_RAW_Data!AS383),"",DaqBook_RAW_Data!AS383)</f>
        <v/>
      </c>
      <c r="O393" s="167"/>
      <c r="P393" s="167"/>
    </row>
    <row r="394" spans="1:16" x14ac:dyDescent="0.2">
      <c r="A394" s="58" t="e">
        <f t="shared" si="5"/>
        <v>#VALUE!</v>
      </c>
      <c r="B394" s="144" t="str">
        <f>IF(ISBLANK(DaqBook_RAW_Data!AG384),IF(DaqBook_RAW_Data!A384="","",TIMEVALUE(DaqBook_RAW_Data!A384)),TIMEVALUE(DaqBook_RAW_Data!AG384))</f>
        <v/>
      </c>
      <c r="C394" s="167" t="str">
        <f>IF(ISBLANK(DaqBook_RAW_Data!AH384),"",DaqBook_RAW_Data!AH384)</f>
        <v/>
      </c>
      <c r="D394" s="167" t="str">
        <f>IF(ISBLANK(DaqBook_RAW_Data!AI384),"",DaqBook_RAW_Data!AI384)</f>
        <v/>
      </c>
      <c r="E394" s="167" t="str">
        <f>IF(ISBLANK(DaqBook_RAW_Data!AJ384),"",DaqBook_RAW_Data!AJ384)</f>
        <v/>
      </c>
      <c r="F394" s="167" t="str">
        <f>IF(ISBLANK(DaqBook_RAW_Data!AK384),"",DaqBook_RAW_Data!AK384)</f>
        <v/>
      </c>
      <c r="G394" s="167" t="str">
        <f>IF(ISBLANK(DaqBook_RAW_Data!AL384),"",DaqBook_RAW_Data!AL384)</f>
        <v/>
      </c>
      <c r="H394" s="167" t="str">
        <f>IF(ISBLANK(DaqBook_RAW_Data!AM384),"",DaqBook_RAW_Data!AM384)</f>
        <v/>
      </c>
      <c r="I394" s="167" t="str">
        <f>IF(ISBLANK(DaqBook_RAW_Data!AN384),"",DaqBook_RAW_Data!AN384)</f>
        <v/>
      </c>
      <c r="J394" s="167" t="str">
        <f>IF(ISBLANK(DaqBook_RAW_Data!AO384),"",DaqBook_RAW_Data!AO384)</f>
        <v/>
      </c>
      <c r="K394" s="167" t="str">
        <f>IF(ISBLANK(DaqBook_RAW_Data!AP384),"",DaqBook_RAW_Data!AP384)</f>
        <v/>
      </c>
      <c r="L394" s="167" t="str">
        <f>IF(ISBLANK(DaqBook_RAW_Data!AQ384),"",DaqBook_RAW_Data!AQ384)</f>
        <v/>
      </c>
      <c r="M394" s="167" t="str">
        <f>IF(ISBLANK(DaqBook_RAW_Data!AR384),"",DaqBook_RAW_Data!AR384)</f>
        <v/>
      </c>
      <c r="N394" s="167" t="str">
        <f>IF(ISBLANK(DaqBook_RAW_Data!AS384),"",DaqBook_RAW_Data!AS384)</f>
        <v/>
      </c>
      <c r="O394" s="167"/>
      <c r="P394" s="167"/>
    </row>
    <row r="395" spans="1:16" x14ac:dyDescent="0.2">
      <c r="A395" s="58" t="e">
        <f t="shared" si="5"/>
        <v>#VALUE!</v>
      </c>
      <c r="B395" s="144" t="str">
        <f>IF(ISBLANK(DaqBook_RAW_Data!AG385),IF(DaqBook_RAW_Data!A385="","",TIMEVALUE(DaqBook_RAW_Data!A385)),TIMEVALUE(DaqBook_RAW_Data!AG385))</f>
        <v/>
      </c>
      <c r="C395" s="167" t="str">
        <f>IF(ISBLANK(DaqBook_RAW_Data!AH385),"",DaqBook_RAW_Data!AH385)</f>
        <v/>
      </c>
      <c r="D395" s="167" t="str">
        <f>IF(ISBLANK(DaqBook_RAW_Data!AI385),"",DaqBook_RAW_Data!AI385)</f>
        <v/>
      </c>
      <c r="E395" s="167" t="str">
        <f>IF(ISBLANK(DaqBook_RAW_Data!AJ385),"",DaqBook_RAW_Data!AJ385)</f>
        <v/>
      </c>
      <c r="F395" s="167" t="str">
        <f>IF(ISBLANK(DaqBook_RAW_Data!AK385),"",DaqBook_RAW_Data!AK385)</f>
        <v/>
      </c>
      <c r="G395" s="167" t="str">
        <f>IF(ISBLANK(DaqBook_RAW_Data!AL385),"",DaqBook_RAW_Data!AL385)</f>
        <v/>
      </c>
      <c r="H395" s="167" t="str">
        <f>IF(ISBLANK(DaqBook_RAW_Data!AM385),"",DaqBook_RAW_Data!AM385)</f>
        <v/>
      </c>
      <c r="I395" s="167" t="str">
        <f>IF(ISBLANK(DaqBook_RAW_Data!AN385),"",DaqBook_RAW_Data!AN385)</f>
        <v/>
      </c>
      <c r="J395" s="167" t="str">
        <f>IF(ISBLANK(DaqBook_RAW_Data!AO385),"",DaqBook_RAW_Data!AO385)</f>
        <v/>
      </c>
      <c r="K395" s="167" t="str">
        <f>IF(ISBLANK(DaqBook_RAW_Data!AP385),"",DaqBook_RAW_Data!AP385)</f>
        <v/>
      </c>
      <c r="L395" s="167" t="str">
        <f>IF(ISBLANK(DaqBook_RAW_Data!AQ385),"",DaqBook_RAW_Data!AQ385)</f>
        <v/>
      </c>
      <c r="M395" s="167" t="str">
        <f>IF(ISBLANK(DaqBook_RAW_Data!AR385),"",DaqBook_RAW_Data!AR385)</f>
        <v/>
      </c>
      <c r="N395" s="167" t="str">
        <f>IF(ISBLANK(DaqBook_RAW_Data!AS385),"",DaqBook_RAW_Data!AS385)</f>
        <v/>
      </c>
      <c r="O395" s="167"/>
      <c r="P395" s="167"/>
    </row>
    <row r="396" spans="1:16" x14ac:dyDescent="0.2">
      <c r="A396" s="58" t="e">
        <f t="shared" si="5"/>
        <v>#VALUE!</v>
      </c>
      <c r="B396" s="144" t="str">
        <f>IF(ISBLANK(DaqBook_RAW_Data!AG386),IF(DaqBook_RAW_Data!A386="","",TIMEVALUE(DaqBook_RAW_Data!A386)),TIMEVALUE(DaqBook_RAW_Data!AG386))</f>
        <v/>
      </c>
      <c r="C396" s="167" t="str">
        <f>IF(ISBLANK(DaqBook_RAW_Data!AH386),"",DaqBook_RAW_Data!AH386)</f>
        <v/>
      </c>
      <c r="D396" s="167" t="str">
        <f>IF(ISBLANK(DaqBook_RAW_Data!AI386),"",DaqBook_RAW_Data!AI386)</f>
        <v/>
      </c>
      <c r="E396" s="167" t="str">
        <f>IF(ISBLANK(DaqBook_RAW_Data!AJ386),"",DaqBook_RAW_Data!AJ386)</f>
        <v/>
      </c>
      <c r="F396" s="167" t="str">
        <f>IF(ISBLANK(DaqBook_RAW_Data!AK386),"",DaqBook_RAW_Data!AK386)</f>
        <v/>
      </c>
      <c r="G396" s="167" t="str">
        <f>IF(ISBLANK(DaqBook_RAW_Data!AL386),"",DaqBook_RAW_Data!AL386)</f>
        <v/>
      </c>
      <c r="H396" s="167" t="str">
        <f>IF(ISBLANK(DaqBook_RAW_Data!AM386),"",DaqBook_RAW_Data!AM386)</f>
        <v/>
      </c>
      <c r="I396" s="167" t="str">
        <f>IF(ISBLANK(DaqBook_RAW_Data!AN386),"",DaqBook_RAW_Data!AN386)</f>
        <v/>
      </c>
      <c r="J396" s="167" t="str">
        <f>IF(ISBLANK(DaqBook_RAW_Data!AO386),"",DaqBook_RAW_Data!AO386)</f>
        <v/>
      </c>
      <c r="K396" s="167" t="str">
        <f>IF(ISBLANK(DaqBook_RAW_Data!AP386),"",DaqBook_RAW_Data!AP386)</f>
        <v/>
      </c>
      <c r="L396" s="167" t="str">
        <f>IF(ISBLANK(DaqBook_RAW_Data!AQ386),"",DaqBook_RAW_Data!AQ386)</f>
        <v/>
      </c>
      <c r="M396" s="167" t="str">
        <f>IF(ISBLANK(DaqBook_RAW_Data!AR386),"",DaqBook_RAW_Data!AR386)</f>
        <v/>
      </c>
      <c r="N396" s="167" t="str">
        <f>IF(ISBLANK(DaqBook_RAW_Data!AS386),"",DaqBook_RAW_Data!AS386)</f>
        <v/>
      </c>
      <c r="O396" s="167"/>
      <c r="P396" s="167"/>
    </row>
    <row r="397" spans="1:16" x14ac:dyDescent="0.2">
      <c r="A397" s="58" t="e">
        <f t="shared" si="5"/>
        <v>#VALUE!</v>
      </c>
      <c r="B397" s="144" t="str">
        <f>IF(ISBLANK(DaqBook_RAW_Data!AG387),IF(DaqBook_RAW_Data!A387="","",TIMEVALUE(DaqBook_RAW_Data!A387)),TIMEVALUE(DaqBook_RAW_Data!AG387))</f>
        <v/>
      </c>
      <c r="C397" s="167" t="str">
        <f>IF(ISBLANK(DaqBook_RAW_Data!AH387),"",DaqBook_RAW_Data!AH387)</f>
        <v/>
      </c>
      <c r="D397" s="167" t="str">
        <f>IF(ISBLANK(DaqBook_RAW_Data!AI387),"",DaqBook_RAW_Data!AI387)</f>
        <v/>
      </c>
      <c r="E397" s="167" t="str">
        <f>IF(ISBLANK(DaqBook_RAW_Data!AJ387),"",DaqBook_RAW_Data!AJ387)</f>
        <v/>
      </c>
      <c r="F397" s="167" t="str">
        <f>IF(ISBLANK(DaqBook_RAW_Data!AK387),"",DaqBook_RAW_Data!AK387)</f>
        <v/>
      </c>
      <c r="G397" s="167" t="str">
        <f>IF(ISBLANK(DaqBook_RAW_Data!AL387),"",DaqBook_RAW_Data!AL387)</f>
        <v/>
      </c>
      <c r="H397" s="167" t="str">
        <f>IF(ISBLANK(DaqBook_RAW_Data!AM387),"",DaqBook_RAW_Data!AM387)</f>
        <v/>
      </c>
      <c r="I397" s="167" t="str">
        <f>IF(ISBLANK(DaqBook_RAW_Data!AN387),"",DaqBook_RAW_Data!AN387)</f>
        <v/>
      </c>
      <c r="J397" s="167" t="str">
        <f>IF(ISBLANK(DaqBook_RAW_Data!AO387),"",DaqBook_RAW_Data!AO387)</f>
        <v/>
      </c>
      <c r="K397" s="167" t="str">
        <f>IF(ISBLANK(DaqBook_RAW_Data!AP387),"",DaqBook_RAW_Data!AP387)</f>
        <v/>
      </c>
      <c r="L397" s="167" t="str">
        <f>IF(ISBLANK(DaqBook_RAW_Data!AQ387),"",DaqBook_RAW_Data!AQ387)</f>
        <v/>
      </c>
      <c r="M397" s="167" t="str">
        <f>IF(ISBLANK(DaqBook_RAW_Data!AR387),"",DaqBook_RAW_Data!AR387)</f>
        <v/>
      </c>
      <c r="N397" s="167" t="str">
        <f>IF(ISBLANK(DaqBook_RAW_Data!AS387),"",DaqBook_RAW_Data!AS387)</f>
        <v/>
      </c>
      <c r="O397" s="167"/>
      <c r="P397" s="167"/>
    </row>
    <row r="398" spans="1:16" x14ac:dyDescent="0.2">
      <c r="A398" s="58" t="e">
        <f t="shared" si="5"/>
        <v>#VALUE!</v>
      </c>
      <c r="B398" s="144" t="str">
        <f>IF(ISBLANK(DaqBook_RAW_Data!AG388),IF(DaqBook_RAW_Data!A388="","",TIMEVALUE(DaqBook_RAW_Data!A388)),TIMEVALUE(DaqBook_RAW_Data!AG388))</f>
        <v/>
      </c>
      <c r="C398" s="167" t="str">
        <f>IF(ISBLANK(DaqBook_RAW_Data!AH388),"",DaqBook_RAW_Data!AH388)</f>
        <v/>
      </c>
      <c r="D398" s="167" t="str">
        <f>IF(ISBLANK(DaqBook_RAW_Data!AI388),"",DaqBook_RAW_Data!AI388)</f>
        <v/>
      </c>
      <c r="E398" s="167" t="str">
        <f>IF(ISBLANK(DaqBook_RAW_Data!AJ388),"",DaqBook_RAW_Data!AJ388)</f>
        <v/>
      </c>
      <c r="F398" s="167" t="str">
        <f>IF(ISBLANK(DaqBook_RAW_Data!AK388),"",DaqBook_RAW_Data!AK388)</f>
        <v/>
      </c>
      <c r="G398" s="167" t="str">
        <f>IF(ISBLANK(DaqBook_RAW_Data!AL388),"",DaqBook_RAW_Data!AL388)</f>
        <v/>
      </c>
      <c r="H398" s="167" t="str">
        <f>IF(ISBLANK(DaqBook_RAW_Data!AM388),"",DaqBook_RAW_Data!AM388)</f>
        <v/>
      </c>
      <c r="I398" s="167" t="str">
        <f>IF(ISBLANK(DaqBook_RAW_Data!AN388),"",DaqBook_RAW_Data!AN388)</f>
        <v/>
      </c>
      <c r="J398" s="167" t="str">
        <f>IF(ISBLANK(DaqBook_RAW_Data!AO388),"",DaqBook_RAW_Data!AO388)</f>
        <v/>
      </c>
      <c r="K398" s="167" t="str">
        <f>IF(ISBLANK(DaqBook_RAW_Data!AP388),"",DaqBook_RAW_Data!AP388)</f>
        <v/>
      </c>
      <c r="L398" s="167" t="str">
        <f>IF(ISBLANK(DaqBook_RAW_Data!AQ388),"",DaqBook_RAW_Data!AQ388)</f>
        <v/>
      </c>
      <c r="M398" s="167" t="str">
        <f>IF(ISBLANK(DaqBook_RAW_Data!AR388),"",DaqBook_RAW_Data!AR388)</f>
        <v/>
      </c>
      <c r="N398" s="167" t="str">
        <f>IF(ISBLANK(DaqBook_RAW_Data!AS388),"",DaqBook_RAW_Data!AS388)</f>
        <v/>
      </c>
      <c r="O398" s="167"/>
      <c r="P398" s="167"/>
    </row>
    <row r="399" spans="1:16" x14ac:dyDescent="0.2">
      <c r="A399" s="58" t="e">
        <f t="shared" ref="A399:A462" si="6">HOUR(B399)&amp;":"&amp;MINUTE(B399)</f>
        <v>#VALUE!</v>
      </c>
      <c r="B399" s="144" t="str">
        <f>IF(ISBLANK(DaqBook_RAW_Data!AG389),IF(DaqBook_RAW_Data!A389="","",TIMEVALUE(DaqBook_RAW_Data!A389)),TIMEVALUE(DaqBook_RAW_Data!AG389))</f>
        <v/>
      </c>
      <c r="C399" s="167" t="str">
        <f>IF(ISBLANK(DaqBook_RAW_Data!AH389),"",DaqBook_RAW_Data!AH389)</f>
        <v/>
      </c>
      <c r="D399" s="167" t="str">
        <f>IF(ISBLANK(DaqBook_RAW_Data!AI389),"",DaqBook_RAW_Data!AI389)</f>
        <v/>
      </c>
      <c r="E399" s="167" t="str">
        <f>IF(ISBLANK(DaqBook_RAW_Data!AJ389),"",DaqBook_RAW_Data!AJ389)</f>
        <v/>
      </c>
      <c r="F399" s="167" t="str">
        <f>IF(ISBLANK(DaqBook_RAW_Data!AK389),"",DaqBook_RAW_Data!AK389)</f>
        <v/>
      </c>
      <c r="G399" s="167" t="str">
        <f>IF(ISBLANK(DaqBook_RAW_Data!AL389),"",DaqBook_RAW_Data!AL389)</f>
        <v/>
      </c>
      <c r="H399" s="167" t="str">
        <f>IF(ISBLANK(DaqBook_RAW_Data!AM389),"",DaqBook_RAW_Data!AM389)</f>
        <v/>
      </c>
      <c r="I399" s="167" t="str">
        <f>IF(ISBLANK(DaqBook_RAW_Data!AN389),"",DaqBook_RAW_Data!AN389)</f>
        <v/>
      </c>
      <c r="J399" s="167" t="str">
        <f>IF(ISBLANK(DaqBook_RAW_Data!AO389),"",DaqBook_RAW_Data!AO389)</f>
        <v/>
      </c>
      <c r="K399" s="167" t="str">
        <f>IF(ISBLANK(DaqBook_RAW_Data!AP389),"",DaqBook_RAW_Data!AP389)</f>
        <v/>
      </c>
      <c r="L399" s="167" t="str">
        <f>IF(ISBLANK(DaqBook_RAW_Data!AQ389),"",DaqBook_RAW_Data!AQ389)</f>
        <v/>
      </c>
      <c r="M399" s="167" t="str">
        <f>IF(ISBLANK(DaqBook_RAW_Data!AR389),"",DaqBook_RAW_Data!AR389)</f>
        <v/>
      </c>
      <c r="N399" s="167" t="str">
        <f>IF(ISBLANK(DaqBook_RAW_Data!AS389),"",DaqBook_RAW_Data!AS389)</f>
        <v/>
      </c>
      <c r="O399" s="167"/>
      <c r="P399" s="167"/>
    </row>
    <row r="400" spans="1:16" x14ac:dyDescent="0.2">
      <c r="A400" s="58" t="e">
        <f t="shared" si="6"/>
        <v>#VALUE!</v>
      </c>
      <c r="B400" s="144" t="str">
        <f>IF(ISBLANK(DaqBook_RAW_Data!AG390),IF(DaqBook_RAW_Data!A390="","",TIMEVALUE(DaqBook_RAW_Data!A390)),TIMEVALUE(DaqBook_RAW_Data!AG390))</f>
        <v/>
      </c>
      <c r="C400" s="167" t="str">
        <f>IF(ISBLANK(DaqBook_RAW_Data!AH390),"",DaqBook_RAW_Data!AH390)</f>
        <v/>
      </c>
      <c r="D400" s="167" t="str">
        <f>IF(ISBLANK(DaqBook_RAW_Data!AI390),"",DaqBook_RAW_Data!AI390)</f>
        <v/>
      </c>
      <c r="E400" s="167" t="str">
        <f>IF(ISBLANK(DaqBook_RAW_Data!AJ390),"",DaqBook_RAW_Data!AJ390)</f>
        <v/>
      </c>
      <c r="F400" s="167" t="str">
        <f>IF(ISBLANK(DaqBook_RAW_Data!AK390),"",DaqBook_RAW_Data!AK390)</f>
        <v/>
      </c>
      <c r="G400" s="167" t="str">
        <f>IF(ISBLANK(DaqBook_RAW_Data!AL390),"",DaqBook_RAW_Data!AL390)</f>
        <v/>
      </c>
      <c r="H400" s="167" t="str">
        <f>IF(ISBLANK(DaqBook_RAW_Data!AM390),"",DaqBook_RAW_Data!AM390)</f>
        <v/>
      </c>
      <c r="I400" s="167" t="str">
        <f>IF(ISBLANK(DaqBook_RAW_Data!AN390),"",DaqBook_RAW_Data!AN390)</f>
        <v/>
      </c>
      <c r="J400" s="167" t="str">
        <f>IF(ISBLANK(DaqBook_RAW_Data!AO390),"",DaqBook_RAW_Data!AO390)</f>
        <v/>
      </c>
      <c r="K400" s="167" t="str">
        <f>IF(ISBLANK(DaqBook_RAW_Data!AP390),"",DaqBook_RAW_Data!AP390)</f>
        <v/>
      </c>
      <c r="L400" s="167" t="str">
        <f>IF(ISBLANK(DaqBook_RAW_Data!AQ390),"",DaqBook_RAW_Data!AQ390)</f>
        <v/>
      </c>
      <c r="M400" s="167" t="str">
        <f>IF(ISBLANK(DaqBook_RAW_Data!AR390),"",DaqBook_RAW_Data!AR390)</f>
        <v/>
      </c>
      <c r="N400" s="167" t="str">
        <f>IF(ISBLANK(DaqBook_RAW_Data!AS390),"",DaqBook_RAW_Data!AS390)</f>
        <v/>
      </c>
      <c r="O400" s="167"/>
      <c r="P400" s="167"/>
    </row>
    <row r="401" spans="1:16" x14ac:dyDescent="0.2">
      <c r="A401" s="58" t="e">
        <f t="shared" si="6"/>
        <v>#VALUE!</v>
      </c>
      <c r="B401" s="144" t="str">
        <f>IF(ISBLANK(DaqBook_RAW_Data!AG391),IF(DaqBook_RAW_Data!A391="","",TIMEVALUE(DaqBook_RAW_Data!A391)),TIMEVALUE(DaqBook_RAW_Data!AG391))</f>
        <v/>
      </c>
      <c r="C401" s="167" t="str">
        <f>IF(ISBLANK(DaqBook_RAW_Data!AH391),"",DaqBook_RAW_Data!AH391)</f>
        <v/>
      </c>
      <c r="D401" s="167" t="str">
        <f>IF(ISBLANK(DaqBook_RAW_Data!AI391),"",DaqBook_RAW_Data!AI391)</f>
        <v/>
      </c>
      <c r="E401" s="167" t="str">
        <f>IF(ISBLANK(DaqBook_RAW_Data!AJ391),"",DaqBook_RAW_Data!AJ391)</f>
        <v/>
      </c>
      <c r="F401" s="167" t="str">
        <f>IF(ISBLANK(DaqBook_RAW_Data!AK391),"",DaqBook_RAW_Data!AK391)</f>
        <v/>
      </c>
      <c r="G401" s="167" t="str">
        <f>IF(ISBLANK(DaqBook_RAW_Data!AL391),"",DaqBook_RAW_Data!AL391)</f>
        <v/>
      </c>
      <c r="H401" s="167" t="str">
        <f>IF(ISBLANK(DaqBook_RAW_Data!AM391),"",DaqBook_RAW_Data!AM391)</f>
        <v/>
      </c>
      <c r="I401" s="167" t="str">
        <f>IF(ISBLANK(DaqBook_RAW_Data!AN391),"",DaqBook_RAW_Data!AN391)</f>
        <v/>
      </c>
      <c r="J401" s="167" t="str">
        <f>IF(ISBLANK(DaqBook_RAW_Data!AO391),"",DaqBook_RAW_Data!AO391)</f>
        <v/>
      </c>
      <c r="K401" s="167" t="str">
        <f>IF(ISBLANK(DaqBook_RAW_Data!AP391),"",DaqBook_RAW_Data!AP391)</f>
        <v/>
      </c>
      <c r="L401" s="167" t="str">
        <f>IF(ISBLANK(DaqBook_RAW_Data!AQ391),"",DaqBook_RAW_Data!AQ391)</f>
        <v/>
      </c>
      <c r="M401" s="167" t="str">
        <f>IF(ISBLANK(DaqBook_RAW_Data!AR391),"",DaqBook_RAW_Data!AR391)</f>
        <v/>
      </c>
      <c r="N401" s="167" t="str">
        <f>IF(ISBLANK(DaqBook_RAW_Data!AS391),"",DaqBook_RAW_Data!AS391)</f>
        <v/>
      </c>
      <c r="O401" s="167"/>
      <c r="P401" s="167"/>
    </row>
    <row r="402" spans="1:16" x14ac:dyDescent="0.2">
      <c r="A402" s="58" t="e">
        <f t="shared" si="6"/>
        <v>#VALUE!</v>
      </c>
      <c r="B402" s="144" t="str">
        <f>IF(ISBLANK(DaqBook_RAW_Data!AG392),IF(DaqBook_RAW_Data!A392="","",TIMEVALUE(DaqBook_RAW_Data!A392)),TIMEVALUE(DaqBook_RAW_Data!AG392))</f>
        <v/>
      </c>
      <c r="C402" s="167" t="str">
        <f>IF(ISBLANK(DaqBook_RAW_Data!AH392),"",DaqBook_RAW_Data!AH392)</f>
        <v/>
      </c>
      <c r="D402" s="167" t="str">
        <f>IF(ISBLANK(DaqBook_RAW_Data!AI392),"",DaqBook_RAW_Data!AI392)</f>
        <v/>
      </c>
      <c r="E402" s="167" t="str">
        <f>IF(ISBLANK(DaqBook_RAW_Data!AJ392),"",DaqBook_RAW_Data!AJ392)</f>
        <v/>
      </c>
      <c r="F402" s="167" t="str">
        <f>IF(ISBLANK(DaqBook_RAW_Data!AK392),"",DaqBook_RAW_Data!AK392)</f>
        <v/>
      </c>
      <c r="G402" s="167" t="str">
        <f>IF(ISBLANK(DaqBook_RAW_Data!AL392),"",DaqBook_RAW_Data!AL392)</f>
        <v/>
      </c>
      <c r="H402" s="167" t="str">
        <f>IF(ISBLANK(DaqBook_RAW_Data!AM392),"",DaqBook_RAW_Data!AM392)</f>
        <v/>
      </c>
      <c r="I402" s="167" t="str">
        <f>IF(ISBLANK(DaqBook_RAW_Data!AN392),"",DaqBook_RAW_Data!AN392)</f>
        <v/>
      </c>
      <c r="J402" s="167" t="str">
        <f>IF(ISBLANK(DaqBook_RAW_Data!AO392),"",DaqBook_RAW_Data!AO392)</f>
        <v/>
      </c>
      <c r="K402" s="167" t="str">
        <f>IF(ISBLANK(DaqBook_RAW_Data!AP392),"",DaqBook_RAW_Data!AP392)</f>
        <v/>
      </c>
      <c r="L402" s="167" t="str">
        <f>IF(ISBLANK(DaqBook_RAW_Data!AQ392),"",DaqBook_RAW_Data!AQ392)</f>
        <v/>
      </c>
      <c r="M402" s="167" t="str">
        <f>IF(ISBLANK(DaqBook_RAW_Data!AR392),"",DaqBook_RAW_Data!AR392)</f>
        <v/>
      </c>
      <c r="N402" s="167" t="str">
        <f>IF(ISBLANK(DaqBook_RAW_Data!AS392),"",DaqBook_RAW_Data!AS392)</f>
        <v/>
      </c>
      <c r="O402" s="167"/>
      <c r="P402" s="167"/>
    </row>
    <row r="403" spans="1:16" x14ac:dyDescent="0.2">
      <c r="A403" s="58" t="e">
        <f t="shared" si="6"/>
        <v>#VALUE!</v>
      </c>
      <c r="B403" s="144" t="str">
        <f>IF(ISBLANK(DaqBook_RAW_Data!AG393),IF(DaqBook_RAW_Data!A393="","",TIMEVALUE(DaqBook_RAW_Data!A393)),TIMEVALUE(DaqBook_RAW_Data!AG393))</f>
        <v/>
      </c>
      <c r="C403" s="167" t="str">
        <f>IF(ISBLANK(DaqBook_RAW_Data!AH393),"",DaqBook_RAW_Data!AH393)</f>
        <v/>
      </c>
      <c r="D403" s="167" t="str">
        <f>IF(ISBLANK(DaqBook_RAW_Data!AI393),"",DaqBook_RAW_Data!AI393)</f>
        <v/>
      </c>
      <c r="E403" s="167" t="str">
        <f>IF(ISBLANK(DaqBook_RAW_Data!AJ393),"",DaqBook_RAW_Data!AJ393)</f>
        <v/>
      </c>
      <c r="F403" s="167" t="str">
        <f>IF(ISBLANK(DaqBook_RAW_Data!AK393),"",DaqBook_RAW_Data!AK393)</f>
        <v/>
      </c>
      <c r="G403" s="167" t="str">
        <f>IF(ISBLANK(DaqBook_RAW_Data!AL393),"",DaqBook_RAW_Data!AL393)</f>
        <v/>
      </c>
      <c r="H403" s="167" t="str">
        <f>IF(ISBLANK(DaqBook_RAW_Data!AM393),"",DaqBook_RAW_Data!AM393)</f>
        <v/>
      </c>
      <c r="I403" s="167" t="str">
        <f>IF(ISBLANK(DaqBook_RAW_Data!AN393),"",DaqBook_RAW_Data!AN393)</f>
        <v/>
      </c>
      <c r="J403" s="167" t="str">
        <f>IF(ISBLANK(DaqBook_RAW_Data!AO393),"",DaqBook_RAW_Data!AO393)</f>
        <v/>
      </c>
      <c r="K403" s="167" t="str">
        <f>IF(ISBLANK(DaqBook_RAW_Data!AP393),"",DaqBook_RAW_Data!AP393)</f>
        <v/>
      </c>
      <c r="L403" s="167" t="str">
        <f>IF(ISBLANK(DaqBook_RAW_Data!AQ393),"",DaqBook_RAW_Data!AQ393)</f>
        <v/>
      </c>
      <c r="M403" s="167" t="str">
        <f>IF(ISBLANK(DaqBook_RAW_Data!AR393),"",DaqBook_RAW_Data!AR393)</f>
        <v/>
      </c>
      <c r="N403" s="167" t="str">
        <f>IF(ISBLANK(DaqBook_RAW_Data!AS393),"",DaqBook_RAW_Data!AS393)</f>
        <v/>
      </c>
      <c r="O403" s="167"/>
      <c r="P403" s="167"/>
    </row>
    <row r="404" spans="1:16" x14ac:dyDescent="0.2">
      <c r="A404" s="58" t="e">
        <f t="shared" si="6"/>
        <v>#VALUE!</v>
      </c>
      <c r="B404" s="144" t="str">
        <f>IF(ISBLANK(DaqBook_RAW_Data!AG394),IF(DaqBook_RAW_Data!A394="","",TIMEVALUE(DaqBook_RAW_Data!A394)),TIMEVALUE(DaqBook_RAW_Data!AG394))</f>
        <v/>
      </c>
      <c r="C404" s="167" t="str">
        <f>IF(ISBLANK(DaqBook_RAW_Data!AH394),"",DaqBook_RAW_Data!AH394)</f>
        <v/>
      </c>
      <c r="D404" s="167" t="str">
        <f>IF(ISBLANK(DaqBook_RAW_Data!AI394),"",DaqBook_RAW_Data!AI394)</f>
        <v/>
      </c>
      <c r="E404" s="167" t="str">
        <f>IF(ISBLANK(DaqBook_RAW_Data!AJ394),"",DaqBook_RAW_Data!AJ394)</f>
        <v/>
      </c>
      <c r="F404" s="167" t="str">
        <f>IF(ISBLANK(DaqBook_RAW_Data!AK394),"",DaqBook_RAW_Data!AK394)</f>
        <v/>
      </c>
      <c r="G404" s="167" t="str">
        <f>IF(ISBLANK(DaqBook_RAW_Data!AL394),"",DaqBook_RAW_Data!AL394)</f>
        <v/>
      </c>
      <c r="H404" s="167" t="str">
        <f>IF(ISBLANK(DaqBook_RAW_Data!AM394),"",DaqBook_RAW_Data!AM394)</f>
        <v/>
      </c>
      <c r="I404" s="167" t="str">
        <f>IF(ISBLANK(DaqBook_RAW_Data!AN394),"",DaqBook_RAW_Data!AN394)</f>
        <v/>
      </c>
      <c r="J404" s="167" t="str">
        <f>IF(ISBLANK(DaqBook_RAW_Data!AO394),"",DaqBook_RAW_Data!AO394)</f>
        <v/>
      </c>
      <c r="K404" s="167" t="str">
        <f>IF(ISBLANK(DaqBook_RAW_Data!AP394),"",DaqBook_RAW_Data!AP394)</f>
        <v/>
      </c>
      <c r="L404" s="167" t="str">
        <f>IF(ISBLANK(DaqBook_RAW_Data!AQ394),"",DaqBook_RAW_Data!AQ394)</f>
        <v/>
      </c>
      <c r="M404" s="167" t="str">
        <f>IF(ISBLANK(DaqBook_RAW_Data!AR394),"",DaqBook_RAW_Data!AR394)</f>
        <v/>
      </c>
      <c r="N404" s="167" t="str">
        <f>IF(ISBLANK(DaqBook_RAW_Data!AS394),"",DaqBook_RAW_Data!AS394)</f>
        <v/>
      </c>
      <c r="O404" s="167"/>
      <c r="P404" s="167"/>
    </row>
    <row r="405" spans="1:16" x14ac:dyDescent="0.2">
      <c r="A405" s="58" t="e">
        <f t="shared" si="6"/>
        <v>#VALUE!</v>
      </c>
      <c r="B405" s="144" t="str">
        <f>IF(ISBLANK(DaqBook_RAW_Data!AG395),IF(DaqBook_RAW_Data!A395="","",TIMEVALUE(DaqBook_RAW_Data!A395)),TIMEVALUE(DaqBook_RAW_Data!AG395))</f>
        <v/>
      </c>
      <c r="C405" s="167" t="str">
        <f>IF(ISBLANK(DaqBook_RAW_Data!AH395),"",DaqBook_RAW_Data!AH395)</f>
        <v/>
      </c>
      <c r="D405" s="167" t="str">
        <f>IF(ISBLANK(DaqBook_RAW_Data!AI395),"",DaqBook_RAW_Data!AI395)</f>
        <v/>
      </c>
      <c r="E405" s="167" t="str">
        <f>IF(ISBLANK(DaqBook_RAW_Data!AJ395),"",DaqBook_RAW_Data!AJ395)</f>
        <v/>
      </c>
      <c r="F405" s="167" t="str">
        <f>IF(ISBLANK(DaqBook_RAW_Data!AK395),"",DaqBook_RAW_Data!AK395)</f>
        <v/>
      </c>
      <c r="G405" s="167" t="str">
        <f>IF(ISBLANK(DaqBook_RAW_Data!AL395),"",DaqBook_RAW_Data!AL395)</f>
        <v/>
      </c>
      <c r="H405" s="167" t="str">
        <f>IF(ISBLANK(DaqBook_RAW_Data!AM395),"",DaqBook_RAW_Data!AM395)</f>
        <v/>
      </c>
      <c r="I405" s="167" t="str">
        <f>IF(ISBLANK(DaqBook_RAW_Data!AN395),"",DaqBook_RAW_Data!AN395)</f>
        <v/>
      </c>
      <c r="J405" s="167" t="str">
        <f>IF(ISBLANK(DaqBook_RAW_Data!AO395),"",DaqBook_RAW_Data!AO395)</f>
        <v/>
      </c>
      <c r="K405" s="167" t="str">
        <f>IF(ISBLANK(DaqBook_RAW_Data!AP395),"",DaqBook_RAW_Data!AP395)</f>
        <v/>
      </c>
      <c r="L405" s="167" t="str">
        <f>IF(ISBLANK(DaqBook_RAW_Data!AQ395),"",DaqBook_RAW_Data!AQ395)</f>
        <v/>
      </c>
      <c r="M405" s="167" t="str">
        <f>IF(ISBLANK(DaqBook_RAW_Data!AR395),"",DaqBook_RAW_Data!AR395)</f>
        <v/>
      </c>
      <c r="N405" s="167" t="str">
        <f>IF(ISBLANK(DaqBook_RAW_Data!AS395),"",DaqBook_RAW_Data!AS395)</f>
        <v/>
      </c>
      <c r="O405" s="167"/>
      <c r="P405" s="167"/>
    </row>
    <row r="406" spans="1:16" x14ac:dyDescent="0.2">
      <c r="A406" s="58" t="e">
        <f t="shared" si="6"/>
        <v>#VALUE!</v>
      </c>
      <c r="B406" s="144" t="str">
        <f>IF(ISBLANK(DaqBook_RAW_Data!AG396),IF(DaqBook_RAW_Data!A396="","",TIMEVALUE(DaqBook_RAW_Data!A396)),TIMEVALUE(DaqBook_RAW_Data!AG396))</f>
        <v/>
      </c>
      <c r="C406" s="167" t="str">
        <f>IF(ISBLANK(DaqBook_RAW_Data!AH396),"",DaqBook_RAW_Data!AH396)</f>
        <v/>
      </c>
      <c r="D406" s="167" t="str">
        <f>IF(ISBLANK(DaqBook_RAW_Data!AI396),"",DaqBook_RAW_Data!AI396)</f>
        <v/>
      </c>
      <c r="E406" s="167" t="str">
        <f>IF(ISBLANK(DaqBook_RAW_Data!AJ396),"",DaqBook_RAW_Data!AJ396)</f>
        <v/>
      </c>
      <c r="F406" s="167" t="str">
        <f>IF(ISBLANK(DaqBook_RAW_Data!AK396),"",DaqBook_RAW_Data!AK396)</f>
        <v/>
      </c>
      <c r="G406" s="167" t="str">
        <f>IF(ISBLANK(DaqBook_RAW_Data!AL396),"",DaqBook_RAW_Data!AL396)</f>
        <v/>
      </c>
      <c r="H406" s="167" t="str">
        <f>IF(ISBLANK(DaqBook_RAW_Data!AM396),"",DaqBook_RAW_Data!AM396)</f>
        <v/>
      </c>
      <c r="I406" s="167" t="str">
        <f>IF(ISBLANK(DaqBook_RAW_Data!AN396),"",DaqBook_RAW_Data!AN396)</f>
        <v/>
      </c>
      <c r="J406" s="167" t="str">
        <f>IF(ISBLANK(DaqBook_RAW_Data!AO396),"",DaqBook_RAW_Data!AO396)</f>
        <v/>
      </c>
      <c r="K406" s="167" t="str">
        <f>IF(ISBLANK(DaqBook_RAW_Data!AP396),"",DaqBook_RAW_Data!AP396)</f>
        <v/>
      </c>
      <c r="L406" s="167" t="str">
        <f>IF(ISBLANK(DaqBook_RAW_Data!AQ396),"",DaqBook_RAW_Data!AQ396)</f>
        <v/>
      </c>
      <c r="M406" s="167" t="str">
        <f>IF(ISBLANK(DaqBook_RAW_Data!AR396),"",DaqBook_RAW_Data!AR396)</f>
        <v/>
      </c>
      <c r="N406" s="167" t="str">
        <f>IF(ISBLANK(DaqBook_RAW_Data!AS396),"",DaqBook_RAW_Data!AS396)</f>
        <v/>
      </c>
      <c r="O406" s="167"/>
      <c r="P406" s="167"/>
    </row>
    <row r="407" spans="1:16" x14ac:dyDescent="0.2">
      <c r="A407" s="58" t="e">
        <f t="shared" si="6"/>
        <v>#VALUE!</v>
      </c>
      <c r="B407" s="144" t="str">
        <f>IF(ISBLANK(DaqBook_RAW_Data!AG397),IF(DaqBook_RAW_Data!A397="","",TIMEVALUE(DaqBook_RAW_Data!A397)),TIMEVALUE(DaqBook_RAW_Data!AG397))</f>
        <v/>
      </c>
      <c r="C407" s="167" t="str">
        <f>IF(ISBLANK(DaqBook_RAW_Data!AH397),"",DaqBook_RAW_Data!AH397)</f>
        <v/>
      </c>
      <c r="D407" s="167" t="str">
        <f>IF(ISBLANK(DaqBook_RAW_Data!AI397),"",DaqBook_RAW_Data!AI397)</f>
        <v/>
      </c>
      <c r="E407" s="167" t="str">
        <f>IF(ISBLANK(DaqBook_RAW_Data!AJ397),"",DaqBook_RAW_Data!AJ397)</f>
        <v/>
      </c>
      <c r="F407" s="167" t="str">
        <f>IF(ISBLANK(DaqBook_RAW_Data!AK397),"",DaqBook_RAW_Data!AK397)</f>
        <v/>
      </c>
      <c r="G407" s="167" t="str">
        <f>IF(ISBLANK(DaqBook_RAW_Data!AL397),"",DaqBook_RAW_Data!AL397)</f>
        <v/>
      </c>
      <c r="H407" s="167" t="str">
        <f>IF(ISBLANK(DaqBook_RAW_Data!AM397),"",DaqBook_RAW_Data!AM397)</f>
        <v/>
      </c>
      <c r="I407" s="167" t="str">
        <f>IF(ISBLANK(DaqBook_RAW_Data!AN397),"",DaqBook_RAW_Data!AN397)</f>
        <v/>
      </c>
      <c r="J407" s="167" t="str">
        <f>IF(ISBLANK(DaqBook_RAW_Data!AO397),"",DaqBook_RAW_Data!AO397)</f>
        <v/>
      </c>
      <c r="K407" s="167" t="str">
        <f>IF(ISBLANK(DaqBook_RAW_Data!AP397),"",DaqBook_RAW_Data!AP397)</f>
        <v/>
      </c>
      <c r="L407" s="167" t="str">
        <f>IF(ISBLANK(DaqBook_RAW_Data!AQ397),"",DaqBook_RAW_Data!AQ397)</f>
        <v/>
      </c>
      <c r="M407" s="167" t="str">
        <f>IF(ISBLANK(DaqBook_RAW_Data!AR397),"",DaqBook_RAW_Data!AR397)</f>
        <v/>
      </c>
      <c r="N407" s="167" t="str">
        <f>IF(ISBLANK(DaqBook_RAW_Data!AS397),"",DaqBook_RAW_Data!AS397)</f>
        <v/>
      </c>
      <c r="O407" s="167"/>
      <c r="P407" s="167"/>
    </row>
    <row r="408" spans="1:16" x14ac:dyDescent="0.2">
      <c r="A408" s="58" t="e">
        <f t="shared" si="6"/>
        <v>#VALUE!</v>
      </c>
      <c r="B408" s="144" t="str">
        <f>IF(ISBLANK(DaqBook_RAW_Data!AG398),IF(DaqBook_RAW_Data!A398="","",TIMEVALUE(DaqBook_RAW_Data!A398)),TIMEVALUE(DaqBook_RAW_Data!AG398))</f>
        <v/>
      </c>
      <c r="C408" s="167" t="str">
        <f>IF(ISBLANK(DaqBook_RAW_Data!AH398),"",DaqBook_RAW_Data!AH398)</f>
        <v/>
      </c>
      <c r="D408" s="167" t="str">
        <f>IF(ISBLANK(DaqBook_RAW_Data!AI398),"",DaqBook_RAW_Data!AI398)</f>
        <v/>
      </c>
      <c r="E408" s="167" t="str">
        <f>IF(ISBLANK(DaqBook_RAW_Data!AJ398),"",DaqBook_RAW_Data!AJ398)</f>
        <v/>
      </c>
      <c r="F408" s="167" t="str">
        <f>IF(ISBLANK(DaqBook_RAW_Data!AK398),"",DaqBook_RAW_Data!AK398)</f>
        <v/>
      </c>
      <c r="G408" s="167" t="str">
        <f>IF(ISBLANK(DaqBook_RAW_Data!AL398),"",DaqBook_RAW_Data!AL398)</f>
        <v/>
      </c>
      <c r="H408" s="167" t="str">
        <f>IF(ISBLANK(DaqBook_RAW_Data!AM398),"",DaqBook_RAW_Data!AM398)</f>
        <v/>
      </c>
      <c r="I408" s="167" t="str">
        <f>IF(ISBLANK(DaqBook_RAW_Data!AN398),"",DaqBook_RAW_Data!AN398)</f>
        <v/>
      </c>
      <c r="J408" s="167" t="str">
        <f>IF(ISBLANK(DaqBook_RAW_Data!AO398),"",DaqBook_RAW_Data!AO398)</f>
        <v/>
      </c>
      <c r="K408" s="167" t="str">
        <f>IF(ISBLANK(DaqBook_RAW_Data!AP398),"",DaqBook_RAW_Data!AP398)</f>
        <v/>
      </c>
      <c r="L408" s="167" t="str">
        <f>IF(ISBLANK(DaqBook_RAW_Data!AQ398),"",DaqBook_RAW_Data!AQ398)</f>
        <v/>
      </c>
      <c r="M408" s="167" t="str">
        <f>IF(ISBLANK(DaqBook_RAW_Data!AR398),"",DaqBook_RAW_Data!AR398)</f>
        <v/>
      </c>
      <c r="N408" s="167" t="str">
        <f>IF(ISBLANK(DaqBook_RAW_Data!AS398),"",DaqBook_RAW_Data!AS398)</f>
        <v/>
      </c>
      <c r="O408" s="167"/>
      <c r="P408" s="167"/>
    </row>
    <row r="409" spans="1:16" x14ac:dyDescent="0.2">
      <c r="A409" s="58" t="e">
        <f t="shared" si="6"/>
        <v>#VALUE!</v>
      </c>
      <c r="B409" s="144" t="str">
        <f>IF(ISBLANK(DaqBook_RAW_Data!AG399),IF(DaqBook_RAW_Data!A399="","",TIMEVALUE(DaqBook_RAW_Data!A399)),TIMEVALUE(DaqBook_RAW_Data!AG399))</f>
        <v/>
      </c>
      <c r="C409" s="167" t="str">
        <f>IF(ISBLANK(DaqBook_RAW_Data!AH399),"",DaqBook_RAW_Data!AH399)</f>
        <v/>
      </c>
      <c r="D409" s="167" t="str">
        <f>IF(ISBLANK(DaqBook_RAW_Data!AI399),"",DaqBook_RAW_Data!AI399)</f>
        <v/>
      </c>
      <c r="E409" s="167" t="str">
        <f>IF(ISBLANK(DaqBook_RAW_Data!AJ399),"",DaqBook_RAW_Data!AJ399)</f>
        <v/>
      </c>
      <c r="F409" s="167" t="str">
        <f>IF(ISBLANK(DaqBook_RAW_Data!AK399),"",DaqBook_RAW_Data!AK399)</f>
        <v/>
      </c>
      <c r="G409" s="167" t="str">
        <f>IF(ISBLANK(DaqBook_RAW_Data!AL399),"",DaqBook_RAW_Data!AL399)</f>
        <v/>
      </c>
      <c r="H409" s="167" t="str">
        <f>IF(ISBLANK(DaqBook_RAW_Data!AM399),"",DaqBook_RAW_Data!AM399)</f>
        <v/>
      </c>
      <c r="I409" s="167" t="str">
        <f>IF(ISBLANK(DaqBook_RAW_Data!AN399),"",DaqBook_RAW_Data!AN399)</f>
        <v/>
      </c>
      <c r="J409" s="167" t="str">
        <f>IF(ISBLANK(DaqBook_RAW_Data!AO399),"",DaqBook_RAW_Data!AO399)</f>
        <v/>
      </c>
      <c r="K409" s="167" t="str">
        <f>IF(ISBLANK(DaqBook_RAW_Data!AP399),"",DaqBook_RAW_Data!AP399)</f>
        <v/>
      </c>
      <c r="L409" s="167" t="str">
        <f>IF(ISBLANK(DaqBook_RAW_Data!AQ399),"",DaqBook_RAW_Data!AQ399)</f>
        <v/>
      </c>
      <c r="M409" s="167" t="str">
        <f>IF(ISBLANK(DaqBook_RAW_Data!AR399),"",DaqBook_RAW_Data!AR399)</f>
        <v/>
      </c>
      <c r="N409" s="167" t="str">
        <f>IF(ISBLANK(DaqBook_RAW_Data!AS399),"",DaqBook_RAW_Data!AS399)</f>
        <v/>
      </c>
      <c r="O409" s="167"/>
      <c r="P409" s="167"/>
    </row>
    <row r="410" spans="1:16" x14ac:dyDescent="0.2">
      <c r="A410" s="58" t="e">
        <f t="shared" si="6"/>
        <v>#VALUE!</v>
      </c>
      <c r="B410" s="144" t="str">
        <f>IF(ISBLANK(DaqBook_RAW_Data!AG400),IF(DaqBook_RAW_Data!A400="","",TIMEVALUE(DaqBook_RAW_Data!A400)),TIMEVALUE(DaqBook_RAW_Data!AG400))</f>
        <v/>
      </c>
      <c r="C410" s="167" t="str">
        <f>IF(ISBLANK(DaqBook_RAW_Data!AH400),"",DaqBook_RAW_Data!AH400)</f>
        <v/>
      </c>
      <c r="D410" s="167" t="str">
        <f>IF(ISBLANK(DaqBook_RAW_Data!AI400),"",DaqBook_RAW_Data!AI400)</f>
        <v/>
      </c>
      <c r="E410" s="167" t="str">
        <f>IF(ISBLANK(DaqBook_RAW_Data!AJ400),"",DaqBook_RAW_Data!AJ400)</f>
        <v/>
      </c>
      <c r="F410" s="167" t="str">
        <f>IF(ISBLANK(DaqBook_RAW_Data!AK400),"",DaqBook_RAW_Data!AK400)</f>
        <v/>
      </c>
      <c r="G410" s="167" t="str">
        <f>IF(ISBLANK(DaqBook_RAW_Data!AL400),"",DaqBook_RAW_Data!AL400)</f>
        <v/>
      </c>
      <c r="H410" s="167" t="str">
        <f>IF(ISBLANK(DaqBook_RAW_Data!AM400),"",DaqBook_RAW_Data!AM400)</f>
        <v/>
      </c>
      <c r="I410" s="167" t="str">
        <f>IF(ISBLANK(DaqBook_RAW_Data!AN400),"",DaqBook_RAW_Data!AN400)</f>
        <v/>
      </c>
      <c r="J410" s="167" t="str">
        <f>IF(ISBLANK(DaqBook_RAW_Data!AO400),"",DaqBook_RAW_Data!AO400)</f>
        <v/>
      </c>
      <c r="K410" s="167" t="str">
        <f>IF(ISBLANK(DaqBook_RAW_Data!AP400),"",DaqBook_RAW_Data!AP400)</f>
        <v/>
      </c>
      <c r="L410" s="167" t="str">
        <f>IF(ISBLANK(DaqBook_RAW_Data!AQ400),"",DaqBook_RAW_Data!AQ400)</f>
        <v/>
      </c>
      <c r="M410" s="167" t="str">
        <f>IF(ISBLANK(DaqBook_RAW_Data!AR400),"",DaqBook_RAW_Data!AR400)</f>
        <v/>
      </c>
      <c r="N410" s="167" t="str">
        <f>IF(ISBLANK(DaqBook_RAW_Data!AS400),"",DaqBook_RAW_Data!AS400)</f>
        <v/>
      </c>
      <c r="O410" s="167"/>
      <c r="P410" s="167"/>
    </row>
    <row r="411" spans="1:16" x14ac:dyDescent="0.2">
      <c r="A411" s="58" t="e">
        <f t="shared" si="6"/>
        <v>#VALUE!</v>
      </c>
      <c r="B411" s="144" t="str">
        <f>IF(ISBLANK(DaqBook_RAW_Data!AG401),IF(DaqBook_RAW_Data!A401="","",TIMEVALUE(DaqBook_RAW_Data!A401)),TIMEVALUE(DaqBook_RAW_Data!AG401))</f>
        <v/>
      </c>
      <c r="C411" s="167" t="str">
        <f>IF(ISBLANK(DaqBook_RAW_Data!AH401),"",DaqBook_RAW_Data!AH401)</f>
        <v/>
      </c>
      <c r="D411" s="167" t="str">
        <f>IF(ISBLANK(DaqBook_RAW_Data!AI401),"",DaqBook_RAW_Data!AI401)</f>
        <v/>
      </c>
      <c r="E411" s="167" t="str">
        <f>IF(ISBLANK(DaqBook_RAW_Data!AJ401),"",DaqBook_RAW_Data!AJ401)</f>
        <v/>
      </c>
      <c r="F411" s="167" t="str">
        <f>IF(ISBLANK(DaqBook_RAW_Data!AK401),"",DaqBook_RAW_Data!AK401)</f>
        <v/>
      </c>
      <c r="G411" s="167" t="str">
        <f>IF(ISBLANK(DaqBook_RAW_Data!AL401),"",DaqBook_RAW_Data!AL401)</f>
        <v/>
      </c>
      <c r="H411" s="167" t="str">
        <f>IF(ISBLANK(DaqBook_RAW_Data!AM401),"",DaqBook_RAW_Data!AM401)</f>
        <v/>
      </c>
      <c r="I411" s="167" t="str">
        <f>IF(ISBLANK(DaqBook_RAW_Data!AN401),"",DaqBook_RAW_Data!AN401)</f>
        <v/>
      </c>
      <c r="J411" s="167" t="str">
        <f>IF(ISBLANK(DaqBook_RAW_Data!AO401),"",DaqBook_RAW_Data!AO401)</f>
        <v/>
      </c>
      <c r="K411" s="167" t="str">
        <f>IF(ISBLANK(DaqBook_RAW_Data!AP401),"",DaqBook_RAW_Data!AP401)</f>
        <v/>
      </c>
      <c r="L411" s="167" t="str">
        <f>IF(ISBLANK(DaqBook_RAW_Data!AQ401),"",DaqBook_RAW_Data!AQ401)</f>
        <v/>
      </c>
      <c r="M411" s="167" t="str">
        <f>IF(ISBLANK(DaqBook_RAW_Data!AR401),"",DaqBook_RAW_Data!AR401)</f>
        <v/>
      </c>
      <c r="N411" s="167" t="str">
        <f>IF(ISBLANK(DaqBook_RAW_Data!AS401),"",DaqBook_RAW_Data!AS401)</f>
        <v/>
      </c>
      <c r="O411" s="167"/>
      <c r="P411" s="167"/>
    </row>
    <row r="412" spans="1:16" x14ac:dyDescent="0.2">
      <c r="A412" s="58" t="e">
        <f t="shared" si="6"/>
        <v>#VALUE!</v>
      </c>
      <c r="B412" s="144" t="str">
        <f>IF(ISBLANK(DaqBook_RAW_Data!AG402),IF(DaqBook_RAW_Data!A402="","",TIMEVALUE(DaqBook_RAW_Data!A402)),TIMEVALUE(DaqBook_RAW_Data!AG402))</f>
        <v/>
      </c>
      <c r="C412" s="167" t="str">
        <f>IF(ISBLANK(DaqBook_RAW_Data!AH402),"",DaqBook_RAW_Data!AH402)</f>
        <v/>
      </c>
      <c r="D412" s="167" t="str">
        <f>IF(ISBLANK(DaqBook_RAW_Data!AI402),"",DaqBook_RAW_Data!AI402)</f>
        <v/>
      </c>
      <c r="E412" s="167" t="str">
        <f>IF(ISBLANK(DaqBook_RAW_Data!AJ402),"",DaqBook_RAW_Data!AJ402)</f>
        <v/>
      </c>
      <c r="F412" s="167" t="str">
        <f>IF(ISBLANK(DaqBook_RAW_Data!AK402),"",DaqBook_RAW_Data!AK402)</f>
        <v/>
      </c>
      <c r="G412" s="167" t="str">
        <f>IF(ISBLANK(DaqBook_RAW_Data!AL402),"",DaqBook_RAW_Data!AL402)</f>
        <v/>
      </c>
      <c r="H412" s="167" t="str">
        <f>IF(ISBLANK(DaqBook_RAW_Data!AM402),"",DaqBook_RAW_Data!AM402)</f>
        <v/>
      </c>
      <c r="I412" s="167" t="str">
        <f>IF(ISBLANK(DaqBook_RAW_Data!AN402),"",DaqBook_RAW_Data!AN402)</f>
        <v/>
      </c>
      <c r="J412" s="167" t="str">
        <f>IF(ISBLANK(DaqBook_RAW_Data!AO402),"",DaqBook_RAW_Data!AO402)</f>
        <v/>
      </c>
      <c r="K412" s="167" t="str">
        <f>IF(ISBLANK(DaqBook_RAW_Data!AP402),"",DaqBook_RAW_Data!AP402)</f>
        <v/>
      </c>
      <c r="L412" s="167" t="str">
        <f>IF(ISBLANK(DaqBook_RAW_Data!AQ402),"",DaqBook_RAW_Data!AQ402)</f>
        <v/>
      </c>
      <c r="M412" s="167" t="str">
        <f>IF(ISBLANK(DaqBook_RAW_Data!AR402),"",DaqBook_RAW_Data!AR402)</f>
        <v/>
      </c>
      <c r="N412" s="167" t="str">
        <f>IF(ISBLANK(DaqBook_RAW_Data!AS402),"",DaqBook_RAW_Data!AS402)</f>
        <v/>
      </c>
      <c r="O412" s="167"/>
      <c r="P412" s="167"/>
    </row>
    <row r="413" spans="1:16" x14ac:dyDescent="0.2">
      <c r="A413" s="58" t="e">
        <f t="shared" si="6"/>
        <v>#VALUE!</v>
      </c>
      <c r="B413" s="144" t="str">
        <f>IF(ISBLANK(DaqBook_RAW_Data!AG403),IF(DaqBook_RAW_Data!A403="","",TIMEVALUE(DaqBook_RAW_Data!A403)),TIMEVALUE(DaqBook_RAW_Data!AG403))</f>
        <v/>
      </c>
      <c r="C413" s="167" t="str">
        <f>IF(ISBLANK(DaqBook_RAW_Data!AH403),"",DaqBook_RAW_Data!AH403)</f>
        <v/>
      </c>
      <c r="D413" s="167" t="str">
        <f>IF(ISBLANK(DaqBook_RAW_Data!AI403),"",DaqBook_RAW_Data!AI403)</f>
        <v/>
      </c>
      <c r="E413" s="167" t="str">
        <f>IF(ISBLANK(DaqBook_RAW_Data!AJ403),"",DaqBook_RAW_Data!AJ403)</f>
        <v/>
      </c>
      <c r="F413" s="167" t="str">
        <f>IF(ISBLANK(DaqBook_RAW_Data!AK403),"",DaqBook_RAW_Data!AK403)</f>
        <v/>
      </c>
      <c r="G413" s="167" t="str">
        <f>IF(ISBLANK(DaqBook_RAW_Data!AL403),"",DaqBook_RAW_Data!AL403)</f>
        <v/>
      </c>
      <c r="H413" s="167" t="str">
        <f>IF(ISBLANK(DaqBook_RAW_Data!AM403),"",DaqBook_RAW_Data!AM403)</f>
        <v/>
      </c>
      <c r="I413" s="167" t="str">
        <f>IF(ISBLANK(DaqBook_RAW_Data!AN403),"",DaqBook_RAW_Data!AN403)</f>
        <v/>
      </c>
      <c r="J413" s="167" t="str">
        <f>IF(ISBLANK(DaqBook_RAW_Data!AO403),"",DaqBook_RAW_Data!AO403)</f>
        <v/>
      </c>
      <c r="K413" s="167" t="str">
        <f>IF(ISBLANK(DaqBook_RAW_Data!AP403),"",DaqBook_RAW_Data!AP403)</f>
        <v/>
      </c>
      <c r="L413" s="167" t="str">
        <f>IF(ISBLANK(DaqBook_RAW_Data!AQ403),"",DaqBook_RAW_Data!AQ403)</f>
        <v/>
      </c>
      <c r="M413" s="167" t="str">
        <f>IF(ISBLANK(DaqBook_RAW_Data!AR403),"",DaqBook_RAW_Data!AR403)</f>
        <v/>
      </c>
      <c r="N413" s="167" t="str">
        <f>IF(ISBLANK(DaqBook_RAW_Data!AS403),"",DaqBook_RAW_Data!AS403)</f>
        <v/>
      </c>
      <c r="O413" s="167"/>
      <c r="P413" s="167"/>
    </row>
    <row r="414" spans="1:16" x14ac:dyDescent="0.2">
      <c r="A414" s="58" t="e">
        <f t="shared" si="6"/>
        <v>#VALUE!</v>
      </c>
      <c r="B414" s="144" t="str">
        <f>IF(ISBLANK(DaqBook_RAW_Data!AG404),IF(DaqBook_RAW_Data!A404="","",TIMEVALUE(DaqBook_RAW_Data!A404)),TIMEVALUE(DaqBook_RAW_Data!AG404))</f>
        <v/>
      </c>
      <c r="C414" s="167" t="str">
        <f>IF(ISBLANK(DaqBook_RAW_Data!AH404),"",DaqBook_RAW_Data!AH404)</f>
        <v/>
      </c>
      <c r="D414" s="167" t="str">
        <f>IF(ISBLANK(DaqBook_RAW_Data!AI404),"",DaqBook_RAW_Data!AI404)</f>
        <v/>
      </c>
      <c r="E414" s="167" t="str">
        <f>IF(ISBLANK(DaqBook_RAW_Data!AJ404),"",DaqBook_RAW_Data!AJ404)</f>
        <v/>
      </c>
      <c r="F414" s="167" t="str">
        <f>IF(ISBLANK(DaqBook_RAW_Data!AK404),"",DaqBook_RAW_Data!AK404)</f>
        <v/>
      </c>
      <c r="G414" s="167" t="str">
        <f>IF(ISBLANK(DaqBook_RAW_Data!AL404),"",DaqBook_RAW_Data!AL404)</f>
        <v/>
      </c>
      <c r="H414" s="167" t="str">
        <f>IF(ISBLANK(DaqBook_RAW_Data!AM404),"",DaqBook_RAW_Data!AM404)</f>
        <v/>
      </c>
      <c r="I414" s="167" t="str">
        <f>IF(ISBLANK(DaqBook_RAW_Data!AN404),"",DaqBook_RAW_Data!AN404)</f>
        <v/>
      </c>
      <c r="J414" s="167" t="str">
        <f>IF(ISBLANK(DaqBook_RAW_Data!AO404),"",DaqBook_RAW_Data!AO404)</f>
        <v/>
      </c>
      <c r="K414" s="167" t="str">
        <f>IF(ISBLANK(DaqBook_RAW_Data!AP404),"",DaqBook_RAW_Data!AP404)</f>
        <v/>
      </c>
      <c r="L414" s="167" t="str">
        <f>IF(ISBLANK(DaqBook_RAW_Data!AQ404),"",DaqBook_RAW_Data!AQ404)</f>
        <v/>
      </c>
      <c r="M414" s="167" t="str">
        <f>IF(ISBLANK(DaqBook_RAW_Data!AR404),"",DaqBook_RAW_Data!AR404)</f>
        <v/>
      </c>
      <c r="N414" s="167" t="str">
        <f>IF(ISBLANK(DaqBook_RAW_Data!AS404),"",DaqBook_RAW_Data!AS404)</f>
        <v/>
      </c>
      <c r="O414" s="167"/>
      <c r="P414" s="167"/>
    </row>
    <row r="415" spans="1:16" x14ac:dyDescent="0.2">
      <c r="A415" s="58" t="e">
        <f t="shared" si="6"/>
        <v>#VALUE!</v>
      </c>
      <c r="B415" s="144" t="str">
        <f>IF(ISBLANK(DaqBook_RAW_Data!AG405),IF(DaqBook_RAW_Data!A405="","",TIMEVALUE(DaqBook_RAW_Data!A405)),TIMEVALUE(DaqBook_RAW_Data!AG405))</f>
        <v/>
      </c>
      <c r="C415" s="167" t="str">
        <f>IF(ISBLANK(DaqBook_RAW_Data!AH405),"",DaqBook_RAW_Data!AH405)</f>
        <v/>
      </c>
      <c r="D415" s="167" t="str">
        <f>IF(ISBLANK(DaqBook_RAW_Data!AI405),"",DaqBook_RAW_Data!AI405)</f>
        <v/>
      </c>
      <c r="E415" s="167" t="str">
        <f>IF(ISBLANK(DaqBook_RAW_Data!AJ405),"",DaqBook_RAW_Data!AJ405)</f>
        <v/>
      </c>
      <c r="F415" s="167" t="str">
        <f>IF(ISBLANK(DaqBook_RAW_Data!AK405),"",DaqBook_RAW_Data!AK405)</f>
        <v/>
      </c>
      <c r="G415" s="167" t="str">
        <f>IF(ISBLANK(DaqBook_RAW_Data!AL405),"",DaqBook_RAW_Data!AL405)</f>
        <v/>
      </c>
      <c r="H415" s="167" t="str">
        <f>IF(ISBLANK(DaqBook_RAW_Data!AM405),"",DaqBook_RAW_Data!AM405)</f>
        <v/>
      </c>
      <c r="I415" s="167" t="str">
        <f>IF(ISBLANK(DaqBook_RAW_Data!AN405),"",DaqBook_RAW_Data!AN405)</f>
        <v/>
      </c>
      <c r="J415" s="167" t="str">
        <f>IF(ISBLANK(DaqBook_RAW_Data!AO405),"",DaqBook_RAW_Data!AO405)</f>
        <v/>
      </c>
      <c r="K415" s="167" t="str">
        <f>IF(ISBLANK(DaqBook_RAW_Data!AP405),"",DaqBook_RAW_Data!AP405)</f>
        <v/>
      </c>
      <c r="L415" s="167" t="str">
        <f>IF(ISBLANK(DaqBook_RAW_Data!AQ405),"",DaqBook_RAW_Data!AQ405)</f>
        <v/>
      </c>
      <c r="M415" s="167" t="str">
        <f>IF(ISBLANK(DaqBook_RAW_Data!AR405),"",DaqBook_RAW_Data!AR405)</f>
        <v/>
      </c>
      <c r="N415" s="167" t="str">
        <f>IF(ISBLANK(DaqBook_RAW_Data!AS405),"",DaqBook_RAW_Data!AS405)</f>
        <v/>
      </c>
      <c r="O415" s="167"/>
      <c r="P415" s="167"/>
    </row>
    <row r="416" spans="1:16" x14ac:dyDescent="0.2">
      <c r="A416" s="58" t="e">
        <f t="shared" si="6"/>
        <v>#VALUE!</v>
      </c>
      <c r="B416" s="144" t="str">
        <f>IF(ISBLANK(DaqBook_RAW_Data!AG406),IF(DaqBook_RAW_Data!A406="","",TIMEVALUE(DaqBook_RAW_Data!A406)),TIMEVALUE(DaqBook_RAW_Data!AG406))</f>
        <v/>
      </c>
      <c r="C416" s="167" t="str">
        <f>IF(ISBLANK(DaqBook_RAW_Data!AH406),"",DaqBook_RAW_Data!AH406)</f>
        <v/>
      </c>
      <c r="D416" s="167" t="str">
        <f>IF(ISBLANK(DaqBook_RAW_Data!AI406),"",DaqBook_RAW_Data!AI406)</f>
        <v/>
      </c>
      <c r="E416" s="167" t="str">
        <f>IF(ISBLANK(DaqBook_RAW_Data!AJ406),"",DaqBook_RAW_Data!AJ406)</f>
        <v/>
      </c>
      <c r="F416" s="167" t="str">
        <f>IF(ISBLANK(DaqBook_RAW_Data!AK406),"",DaqBook_RAW_Data!AK406)</f>
        <v/>
      </c>
      <c r="G416" s="167" t="str">
        <f>IF(ISBLANK(DaqBook_RAW_Data!AL406),"",DaqBook_RAW_Data!AL406)</f>
        <v/>
      </c>
      <c r="H416" s="167" t="str">
        <f>IF(ISBLANK(DaqBook_RAW_Data!AM406),"",DaqBook_RAW_Data!AM406)</f>
        <v/>
      </c>
      <c r="I416" s="167" t="str">
        <f>IF(ISBLANK(DaqBook_RAW_Data!AN406),"",DaqBook_RAW_Data!AN406)</f>
        <v/>
      </c>
      <c r="J416" s="167" t="str">
        <f>IF(ISBLANK(DaqBook_RAW_Data!AO406),"",DaqBook_RAW_Data!AO406)</f>
        <v/>
      </c>
      <c r="K416" s="167" t="str">
        <f>IF(ISBLANK(DaqBook_RAW_Data!AP406),"",DaqBook_RAW_Data!AP406)</f>
        <v/>
      </c>
      <c r="L416" s="167" t="str">
        <f>IF(ISBLANK(DaqBook_RAW_Data!AQ406),"",DaqBook_RAW_Data!AQ406)</f>
        <v/>
      </c>
      <c r="M416" s="167" t="str">
        <f>IF(ISBLANK(DaqBook_RAW_Data!AR406),"",DaqBook_RAW_Data!AR406)</f>
        <v/>
      </c>
      <c r="N416" s="167" t="str">
        <f>IF(ISBLANK(DaqBook_RAW_Data!AS406),"",DaqBook_RAW_Data!AS406)</f>
        <v/>
      </c>
      <c r="O416" s="167"/>
      <c r="P416" s="167"/>
    </row>
    <row r="417" spans="1:16" x14ac:dyDescent="0.2">
      <c r="A417" s="58" t="e">
        <f t="shared" si="6"/>
        <v>#VALUE!</v>
      </c>
      <c r="B417" s="144" t="str">
        <f>IF(ISBLANK(DaqBook_RAW_Data!AG407),IF(DaqBook_RAW_Data!A407="","",TIMEVALUE(DaqBook_RAW_Data!A407)),TIMEVALUE(DaqBook_RAW_Data!AG407))</f>
        <v/>
      </c>
      <c r="C417" s="167" t="str">
        <f>IF(ISBLANK(DaqBook_RAW_Data!AH407),"",DaqBook_RAW_Data!AH407)</f>
        <v/>
      </c>
      <c r="D417" s="167" t="str">
        <f>IF(ISBLANK(DaqBook_RAW_Data!AI407),"",DaqBook_RAW_Data!AI407)</f>
        <v/>
      </c>
      <c r="E417" s="167" t="str">
        <f>IF(ISBLANK(DaqBook_RAW_Data!AJ407),"",DaqBook_RAW_Data!AJ407)</f>
        <v/>
      </c>
      <c r="F417" s="167" t="str">
        <f>IF(ISBLANK(DaqBook_RAW_Data!AK407),"",DaqBook_RAW_Data!AK407)</f>
        <v/>
      </c>
      <c r="G417" s="167" t="str">
        <f>IF(ISBLANK(DaqBook_RAW_Data!AL407),"",DaqBook_RAW_Data!AL407)</f>
        <v/>
      </c>
      <c r="H417" s="167" t="str">
        <f>IF(ISBLANK(DaqBook_RAW_Data!AM407),"",DaqBook_RAW_Data!AM407)</f>
        <v/>
      </c>
      <c r="I417" s="167" t="str">
        <f>IF(ISBLANK(DaqBook_RAW_Data!AN407),"",DaqBook_RAW_Data!AN407)</f>
        <v/>
      </c>
      <c r="J417" s="167" t="str">
        <f>IF(ISBLANK(DaqBook_RAW_Data!AO407),"",DaqBook_RAW_Data!AO407)</f>
        <v/>
      </c>
      <c r="K417" s="167" t="str">
        <f>IF(ISBLANK(DaqBook_RAW_Data!AP407),"",DaqBook_RAW_Data!AP407)</f>
        <v/>
      </c>
      <c r="L417" s="167" t="str">
        <f>IF(ISBLANK(DaqBook_RAW_Data!AQ407),"",DaqBook_RAW_Data!AQ407)</f>
        <v/>
      </c>
      <c r="M417" s="167" t="str">
        <f>IF(ISBLANK(DaqBook_RAW_Data!AR407),"",DaqBook_RAW_Data!AR407)</f>
        <v/>
      </c>
      <c r="N417" s="167" t="str">
        <f>IF(ISBLANK(DaqBook_RAW_Data!AS407),"",DaqBook_RAW_Data!AS407)</f>
        <v/>
      </c>
      <c r="O417" s="167"/>
      <c r="P417" s="167"/>
    </row>
    <row r="418" spans="1:16" x14ac:dyDescent="0.2">
      <c r="A418" s="58" t="e">
        <f t="shared" si="6"/>
        <v>#VALUE!</v>
      </c>
      <c r="B418" s="144" t="str">
        <f>IF(ISBLANK(DaqBook_RAW_Data!AG408),IF(DaqBook_RAW_Data!A408="","",TIMEVALUE(DaqBook_RAW_Data!A408)),TIMEVALUE(DaqBook_RAW_Data!AG408))</f>
        <v/>
      </c>
      <c r="C418" s="167" t="str">
        <f>IF(ISBLANK(DaqBook_RAW_Data!AH408),"",DaqBook_RAW_Data!AH408)</f>
        <v/>
      </c>
      <c r="D418" s="167" t="str">
        <f>IF(ISBLANK(DaqBook_RAW_Data!AI408),"",DaqBook_RAW_Data!AI408)</f>
        <v/>
      </c>
      <c r="E418" s="167" t="str">
        <f>IF(ISBLANK(DaqBook_RAW_Data!AJ408),"",DaqBook_RAW_Data!AJ408)</f>
        <v/>
      </c>
      <c r="F418" s="167" t="str">
        <f>IF(ISBLANK(DaqBook_RAW_Data!AK408),"",DaqBook_RAW_Data!AK408)</f>
        <v/>
      </c>
      <c r="G418" s="167" t="str">
        <f>IF(ISBLANK(DaqBook_RAW_Data!AL408),"",DaqBook_RAW_Data!AL408)</f>
        <v/>
      </c>
      <c r="H418" s="167" t="str">
        <f>IF(ISBLANK(DaqBook_RAW_Data!AM408),"",DaqBook_RAW_Data!AM408)</f>
        <v/>
      </c>
      <c r="I418" s="167" t="str">
        <f>IF(ISBLANK(DaqBook_RAW_Data!AN408),"",DaqBook_RAW_Data!AN408)</f>
        <v/>
      </c>
      <c r="J418" s="167" t="str">
        <f>IF(ISBLANK(DaqBook_RAW_Data!AO408),"",DaqBook_RAW_Data!AO408)</f>
        <v/>
      </c>
      <c r="K418" s="167" t="str">
        <f>IF(ISBLANK(DaqBook_RAW_Data!AP408),"",DaqBook_RAW_Data!AP408)</f>
        <v/>
      </c>
      <c r="L418" s="167" t="str">
        <f>IF(ISBLANK(DaqBook_RAW_Data!AQ408),"",DaqBook_RAW_Data!AQ408)</f>
        <v/>
      </c>
      <c r="M418" s="167" t="str">
        <f>IF(ISBLANK(DaqBook_RAW_Data!AR408),"",DaqBook_RAW_Data!AR408)</f>
        <v/>
      </c>
      <c r="N418" s="167" t="str">
        <f>IF(ISBLANK(DaqBook_RAW_Data!AS408),"",DaqBook_RAW_Data!AS408)</f>
        <v/>
      </c>
      <c r="O418" s="167"/>
      <c r="P418" s="167"/>
    </row>
    <row r="419" spans="1:16" x14ac:dyDescent="0.2">
      <c r="A419" s="58" t="e">
        <f t="shared" si="6"/>
        <v>#VALUE!</v>
      </c>
      <c r="B419" s="144" t="str">
        <f>IF(ISBLANK(DaqBook_RAW_Data!AG409),IF(DaqBook_RAW_Data!A409="","",TIMEVALUE(DaqBook_RAW_Data!A409)),TIMEVALUE(DaqBook_RAW_Data!AG409))</f>
        <v/>
      </c>
      <c r="C419" s="167" t="str">
        <f>IF(ISBLANK(DaqBook_RAW_Data!AH409),"",DaqBook_RAW_Data!AH409)</f>
        <v/>
      </c>
      <c r="D419" s="167" t="str">
        <f>IF(ISBLANK(DaqBook_RAW_Data!AI409),"",DaqBook_RAW_Data!AI409)</f>
        <v/>
      </c>
      <c r="E419" s="167" t="str">
        <f>IF(ISBLANK(DaqBook_RAW_Data!AJ409),"",DaqBook_RAW_Data!AJ409)</f>
        <v/>
      </c>
      <c r="F419" s="167" t="str">
        <f>IF(ISBLANK(DaqBook_RAW_Data!AK409),"",DaqBook_RAW_Data!AK409)</f>
        <v/>
      </c>
      <c r="G419" s="167" t="str">
        <f>IF(ISBLANK(DaqBook_RAW_Data!AL409),"",DaqBook_RAW_Data!AL409)</f>
        <v/>
      </c>
      <c r="H419" s="167" t="str">
        <f>IF(ISBLANK(DaqBook_RAW_Data!AM409),"",DaqBook_RAW_Data!AM409)</f>
        <v/>
      </c>
      <c r="I419" s="167" t="str">
        <f>IF(ISBLANK(DaqBook_RAW_Data!AN409),"",DaqBook_RAW_Data!AN409)</f>
        <v/>
      </c>
      <c r="J419" s="167" t="str">
        <f>IF(ISBLANK(DaqBook_RAW_Data!AO409),"",DaqBook_RAW_Data!AO409)</f>
        <v/>
      </c>
      <c r="K419" s="167" t="str">
        <f>IF(ISBLANK(DaqBook_RAW_Data!AP409),"",DaqBook_RAW_Data!AP409)</f>
        <v/>
      </c>
      <c r="L419" s="167" t="str">
        <f>IF(ISBLANK(DaqBook_RAW_Data!AQ409),"",DaqBook_RAW_Data!AQ409)</f>
        <v/>
      </c>
      <c r="M419" s="167" t="str">
        <f>IF(ISBLANK(DaqBook_RAW_Data!AR409),"",DaqBook_RAW_Data!AR409)</f>
        <v/>
      </c>
      <c r="N419" s="167" t="str">
        <f>IF(ISBLANK(DaqBook_RAW_Data!AS409),"",DaqBook_RAW_Data!AS409)</f>
        <v/>
      </c>
      <c r="O419" s="167"/>
      <c r="P419" s="167"/>
    </row>
    <row r="420" spans="1:16" x14ac:dyDescent="0.2">
      <c r="A420" s="58" t="e">
        <f t="shared" si="6"/>
        <v>#VALUE!</v>
      </c>
      <c r="B420" s="144" t="str">
        <f>IF(ISBLANK(DaqBook_RAW_Data!AG410),IF(DaqBook_RAW_Data!A410="","",TIMEVALUE(DaqBook_RAW_Data!A410)),TIMEVALUE(DaqBook_RAW_Data!AG410))</f>
        <v/>
      </c>
      <c r="C420" s="167" t="str">
        <f>IF(ISBLANK(DaqBook_RAW_Data!AH410),"",DaqBook_RAW_Data!AH410)</f>
        <v/>
      </c>
      <c r="D420" s="167" t="str">
        <f>IF(ISBLANK(DaqBook_RAW_Data!AI410),"",DaqBook_RAW_Data!AI410)</f>
        <v/>
      </c>
      <c r="E420" s="167" t="str">
        <f>IF(ISBLANK(DaqBook_RAW_Data!AJ410),"",DaqBook_RAW_Data!AJ410)</f>
        <v/>
      </c>
      <c r="F420" s="167" t="str">
        <f>IF(ISBLANK(DaqBook_RAW_Data!AK410),"",DaqBook_RAW_Data!AK410)</f>
        <v/>
      </c>
      <c r="G420" s="167" t="str">
        <f>IF(ISBLANK(DaqBook_RAW_Data!AL410),"",DaqBook_RAW_Data!AL410)</f>
        <v/>
      </c>
      <c r="H420" s="167" t="str">
        <f>IF(ISBLANK(DaqBook_RAW_Data!AM410),"",DaqBook_RAW_Data!AM410)</f>
        <v/>
      </c>
      <c r="I420" s="167" t="str">
        <f>IF(ISBLANK(DaqBook_RAW_Data!AN410),"",DaqBook_RAW_Data!AN410)</f>
        <v/>
      </c>
      <c r="J420" s="167" t="str">
        <f>IF(ISBLANK(DaqBook_RAW_Data!AO410),"",DaqBook_RAW_Data!AO410)</f>
        <v/>
      </c>
      <c r="K420" s="167" t="str">
        <f>IF(ISBLANK(DaqBook_RAW_Data!AP410),"",DaqBook_RAW_Data!AP410)</f>
        <v/>
      </c>
      <c r="L420" s="167" t="str">
        <f>IF(ISBLANK(DaqBook_RAW_Data!AQ410),"",DaqBook_RAW_Data!AQ410)</f>
        <v/>
      </c>
      <c r="M420" s="167" t="str">
        <f>IF(ISBLANK(DaqBook_RAW_Data!AR410),"",DaqBook_RAW_Data!AR410)</f>
        <v/>
      </c>
      <c r="N420" s="167" t="str">
        <f>IF(ISBLANK(DaqBook_RAW_Data!AS410),"",DaqBook_RAW_Data!AS410)</f>
        <v/>
      </c>
      <c r="O420" s="167"/>
      <c r="P420" s="167"/>
    </row>
    <row r="421" spans="1:16" x14ac:dyDescent="0.2">
      <c r="A421" s="58" t="e">
        <f t="shared" si="6"/>
        <v>#VALUE!</v>
      </c>
      <c r="B421" s="144" t="str">
        <f>IF(ISBLANK(DaqBook_RAW_Data!AG411),IF(DaqBook_RAW_Data!A411="","",TIMEVALUE(DaqBook_RAW_Data!A411)),TIMEVALUE(DaqBook_RAW_Data!AG411))</f>
        <v/>
      </c>
      <c r="C421" s="167" t="str">
        <f>IF(ISBLANK(DaqBook_RAW_Data!AH411),"",DaqBook_RAW_Data!AH411)</f>
        <v/>
      </c>
      <c r="D421" s="167" t="str">
        <f>IF(ISBLANK(DaqBook_RAW_Data!AI411),"",DaqBook_RAW_Data!AI411)</f>
        <v/>
      </c>
      <c r="E421" s="167" t="str">
        <f>IF(ISBLANK(DaqBook_RAW_Data!AJ411),"",DaqBook_RAW_Data!AJ411)</f>
        <v/>
      </c>
      <c r="F421" s="167" t="str">
        <f>IF(ISBLANK(DaqBook_RAW_Data!AK411),"",DaqBook_RAW_Data!AK411)</f>
        <v/>
      </c>
      <c r="G421" s="167" t="str">
        <f>IF(ISBLANK(DaqBook_RAW_Data!AL411),"",DaqBook_RAW_Data!AL411)</f>
        <v/>
      </c>
      <c r="H421" s="167" t="str">
        <f>IF(ISBLANK(DaqBook_RAW_Data!AM411),"",DaqBook_RAW_Data!AM411)</f>
        <v/>
      </c>
      <c r="I421" s="167" t="str">
        <f>IF(ISBLANK(DaqBook_RAW_Data!AN411),"",DaqBook_RAW_Data!AN411)</f>
        <v/>
      </c>
      <c r="J421" s="167" t="str">
        <f>IF(ISBLANK(DaqBook_RAW_Data!AO411),"",DaqBook_RAW_Data!AO411)</f>
        <v/>
      </c>
      <c r="K421" s="167" t="str">
        <f>IF(ISBLANK(DaqBook_RAW_Data!AP411),"",DaqBook_RAW_Data!AP411)</f>
        <v/>
      </c>
      <c r="L421" s="167" t="str">
        <f>IF(ISBLANK(DaqBook_RAW_Data!AQ411),"",DaqBook_RAW_Data!AQ411)</f>
        <v/>
      </c>
      <c r="M421" s="167" t="str">
        <f>IF(ISBLANK(DaqBook_RAW_Data!AR411),"",DaqBook_RAW_Data!AR411)</f>
        <v/>
      </c>
      <c r="N421" s="167" t="str">
        <f>IF(ISBLANK(DaqBook_RAW_Data!AS411),"",DaqBook_RAW_Data!AS411)</f>
        <v/>
      </c>
      <c r="O421" s="167"/>
      <c r="P421" s="167"/>
    </row>
    <row r="422" spans="1:16" x14ac:dyDescent="0.2">
      <c r="A422" s="58" t="e">
        <f t="shared" si="6"/>
        <v>#VALUE!</v>
      </c>
      <c r="B422" s="144" t="str">
        <f>IF(ISBLANK(DaqBook_RAW_Data!AG412),IF(DaqBook_RAW_Data!A412="","",TIMEVALUE(DaqBook_RAW_Data!A412)),TIMEVALUE(DaqBook_RAW_Data!AG412))</f>
        <v/>
      </c>
      <c r="C422" s="167" t="str">
        <f>IF(ISBLANK(DaqBook_RAW_Data!AH412),"",DaqBook_RAW_Data!AH412)</f>
        <v/>
      </c>
      <c r="D422" s="167" t="str">
        <f>IF(ISBLANK(DaqBook_RAW_Data!AI412),"",DaqBook_RAW_Data!AI412)</f>
        <v/>
      </c>
      <c r="E422" s="167" t="str">
        <f>IF(ISBLANK(DaqBook_RAW_Data!AJ412),"",DaqBook_RAW_Data!AJ412)</f>
        <v/>
      </c>
      <c r="F422" s="167" t="str">
        <f>IF(ISBLANK(DaqBook_RAW_Data!AK412),"",DaqBook_RAW_Data!AK412)</f>
        <v/>
      </c>
      <c r="G422" s="167" t="str">
        <f>IF(ISBLANK(DaqBook_RAW_Data!AL412),"",DaqBook_RAW_Data!AL412)</f>
        <v/>
      </c>
      <c r="H422" s="167" t="str">
        <f>IF(ISBLANK(DaqBook_RAW_Data!AM412),"",DaqBook_RAW_Data!AM412)</f>
        <v/>
      </c>
      <c r="I422" s="167" t="str">
        <f>IF(ISBLANK(DaqBook_RAW_Data!AN412),"",DaqBook_RAW_Data!AN412)</f>
        <v/>
      </c>
      <c r="J422" s="167" t="str">
        <f>IF(ISBLANK(DaqBook_RAW_Data!AO412),"",DaqBook_RAW_Data!AO412)</f>
        <v/>
      </c>
      <c r="K422" s="167" t="str">
        <f>IF(ISBLANK(DaqBook_RAW_Data!AP412),"",DaqBook_RAW_Data!AP412)</f>
        <v/>
      </c>
      <c r="L422" s="167" t="str">
        <f>IF(ISBLANK(DaqBook_RAW_Data!AQ412),"",DaqBook_RAW_Data!AQ412)</f>
        <v/>
      </c>
      <c r="M422" s="167" t="str">
        <f>IF(ISBLANK(DaqBook_RAW_Data!AR412),"",DaqBook_RAW_Data!AR412)</f>
        <v/>
      </c>
      <c r="N422" s="167" t="str">
        <f>IF(ISBLANK(DaqBook_RAW_Data!AS412),"",DaqBook_RAW_Data!AS412)</f>
        <v/>
      </c>
      <c r="O422" s="167"/>
      <c r="P422" s="167"/>
    </row>
    <row r="423" spans="1:16" x14ac:dyDescent="0.2">
      <c r="A423" s="58" t="e">
        <f t="shared" si="6"/>
        <v>#VALUE!</v>
      </c>
      <c r="B423" s="144" t="str">
        <f>IF(ISBLANK(DaqBook_RAW_Data!AG413),IF(DaqBook_RAW_Data!A413="","",TIMEVALUE(DaqBook_RAW_Data!A413)),TIMEVALUE(DaqBook_RAW_Data!AG413))</f>
        <v/>
      </c>
      <c r="C423" s="167" t="str">
        <f>IF(ISBLANK(DaqBook_RAW_Data!AH413),"",DaqBook_RAW_Data!AH413)</f>
        <v/>
      </c>
      <c r="D423" s="167" t="str">
        <f>IF(ISBLANK(DaqBook_RAW_Data!AI413),"",DaqBook_RAW_Data!AI413)</f>
        <v/>
      </c>
      <c r="E423" s="167" t="str">
        <f>IF(ISBLANK(DaqBook_RAW_Data!AJ413),"",DaqBook_RAW_Data!AJ413)</f>
        <v/>
      </c>
      <c r="F423" s="167" t="str">
        <f>IF(ISBLANK(DaqBook_RAW_Data!AK413),"",DaqBook_RAW_Data!AK413)</f>
        <v/>
      </c>
      <c r="G423" s="167" t="str">
        <f>IF(ISBLANK(DaqBook_RAW_Data!AL413),"",DaqBook_RAW_Data!AL413)</f>
        <v/>
      </c>
      <c r="H423" s="167" t="str">
        <f>IF(ISBLANK(DaqBook_RAW_Data!AM413),"",DaqBook_RAW_Data!AM413)</f>
        <v/>
      </c>
      <c r="I423" s="167" t="str">
        <f>IF(ISBLANK(DaqBook_RAW_Data!AN413),"",DaqBook_RAW_Data!AN413)</f>
        <v/>
      </c>
      <c r="J423" s="167" t="str">
        <f>IF(ISBLANK(DaqBook_RAW_Data!AO413),"",DaqBook_RAW_Data!AO413)</f>
        <v/>
      </c>
      <c r="K423" s="167" t="str">
        <f>IF(ISBLANK(DaqBook_RAW_Data!AP413),"",DaqBook_RAW_Data!AP413)</f>
        <v/>
      </c>
      <c r="L423" s="167" t="str">
        <f>IF(ISBLANK(DaqBook_RAW_Data!AQ413),"",DaqBook_RAW_Data!AQ413)</f>
        <v/>
      </c>
      <c r="M423" s="167" t="str">
        <f>IF(ISBLANK(DaqBook_RAW_Data!AR413),"",DaqBook_RAW_Data!AR413)</f>
        <v/>
      </c>
      <c r="N423" s="167" t="str">
        <f>IF(ISBLANK(DaqBook_RAW_Data!AS413),"",DaqBook_RAW_Data!AS413)</f>
        <v/>
      </c>
      <c r="O423" s="167"/>
      <c r="P423" s="167"/>
    </row>
    <row r="424" spans="1:16" x14ac:dyDescent="0.2">
      <c r="A424" s="58" t="e">
        <f t="shared" si="6"/>
        <v>#VALUE!</v>
      </c>
      <c r="B424" s="144" t="str">
        <f>IF(ISBLANK(DaqBook_RAW_Data!AG414),IF(DaqBook_RAW_Data!A414="","",TIMEVALUE(DaqBook_RAW_Data!A414)),TIMEVALUE(DaqBook_RAW_Data!AG414))</f>
        <v/>
      </c>
      <c r="C424" s="167" t="str">
        <f>IF(ISBLANK(DaqBook_RAW_Data!AH414),"",DaqBook_RAW_Data!AH414)</f>
        <v/>
      </c>
      <c r="D424" s="167" t="str">
        <f>IF(ISBLANK(DaqBook_RAW_Data!AI414),"",DaqBook_RAW_Data!AI414)</f>
        <v/>
      </c>
      <c r="E424" s="167" t="str">
        <f>IF(ISBLANK(DaqBook_RAW_Data!AJ414),"",DaqBook_RAW_Data!AJ414)</f>
        <v/>
      </c>
      <c r="F424" s="167" t="str">
        <f>IF(ISBLANK(DaqBook_RAW_Data!AK414),"",DaqBook_RAW_Data!AK414)</f>
        <v/>
      </c>
      <c r="G424" s="167" t="str">
        <f>IF(ISBLANK(DaqBook_RAW_Data!AL414),"",DaqBook_RAW_Data!AL414)</f>
        <v/>
      </c>
      <c r="H424" s="167" t="str">
        <f>IF(ISBLANK(DaqBook_RAW_Data!AM414),"",DaqBook_RAW_Data!AM414)</f>
        <v/>
      </c>
      <c r="I424" s="167" t="str">
        <f>IF(ISBLANK(DaqBook_RAW_Data!AN414),"",DaqBook_RAW_Data!AN414)</f>
        <v/>
      </c>
      <c r="J424" s="167" t="str">
        <f>IF(ISBLANK(DaqBook_RAW_Data!AO414),"",DaqBook_RAW_Data!AO414)</f>
        <v/>
      </c>
      <c r="K424" s="167" t="str">
        <f>IF(ISBLANK(DaqBook_RAW_Data!AP414),"",DaqBook_RAW_Data!AP414)</f>
        <v/>
      </c>
      <c r="L424" s="167" t="str">
        <f>IF(ISBLANK(DaqBook_RAW_Data!AQ414),"",DaqBook_RAW_Data!AQ414)</f>
        <v/>
      </c>
      <c r="M424" s="167" t="str">
        <f>IF(ISBLANK(DaqBook_RAW_Data!AR414),"",DaqBook_RAW_Data!AR414)</f>
        <v/>
      </c>
      <c r="N424" s="167" t="str">
        <f>IF(ISBLANK(DaqBook_RAW_Data!AS414),"",DaqBook_RAW_Data!AS414)</f>
        <v/>
      </c>
      <c r="O424" s="167"/>
      <c r="P424" s="167"/>
    </row>
    <row r="425" spans="1:16" x14ac:dyDescent="0.2">
      <c r="A425" s="58" t="e">
        <f t="shared" si="6"/>
        <v>#VALUE!</v>
      </c>
      <c r="B425" s="144" t="str">
        <f>IF(ISBLANK(DaqBook_RAW_Data!AG415),IF(DaqBook_RAW_Data!A415="","",TIMEVALUE(DaqBook_RAW_Data!A415)),TIMEVALUE(DaqBook_RAW_Data!AG415))</f>
        <v/>
      </c>
      <c r="C425" s="167" t="str">
        <f>IF(ISBLANK(DaqBook_RAW_Data!AH415),"",DaqBook_RAW_Data!AH415)</f>
        <v/>
      </c>
      <c r="D425" s="167" t="str">
        <f>IF(ISBLANK(DaqBook_RAW_Data!AI415),"",DaqBook_RAW_Data!AI415)</f>
        <v/>
      </c>
      <c r="E425" s="167" t="str">
        <f>IF(ISBLANK(DaqBook_RAW_Data!AJ415),"",DaqBook_RAW_Data!AJ415)</f>
        <v/>
      </c>
      <c r="F425" s="167" t="str">
        <f>IF(ISBLANK(DaqBook_RAW_Data!AK415),"",DaqBook_RAW_Data!AK415)</f>
        <v/>
      </c>
      <c r="G425" s="167" t="str">
        <f>IF(ISBLANK(DaqBook_RAW_Data!AL415),"",DaqBook_RAW_Data!AL415)</f>
        <v/>
      </c>
      <c r="H425" s="167" t="str">
        <f>IF(ISBLANK(DaqBook_RAW_Data!AM415),"",DaqBook_RAW_Data!AM415)</f>
        <v/>
      </c>
      <c r="I425" s="167" t="str">
        <f>IF(ISBLANK(DaqBook_RAW_Data!AN415),"",DaqBook_RAW_Data!AN415)</f>
        <v/>
      </c>
      <c r="J425" s="167" t="str">
        <f>IF(ISBLANK(DaqBook_RAW_Data!AO415),"",DaqBook_RAW_Data!AO415)</f>
        <v/>
      </c>
      <c r="K425" s="167" t="str">
        <f>IF(ISBLANK(DaqBook_RAW_Data!AP415),"",DaqBook_RAW_Data!AP415)</f>
        <v/>
      </c>
      <c r="L425" s="167" t="str">
        <f>IF(ISBLANK(DaqBook_RAW_Data!AQ415),"",DaqBook_RAW_Data!AQ415)</f>
        <v/>
      </c>
      <c r="M425" s="167" t="str">
        <f>IF(ISBLANK(DaqBook_RAW_Data!AR415),"",DaqBook_RAW_Data!AR415)</f>
        <v/>
      </c>
      <c r="N425" s="167" t="str">
        <f>IF(ISBLANK(DaqBook_RAW_Data!AS415),"",DaqBook_RAW_Data!AS415)</f>
        <v/>
      </c>
      <c r="O425" s="167"/>
      <c r="P425" s="167"/>
    </row>
    <row r="426" spans="1:16" x14ac:dyDescent="0.2">
      <c r="A426" s="58" t="e">
        <f t="shared" si="6"/>
        <v>#VALUE!</v>
      </c>
      <c r="B426" s="144" t="str">
        <f>IF(ISBLANK(DaqBook_RAW_Data!AG416),IF(DaqBook_RAW_Data!A416="","",TIMEVALUE(DaqBook_RAW_Data!A416)),TIMEVALUE(DaqBook_RAW_Data!AG416))</f>
        <v/>
      </c>
      <c r="C426" s="167" t="str">
        <f>IF(ISBLANK(DaqBook_RAW_Data!AH416),"",DaqBook_RAW_Data!AH416)</f>
        <v/>
      </c>
      <c r="D426" s="167" t="str">
        <f>IF(ISBLANK(DaqBook_RAW_Data!AI416),"",DaqBook_RAW_Data!AI416)</f>
        <v/>
      </c>
      <c r="E426" s="167" t="str">
        <f>IF(ISBLANK(DaqBook_RAW_Data!AJ416),"",DaqBook_RAW_Data!AJ416)</f>
        <v/>
      </c>
      <c r="F426" s="167" t="str">
        <f>IF(ISBLANK(DaqBook_RAW_Data!AK416),"",DaqBook_RAW_Data!AK416)</f>
        <v/>
      </c>
      <c r="G426" s="167" t="str">
        <f>IF(ISBLANK(DaqBook_RAW_Data!AL416),"",DaqBook_RAW_Data!AL416)</f>
        <v/>
      </c>
      <c r="H426" s="167" t="str">
        <f>IF(ISBLANK(DaqBook_RAW_Data!AM416),"",DaqBook_RAW_Data!AM416)</f>
        <v/>
      </c>
      <c r="I426" s="167" t="str">
        <f>IF(ISBLANK(DaqBook_RAW_Data!AN416),"",DaqBook_RAW_Data!AN416)</f>
        <v/>
      </c>
      <c r="J426" s="167" t="str">
        <f>IF(ISBLANK(DaqBook_RAW_Data!AO416),"",DaqBook_RAW_Data!AO416)</f>
        <v/>
      </c>
      <c r="K426" s="167" t="str">
        <f>IF(ISBLANK(DaqBook_RAW_Data!AP416),"",DaqBook_RAW_Data!AP416)</f>
        <v/>
      </c>
      <c r="L426" s="167" t="str">
        <f>IF(ISBLANK(DaqBook_RAW_Data!AQ416),"",DaqBook_RAW_Data!AQ416)</f>
        <v/>
      </c>
      <c r="M426" s="167" t="str">
        <f>IF(ISBLANK(DaqBook_RAW_Data!AR416),"",DaqBook_RAW_Data!AR416)</f>
        <v/>
      </c>
      <c r="N426" s="167" t="str">
        <f>IF(ISBLANK(DaqBook_RAW_Data!AS416),"",DaqBook_RAW_Data!AS416)</f>
        <v/>
      </c>
      <c r="O426" s="167"/>
      <c r="P426" s="167"/>
    </row>
    <row r="427" spans="1:16" x14ac:dyDescent="0.2">
      <c r="A427" s="58" t="e">
        <f t="shared" si="6"/>
        <v>#VALUE!</v>
      </c>
      <c r="B427" s="144" t="str">
        <f>IF(ISBLANK(DaqBook_RAW_Data!AG417),IF(DaqBook_RAW_Data!A417="","",TIMEVALUE(DaqBook_RAW_Data!A417)),TIMEVALUE(DaqBook_RAW_Data!AG417))</f>
        <v/>
      </c>
      <c r="C427" s="167" t="str">
        <f>IF(ISBLANK(DaqBook_RAW_Data!AH417),"",DaqBook_RAW_Data!AH417)</f>
        <v/>
      </c>
      <c r="D427" s="167" t="str">
        <f>IF(ISBLANK(DaqBook_RAW_Data!AI417),"",DaqBook_RAW_Data!AI417)</f>
        <v/>
      </c>
      <c r="E427" s="167" t="str">
        <f>IF(ISBLANK(DaqBook_RAW_Data!AJ417),"",DaqBook_RAW_Data!AJ417)</f>
        <v/>
      </c>
      <c r="F427" s="167" t="str">
        <f>IF(ISBLANK(DaqBook_RAW_Data!AK417),"",DaqBook_RAW_Data!AK417)</f>
        <v/>
      </c>
      <c r="G427" s="167" t="str">
        <f>IF(ISBLANK(DaqBook_RAW_Data!AL417),"",DaqBook_RAW_Data!AL417)</f>
        <v/>
      </c>
      <c r="H427" s="167" t="str">
        <f>IF(ISBLANK(DaqBook_RAW_Data!AM417),"",DaqBook_RAW_Data!AM417)</f>
        <v/>
      </c>
      <c r="I427" s="167" t="str">
        <f>IF(ISBLANK(DaqBook_RAW_Data!AN417),"",DaqBook_RAW_Data!AN417)</f>
        <v/>
      </c>
      <c r="J427" s="167" t="str">
        <f>IF(ISBLANK(DaqBook_RAW_Data!AO417),"",DaqBook_RAW_Data!AO417)</f>
        <v/>
      </c>
      <c r="K427" s="167" t="str">
        <f>IF(ISBLANK(DaqBook_RAW_Data!AP417),"",DaqBook_RAW_Data!AP417)</f>
        <v/>
      </c>
      <c r="L427" s="167" t="str">
        <f>IF(ISBLANK(DaqBook_RAW_Data!AQ417),"",DaqBook_RAW_Data!AQ417)</f>
        <v/>
      </c>
      <c r="M427" s="167" t="str">
        <f>IF(ISBLANK(DaqBook_RAW_Data!AR417),"",DaqBook_RAW_Data!AR417)</f>
        <v/>
      </c>
      <c r="N427" s="167" t="str">
        <f>IF(ISBLANK(DaqBook_RAW_Data!AS417),"",DaqBook_RAW_Data!AS417)</f>
        <v/>
      </c>
      <c r="O427" s="167"/>
      <c r="P427" s="167"/>
    </row>
    <row r="428" spans="1:16" x14ac:dyDescent="0.2">
      <c r="A428" s="58" t="e">
        <f t="shared" si="6"/>
        <v>#VALUE!</v>
      </c>
      <c r="B428" s="144" t="str">
        <f>IF(ISBLANK(DaqBook_RAW_Data!AG418),IF(DaqBook_RAW_Data!A418="","",TIMEVALUE(DaqBook_RAW_Data!A418)),TIMEVALUE(DaqBook_RAW_Data!AG418))</f>
        <v/>
      </c>
      <c r="C428" s="167" t="str">
        <f>IF(ISBLANK(DaqBook_RAW_Data!AH418),"",DaqBook_RAW_Data!AH418)</f>
        <v/>
      </c>
      <c r="D428" s="167" t="str">
        <f>IF(ISBLANK(DaqBook_RAW_Data!AI418),"",DaqBook_RAW_Data!AI418)</f>
        <v/>
      </c>
      <c r="E428" s="167" t="str">
        <f>IF(ISBLANK(DaqBook_RAW_Data!AJ418),"",DaqBook_RAW_Data!AJ418)</f>
        <v/>
      </c>
      <c r="F428" s="167" t="str">
        <f>IF(ISBLANK(DaqBook_RAW_Data!AK418),"",DaqBook_RAW_Data!AK418)</f>
        <v/>
      </c>
      <c r="G428" s="167" t="str">
        <f>IF(ISBLANK(DaqBook_RAW_Data!AL418),"",DaqBook_RAW_Data!AL418)</f>
        <v/>
      </c>
      <c r="H428" s="167" t="str">
        <f>IF(ISBLANK(DaqBook_RAW_Data!AM418),"",DaqBook_RAW_Data!AM418)</f>
        <v/>
      </c>
      <c r="I428" s="167" t="str">
        <f>IF(ISBLANK(DaqBook_RAW_Data!AN418),"",DaqBook_RAW_Data!AN418)</f>
        <v/>
      </c>
      <c r="J428" s="167" t="str">
        <f>IF(ISBLANK(DaqBook_RAW_Data!AO418),"",DaqBook_RAW_Data!AO418)</f>
        <v/>
      </c>
      <c r="K428" s="167" t="str">
        <f>IF(ISBLANK(DaqBook_RAW_Data!AP418),"",DaqBook_RAW_Data!AP418)</f>
        <v/>
      </c>
      <c r="L428" s="167" t="str">
        <f>IF(ISBLANK(DaqBook_RAW_Data!AQ418),"",DaqBook_RAW_Data!AQ418)</f>
        <v/>
      </c>
      <c r="M428" s="167" t="str">
        <f>IF(ISBLANK(DaqBook_RAW_Data!AR418),"",DaqBook_RAW_Data!AR418)</f>
        <v/>
      </c>
      <c r="N428" s="167" t="str">
        <f>IF(ISBLANK(DaqBook_RAW_Data!AS418),"",DaqBook_RAW_Data!AS418)</f>
        <v/>
      </c>
      <c r="O428" s="167"/>
      <c r="P428" s="167"/>
    </row>
    <row r="429" spans="1:16" x14ac:dyDescent="0.2">
      <c r="A429" s="58" t="e">
        <f t="shared" si="6"/>
        <v>#VALUE!</v>
      </c>
      <c r="B429" s="144" t="str">
        <f>IF(ISBLANK(DaqBook_RAW_Data!AG419),IF(DaqBook_RAW_Data!A419="","",TIMEVALUE(DaqBook_RAW_Data!A419)),TIMEVALUE(DaqBook_RAW_Data!AG419))</f>
        <v/>
      </c>
      <c r="C429" s="167" t="str">
        <f>IF(ISBLANK(DaqBook_RAW_Data!AH419),"",DaqBook_RAW_Data!AH419)</f>
        <v/>
      </c>
      <c r="D429" s="167" t="str">
        <f>IF(ISBLANK(DaqBook_RAW_Data!AI419),"",DaqBook_RAW_Data!AI419)</f>
        <v/>
      </c>
      <c r="E429" s="167" t="str">
        <f>IF(ISBLANK(DaqBook_RAW_Data!AJ419),"",DaqBook_RAW_Data!AJ419)</f>
        <v/>
      </c>
      <c r="F429" s="167" t="str">
        <f>IF(ISBLANK(DaqBook_RAW_Data!AK419),"",DaqBook_RAW_Data!AK419)</f>
        <v/>
      </c>
      <c r="G429" s="167" t="str">
        <f>IF(ISBLANK(DaqBook_RAW_Data!AL419),"",DaqBook_RAW_Data!AL419)</f>
        <v/>
      </c>
      <c r="H429" s="167" t="str">
        <f>IF(ISBLANK(DaqBook_RAW_Data!AM419),"",DaqBook_RAW_Data!AM419)</f>
        <v/>
      </c>
      <c r="I429" s="167" t="str">
        <f>IF(ISBLANK(DaqBook_RAW_Data!AN419),"",DaqBook_RAW_Data!AN419)</f>
        <v/>
      </c>
      <c r="J429" s="167" t="str">
        <f>IF(ISBLANK(DaqBook_RAW_Data!AO419),"",DaqBook_RAW_Data!AO419)</f>
        <v/>
      </c>
      <c r="K429" s="167" t="str">
        <f>IF(ISBLANK(DaqBook_RAW_Data!AP419),"",DaqBook_RAW_Data!AP419)</f>
        <v/>
      </c>
      <c r="L429" s="167" t="str">
        <f>IF(ISBLANK(DaqBook_RAW_Data!AQ419),"",DaqBook_RAW_Data!AQ419)</f>
        <v/>
      </c>
      <c r="M429" s="167" t="str">
        <f>IF(ISBLANK(DaqBook_RAW_Data!AR419),"",DaqBook_RAW_Data!AR419)</f>
        <v/>
      </c>
      <c r="N429" s="167" t="str">
        <f>IF(ISBLANK(DaqBook_RAW_Data!AS419),"",DaqBook_RAW_Data!AS419)</f>
        <v/>
      </c>
      <c r="O429" s="167"/>
      <c r="P429" s="167"/>
    </row>
    <row r="430" spans="1:16" x14ac:dyDescent="0.2">
      <c r="A430" s="58" t="e">
        <f t="shared" si="6"/>
        <v>#VALUE!</v>
      </c>
      <c r="B430" s="144" t="str">
        <f>IF(ISBLANK(DaqBook_RAW_Data!AG420),IF(DaqBook_RAW_Data!A420="","",TIMEVALUE(DaqBook_RAW_Data!A420)),TIMEVALUE(DaqBook_RAW_Data!AG420))</f>
        <v/>
      </c>
      <c r="C430" s="167" t="str">
        <f>IF(ISBLANK(DaqBook_RAW_Data!AH420),"",DaqBook_RAW_Data!AH420)</f>
        <v/>
      </c>
      <c r="D430" s="167" t="str">
        <f>IF(ISBLANK(DaqBook_RAW_Data!AI420),"",DaqBook_RAW_Data!AI420)</f>
        <v/>
      </c>
      <c r="E430" s="167" t="str">
        <f>IF(ISBLANK(DaqBook_RAW_Data!AJ420),"",DaqBook_RAW_Data!AJ420)</f>
        <v/>
      </c>
      <c r="F430" s="167" t="str">
        <f>IF(ISBLANK(DaqBook_RAW_Data!AK420),"",DaqBook_RAW_Data!AK420)</f>
        <v/>
      </c>
      <c r="G430" s="167" t="str">
        <f>IF(ISBLANK(DaqBook_RAW_Data!AL420),"",DaqBook_RAW_Data!AL420)</f>
        <v/>
      </c>
      <c r="H430" s="167" t="str">
        <f>IF(ISBLANK(DaqBook_RAW_Data!AM420),"",DaqBook_RAW_Data!AM420)</f>
        <v/>
      </c>
      <c r="I430" s="167" t="str">
        <f>IF(ISBLANK(DaqBook_RAW_Data!AN420),"",DaqBook_RAW_Data!AN420)</f>
        <v/>
      </c>
      <c r="J430" s="167" t="str">
        <f>IF(ISBLANK(DaqBook_RAW_Data!AO420),"",DaqBook_RAW_Data!AO420)</f>
        <v/>
      </c>
      <c r="K430" s="167" t="str">
        <f>IF(ISBLANK(DaqBook_RAW_Data!AP420),"",DaqBook_RAW_Data!AP420)</f>
        <v/>
      </c>
      <c r="L430" s="167" t="str">
        <f>IF(ISBLANK(DaqBook_RAW_Data!AQ420),"",DaqBook_RAW_Data!AQ420)</f>
        <v/>
      </c>
      <c r="M430" s="167" t="str">
        <f>IF(ISBLANK(DaqBook_RAW_Data!AR420),"",DaqBook_RAW_Data!AR420)</f>
        <v/>
      </c>
      <c r="N430" s="167" t="str">
        <f>IF(ISBLANK(DaqBook_RAW_Data!AS420),"",DaqBook_RAW_Data!AS420)</f>
        <v/>
      </c>
      <c r="O430" s="167"/>
      <c r="P430" s="167"/>
    </row>
    <row r="431" spans="1:16" x14ac:dyDescent="0.2">
      <c r="A431" s="58" t="e">
        <f t="shared" si="6"/>
        <v>#VALUE!</v>
      </c>
      <c r="B431" s="144" t="str">
        <f>IF(ISBLANK(DaqBook_RAW_Data!AG421),IF(DaqBook_RAW_Data!A421="","",TIMEVALUE(DaqBook_RAW_Data!A421)),TIMEVALUE(DaqBook_RAW_Data!AG421))</f>
        <v/>
      </c>
      <c r="C431" s="167" t="str">
        <f>IF(ISBLANK(DaqBook_RAW_Data!AH421),"",DaqBook_RAW_Data!AH421)</f>
        <v/>
      </c>
      <c r="D431" s="167" t="str">
        <f>IF(ISBLANK(DaqBook_RAW_Data!AI421),"",DaqBook_RAW_Data!AI421)</f>
        <v/>
      </c>
      <c r="E431" s="167" t="str">
        <f>IF(ISBLANK(DaqBook_RAW_Data!AJ421),"",DaqBook_RAW_Data!AJ421)</f>
        <v/>
      </c>
      <c r="F431" s="167" t="str">
        <f>IF(ISBLANK(DaqBook_RAW_Data!AK421),"",DaqBook_RAW_Data!AK421)</f>
        <v/>
      </c>
      <c r="G431" s="167" t="str">
        <f>IF(ISBLANK(DaqBook_RAW_Data!AL421),"",DaqBook_RAW_Data!AL421)</f>
        <v/>
      </c>
      <c r="H431" s="167" t="str">
        <f>IF(ISBLANK(DaqBook_RAW_Data!AM421),"",DaqBook_RAW_Data!AM421)</f>
        <v/>
      </c>
      <c r="I431" s="167" t="str">
        <f>IF(ISBLANK(DaqBook_RAW_Data!AN421),"",DaqBook_RAW_Data!AN421)</f>
        <v/>
      </c>
      <c r="J431" s="167" t="str">
        <f>IF(ISBLANK(DaqBook_RAW_Data!AO421),"",DaqBook_RAW_Data!AO421)</f>
        <v/>
      </c>
      <c r="K431" s="167" t="str">
        <f>IF(ISBLANK(DaqBook_RAW_Data!AP421),"",DaqBook_RAW_Data!AP421)</f>
        <v/>
      </c>
      <c r="L431" s="167" t="str">
        <f>IF(ISBLANK(DaqBook_RAW_Data!AQ421),"",DaqBook_RAW_Data!AQ421)</f>
        <v/>
      </c>
      <c r="M431" s="167" t="str">
        <f>IF(ISBLANK(DaqBook_RAW_Data!AR421),"",DaqBook_RAW_Data!AR421)</f>
        <v/>
      </c>
      <c r="N431" s="167" t="str">
        <f>IF(ISBLANK(DaqBook_RAW_Data!AS421),"",DaqBook_RAW_Data!AS421)</f>
        <v/>
      </c>
      <c r="O431" s="167"/>
      <c r="P431" s="167"/>
    </row>
    <row r="432" spans="1:16" x14ac:dyDescent="0.2">
      <c r="A432" s="58" t="e">
        <f t="shared" si="6"/>
        <v>#VALUE!</v>
      </c>
      <c r="B432" s="144" t="str">
        <f>IF(ISBLANK(DaqBook_RAW_Data!AG422),IF(DaqBook_RAW_Data!A422="","",TIMEVALUE(DaqBook_RAW_Data!A422)),TIMEVALUE(DaqBook_RAW_Data!AG422))</f>
        <v/>
      </c>
      <c r="C432" s="167" t="str">
        <f>IF(ISBLANK(DaqBook_RAW_Data!AH422),"",DaqBook_RAW_Data!AH422)</f>
        <v/>
      </c>
      <c r="D432" s="167" t="str">
        <f>IF(ISBLANK(DaqBook_RAW_Data!AI422),"",DaqBook_RAW_Data!AI422)</f>
        <v/>
      </c>
      <c r="E432" s="167" t="str">
        <f>IF(ISBLANK(DaqBook_RAW_Data!AJ422),"",DaqBook_RAW_Data!AJ422)</f>
        <v/>
      </c>
      <c r="F432" s="167" t="str">
        <f>IF(ISBLANK(DaqBook_RAW_Data!AK422),"",DaqBook_RAW_Data!AK422)</f>
        <v/>
      </c>
      <c r="G432" s="167" t="str">
        <f>IF(ISBLANK(DaqBook_RAW_Data!AL422),"",DaqBook_RAW_Data!AL422)</f>
        <v/>
      </c>
      <c r="H432" s="167" t="str">
        <f>IF(ISBLANK(DaqBook_RAW_Data!AM422),"",DaqBook_RAW_Data!AM422)</f>
        <v/>
      </c>
      <c r="I432" s="167" t="str">
        <f>IF(ISBLANK(DaqBook_RAW_Data!AN422),"",DaqBook_RAW_Data!AN422)</f>
        <v/>
      </c>
      <c r="J432" s="167" t="str">
        <f>IF(ISBLANK(DaqBook_RAW_Data!AO422),"",DaqBook_RAW_Data!AO422)</f>
        <v/>
      </c>
      <c r="K432" s="167" t="str">
        <f>IF(ISBLANK(DaqBook_RAW_Data!AP422),"",DaqBook_RAW_Data!AP422)</f>
        <v/>
      </c>
      <c r="L432" s="167" t="str">
        <f>IF(ISBLANK(DaqBook_RAW_Data!AQ422),"",DaqBook_RAW_Data!AQ422)</f>
        <v/>
      </c>
      <c r="M432" s="167" t="str">
        <f>IF(ISBLANK(DaqBook_RAW_Data!AR422),"",DaqBook_RAW_Data!AR422)</f>
        <v/>
      </c>
      <c r="N432" s="167" t="str">
        <f>IF(ISBLANK(DaqBook_RAW_Data!AS422),"",DaqBook_RAW_Data!AS422)</f>
        <v/>
      </c>
      <c r="O432" s="167"/>
      <c r="P432" s="167"/>
    </row>
    <row r="433" spans="1:16" x14ac:dyDescent="0.2">
      <c r="A433" s="58" t="e">
        <f t="shared" si="6"/>
        <v>#VALUE!</v>
      </c>
      <c r="B433" s="144" t="str">
        <f>IF(ISBLANK(DaqBook_RAW_Data!AG423),IF(DaqBook_RAW_Data!A423="","",TIMEVALUE(DaqBook_RAW_Data!A423)),TIMEVALUE(DaqBook_RAW_Data!AG423))</f>
        <v/>
      </c>
      <c r="C433" s="167" t="str">
        <f>IF(ISBLANK(DaqBook_RAW_Data!AH423),"",DaqBook_RAW_Data!AH423)</f>
        <v/>
      </c>
      <c r="D433" s="167" t="str">
        <f>IF(ISBLANK(DaqBook_RAW_Data!AI423),"",DaqBook_RAW_Data!AI423)</f>
        <v/>
      </c>
      <c r="E433" s="167" t="str">
        <f>IF(ISBLANK(DaqBook_RAW_Data!AJ423),"",DaqBook_RAW_Data!AJ423)</f>
        <v/>
      </c>
      <c r="F433" s="167" t="str">
        <f>IF(ISBLANK(DaqBook_RAW_Data!AK423),"",DaqBook_RAW_Data!AK423)</f>
        <v/>
      </c>
      <c r="G433" s="167" t="str">
        <f>IF(ISBLANK(DaqBook_RAW_Data!AL423),"",DaqBook_RAW_Data!AL423)</f>
        <v/>
      </c>
      <c r="H433" s="167" t="str">
        <f>IF(ISBLANK(DaqBook_RAW_Data!AM423),"",DaqBook_RAW_Data!AM423)</f>
        <v/>
      </c>
      <c r="I433" s="167" t="str">
        <f>IF(ISBLANK(DaqBook_RAW_Data!AN423),"",DaqBook_RAW_Data!AN423)</f>
        <v/>
      </c>
      <c r="J433" s="167" t="str">
        <f>IF(ISBLANK(DaqBook_RAW_Data!AO423),"",DaqBook_RAW_Data!AO423)</f>
        <v/>
      </c>
      <c r="K433" s="167" t="str">
        <f>IF(ISBLANK(DaqBook_RAW_Data!AP423),"",DaqBook_RAW_Data!AP423)</f>
        <v/>
      </c>
      <c r="L433" s="167" t="str">
        <f>IF(ISBLANK(DaqBook_RAW_Data!AQ423),"",DaqBook_RAW_Data!AQ423)</f>
        <v/>
      </c>
      <c r="M433" s="167" t="str">
        <f>IF(ISBLANK(DaqBook_RAW_Data!AR423),"",DaqBook_RAW_Data!AR423)</f>
        <v/>
      </c>
      <c r="N433" s="167" t="str">
        <f>IF(ISBLANK(DaqBook_RAW_Data!AS423),"",DaqBook_RAW_Data!AS423)</f>
        <v/>
      </c>
      <c r="O433" s="167"/>
      <c r="P433" s="167"/>
    </row>
    <row r="434" spans="1:16" x14ac:dyDescent="0.2">
      <c r="A434" s="58" t="e">
        <f t="shared" si="6"/>
        <v>#VALUE!</v>
      </c>
      <c r="B434" s="144" t="str">
        <f>IF(ISBLANK(DaqBook_RAW_Data!AG424),IF(DaqBook_RAW_Data!A424="","",TIMEVALUE(DaqBook_RAW_Data!A424)),TIMEVALUE(DaqBook_RAW_Data!AG424))</f>
        <v/>
      </c>
      <c r="C434" s="167" t="str">
        <f>IF(ISBLANK(DaqBook_RAW_Data!AH424),"",DaqBook_RAW_Data!AH424)</f>
        <v/>
      </c>
      <c r="D434" s="167" t="str">
        <f>IF(ISBLANK(DaqBook_RAW_Data!AI424),"",DaqBook_RAW_Data!AI424)</f>
        <v/>
      </c>
      <c r="E434" s="167" t="str">
        <f>IF(ISBLANK(DaqBook_RAW_Data!AJ424),"",DaqBook_RAW_Data!AJ424)</f>
        <v/>
      </c>
      <c r="F434" s="167" t="str">
        <f>IF(ISBLANK(DaqBook_RAW_Data!AK424),"",DaqBook_RAW_Data!AK424)</f>
        <v/>
      </c>
      <c r="G434" s="167" t="str">
        <f>IF(ISBLANK(DaqBook_RAW_Data!AL424),"",DaqBook_RAW_Data!AL424)</f>
        <v/>
      </c>
      <c r="H434" s="167" t="str">
        <f>IF(ISBLANK(DaqBook_RAW_Data!AM424),"",DaqBook_RAW_Data!AM424)</f>
        <v/>
      </c>
      <c r="I434" s="167" t="str">
        <f>IF(ISBLANK(DaqBook_RAW_Data!AN424),"",DaqBook_RAW_Data!AN424)</f>
        <v/>
      </c>
      <c r="J434" s="167" t="str">
        <f>IF(ISBLANK(DaqBook_RAW_Data!AO424),"",DaqBook_RAW_Data!AO424)</f>
        <v/>
      </c>
      <c r="K434" s="167" t="str">
        <f>IF(ISBLANK(DaqBook_RAW_Data!AP424),"",DaqBook_RAW_Data!AP424)</f>
        <v/>
      </c>
      <c r="L434" s="167" t="str">
        <f>IF(ISBLANK(DaqBook_RAW_Data!AQ424),"",DaqBook_RAW_Data!AQ424)</f>
        <v/>
      </c>
      <c r="M434" s="167" t="str">
        <f>IF(ISBLANK(DaqBook_RAW_Data!AR424),"",DaqBook_RAW_Data!AR424)</f>
        <v/>
      </c>
      <c r="N434" s="167" t="str">
        <f>IF(ISBLANK(DaqBook_RAW_Data!AS424),"",DaqBook_RAW_Data!AS424)</f>
        <v/>
      </c>
      <c r="O434" s="167"/>
      <c r="P434" s="167"/>
    </row>
    <row r="435" spans="1:16" x14ac:dyDescent="0.2">
      <c r="A435" s="58" t="e">
        <f t="shared" si="6"/>
        <v>#VALUE!</v>
      </c>
      <c r="B435" s="144" t="str">
        <f>IF(ISBLANK(DaqBook_RAW_Data!AG425),IF(DaqBook_RAW_Data!A425="","",TIMEVALUE(DaqBook_RAW_Data!A425)),TIMEVALUE(DaqBook_RAW_Data!AG425))</f>
        <v/>
      </c>
      <c r="C435" s="167" t="str">
        <f>IF(ISBLANK(DaqBook_RAW_Data!AH425),"",DaqBook_RAW_Data!AH425)</f>
        <v/>
      </c>
      <c r="D435" s="167" t="str">
        <f>IF(ISBLANK(DaqBook_RAW_Data!AI425),"",DaqBook_RAW_Data!AI425)</f>
        <v/>
      </c>
      <c r="E435" s="167" t="str">
        <f>IF(ISBLANK(DaqBook_RAW_Data!AJ425),"",DaqBook_RAW_Data!AJ425)</f>
        <v/>
      </c>
      <c r="F435" s="167" t="str">
        <f>IF(ISBLANK(DaqBook_RAW_Data!AK425),"",DaqBook_RAW_Data!AK425)</f>
        <v/>
      </c>
      <c r="G435" s="167" t="str">
        <f>IF(ISBLANK(DaqBook_RAW_Data!AL425),"",DaqBook_RAW_Data!AL425)</f>
        <v/>
      </c>
      <c r="H435" s="167" t="str">
        <f>IF(ISBLANK(DaqBook_RAW_Data!AM425),"",DaqBook_RAW_Data!AM425)</f>
        <v/>
      </c>
      <c r="I435" s="167" t="str">
        <f>IF(ISBLANK(DaqBook_RAW_Data!AN425),"",DaqBook_RAW_Data!AN425)</f>
        <v/>
      </c>
      <c r="J435" s="167" t="str">
        <f>IF(ISBLANK(DaqBook_RAW_Data!AO425),"",DaqBook_RAW_Data!AO425)</f>
        <v/>
      </c>
      <c r="K435" s="167" t="str">
        <f>IF(ISBLANK(DaqBook_RAW_Data!AP425),"",DaqBook_RAW_Data!AP425)</f>
        <v/>
      </c>
      <c r="L435" s="167" t="str">
        <f>IF(ISBLANK(DaqBook_RAW_Data!AQ425),"",DaqBook_RAW_Data!AQ425)</f>
        <v/>
      </c>
      <c r="M435" s="167" t="str">
        <f>IF(ISBLANK(DaqBook_RAW_Data!AR425),"",DaqBook_RAW_Data!AR425)</f>
        <v/>
      </c>
      <c r="N435" s="167" t="str">
        <f>IF(ISBLANK(DaqBook_RAW_Data!AS425),"",DaqBook_RAW_Data!AS425)</f>
        <v/>
      </c>
      <c r="O435" s="167"/>
      <c r="P435" s="167"/>
    </row>
    <row r="436" spans="1:16" x14ac:dyDescent="0.2">
      <c r="A436" s="58" t="e">
        <f t="shared" si="6"/>
        <v>#VALUE!</v>
      </c>
      <c r="B436" s="144" t="str">
        <f>IF(ISBLANK(DaqBook_RAW_Data!AG426),IF(DaqBook_RAW_Data!A426="","",TIMEVALUE(DaqBook_RAW_Data!A426)),TIMEVALUE(DaqBook_RAW_Data!AG426))</f>
        <v/>
      </c>
      <c r="C436" s="167" t="str">
        <f>IF(ISBLANK(DaqBook_RAW_Data!AH426),"",DaqBook_RAW_Data!AH426)</f>
        <v/>
      </c>
      <c r="D436" s="167" t="str">
        <f>IF(ISBLANK(DaqBook_RAW_Data!AI426),"",DaqBook_RAW_Data!AI426)</f>
        <v/>
      </c>
      <c r="E436" s="167" t="str">
        <f>IF(ISBLANK(DaqBook_RAW_Data!AJ426),"",DaqBook_RAW_Data!AJ426)</f>
        <v/>
      </c>
      <c r="F436" s="167" t="str">
        <f>IF(ISBLANK(DaqBook_RAW_Data!AK426),"",DaqBook_RAW_Data!AK426)</f>
        <v/>
      </c>
      <c r="G436" s="167" t="str">
        <f>IF(ISBLANK(DaqBook_RAW_Data!AL426),"",DaqBook_RAW_Data!AL426)</f>
        <v/>
      </c>
      <c r="H436" s="167" t="str">
        <f>IF(ISBLANK(DaqBook_RAW_Data!AM426),"",DaqBook_RAW_Data!AM426)</f>
        <v/>
      </c>
      <c r="I436" s="167" t="str">
        <f>IF(ISBLANK(DaqBook_RAW_Data!AN426),"",DaqBook_RAW_Data!AN426)</f>
        <v/>
      </c>
      <c r="J436" s="167" t="str">
        <f>IF(ISBLANK(DaqBook_RAW_Data!AO426),"",DaqBook_RAW_Data!AO426)</f>
        <v/>
      </c>
      <c r="K436" s="167" t="str">
        <f>IF(ISBLANK(DaqBook_RAW_Data!AP426),"",DaqBook_RAW_Data!AP426)</f>
        <v/>
      </c>
      <c r="L436" s="167" t="str">
        <f>IF(ISBLANK(DaqBook_RAW_Data!AQ426),"",DaqBook_RAW_Data!AQ426)</f>
        <v/>
      </c>
      <c r="M436" s="167" t="str">
        <f>IF(ISBLANK(DaqBook_RAW_Data!AR426),"",DaqBook_RAW_Data!AR426)</f>
        <v/>
      </c>
      <c r="N436" s="167" t="str">
        <f>IF(ISBLANK(DaqBook_RAW_Data!AS426),"",DaqBook_RAW_Data!AS426)</f>
        <v/>
      </c>
      <c r="O436" s="167"/>
      <c r="P436" s="167"/>
    </row>
    <row r="437" spans="1:16" x14ac:dyDescent="0.2">
      <c r="A437" s="58" t="e">
        <f t="shared" si="6"/>
        <v>#VALUE!</v>
      </c>
      <c r="B437" s="144" t="str">
        <f>IF(ISBLANK(DaqBook_RAW_Data!AG427),IF(DaqBook_RAW_Data!A427="","",TIMEVALUE(DaqBook_RAW_Data!A427)),TIMEVALUE(DaqBook_RAW_Data!AG427))</f>
        <v/>
      </c>
      <c r="C437" s="167" t="str">
        <f>IF(ISBLANK(DaqBook_RAW_Data!AH427),"",DaqBook_RAW_Data!AH427)</f>
        <v/>
      </c>
      <c r="D437" s="167" t="str">
        <f>IF(ISBLANK(DaqBook_RAW_Data!AI427),"",DaqBook_RAW_Data!AI427)</f>
        <v/>
      </c>
      <c r="E437" s="167" t="str">
        <f>IF(ISBLANK(DaqBook_RAW_Data!AJ427),"",DaqBook_RAW_Data!AJ427)</f>
        <v/>
      </c>
      <c r="F437" s="167" t="str">
        <f>IF(ISBLANK(DaqBook_RAW_Data!AK427),"",DaqBook_RAW_Data!AK427)</f>
        <v/>
      </c>
      <c r="G437" s="167" t="str">
        <f>IF(ISBLANK(DaqBook_RAW_Data!AL427),"",DaqBook_RAW_Data!AL427)</f>
        <v/>
      </c>
      <c r="H437" s="167" t="str">
        <f>IF(ISBLANK(DaqBook_RAW_Data!AM427),"",DaqBook_RAW_Data!AM427)</f>
        <v/>
      </c>
      <c r="I437" s="167" t="str">
        <f>IF(ISBLANK(DaqBook_RAW_Data!AN427),"",DaqBook_RAW_Data!AN427)</f>
        <v/>
      </c>
      <c r="J437" s="167" t="str">
        <f>IF(ISBLANK(DaqBook_RAW_Data!AO427),"",DaqBook_RAW_Data!AO427)</f>
        <v/>
      </c>
      <c r="K437" s="167" t="str">
        <f>IF(ISBLANK(DaqBook_RAW_Data!AP427),"",DaqBook_RAW_Data!AP427)</f>
        <v/>
      </c>
      <c r="L437" s="167" t="str">
        <f>IF(ISBLANK(DaqBook_RAW_Data!AQ427),"",DaqBook_RAW_Data!AQ427)</f>
        <v/>
      </c>
      <c r="M437" s="167" t="str">
        <f>IF(ISBLANK(DaqBook_RAW_Data!AR427),"",DaqBook_RAW_Data!AR427)</f>
        <v/>
      </c>
      <c r="N437" s="167" t="str">
        <f>IF(ISBLANK(DaqBook_RAW_Data!AS427),"",DaqBook_RAW_Data!AS427)</f>
        <v/>
      </c>
      <c r="O437" s="167"/>
      <c r="P437" s="167"/>
    </row>
    <row r="438" spans="1:16" x14ac:dyDescent="0.2">
      <c r="A438" s="58" t="e">
        <f t="shared" si="6"/>
        <v>#VALUE!</v>
      </c>
      <c r="B438" s="144" t="str">
        <f>IF(ISBLANK(DaqBook_RAW_Data!AG428),IF(DaqBook_RAW_Data!A428="","",TIMEVALUE(DaqBook_RAW_Data!A428)),TIMEVALUE(DaqBook_RAW_Data!AG428))</f>
        <v/>
      </c>
      <c r="C438" s="167" t="str">
        <f>IF(ISBLANK(DaqBook_RAW_Data!AH428),"",DaqBook_RAW_Data!AH428)</f>
        <v/>
      </c>
      <c r="D438" s="167" t="str">
        <f>IF(ISBLANK(DaqBook_RAW_Data!AI428),"",DaqBook_RAW_Data!AI428)</f>
        <v/>
      </c>
      <c r="E438" s="167" t="str">
        <f>IF(ISBLANK(DaqBook_RAW_Data!AJ428),"",DaqBook_RAW_Data!AJ428)</f>
        <v/>
      </c>
      <c r="F438" s="167" t="str">
        <f>IF(ISBLANK(DaqBook_RAW_Data!AK428),"",DaqBook_RAW_Data!AK428)</f>
        <v/>
      </c>
      <c r="G438" s="167" t="str">
        <f>IF(ISBLANK(DaqBook_RAW_Data!AL428),"",DaqBook_RAW_Data!AL428)</f>
        <v/>
      </c>
      <c r="H438" s="167" t="str">
        <f>IF(ISBLANK(DaqBook_RAW_Data!AM428),"",DaqBook_RAW_Data!AM428)</f>
        <v/>
      </c>
      <c r="I438" s="167" t="str">
        <f>IF(ISBLANK(DaqBook_RAW_Data!AN428),"",DaqBook_RAW_Data!AN428)</f>
        <v/>
      </c>
      <c r="J438" s="167" t="str">
        <f>IF(ISBLANK(DaqBook_RAW_Data!AO428),"",DaqBook_RAW_Data!AO428)</f>
        <v/>
      </c>
      <c r="K438" s="167" t="str">
        <f>IF(ISBLANK(DaqBook_RAW_Data!AP428),"",DaqBook_RAW_Data!AP428)</f>
        <v/>
      </c>
      <c r="L438" s="167" t="str">
        <f>IF(ISBLANK(DaqBook_RAW_Data!AQ428),"",DaqBook_RAW_Data!AQ428)</f>
        <v/>
      </c>
      <c r="M438" s="167" t="str">
        <f>IF(ISBLANK(DaqBook_RAW_Data!AR428),"",DaqBook_RAW_Data!AR428)</f>
        <v/>
      </c>
      <c r="N438" s="167" t="str">
        <f>IF(ISBLANK(DaqBook_RAW_Data!AS428),"",DaqBook_RAW_Data!AS428)</f>
        <v/>
      </c>
      <c r="O438" s="167"/>
      <c r="P438" s="167"/>
    </row>
    <row r="439" spans="1:16" x14ac:dyDescent="0.2">
      <c r="A439" s="58" t="e">
        <f t="shared" si="6"/>
        <v>#VALUE!</v>
      </c>
      <c r="B439" s="144" t="str">
        <f>IF(ISBLANK(DaqBook_RAW_Data!AG429),IF(DaqBook_RAW_Data!A429="","",TIMEVALUE(DaqBook_RAW_Data!A429)),TIMEVALUE(DaqBook_RAW_Data!AG429))</f>
        <v/>
      </c>
      <c r="C439" s="167" t="str">
        <f>IF(ISBLANK(DaqBook_RAW_Data!AH429),"",DaqBook_RAW_Data!AH429)</f>
        <v/>
      </c>
      <c r="D439" s="167" t="str">
        <f>IF(ISBLANK(DaqBook_RAW_Data!AI429),"",DaqBook_RAW_Data!AI429)</f>
        <v/>
      </c>
      <c r="E439" s="167" t="str">
        <f>IF(ISBLANK(DaqBook_RAW_Data!AJ429),"",DaqBook_RAW_Data!AJ429)</f>
        <v/>
      </c>
      <c r="F439" s="167" t="str">
        <f>IF(ISBLANK(DaqBook_RAW_Data!AK429),"",DaqBook_RAW_Data!AK429)</f>
        <v/>
      </c>
      <c r="G439" s="167" t="str">
        <f>IF(ISBLANK(DaqBook_RAW_Data!AL429),"",DaqBook_RAW_Data!AL429)</f>
        <v/>
      </c>
      <c r="H439" s="167" t="str">
        <f>IF(ISBLANK(DaqBook_RAW_Data!AM429),"",DaqBook_RAW_Data!AM429)</f>
        <v/>
      </c>
      <c r="I439" s="167" t="str">
        <f>IF(ISBLANK(DaqBook_RAW_Data!AN429),"",DaqBook_RAW_Data!AN429)</f>
        <v/>
      </c>
      <c r="J439" s="167" t="str">
        <f>IF(ISBLANK(DaqBook_RAW_Data!AO429),"",DaqBook_RAW_Data!AO429)</f>
        <v/>
      </c>
      <c r="K439" s="167" t="str">
        <f>IF(ISBLANK(DaqBook_RAW_Data!AP429),"",DaqBook_RAW_Data!AP429)</f>
        <v/>
      </c>
      <c r="L439" s="167" t="str">
        <f>IF(ISBLANK(DaqBook_RAW_Data!AQ429),"",DaqBook_RAW_Data!AQ429)</f>
        <v/>
      </c>
      <c r="M439" s="167" t="str">
        <f>IF(ISBLANK(DaqBook_RAW_Data!AR429),"",DaqBook_RAW_Data!AR429)</f>
        <v/>
      </c>
      <c r="N439" s="167" t="str">
        <f>IF(ISBLANK(DaqBook_RAW_Data!AS429),"",DaqBook_RAW_Data!AS429)</f>
        <v/>
      </c>
      <c r="O439" s="167"/>
      <c r="P439" s="167"/>
    </row>
    <row r="440" spans="1:16" x14ac:dyDescent="0.2">
      <c r="A440" s="58" t="e">
        <f t="shared" si="6"/>
        <v>#VALUE!</v>
      </c>
      <c r="B440" s="144" t="str">
        <f>IF(ISBLANK(DaqBook_RAW_Data!AG430),IF(DaqBook_RAW_Data!A430="","",TIMEVALUE(DaqBook_RAW_Data!A430)),TIMEVALUE(DaqBook_RAW_Data!AG430))</f>
        <v/>
      </c>
      <c r="C440" s="167" t="str">
        <f>IF(ISBLANK(DaqBook_RAW_Data!AH430),"",DaqBook_RAW_Data!AH430)</f>
        <v/>
      </c>
      <c r="D440" s="167" t="str">
        <f>IF(ISBLANK(DaqBook_RAW_Data!AI430),"",DaqBook_RAW_Data!AI430)</f>
        <v/>
      </c>
      <c r="E440" s="167" t="str">
        <f>IF(ISBLANK(DaqBook_RAW_Data!AJ430),"",DaqBook_RAW_Data!AJ430)</f>
        <v/>
      </c>
      <c r="F440" s="167" t="str">
        <f>IF(ISBLANK(DaqBook_RAW_Data!AK430),"",DaqBook_RAW_Data!AK430)</f>
        <v/>
      </c>
      <c r="G440" s="167" t="str">
        <f>IF(ISBLANK(DaqBook_RAW_Data!AL430),"",DaqBook_RAW_Data!AL430)</f>
        <v/>
      </c>
      <c r="H440" s="167" t="str">
        <f>IF(ISBLANK(DaqBook_RAW_Data!AM430),"",DaqBook_RAW_Data!AM430)</f>
        <v/>
      </c>
      <c r="I440" s="167" t="str">
        <f>IF(ISBLANK(DaqBook_RAW_Data!AN430),"",DaqBook_RAW_Data!AN430)</f>
        <v/>
      </c>
      <c r="J440" s="167" t="str">
        <f>IF(ISBLANK(DaqBook_RAW_Data!AO430),"",DaqBook_RAW_Data!AO430)</f>
        <v/>
      </c>
      <c r="K440" s="167" t="str">
        <f>IF(ISBLANK(DaqBook_RAW_Data!AP430),"",DaqBook_RAW_Data!AP430)</f>
        <v/>
      </c>
      <c r="L440" s="167" t="str">
        <f>IF(ISBLANK(DaqBook_RAW_Data!AQ430),"",DaqBook_RAW_Data!AQ430)</f>
        <v/>
      </c>
      <c r="M440" s="167" t="str">
        <f>IF(ISBLANK(DaqBook_RAW_Data!AR430),"",DaqBook_RAW_Data!AR430)</f>
        <v/>
      </c>
      <c r="N440" s="167" t="str">
        <f>IF(ISBLANK(DaqBook_RAW_Data!AS430),"",DaqBook_RAW_Data!AS430)</f>
        <v/>
      </c>
      <c r="O440" s="167"/>
      <c r="P440" s="167"/>
    </row>
    <row r="441" spans="1:16" x14ac:dyDescent="0.2">
      <c r="A441" s="58" t="e">
        <f t="shared" si="6"/>
        <v>#VALUE!</v>
      </c>
      <c r="B441" s="144" t="str">
        <f>IF(ISBLANK(DaqBook_RAW_Data!AG431),IF(DaqBook_RAW_Data!A431="","",TIMEVALUE(DaqBook_RAW_Data!A431)),TIMEVALUE(DaqBook_RAW_Data!AG431))</f>
        <v/>
      </c>
      <c r="C441" s="167" t="str">
        <f>IF(ISBLANK(DaqBook_RAW_Data!AH431),"",DaqBook_RAW_Data!AH431)</f>
        <v/>
      </c>
      <c r="D441" s="167" t="str">
        <f>IF(ISBLANK(DaqBook_RAW_Data!AI431),"",DaqBook_RAW_Data!AI431)</f>
        <v/>
      </c>
      <c r="E441" s="167" t="str">
        <f>IF(ISBLANK(DaqBook_RAW_Data!AJ431),"",DaqBook_RAW_Data!AJ431)</f>
        <v/>
      </c>
      <c r="F441" s="167" t="str">
        <f>IF(ISBLANK(DaqBook_RAW_Data!AK431),"",DaqBook_RAW_Data!AK431)</f>
        <v/>
      </c>
      <c r="G441" s="167" t="str">
        <f>IF(ISBLANK(DaqBook_RAW_Data!AL431),"",DaqBook_RAW_Data!AL431)</f>
        <v/>
      </c>
      <c r="H441" s="167" t="str">
        <f>IF(ISBLANK(DaqBook_RAW_Data!AM431),"",DaqBook_RAW_Data!AM431)</f>
        <v/>
      </c>
      <c r="I441" s="167" t="str">
        <f>IF(ISBLANK(DaqBook_RAW_Data!AN431),"",DaqBook_RAW_Data!AN431)</f>
        <v/>
      </c>
      <c r="J441" s="167" t="str">
        <f>IF(ISBLANK(DaqBook_RAW_Data!AO431),"",DaqBook_RAW_Data!AO431)</f>
        <v/>
      </c>
      <c r="K441" s="167" t="str">
        <f>IF(ISBLANK(DaqBook_RAW_Data!AP431),"",DaqBook_RAW_Data!AP431)</f>
        <v/>
      </c>
      <c r="L441" s="167" t="str">
        <f>IF(ISBLANK(DaqBook_RAW_Data!AQ431),"",DaqBook_RAW_Data!AQ431)</f>
        <v/>
      </c>
      <c r="M441" s="167" t="str">
        <f>IF(ISBLANK(DaqBook_RAW_Data!AR431),"",DaqBook_RAW_Data!AR431)</f>
        <v/>
      </c>
      <c r="N441" s="167" t="str">
        <f>IF(ISBLANK(DaqBook_RAW_Data!AS431),"",DaqBook_RAW_Data!AS431)</f>
        <v/>
      </c>
      <c r="O441" s="167"/>
      <c r="P441" s="167"/>
    </row>
    <row r="442" spans="1:16" x14ac:dyDescent="0.2">
      <c r="A442" s="58" t="e">
        <f t="shared" si="6"/>
        <v>#VALUE!</v>
      </c>
      <c r="B442" s="144" t="str">
        <f>IF(ISBLANK(DaqBook_RAW_Data!AG432),IF(DaqBook_RAW_Data!A432="","",TIMEVALUE(DaqBook_RAW_Data!A432)),TIMEVALUE(DaqBook_RAW_Data!AG432))</f>
        <v/>
      </c>
      <c r="C442" s="167" t="str">
        <f>IF(ISBLANK(DaqBook_RAW_Data!AH432),"",DaqBook_RAW_Data!AH432)</f>
        <v/>
      </c>
      <c r="D442" s="167" t="str">
        <f>IF(ISBLANK(DaqBook_RAW_Data!AI432),"",DaqBook_RAW_Data!AI432)</f>
        <v/>
      </c>
      <c r="E442" s="167" t="str">
        <f>IF(ISBLANK(DaqBook_RAW_Data!AJ432),"",DaqBook_RAW_Data!AJ432)</f>
        <v/>
      </c>
      <c r="F442" s="167" t="str">
        <f>IF(ISBLANK(DaqBook_RAW_Data!AK432),"",DaqBook_RAW_Data!AK432)</f>
        <v/>
      </c>
      <c r="G442" s="167" t="str">
        <f>IF(ISBLANK(DaqBook_RAW_Data!AL432),"",DaqBook_RAW_Data!AL432)</f>
        <v/>
      </c>
      <c r="H442" s="167" t="str">
        <f>IF(ISBLANK(DaqBook_RAW_Data!AM432),"",DaqBook_RAW_Data!AM432)</f>
        <v/>
      </c>
      <c r="I442" s="167" t="str">
        <f>IF(ISBLANK(DaqBook_RAW_Data!AN432),"",DaqBook_RAW_Data!AN432)</f>
        <v/>
      </c>
      <c r="J442" s="167" t="str">
        <f>IF(ISBLANK(DaqBook_RAW_Data!AO432),"",DaqBook_RAW_Data!AO432)</f>
        <v/>
      </c>
      <c r="K442" s="167" t="str">
        <f>IF(ISBLANK(DaqBook_RAW_Data!AP432),"",DaqBook_RAW_Data!AP432)</f>
        <v/>
      </c>
      <c r="L442" s="167" t="str">
        <f>IF(ISBLANK(DaqBook_RAW_Data!AQ432),"",DaqBook_RAW_Data!AQ432)</f>
        <v/>
      </c>
      <c r="M442" s="167" t="str">
        <f>IF(ISBLANK(DaqBook_RAW_Data!AR432),"",DaqBook_RAW_Data!AR432)</f>
        <v/>
      </c>
      <c r="N442" s="167" t="str">
        <f>IF(ISBLANK(DaqBook_RAW_Data!AS432),"",DaqBook_RAW_Data!AS432)</f>
        <v/>
      </c>
      <c r="O442" s="167"/>
      <c r="P442" s="167"/>
    </row>
    <row r="443" spans="1:16" x14ac:dyDescent="0.2">
      <c r="A443" s="58" t="e">
        <f t="shared" si="6"/>
        <v>#VALUE!</v>
      </c>
      <c r="B443" s="144" t="str">
        <f>IF(ISBLANK(DaqBook_RAW_Data!AG433),IF(DaqBook_RAW_Data!A433="","",TIMEVALUE(DaqBook_RAW_Data!A433)),TIMEVALUE(DaqBook_RAW_Data!AG433))</f>
        <v/>
      </c>
      <c r="C443" s="167" t="str">
        <f>IF(ISBLANK(DaqBook_RAW_Data!AH433),"",DaqBook_RAW_Data!AH433)</f>
        <v/>
      </c>
      <c r="D443" s="167" t="str">
        <f>IF(ISBLANK(DaqBook_RAW_Data!AI433),"",DaqBook_RAW_Data!AI433)</f>
        <v/>
      </c>
      <c r="E443" s="167" t="str">
        <f>IF(ISBLANK(DaqBook_RAW_Data!AJ433),"",DaqBook_RAW_Data!AJ433)</f>
        <v/>
      </c>
      <c r="F443" s="167" t="str">
        <f>IF(ISBLANK(DaqBook_RAW_Data!AK433),"",DaqBook_RAW_Data!AK433)</f>
        <v/>
      </c>
      <c r="G443" s="167" t="str">
        <f>IF(ISBLANK(DaqBook_RAW_Data!AL433),"",DaqBook_RAW_Data!AL433)</f>
        <v/>
      </c>
      <c r="H443" s="167" t="str">
        <f>IF(ISBLANK(DaqBook_RAW_Data!AM433),"",DaqBook_RAW_Data!AM433)</f>
        <v/>
      </c>
      <c r="I443" s="167" t="str">
        <f>IF(ISBLANK(DaqBook_RAW_Data!AN433),"",DaqBook_RAW_Data!AN433)</f>
        <v/>
      </c>
      <c r="J443" s="167" t="str">
        <f>IF(ISBLANK(DaqBook_RAW_Data!AO433),"",DaqBook_RAW_Data!AO433)</f>
        <v/>
      </c>
      <c r="K443" s="167" t="str">
        <f>IF(ISBLANK(DaqBook_RAW_Data!AP433),"",DaqBook_RAW_Data!AP433)</f>
        <v/>
      </c>
      <c r="L443" s="167" t="str">
        <f>IF(ISBLANK(DaqBook_RAW_Data!AQ433),"",DaqBook_RAW_Data!AQ433)</f>
        <v/>
      </c>
      <c r="M443" s="167" t="str">
        <f>IF(ISBLANK(DaqBook_RAW_Data!AR433),"",DaqBook_RAW_Data!AR433)</f>
        <v/>
      </c>
      <c r="N443" s="167" t="str">
        <f>IF(ISBLANK(DaqBook_RAW_Data!AS433),"",DaqBook_RAW_Data!AS433)</f>
        <v/>
      </c>
      <c r="O443" s="167"/>
      <c r="P443" s="167"/>
    </row>
    <row r="444" spans="1:16" x14ac:dyDescent="0.2">
      <c r="A444" s="58" t="e">
        <f t="shared" si="6"/>
        <v>#VALUE!</v>
      </c>
      <c r="B444" s="144" t="str">
        <f>IF(ISBLANK(DaqBook_RAW_Data!AG434),IF(DaqBook_RAW_Data!A434="","",TIMEVALUE(DaqBook_RAW_Data!A434)),TIMEVALUE(DaqBook_RAW_Data!AG434))</f>
        <v/>
      </c>
      <c r="C444" s="167" t="str">
        <f>IF(ISBLANK(DaqBook_RAW_Data!AH434),"",DaqBook_RAW_Data!AH434)</f>
        <v/>
      </c>
      <c r="D444" s="167" t="str">
        <f>IF(ISBLANK(DaqBook_RAW_Data!AI434),"",DaqBook_RAW_Data!AI434)</f>
        <v/>
      </c>
      <c r="E444" s="167" t="str">
        <f>IF(ISBLANK(DaqBook_RAW_Data!AJ434),"",DaqBook_RAW_Data!AJ434)</f>
        <v/>
      </c>
      <c r="F444" s="167" t="str">
        <f>IF(ISBLANK(DaqBook_RAW_Data!AK434),"",DaqBook_RAW_Data!AK434)</f>
        <v/>
      </c>
      <c r="G444" s="167" t="str">
        <f>IF(ISBLANK(DaqBook_RAW_Data!AL434),"",DaqBook_RAW_Data!AL434)</f>
        <v/>
      </c>
      <c r="H444" s="167" t="str">
        <f>IF(ISBLANK(DaqBook_RAW_Data!AM434),"",DaqBook_RAW_Data!AM434)</f>
        <v/>
      </c>
      <c r="I444" s="167" t="str">
        <f>IF(ISBLANK(DaqBook_RAW_Data!AN434),"",DaqBook_RAW_Data!AN434)</f>
        <v/>
      </c>
      <c r="J444" s="167" t="str">
        <f>IF(ISBLANK(DaqBook_RAW_Data!AO434),"",DaqBook_RAW_Data!AO434)</f>
        <v/>
      </c>
      <c r="K444" s="167" t="str">
        <f>IF(ISBLANK(DaqBook_RAW_Data!AP434),"",DaqBook_RAW_Data!AP434)</f>
        <v/>
      </c>
      <c r="L444" s="167" t="str">
        <f>IF(ISBLANK(DaqBook_RAW_Data!AQ434),"",DaqBook_RAW_Data!AQ434)</f>
        <v/>
      </c>
      <c r="M444" s="167" t="str">
        <f>IF(ISBLANK(DaqBook_RAW_Data!AR434),"",DaqBook_RAW_Data!AR434)</f>
        <v/>
      </c>
      <c r="N444" s="167" t="str">
        <f>IF(ISBLANK(DaqBook_RAW_Data!AS434),"",DaqBook_RAW_Data!AS434)</f>
        <v/>
      </c>
      <c r="O444" s="167"/>
      <c r="P444" s="167"/>
    </row>
    <row r="445" spans="1:16" x14ac:dyDescent="0.2">
      <c r="A445" s="58" t="e">
        <f t="shared" si="6"/>
        <v>#VALUE!</v>
      </c>
      <c r="B445" s="144" t="str">
        <f>IF(ISBLANK(DaqBook_RAW_Data!AG435),IF(DaqBook_RAW_Data!A435="","",TIMEVALUE(DaqBook_RAW_Data!A435)),TIMEVALUE(DaqBook_RAW_Data!AG435))</f>
        <v/>
      </c>
      <c r="C445" s="167" t="str">
        <f>IF(ISBLANK(DaqBook_RAW_Data!AH435),"",DaqBook_RAW_Data!AH435)</f>
        <v/>
      </c>
      <c r="D445" s="167" t="str">
        <f>IF(ISBLANK(DaqBook_RAW_Data!AI435),"",DaqBook_RAW_Data!AI435)</f>
        <v/>
      </c>
      <c r="E445" s="167" t="str">
        <f>IF(ISBLANK(DaqBook_RAW_Data!AJ435),"",DaqBook_RAW_Data!AJ435)</f>
        <v/>
      </c>
      <c r="F445" s="167" t="str">
        <f>IF(ISBLANK(DaqBook_RAW_Data!AK435),"",DaqBook_RAW_Data!AK435)</f>
        <v/>
      </c>
      <c r="G445" s="167" t="str">
        <f>IF(ISBLANK(DaqBook_RAW_Data!AL435),"",DaqBook_RAW_Data!AL435)</f>
        <v/>
      </c>
      <c r="H445" s="167" t="str">
        <f>IF(ISBLANK(DaqBook_RAW_Data!AM435),"",DaqBook_RAW_Data!AM435)</f>
        <v/>
      </c>
      <c r="I445" s="167" t="str">
        <f>IF(ISBLANK(DaqBook_RAW_Data!AN435),"",DaqBook_RAW_Data!AN435)</f>
        <v/>
      </c>
      <c r="J445" s="167" t="str">
        <f>IF(ISBLANK(DaqBook_RAW_Data!AO435),"",DaqBook_RAW_Data!AO435)</f>
        <v/>
      </c>
      <c r="K445" s="167" t="str">
        <f>IF(ISBLANK(DaqBook_RAW_Data!AP435),"",DaqBook_RAW_Data!AP435)</f>
        <v/>
      </c>
      <c r="L445" s="167" t="str">
        <f>IF(ISBLANK(DaqBook_RAW_Data!AQ435),"",DaqBook_RAW_Data!AQ435)</f>
        <v/>
      </c>
      <c r="M445" s="167" t="str">
        <f>IF(ISBLANK(DaqBook_RAW_Data!AR435),"",DaqBook_RAW_Data!AR435)</f>
        <v/>
      </c>
      <c r="N445" s="167" t="str">
        <f>IF(ISBLANK(DaqBook_RAW_Data!AS435),"",DaqBook_RAW_Data!AS435)</f>
        <v/>
      </c>
      <c r="O445" s="167"/>
      <c r="P445" s="167"/>
    </row>
    <row r="446" spans="1:16" x14ac:dyDescent="0.2">
      <c r="A446" s="58" t="e">
        <f t="shared" si="6"/>
        <v>#VALUE!</v>
      </c>
      <c r="B446" s="144" t="str">
        <f>IF(ISBLANK(DaqBook_RAW_Data!AG436),IF(DaqBook_RAW_Data!A436="","",TIMEVALUE(DaqBook_RAW_Data!A436)),TIMEVALUE(DaqBook_RAW_Data!AG436))</f>
        <v/>
      </c>
      <c r="C446" s="167" t="str">
        <f>IF(ISBLANK(DaqBook_RAW_Data!AH436),"",DaqBook_RAW_Data!AH436)</f>
        <v/>
      </c>
      <c r="D446" s="167" t="str">
        <f>IF(ISBLANK(DaqBook_RAW_Data!AI436),"",DaqBook_RAW_Data!AI436)</f>
        <v/>
      </c>
      <c r="E446" s="167" t="str">
        <f>IF(ISBLANK(DaqBook_RAW_Data!AJ436),"",DaqBook_RAW_Data!AJ436)</f>
        <v/>
      </c>
      <c r="F446" s="167" t="str">
        <f>IF(ISBLANK(DaqBook_RAW_Data!AK436),"",DaqBook_RAW_Data!AK436)</f>
        <v/>
      </c>
      <c r="G446" s="167" t="str">
        <f>IF(ISBLANK(DaqBook_RAW_Data!AL436),"",DaqBook_RAW_Data!AL436)</f>
        <v/>
      </c>
      <c r="H446" s="167" t="str">
        <f>IF(ISBLANK(DaqBook_RAW_Data!AM436),"",DaqBook_RAW_Data!AM436)</f>
        <v/>
      </c>
      <c r="I446" s="167" t="str">
        <f>IF(ISBLANK(DaqBook_RAW_Data!AN436),"",DaqBook_RAW_Data!AN436)</f>
        <v/>
      </c>
      <c r="J446" s="167" t="str">
        <f>IF(ISBLANK(DaqBook_RAW_Data!AO436),"",DaqBook_RAW_Data!AO436)</f>
        <v/>
      </c>
      <c r="K446" s="167" t="str">
        <f>IF(ISBLANK(DaqBook_RAW_Data!AP436),"",DaqBook_RAW_Data!AP436)</f>
        <v/>
      </c>
      <c r="L446" s="167" t="str">
        <f>IF(ISBLANK(DaqBook_RAW_Data!AQ436),"",DaqBook_RAW_Data!AQ436)</f>
        <v/>
      </c>
      <c r="M446" s="167" t="str">
        <f>IF(ISBLANK(DaqBook_RAW_Data!AR436),"",DaqBook_RAW_Data!AR436)</f>
        <v/>
      </c>
      <c r="N446" s="167" t="str">
        <f>IF(ISBLANK(DaqBook_RAW_Data!AS436),"",DaqBook_RAW_Data!AS436)</f>
        <v/>
      </c>
      <c r="O446" s="167"/>
      <c r="P446" s="167"/>
    </row>
    <row r="447" spans="1:16" x14ac:dyDescent="0.2">
      <c r="A447" s="58" t="e">
        <f t="shared" si="6"/>
        <v>#VALUE!</v>
      </c>
      <c r="B447" s="144" t="str">
        <f>IF(ISBLANK(DaqBook_RAW_Data!AG437),IF(DaqBook_RAW_Data!A437="","",TIMEVALUE(DaqBook_RAW_Data!A437)),TIMEVALUE(DaqBook_RAW_Data!AG437))</f>
        <v/>
      </c>
      <c r="C447" s="167" t="str">
        <f>IF(ISBLANK(DaqBook_RAW_Data!AH437),"",DaqBook_RAW_Data!AH437)</f>
        <v/>
      </c>
      <c r="D447" s="167" t="str">
        <f>IF(ISBLANK(DaqBook_RAW_Data!AI437),"",DaqBook_RAW_Data!AI437)</f>
        <v/>
      </c>
      <c r="E447" s="167" t="str">
        <f>IF(ISBLANK(DaqBook_RAW_Data!AJ437),"",DaqBook_RAW_Data!AJ437)</f>
        <v/>
      </c>
      <c r="F447" s="167" t="str">
        <f>IF(ISBLANK(DaqBook_RAW_Data!AK437),"",DaqBook_RAW_Data!AK437)</f>
        <v/>
      </c>
      <c r="G447" s="167" t="str">
        <f>IF(ISBLANK(DaqBook_RAW_Data!AL437),"",DaqBook_RAW_Data!AL437)</f>
        <v/>
      </c>
      <c r="H447" s="167" t="str">
        <f>IF(ISBLANK(DaqBook_RAW_Data!AM437),"",DaqBook_RAW_Data!AM437)</f>
        <v/>
      </c>
      <c r="I447" s="167" t="str">
        <f>IF(ISBLANK(DaqBook_RAW_Data!AN437),"",DaqBook_RAW_Data!AN437)</f>
        <v/>
      </c>
      <c r="J447" s="167" t="str">
        <f>IF(ISBLANK(DaqBook_RAW_Data!AO437),"",DaqBook_RAW_Data!AO437)</f>
        <v/>
      </c>
      <c r="K447" s="167" t="str">
        <f>IF(ISBLANK(DaqBook_RAW_Data!AP437),"",DaqBook_RAW_Data!AP437)</f>
        <v/>
      </c>
      <c r="L447" s="167" t="str">
        <f>IF(ISBLANK(DaqBook_RAW_Data!AQ437),"",DaqBook_RAW_Data!AQ437)</f>
        <v/>
      </c>
      <c r="M447" s="167" t="str">
        <f>IF(ISBLANK(DaqBook_RAW_Data!AR437),"",DaqBook_RAW_Data!AR437)</f>
        <v/>
      </c>
      <c r="N447" s="167" t="str">
        <f>IF(ISBLANK(DaqBook_RAW_Data!AS437),"",DaqBook_RAW_Data!AS437)</f>
        <v/>
      </c>
      <c r="O447" s="167"/>
      <c r="P447" s="167"/>
    </row>
    <row r="448" spans="1:16" x14ac:dyDescent="0.2">
      <c r="A448" s="58" t="e">
        <f t="shared" si="6"/>
        <v>#VALUE!</v>
      </c>
      <c r="B448" s="144" t="str">
        <f>IF(ISBLANK(DaqBook_RAW_Data!AG438),IF(DaqBook_RAW_Data!A438="","",TIMEVALUE(DaqBook_RAW_Data!A438)),TIMEVALUE(DaqBook_RAW_Data!AG438))</f>
        <v/>
      </c>
      <c r="C448" s="167" t="str">
        <f>IF(ISBLANK(DaqBook_RAW_Data!AH438),"",DaqBook_RAW_Data!AH438)</f>
        <v/>
      </c>
      <c r="D448" s="167" t="str">
        <f>IF(ISBLANK(DaqBook_RAW_Data!AI438),"",DaqBook_RAW_Data!AI438)</f>
        <v/>
      </c>
      <c r="E448" s="167" t="str">
        <f>IF(ISBLANK(DaqBook_RAW_Data!AJ438),"",DaqBook_RAW_Data!AJ438)</f>
        <v/>
      </c>
      <c r="F448" s="167" t="str">
        <f>IF(ISBLANK(DaqBook_RAW_Data!AK438),"",DaqBook_RAW_Data!AK438)</f>
        <v/>
      </c>
      <c r="G448" s="167" t="str">
        <f>IF(ISBLANK(DaqBook_RAW_Data!AL438),"",DaqBook_RAW_Data!AL438)</f>
        <v/>
      </c>
      <c r="H448" s="167" t="str">
        <f>IF(ISBLANK(DaqBook_RAW_Data!AM438),"",DaqBook_RAW_Data!AM438)</f>
        <v/>
      </c>
      <c r="I448" s="167" t="str">
        <f>IF(ISBLANK(DaqBook_RAW_Data!AN438),"",DaqBook_RAW_Data!AN438)</f>
        <v/>
      </c>
      <c r="J448" s="167" t="str">
        <f>IF(ISBLANK(DaqBook_RAW_Data!AO438),"",DaqBook_RAW_Data!AO438)</f>
        <v/>
      </c>
      <c r="K448" s="167" t="str">
        <f>IF(ISBLANK(DaqBook_RAW_Data!AP438),"",DaqBook_RAW_Data!AP438)</f>
        <v/>
      </c>
      <c r="L448" s="167" t="str">
        <f>IF(ISBLANK(DaqBook_RAW_Data!AQ438),"",DaqBook_RAW_Data!AQ438)</f>
        <v/>
      </c>
      <c r="M448" s="167" t="str">
        <f>IF(ISBLANK(DaqBook_RAW_Data!AR438),"",DaqBook_RAW_Data!AR438)</f>
        <v/>
      </c>
      <c r="N448" s="167" t="str">
        <f>IF(ISBLANK(DaqBook_RAW_Data!AS438),"",DaqBook_RAW_Data!AS438)</f>
        <v/>
      </c>
      <c r="O448" s="167"/>
      <c r="P448" s="167"/>
    </row>
    <row r="449" spans="1:16" x14ac:dyDescent="0.2">
      <c r="A449" s="58" t="e">
        <f t="shared" si="6"/>
        <v>#VALUE!</v>
      </c>
      <c r="B449" s="144" t="str">
        <f>IF(ISBLANK(DaqBook_RAW_Data!AG439),IF(DaqBook_RAW_Data!A439="","",TIMEVALUE(DaqBook_RAW_Data!A439)),TIMEVALUE(DaqBook_RAW_Data!AG439))</f>
        <v/>
      </c>
      <c r="C449" s="167" t="str">
        <f>IF(ISBLANK(DaqBook_RAW_Data!AH439),"",DaqBook_RAW_Data!AH439)</f>
        <v/>
      </c>
      <c r="D449" s="167" t="str">
        <f>IF(ISBLANK(DaqBook_RAW_Data!AI439),"",DaqBook_RAW_Data!AI439)</f>
        <v/>
      </c>
      <c r="E449" s="167" t="str">
        <f>IF(ISBLANK(DaqBook_RAW_Data!AJ439),"",DaqBook_RAW_Data!AJ439)</f>
        <v/>
      </c>
      <c r="F449" s="167" t="str">
        <f>IF(ISBLANK(DaqBook_RAW_Data!AK439),"",DaqBook_RAW_Data!AK439)</f>
        <v/>
      </c>
      <c r="G449" s="167" t="str">
        <f>IF(ISBLANK(DaqBook_RAW_Data!AL439),"",DaqBook_RAW_Data!AL439)</f>
        <v/>
      </c>
      <c r="H449" s="167" t="str">
        <f>IF(ISBLANK(DaqBook_RAW_Data!AM439),"",DaqBook_RAW_Data!AM439)</f>
        <v/>
      </c>
      <c r="I449" s="167" t="str">
        <f>IF(ISBLANK(DaqBook_RAW_Data!AN439),"",DaqBook_RAW_Data!AN439)</f>
        <v/>
      </c>
      <c r="J449" s="167" t="str">
        <f>IF(ISBLANK(DaqBook_RAW_Data!AO439),"",DaqBook_RAW_Data!AO439)</f>
        <v/>
      </c>
      <c r="K449" s="167" t="str">
        <f>IF(ISBLANK(DaqBook_RAW_Data!AP439),"",DaqBook_RAW_Data!AP439)</f>
        <v/>
      </c>
      <c r="L449" s="167" t="str">
        <f>IF(ISBLANK(DaqBook_RAW_Data!AQ439),"",DaqBook_RAW_Data!AQ439)</f>
        <v/>
      </c>
      <c r="M449" s="167" t="str">
        <f>IF(ISBLANK(DaqBook_RAW_Data!AR439),"",DaqBook_RAW_Data!AR439)</f>
        <v/>
      </c>
      <c r="N449" s="167" t="str">
        <f>IF(ISBLANK(DaqBook_RAW_Data!AS439),"",DaqBook_RAW_Data!AS439)</f>
        <v/>
      </c>
      <c r="O449" s="167"/>
      <c r="P449" s="167"/>
    </row>
    <row r="450" spans="1:16" x14ac:dyDescent="0.2">
      <c r="A450" s="58" t="e">
        <f t="shared" si="6"/>
        <v>#VALUE!</v>
      </c>
      <c r="B450" s="144" t="str">
        <f>IF(ISBLANK(DaqBook_RAW_Data!AG440),IF(DaqBook_RAW_Data!A440="","",TIMEVALUE(DaqBook_RAW_Data!A440)),TIMEVALUE(DaqBook_RAW_Data!AG440))</f>
        <v/>
      </c>
      <c r="C450" s="167" t="str">
        <f>IF(ISBLANK(DaqBook_RAW_Data!AH440),"",DaqBook_RAW_Data!AH440)</f>
        <v/>
      </c>
      <c r="D450" s="167" t="str">
        <f>IF(ISBLANK(DaqBook_RAW_Data!AI440),"",DaqBook_RAW_Data!AI440)</f>
        <v/>
      </c>
      <c r="E450" s="167" t="str">
        <f>IF(ISBLANK(DaqBook_RAW_Data!AJ440),"",DaqBook_RAW_Data!AJ440)</f>
        <v/>
      </c>
      <c r="F450" s="167" t="str">
        <f>IF(ISBLANK(DaqBook_RAW_Data!AK440),"",DaqBook_RAW_Data!AK440)</f>
        <v/>
      </c>
      <c r="G450" s="167" t="str">
        <f>IF(ISBLANK(DaqBook_RAW_Data!AL440),"",DaqBook_RAW_Data!AL440)</f>
        <v/>
      </c>
      <c r="H450" s="167" t="str">
        <f>IF(ISBLANK(DaqBook_RAW_Data!AM440),"",DaqBook_RAW_Data!AM440)</f>
        <v/>
      </c>
      <c r="I450" s="167" t="str">
        <f>IF(ISBLANK(DaqBook_RAW_Data!AN440),"",DaqBook_RAW_Data!AN440)</f>
        <v/>
      </c>
      <c r="J450" s="167" t="str">
        <f>IF(ISBLANK(DaqBook_RAW_Data!AO440),"",DaqBook_RAW_Data!AO440)</f>
        <v/>
      </c>
      <c r="K450" s="167" t="str">
        <f>IF(ISBLANK(DaqBook_RAW_Data!AP440),"",DaqBook_RAW_Data!AP440)</f>
        <v/>
      </c>
      <c r="L450" s="167" t="str">
        <f>IF(ISBLANK(DaqBook_RAW_Data!AQ440),"",DaqBook_RAW_Data!AQ440)</f>
        <v/>
      </c>
      <c r="M450" s="167" t="str">
        <f>IF(ISBLANK(DaqBook_RAW_Data!AR440),"",DaqBook_RAW_Data!AR440)</f>
        <v/>
      </c>
      <c r="N450" s="167" t="str">
        <f>IF(ISBLANK(DaqBook_RAW_Data!AS440),"",DaqBook_RAW_Data!AS440)</f>
        <v/>
      </c>
      <c r="O450" s="167"/>
      <c r="P450" s="167"/>
    </row>
    <row r="451" spans="1:16" x14ac:dyDescent="0.2">
      <c r="A451" s="58" t="e">
        <f t="shared" si="6"/>
        <v>#VALUE!</v>
      </c>
      <c r="B451" s="144" t="str">
        <f>IF(ISBLANK(DaqBook_RAW_Data!AG441),IF(DaqBook_RAW_Data!A441="","",TIMEVALUE(DaqBook_RAW_Data!A441)),TIMEVALUE(DaqBook_RAW_Data!AG441))</f>
        <v/>
      </c>
      <c r="C451" s="167" t="str">
        <f>IF(ISBLANK(DaqBook_RAW_Data!AH441),"",DaqBook_RAW_Data!AH441)</f>
        <v/>
      </c>
      <c r="D451" s="167" t="str">
        <f>IF(ISBLANK(DaqBook_RAW_Data!AI441),"",DaqBook_RAW_Data!AI441)</f>
        <v/>
      </c>
      <c r="E451" s="167" t="str">
        <f>IF(ISBLANK(DaqBook_RAW_Data!AJ441),"",DaqBook_RAW_Data!AJ441)</f>
        <v/>
      </c>
      <c r="F451" s="167" t="str">
        <f>IF(ISBLANK(DaqBook_RAW_Data!AK441),"",DaqBook_RAW_Data!AK441)</f>
        <v/>
      </c>
      <c r="G451" s="167" t="str">
        <f>IF(ISBLANK(DaqBook_RAW_Data!AL441),"",DaqBook_RAW_Data!AL441)</f>
        <v/>
      </c>
      <c r="H451" s="167" t="str">
        <f>IF(ISBLANK(DaqBook_RAW_Data!AM441),"",DaqBook_RAW_Data!AM441)</f>
        <v/>
      </c>
      <c r="I451" s="167" t="str">
        <f>IF(ISBLANK(DaqBook_RAW_Data!AN441),"",DaqBook_RAW_Data!AN441)</f>
        <v/>
      </c>
      <c r="J451" s="167" t="str">
        <f>IF(ISBLANK(DaqBook_RAW_Data!AO441),"",DaqBook_RAW_Data!AO441)</f>
        <v/>
      </c>
      <c r="K451" s="167" t="str">
        <f>IF(ISBLANK(DaqBook_RAW_Data!AP441),"",DaqBook_RAW_Data!AP441)</f>
        <v/>
      </c>
      <c r="L451" s="167" t="str">
        <f>IF(ISBLANK(DaqBook_RAW_Data!AQ441),"",DaqBook_RAW_Data!AQ441)</f>
        <v/>
      </c>
      <c r="M451" s="167" t="str">
        <f>IF(ISBLANK(DaqBook_RAW_Data!AR441),"",DaqBook_RAW_Data!AR441)</f>
        <v/>
      </c>
      <c r="N451" s="167" t="str">
        <f>IF(ISBLANK(DaqBook_RAW_Data!AS441),"",DaqBook_RAW_Data!AS441)</f>
        <v/>
      </c>
      <c r="O451" s="167"/>
      <c r="P451" s="167"/>
    </row>
    <row r="452" spans="1:16" x14ac:dyDescent="0.2">
      <c r="A452" s="58" t="e">
        <f t="shared" si="6"/>
        <v>#VALUE!</v>
      </c>
      <c r="B452" s="144" t="str">
        <f>IF(ISBLANK(DaqBook_RAW_Data!AG442),IF(DaqBook_RAW_Data!A442="","",TIMEVALUE(DaqBook_RAW_Data!A442)),TIMEVALUE(DaqBook_RAW_Data!AG442))</f>
        <v/>
      </c>
      <c r="C452" s="167" t="str">
        <f>IF(ISBLANK(DaqBook_RAW_Data!AH442),"",DaqBook_RAW_Data!AH442)</f>
        <v/>
      </c>
      <c r="D452" s="167" t="str">
        <f>IF(ISBLANK(DaqBook_RAW_Data!AI442),"",DaqBook_RAW_Data!AI442)</f>
        <v/>
      </c>
      <c r="E452" s="167" t="str">
        <f>IF(ISBLANK(DaqBook_RAW_Data!AJ442),"",DaqBook_RAW_Data!AJ442)</f>
        <v/>
      </c>
      <c r="F452" s="167" t="str">
        <f>IF(ISBLANK(DaqBook_RAW_Data!AK442),"",DaqBook_RAW_Data!AK442)</f>
        <v/>
      </c>
      <c r="G452" s="167" t="str">
        <f>IF(ISBLANK(DaqBook_RAW_Data!AL442),"",DaqBook_RAW_Data!AL442)</f>
        <v/>
      </c>
      <c r="H452" s="167" t="str">
        <f>IF(ISBLANK(DaqBook_RAW_Data!AM442),"",DaqBook_RAW_Data!AM442)</f>
        <v/>
      </c>
      <c r="I452" s="167" t="str">
        <f>IF(ISBLANK(DaqBook_RAW_Data!AN442),"",DaqBook_RAW_Data!AN442)</f>
        <v/>
      </c>
      <c r="J452" s="167" t="str">
        <f>IF(ISBLANK(DaqBook_RAW_Data!AO442),"",DaqBook_RAW_Data!AO442)</f>
        <v/>
      </c>
      <c r="K452" s="167" t="str">
        <f>IF(ISBLANK(DaqBook_RAW_Data!AP442),"",DaqBook_RAW_Data!AP442)</f>
        <v/>
      </c>
      <c r="L452" s="167" t="str">
        <f>IF(ISBLANK(DaqBook_RAW_Data!AQ442),"",DaqBook_RAW_Data!AQ442)</f>
        <v/>
      </c>
      <c r="M452" s="167" t="str">
        <f>IF(ISBLANK(DaqBook_RAW_Data!AR442),"",DaqBook_RAW_Data!AR442)</f>
        <v/>
      </c>
      <c r="N452" s="167" t="str">
        <f>IF(ISBLANK(DaqBook_RAW_Data!AS442),"",DaqBook_RAW_Data!AS442)</f>
        <v/>
      </c>
      <c r="O452" s="167"/>
      <c r="P452" s="167"/>
    </row>
    <row r="453" spans="1:16" x14ac:dyDescent="0.2">
      <c r="A453" s="58" t="e">
        <f t="shared" si="6"/>
        <v>#VALUE!</v>
      </c>
      <c r="B453" s="144" t="str">
        <f>IF(ISBLANK(DaqBook_RAW_Data!AG443),IF(DaqBook_RAW_Data!A443="","",TIMEVALUE(DaqBook_RAW_Data!A443)),TIMEVALUE(DaqBook_RAW_Data!AG443))</f>
        <v/>
      </c>
      <c r="C453" s="167" t="str">
        <f>IF(ISBLANK(DaqBook_RAW_Data!AH443),"",DaqBook_RAW_Data!AH443)</f>
        <v/>
      </c>
      <c r="D453" s="167" t="str">
        <f>IF(ISBLANK(DaqBook_RAW_Data!AI443),"",DaqBook_RAW_Data!AI443)</f>
        <v/>
      </c>
      <c r="E453" s="167" t="str">
        <f>IF(ISBLANK(DaqBook_RAW_Data!AJ443),"",DaqBook_RAW_Data!AJ443)</f>
        <v/>
      </c>
      <c r="F453" s="167" t="str">
        <f>IF(ISBLANK(DaqBook_RAW_Data!AK443),"",DaqBook_RAW_Data!AK443)</f>
        <v/>
      </c>
      <c r="G453" s="167" t="str">
        <f>IF(ISBLANK(DaqBook_RAW_Data!AL443),"",DaqBook_RAW_Data!AL443)</f>
        <v/>
      </c>
      <c r="H453" s="167" t="str">
        <f>IF(ISBLANK(DaqBook_RAW_Data!AM443),"",DaqBook_RAW_Data!AM443)</f>
        <v/>
      </c>
      <c r="I453" s="167" t="str">
        <f>IF(ISBLANK(DaqBook_RAW_Data!AN443),"",DaqBook_RAW_Data!AN443)</f>
        <v/>
      </c>
      <c r="J453" s="167" t="str">
        <f>IF(ISBLANK(DaqBook_RAW_Data!AO443),"",DaqBook_RAW_Data!AO443)</f>
        <v/>
      </c>
      <c r="K453" s="167" t="str">
        <f>IF(ISBLANK(DaqBook_RAW_Data!AP443),"",DaqBook_RAW_Data!AP443)</f>
        <v/>
      </c>
      <c r="L453" s="167" t="str">
        <f>IF(ISBLANK(DaqBook_RAW_Data!AQ443),"",DaqBook_RAW_Data!AQ443)</f>
        <v/>
      </c>
      <c r="M453" s="167" t="str">
        <f>IF(ISBLANK(DaqBook_RAW_Data!AR443),"",DaqBook_RAW_Data!AR443)</f>
        <v/>
      </c>
      <c r="N453" s="167" t="str">
        <f>IF(ISBLANK(DaqBook_RAW_Data!AS443),"",DaqBook_RAW_Data!AS443)</f>
        <v/>
      </c>
      <c r="O453" s="167"/>
      <c r="P453" s="167"/>
    </row>
    <row r="454" spans="1:16" x14ac:dyDescent="0.2">
      <c r="A454" s="58" t="e">
        <f t="shared" si="6"/>
        <v>#VALUE!</v>
      </c>
      <c r="B454" s="144" t="str">
        <f>IF(ISBLANK(DaqBook_RAW_Data!AG444),IF(DaqBook_RAW_Data!A444="","",TIMEVALUE(DaqBook_RAW_Data!A444)),TIMEVALUE(DaqBook_RAW_Data!AG444))</f>
        <v/>
      </c>
      <c r="C454" s="167" t="str">
        <f>IF(ISBLANK(DaqBook_RAW_Data!AH444),"",DaqBook_RAW_Data!AH444)</f>
        <v/>
      </c>
      <c r="D454" s="167" t="str">
        <f>IF(ISBLANK(DaqBook_RAW_Data!AI444),"",DaqBook_RAW_Data!AI444)</f>
        <v/>
      </c>
      <c r="E454" s="167" t="str">
        <f>IF(ISBLANK(DaqBook_RAW_Data!AJ444),"",DaqBook_RAW_Data!AJ444)</f>
        <v/>
      </c>
      <c r="F454" s="167" t="str">
        <f>IF(ISBLANK(DaqBook_RAW_Data!AK444),"",DaqBook_RAW_Data!AK444)</f>
        <v/>
      </c>
      <c r="G454" s="167" t="str">
        <f>IF(ISBLANK(DaqBook_RAW_Data!AL444),"",DaqBook_RAW_Data!AL444)</f>
        <v/>
      </c>
      <c r="H454" s="167" t="str">
        <f>IF(ISBLANK(DaqBook_RAW_Data!AM444),"",DaqBook_RAW_Data!AM444)</f>
        <v/>
      </c>
      <c r="I454" s="167" t="str">
        <f>IF(ISBLANK(DaqBook_RAW_Data!AN444),"",DaqBook_RAW_Data!AN444)</f>
        <v/>
      </c>
      <c r="J454" s="167" t="str">
        <f>IF(ISBLANK(DaqBook_RAW_Data!AO444),"",DaqBook_RAW_Data!AO444)</f>
        <v/>
      </c>
      <c r="K454" s="167" t="str">
        <f>IF(ISBLANK(DaqBook_RAW_Data!AP444),"",DaqBook_RAW_Data!AP444)</f>
        <v/>
      </c>
      <c r="L454" s="167" t="str">
        <f>IF(ISBLANK(DaqBook_RAW_Data!AQ444),"",DaqBook_RAW_Data!AQ444)</f>
        <v/>
      </c>
      <c r="M454" s="167" t="str">
        <f>IF(ISBLANK(DaqBook_RAW_Data!AR444),"",DaqBook_RAW_Data!AR444)</f>
        <v/>
      </c>
      <c r="N454" s="167" t="str">
        <f>IF(ISBLANK(DaqBook_RAW_Data!AS444),"",DaqBook_RAW_Data!AS444)</f>
        <v/>
      </c>
      <c r="O454" s="167"/>
      <c r="P454" s="167"/>
    </row>
    <row r="455" spans="1:16" x14ac:dyDescent="0.2">
      <c r="A455" s="58" t="e">
        <f t="shared" si="6"/>
        <v>#VALUE!</v>
      </c>
      <c r="B455" s="144" t="str">
        <f>IF(ISBLANK(DaqBook_RAW_Data!AG445),IF(DaqBook_RAW_Data!A445="","",TIMEVALUE(DaqBook_RAW_Data!A445)),TIMEVALUE(DaqBook_RAW_Data!AG445))</f>
        <v/>
      </c>
      <c r="C455" s="167" t="str">
        <f>IF(ISBLANK(DaqBook_RAW_Data!AH445),"",DaqBook_RAW_Data!AH445)</f>
        <v/>
      </c>
      <c r="D455" s="167" t="str">
        <f>IF(ISBLANK(DaqBook_RAW_Data!AI445),"",DaqBook_RAW_Data!AI445)</f>
        <v/>
      </c>
      <c r="E455" s="167" t="str">
        <f>IF(ISBLANK(DaqBook_RAW_Data!AJ445),"",DaqBook_RAW_Data!AJ445)</f>
        <v/>
      </c>
      <c r="F455" s="167" t="str">
        <f>IF(ISBLANK(DaqBook_RAW_Data!AK445),"",DaqBook_RAW_Data!AK445)</f>
        <v/>
      </c>
      <c r="G455" s="167" t="str">
        <f>IF(ISBLANK(DaqBook_RAW_Data!AL445),"",DaqBook_RAW_Data!AL445)</f>
        <v/>
      </c>
      <c r="H455" s="167" t="str">
        <f>IF(ISBLANK(DaqBook_RAW_Data!AM445),"",DaqBook_RAW_Data!AM445)</f>
        <v/>
      </c>
      <c r="I455" s="167" t="str">
        <f>IF(ISBLANK(DaqBook_RAW_Data!AN445),"",DaqBook_RAW_Data!AN445)</f>
        <v/>
      </c>
      <c r="J455" s="167" t="str">
        <f>IF(ISBLANK(DaqBook_RAW_Data!AO445),"",DaqBook_RAW_Data!AO445)</f>
        <v/>
      </c>
      <c r="K455" s="167" t="str">
        <f>IF(ISBLANK(DaqBook_RAW_Data!AP445),"",DaqBook_RAW_Data!AP445)</f>
        <v/>
      </c>
      <c r="L455" s="167" t="str">
        <f>IF(ISBLANK(DaqBook_RAW_Data!AQ445),"",DaqBook_RAW_Data!AQ445)</f>
        <v/>
      </c>
      <c r="M455" s="167" t="str">
        <f>IF(ISBLANK(DaqBook_RAW_Data!AR445),"",DaqBook_RAW_Data!AR445)</f>
        <v/>
      </c>
      <c r="N455" s="167" t="str">
        <f>IF(ISBLANK(DaqBook_RAW_Data!AS445),"",DaqBook_RAW_Data!AS445)</f>
        <v/>
      </c>
      <c r="O455" s="167"/>
      <c r="P455" s="167"/>
    </row>
    <row r="456" spans="1:16" x14ac:dyDescent="0.2">
      <c r="A456" s="58" t="e">
        <f t="shared" si="6"/>
        <v>#VALUE!</v>
      </c>
      <c r="B456" s="144" t="str">
        <f>IF(ISBLANK(DaqBook_RAW_Data!AG446),IF(DaqBook_RAW_Data!A446="","",TIMEVALUE(DaqBook_RAW_Data!A446)),TIMEVALUE(DaqBook_RAW_Data!AG446))</f>
        <v/>
      </c>
      <c r="C456" s="167" t="str">
        <f>IF(ISBLANK(DaqBook_RAW_Data!AH446),"",DaqBook_RAW_Data!AH446)</f>
        <v/>
      </c>
      <c r="D456" s="167" t="str">
        <f>IF(ISBLANK(DaqBook_RAW_Data!AI446),"",DaqBook_RAW_Data!AI446)</f>
        <v/>
      </c>
      <c r="E456" s="167" t="str">
        <f>IF(ISBLANK(DaqBook_RAW_Data!AJ446),"",DaqBook_RAW_Data!AJ446)</f>
        <v/>
      </c>
      <c r="F456" s="167" t="str">
        <f>IF(ISBLANK(DaqBook_RAW_Data!AK446),"",DaqBook_RAW_Data!AK446)</f>
        <v/>
      </c>
      <c r="G456" s="167" t="str">
        <f>IF(ISBLANK(DaqBook_RAW_Data!AL446),"",DaqBook_RAW_Data!AL446)</f>
        <v/>
      </c>
      <c r="H456" s="167" t="str">
        <f>IF(ISBLANK(DaqBook_RAW_Data!AM446),"",DaqBook_RAW_Data!AM446)</f>
        <v/>
      </c>
      <c r="I456" s="167" t="str">
        <f>IF(ISBLANK(DaqBook_RAW_Data!AN446),"",DaqBook_RAW_Data!AN446)</f>
        <v/>
      </c>
      <c r="J456" s="167" t="str">
        <f>IF(ISBLANK(DaqBook_RAW_Data!AO446),"",DaqBook_RAW_Data!AO446)</f>
        <v/>
      </c>
      <c r="K456" s="167" t="str">
        <f>IF(ISBLANK(DaqBook_RAW_Data!AP446),"",DaqBook_RAW_Data!AP446)</f>
        <v/>
      </c>
      <c r="L456" s="167" t="str">
        <f>IF(ISBLANK(DaqBook_RAW_Data!AQ446),"",DaqBook_RAW_Data!AQ446)</f>
        <v/>
      </c>
      <c r="M456" s="167" t="str">
        <f>IF(ISBLANK(DaqBook_RAW_Data!AR446),"",DaqBook_RAW_Data!AR446)</f>
        <v/>
      </c>
      <c r="N456" s="167" t="str">
        <f>IF(ISBLANK(DaqBook_RAW_Data!AS446),"",DaqBook_RAW_Data!AS446)</f>
        <v/>
      </c>
      <c r="O456" s="167"/>
      <c r="P456" s="167"/>
    </row>
    <row r="457" spans="1:16" x14ac:dyDescent="0.2">
      <c r="A457" s="58" t="e">
        <f t="shared" si="6"/>
        <v>#VALUE!</v>
      </c>
      <c r="B457" s="144" t="str">
        <f>IF(ISBLANK(DaqBook_RAW_Data!AG447),IF(DaqBook_RAW_Data!A447="","",TIMEVALUE(DaqBook_RAW_Data!A447)),TIMEVALUE(DaqBook_RAW_Data!AG447))</f>
        <v/>
      </c>
      <c r="C457" s="167" t="str">
        <f>IF(ISBLANK(DaqBook_RAW_Data!AH447),"",DaqBook_RAW_Data!AH447)</f>
        <v/>
      </c>
      <c r="D457" s="167" t="str">
        <f>IF(ISBLANK(DaqBook_RAW_Data!AI447),"",DaqBook_RAW_Data!AI447)</f>
        <v/>
      </c>
      <c r="E457" s="167" t="str">
        <f>IF(ISBLANK(DaqBook_RAW_Data!AJ447),"",DaqBook_RAW_Data!AJ447)</f>
        <v/>
      </c>
      <c r="F457" s="167" t="str">
        <f>IF(ISBLANK(DaqBook_RAW_Data!AK447),"",DaqBook_RAW_Data!AK447)</f>
        <v/>
      </c>
      <c r="G457" s="167" t="str">
        <f>IF(ISBLANK(DaqBook_RAW_Data!AL447),"",DaqBook_RAW_Data!AL447)</f>
        <v/>
      </c>
      <c r="H457" s="167" t="str">
        <f>IF(ISBLANK(DaqBook_RAW_Data!AM447),"",DaqBook_RAW_Data!AM447)</f>
        <v/>
      </c>
      <c r="I457" s="167" t="str">
        <f>IF(ISBLANK(DaqBook_RAW_Data!AN447),"",DaqBook_RAW_Data!AN447)</f>
        <v/>
      </c>
      <c r="J457" s="167" t="str">
        <f>IF(ISBLANK(DaqBook_RAW_Data!AO447),"",DaqBook_RAW_Data!AO447)</f>
        <v/>
      </c>
      <c r="K457" s="167" t="str">
        <f>IF(ISBLANK(DaqBook_RAW_Data!AP447),"",DaqBook_RAW_Data!AP447)</f>
        <v/>
      </c>
      <c r="L457" s="167" t="str">
        <f>IF(ISBLANK(DaqBook_RAW_Data!AQ447),"",DaqBook_RAW_Data!AQ447)</f>
        <v/>
      </c>
      <c r="M457" s="167" t="str">
        <f>IF(ISBLANK(DaqBook_RAW_Data!AR447),"",DaqBook_RAW_Data!AR447)</f>
        <v/>
      </c>
      <c r="N457" s="167" t="str">
        <f>IF(ISBLANK(DaqBook_RAW_Data!AS447),"",DaqBook_RAW_Data!AS447)</f>
        <v/>
      </c>
      <c r="O457" s="167"/>
      <c r="P457" s="167"/>
    </row>
    <row r="458" spans="1:16" x14ac:dyDescent="0.2">
      <c r="A458" s="58" t="e">
        <f t="shared" si="6"/>
        <v>#VALUE!</v>
      </c>
      <c r="B458" s="144" t="str">
        <f>IF(ISBLANK(DaqBook_RAW_Data!AG448),IF(DaqBook_RAW_Data!A448="","",TIMEVALUE(DaqBook_RAW_Data!A448)),TIMEVALUE(DaqBook_RAW_Data!AG448))</f>
        <v/>
      </c>
      <c r="C458" s="167" t="str">
        <f>IF(ISBLANK(DaqBook_RAW_Data!AH448),"",DaqBook_RAW_Data!AH448)</f>
        <v/>
      </c>
      <c r="D458" s="167" t="str">
        <f>IF(ISBLANK(DaqBook_RAW_Data!AI448),"",DaqBook_RAW_Data!AI448)</f>
        <v/>
      </c>
      <c r="E458" s="167" t="str">
        <f>IF(ISBLANK(DaqBook_RAW_Data!AJ448),"",DaqBook_RAW_Data!AJ448)</f>
        <v/>
      </c>
      <c r="F458" s="167" t="str">
        <f>IF(ISBLANK(DaqBook_RAW_Data!AK448),"",DaqBook_RAW_Data!AK448)</f>
        <v/>
      </c>
      <c r="G458" s="167" t="str">
        <f>IF(ISBLANK(DaqBook_RAW_Data!AL448),"",DaqBook_RAW_Data!AL448)</f>
        <v/>
      </c>
      <c r="H458" s="167" t="str">
        <f>IF(ISBLANK(DaqBook_RAW_Data!AM448),"",DaqBook_RAW_Data!AM448)</f>
        <v/>
      </c>
      <c r="I458" s="167" t="str">
        <f>IF(ISBLANK(DaqBook_RAW_Data!AN448),"",DaqBook_RAW_Data!AN448)</f>
        <v/>
      </c>
      <c r="J458" s="167" t="str">
        <f>IF(ISBLANK(DaqBook_RAW_Data!AO448),"",DaqBook_RAW_Data!AO448)</f>
        <v/>
      </c>
      <c r="K458" s="167" t="str">
        <f>IF(ISBLANK(DaqBook_RAW_Data!AP448),"",DaqBook_RAW_Data!AP448)</f>
        <v/>
      </c>
      <c r="L458" s="167" t="str">
        <f>IF(ISBLANK(DaqBook_RAW_Data!AQ448),"",DaqBook_RAW_Data!AQ448)</f>
        <v/>
      </c>
      <c r="M458" s="167" t="str">
        <f>IF(ISBLANK(DaqBook_RAW_Data!AR448),"",DaqBook_RAW_Data!AR448)</f>
        <v/>
      </c>
      <c r="N458" s="167" t="str">
        <f>IF(ISBLANK(DaqBook_RAW_Data!AS448),"",DaqBook_RAW_Data!AS448)</f>
        <v/>
      </c>
      <c r="O458" s="167"/>
      <c r="P458" s="167"/>
    </row>
    <row r="459" spans="1:16" x14ac:dyDescent="0.2">
      <c r="A459" s="58" t="e">
        <f t="shared" si="6"/>
        <v>#VALUE!</v>
      </c>
      <c r="B459" s="144" t="str">
        <f>IF(ISBLANK(DaqBook_RAW_Data!AG449),IF(DaqBook_RAW_Data!A449="","",TIMEVALUE(DaqBook_RAW_Data!A449)),TIMEVALUE(DaqBook_RAW_Data!AG449))</f>
        <v/>
      </c>
      <c r="C459" s="167" t="str">
        <f>IF(ISBLANK(DaqBook_RAW_Data!AH449),"",DaqBook_RAW_Data!AH449)</f>
        <v/>
      </c>
      <c r="D459" s="167" t="str">
        <f>IF(ISBLANK(DaqBook_RAW_Data!AI449),"",DaqBook_RAW_Data!AI449)</f>
        <v/>
      </c>
      <c r="E459" s="167" t="str">
        <f>IF(ISBLANK(DaqBook_RAW_Data!AJ449),"",DaqBook_RAW_Data!AJ449)</f>
        <v/>
      </c>
      <c r="F459" s="167" t="str">
        <f>IF(ISBLANK(DaqBook_RAW_Data!AK449),"",DaqBook_RAW_Data!AK449)</f>
        <v/>
      </c>
      <c r="G459" s="167" t="str">
        <f>IF(ISBLANK(DaqBook_RAW_Data!AL449),"",DaqBook_RAW_Data!AL449)</f>
        <v/>
      </c>
      <c r="H459" s="167" t="str">
        <f>IF(ISBLANK(DaqBook_RAW_Data!AM449),"",DaqBook_RAW_Data!AM449)</f>
        <v/>
      </c>
      <c r="I459" s="167" t="str">
        <f>IF(ISBLANK(DaqBook_RAW_Data!AN449),"",DaqBook_RAW_Data!AN449)</f>
        <v/>
      </c>
      <c r="J459" s="167" t="str">
        <f>IF(ISBLANK(DaqBook_RAW_Data!AO449),"",DaqBook_RAW_Data!AO449)</f>
        <v/>
      </c>
      <c r="K459" s="167" t="str">
        <f>IF(ISBLANK(DaqBook_RAW_Data!AP449),"",DaqBook_RAW_Data!AP449)</f>
        <v/>
      </c>
      <c r="L459" s="167" t="str">
        <f>IF(ISBLANK(DaqBook_RAW_Data!AQ449),"",DaqBook_RAW_Data!AQ449)</f>
        <v/>
      </c>
      <c r="M459" s="167" t="str">
        <f>IF(ISBLANK(DaqBook_RAW_Data!AR449),"",DaqBook_RAW_Data!AR449)</f>
        <v/>
      </c>
      <c r="N459" s="167" t="str">
        <f>IF(ISBLANK(DaqBook_RAW_Data!AS449),"",DaqBook_RAW_Data!AS449)</f>
        <v/>
      </c>
      <c r="O459" s="167"/>
      <c r="P459" s="167"/>
    </row>
    <row r="460" spans="1:16" x14ac:dyDescent="0.2">
      <c r="A460" s="58" t="e">
        <f t="shared" si="6"/>
        <v>#VALUE!</v>
      </c>
      <c r="B460" s="144" t="str">
        <f>IF(ISBLANK(DaqBook_RAW_Data!AG450),IF(DaqBook_RAW_Data!A450="","",TIMEVALUE(DaqBook_RAW_Data!A450)),TIMEVALUE(DaqBook_RAW_Data!AG450))</f>
        <v/>
      </c>
      <c r="C460" s="167" t="str">
        <f>IF(ISBLANK(DaqBook_RAW_Data!AH450),"",DaqBook_RAW_Data!AH450)</f>
        <v/>
      </c>
      <c r="D460" s="167" t="str">
        <f>IF(ISBLANK(DaqBook_RAW_Data!AI450),"",DaqBook_RAW_Data!AI450)</f>
        <v/>
      </c>
      <c r="E460" s="167" t="str">
        <f>IF(ISBLANK(DaqBook_RAW_Data!AJ450),"",DaqBook_RAW_Data!AJ450)</f>
        <v/>
      </c>
      <c r="F460" s="167" t="str">
        <f>IF(ISBLANK(DaqBook_RAW_Data!AK450),"",DaqBook_RAW_Data!AK450)</f>
        <v/>
      </c>
      <c r="G460" s="167" t="str">
        <f>IF(ISBLANK(DaqBook_RAW_Data!AL450),"",DaqBook_RAW_Data!AL450)</f>
        <v/>
      </c>
      <c r="H460" s="167" t="str">
        <f>IF(ISBLANK(DaqBook_RAW_Data!AM450),"",DaqBook_RAW_Data!AM450)</f>
        <v/>
      </c>
      <c r="I460" s="167" t="str">
        <f>IF(ISBLANK(DaqBook_RAW_Data!AN450),"",DaqBook_RAW_Data!AN450)</f>
        <v/>
      </c>
      <c r="J460" s="167" t="str">
        <f>IF(ISBLANK(DaqBook_RAW_Data!AO450),"",DaqBook_RAW_Data!AO450)</f>
        <v/>
      </c>
      <c r="K460" s="167" t="str">
        <f>IF(ISBLANK(DaqBook_RAW_Data!AP450),"",DaqBook_RAW_Data!AP450)</f>
        <v/>
      </c>
      <c r="L460" s="167" t="str">
        <f>IF(ISBLANK(DaqBook_RAW_Data!AQ450),"",DaqBook_RAW_Data!AQ450)</f>
        <v/>
      </c>
      <c r="M460" s="167" t="str">
        <f>IF(ISBLANK(DaqBook_RAW_Data!AR450),"",DaqBook_RAW_Data!AR450)</f>
        <v/>
      </c>
      <c r="N460" s="167" t="str">
        <f>IF(ISBLANK(DaqBook_RAW_Data!AS450),"",DaqBook_RAW_Data!AS450)</f>
        <v/>
      </c>
      <c r="O460" s="167"/>
      <c r="P460" s="167"/>
    </row>
    <row r="461" spans="1:16" x14ac:dyDescent="0.2">
      <c r="A461" s="58" t="e">
        <f t="shared" si="6"/>
        <v>#VALUE!</v>
      </c>
      <c r="B461" s="144" t="str">
        <f>IF(ISBLANK(DaqBook_RAW_Data!AG451),IF(DaqBook_RAW_Data!A451="","",TIMEVALUE(DaqBook_RAW_Data!A451)),TIMEVALUE(DaqBook_RAW_Data!AG451))</f>
        <v/>
      </c>
      <c r="C461" s="167" t="str">
        <f>IF(ISBLANK(DaqBook_RAW_Data!AH451),"",DaqBook_RAW_Data!AH451)</f>
        <v/>
      </c>
      <c r="D461" s="167" t="str">
        <f>IF(ISBLANK(DaqBook_RAW_Data!AI451),"",DaqBook_RAW_Data!AI451)</f>
        <v/>
      </c>
      <c r="E461" s="167" t="str">
        <f>IF(ISBLANK(DaqBook_RAW_Data!AJ451),"",DaqBook_RAW_Data!AJ451)</f>
        <v/>
      </c>
      <c r="F461" s="167" t="str">
        <f>IF(ISBLANK(DaqBook_RAW_Data!AK451),"",DaqBook_RAW_Data!AK451)</f>
        <v/>
      </c>
      <c r="G461" s="167" t="str">
        <f>IF(ISBLANK(DaqBook_RAW_Data!AL451),"",DaqBook_RAW_Data!AL451)</f>
        <v/>
      </c>
      <c r="H461" s="167" t="str">
        <f>IF(ISBLANK(DaqBook_RAW_Data!AM451),"",DaqBook_RAW_Data!AM451)</f>
        <v/>
      </c>
      <c r="I461" s="167" t="str">
        <f>IF(ISBLANK(DaqBook_RAW_Data!AN451),"",DaqBook_RAW_Data!AN451)</f>
        <v/>
      </c>
      <c r="J461" s="167" t="str">
        <f>IF(ISBLANK(DaqBook_RAW_Data!AO451),"",DaqBook_RAW_Data!AO451)</f>
        <v/>
      </c>
      <c r="K461" s="167" t="str">
        <f>IF(ISBLANK(DaqBook_RAW_Data!AP451),"",DaqBook_RAW_Data!AP451)</f>
        <v/>
      </c>
      <c r="L461" s="167" t="str">
        <f>IF(ISBLANK(DaqBook_RAW_Data!AQ451),"",DaqBook_RAW_Data!AQ451)</f>
        <v/>
      </c>
      <c r="M461" s="167" t="str">
        <f>IF(ISBLANK(DaqBook_RAW_Data!AR451),"",DaqBook_RAW_Data!AR451)</f>
        <v/>
      </c>
      <c r="N461" s="167" t="str">
        <f>IF(ISBLANK(DaqBook_RAW_Data!AS451),"",DaqBook_RAW_Data!AS451)</f>
        <v/>
      </c>
      <c r="O461" s="167"/>
      <c r="P461" s="167"/>
    </row>
    <row r="462" spans="1:16" x14ac:dyDescent="0.2">
      <c r="A462" s="58" t="e">
        <f t="shared" si="6"/>
        <v>#VALUE!</v>
      </c>
      <c r="B462" s="144" t="str">
        <f>IF(ISBLANK(DaqBook_RAW_Data!AG452),IF(DaqBook_RAW_Data!A452="","",TIMEVALUE(DaqBook_RAW_Data!A452)),TIMEVALUE(DaqBook_RAW_Data!AG452))</f>
        <v/>
      </c>
      <c r="C462" s="167" t="str">
        <f>IF(ISBLANK(DaqBook_RAW_Data!AH452),"",DaqBook_RAW_Data!AH452)</f>
        <v/>
      </c>
      <c r="D462" s="167" t="str">
        <f>IF(ISBLANK(DaqBook_RAW_Data!AI452),"",DaqBook_RAW_Data!AI452)</f>
        <v/>
      </c>
      <c r="E462" s="167" t="str">
        <f>IF(ISBLANK(DaqBook_RAW_Data!AJ452),"",DaqBook_RAW_Data!AJ452)</f>
        <v/>
      </c>
      <c r="F462" s="167" t="str">
        <f>IF(ISBLANK(DaqBook_RAW_Data!AK452),"",DaqBook_RAW_Data!AK452)</f>
        <v/>
      </c>
      <c r="G462" s="167" t="str">
        <f>IF(ISBLANK(DaqBook_RAW_Data!AL452),"",DaqBook_RAW_Data!AL452)</f>
        <v/>
      </c>
      <c r="H462" s="167" t="str">
        <f>IF(ISBLANK(DaqBook_RAW_Data!AM452),"",DaqBook_RAW_Data!AM452)</f>
        <v/>
      </c>
      <c r="I462" s="167" t="str">
        <f>IF(ISBLANK(DaqBook_RAW_Data!AN452),"",DaqBook_RAW_Data!AN452)</f>
        <v/>
      </c>
      <c r="J462" s="167" t="str">
        <f>IF(ISBLANK(DaqBook_RAW_Data!AO452),"",DaqBook_RAW_Data!AO452)</f>
        <v/>
      </c>
      <c r="K462" s="167" t="str">
        <f>IF(ISBLANK(DaqBook_RAW_Data!AP452),"",DaqBook_RAW_Data!AP452)</f>
        <v/>
      </c>
      <c r="L462" s="167" t="str">
        <f>IF(ISBLANK(DaqBook_RAW_Data!AQ452),"",DaqBook_RAW_Data!AQ452)</f>
        <v/>
      </c>
      <c r="M462" s="167" t="str">
        <f>IF(ISBLANK(DaqBook_RAW_Data!AR452),"",DaqBook_RAW_Data!AR452)</f>
        <v/>
      </c>
      <c r="N462" s="167" t="str">
        <f>IF(ISBLANK(DaqBook_RAW_Data!AS452),"",DaqBook_RAW_Data!AS452)</f>
        <v/>
      </c>
      <c r="O462" s="167"/>
      <c r="P462" s="167"/>
    </row>
    <row r="463" spans="1:16" x14ac:dyDescent="0.2">
      <c r="A463" s="58" t="e">
        <f t="shared" ref="A463:A526" si="7">HOUR(B463)&amp;":"&amp;MINUTE(B463)</f>
        <v>#VALUE!</v>
      </c>
      <c r="B463" s="144" t="str">
        <f>IF(ISBLANK(DaqBook_RAW_Data!AG453),IF(DaqBook_RAW_Data!A453="","",TIMEVALUE(DaqBook_RAW_Data!A453)),TIMEVALUE(DaqBook_RAW_Data!AG453))</f>
        <v/>
      </c>
      <c r="C463" s="167" t="str">
        <f>IF(ISBLANK(DaqBook_RAW_Data!AH453),"",DaqBook_RAW_Data!AH453)</f>
        <v/>
      </c>
      <c r="D463" s="167" t="str">
        <f>IF(ISBLANK(DaqBook_RAW_Data!AI453),"",DaqBook_RAW_Data!AI453)</f>
        <v/>
      </c>
      <c r="E463" s="167" t="str">
        <f>IF(ISBLANK(DaqBook_RAW_Data!AJ453),"",DaqBook_RAW_Data!AJ453)</f>
        <v/>
      </c>
      <c r="F463" s="167" t="str">
        <f>IF(ISBLANK(DaqBook_RAW_Data!AK453),"",DaqBook_RAW_Data!AK453)</f>
        <v/>
      </c>
      <c r="G463" s="167" t="str">
        <f>IF(ISBLANK(DaqBook_RAW_Data!AL453),"",DaqBook_RAW_Data!AL453)</f>
        <v/>
      </c>
      <c r="H463" s="167" t="str">
        <f>IF(ISBLANK(DaqBook_RAW_Data!AM453),"",DaqBook_RAW_Data!AM453)</f>
        <v/>
      </c>
      <c r="I463" s="167" t="str">
        <f>IF(ISBLANK(DaqBook_RAW_Data!AN453),"",DaqBook_RAW_Data!AN453)</f>
        <v/>
      </c>
      <c r="J463" s="167" t="str">
        <f>IF(ISBLANK(DaqBook_RAW_Data!AO453),"",DaqBook_RAW_Data!AO453)</f>
        <v/>
      </c>
      <c r="K463" s="167" t="str">
        <f>IF(ISBLANK(DaqBook_RAW_Data!AP453),"",DaqBook_RAW_Data!AP453)</f>
        <v/>
      </c>
      <c r="L463" s="167" t="str">
        <f>IF(ISBLANK(DaqBook_RAW_Data!AQ453),"",DaqBook_RAW_Data!AQ453)</f>
        <v/>
      </c>
      <c r="M463" s="167" t="str">
        <f>IF(ISBLANK(DaqBook_RAW_Data!AR453),"",DaqBook_RAW_Data!AR453)</f>
        <v/>
      </c>
      <c r="N463" s="167" t="str">
        <f>IF(ISBLANK(DaqBook_RAW_Data!AS453),"",DaqBook_RAW_Data!AS453)</f>
        <v/>
      </c>
      <c r="O463" s="167"/>
      <c r="P463" s="167"/>
    </row>
    <row r="464" spans="1:16" x14ac:dyDescent="0.2">
      <c r="A464" s="58" t="e">
        <f t="shared" si="7"/>
        <v>#VALUE!</v>
      </c>
      <c r="B464" s="144" t="str">
        <f>IF(ISBLANK(DaqBook_RAW_Data!AG454),IF(DaqBook_RAW_Data!A454="","",TIMEVALUE(DaqBook_RAW_Data!A454)),TIMEVALUE(DaqBook_RAW_Data!AG454))</f>
        <v/>
      </c>
      <c r="C464" s="167" t="str">
        <f>IF(ISBLANK(DaqBook_RAW_Data!AH454),"",DaqBook_RAW_Data!AH454)</f>
        <v/>
      </c>
      <c r="D464" s="167" t="str">
        <f>IF(ISBLANK(DaqBook_RAW_Data!AI454),"",DaqBook_RAW_Data!AI454)</f>
        <v/>
      </c>
      <c r="E464" s="167" t="str">
        <f>IF(ISBLANK(DaqBook_RAW_Data!AJ454),"",DaqBook_RAW_Data!AJ454)</f>
        <v/>
      </c>
      <c r="F464" s="167" t="str">
        <f>IF(ISBLANK(DaqBook_RAW_Data!AK454),"",DaqBook_RAW_Data!AK454)</f>
        <v/>
      </c>
      <c r="G464" s="167" t="str">
        <f>IF(ISBLANK(DaqBook_RAW_Data!AL454),"",DaqBook_RAW_Data!AL454)</f>
        <v/>
      </c>
      <c r="H464" s="167" t="str">
        <f>IF(ISBLANK(DaqBook_RAW_Data!AM454),"",DaqBook_RAW_Data!AM454)</f>
        <v/>
      </c>
      <c r="I464" s="167" t="str">
        <f>IF(ISBLANK(DaqBook_RAW_Data!AN454),"",DaqBook_RAW_Data!AN454)</f>
        <v/>
      </c>
      <c r="J464" s="167" t="str">
        <f>IF(ISBLANK(DaqBook_RAW_Data!AO454),"",DaqBook_RAW_Data!AO454)</f>
        <v/>
      </c>
      <c r="K464" s="167" t="str">
        <f>IF(ISBLANK(DaqBook_RAW_Data!AP454),"",DaqBook_RAW_Data!AP454)</f>
        <v/>
      </c>
      <c r="L464" s="167" t="str">
        <f>IF(ISBLANK(DaqBook_RAW_Data!AQ454),"",DaqBook_RAW_Data!AQ454)</f>
        <v/>
      </c>
      <c r="M464" s="167" t="str">
        <f>IF(ISBLANK(DaqBook_RAW_Data!AR454),"",DaqBook_RAW_Data!AR454)</f>
        <v/>
      </c>
      <c r="N464" s="167" t="str">
        <f>IF(ISBLANK(DaqBook_RAW_Data!AS454),"",DaqBook_RAW_Data!AS454)</f>
        <v/>
      </c>
      <c r="O464" s="167"/>
      <c r="P464" s="167"/>
    </row>
    <row r="465" spans="1:16" x14ac:dyDescent="0.2">
      <c r="A465" s="58" t="e">
        <f t="shared" si="7"/>
        <v>#VALUE!</v>
      </c>
      <c r="B465" s="144" t="str">
        <f>IF(ISBLANK(DaqBook_RAW_Data!AG455),IF(DaqBook_RAW_Data!A455="","",TIMEVALUE(DaqBook_RAW_Data!A455)),TIMEVALUE(DaqBook_RAW_Data!AG455))</f>
        <v/>
      </c>
      <c r="C465" s="167" t="str">
        <f>IF(ISBLANK(DaqBook_RAW_Data!AH455),"",DaqBook_RAW_Data!AH455)</f>
        <v/>
      </c>
      <c r="D465" s="167" t="str">
        <f>IF(ISBLANK(DaqBook_RAW_Data!AI455),"",DaqBook_RAW_Data!AI455)</f>
        <v/>
      </c>
      <c r="E465" s="167" t="str">
        <f>IF(ISBLANK(DaqBook_RAW_Data!AJ455),"",DaqBook_RAW_Data!AJ455)</f>
        <v/>
      </c>
      <c r="F465" s="167" t="str">
        <f>IF(ISBLANK(DaqBook_RAW_Data!AK455),"",DaqBook_RAW_Data!AK455)</f>
        <v/>
      </c>
      <c r="G465" s="167" t="str">
        <f>IF(ISBLANK(DaqBook_RAW_Data!AL455),"",DaqBook_RAW_Data!AL455)</f>
        <v/>
      </c>
      <c r="H465" s="167" t="str">
        <f>IF(ISBLANK(DaqBook_RAW_Data!AM455),"",DaqBook_RAW_Data!AM455)</f>
        <v/>
      </c>
      <c r="I465" s="167" t="str">
        <f>IF(ISBLANK(DaqBook_RAW_Data!AN455),"",DaqBook_RAW_Data!AN455)</f>
        <v/>
      </c>
      <c r="J465" s="167" t="str">
        <f>IF(ISBLANK(DaqBook_RAW_Data!AO455),"",DaqBook_RAW_Data!AO455)</f>
        <v/>
      </c>
      <c r="K465" s="167" t="str">
        <f>IF(ISBLANK(DaqBook_RAW_Data!AP455),"",DaqBook_RAW_Data!AP455)</f>
        <v/>
      </c>
      <c r="L465" s="167" t="str">
        <f>IF(ISBLANK(DaqBook_RAW_Data!AQ455),"",DaqBook_RAW_Data!AQ455)</f>
        <v/>
      </c>
      <c r="M465" s="167" t="str">
        <f>IF(ISBLANK(DaqBook_RAW_Data!AR455),"",DaqBook_RAW_Data!AR455)</f>
        <v/>
      </c>
      <c r="N465" s="167" t="str">
        <f>IF(ISBLANK(DaqBook_RAW_Data!AS455),"",DaqBook_RAW_Data!AS455)</f>
        <v/>
      </c>
      <c r="O465" s="167"/>
      <c r="P465" s="167"/>
    </row>
    <row r="466" spans="1:16" x14ac:dyDescent="0.2">
      <c r="A466" s="58" t="e">
        <f t="shared" si="7"/>
        <v>#VALUE!</v>
      </c>
      <c r="B466" s="144" t="str">
        <f>IF(ISBLANK(DaqBook_RAW_Data!AG456),IF(DaqBook_RAW_Data!A456="","",TIMEVALUE(DaqBook_RAW_Data!A456)),TIMEVALUE(DaqBook_RAW_Data!AG456))</f>
        <v/>
      </c>
      <c r="C466" s="167" t="str">
        <f>IF(ISBLANK(DaqBook_RAW_Data!AH456),"",DaqBook_RAW_Data!AH456)</f>
        <v/>
      </c>
      <c r="D466" s="167" t="str">
        <f>IF(ISBLANK(DaqBook_RAW_Data!AI456),"",DaqBook_RAW_Data!AI456)</f>
        <v/>
      </c>
      <c r="E466" s="167" t="str">
        <f>IF(ISBLANK(DaqBook_RAW_Data!AJ456),"",DaqBook_RAW_Data!AJ456)</f>
        <v/>
      </c>
      <c r="F466" s="167" t="str">
        <f>IF(ISBLANK(DaqBook_RAW_Data!AK456),"",DaqBook_RAW_Data!AK456)</f>
        <v/>
      </c>
      <c r="G466" s="167" t="str">
        <f>IF(ISBLANK(DaqBook_RAW_Data!AL456),"",DaqBook_RAW_Data!AL456)</f>
        <v/>
      </c>
      <c r="H466" s="167" t="str">
        <f>IF(ISBLANK(DaqBook_RAW_Data!AM456),"",DaqBook_RAW_Data!AM456)</f>
        <v/>
      </c>
      <c r="I466" s="167" t="str">
        <f>IF(ISBLANK(DaqBook_RAW_Data!AN456),"",DaqBook_RAW_Data!AN456)</f>
        <v/>
      </c>
      <c r="J466" s="167" t="str">
        <f>IF(ISBLANK(DaqBook_RAW_Data!AO456),"",DaqBook_RAW_Data!AO456)</f>
        <v/>
      </c>
      <c r="K466" s="167" t="str">
        <f>IF(ISBLANK(DaqBook_RAW_Data!AP456),"",DaqBook_RAW_Data!AP456)</f>
        <v/>
      </c>
      <c r="L466" s="167" t="str">
        <f>IF(ISBLANK(DaqBook_RAW_Data!AQ456),"",DaqBook_RAW_Data!AQ456)</f>
        <v/>
      </c>
      <c r="M466" s="167" t="str">
        <f>IF(ISBLANK(DaqBook_RAW_Data!AR456),"",DaqBook_RAW_Data!AR456)</f>
        <v/>
      </c>
      <c r="N466" s="167" t="str">
        <f>IF(ISBLANK(DaqBook_RAW_Data!AS456),"",DaqBook_RAW_Data!AS456)</f>
        <v/>
      </c>
      <c r="O466" s="167"/>
      <c r="P466" s="167"/>
    </row>
    <row r="467" spans="1:16" x14ac:dyDescent="0.2">
      <c r="A467" s="58" t="e">
        <f t="shared" si="7"/>
        <v>#VALUE!</v>
      </c>
      <c r="B467" s="144" t="str">
        <f>IF(ISBLANK(DaqBook_RAW_Data!AG457),IF(DaqBook_RAW_Data!A457="","",TIMEVALUE(DaqBook_RAW_Data!A457)),TIMEVALUE(DaqBook_RAW_Data!AG457))</f>
        <v/>
      </c>
      <c r="C467" s="167" t="str">
        <f>IF(ISBLANK(DaqBook_RAW_Data!AH457),"",DaqBook_RAW_Data!AH457)</f>
        <v/>
      </c>
      <c r="D467" s="167" t="str">
        <f>IF(ISBLANK(DaqBook_RAW_Data!AI457),"",DaqBook_RAW_Data!AI457)</f>
        <v/>
      </c>
      <c r="E467" s="167" t="str">
        <f>IF(ISBLANK(DaqBook_RAW_Data!AJ457),"",DaqBook_RAW_Data!AJ457)</f>
        <v/>
      </c>
      <c r="F467" s="167" t="str">
        <f>IF(ISBLANK(DaqBook_RAW_Data!AK457),"",DaqBook_RAW_Data!AK457)</f>
        <v/>
      </c>
      <c r="G467" s="167" t="str">
        <f>IF(ISBLANK(DaqBook_RAW_Data!AL457),"",DaqBook_RAW_Data!AL457)</f>
        <v/>
      </c>
      <c r="H467" s="167" t="str">
        <f>IF(ISBLANK(DaqBook_RAW_Data!AM457),"",DaqBook_RAW_Data!AM457)</f>
        <v/>
      </c>
      <c r="I467" s="167" t="str">
        <f>IF(ISBLANK(DaqBook_RAW_Data!AN457),"",DaqBook_RAW_Data!AN457)</f>
        <v/>
      </c>
      <c r="J467" s="167" t="str">
        <f>IF(ISBLANK(DaqBook_RAW_Data!AO457),"",DaqBook_RAW_Data!AO457)</f>
        <v/>
      </c>
      <c r="K467" s="167" t="str">
        <f>IF(ISBLANK(DaqBook_RAW_Data!AP457),"",DaqBook_RAW_Data!AP457)</f>
        <v/>
      </c>
      <c r="L467" s="167" t="str">
        <f>IF(ISBLANK(DaqBook_RAW_Data!AQ457),"",DaqBook_RAW_Data!AQ457)</f>
        <v/>
      </c>
      <c r="M467" s="167" t="str">
        <f>IF(ISBLANK(DaqBook_RAW_Data!AR457),"",DaqBook_RAW_Data!AR457)</f>
        <v/>
      </c>
      <c r="N467" s="167" t="str">
        <f>IF(ISBLANK(DaqBook_RAW_Data!AS457),"",DaqBook_RAW_Data!AS457)</f>
        <v/>
      </c>
      <c r="O467" s="167"/>
      <c r="P467" s="167"/>
    </row>
    <row r="468" spans="1:16" x14ac:dyDescent="0.2">
      <c r="A468" s="58" t="e">
        <f t="shared" si="7"/>
        <v>#VALUE!</v>
      </c>
      <c r="B468" s="144" t="str">
        <f>IF(ISBLANK(DaqBook_RAW_Data!AG458),IF(DaqBook_RAW_Data!A458="","",TIMEVALUE(DaqBook_RAW_Data!A458)),TIMEVALUE(DaqBook_RAW_Data!AG458))</f>
        <v/>
      </c>
      <c r="C468" s="167" t="str">
        <f>IF(ISBLANK(DaqBook_RAW_Data!AH458),"",DaqBook_RAW_Data!AH458)</f>
        <v/>
      </c>
      <c r="D468" s="167" t="str">
        <f>IF(ISBLANK(DaqBook_RAW_Data!AI458),"",DaqBook_RAW_Data!AI458)</f>
        <v/>
      </c>
      <c r="E468" s="167" t="str">
        <f>IF(ISBLANK(DaqBook_RAW_Data!AJ458),"",DaqBook_RAW_Data!AJ458)</f>
        <v/>
      </c>
      <c r="F468" s="167" t="str">
        <f>IF(ISBLANK(DaqBook_RAW_Data!AK458),"",DaqBook_RAW_Data!AK458)</f>
        <v/>
      </c>
      <c r="G468" s="167" t="str">
        <f>IF(ISBLANK(DaqBook_RAW_Data!AL458),"",DaqBook_RAW_Data!AL458)</f>
        <v/>
      </c>
      <c r="H468" s="167" t="str">
        <f>IF(ISBLANK(DaqBook_RAW_Data!AM458),"",DaqBook_RAW_Data!AM458)</f>
        <v/>
      </c>
      <c r="I468" s="167" t="str">
        <f>IF(ISBLANK(DaqBook_RAW_Data!AN458),"",DaqBook_RAW_Data!AN458)</f>
        <v/>
      </c>
      <c r="J468" s="167" t="str">
        <f>IF(ISBLANK(DaqBook_RAW_Data!AO458),"",DaqBook_RAW_Data!AO458)</f>
        <v/>
      </c>
      <c r="K468" s="167" t="str">
        <f>IF(ISBLANK(DaqBook_RAW_Data!AP458),"",DaqBook_RAW_Data!AP458)</f>
        <v/>
      </c>
      <c r="L468" s="167" t="str">
        <f>IF(ISBLANK(DaqBook_RAW_Data!AQ458),"",DaqBook_RAW_Data!AQ458)</f>
        <v/>
      </c>
      <c r="M468" s="167" t="str">
        <f>IF(ISBLANK(DaqBook_RAW_Data!AR458),"",DaqBook_RAW_Data!AR458)</f>
        <v/>
      </c>
      <c r="N468" s="167" t="str">
        <f>IF(ISBLANK(DaqBook_RAW_Data!AS458),"",DaqBook_RAW_Data!AS458)</f>
        <v/>
      </c>
      <c r="O468" s="167"/>
      <c r="P468" s="167"/>
    </row>
    <row r="469" spans="1:16" x14ac:dyDescent="0.2">
      <c r="A469" s="58" t="e">
        <f t="shared" si="7"/>
        <v>#VALUE!</v>
      </c>
      <c r="B469" s="144" t="str">
        <f>IF(ISBLANK(DaqBook_RAW_Data!AG459),IF(DaqBook_RAW_Data!A459="","",TIMEVALUE(DaqBook_RAW_Data!A459)),TIMEVALUE(DaqBook_RAW_Data!AG459))</f>
        <v/>
      </c>
      <c r="C469" s="167" t="str">
        <f>IF(ISBLANK(DaqBook_RAW_Data!AH459),"",DaqBook_RAW_Data!AH459)</f>
        <v/>
      </c>
      <c r="D469" s="167" t="str">
        <f>IF(ISBLANK(DaqBook_RAW_Data!AI459),"",DaqBook_RAW_Data!AI459)</f>
        <v/>
      </c>
      <c r="E469" s="167" t="str">
        <f>IF(ISBLANK(DaqBook_RAW_Data!AJ459),"",DaqBook_RAW_Data!AJ459)</f>
        <v/>
      </c>
      <c r="F469" s="167" t="str">
        <f>IF(ISBLANK(DaqBook_RAW_Data!AK459),"",DaqBook_RAW_Data!AK459)</f>
        <v/>
      </c>
      <c r="G469" s="167" t="str">
        <f>IF(ISBLANK(DaqBook_RAW_Data!AL459),"",DaqBook_RAW_Data!AL459)</f>
        <v/>
      </c>
      <c r="H469" s="167" t="str">
        <f>IF(ISBLANK(DaqBook_RAW_Data!AM459),"",DaqBook_RAW_Data!AM459)</f>
        <v/>
      </c>
      <c r="I469" s="167" t="str">
        <f>IF(ISBLANK(DaqBook_RAW_Data!AN459),"",DaqBook_RAW_Data!AN459)</f>
        <v/>
      </c>
      <c r="J469" s="167" t="str">
        <f>IF(ISBLANK(DaqBook_RAW_Data!AO459),"",DaqBook_RAW_Data!AO459)</f>
        <v/>
      </c>
      <c r="K469" s="167" t="str">
        <f>IF(ISBLANK(DaqBook_RAW_Data!AP459),"",DaqBook_RAW_Data!AP459)</f>
        <v/>
      </c>
      <c r="L469" s="167" t="str">
        <f>IF(ISBLANK(DaqBook_RAW_Data!AQ459),"",DaqBook_RAW_Data!AQ459)</f>
        <v/>
      </c>
      <c r="M469" s="167" t="str">
        <f>IF(ISBLANK(DaqBook_RAW_Data!AR459),"",DaqBook_RAW_Data!AR459)</f>
        <v/>
      </c>
      <c r="N469" s="167" t="str">
        <f>IF(ISBLANK(DaqBook_RAW_Data!AS459),"",DaqBook_RAW_Data!AS459)</f>
        <v/>
      </c>
      <c r="O469" s="167"/>
      <c r="P469" s="167"/>
    </row>
    <row r="470" spans="1:16" x14ac:dyDescent="0.2">
      <c r="A470" s="58" t="e">
        <f t="shared" si="7"/>
        <v>#VALUE!</v>
      </c>
      <c r="B470" s="144" t="str">
        <f>IF(ISBLANK(DaqBook_RAW_Data!AG460),IF(DaqBook_RAW_Data!A460="","",TIMEVALUE(DaqBook_RAW_Data!A460)),TIMEVALUE(DaqBook_RAW_Data!AG460))</f>
        <v/>
      </c>
      <c r="C470" s="167" t="str">
        <f>IF(ISBLANK(DaqBook_RAW_Data!AH460),"",DaqBook_RAW_Data!AH460)</f>
        <v/>
      </c>
      <c r="D470" s="167" t="str">
        <f>IF(ISBLANK(DaqBook_RAW_Data!AI460),"",DaqBook_RAW_Data!AI460)</f>
        <v/>
      </c>
      <c r="E470" s="167" t="str">
        <f>IF(ISBLANK(DaqBook_RAW_Data!AJ460),"",DaqBook_RAW_Data!AJ460)</f>
        <v/>
      </c>
      <c r="F470" s="167" t="str">
        <f>IF(ISBLANK(DaqBook_RAW_Data!AK460),"",DaqBook_RAW_Data!AK460)</f>
        <v/>
      </c>
      <c r="G470" s="167" t="str">
        <f>IF(ISBLANK(DaqBook_RAW_Data!AL460),"",DaqBook_RAW_Data!AL460)</f>
        <v/>
      </c>
      <c r="H470" s="167" t="str">
        <f>IF(ISBLANK(DaqBook_RAW_Data!AM460),"",DaqBook_RAW_Data!AM460)</f>
        <v/>
      </c>
      <c r="I470" s="167" t="str">
        <f>IF(ISBLANK(DaqBook_RAW_Data!AN460),"",DaqBook_RAW_Data!AN460)</f>
        <v/>
      </c>
      <c r="J470" s="167" t="str">
        <f>IF(ISBLANK(DaqBook_RAW_Data!AO460),"",DaqBook_RAW_Data!AO460)</f>
        <v/>
      </c>
      <c r="K470" s="167" t="str">
        <f>IF(ISBLANK(DaqBook_RAW_Data!AP460),"",DaqBook_RAW_Data!AP460)</f>
        <v/>
      </c>
      <c r="L470" s="167" t="str">
        <f>IF(ISBLANK(DaqBook_RAW_Data!AQ460),"",DaqBook_RAW_Data!AQ460)</f>
        <v/>
      </c>
      <c r="M470" s="167" t="str">
        <f>IF(ISBLANK(DaqBook_RAW_Data!AR460),"",DaqBook_RAW_Data!AR460)</f>
        <v/>
      </c>
      <c r="N470" s="167" t="str">
        <f>IF(ISBLANK(DaqBook_RAW_Data!AS460),"",DaqBook_RAW_Data!AS460)</f>
        <v/>
      </c>
      <c r="O470" s="167"/>
      <c r="P470" s="167"/>
    </row>
    <row r="471" spans="1:16" x14ac:dyDescent="0.2">
      <c r="A471" s="58" t="e">
        <f t="shared" si="7"/>
        <v>#VALUE!</v>
      </c>
      <c r="B471" s="144" t="str">
        <f>IF(ISBLANK(DaqBook_RAW_Data!AG461),IF(DaqBook_RAW_Data!A461="","",TIMEVALUE(DaqBook_RAW_Data!A461)),TIMEVALUE(DaqBook_RAW_Data!AG461))</f>
        <v/>
      </c>
      <c r="C471" s="167" t="str">
        <f>IF(ISBLANK(DaqBook_RAW_Data!AH461),"",DaqBook_RAW_Data!AH461)</f>
        <v/>
      </c>
      <c r="D471" s="167" t="str">
        <f>IF(ISBLANK(DaqBook_RAW_Data!AI461),"",DaqBook_RAW_Data!AI461)</f>
        <v/>
      </c>
      <c r="E471" s="167" t="str">
        <f>IF(ISBLANK(DaqBook_RAW_Data!AJ461),"",DaqBook_RAW_Data!AJ461)</f>
        <v/>
      </c>
      <c r="F471" s="167" t="str">
        <f>IF(ISBLANK(DaqBook_RAW_Data!AK461),"",DaqBook_RAW_Data!AK461)</f>
        <v/>
      </c>
      <c r="G471" s="167" t="str">
        <f>IF(ISBLANK(DaqBook_RAW_Data!AL461),"",DaqBook_RAW_Data!AL461)</f>
        <v/>
      </c>
      <c r="H471" s="167" t="str">
        <f>IF(ISBLANK(DaqBook_RAW_Data!AM461),"",DaqBook_RAW_Data!AM461)</f>
        <v/>
      </c>
      <c r="I471" s="167" t="str">
        <f>IF(ISBLANK(DaqBook_RAW_Data!AN461),"",DaqBook_RAW_Data!AN461)</f>
        <v/>
      </c>
      <c r="J471" s="167" t="str">
        <f>IF(ISBLANK(DaqBook_RAW_Data!AO461),"",DaqBook_RAW_Data!AO461)</f>
        <v/>
      </c>
      <c r="K471" s="167" t="str">
        <f>IF(ISBLANK(DaqBook_RAW_Data!AP461),"",DaqBook_RAW_Data!AP461)</f>
        <v/>
      </c>
      <c r="L471" s="167" t="str">
        <f>IF(ISBLANK(DaqBook_RAW_Data!AQ461),"",DaqBook_RAW_Data!AQ461)</f>
        <v/>
      </c>
      <c r="M471" s="167" t="str">
        <f>IF(ISBLANK(DaqBook_RAW_Data!AR461),"",DaqBook_RAW_Data!AR461)</f>
        <v/>
      </c>
      <c r="N471" s="167" t="str">
        <f>IF(ISBLANK(DaqBook_RAW_Data!AS461),"",DaqBook_RAW_Data!AS461)</f>
        <v/>
      </c>
      <c r="O471" s="167"/>
      <c r="P471" s="167"/>
    </row>
    <row r="472" spans="1:16" x14ac:dyDescent="0.2">
      <c r="A472" s="58" t="e">
        <f t="shared" si="7"/>
        <v>#VALUE!</v>
      </c>
      <c r="B472" s="144" t="str">
        <f>IF(ISBLANK(DaqBook_RAW_Data!AG462),IF(DaqBook_RAW_Data!A462="","",TIMEVALUE(DaqBook_RAW_Data!A462)),TIMEVALUE(DaqBook_RAW_Data!AG462))</f>
        <v/>
      </c>
      <c r="C472" s="167" t="str">
        <f>IF(ISBLANK(DaqBook_RAW_Data!AH462),"",DaqBook_RAW_Data!AH462)</f>
        <v/>
      </c>
      <c r="D472" s="167" t="str">
        <f>IF(ISBLANK(DaqBook_RAW_Data!AI462),"",DaqBook_RAW_Data!AI462)</f>
        <v/>
      </c>
      <c r="E472" s="167" t="str">
        <f>IF(ISBLANK(DaqBook_RAW_Data!AJ462),"",DaqBook_RAW_Data!AJ462)</f>
        <v/>
      </c>
      <c r="F472" s="167" t="str">
        <f>IF(ISBLANK(DaqBook_RAW_Data!AK462),"",DaqBook_RAW_Data!AK462)</f>
        <v/>
      </c>
      <c r="G472" s="167" t="str">
        <f>IF(ISBLANK(DaqBook_RAW_Data!AL462),"",DaqBook_RAW_Data!AL462)</f>
        <v/>
      </c>
      <c r="H472" s="167" t="str">
        <f>IF(ISBLANK(DaqBook_RAW_Data!AM462),"",DaqBook_RAW_Data!AM462)</f>
        <v/>
      </c>
      <c r="I472" s="167" t="str">
        <f>IF(ISBLANK(DaqBook_RAW_Data!AN462),"",DaqBook_RAW_Data!AN462)</f>
        <v/>
      </c>
      <c r="J472" s="167" t="str">
        <f>IF(ISBLANK(DaqBook_RAW_Data!AO462),"",DaqBook_RAW_Data!AO462)</f>
        <v/>
      </c>
      <c r="K472" s="167" t="str">
        <f>IF(ISBLANK(DaqBook_RAW_Data!AP462),"",DaqBook_RAW_Data!AP462)</f>
        <v/>
      </c>
      <c r="L472" s="167" t="str">
        <f>IF(ISBLANK(DaqBook_RAW_Data!AQ462),"",DaqBook_RAW_Data!AQ462)</f>
        <v/>
      </c>
      <c r="M472" s="167" t="str">
        <f>IF(ISBLANK(DaqBook_RAW_Data!AR462),"",DaqBook_RAW_Data!AR462)</f>
        <v/>
      </c>
      <c r="N472" s="167" t="str">
        <f>IF(ISBLANK(DaqBook_RAW_Data!AS462),"",DaqBook_RAW_Data!AS462)</f>
        <v/>
      </c>
      <c r="O472" s="167"/>
      <c r="P472" s="167"/>
    </row>
    <row r="473" spans="1:16" x14ac:dyDescent="0.2">
      <c r="A473" s="58" t="e">
        <f t="shared" si="7"/>
        <v>#VALUE!</v>
      </c>
      <c r="B473" s="144" t="str">
        <f>IF(ISBLANK(DaqBook_RAW_Data!AG463),IF(DaqBook_RAW_Data!A463="","",TIMEVALUE(DaqBook_RAW_Data!A463)),TIMEVALUE(DaqBook_RAW_Data!AG463))</f>
        <v/>
      </c>
      <c r="C473" s="167" t="str">
        <f>IF(ISBLANK(DaqBook_RAW_Data!AH463),"",DaqBook_RAW_Data!AH463)</f>
        <v/>
      </c>
      <c r="D473" s="167" t="str">
        <f>IF(ISBLANK(DaqBook_RAW_Data!AI463),"",DaqBook_RAW_Data!AI463)</f>
        <v/>
      </c>
      <c r="E473" s="167" t="str">
        <f>IF(ISBLANK(DaqBook_RAW_Data!AJ463),"",DaqBook_RAW_Data!AJ463)</f>
        <v/>
      </c>
      <c r="F473" s="167" t="str">
        <f>IF(ISBLANK(DaqBook_RAW_Data!AK463),"",DaqBook_RAW_Data!AK463)</f>
        <v/>
      </c>
      <c r="G473" s="167" t="str">
        <f>IF(ISBLANK(DaqBook_RAW_Data!AL463),"",DaqBook_RAW_Data!AL463)</f>
        <v/>
      </c>
      <c r="H473" s="167" t="str">
        <f>IF(ISBLANK(DaqBook_RAW_Data!AM463),"",DaqBook_RAW_Data!AM463)</f>
        <v/>
      </c>
      <c r="I473" s="167" t="str">
        <f>IF(ISBLANK(DaqBook_RAW_Data!AN463),"",DaqBook_RAW_Data!AN463)</f>
        <v/>
      </c>
      <c r="J473" s="167" t="str">
        <f>IF(ISBLANK(DaqBook_RAW_Data!AO463),"",DaqBook_RAW_Data!AO463)</f>
        <v/>
      </c>
      <c r="K473" s="167" t="str">
        <f>IF(ISBLANK(DaqBook_RAW_Data!AP463),"",DaqBook_RAW_Data!AP463)</f>
        <v/>
      </c>
      <c r="L473" s="167" t="str">
        <f>IF(ISBLANK(DaqBook_RAW_Data!AQ463),"",DaqBook_RAW_Data!AQ463)</f>
        <v/>
      </c>
      <c r="M473" s="167" t="str">
        <f>IF(ISBLANK(DaqBook_RAW_Data!AR463),"",DaqBook_RAW_Data!AR463)</f>
        <v/>
      </c>
      <c r="N473" s="167" t="str">
        <f>IF(ISBLANK(DaqBook_RAW_Data!AS463),"",DaqBook_RAW_Data!AS463)</f>
        <v/>
      </c>
      <c r="O473" s="167"/>
      <c r="P473" s="167"/>
    </row>
    <row r="474" spans="1:16" x14ac:dyDescent="0.2">
      <c r="A474" s="58" t="e">
        <f t="shared" si="7"/>
        <v>#VALUE!</v>
      </c>
      <c r="B474" s="144" t="str">
        <f>IF(ISBLANK(DaqBook_RAW_Data!AG464),IF(DaqBook_RAW_Data!A464="","",TIMEVALUE(DaqBook_RAW_Data!A464)),TIMEVALUE(DaqBook_RAW_Data!AG464))</f>
        <v/>
      </c>
      <c r="C474" s="167" t="str">
        <f>IF(ISBLANK(DaqBook_RAW_Data!AH464),"",DaqBook_RAW_Data!AH464)</f>
        <v/>
      </c>
      <c r="D474" s="167" t="str">
        <f>IF(ISBLANK(DaqBook_RAW_Data!AI464),"",DaqBook_RAW_Data!AI464)</f>
        <v/>
      </c>
      <c r="E474" s="167" t="str">
        <f>IF(ISBLANK(DaqBook_RAW_Data!AJ464),"",DaqBook_RAW_Data!AJ464)</f>
        <v/>
      </c>
      <c r="F474" s="167" t="str">
        <f>IF(ISBLANK(DaqBook_RAW_Data!AK464),"",DaqBook_RAW_Data!AK464)</f>
        <v/>
      </c>
      <c r="G474" s="167" t="str">
        <f>IF(ISBLANK(DaqBook_RAW_Data!AL464),"",DaqBook_RAW_Data!AL464)</f>
        <v/>
      </c>
      <c r="H474" s="167" t="str">
        <f>IF(ISBLANK(DaqBook_RAW_Data!AM464),"",DaqBook_RAW_Data!AM464)</f>
        <v/>
      </c>
      <c r="I474" s="167" t="str">
        <f>IF(ISBLANK(DaqBook_RAW_Data!AN464),"",DaqBook_RAW_Data!AN464)</f>
        <v/>
      </c>
      <c r="J474" s="167" t="str">
        <f>IF(ISBLANK(DaqBook_RAW_Data!AO464),"",DaqBook_RAW_Data!AO464)</f>
        <v/>
      </c>
      <c r="K474" s="167" t="str">
        <f>IF(ISBLANK(DaqBook_RAW_Data!AP464),"",DaqBook_RAW_Data!AP464)</f>
        <v/>
      </c>
      <c r="L474" s="167" t="str">
        <f>IF(ISBLANK(DaqBook_RAW_Data!AQ464),"",DaqBook_RAW_Data!AQ464)</f>
        <v/>
      </c>
      <c r="M474" s="167" t="str">
        <f>IF(ISBLANK(DaqBook_RAW_Data!AR464),"",DaqBook_RAW_Data!AR464)</f>
        <v/>
      </c>
      <c r="N474" s="167" t="str">
        <f>IF(ISBLANK(DaqBook_RAW_Data!AS464),"",DaqBook_RAW_Data!AS464)</f>
        <v/>
      </c>
      <c r="O474" s="167"/>
      <c r="P474" s="167"/>
    </row>
    <row r="475" spans="1:16" x14ac:dyDescent="0.2">
      <c r="A475" s="58" t="e">
        <f t="shared" si="7"/>
        <v>#VALUE!</v>
      </c>
      <c r="B475" s="144" t="str">
        <f>IF(ISBLANK(DaqBook_RAW_Data!AG465),IF(DaqBook_RAW_Data!A465="","",TIMEVALUE(DaqBook_RAW_Data!A465)),TIMEVALUE(DaqBook_RAW_Data!AG465))</f>
        <v/>
      </c>
      <c r="C475" s="167" t="str">
        <f>IF(ISBLANK(DaqBook_RAW_Data!AH465),"",DaqBook_RAW_Data!AH465)</f>
        <v/>
      </c>
      <c r="D475" s="167" t="str">
        <f>IF(ISBLANK(DaqBook_RAW_Data!AI465),"",DaqBook_RAW_Data!AI465)</f>
        <v/>
      </c>
      <c r="E475" s="167" t="str">
        <f>IF(ISBLANK(DaqBook_RAW_Data!AJ465),"",DaqBook_RAW_Data!AJ465)</f>
        <v/>
      </c>
      <c r="F475" s="167" t="str">
        <f>IF(ISBLANK(DaqBook_RAW_Data!AK465),"",DaqBook_RAW_Data!AK465)</f>
        <v/>
      </c>
      <c r="G475" s="167" t="str">
        <f>IF(ISBLANK(DaqBook_RAW_Data!AL465),"",DaqBook_RAW_Data!AL465)</f>
        <v/>
      </c>
      <c r="H475" s="167" t="str">
        <f>IF(ISBLANK(DaqBook_RAW_Data!AM465),"",DaqBook_RAW_Data!AM465)</f>
        <v/>
      </c>
      <c r="I475" s="167" t="str">
        <f>IF(ISBLANK(DaqBook_RAW_Data!AN465),"",DaqBook_RAW_Data!AN465)</f>
        <v/>
      </c>
      <c r="J475" s="167" t="str">
        <f>IF(ISBLANK(DaqBook_RAW_Data!AO465),"",DaqBook_RAW_Data!AO465)</f>
        <v/>
      </c>
      <c r="K475" s="167" t="str">
        <f>IF(ISBLANK(DaqBook_RAW_Data!AP465),"",DaqBook_RAW_Data!AP465)</f>
        <v/>
      </c>
      <c r="L475" s="167" t="str">
        <f>IF(ISBLANK(DaqBook_RAW_Data!AQ465),"",DaqBook_RAW_Data!AQ465)</f>
        <v/>
      </c>
      <c r="M475" s="167" t="str">
        <f>IF(ISBLANK(DaqBook_RAW_Data!AR465),"",DaqBook_RAW_Data!AR465)</f>
        <v/>
      </c>
      <c r="N475" s="167" t="str">
        <f>IF(ISBLANK(DaqBook_RAW_Data!AS465),"",DaqBook_RAW_Data!AS465)</f>
        <v/>
      </c>
      <c r="O475" s="167"/>
      <c r="P475" s="167"/>
    </row>
    <row r="476" spans="1:16" x14ac:dyDescent="0.2">
      <c r="A476" s="58" t="e">
        <f t="shared" si="7"/>
        <v>#VALUE!</v>
      </c>
      <c r="B476" s="144" t="str">
        <f>IF(ISBLANK(DaqBook_RAW_Data!AG466),IF(DaqBook_RAW_Data!A466="","",TIMEVALUE(DaqBook_RAW_Data!A466)),TIMEVALUE(DaqBook_RAW_Data!AG466))</f>
        <v/>
      </c>
      <c r="C476" s="167" t="str">
        <f>IF(ISBLANK(DaqBook_RAW_Data!AH466),"",DaqBook_RAW_Data!AH466)</f>
        <v/>
      </c>
      <c r="D476" s="167" t="str">
        <f>IF(ISBLANK(DaqBook_RAW_Data!AI466),"",DaqBook_RAW_Data!AI466)</f>
        <v/>
      </c>
      <c r="E476" s="167" t="str">
        <f>IF(ISBLANK(DaqBook_RAW_Data!AJ466),"",DaqBook_RAW_Data!AJ466)</f>
        <v/>
      </c>
      <c r="F476" s="167" t="str">
        <f>IF(ISBLANK(DaqBook_RAW_Data!AK466),"",DaqBook_RAW_Data!AK466)</f>
        <v/>
      </c>
      <c r="G476" s="167" t="str">
        <f>IF(ISBLANK(DaqBook_RAW_Data!AL466),"",DaqBook_RAW_Data!AL466)</f>
        <v/>
      </c>
      <c r="H476" s="167" t="str">
        <f>IF(ISBLANK(DaqBook_RAW_Data!AM466),"",DaqBook_RAW_Data!AM466)</f>
        <v/>
      </c>
      <c r="I476" s="167" t="str">
        <f>IF(ISBLANK(DaqBook_RAW_Data!AN466),"",DaqBook_RAW_Data!AN466)</f>
        <v/>
      </c>
      <c r="J476" s="167" t="str">
        <f>IF(ISBLANK(DaqBook_RAW_Data!AO466),"",DaqBook_RAW_Data!AO466)</f>
        <v/>
      </c>
      <c r="K476" s="167" t="str">
        <f>IF(ISBLANK(DaqBook_RAW_Data!AP466),"",DaqBook_RAW_Data!AP466)</f>
        <v/>
      </c>
      <c r="L476" s="167" t="str">
        <f>IF(ISBLANK(DaqBook_RAW_Data!AQ466),"",DaqBook_RAW_Data!AQ466)</f>
        <v/>
      </c>
      <c r="M476" s="167" t="str">
        <f>IF(ISBLANK(DaqBook_RAW_Data!AR466),"",DaqBook_RAW_Data!AR466)</f>
        <v/>
      </c>
      <c r="N476" s="167" t="str">
        <f>IF(ISBLANK(DaqBook_RAW_Data!AS466),"",DaqBook_RAW_Data!AS466)</f>
        <v/>
      </c>
      <c r="O476" s="167"/>
      <c r="P476" s="167"/>
    </row>
    <row r="477" spans="1:16" x14ac:dyDescent="0.2">
      <c r="A477" s="58" t="e">
        <f t="shared" si="7"/>
        <v>#VALUE!</v>
      </c>
      <c r="B477" s="144" t="str">
        <f>IF(ISBLANK(DaqBook_RAW_Data!AG467),IF(DaqBook_RAW_Data!A467="","",TIMEVALUE(DaqBook_RAW_Data!A467)),TIMEVALUE(DaqBook_RAW_Data!AG467))</f>
        <v/>
      </c>
      <c r="C477" s="167" t="str">
        <f>IF(ISBLANK(DaqBook_RAW_Data!AH467),"",DaqBook_RAW_Data!AH467)</f>
        <v/>
      </c>
      <c r="D477" s="167" t="str">
        <f>IF(ISBLANK(DaqBook_RAW_Data!AI467),"",DaqBook_RAW_Data!AI467)</f>
        <v/>
      </c>
      <c r="E477" s="167" t="str">
        <f>IF(ISBLANK(DaqBook_RAW_Data!AJ467),"",DaqBook_RAW_Data!AJ467)</f>
        <v/>
      </c>
      <c r="F477" s="167" t="str">
        <f>IF(ISBLANK(DaqBook_RAW_Data!AK467),"",DaqBook_RAW_Data!AK467)</f>
        <v/>
      </c>
      <c r="G477" s="167" t="str">
        <f>IF(ISBLANK(DaqBook_RAW_Data!AL467),"",DaqBook_RAW_Data!AL467)</f>
        <v/>
      </c>
      <c r="H477" s="167" t="str">
        <f>IF(ISBLANK(DaqBook_RAW_Data!AM467),"",DaqBook_RAW_Data!AM467)</f>
        <v/>
      </c>
      <c r="I477" s="167" t="str">
        <f>IF(ISBLANK(DaqBook_RAW_Data!AN467),"",DaqBook_RAW_Data!AN467)</f>
        <v/>
      </c>
      <c r="J477" s="167" t="str">
        <f>IF(ISBLANK(DaqBook_RAW_Data!AO467),"",DaqBook_RAW_Data!AO467)</f>
        <v/>
      </c>
      <c r="K477" s="167" t="str">
        <f>IF(ISBLANK(DaqBook_RAW_Data!AP467),"",DaqBook_RAW_Data!AP467)</f>
        <v/>
      </c>
      <c r="L477" s="167" t="str">
        <f>IF(ISBLANK(DaqBook_RAW_Data!AQ467),"",DaqBook_RAW_Data!AQ467)</f>
        <v/>
      </c>
      <c r="M477" s="167" t="str">
        <f>IF(ISBLANK(DaqBook_RAW_Data!AR467),"",DaqBook_RAW_Data!AR467)</f>
        <v/>
      </c>
      <c r="N477" s="167" t="str">
        <f>IF(ISBLANK(DaqBook_RAW_Data!AS467),"",DaqBook_RAW_Data!AS467)</f>
        <v/>
      </c>
      <c r="O477" s="167"/>
      <c r="P477" s="167"/>
    </row>
    <row r="478" spans="1:16" x14ac:dyDescent="0.2">
      <c r="A478" s="58" t="e">
        <f t="shared" si="7"/>
        <v>#VALUE!</v>
      </c>
      <c r="B478" s="144" t="str">
        <f>IF(ISBLANK(DaqBook_RAW_Data!AG468),IF(DaqBook_RAW_Data!A468="","",TIMEVALUE(DaqBook_RAW_Data!A468)),TIMEVALUE(DaqBook_RAW_Data!AG468))</f>
        <v/>
      </c>
      <c r="C478" s="167" t="str">
        <f>IF(ISBLANK(DaqBook_RAW_Data!AH468),"",DaqBook_RAW_Data!AH468)</f>
        <v/>
      </c>
      <c r="D478" s="167" t="str">
        <f>IF(ISBLANK(DaqBook_RAW_Data!AI468),"",DaqBook_RAW_Data!AI468)</f>
        <v/>
      </c>
      <c r="E478" s="167" t="str">
        <f>IF(ISBLANK(DaqBook_RAW_Data!AJ468),"",DaqBook_RAW_Data!AJ468)</f>
        <v/>
      </c>
      <c r="F478" s="167" t="str">
        <f>IF(ISBLANK(DaqBook_RAW_Data!AK468),"",DaqBook_RAW_Data!AK468)</f>
        <v/>
      </c>
      <c r="G478" s="167" t="str">
        <f>IF(ISBLANK(DaqBook_RAW_Data!AL468),"",DaqBook_RAW_Data!AL468)</f>
        <v/>
      </c>
      <c r="H478" s="167" t="str">
        <f>IF(ISBLANK(DaqBook_RAW_Data!AM468),"",DaqBook_RAW_Data!AM468)</f>
        <v/>
      </c>
      <c r="I478" s="167" t="str">
        <f>IF(ISBLANK(DaqBook_RAW_Data!AN468),"",DaqBook_RAW_Data!AN468)</f>
        <v/>
      </c>
      <c r="J478" s="167" t="str">
        <f>IF(ISBLANK(DaqBook_RAW_Data!AO468),"",DaqBook_RAW_Data!AO468)</f>
        <v/>
      </c>
      <c r="K478" s="167" t="str">
        <f>IF(ISBLANK(DaqBook_RAW_Data!AP468),"",DaqBook_RAW_Data!AP468)</f>
        <v/>
      </c>
      <c r="L478" s="167" t="str">
        <f>IF(ISBLANK(DaqBook_RAW_Data!AQ468),"",DaqBook_RAW_Data!AQ468)</f>
        <v/>
      </c>
      <c r="M478" s="167" t="str">
        <f>IF(ISBLANK(DaqBook_RAW_Data!AR468),"",DaqBook_RAW_Data!AR468)</f>
        <v/>
      </c>
      <c r="N478" s="167" t="str">
        <f>IF(ISBLANK(DaqBook_RAW_Data!AS468),"",DaqBook_RAW_Data!AS468)</f>
        <v/>
      </c>
      <c r="O478" s="167"/>
      <c r="P478" s="167"/>
    </row>
    <row r="479" spans="1:16" x14ac:dyDescent="0.2">
      <c r="A479" s="58" t="e">
        <f t="shared" si="7"/>
        <v>#VALUE!</v>
      </c>
      <c r="B479" s="144" t="str">
        <f>IF(ISBLANK(DaqBook_RAW_Data!AG469),IF(DaqBook_RAW_Data!A469="","",TIMEVALUE(DaqBook_RAW_Data!A469)),TIMEVALUE(DaqBook_RAW_Data!AG469))</f>
        <v/>
      </c>
      <c r="C479" s="167" t="str">
        <f>IF(ISBLANK(DaqBook_RAW_Data!AH469),"",DaqBook_RAW_Data!AH469)</f>
        <v/>
      </c>
      <c r="D479" s="167" t="str">
        <f>IF(ISBLANK(DaqBook_RAW_Data!AI469),"",DaqBook_RAW_Data!AI469)</f>
        <v/>
      </c>
      <c r="E479" s="167" t="str">
        <f>IF(ISBLANK(DaqBook_RAW_Data!AJ469),"",DaqBook_RAW_Data!AJ469)</f>
        <v/>
      </c>
      <c r="F479" s="167" t="str">
        <f>IF(ISBLANK(DaqBook_RAW_Data!AK469),"",DaqBook_RAW_Data!AK469)</f>
        <v/>
      </c>
      <c r="G479" s="167" t="str">
        <f>IF(ISBLANK(DaqBook_RAW_Data!AL469),"",DaqBook_RAW_Data!AL469)</f>
        <v/>
      </c>
      <c r="H479" s="167" t="str">
        <f>IF(ISBLANK(DaqBook_RAW_Data!AM469),"",DaqBook_RAW_Data!AM469)</f>
        <v/>
      </c>
      <c r="I479" s="167" t="str">
        <f>IF(ISBLANK(DaqBook_RAW_Data!AN469),"",DaqBook_RAW_Data!AN469)</f>
        <v/>
      </c>
      <c r="J479" s="167" t="str">
        <f>IF(ISBLANK(DaqBook_RAW_Data!AO469),"",DaqBook_RAW_Data!AO469)</f>
        <v/>
      </c>
      <c r="K479" s="167" t="str">
        <f>IF(ISBLANK(DaqBook_RAW_Data!AP469),"",DaqBook_RAW_Data!AP469)</f>
        <v/>
      </c>
      <c r="L479" s="167" t="str">
        <f>IF(ISBLANK(DaqBook_RAW_Data!AQ469),"",DaqBook_RAW_Data!AQ469)</f>
        <v/>
      </c>
      <c r="M479" s="167" t="str">
        <f>IF(ISBLANK(DaqBook_RAW_Data!AR469),"",DaqBook_RAW_Data!AR469)</f>
        <v/>
      </c>
      <c r="N479" s="167" t="str">
        <f>IF(ISBLANK(DaqBook_RAW_Data!AS469),"",DaqBook_RAW_Data!AS469)</f>
        <v/>
      </c>
      <c r="O479" s="167"/>
      <c r="P479" s="167"/>
    </row>
    <row r="480" spans="1:16" x14ac:dyDescent="0.2">
      <c r="A480" s="58" t="e">
        <f t="shared" si="7"/>
        <v>#VALUE!</v>
      </c>
      <c r="B480" s="144" t="str">
        <f>IF(ISBLANK(DaqBook_RAW_Data!AG470),IF(DaqBook_RAW_Data!A470="","",TIMEVALUE(DaqBook_RAW_Data!A470)),TIMEVALUE(DaqBook_RAW_Data!AG470))</f>
        <v/>
      </c>
      <c r="C480" s="167" t="str">
        <f>IF(ISBLANK(DaqBook_RAW_Data!AH470),"",DaqBook_RAW_Data!AH470)</f>
        <v/>
      </c>
      <c r="D480" s="167" t="str">
        <f>IF(ISBLANK(DaqBook_RAW_Data!AI470),"",DaqBook_RAW_Data!AI470)</f>
        <v/>
      </c>
      <c r="E480" s="167" t="str">
        <f>IF(ISBLANK(DaqBook_RAW_Data!AJ470),"",DaqBook_RAW_Data!AJ470)</f>
        <v/>
      </c>
      <c r="F480" s="167" t="str">
        <f>IF(ISBLANK(DaqBook_RAW_Data!AK470),"",DaqBook_RAW_Data!AK470)</f>
        <v/>
      </c>
      <c r="G480" s="167" t="str">
        <f>IF(ISBLANK(DaqBook_RAW_Data!AL470),"",DaqBook_RAW_Data!AL470)</f>
        <v/>
      </c>
      <c r="H480" s="167" t="str">
        <f>IF(ISBLANK(DaqBook_RAW_Data!AM470),"",DaqBook_RAW_Data!AM470)</f>
        <v/>
      </c>
      <c r="I480" s="167" t="str">
        <f>IF(ISBLANK(DaqBook_RAW_Data!AN470),"",DaqBook_RAW_Data!AN470)</f>
        <v/>
      </c>
      <c r="J480" s="167" t="str">
        <f>IF(ISBLANK(DaqBook_RAW_Data!AO470),"",DaqBook_RAW_Data!AO470)</f>
        <v/>
      </c>
      <c r="K480" s="167" t="str">
        <f>IF(ISBLANK(DaqBook_RAW_Data!AP470),"",DaqBook_RAW_Data!AP470)</f>
        <v/>
      </c>
      <c r="L480" s="167" t="str">
        <f>IF(ISBLANK(DaqBook_RAW_Data!AQ470),"",DaqBook_RAW_Data!AQ470)</f>
        <v/>
      </c>
      <c r="M480" s="167" t="str">
        <f>IF(ISBLANK(DaqBook_RAW_Data!AR470),"",DaqBook_RAW_Data!AR470)</f>
        <v/>
      </c>
      <c r="N480" s="167" t="str">
        <f>IF(ISBLANK(DaqBook_RAW_Data!AS470),"",DaqBook_RAW_Data!AS470)</f>
        <v/>
      </c>
      <c r="O480" s="167"/>
      <c r="P480" s="167"/>
    </row>
    <row r="481" spans="1:16" x14ac:dyDescent="0.2">
      <c r="A481" s="58" t="e">
        <f t="shared" si="7"/>
        <v>#VALUE!</v>
      </c>
      <c r="B481" s="144" t="str">
        <f>IF(ISBLANK(DaqBook_RAW_Data!AG471),IF(DaqBook_RAW_Data!A471="","",TIMEVALUE(DaqBook_RAW_Data!A471)),TIMEVALUE(DaqBook_RAW_Data!AG471))</f>
        <v/>
      </c>
      <c r="C481" s="167" t="str">
        <f>IF(ISBLANK(DaqBook_RAW_Data!AH471),"",DaqBook_RAW_Data!AH471)</f>
        <v/>
      </c>
      <c r="D481" s="167" t="str">
        <f>IF(ISBLANK(DaqBook_RAW_Data!AI471),"",DaqBook_RAW_Data!AI471)</f>
        <v/>
      </c>
      <c r="E481" s="167" t="str">
        <f>IF(ISBLANK(DaqBook_RAW_Data!AJ471),"",DaqBook_RAW_Data!AJ471)</f>
        <v/>
      </c>
      <c r="F481" s="167" t="str">
        <f>IF(ISBLANK(DaqBook_RAW_Data!AK471),"",DaqBook_RAW_Data!AK471)</f>
        <v/>
      </c>
      <c r="G481" s="167" t="str">
        <f>IF(ISBLANK(DaqBook_RAW_Data!AL471),"",DaqBook_RAW_Data!AL471)</f>
        <v/>
      </c>
      <c r="H481" s="167" t="str">
        <f>IF(ISBLANK(DaqBook_RAW_Data!AM471),"",DaqBook_RAW_Data!AM471)</f>
        <v/>
      </c>
      <c r="I481" s="167" t="str">
        <f>IF(ISBLANK(DaqBook_RAW_Data!AN471),"",DaqBook_RAW_Data!AN471)</f>
        <v/>
      </c>
      <c r="J481" s="167" t="str">
        <f>IF(ISBLANK(DaqBook_RAW_Data!AO471),"",DaqBook_RAW_Data!AO471)</f>
        <v/>
      </c>
      <c r="K481" s="167" t="str">
        <f>IF(ISBLANK(DaqBook_RAW_Data!AP471),"",DaqBook_RAW_Data!AP471)</f>
        <v/>
      </c>
      <c r="L481" s="167" t="str">
        <f>IF(ISBLANK(DaqBook_RAW_Data!AQ471),"",DaqBook_RAW_Data!AQ471)</f>
        <v/>
      </c>
      <c r="M481" s="167" t="str">
        <f>IF(ISBLANK(DaqBook_RAW_Data!AR471),"",DaqBook_RAW_Data!AR471)</f>
        <v/>
      </c>
      <c r="N481" s="167" t="str">
        <f>IF(ISBLANK(DaqBook_RAW_Data!AS471),"",DaqBook_RAW_Data!AS471)</f>
        <v/>
      </c>
      <c r="O481" s="167"/>
      <c r="P481" s="167"/>
    </row>
    <row r="482" spans="1:16" x14ac:dyDescent="0.2">
      <c r="A482" s="58" t="e">
        <f t="shared" si="7"/>
        <v>#VALUE!</v>
      </c>
      <c r="B482" s="144" t="str">
        <f>IF(ISBLANK(DaqBook_RAW_Data!AG472),IF(DaqBook_RAW_Data!A472="","",TIMEVALUE(DaqBook_RAW_Data!A472)),TIMEVALUE(DaqBook_RAW_Data!AG472))</f>
        <v/>
      </c>
      <c r="C482" s="167" t="str">
        <f>IF(ISBLANK(DaqBook_RAW_Data!AH472),"",DaqBook_RAW_Data!AH472)</f>
        <v/>
      </c>
      <c r="D482" s="167" t="str">
        <f>IF(ISBLANK(DaqBook_RAW_Data!AI472),"",DaqBook_RAW_Data!AI472)</f>
        <v/>
      </c>
      <c r="E482" s="167" t="str">
        <f>IF(ISBLANK(DaqBook_RAW_Data!AJ472),"",DaqBook_RAW_Data!AJ472)</f>
        <v/>
      </c>
      <c r="F482" s="167" t="str">
        <f>IF(ISBLANK(DaqBook_RAW_Data!AK472),"",DaqBook_RAW_Data!AK472)</f>
        <v/>
      </c>
      <c r="G482" s="167" t="str">
        <f>IF(ISBLANK(DaqBook_RAW_Data!AL472),"",DaqBook_RAW_Data!AL472)</f>
        <v/>
      </c>
      <c r="H482" s="167" t="str">
        <f>IF(ISBLANK(DaqBook_RAW_Data!AM472),"",DaqBook_RAW_Data!AM472)</f>
        <v/>
      </c>
      <c r="I482" s="167" t="str">
        <f>IF(ISBLANK(DaqBook_RAW_Data!AN472),"",DaqBook_RAW_Data!AN472)</f>
        <v/>
      </c>
      <c r="J482" s="167" t="str">
        <f>IF(ISBLANK(DaqBook_RAW_Data!AO472),"",DaqBook_RAW_Data!AO472)</f>
        <v/>
      </c>
      <c r="K482" s="167" t="str">
        <f>IF(ISBLANK(DaqBook_RAW_Data!AP472),"",DaqBook_RAW_Data!AP472)</f>
        <v/>
      </c>
      <c r="L482" s="167" t="str">
        <f>IF(ISBLANK(DaqBook_RAW_Data!AQ472),"",DaqBook_RAW_Data!AQ472)</f>
        <v/>
      </c>
      <c r="M482" s="167" t="str">
        <f>IF(ISBLANK(DaqBook_RAW_Data!AR472),"",DaqBook_RAW_Data!AR472)</f>
        <v/>
      </c>
      <c r="N482" s="167" t="str">
        <f>IF(ISBLANK(DaqBook_RAW_Data!AS472),"",DaqBook_RAW_Data!AS472)</f>
        <v/>
      </c>
      <c r="O482" s="167"/>
      <c r="P482" s="167"/>
    </row>
    <row r="483" spans="1:16" x14ac:dyDescent="0.2">
      <c r="A483" s="58" t="e">
        <f t="shared" si="7"/>
        <v>#VALUE!</v>
      </c>
      <c r="B483" s="144" t="str">
        <f>IF(ISBLANK(DaqBook_RAW_Data!AG473),IF(DaqBook_RAW_Data!A473="","",TIMEVALUE(DaqBook_RAW_Data!A473)),TIMEVALUE(DaqBook_RAW_Data!AG473))</f>
        <v/>
      </c>
      <c r="C483" s="167" t="str">
        <f>IF(ISBLANK(DaqBook_RAW_Data!AH473),"",DaqBook_RAW_Data!AH473)</f>
        <v/>
      </c>
      <c r="D483" s="167" t="str">
        <f>IF(ISBLANK(DaqBook_RAW_Data!AI473),"",DaqBook_RAW_Data!AI473)</f>
        <v/>
      </c>
      <c r="E483" s="167" t="str">
        <f>IF(ISBLANK(DaqBook_RAW_Data!AJ473),"",DaqBook_RAW_Data!AJ473)</f>
        <v/>
      </c>
      <c r="F483" s="167" t="str">
        <f>IF(ISBLANK(DaqBook_RAW_Data!AK473),"",DaqBook_RAW_Data!AK473)</f>
        <v/>
      </c>
      <c r="G483" s="167" t="str">
        <f>IF(ISBLANK(DaqBook_RAW_Data!AL473),"",DaqBook_RAW_Data!AL473)</f>
        <v/>
      </c>
      <c r="H483" s="167" t="str">
        <f>IF(ISBLANK(DaqBook_RAW_Data!AM473),"",DaqBook_RAW_Data!AM473)</f>
        <v/>
      </c>
      <c r="I483" s="167" t="str">
        <f>IF(ISBLANK(DaqBook_RAW_Data!AN473),"",DaqBook_RAW_Data!AN473)</f>
        <v/>
      </c>
      <c r="J483" s="167" t="str">
        <f>IF(ISBLANK(DaqBook_RAW_Data!AO473),"",DaqBook_RAW_Data!AO473)</f>
        <v/>
      </c>
      <c r="K483" s="167" t="str">
        <f>IF(ISBLANK(DaqBook_RAW_Data!AP473),"",DaqBook_RAW_Data!AP473)</f>
        <v/>
      </c>
      <c r="L483" s="167" t="str">
        <f>IF(ISBLANK(DaqBook_RAW_Data!AQ473),"",DaqBook_RAW_Data!AQ473)</f>
        <v/>
      </c>
      <c r="M483" s="167" t="str">
        <f>IF(ISBLANK(DaqBook_RAW_Data!AR473),"",DaqBook_RAW_Data!AR473)</f>
        <v/>
      </c>
      <c r="N483" s="167" t="str">
        <f>IF(ISBLANK(DaqBook_RAW_Data!AS473),"",DaqBook_RAW_Data!AS473)</f>
        <v/>
      </c>
      <c r="O483" s="167"/>
      <c r="P483" s="167"/>
    </row>
    <row r="484" spans="1:16" x14ac:dyDescent="0.2">
      <c r="A484" s="58" t="e">
        <f t="shared" si="7"/>
        <v>#VALUE!</v>
      </c>
      <c r="B484" s="144" t="str">
        <f>IF(ISBLANK(DaqBook_RAW_Data!AG474),IF(DaqBook_RAW_Data!A474="","",TIMEVALUE(DaqBook_RAW_Data!A474)),TIMEVALUE(DaqBook_RAW_Data!AG474))</f>
        <v/>
      </c>
      <c r="C484" s="167" t="str">
        <f>IF(ISBLANK(DaqBook_RAW_Data!AH474),"",DaqBook_RAW_Data!AH474)</f>
        <v/>
      </c>
      <c r="D484" s="167" t="str">
        <f>IF(ISBLANK(DaqBook_RAW_Data!AI474),"",DaqBook_RAW_Data!AI474)</f>
        <v/>
      </c>
      <c r="E484" s="167" t="str">
        <f>IF(ISBLANK(DaqBook_RAW_Data!AJ474),"",DaqBook_RAW_Data!AJ474)</f>
        <v/>
      </c>
      <c r="F484" s="167" t="str">
        <f>IF(ISBLANK(DaqBook_RAW_Data!AK474),"",DaqBook_RAW_Data!AK474)</f>
        <v/>
      </c>
      <c r="G484" s="167" t="str">
        <f>IF(ISBLANK(DaqBook_RAW_Data!AL474),"",DaqBook_RAW_Data!AL474)</f>
        <v/>
      </c>
      <c r="H484" s="167" t="str">
        <f>IF(ISBLANK(DaqBook_RAW_Data!AM474),"",DaqBook_RAW_Data!AM474)</f>
        <v/>
      </c>
      <c r="I484" s="167" t="str">
        <f>IF(ISBLANK(DaqBook_RAW_Data!AN474),"",DaqBook_RAW_Data!AN474)</f>
        <v/>
      </c>
      <c r="J484" s="167" t="str">
        <f>IF(ISBLANK(DaqBook_RAW_Data!AO474),"",DaqBook_RAW_Data!AO474)</f>
        <v/>
      </c>
      <c r="K484" s="167" t="str">
        <f>IF(ISBLANK(DaqBook_RAW_Data!AP474),"",DaqBook_RAW_Data!AP474)</f>
        <v/>
      </c>
      <c r="L484" s="167" t="str">
        <f>IF(ISBLANK(DaqBook_RAW_Data!AQ474),"",DaqBook_RAW_Data!AQ474)</f>
        <v/>
      </c>
      <c r="M484" s="167" t="str">
        <f>IF(ISBLANK(DaqBook_RAW_Data!AR474),"",DaqBook_RAW_Data!AR474)</f>
        <v/>
      </c>
      <c r="N484" s="167" t="str">
        <f>IF(ISBLANK(DaqBook_RAW_Data!AS474),"",DaqBook_RAW_Data!AS474)</f>
        <v/>
      </c>
      <c r="O484" s="167"/>
      <c r="P484" s="167"/>
    </row>
    <row r="485" spans="1:16" x14ac:dyDescent="0.2">
      <c r="A485" s="58" t="e">
        <f t="shared" si="7"/>
        <v>#VALUE!</v>
      </c>
      <c r="B485" s="144" t="str">
        <f>IF(ISBLANK(DaqBook_RAW_Data!AG475),IF(DaqBook_RAW_Data!A475="","",TIMEVALUE(DaqBook_RAW_Data!A475)),TIMEVALUE(DaqBook_RAW_Data!AG475))</f>
        <v/>
      </c>
      <c r="C485" s="167" t="str">
        <f>IF(ISBLANK(DaqBook_RAW_Data!AH475),"",DaqBook_RAW_Data!AH475)</f>
        <v/>
      </c>
      <c r="D485" s="167" t="str">
        <f>IF(ISBLANK(DaqBook_RAW_Data!AI475),"",DaqBook_RAW_Data!AI475)</f>
        <v/>
      </c>
      <c r="E485" s="167" t="str">
        <f>IF(ISBLANK(DaqBook_RAW_Data!AJ475),"",DaqBook_RAW_Data!AJ475)</f>
        <v/>
      </c>
      <c r="F485" s="167" t="str">
        <f>IF(ISBLANK(DaqBook_RAW_Data!AK475),"",DaqBook_RAW_Data!AK475)</f>
        <v/>
      </c>
      <c r="G485" s="167" t="str">
        <f>IF(ISBLANK(DaqBook_RAW_Data!AL475),"",DaqBook_RAW_Data!AL475)</f>
        <v/>
      </c>
      <c r="H485" s="167" t="str">
        <f>IF(ISBLANK(DaqBook_RAW_Data!AM475),"",DaqBook_RAW_Data!AM475)</f>
        <v/>
      </c>
      <c r="I485" s="167" t="str">
        <f>IF(ISBLANK(DaqBook_RAW_Data!AN475),"",DaqBook_RAW_Data!AN475)</f>
        <v/>
      </c>
      <c r="J485" s="167" t="str">
        <f>IF(ISBLANK(DaqBook_RAW_Data!AO475),"",DaqBook_RAW_Data!AO475)</f>
        <v/>
      </c>
      <c r="K485" s="167" t="str">
        <f>IF(ISBLANK(DaqBook_RAW_Data!AP475),"",DaqBook_RAW_Data!AP475)</f>
        <v/>
      </c>
      <c r="L485" s="167" t="str">
        <f>IF(ISBLANK(DaqBook_RAW_Data!AQ475),"",DaqBook_RAW_Data!AQ475)</f>
        <v/>
      </c>
      <c r="M485" s="167" t="str">
        <f>IF(ISBLANK(DaqBook_RAW_Data!AR475),"",DaqBook_RAW_Data!AR475)</f>
        <v/>
      </c>
      <c r="N485" s="167" t="str">
        <f>IF(ISBLANK(DaqBook_RAW_Data!AS475),"",DaqBook_RAW_Data!AS475)</f>
        <v/>
      </c>
      <c r="O485" s="167"/>
      <c r="P485" s="167"/>
    </row>
    <row r="486" spans="1:16" x14ac:dyDescent="0.2">
      <c r="A486" s="58" t="e">
        <f t="shared" si="7"/>
        <v>#VALUE!</v>
      </c>
      <c r="B486" s="144" t="str">
        <f>IF(ISBLANK(DaqBook_RAW_Data!AG476),IF(DaqBook_RAW_Data!A476="","",TIMEVALUE(DaqBook_RAW_Data!A476)),TIMEVALUE(DaqBook_RAW_Data!AG476))</f>
        <v/>
      </c>
      <c r="C486" s="167" t="str">
        <f>IF(ISBLANK(DaqBook_RAW_Data!AH476),"",DaqBook_RAW_Data!AH476)</f>
        <v/>
      </c>
      <c r="D486" s="167" t="str">
        <f>IF(ISBLANK(DaqBook_RAW_Data!AI476),"",DaqBook_RAW_Data!AI476)</f>
        <v/>
      </c>
      <c r="E486" s="167" t="str">
        <f>IF(ISBLANK(DaqBook_RAW_Data!AJ476),"",DaqBook_RAW_Data!AJ476)</f>
        <v/>
      </c>
      <c r="F486" s="167" t="str">
        <f>IF(ISBLANK(DaqBook_RAW_Data!AK476),"",DaqBook_RAW_Data!AK476)</f>
        <v/>
      </c>
      <c r="G486" s="167" t="str">
        <f>IF(ISBLANK(DaqBook_RAW_Data!AL476),"",DaqBook_RAW_Data!AL476)</f>
        <v/>
      </c>
      <c r="H486" s="167" t="str">
        <f>IF(ISBLANK(DaqBook_RAW_Data!AM476),"",DaqBook_RAW_Data!AM476)</f>
        <v/>
      </c>
      <c r="I486" s="167" t="str">
        <f>IF(ISBLANK(DaqBook_RAW_Data!AN476),"",DaqBook_RAW_Data!AN476)</f>
        <v/>
      </c>
      <c r="J486" s="167" t="str">
        <f>IF(ISBLANK(DaqBook_RAW_Data!AO476),"",DaqBook_RAW_Data!AO476)</f>
        <v/>
      </c>
      <c r="K486" s="167" t="str">
        <f>IF(ISBLANK(DaqBook_RAW_Data!AP476),"",DaqBook_RAW_Data!AP476)</f>
        <v/>
      </c>
      <c r="L486" s="167" t="str">
        <f>IF(ISBLANK(DaqBook_RAW_Data!AQ476),"",DaqBook_RAW_Data!AQ476)</f>
        <v/>
      </c>
      <c r="M486" s="167" t="str">
        <f>IF(ISBLANK(DaqBook_RAW_Data!AR476),"",DaqBook_RAW_Data!AR476)</f>
        <v/>
      </c>
      <c r="N486" s="167" t="str">
        <f>IF(ISBLANK(DaqBook_RAW_Data!AS476),"",DaqBook_RAW_Data!AS476)</f>
        <v/>
      </c>
      <c r="O486" s="167"/>
      <c r="P486" s="167"/>
    </row>
    <row r="487" spans="1:16" x14ac:dyDescent="0.2">
      <c r="A487" s="58" t="e">
        <f t="shared" si="7"/>
        <v>#VALUE!</v>
      </c>
      <c r="B487" s="144" t="str">
        <f>IF(ISBLANK(DaqBook_RAW_Data!AG477),IF(DaqBook_RAW_Data!A477="","",TIMEVALUE(DaqBook_RAW_Data!A477)),TIMEVALUE(DaqBook_RAW_Data!AG477))</f>
        <v/>
      </c>
      <c r="C487" s="167" t="str">
        <f>IF(ISBLANK(DaqBook_RAW_Data!AH477),"",DaqBook_RAW_Data!AH477)</f>
        <v/>
      </c>
      <c r="D487" s="167" t="str">
        <f>IF(ISBLANK(DaqBook_RAW_Data!AI477),"",DaqBook_RAW_Data!AI477)</f>
        <v/>
      </c>
      <c r="E487" s="167" t="str">
        <f>IF(ISBLANK(DaqBook_RAW_Data!AJ477),"",DaqBook_RAW_Data!AJ477)</f>
        <v/>
      </c>
      <c r="F487" s="167" t="str">
        <f>IF(ISBLANK(DaqBook_RAW_Data!AK477),"",DaqBook_RAW_Data!AK477)</f>
        <v/>
      </c>
      <c r="G487" s="167" t="str">
        <f>IF(ISBLANK(DaqBook_RAW_Data!AL477),"",DaqBook_RAW_Data!AL477)</f>
        <v/>
      </c>
      <c r="H487" s="167" t="str">
        <f>IF(ISBLANK(DaqBook_RAW_Data!AM477),"",DaqBook_RAW_Data!AM477)</f>
        <v/>
      </c>
      <c r="I487" s="167" t="str">
        <f>IF(ISBLANK(DaqBook_RAW_Data!AN477),"",DaqBook_RAW_Data!AN477)</f>
        <v/>
      </c>
      <c r="J487" s="167" t="str">
        <f>IF(ISBLANK(DaqBook_RAW_Data!AO477),"",DaqBook_RAW_Data!AO477)</f>
        <v/>
      </c>
      <c r="K487" s="167" t="str">
        <f>IF(ISBLANK(DaqBook_RAW_Data!AP477),"",DaqBook_RAW_Data!AP477)</f>
        <v/>
      </c>
      <c r="L487" s="167" t="str">
        <f>IF(ISBLANK(DaqBook_RAW_Data!AQ477),"",DaqBook_RAW_Data!AQ477)</f>
        <v/>
      </c>
      <c r="M487" s="167" t="str">
        <f>IF(ISBLANK(DaqBook_RAW_Data!AR477),"",DaqBook_RAW_Data!AR477)</f>
        <v/>
      </c>
      <c r="N487" s="167" t="str">
        <f>IF(ISBLANK(DaqBook_RAW_Data!AS477),"",DaqBook_RAW_Data!AS477)</f>
        <v/>
      </c>
      <c r="O487" s="167"/>
      <c r="P487" s="167"/>
    </row>
    <row r="488" spans="1:16" x14ac:dyDescent="0.2">
      <c r="A488" s="58" t="e">
        <f t="shared" si="7"/>
        <v>#VALUE!</v>
      </c>
      <c r="B488" s="144" t="str">
        <f>IF(ISBLANK(DaqBook_RAW_Data!AG478),IF(DaqBook_RAW_Data!A478="","",TIMEVALUE(DaqBook_RAW_Data!A478)),TIMEVALUE(DaqBook_RAW_Data!AG478))</f>
        <v/>
      </c>
      <c r="C488" s="167" t="str">
        <f>IF(ISBLANK(DaqBook_RAW_Data!AH478),"",DaqBook_RAW_Data!AH478)</f>
        <v/>
      </c>
      <c r="D488" s="167" t="str">
        <f>IF(ISBLANK(DaqBook_RAW_Data!AI478),"",DaqBook_RAW_Data!AI478)</f>
        <v/>
      </c>
      <c r="E488" s="167" t="str">
        <f>IF(ISBLANK(DaqBook_RAW_Data!AJ478),"",DaqBook_RAW_Data!AJ478)</f>
        <v/>
      </c>
      <c r="F488" s="167" t="str">
        <f>IF(ISBLANK(DaqBook_RAW_Data!AK478),"",DaqBook_RAW_Data!AK478)</f>
        <v/>
      </c>
      <c r="G488" s="167" t="str">
        <f>IF(ISBLANK(DaqBook_RAW_Data!AL478),"",DaqBook_RAW_Data!AL478)</f>
        <v/>
      </c>
      <c r="H488" s="167" t="str">
        <f>IF(ISBLANK(DaqBook_RAW_Data!AM478),"",DaqBook_RAW_Data!AM478)</f>
        <v/>
      </c>
      <c r="I488" s="167" t="str">
        <f>IF(ISBLANK(DaqBook_RAW_Data!AN478),"",DaqBook_RAW_Data!AN478)</f>
        <v/>
      </c>
      <c r="J488" s="167" t="str">
        <f>IF(ISBLANK(DaqBook_RAW_Data!AO478),"",DaqBook_RAW_Data!AO478)</f>
        <v/>
      </c>
      <c r="K488" s="167" t="str">
        <f>IF(ISBLANK(DaqBook_RAW_Data!AP478),"",DaqBook_RAW_Data!AP478)</f>
        <v/>
      </c>
      <c r="L488" s="167" t="str">
        <f>IF(ISBLANK(DaqBook_RAW_Data!AQ478),"",DaqBook_RAW_Data!AQ478)</f>
        <v/>
      </c>
      <c r="M488" s="167" t="str">
        <f>IF(ISBLANK(DaqBook_RAW_Data!AR478),"",DaqBook_RAW_Data!AR478)</f>
        <v/>
      </c>
      <c r="N488" s="167" t="str">
        <f>IF(ISBLANK(DaqBook_RAW_Data!AS478),"",DaqBook_RAW_Data!AS478)</f>
        <v/>
      </c>
      <c r="O488" s="167"/>
      <c r="P488" s="167"/>
    </row>
    <row r="489" spans="1:16" x14ac:dyDescent="0.2">
      <c r="A489" s="58" t="e">
        <f t="shared" si="7"/>
        <v>#VALUE!</v>
      </c>
      <c r="B489" s="144" t="str">
        <f>IF(ISBLANK(DaqBook_RAW_Data!AG479),IF(DaqBook_RAW_Data!A479="","",TIMEVALUE(DaqBook_RAW_Data!A479)),TIMEVALUE(DaqBook_RAW_Data!AG479))</f>
        <v/>
      </c>
      <c r="C489" s="167" t="str">
        <f>IF(ISBLANK(DaqBook_RAW_Data!AH479),"",DaqBook_RAW_Data!AH479)</f>
        <v/>
      </c>
      <c r="D489" s="167" t="str">
        <f>IF(ISBLANK(DaqBook_RAW_Data!AI479),"",DaqBook_RAW_Data!AI479)</f>
        <v/>
      </c>
      <c r="E489" s="167" t="str">
        <f>IF(ISBLANK(DaqBook_RAW_Data!AJ479),"",DaqBook_RAW_Data!AJ479)</f>
        <v/>
      </c>
      <c r="F489" s="167" t="str">
        <f>IF(ISBLANK(DaqBook_RAW_Data!AK479),"",DaqBook_RAW_Data!AK479)</f>
        <v/>
      </c>
      <c r="G489" s="167" t="str">
        <f>IF(ISBLANK(DaqBook_RAW_Data!AL479),"",DaqBook_RAW_Data!AL479)</f>
        <v/>
      </c>
      <c r="H489" s="167" t="str">
        <f>IF(ISBLANK(DaqBook_RAW_Data!AM479),"",DaqBook_RAW_Data!AM479)</f>
        <v/>
      </c>
      <c r="I489" s="167" t="str">
        <f>IF(ISBLANK(DaqBook_RAW_Data!AN479),"",DaqBook_RAW_Data!AN479)</f>
        <v/>
      </c>
      <c r="J489" s="167" t="str">
        <f>IF(ISBLANK(DaqBook_RAW_Data!AO479),"",DaqBook_RAW_Data!AO479)</f>
        <v/>
      </c>
      <c r="K489" s="167" t="str">
        <f>IF(ISBLANK(DaqBook_RAW_Data!AP479),"",DaqBook_RAW_Data!AP479)</f>
        <v/>
      </c>
      <c r="L489" s="167" t="str">
        <f>IF(ISBLANK(DaqBook_RAW_Data!AQ479),"",DaqBook_RAW_Data!AQ479)</f>
        <v/>
      </c>
      <c r="M489" s="167" t="str">
        <f>IF(ISBLANK(DaqBook_RAW_Data!AR479),"",DaqBook_RAW_Data!AR479)</f>
        <v/>
      </c>
      <c r="N489" s="167" t="str">
        <f>IF(ISBLANK(DaqBook_RAW_Data!AS479),"",DaqBook_RAW_Data!AS479)</f>
        <v/>
      </c>
      <c r="O489" s="167"/>
      <c r="P489" s="167"/>
    </row>
    <row r="490" spans="1:16" x14ac:dyDescent="0.2">
      <c r="A490" s="58" t="e">
        <f t="shared" si="7"/>
        <v>#VALUE!</v>
      </c>
      <c r="B490" s="144" t="str">
        <f>IF(ISBLANK(DaqBook_RAW_Data!AG480),IF(DaqBook_RAW_Data!A480="","",TIMEVALUE(DaqBook_RAW_Data!A480)),TIMEVALUE(DaqBook_RAW_Data!AG480))</f>
        <v/>
      </c>
      <c r="C490" s="167" t="str">
        <f>IF(ISBLANK(DaqBook_RAW_Data!AH480),"",DaqBook_RAW_Data!AH480)</f>
        <v/>
      </c>
      <c r="D490" s="167" t="str">
        <f>IF(ISBLANK(DaqBook_RAW_Data!AI480),"",DaqBook_RAW_Data!AI480)</f>
        <v/>
      </c>
      <c r="E490" s="167" t="str">
        <f>IF(ISBLANK(DaqBook_RAW_Data!AJ480),"",DaqBook_RAW_Data!AJ480)</f>
        <v/>
      </c>
      <c r="F490" s="167" t="str">
        <f>IF(ISBLANK(DaqBook_RAW_Data!AK480),"",DaqBook_RAW_Data!AK480)</f>
        <v/>
      </c>
      <c r="G490" s="167" t="str">
        <f>IF(ISBLANK(DaqBook_RAW_Data!AL480),"",DaqBook_RAW_Data!AL480)</f>
        <v/>
      </c>
      <c r="H490" s="167" t="str">
        <f>IF(ISBLANK(DaqBook_RAW_Data!AM480),"",DaqBook_RAW_Data!AM480)</f>
        <v/>
      </c>
      <c r="I490" s="167" t="str">
        <f>IF(ISBLANK(DaqBook_RAW_Data!AN480),"",DaqBook_RAW_Data!AN480)</f>
        <v/>
      </c>
      <c r="J490" s="167" t="str">
        <f>IF(ISBLANK(DaqBook_RAW_Data!AO480),"",DaqBook_RAW_Data!AO480)</f>
        <v/>
      </c>
      <c r="K490" s="167" t="str">
        <f>IF(ISBLANK(DaqBook_RAW_Data!AP480),"",DaqBook_RAW_Data!AP480)</f>
        <v/>
      </c>
      <c r="L490" s="167" t="str">
        <f>IF(ISBLANK(DaqBook_RAW_Data!AQ480),"",DaqBook_RAW_Data!AQ480)</f>
        <v/>
      </c>
      <c r="M490" s="167" t="str">
        <f>IF(ISBLANK(DaqBook_RAW_Data!AR480),"",DaqBook_RAW_Data!AR480)</f>
        <v/>
      </c>
      <c r="N490" s="167" t="str">
        <f>IF(ISBLANK(DaqBook_RAW_Data!AS480),"",DaqBook_RAW_Data!AS480)</f>
        <v/>
      </c>
      <c r="O490" s="167"/>
      <c r="P490" s="167"/>
    </row>
    <row r="491" spans="1:16" x14ac:dyDescent="0.2">
      <c r="A491" s="58" t="e">
        <f t="shared" si="7"/>
        <v>#VALUE!</v>
      </c>
      <c r="B491" s="144" t="str">
        <f>IF(ISBLANK(DaqBook_RAW_Data!AG481),IF(DaqBook_RAW_Data!A481="","",TIMEVALUE(DaqBook_RAW_Data!A481)),TIMEVALUE(DaqBook_RAW_Data!AG481))</f>
        <v/>
      </c>
      <c r="C491" s="167" t="str">
        <f>IF(ISBLANK(DaqBook_RAW_Data!AH481),"",DaqBook_RAW_Data!AH481)</f>
        <v/>
      </c>
      <c r="D491" s="167" t="str">
        <f>IF(ISBLANK(DaqBook_RAW_Data!AI481),"",DaqBook_RAW_Data!AI481)</f>
        <v/>
      </c>
      <c r="E491" s="167" t="str">
        <f>IF(ISBLANK(DaqBook_RAW_Data!AJ481),"",DaqBook_RAW_Data!AJ481)</f>
        <v/>
      </c>
      <c r="F491" s="167" t="str">
        <f>IF(ISBLANK(DaqBook_RAW_Data!AK481),"",DaqBook_RAW_Data!AK481)</f>
        <v/>
      </c>
      <c r="G491" s="167" t="str">
        <f>IF(ISBLANK(DaqBook_RAW_Data!AL481),"",DaqBook_RAW_Data!AL481)</f>
        <v/>
      </c>
      <c r="H491" s="167" t="str">
        <f>IF(ISBLANK(DaqBook_RAW_Data!AM481),"",DaqBook_RAW_Data!AM481)</f>
        <v/>
      </c>
      <c r="I491" s="167" t="str">
        <f>IF(ISBLANK(DaqBook_RAW_Data!AN481),"",DaqBook_RAW_Data!AN481)</f>
        <v/>
      </c>
      <c r="J491" s="167" t="str">
        <f>IF(ISBLANK(DaqBook_RAW_Data!AO481),"",DaqBook_RAW_Data!AO481)</f>
        <v/>
      </c>
      <c r="K491" s="167" t="str">
        <f>IF(ISBLANK(DaqBook_RAW_Data!AP481),"",DaqBook_RAW_Data!AP481)</f>
        <v/>
      </c>
      <c r="L491" s="167" t="str">
        <f>IF(ISBLANK(DaqBook_RAW_Data!AQ481),"",DaqBook_RAW_Data!AQ481)</f>
        <v/>
      </c>
      <c r="M491" s="167" t="str">
        <f>IF(ISBLANK(DaqBook_RAW_Data!AR481),"",DaqBook_RAW_Data!AR481)</f>
        <v/>
      </c>
      <c r="N491" s="167" t="str">
        <f>IF(ISBLANK(DaqBook_RAW_Data!AS481),"",DaqBook_RAW_Data!AS481)</f>
        <v/>
      </c>
      <c r="O491" s="167"/>
      <c r="P491" s="167"/>
    </row>
    <row r="492" spans="1:16" x14ac:dyDescent="0.2">
      <c r="A492" s="58" t="e">
        <f t="shared" si="7"/>
        <v>#VALUE!</v>
      </c>
      <c r="B492" s="144" t="str">
        <f>IF(ISBLANK(DaqBook_RAW_Data!AG482),IF(DaqBook_RAW_Data!A482="","",TIMEVALUE(DaqBook_RAW_Data!A482)),TIMEVALUE(DaqBook_RAW_Data!AG482))</f>
        <v/>
      </c>
      <c r="C492" s="167" t="str">
        <f>IF(ISBLANK(DaqBook_RAW_Data!AH482),"",DaqBook_RAW_Data!AH482)</f>
        <v/>
      </c>
      <c r="D492" s="167" t="str">
        <f>IF(ISBLANK(DaqBook_RAW_Data!AI482),"",DaqBook_RAW_Data!AI482)</f>
        <v/>
      </c>
      <c r="E492" s="167" t="str">
        <f>IF(ISBLANK(DaqBook_RAW_Data!AJ482),"",DaqBook_RAW_Data!AJ482)</f>
        <v/>
      </c>
      <c r="F492" s="167" t="str">
        <f>IF(ISBLANK(DaqBook_RAW_Data!AK482),"",DaqBook_RAW_Data!AK482)</f>
        <v/>
      </c>
      <c r="G492" s="167" t="str">
        <f>IF(ISBLANK(DaqBook_RAW_Data!AL482),"",DaqBook_RAW_Data!AL482)</f>
        <v/>
      </c>
      <c r="H492" s="167" t="str">
        <f>IF(ISBLANK(DaqBook_RAW_Data!AM482),"",DaqBook_RAW_Data!AM482)</f>
        <v/>
      </c>
      <c r="I492" s="167" t="str">
        <f>IF(ISBLANK(DaqBook_RAW_Data!AN482),"",DaqBook_RAW_Data!AN482)</f>
        <v/>
      </c>
      <c r="J492" s="167" t="str">
        <f>IF(ISBLANK(DaqBook_RAW_Data!AO482),"",DaqBook_RAW_Data!AO482)</f>
        <v/>
      </c>
      <c r="K492" s="167" t="str">
        <f>IF(ISBLANK(DaqBook_RAW_Data!AP482),"",DaqBook_RAW_Data!AP482)</f>
        <v/>
      </c>
      <c r="L492" s="167" t="str">
        <f>IF(ISBLANK(DaqBook_RAW_Data!AQ482),"",DaqBook_RAW_Data!AQ482)</f>
        <v/>
      </c>
      <c r="M492" s="167" t="str">
        <f>IF(ISBLANK(DaqBook_RAW_Data!AR482),"",DaqBook_RAW_Data!AR482)</f>
        <v/>
      </c>
      <c r="N492" s="167" t="str">
        <f>IF(ISBLANK(DaqBook_RAW_Data!AS482),"",DaqBook_RAW_Data!AS482)</f>
        <v/>
      </c>
      <c r="O492" s="167"/>
      <c r="P492" s="167"/>
    </row>
    <row r="493" spans="1:16" x14ac:dyDescent="0.2">
      <c r="A493" s="58" t="e">
        <f t="shared" si="7"/>
        <v>#VALUE!</v>
      </c>
      <c r="B493" s="144" t="str">
        <f>IF(ISBLANK(DaqBook_RAW_Data!AG483),IF(DaqBook_RAW_Data!A483="","",TIMEVALUE(DaqBook_RAW_Data!A483)),TIMEVALUE(DaqBook_RAW_Data!AG483))</f>
        <v/>
      </c>
      <c r="C493" s="167" t="str">
        <f>IF(ISBLANK(DaqBook_RAW_Data!AH483),"",DaqBook_RAW_Data!AH483)</f>
        <v/>
      </c>
      <c r="D493" s="167" t="str">
        <f>IF(ISBLANK(DaqBook_RAW_Data!AI483),"",DaqBook_RAW_Data!AI483)</f>
        <v/>
      </c>
      <c r="E493" s="167" t="str">
        <f>IF(ISBLANK(DaqBook_RAW_Data!AJ483),"",DaqBook_RAW_Data!AJ483)</f>
        <v/>
      </c>
      <c r="F493" s="167" t="str">
        <f>IF(ISBLANK(DaqBook_RAW_Data!AK483),"",DaqBook_RAW_Data!AK483)</f>
        <v/>
      </c>
      <c r="G493" s="167" t="str">
        <f>IF(ISBLANK(DaqBook_RAW_Data!AL483),"",DaqBook_RAW_Data!AL483)</f>
        <v/>
      </c>
      <c r="H493" s="167" t="str">
        <f>IF(ISBLANK(DaqBook_RAW_Data!AM483),"",DaqBook_RAW_Data!AM483)</f>
        <v/>
      </c>
      <c r="I493" s="167" t="str">
        <f>IF(ISBLANK(DaqBook_RAW_Data!AN483),"",DaqBook_RAW_Data!AN483)</f>
        <v/>
      </c>
      <c r="J493" s="167" t="str">
        <f>IF(ISBLANK(DaqBook_RAW_Data!AO483),"",DaqBook_RAW_Data!AO483)</f>
        <v/>
      </c>
      <c r="K493" s="167" t="str">
        <f>IF(ISBLANK(DaqBook_RAW_Data!AP483),"",DaqBook_RAW_Data!AP483)</f>
        <v/>
      </c>
      <c r="L493" s="167" t="str">
        <f>IF(ISBLANK(DaqBook_RAW_Data!AQ483),"",DaqBook_RAW_Data!AQ483)</f>
        <v/>
      </c>
      <c r="M493" s="167" t="str">
        <f>IF(ISBLANK(DaqBook_RAW_Data!AR483),"",DaqBook_RAW_Data!AR483)</f>
        <v/>
      </c>
      <c r="N493" s="167" t="str">
        <f>IF(ISBLANK(DaqBook_RAW_Data!AS483),"",DaqBook_RAW_Data!AS483)</f>
        <v/>
      </c>
      <c r="O493" s="167"/>
      <c r="P493" s="167"/>
    </row>
    <row r="494" spans="1:16" x14ac:dyDescent="0.2">
      <c r="A494" s="58" t="e">
        <f t="shared" si="7"/>
        <v>#VALUE!</v>
      </c>
      <c r="B494" s="144" t="str">
        <f>IF(ISBLANK(DaqBook_RAW_Data!AG484),IF(DaqBook_RAW_Data!A484="","",TIMEVALUE(DaqBook_RAW_Data!A484)),TIMEVALUE(DaqBook_RAW_Data!AG484))</f>
        <v/>
      </c>
      <c r="C494" s="167" t="str">
        <f>IF(ISBLANK(DaqBook_RAW_Data!AH484),"",DaqBook_RAW_Data!AH484)</f>
        <v/>
      </c>
      <c r="D494" s="167" t="str">
        <f>IF(ISBLANK(DaqBook_RAW_Data!AI484),"",DaqBook_RAW_Data!AI484)</f>
        <v/>
      </c>
      <c r="E494" s="167" t="str">
        <f>IF(ISBLANK(DaqBook_RAW_Data!AJ484),"",DaqBook_RAW_Data!AJ484)</f>
        <v/>
      </c>
      <c r="F494" s="167" t="str">
        <f>IF(ISBLANK(DaqBook_RAW_Data!AK484),"",DaqBook_RAW_Data!AK484)</f>
        <v/>
      </c>
      <c r="G494" s="167" t="str">
        <f>IF(ISBLANK(DaqBook_RAW_Data!AL484),"",DaqBook_RAW_Data!AL484)</f>
        <v/>
      </c>
      <c r="H494" s="167" t="str">
        <f>IF(ISBLANK(DaqBook_RAW_Data!AM484),"",DaqBook_RAW_Data!AM484)</f>
        <v/>
      </c>
      <c r="I494" s="167" t="str">
        <f>IF(ISBLANK(DaqBook_RAW_Data!AN484),"",DaqBook_RAW_Data!AN484)</f>
        <v/>
      </c>
      <c r="J494" s="167" t="str">
        <f>IF(ISBLANK(DaqBook_RAW_Data!AO484),"",DaqBook_RAW_Data!AO484)</f>
        <v/>
      </c>
      <c r="K494" s="167" t="str">
        <f>IF(ISBLANK(DaqBook_RAW_Data!AP484),"",DaqBook_RAW_Data!AP484)</f>
        <v/>
      </c>
      <c r="L494" s="167" t="str">
        <f>IF(ISBLANK(DaqBook_RAW_Data!AQ484),"",DaqBook_RAW_Data!AQ484)</f>
        <v/>
      </c>
      <c r="M494" s="167" t="str">
        <f>IF(ISBLANK(DaqBook_RAW_Data!AR484),"",DaqBook_RAW_Data!AR484)</f>
        <v/>
      </c>
      <c r="N494" s="167" t="str">
        <f>IF(ISBLANK(DaqBook_RAW_Data!AS484),"",DaqBook_RAW_Data!AS484)</f>
        <v/>
      </c>
      <c r="O494" s="167"/>
      <c r="P494" s="167"/>
    </row>
    <row r="495" spans="1:16" x14ac:dyDescent="0.2">
      <c r="A495" s="58" t="e">
        <f t="shared" si="7"/>
        <v>#VALUE!</v>
      </c>
      <c r="B495" s="144" t="str">
        <f>IF(ISBLANK(DaqBook_RAW_Data!AG485),IF(DaqBook_RAW_Data!A485="","",TIMEVALUE(DaqBook_RAW_Data!A485)),TIMEVALUE(DaqBook_RAW_Data!AG485))</f>
        <v/>
      </c>
      <c r="C495" s="167" t="str">
        <f>IF(ISBLANK(DaqBook_RAW_Data!AH485),"",DaqBook_RAW_Data!AH485)</f>
        <v/>
      </c>
      <c r="D495" s="167" t="str">
        <f>IF(ISBLANK(DaqBook_RAW_Data!AI485),"",DaqBook_RAW_Data!AI485)</f>
        <v/>
      </c>
      <c r="E495" s="167" t="str">
        <f>IF(ISBLANK(DaqBook_RAW_Data!AJ485),"",DaqBook_RAW_Data!AJ485)</f>
        <v/>
      </c>
      <c r="F495" s="167" t="str">
        <f>IF(ISBLANK(DaqBook_RAW_Data!AK485),"",DaqBook_RAW_Data!AK485)</f>
        <v/>
      </c>
      <c r="G495" s="167" t="str">
        <f>IF(ISBLANK(DaqBook_RAW_Data!AL485),"",DaqBook_RAW_Data!AL485)</f>
        <v/>
      </c>
      <c r="H495" s="167" t="str">
        <f>IF(ISBLANK(DaqBook_RAW_Data!AM485),"",DaqBook_RAW_Data!AM485)</f>
        <v/>
      </c>
      <c r="I495" s="167" t="str">
        <f>IF(ISBLANK(DaqBook_RAW_Data!AN485),"",DaqBook_RAW_Data!AN485)</f>
        <v/>
      </c>
      <c r="J495" s="167" t="str">
        <f>IF(ISBLANK(DaqBook_RAW_Data!AO485),"",DaqBook_RAW_Data!AO485)</f>
        <v/>
      </c>
      <c r="K495" s="167" t="str">
        <f>IF(ISBLANK(DaqBook_RAW_Data!AP485),"",DaqBook_RAW_Data!AP485)</f>
        <v/>
      </c>
      <c r="L495" s="167" t="str">
        <f>IF(ISBLANK(DaqBook_RAW_Data!AQ485),"",DaqBook_RAW_Data!AQ485)</f>
        <v/>
      </c>
      <c r="M495" s="167" t="str">
        <f>IF(ISBLANK(DaqBook_RAW_Data!AR485),"",DaqBook_RAW_Data!AR485)</f>
        <v/>
      </c>
      <c r="N495" s="167" t="str">
        <f>IF(ISBLANK(DaqBook_RAW_Data!AS485),"",DaqBook_RAW_Data!AS485)</f>
        <v/>
      </c>
      <c r="O495" s="167"/>
      <c r="P495" s="167"/>
    </row>
    <row r="496" spans="1:16" x14ac:dyDescent="0.2">
      <c r="A496" s="58" t="e">
        <f t="shared" si="7"/>
        <v>#VALUE!</v>
      </c>
      <c r="B496" s="144" t="str">
        <f>IF(ISBLANK(DaqBook_RAW_Data!AG486),IF(DaqBook_RAW_Data!A486="","",TIMEVALUE(DaqBook_RAW_Data!A486)),TIMEVALUE(DaqBook_RAW_Data!AG486))</f>
        <v/>
      </c>
      <c r="C496" s="167" t="str">
        <f>IF(ISBLANK(DaqBook_RAW_Data!AH486),"",DaqBook_RAW_Data!AH486)</f>
        <v/>
      </c>
      <c r="D496" s="167" t="str">
        <f>IF(ISBLANK(DaqBook_RAW_Data!AI486),"",DaqBook_RAW_Data!AI486)</f>
        <v/>
      </c>
      <c r="E496" s="167" t="str">
        <f>IF(ISBLANK(DaqBook_RAW_Data!AJ486),"",DaqBook_RAW_Data!AJ486)</f>
        <v/>
      </c>
      <c r="F496" s="167" t="str">
        <f>IF(ISBLANK(DaqBook_RAW_Data!AK486),"",DaqBook_RAW_Data!AK486)</f>
        <v/>
      </c>
      <c r="G496" s="167" t="str">
        <f>IF(ISBLANK(DaqBook_RAW_Data!AL486),"",DaqBook_RAW_Data!AL486)</f>
        <v/>
      </c>
      <c r="H496" s="167" t="str">
        <f>IF(ISBLANK(DaqBook_RAW_Data!AM486),"",DaqBook_RAW_Data!AM486)</f>
        <v/>
      </c>
      <c r="I496" s="167" t="str">
        <f>IF(ISBLANK(DaqBook_RAW_Data!AN486),"",DaqBook_RAW_Data!AN486)</f>
        <v/>
      </c>
      <c r="J496" s="167" t="str">
        <f>IF(ISBLANK(DaqBook_RAW_Data!AO486),"",DaqBook_RAW_Data!AO486)</f>
        <v/>
      </c>
      <c r="K496" s="167" t="str">
        <f>IF(ISBLANK(DaqBook_RAW_Data!AP486),"",DaqBook_RAW_Data!AP486)</f>
        <v/>
      </c>
      <c r="L496" s="167" t="str">
        <f>IF(ISBLANK(DaqBook_RAW_Data!AQ486),"",DaqBook_RAW_Data!AQ486)</f>
        <v/>
      </c>
      <c r="M496" s="167" t="str">
        <f>IF(ISBLANK(DaqBook_RAW_Data!AR486),"",DaqBook_RAW_Data!AR486)</f>
        <v/>
      </c>
      <c r="N496" s="167" t="str">
        <f>IF(ISBLANK(DaqBook_RAW_Data!AS486),"",DaqBook_RAW_Data!AS486)</f>
        <v/>
      </c>
      <c r="O496" s="167"/>
      <c r="P496" s="167"/>
    </row>
    <row r="497" spans="1:16" x14ac:dyDescent="0.2">
      <c r="A497" s="58" t="e">
        <f t="shared" si="7"/>
        <v>#VALUE!</v>
      </c>
      <c r="B497" s="144" t="str">
        <f>IF(ISBLANK(DaqBook_RAW_Data!AG487),IF(DaqBook_RAW_Data!A487="","",TIMEVALUE(DaqBook_RAW_Data!A487)),TIMEVALUE(DaqBook_RAW_Data!AG487))</f>
        <v/>
      </c>
      <c r="C497" s="167" t="str">
        <f>IF(ISBLANK(DaqBook_RAW_Data!AH487),"",DaqBook_RAW_Data!AH487)</f>
        <v/>
      </c>
      <c r="D497" s="167" t="str">
        <f>IF(ISBLANK(DaqBook_RAW_Data!AI487),"",DaqBook_RAW_Data!AI487)</f>
        <v/>
      </c>
      <c r="E497" s="167" t="str">
        <f>IF(ISBLANK(DaqBook_RAW_Data!AJ487),"",DaqBook_RAW_Data!AJ487)</f>
        <v/>
      </c>
      <c r="F497" s="167" t="str">
        <f>IF(ISBLANK(DaqBook_RAW_Data!AK487),"",DaqBook_RAW_Data!AK487)</f>
        <v/>
      </c>
      <c r="G497" s="167" t="str">
        <f>IF(ISBLANK(DaqBook_RAW_Data!AL487),"",DaqBook_RAW_Data!AL487)</f>
        <v/>
      </c>
      <c r="H497" s="167" t="str">
        <f>IF(ISBLANK(DaqBook_RAW_Data!AM487),"",DaqBook_RAW_Data!AM487)</f>
        <v/>
      </c>
      <c r="I497" s="167" t="str">
        <f>IF(ISBLANK(DaqBook_RAW_Data!AN487),"",DaqBook_RAW_Data!AN487)</f>
        <v/>
      </c>
      <c r="J497" s="167" t="str">
        <f>IF(ISBLANK(DaqBook_RAW_Data!AO487),"",DaqBook_RAW_Data!AO487)</f>
        <v/>
      </c>
      <c r="K497" s="167" t="str">
        <f>IF(ISBLANK(DaqBook_RAW_Data!AP487),"",DaqBook_RAW_Data!AP487)</f>
        <v/>
      </c>
      <c r="L497" s="167" t="str">
        <f>IF(ISBLANK(DaqBook_RAW_Data!AQ487),"",DaqBook_RAW_Data!AQ487)</f>
        <v/>
      </c>
      <c r="M497" s="167" t="str">
        <f>IF(ISBLANK(DaqBook_RAW_Data!AR487),"",DaqBook_RAW_Data!AR487)</f>
        <v/>
      </c>
      <c r="N497" s="167" t="str">
        <f>IF(ISBLANK(DaqBook_RAW_Data!AS487),"",DaqBook_RAW_Data!AS487)</f>
        <v/>
      </c>
      <c r="O497" s="167"/>
      <c r="P497" s="167"/>
    </row>
    <row r="498" spans="1:16" x14ac:dyDescent="0.2">
      <c r="A498" s="58" t="e">
        <f t="shared" si="7"/>
        <v>#VALUE!</v>
      </c>
      <c r="B498" s="144" t="str">
        <f>IF(ISBLANK(DaqBook_RAW_Data!AG488),IF(DaqBook_RAW_Data!A488="","",TIMEVALUE(DaqBook_RAW_Data!A488)),TIMEVALUE(DaqBook_RAW_Data!AG488))</f>
        <v/>
      </c>
      <c r="C498" s="167" t="str">
        <f>IF(ISBLANK(DaqBook_RAW_Data!AH488),"",DaqBook_RAW_Data!AH488)</f>
        <v/>
      </c>
      <c r="D498" s="167" t="str">
        <f>IF(ISBLANK(DaqBook_RAW_Data!AI488),"",DaqBook_RAW_Data!AI488)</f>
        <v/>
      </c>
      <c r="E498" s="167" t="str">
        <f>IF(ISBLANK(DaqBook_RAW_Data!AJ488),"",DaqBook_RAW_Data!AJ488)</f>
        <v/>
      </c>
      <c r="F498" s="167" t="str">
        <f>IF(ISBLANK(DaqBook_RAW_Data!AK488),"",DaqBook_RAW_Data!AK488)</f>
        <v/>
      </c>
      <c r="G498" s="167" t="str">
        <f>IF(ISBLANK(DaqBook_RAW_Data!AL488),"",DaqBook_RAW_Data!AL488)</f>
        <v/>
      </c>
      <c r="H498" s="167" t="str">
        <f>IF(ISBLANK(DaqBook_RAW_Data!AM488),"",DaqBook_RAW_Data!AM488)</f>
        <v/>
      </c>
      <c r="I498" s="167" t="str">
        <f>IF(ISBLANK(DaqBook_RAW_Data!AN488),"",DaqBook_RAW_Data!AN488)</f>
        <v/>
      </c>
      <c r="J498" s="167" t="str">
        <f>IF(ISBLANK(DaqBook_RAW_Data!AO488),"",DaqBook_RAW_Data!AO488)</f>
        <v/>
      </c>
      <c r="K498" s="167" t="str">
        <f>IF(ISBLANK(DaqBook_RAW_Data!AP488),"",DaqBook_RAW_Data!AP488)</f>
        <v/>
      </c>
      <c r="L498" s="167" t="str">
        <f>IF(ISBLANK(DaqBook_RAW_Data!AQ488),"",DaqBook_RAW_Data!AQ488)</f>
        <v/>
      </c>
      <c r="M498" s="167" t="str">
        <f>IF(ISBLANK(DaqBook_RAW_Data!AR488),"",DaqBook_RAW_Data!AR488)</f>
        <v/>
      </c>
      <c r="N498" s="167" t="str">
        <f>IF(ISBLANK(DaqBook_RAW_Data!AS488),"",DaqBook_RAW_Data!AS488)</f>
        <v/>
      </c>
      <c r="O498" s="167"/>
      <c r="P498" s="167"/>
    </row>
    <row r="499" spans="1:16" x14ac:dyDescent="0.2">
      <c r="A499" s="58" t="e">
        <f t="shared" si="7"/>
        <v>#VALUE!</v>
      </c>
      <c r="B499" s="144" t="str">
        <f>IF(ISBLANK(DaqBook_RAW_Data!AG489),IF(DaqBook_RAW_Data!A489="","",TIMEVALUE(DaqBook_RAW_Data!A489)),TIMEVALUE(DaqBook_RAW_Data!AG489))</f>
        <v/>
      </c>
      <c r="C499" s="167" t="str">
        <f>IF(ISBLANK(DaqBook_RAW_Data!AH489),"",DaqBook_RAW_Data!AH489)</f>
        <v/>
      </c>
      <c r="D499" s="167" t="str">
        <f>IF(ISBLANK(DaqBook_RAW_Data!AI489),"",DaqBook_RAW_Data!AI489)</f>
        <v/>
      </c>
      <c r="E499" s="167" t="str">
        <f>IF(ISBLANK(DaqBook_RAW_Data!AJ489),"",DaqBook_RAW_Data!AJ489)</f>
        <v/>
      </c>
      <c r="F499" s="167" t="str">
        <f>IF(ISBLANK(DaqBook_RAW_Data!AK489),"",DaqBook_RAW_Data!AK489)</f>
        <v/>
      </c>
      <c r="G499" s="167" t="str">
        <f>IF(ISBLANK(DaqBook_RAW_Data!AL489),"",DaqBook_RAW_Data!AL489)</f>
        <v/>
      </c>
      <c r="H499" s="167" t="str">
        <f>IF(ISBLANK(DaqBook_RAW_Data!AM489),"",DaqBook_RAW_Data!AM489)</f>
        <v/>
      </c>
      <c r="I499" s="167" t="str">
        <f>IF(ISBLANK(DaqBook_RAW_Data!AN489),"",DaqBook_RAW_Data!AN489)</f>
        <v/>
      </c>
      <c r="J499" s="167" t="str">
        <f>IF(ISBLANK(DaqBook_RAW_Data!AO489),"",DaqBook_RAW_Data!AO489)</f>
        <v/>
      </c>
      <c r="K499" s="167" t="str">
        <f>IF(ISBLANK(DaqBook_RAW_Data!AP489),"",DaqBook_RAW_Data!AP489)</f>
        <v/>
      </c>
      <c r="L499" s="167" t="str">
        <f>IF(ISBLANK(DaqBook_RAW_Data!AQ489),"",DaqBook_RAW_Data!AQ489)</f>
        <v/>
      </c>
      <c r="M499" s="167" t="str">
        <f>IF(ISBLANK(DaqBook_RAW_Data!AR489),"",DaqBook_RAW_Data!AR489)</f>
        <v/>
      </c>
      <c r="N499" s="167" t="str">
        <f>IF(ISBLANK(DaqBook_RAW_Data!AS489),"",DaqBook_RAW_Data!AS489)</f>
        <v/>
      </c>
      <c r="O499" s="167"/>
      <c r="P499" s="167"/>
    </row>
    <row r="500" spans="1:16" x14ac:dyDescent="0.2">
      <c r="A500" s="58" t="e">
        <f t="shared" si="7"/>
        <v>#VALUE!</v>
      </c>
      <c r="B500" s="144" t="str">
        <f>IF(ISBLANK(DaqBook_RAW_Data!AG490),IF(DaqBook_RAW_Data!A490="","",TIMEVALUE(DaqBook_RAW_Data!A490)),TIMEVALUE(DaqBook_RAW_Data!AG490))</f>
        <v/>
      </c>
      <c r="C500" s="167" t="str">
        <f>IF(ISBLANK(DaqBook_RAW_Data!AH490),"",DaqBook_RAW_Data!AH490)</f>
        <v/>
      </c>
      <c r="D500" s="167" t="str">
        <f>IF(ISBLANK(DaqBook_RAW_Data!AI490),"",DaqBook_RAW_Data!AI490)</f>
        <v/>
      </c>
      <c r="E500" s="167" t="str">
        <f>IF(ISBLANK(DaqBook_RAW_Data!AJ490),"",DaqBook_RAW_Data!AJ490)</f>
        <v/>
      </c>
      <c r="F500" s="167" t="str">
        <f>IF(ISBLANK(DaqBook_RAW_Data!AK490),"",DaqBook_RAW_Data!AK490)</f>
        <v/>
      </c>
      <c r="G500" s="167" t="str">
        <f>IF(ISBLANK(DaqBook_RAW_Data!AL490),"",DaqBook_RAW_Data!AL490)</f>
        <v/>
      </c>
      <c r="H500" s="167" t="str">
        <f>IF(ISBLANK(DaqBook_RAW_Data!AM490),"",DaqBook_RAW_Data!AM490)</f>
        <v/>
      </c>
      <c r="I500" s="167" t="str">
        <f>IF(ISBLANK(DaqBook_RAW_Data!AN490),"",DaqBook_RAW_Data!AN490)</f>
        <v/>
      </c>
      <c r="J500" s="167" t="str">
        <f>IF(ISBLANK(DaqBook_RAW_Data!AO490),"",DaqBook_RAW_Data!AO490)</f>
        <v/>
      </c>
      <c r="K500" s="167" t="str">
        <f>IF(ISBLANK(DaqBook_RAW_Data!AP490),"",DaqBook_RAW_Data!AP490)</f>
        <v/>
      </c>
      <c r="L500" s="167" t="str">
        <f>IF(ISBLANK(DaqBook_RAW_Data!AQ490),"",DaqBook_RAW_Data!AQ490)</f>
        <v/>
      </c>
      <c r="M500" s="167" t="str">
        <f>IF(ISBLANK(DaqBook_RAW_Data!AR490),"",DaqBook_RAW_Data!AR490)</f>
        <v/>
      </c>
      <c r="N500" s="167" t="str">
        <f>IF(ISBLANK(DaqBook_RAW_Data!AS490),"",DaqBook_RAW_Data!AS490)</f>
        <v/>
      </c>
      <c r="O500" s="167"/>
      <c r="P500" s="167"/>
    </row>
    <row r="501" spans="1:16" x14ac:dyDescent="0.2">
      <c r="A501" s="58" t="e">
        <f t="shared" si="7"/>
        <v>#VALUE!</v>
      </c>
      <c r="B501" s="144" t="str">
        <f>IF(ISBLANK(DaqBook_RAW_Data!AG491),IF(DaqBook_RAW_Data!A491="","",TIMEVALUE(DaqBook_RAW_Data!A491)),TIMEVALUE(DaqBook_RAW_Data!AG491))</f>
        <v/>
      </c>
      <c r="C501" s="167" t="str">
        <f>IF(ISBLANK(DaqBook_RAW_Data!AH491),"",DaqBook_RAW_Data!AH491)</f>
        <v/>
      </c>
      <c r="D501" s="167" t="str">
        <f>IF(ISBLANK(DaqBook_RAW_Data!AI491),"",DaqBook_RAW_Data!AI491)</f>
        <v/>
      </c>
      <c r="E501" s="167" t="str">
        <f>IF(ISBLANK(DaqBook_RAW_Data!AJ491),"",DaqBook_RAW_Data!AJ491)</f>
        <v/>
      </c>
      <c r="F501" s="167" t="str">
        <f>IF(ISBLANK(DaqBook_RAW_Data!AK491),"",DaqBook_RAW_Data!AK491)</f>
        <v/>
      </c>
      <c r="G501" s="167" t="str">
        <f>IF(ISBLANK(DaqBook_RAW_Data!AL491),"",DaqBook_RAW_Data!AL491)</f>
        <v/>
      </c>
      <c r="H501" s="167" t="str">
        <f>IF(ISBLANK(DaqBook_RAW_Data!AM491),"",DaqBook_RAW_Data!AM491)</f>
        <v/>
      </c>
      <c r="I501" s="167" t="str">
        <f>IF(ISBLANK(DaqBook_RAW_Data!AN491),"",DaqBook_RAW_Data!AN491)</f>
        <v/>
      </c>
      <c r="J501" s="167" t="str">
        <f>IF(ISBLANK(DaqBook_RAW_Data!AO491),"",DaqBook_RAW_Data!AO491)</f>
        <v/>
      </c>
      <c r="K501" s="167" t="str">
        <f>IF(ISBLANK(DaqBook_RAW_Data!AP491),"",DaqBook_RAW_Data!AP491)</f>
        <v/>
      </c>
      <c r="L501" s="167" t="str">
        <f>IF(ISBLANK(DaqBook_RAW_Data!AQ491),"",DaqBook_RAW_Data!AQ491)</f>
        <v/>
      </c>
      <c r="M501" s="167" t="str">
        <f>IF(ISBLANK(DaqBook_RAW_Data!AR491),"",DaqBook_RAW_Data!AR491)</f>
        <v/>
      </c>
      <c r="N501" s="167" t="str">
        <f>IF(ISBLANK(DaqBook_RAW_Data!AS491),"",DaqBook_RAW_Data!AS491)</f>
        <v/>
      </c>
      <c r="O501" s="44"/>
      <c r="P501" s="44"/>
    </row>
    <row r="502" spans="1:16" x14ac:dyDescent="0.2">
      <c r="A502" s="58" t="e">
        <f t="shared" si="7"/>
        <v>#VALUE!</v>
      </c>
      <c r="B502" s="144" t="str">
        <f>IF(ISBLANK(DaqBook_RAW_Data!AG492),IF(DaqBook_RAW_Data!A492="","",TIMEVALUE(DaqBook_RAW_Data!A492)),TIMEVALUE(DaqBook_RAW_Data!AG492))</f>
        <v/>
      </c>
      <c r="C502" s="167" t="str">
        <f>IF(ISBLANK(DaqBook_RAW_Data!AH492),"",DaqBook_RAW_Data!AH492)</f>
        <v/>
      </c>
      <c r="D502" s="167" t="str">
        <f>IF(ISBLANK(DaqBook_RAW_Data!AI492),"",DaqBook_RAW_Data!AI492)</f>
        <v/>
      </c>
      <c r="E502" s="167" t="str">
        <f>IF(ISBLANK(DaqBook_RAW_Data!AJ492),"",DaqBook_RAW_Data!AJ492)</f>
        <v/>
      </c>
      <c r="F502" s="167" t="str">
        <f>IF(ISBLANK(DaqBook_RAW_Data!AK492),"",DaqBook_RAW_Data!AK492)</f>
        <v/>
      </c>
      <c r="G502" s="167" t="str">
        <f>IF(ISBLANK(DaqBook_RAW_Data!AL492),"",DaqBook_RAW_Data!AL492)</f>
        <v/>
      </c>
      <c r="H502" s="167" t="str">
        <f>IF(ISBLANK(DaqBook_RAW_Data!AM492),"",DaqBook_RAW_Data!AM492)</f>
        <v/>
      </c>
      <c r="I502" s="167" t="str">
        <f>IF(ISBLANK(DaqBook_RAW_Data!AN492),"",DaqBook_RAW_Data!AN492)</f>
        <v/>
      </c>
      <c r="J502" s="167" t="str">
        <f>IF(ISBLANK(DaqBook_RAW_Data!AO492),"",DaqBook_RAW_Data!AO492)</f>
        <v/>
      </c>
      <c r="K502" s="167" t="str">
        <f>IF(ISBLANK(DaqBook_RAW_Data!AP492),"",DaqBook_RAW_Data!AP492)</f>
        <v/>
      </c>
      <c r="L502" s="167" t="str">
        <f>IF(ISBLANK(DaqBook_RAW_Data!AQ492),"",DaqBook_RAW_Data!AQ492)</f>
        <v/>
      </c>
      <c r="M502" s="167" t="str">
        <f>IF(ISBLANK(DaqBook_RAW_Data!AR492),"",DaqBook_RAW_Data!AR492)</f>
        <v/>
      </c>
      <c r="N502" s="167" t="str">
        <f>IF(ISBLANK(DaqBook_RAW_Data!AS492),"",DaqBook_RAW_Data!AS492)</f>
        <v/>
      </c>
      <c r="O502" s="44"/>
      <c r="P502" s="44"/>
    </row>
    <row r="503" spans="1:16" x14ac:dyDescent="0.2">
      <c r="A503" s="58" t="e">
        <f t="shared" si="7"/>
        <v>#VALUE!</v>
      </c>
      <c r="B503" s="144" t="str">
        <f>IF(ISBLANK(DaqBook_RAW_Data!AG493),IF(DaqBook_RAW_Data!A493="","",TIMEVALUE(DaqBook_RAW_Data!A493)),TIMEVALUE(DaqBook_RAW_Data!AG493))</f>
        <v/>
      </c>
      <c r="C503" s="167" t="str">
        <f>IF(ISBLANK(DaqBook_RAW_Data!AH493),"",DaqBook_RAW_Data!AH493)</f>
        <v/>
      </c>
      <c r="D503" s="167" t="str">
        <f>IF(ISBLANK(DaqBook_RAW_Data!AI493),"",DaqBook_RAW_Data!AI493)</f>
        <v/>
      </c>
      <c r="E503" s="167" t="str">
        <f>IF(ISBLANK(DaqBook_RAW_Data!AJ493),"",DaqBook_RAW_Data!AJ493)</f>
        <v/>
      </c>
      <c r="F503" s="167" t="str">
        <f>IF(ISBLANK(DaqBook_RAW_Data!AK493),"",DaqBook_RAW_Data!AK493)</f>
        <v/>
      </c>
      <c r="G503" s="167" t="str">
        <f>IF(ISBLANK(DaqBook_RAW_Data!AL493),"",DaqBook_RAW_Data!AL493)</f>
        <v/>
      </c>
      <c r="H503" s="167" t="str">
        <f>IF(ISBLANK(DaqBook_RAW_Data!AM493),"",DaqBook_RAW_Data!AM493)</f>
        <v/>
      </c>
      <c r="I503" s="167" t="str">
        <f>IF(ISBLANK(DaqBook_RAW_Data!AN493),"",DaqBook_RAW_Data!AN493)</f>
        <v/>
      </c>
      <c r="J503" s="167" t="str">
        <f>IF(ISBLANK(DaqBook_RAW_Data!AO493),"",DaqBook_RAW_Data!AO493)</f>
        <v/>
      </c>
      <c r="K503" s="167" t="str">
        <f>IF(ISBLANK(DaqBook_RAW_Data!AP493),"",DaqBook_RAW_Data!AP493)</f>
        <v/>
      </c>
      <c r="L503" s="167" t="str">
        <f>IF(ISBLANK(DaqBook_RAW_Data!AQ493),"",DaqBook_RAW_Data!AQ493)</f>
        <v/>
      </c>
      <c r="M503" s="167" t="str">
        <f>IF(ISBLANK(DaqBook_RAW_Data!AR493),"",DaqBook_RAW_Data!AR493)</f>
        <v/>
      </c>
      <c r="N503" s="167" t="str">
        <f>IF(ISBLANK(DaqBook_RAW_Data!AS493),"",DaqBook_RAW_Data!AS493)</f>
        <v/>
      </c>
      <c r="O503" s="44"/>
      <c r="P503" s="44"/>
    </row>
    <row r="504" spans="1:16" x14ac:dyDescent="0.2">
      <c r="A504" s="58" t="e">
        <f t="shared" si="7"/>
        <v>#VALUE!</v>
      </c>
      <c r="B504" s="144" t="str">
        <f>IF(ISBLANK(DaqBook_RAW_Data!AG494),IF(DaqBook_RAW_Data!A494="","",TIMEVALUE(DaqBook_RAW_Data!A494)),TIMEVALUE(DaqBook_RAW_Data!AG494))</f>
        <v/>
      </c>
      <c r="C504" s="167" t="str">
        <f>IF(ISBLANK(DaqBook_RAW_Data!AH494),"",DaqBook_RAW_Data!AH494)</f>
        <v/>
      </c>
      <c r="D504" s="167" t="str">
        <f>IF(ISBLANK(DaqBook_RAW_Data!AI494),"",DaqBook_RAW_Data!AI494)</f>
        <v/>
      </c>
      <c r="E504" s="167" t="str">
        <f>IF(ISBLANK(DaqBook_RAW_Data!AJ494),"",DaqBook_RAW_Data!AJ494)</f>
        <v/>
      </c>
      <c r="F504" s="167" t="str">
        <f>IF(ISBLANK(DaqBook_RAW_Data!AK494),"",DaqBook_RAW_Data!AK494)</f>
        <v/>
      </c>
      <c r="G504" s="167" t="str">
        <f>IF(ISBLANK(DaqBook_RAW_Data!AL494),"",DaqBook_RAW_Data!AL494)</f>
        <v/>
      </c>
      <c r="H504" s="167" t="str">
        <f>IF(ISBLANK(DaqBook_RAW_Data!AM494),"",DaqBook_RAW_Data!AM494)</f>
        <v/>
      </c>
      <c r="I504" s="167" t="str">
        <f>IF(ISBLANK(DaqBook_RAW_Data!AN494),"",DaqBook_RAW_Data!AN494)</f>
        <v/>
      </c>
      <c r="J504" s="167" t="str">
        <f>IF(ISBLANK(DaqBook_RAW_Data!AO494),"",DaqBook_RAW_Data!AO494)</f>
        <v/>
      </c>
      <c r="K504" s="167" t="str">
        <f>IF(ISBLANK(DaqBook_RAW_Data!AP494),"",DaqBook_RAW_Data!AP494)</f>
        <v/>
      </c>
      <c r="L504" s="167" t="str">
        <f>IF(ISBLANK(DaqBook_RAW_Data!AQ494),"",DaqBook_RAW_Data!AQ494)</f>
        <v/>
      </c>
      <c r="M504" s="167" t="str">
        <f>IF(ISBLANK(DaqBook_RAW_Data!AR494),"",DaqBook_RAW_Data!AR494)</f>
        <v/>
      </c>
      <c r="N504" s="167" t="str">
        <f>IF(ISBLANK(DaqBook_RAW_Data!AS494),"",DaqBook_RAW_Data!AS494)</f>
        <v/>
      </c>
      <c r="O504" s="44"/>
      <c r="P504" s="44"/>
    </row>
    <row r="505" spans="1:16" x14ac:dyDescent="0.2">
      <c r="A505" s="58" t="e">
        <f t="shared" si="7"/>
        <v>#VALUE!</v>
      </c>
      <c r="B505" s="144" t="str">
        <f>IF(ISBLANK(DaqBook_RAW_Data!AG495),IF(DaqBook_RAW_Data!A495="","",TIMEVALUE(DaqBook_RAW_Data!A495)),TIMEVALUE(DaqBook_RAW_Data!AG495))</f>
        <v/>
      </c>
      <c r="C505" s="167" t="str">
        <f>IF(ISBLANK(DaqBook_RAW_Data!AH495),"",DaqBook_RAW_Data!AH495)</f>
        <v/>
      </c>
      <c r="D505" s="167" t="str">
        <f>IF(ISBLANK(DaqBook_RAW_Data!AI495),"",DaqBook_RAW_Data!AI495)</f>
        <v/>
      </c>
      <c r="E505" s="167" t="str">
        <f>IF(ISBLANK(DaqBook_RAW_Data!AJ495),"",DaqBook_RAW_Data!AJ495)</f>
        <v/>
      </c>
      <c r="F505" s="167" t="str">
        <f>IF(ISBLANK(DaqBook_RAW_Data!AK495),"",DaqBook_RAW_Data!AK495)</f>
        <v/>
      </c>
      <c r="G505" s="167" t="str">
        <f>IF(ISBLANK(DaqBook_RAW_Data!AL495),"",DaqBook_RAW_Data!AL495)</f>
        <v/>
      </c>
      <c r="H505" s="167" t="str">
        <f>IF(ISBLANK(DaqBook_RAW_Data!AM495),"",DaqBook_RAW_Data!AM495)</f>
        <v/>
      </c>
      <c r="I505" s="167" t="str">
        <f>IF(ISBLANK(DaqBook_RAW_Data!AN495),"",DaqBook_RAW_Data!AN495)</f>
        <v/>
      </c>
      <c r="J505" s="167" t="str">
        <f>IF(ISBLANK(DaqBook_RAW_Data!AO495),"",DaqBook_RAW_Data!AO495)</f>
        <v/>
      </c>
      <c r="K505" s="167" t="str">
        <f>IF(ISBLANK(DaqBook_RAW_Data!AP495),"",DaqBook_RAW_Data!AP495)</f>
        <v/>
      </c>
      <c r="L505" s="167" t="str">
        <f>IF(ISBLANK(DaqBook_RAW_Data!AQ495),"",DaqBook_RAW_Data!AQ495)</f>
        <v/>
      </c>
      <c r="M505" s="167" t="str">
        <f>IF(ISBLANK(DaqBook_RAW_Data!AR495),"",DaqBook_RAW_Data!AR495)</f>
        <v/>
      </c>
      <c r="N505" s="167" t="str">
        <f>IF(ISBLANK(DaqBook_RAW_Data!AS495),"",DaqBook_RAW_Data!AS495)</f>
        <v/>
      </c>
      <c r="O505" s="44"/>
      <c r="P505" s="44"/>
    </row>
    <row r="506" spans="1:16" x14ac:dyDescent="0.2">
      <c r="A506" s="58" t="e">
        <f t="shared" si="7"/>
        <v>#VALUE!</v>
      </c>
      <c r="B506" s="144" t="str">
        <f>IF(ISBLANK(DaqBook_RAW_Data!AG496),IF(DaqBook_RAW_Data!A496="","",TIMEVALUE(DaqBook_RAW_Data!A496)),TIMEVALUE(DaqBook_RAW_Data!AG496))</f>
        <v/>
      </c>
      <c r="C506" s="167" t="str">
        <f>IF(ISBLANK(DaqBook_RAW_Data!AH496),"",DaqBook_RAW_Data!AH496)</f>
        <v/>
      </c>
      <c r="D506" s="167" t="str">
        <f>IF(ISBLANK(DaqBook_RAW_Data!AI496),"",DaqBook_RAW_Data!AI496)</f>
        <v/>
      </c>
      <c r="E506" s="167" t="str">
        <f>IF(ISBLANK(DaqBook_RAW_Data!AJ496),"",DaqBook_RAW_Data!AJ496)</f>
        <v/>
      </c>
      <c r="F506" s="167" t="str">
        <f>IF(ISBLANK(DaqBook_RAW_Data!AK496),"",DaqBook_RAW_Data!AK496)</f>
        <v/>
      </c>
      <c r="G506" s="167" t="str">
        <f>IF(ISBLANK(DaqBook_RAW_Data!AL496),"",DaqBook_RAW_Data!AL496)</f>
        <v/>
      </c>
      <c r="H506" s="167" t="str">
        <f>IF(ISBLANK(DaqBook_RAW_Data!AM496),"",DaqBook_RAW_Data!AM496)</f>
        <v/>
      </c>
      <c r="I506" s="167" t="str">
        <f>IF(ISBLANK(DaqBook_RAW_Data!AN496),"",DaqBook_RAW_Data!AN496)</f>
        <v/>
      </c>
      <c r="J506" s="167" t="str">
        <f>IF(ISBLANK(DaqBook_RAW_Data!AO496),"",DaqBook_RAW_Data!AO496)</f>
        <v/>
      </c>
      <c r="K506" s="167" t="str">
        <f>IF(ISBLANK(DaqBook_RAW_Data!AP496),"",DaqBook_RAW_Data!AP496)</f>
        <v/>
      </c>
      <c r="L506" s="167" t="str">
        <f>IF(ISBLANK(DaqBook_RAW_Data!AQ496),"",DaqBook_RAW_Data!AQ496)</f>
        <v/>
      </c>
      <c r="M506" s="167" t="str">
        <f>IF(ISBLANK(DaqBook_RAW_Data!AR496),"",DaqBook_RAW_Data!AR496)</f>
        <v/>
      </c>
      <c r="N506" s="167" t="str">
        <f>IF(ISBLANK(DaqBook_RAW_Data!AS496),"",DaqBook_RAW_Data!AS496)</f>
        <v/>
      </c>
      <c r="O506" s="44"/>
      <c r="P506" s="44"/>
    </row>
    <row r="507" spans="1:16" x14ac:dyDescent="0.2">
      <c r="A507" s="58" t="e">
        <f t="shared" si="7"/>
        <v>#VALUE!</v>
      </c>
      <c r="B507" s="144" t="str">
        <f>IF(ISBLANK(DaqBook_RAW_Data!AG497),IF(DaqBook_RAW_Data!A497="","",TIMEVALUE(DaqBook_RAW_Data!A497)),TIMEVALUE(DaqBook_RAW_Data!AG497))</f>
        <v/>
      </c>
      <c r="C507" s="167" t="str">
        <f>IF(ISBLANK(DaqBook_RAW_Data!AH497),"",DaqBook_RAW_Data!AH497)</f>
        <v/>
      </c>
      <c r="D507" s="167" t="str">
        <f>IF(ISBLANK(DaqBook_RAW_Data!AI497),"",DaqBook_RAW_Data!AI497)</f>
        <v/>
      </c>
      <c r="E507" s="167" t="str">
        <f>IF(ISBLANK(DaqBook_RAW_Data!AJ497),"",DaqBook_RAW_Data!AJ497)</f>
        <v/>
      </c>
      <c r="F507" s="167" t="str">
        <f>IF(ISBLANK(DaqBook_RAW_Data!AK497),"",DaqBook_RAW_Data!AK497)</f>
        <v/>
      </c>
      <c r="G507" s="167" t="str">
        <f>IF(ISBLANK(DaqBook_RAW_Data!AL497),"",DaqBook_RAW_Data!AL497)</f>
        <v/>
      </c>
      <c r="H507" s="167" t="str">
        <f>IF(ISBLANK(DaqBook_RAW_Data!AM497),"",DaqBook_RAW_Data!AM497)</f>
        <v/>
      </c>
      <c r="I507" s="167" t="str">
        <f>IF(ISBLANK(DaqBook_RAW_Data!AN497),"",DaqBook_RAW_Data!AN497)</f>
        <v/>
      </c>
      <c r="J507" s="167" t="str">
        <f>IF(ISBLANK(DaqBook_RAW_Data!AO497),"",DaqBook_RAW_Data!AO497)</f>
        <v/>
      </c>
      <c r="K507" s="167" t="str">
        <f>IF(ISBLANK(DaqBook_RAW_Data!AP497),"",DaqBook_RAW_Data!AP497)</f>
        <v/>
      </c>
      <c r="L507" s="167" t="str">
        <f>IF(ISBLANK(DaqBook_RAW_Data!AQ497),"",DaqBook_RAW_Data!AQ497)</f>
        <v/>
      </c>
      <c r="M507" s="167" t="str">
        <f>IF(ISBLANK(DaqBook_RAW_Data!AR497),"",DaqBook_RAW_Data!AR497)</f>
        <v/>
      </c>
      <c r="N507" s="167" t="str">
        <f>IF(ISBLANK(DaqBook_RAW_Data!AS497),"",DaqBook_RAW_Data!AS497)</f>
        <v/>
      </c>
      <c r="O507" s="44"/>
      <c r="P507" s="44"/>
    </row>
    <row r="508" spans="1:16" x14ac:dyDescent="0.2">
      <c r="A508" s="58" t="e">
        <f t="shared" si="7"/>
        <v>#VALUE!</v>
      </c>
      <c r="B508" s="144" t="str">
        <f>IF(ISBLANK(DaqBook_RAW_Data!AG498),IF(DaqBook_RAW_Data!A498="","",TIMEVALUE(DaqBook_RAW_Data!A498)),TIMEVALUE(DaqBook_RAW_Data!AG498))</f>
        <v/>
      </c>
      <c r="C508" s="167" t="str">
        <f>IF(ISBLANK(DaqBook_RAW_Data!AH498),"",DaqBook_RAW_Data!AH498)</f>
        <v/>
      </c>
      <c r="D508" s="167" t="str">
        <f>IF(ISBLANK(DaqBook_RAW_Data!AI498),"",DaqBook_RAW_Data!AI498)</f>
        <v/>
      </c>
      <c r="E508" s="167" t="str">
        <f>IF(ISBLANK(DaqBook_RAW_Data!AJ498),"",DaqBook_RAW_Data!AJ498)</f>
        <v/>
      </c>
      <c r="F508" s="167" t="str">
        <f>IF(ISBLANK(DaqBook_RAW_Data!AK498),"",DaqBook_RAW_Data!AK498)</f>
        <v/>
      </c>
      <c r="G508" s="167" t="str">
        <f>IF(ISBLANK(DaqBook_RAW_Data!AL498),"",DaqBook_RAW_Data!AL498)</f>
        <v/>
      </c>
      <c r="H508" s="167" t="str">
        <f>IF(ISBLANK(DaqBook_RAW_Data!AM498),"",DaqBook_RAW_Data!AM498)</f>
        <v/>
      </c>
      <c r="I508" s="167" t="str">
        <f>IF(ISBLANK(DaqBook_RAW_Data!AN498),"",DaqBook_RAW_Data!AN498)</f>
        <v/>
      </c>
      <c r="J508" s="167" t="str">
        <f>IF(ISBLANK(DaqBook_RAW_Data!AO498),"",DaqBook_RAW_Data!AO498)</f>
        <v/>
      </c>
      <c r="K508" s="167" t="str">
        <f>IF(ISBLANK(DaqBook_RAW_Data!AP498),"",DaqBook_RAW_Data!AP498)</f>
        <v/>
      </c>
      <c r="L508" s="167" t="str">
        <f>IF(ISBLANK(DaqBook_RAW_Data!AQ498),"",DaqBook_RAW_Data!AQ498)</f>
        <v/>
      </c>
      <c r="M508" s="167" t="str">
        <f>IF(ISBLANK(DaqBook_RAW_Data!AR498),"",DaqBook_RAW_Data!AR498)</f>
        <v/>
      </c>
      <c r="N508" s="167" t="str">
        <f>IF(ISBLANK(DaqBook_RAW_Data!AS498),"",DaqBook_RAW_Data!AS498)</f>
        <v/>
      </c>
      <c r="O508" s="44"/>
      <c r="P508" s="44"/>
    </row>
    <row r="509" spans="1:16" x14ac:dyDescent="0.2">
      <c r="A509" s="58" t="e">
        <f t="shared" si="7"/>
        <v>#VALUE!</v>
      </c>
      <c r="B509" s="144" t="str">
        <f>IF(ISBLANK(DaqBook_RAW_Data!AG499),IF(DaqBook_RAW_Data!A499="","",TIMEVALUE(DaqBook_RAW_Data!A499)),TIMEVALUE(DaqBook_RAW_Data!AG499))</f>
        <v/>
      </c>
      <c r="C509" s="167" t="str">
        <f>IF(ISBLANK(DaqBook_RAW_Data!AH499),"",DaqBook_RAW_Data!AH499)</f>
        <v/>
      </c>
      <c r="D509" s="167" t="str">
        <f>IF(ISBLANK(DaqBook_RAW_Data!AI499),"",DaqBook_RAW_Data!AI499)</f>
        <v/>
      </c>
      <c r="E509" s="167" t="str">
        <f>IF(ISBLANK(DaqBook_RAW_Data!AJ499),"",DaqBook_RAW_Data!AJ499)</f>
        <v/>
      </c>
      <c r="F509" s="167" t="str">
        <f>IF(ISBLANK(DaqBook_RAW_Data!AK499),"",DaqBook_RAW_Data!AK499)</f>
        <v/>
      </c>
      <c r="G509" s="167" t="str">
        <f>IF(ISBLANK(DaqBook_RAW_Data!AL499),"",DaqBook_RAW_Data!AL499)</f>
        <v/>
      </c>
      <c r="H509" s="167" t="str">
        <f>IF(ISBLANK(DaqBook_RAW_Data!AM499),"",DaqBook_RAW_Data!AM499)</f>
        <v/>
      </c>
      <c r="I509" s="167" t="str">
        <f>IF(ISBLANK(DaqBook_RAW_Data!AN499),"",DaqBook_RAW_Data!AN499)</f>
        <v/>
      </c>
      <c r="J509" s="167" t="str">
        <f>IF(ISBLANK(DaqBook_RAW_Data!AO499),"",DaqBook_RAW_Data!AO499)</f>
        <v/>
      </c>
      <c r="K509" s="167" t="str">
        <f>IF(ISBLANK(DaqBook_RAW_Data!AP499),"",DaqBook_RAW_Data!AP499)</f>
        <v/>
      </c>
      <c r="L509" s="167" t="str">
        <f>IF(ISBLANK(DaqBook_RAW_Data!AQ499),"",DaqBook_RAW_Data!AQ499)</f>
        <v/>
      </c>
      <c r="M509" s="167" t="str">
        <f>IF(ISBLANK(DaqBook_RAW_Data!AR499),"",DaqBook_RAW_Data!AR499)</f>
        <v/>
      </c>
      <c r="N509" s="167" t="str">
        <f>IF(ISBLANK(DaqBook_RAW_Data!AS499),"",DaqBook_RAW_Data!AS499)</f>
        <v/>
      </c>
      <c r="O509" s="44"/>
      <c r="P509" s="44"/>
    </row>
    <row r="510" spans="1:16" x14ac:dyDescent="0.2">
      <c r="A510" s="58" t="e">
        <f t="shared" si="7"/>
        <v>#VALUE!</v>
      </c>
      <c r="B510" s="144" t="str">
        <f>IF(ISBLANK(DaqBook_RAW_Data!AG500),IF(DaqBook_RAW_Data!A500="","",TIMEVALUE(DaqBook_RAW_Data!A500)),TIMEVALUE(DaqBook_RAW_Data!AG500))</f>
        <v/>
      </c>
      <c r="C510" s="167" t="str">
        <f>IF(ISBLANK(DaqBook_RAW_Data!AH500),"",DaqBook_RAW_Data!AH500)</f>
        <v/>
      </c>
      <c r="D510" s="167" t="str">
        <f>IF(ISBLANK(DaqBook_RAW_Data!AI500),"",DaqBook_RAW_Data!AI500)</f>
        <v/>
      </c>
      <c r="E510" s="167" t="str">
        <f>IF(ISBLANK(DaqBook_RAW_Data!AJ500),"",DaqBook_RAW_Data!AJ500)</f>
        <v/>
      </c>
      <c r="F510" s="167" t="str">
        <f>IF(ISBLANK(DaqBook_RAW_Data!AK500),"",DaqBook_RAW_Data!AK500)</f>
        <v/>
      </c>
      <c r="G510" s="167" t="str">
        <f>IF(ISBLANK(DaqBook_RAW_Data!AL500),"",DaqBook_RAW_Data!AL500)</f>
        <v/>
      </c>
      <c r="H510" s="167" t="str">
        <f>IF(ISBLANK(DaqBook_RAW_Data!AM500),"",DaqBook_RAW_Data!AM500)</f>
        <v/>
      </c>
      <c r="I510" s="167" t="str">
        <f>IF(ISBLANK(DaqBook_RAW_Data!AN500),"",DaqBook_RAW_Data!AN500)</f>
        <v/>
      </c>
      <c r="J510" s="167" t="str">
        <f>IF(ISBLANK(DaqBook_RAW_Data!AO500),"",DaqBook_RAW_Data!AO500)</f>
        <v/>
      </c>
      <c r="K510" s="167" t="str">
        <f>IF(ISBLANK(DaqBook_RAW_Data!AP500),"",DaqBook_RAW_Data!AP500)</f>
        <v/>
      </c>
      <c r="L510" s="167" t="str">
        <f>IF(ISBLANK(DaqBook_RAW_Data!AQ500),"",DaqBook_RAW_Data!AQ500)</f>
        <v/>
      </c>
      <c r="M510" s="167" t="str">
        <f>IF(ISBLANK(DaqBook_RAW_Data!AR500),"",DaqBook_RAW_Data!AR500)</f>
        <v/>
      </c>
      <c r="N510" s="167" t="str">
        <f>IF(ISBLANK(DaqBook_RAW_Data!AS500),"",DaqBook_RAW_Data!AS500)</f>
        <v/>
      </c>
      <c r="O510" s="44"/>
      <c r="P510" s="44"/>
    </row>
    <row r="511" spans="1:16" x14ac:dyDescent="0.2">
      <c r="A511" s="58" t="e">
        <f t="shared" si="7"/>
        <v>#VALUE!</v>
      </c>
      <c r="B511" s="144" t="str">
        <f>IF(ISBLANK(DaqBook_RAW_Data!AG501),IF(DaqBook_RAW_Data!A501="","",TIMEVALUE(DaqBook_RAW_Data!A501)),TIMEVALUE(DaqBook_RAW_Data!AG501))</f>
        <v/>
      </c>
      <c r="C511" s="167" t="str">
        <f>IF(ISBLANK(DaqBook_RAW_Data!AH501),"",DaqBook_RAW_Data!AH501)</f>
        <v/>
      </c>
      <c r="D511" s="167" t="str">
        <f>IF(ISBLANK(DaqBook_RAW_Data!AI501),"",DaqBook_RAW_Data!AI501)</f>
        <v/>
      </c>
      <c r="E511" s="167" t="str">
        <f>IF(ISBLANK(DaqBook_RAW_Data!AJ501),"",DaqBook_RAW_Data!AJ501)</f>
        <v/>
      </c>
      <c r="F511" s="167" t="str">
        <f>IF(ISBLANK(DaqBook_RAW_Data!AK501),"",DaqBook_RAW_Data!AK501)</f>
        <v/>
      </c>
      <c r="G511" s="167" t="str">
        <f>IF(ISBLANK(DaqBook_RAW_Data!AL501),"",DaqBook_RAW_Data!AL501)</f>
        <v/>
      </c>
      <c r="H511" s="167" t="str">
        <f>IF(ISBLANK(DaqBook_RAW_Data!AM501),"",DaqBook_RAW_Data!AM501)</f>
        <v/>
      </c>
      <c r="I511" s="167" t="str">
        <f>IF(ISBLANK(DaqBook_RAW_Data!AN501),"",DaqBook_RAW_Data!AN501)</f>
        <v/>
      </c>
      <c r="J511" s="167" t="str">
        <f>IF(ISBLANK(DaqBook_RAW_Data!AO501),"",DaqBook_RAW_Data!AO501)</f>
        <v/>
      </c>
      <c r="K511" s="167" t="str">
        <f>IF(ISBLANK(DaqBook_RAW_Data!AP501),"",DaqBook_RAW_Data!AP501)</f>
        <v/>
      </c>
      <c r="L511" s="167" t="str">
        <f>IF(ISBLANK(DaqBook_RAW_Data!AQ501),"",DaqBook_RAW_Data!AQ501)</f>
        <v/>
      </c>
      <c r="M511" s="167" t="str">
        <f>IF(ISBLANK(DaqBook_RAW_Data!AR501),"",DaqBook_RAW_Data!AR501)</f>
        <v/>
      </c>
      <c r="N511" s="167" t="str">
        <f>IF(ISBLANK(DaqBook_RAW_Data!AS501),"",DaqBook_RAW_Data!AS501)</f>
        <v/>
      </c>
      <c r="O511" s="44"/>
      <c r="P511" s="44"/>
    </row>
    <row r="512" spans="1:16" x14ac:dyDescent="0.2">
      <c r="A512" s="58" t="e">
        <f t="shared" si="7"/>
        <v>#VALUE!</v>
      </c>
      <c r="B512" s="144" t="str">
        <f>IF(ISBLANK(DaqBook_RAW_Data!AG502),IF(DaqBook_RAW_Data!A502="","",TIMEVALUE(DaqBook_RAW_Data!A502)),TIMEVALUE(DaqBook_RAW_Data!AG502))</f>
        <v/>
      </c>
      <c r="C512" s="167" t="str">
        <f>IF(ISBLANK(DaqBook_RAW_Data!AH502),"",DaqBook_RAW_Data!AH502)</f>
        <v/>
      </c>
      <c r="D512" s="167" t="str">
        <f>IF(ISBLANK(DaqBook_RAW_Data!AI502),"",DaqBook_RAW_Data!AI502)</f>
        <v/>
      </c>
      <c r="E512" s="167" t="str">
        <f>IF(ISBLANK(DaqBook_RAW_Data!AJ502),"",DaqBook_RAW_Data!AJ502)</f>
        <v/>
      </c>
      <c r="F512" s="167" t="str">
        <f>IF(ISBLANK(DaqBook_RAW_Data!AK502),"",DaqBook_RAW_Data!AK502)</f>
        <v/>
      </c>
      <c r="G512" s="167" t="str">
        <f>IF(ISBLANK(DaqBook_RAW_Data!AL502),"",DaqBook_RAW_Data!AL502)</f>
        <v/>
      </c>
      <c r="H512" s="167" t="str">
        <f>IF(ISBLANK(DaqBook_RAW_Data!AM502),"",DaqBook_RAW_Data!AM502)</f>
        <v/>
      </c>
      <c r="I512" s="167" t="str">
        <f>IF(ISBLANK(DaqBook_RAW_Data!AN502),"",DaqBook_RAW_Data!AN502)</f>
        <v/>
      </c>
      <c r="J512" s="167" t="str">
        <f>IF(ISBLANK(DaqBook_RAW_Data!AO502),"",DaqBook_RAW_Data!AO502)</f>
        <v/>
      </c>
      <c r="K512" s="167" t="str">
        <f>IF(ISBLANK(DaqBook_RAW_Data!AP502),"",DaqBook_RAW_Data!AP502)</f>
        <v/>
      </c>
      <c r="L512" s="167" t="str">
        <f>IF(ISBLANK(DaqBook_RAW_Data!AQ502),"",DaqBook_RAW_Data!AQ502)</f>
        <v/>
      </c>
      <c r="M512" s="167" t="str">
        <f>IF(ISBLANK(DaqBook_RAW_Data!AR502),"",DaqBook_RAW_Data!AR502)</f>
        <v/>
      </c>
      <c r="N512" s="167" t="str">
        <f>IF(ISBLANK(DaqBook_RAW_Data!AS502),"",DaqBook_RAW_Data!AS502)</f>
        <v/>
      </c>
      <c r="O512" s="44"/>
      <c r="P512" s="44"/>
    </row>
    <row r="513" spans="1:16" x14ac:dyDescent="0.2">
      <c r="A513" s="58" t="e">
        <f t="shared" si="7"/>
        <v>#VALUE!</v>
      </c>
      <c r="B513" s="144" t="str">
        <f>IF(ISBLANK(DaqBook_RAW_Data!AG503),IF(DaqBook_RAW_Data!A503="","",TIMEVALUE(DaqBook_RAW_Data!A503)),TIMEVALUE(DaqBook_RAW_Data!AG503))</f>
        <v/>
      </c>
      <c r="C513" s="167" t="str">
        <f>IF(ISBLANK(DaqBook_RAW_Data!AH503),"",DaqBook_RAW_Data!AH503)</f>
        <v/>
      </c>
      <c r="D513" s="167" t="str">
        <f>IF(ISBLANK(DaqBook_RAW_Data!AI503),"",DaqBook_RAW_Data!AI503)</f>
        <v/>
      </c>
      <c r="E513" s="167" t="str">
        <f>IF(ISBLANK(DaqBook_RAW_Data!AJ503),"",DaqBook_RAW_Data!AJ503)</f>
        <v/>
      </c>
      <c r="F513" s="167" t="str">
        <f>IF(ISBLANK(DaqBook_RAW_Data!AK503),"",DaqBook_RAW_Data!AK503)</f>
        <v/>
      </c>
      <c r="G513" s="167" t="str">
        <f>IF(ISBLANK(DaqBook_RAW_Data!AL503),"",DaqBook_RAW_Data!AL503)</f>
        <v/>
      </c>
      <c r="H513" s="167" t="str">
        <f>IF(ISBLANK(DaqBook_RAW_Data!AM503),"",DaqBook_RAW_Data!AM503)</f>
        <v/>
      </c>
      <c r="I513" s="167" t="str">
        <f>IF(ISBLANK(DaqBook_RAW_Data!AN503),"",DaqBook_RAW_Data!AN503)</f>
        <v/>
      </c>
      <c r="J513" s="167" t="str">
        <f>IF(ISBLANK(DaqBook_RAW_Data!AO503),"",DaqBook_RAW_Data!AO503)</f>
        <v/>
      </c>
      <c r="K513" s="167" t="str">
        <f>IF(ISBLANK(DaqBook_RAW_Data!AP503),"",DaqBook_RAW_Data!AP503)</f>
        <v/>
      </c>
      <c r="L513" s="167" t="str">
        <f>IF(ISBLANK(DaqBook_RAW_Data!AQ503),"",DaqBook_RAW_Data!AQ503)</f>
        <v/>
      </c>
      <c r="M513" s="167" t="str">
        <f>IF(ISBLANK(DaqBook_RAW_Data!AR503),"",DaqBook_RAW_Data!AR503)</f>
        <v/>
      </c>
      <c r="N513" s="167" t="str">
        <f>IF(ISBLANK(DaqBook_RAW_Data!AS503),"",DaqBook_RAW_Data!AS503)</f>
        <v/>
      </c>
      <c r="O513" s="44"/>
      <c r="P513" s="44"/>
    </row>
    <row r="514" spans="1:16" x14ac:dyDescent="0.2">
      <c r="A514" s="58" t="e">
        <f t="shared" si="7"/>
        <v>#VALUE!</v>
      </c>
      <c r="B514" s="144" t="str">
        <f>IF(ISBLANK(DaqBook_RAW_Data!AG504),IF(DaqBook_RAW_Data!A504="","",TIMEVALUE(DaqBook_RAW_Data!A504)),TIMEVALUE(DaqBook_RAW_Data!AG504))</f>
        <v/>
      </c>
      <c r="C514" s="167" t="str">
        <f>IF(ISBLANK(DaqBook_RAW_Data!AH504),"",DaqBook_RAW_Data!AH504)</f>
        <v/>
      </c>
      <c r="D514" s="167" t="str">
        <f>IF(ISBLANK(DaqBook_RAW_Data!AI504),"",DaqBook_RAW_Data!AI504)</f>
        <v/>
      </c>
      <c r="E514" s="167" t="str">
        <f>IF(ISBLANK(DaqBook_RAW_Data!AJ504),"",DaqBook_RAW_Data!AJ504)</f>
        <v/>
      </c>
      <c r="F514" s="167" t="str">
        <f>IF(ISBLANK(DaqBook_RAW_Data!AK504),"",DaqBook_RAW_Data!AK504)</f>
        <v/>
      </c>
      <c r="G514" s="167" t="str">
        <f>IF(ISBLANK(DaqBook_RAW_Data!AL504),"",DaqBook_RAW_Data!AL504)</f>
        <v/>
      </c>
      <c r="H514" s="167" t="str">
        <f>IF(ISBLANK(DaqBook_RAW_Data!AM504),"",DaqBook_RAW_Data!AM504)</f>
        <v/>
      </c>
      <c r="I514" s="167" t="str">
        <f>IF(ISBLANK(DaqBook_RAW_Data!AN504),"",DaqBook_RAW_Data!AN504)</f>
        <v/>
      </c>
      <c r="J514" s="167" t="str">
        <f>IF(ISBLANK(DaqBook_RAW_Data!AO504),"",DaqBook_RAW_Data!AO504)</f>
        <v/>
      </c>
      <c r="K514" s="167" t="str">
        <f>IF(ISBLANK(DaqBook_RAW_Data!AP504),"",DaqBook_RAW_Data!AP504)</f>
        <v/>
      </c>
      <c r="L514" s="167" t="str">
        <f>IF(ISBLANK(DaqBook_RAW_Data!AQ504),"",DaqBook_RAW_Data!AQ504)</f>
        <v/>
      </c>
      <c r="M514" s="167" t="str">
        <f>IF(ISBLANK(DaqBook_RAW_Data!AR504),"",DaqBook_RAW_Data!AR504)</f>
        <v/>
      </c>
      <c r="N514" s="167" t="str">
        <f>IF(ISBLANK(DaqBook_RAW_Data!AS504),"",DaqBook_RAW_Data!AS504)</f>
        <v/>
      </c>
      <c r="O514" s="44"/>
      <c r="P514" s="44"/>
    </row>
    <row r="515" spans="1:16" x14ac:dyDescent="0.2">
      <c r="A515" s="58" t="e">
        <f t="shared" si="7"/>
        <v>#VALUE!</v>
      </c>
      <c r="B515" s="144" t="str">
        <f>IF(ISBLANK(DaqBook_RAW_Data!AG505),IF(DaqBook_RAW_Data!A505="","",TIMEVALUE(DaqBook_RAW_Data!A505)),TIMEVALUE(DaqBook_RAW_Data!AG505))</f>
        <v/>
      </c>
      <c r="C515" s="167" t="str">
        <f>IF(ISBLANK(DaqBook_RAW_Data!AH505),"",DaqBook_RAW_Data!AH505)</f>
        <v/>
      </c>
      <c r="D515" s="167" t="str">
        <f>IF(ISBLANK(DaqBook_RAW_Data!AI505),"",DaqBook_RAW_Data!AI505)</f>
        <v/>
      </c>
      <c r="E515" s="167" t="str">
        <f>IF(ISBLANK(DaqBook_RAW_Data!AJ505),"",DaqBook_RAW_Data!AJ505)</f>
        <v/>
      </c>
      <c r="F515" s="167" t="str">
        <f>IF(ISBLANK(DaqBook_RAW_Data!AK505),"",DaqBook_RAW_Data!AK505)</f>
        <v/>
      </c>
      <c r="G515" s="167" t="str">
        <f>IF(ISBLANK(DaqBook_RAW_Data!AL505),"",DaqBook_RAW_Data!AL505)</f>
        <v/>
      </c>
      <c r="H515" s="167" t="str">
        <f>IF(ISBLANK(DaqBook_RAW_Data!AM505),"",DaqBook_RAW_Data!AM505)</f>
        <v/>
      </c>
      <c r="I515" s="167" t="str">
        <f>IF(ISBLANK(DaqBook_RAW_Data!AN505),"",DaqBook_RAW_Data!AN505)</f>
        <v/>
      </c>
      <c r="J515" s="167" t="str">
        <f>IF(ISBLANK(DaqBook_RAW_Data!AO505),"",DaqBook_RAW_Data!AO505)</f>
        <v/>
      </c>
      <c r="K515" s="167" t="str">
        <f>IF(ISBLANK(DaqBook_RAW_Data!AP505),"",DaqBook_RAW_Data!AP505)</f>
        <v/>
      </c>
      <c r="L515" s="167" t="str">
        <f>IF(ISBLANK(DaqBook_RAW_Data!AQ505),"",DaqBook_RAW_Data!AQ505)</f>
        <v/>
      </c>
      <c r="M515" s="167" t="str">
        <f>IF(ISBLANK(DaqBook_RAW_Data!AR505),"",DaqBook_RAW_Data!AR505)</f>
        <v/>
      </c>
      <c r="N515" s="167" t="str">
        <f>IF(ISBLANK(DaqBook_RAW_Data!AS505),"",DaqBook_RAW_Data!AS505)</f>
        <v/>
      </c>
      <c r="O515" s="44"/>
      <c r="P515" s="44"/>
    </row>
    <row r="516" spans="1:16" x14ac:dyDescent="0.2">
      <c r="A516" s="58" t="e">
        <f t="shared" si="7"/>
        <v>#VALUE!</v>
      </c>
      <c r="B516" s="144" t="str">
        <f>IF(ISBLANK(DaqBook_RAW_Data!AG506),IF(DaqBook_RAW_Data!A506="","",TIMEVALUE(DaqBook_RAW_Data!A506)),TIMEVALUE(DaqBook_RAW_Data!AG506))</f>
        <v/>
      </c>
      <c r="C516" s="167" t="str">
        <f>IF(ISBLANK(DaqBook_RAW_Data!AH506),"",DaqBook_RAW_Data!AH506)</f>
        <v/>
      </c>
      <c r="D516" s="167" t="str">
        <f>IF(ISBLANK(DaqBook_RAW_Data!AI506),"",DaqBook_RAW_Data!AI506)</f>
        <v/>
      </c>
      <c r="E516" s="167" t="str">
        <f>IF(ISBLANK(DaqBook_RAW_Data!AJ506),"",DaqBook_RAW_Data!AJ506)</f>
        <v/>
      </c>
      <c r="F516" s="167" t="str">
        <f>IF(ISBLANK(DaqBook_RAW_Data!AK506),"",DaqBook_RAW_Data!AK506)</f>
        <v/>
      </c>
      <c r="G516" s="167" t="str">
        <f>IF(ISBLANK(DaqBook_RAW_Data!AL506),"",DaqBook_RAW_Data!AL506)</f>
        <v/>
      </c>
      <c r="H516" s="167" t="str">
        <f>IF(ISBLANK(DaqBook_RAW_Data!AM506),"",DaqBook_RAW_Data!AM506)</f>
        <v/>
      </c>
      <c r="I516" s="167" t="str">
        <f>IF(ISBLANK(DaqBook_RAW_Data!AN506),"",DaqBook_RAW_Data!AN506)</f>
        <v/>
      </c>
      <c r="J516" s="167" t="str">
        <f>IF(ISBLANK(DaqBook_RAW_Data!AO506),"",DaqBook_RAW_Data!AO506)</f>
        <v/>
      </c>
      <c r="K516" s="167" t="str">
        <f>IF(ISBLANK(DaqBook_RAW_Data!AP506),"",DaqBook_RAW_Data!AP506)</f>
        <v/>
      </c>
      <c r="L516" s="167" t="str">
        <f>IF(ISBLANK(DaqBook_RAW_Data!AQ506),"",DaqBook_RAW_Data!AQ506)</f>
        <v/>
      </c>
      <c r="M516" s="167" t="str">
        <f>IF(ISBLANK(DaqBook_RAW_Data!AR506),"",DaqBook_RAW_Data!AR506)</f>
        <v/>
      </c>
      <c r="N516" s="167" t="str">
        <f>IF(ISBLANK(DaqBook_RAW_Data!AS506),"",DaqBook_RAW_Data!AS506)</f>
        <v/>
      </c>
      <c r="O516" s="44"/>
      <c r="P516" s="44"/>
    </row>
    <row r="517" spans="1:16" x14ac:dyDescent="0.2">
      <c r="A517" s="58" t="e">
        <f t="shared" si="7"/>
        <v>#VALUE!</v>
      </c>
      <c r="B517" s="144" t="str">
        <f>IF(ISBLANK(DaqBook_RAW_Data!AG507),IF(DaqBook_RAW_Data!A507="","",TIMEVALUE(DaqBook_RAW_Data!A507)),TIMEVALUE(DaqBook_RAW_Data!AG507))</f>
        <v/>
      </c>
      <c r="C517" s="167" t="str">
        <f>IF(ISBLANK(DaqBook_RAW_Data!AH507),"",DaqBook_RAW_Data!AH507)</f>
        <v/>
      </c>
      <c r="D517" s="167" t="str">
        <f>IF(ISBLANK(DaqBook_RAW_Data!AI507),"",DaqBook_RAW_Data!AI507)</f>
        <v/>
      </c>
      <c r="E517" s="167" t="str">
        <f>IF(ISBLANK(DaqBook_RAW_Data!AJ507),"",DaqBook_RAW_Data!AJ507)</f>
        <v/>
      </c>
      <c r="F517" s="167" t="str">
        <f>IF(ISBLANK(DaqBook_RAW_Data!AK507),"",DaqBook_RAW_Data!AK507)</f>
        <v/>
      </c>
      <c r="G517" s="167" t="str">
        <f>IF(ISBLANK(DaqBook_RAW_Data!AL507),"",DaqBook_RAW_Data!AL507)</f>
        <v/>
      </c>
      <c r="H517" s="167" t="str">
        <f>IF(ISBLANK(DaqBook_RAW_Data!AM507),"",DaqBook_RAW_Data!AM507)</f>
        <v/>
      </c>
      <c r="I517" s="167" t="str">
        <f>IF(ISBLANK(DaqBook_RAW_Data!AN507),"",DaqBook_RAW_Data!AN507)</f>
        <v/>
      </c>
      <c r="J517" s="167" t="str">
        <f>IF(ISBLANK(DaqBook_RAW_Data!AO507),"",DaqBook_RAW_Data!AO507)</f>
        <v/>
      </c>
      <c r="K517" s="167" t="str">
        <f>IF(ISBLANK(DaqBook_RAW_Data!AP507),"",DaqBook_RAW_Data!AP507)</f>
        <v/>
      </c>
      <c r="L517" s="167" t="str">
        <f>IF(ISBLANK(DaqBook_RAW_Data!AQ507),"",DaqBook_RAW_Data!AQ507)</f>
        <v/>
      </c>
      <c r="M517" s="167" t="str">
        <f>IF(ISBLANK(DaqBook_RAW_Data!AR507),"",DaqBook_RAW_Data!AR507)</f>
        <v/>
      </c>
      <c r="N517" s="167" t="str">
        <f>IF(ISBLANK(DaqBook_RAW_Data!AS507),"",DaqBook_RAW_Data!AS507)</f>
        <v/>
      </c>
      <c r="O517" s="44"/>
      <c r="P517" s="44"/>
    </row>
    <row r="518" spans="1:16" x14ac:dyDescent="0.2">
      <c r="A518" s="58" t="e">
        <f t="shared" si="7"/>
        <v>#VALUE!</v>
      </c>
      <c r="B518" s="144" t="str">
        <f>IF(ISBLANK(DaqBook_RAW_Data!AG508),IF(DaqBook_RAW_Data!A508="","",TIMEVALUE(DaqBook_RAW_Data!A508)),TIMEVALUE(DaqBook_RAW_Data!AG508))</f>
        <v/>
      </c>
      <c r="C518" s="167" t="str">
        <f>IF(ISBLANK(DaqBook_RAW_Data!AH508),"",DaqBook_RAW_Data!AH508)</f>
        <v/>
      </c>
      <c r="D518" s="167" t="str">
        <f>IF(ISBLANK(DaqBook_RAW_Data!AI508),"",DaqBook_RAW_Data!AI508)</f>
        <v/>
      </c>
      <c r="E518" s="167" t="str">
        <f>IF(ISBLANK(DaqBook_RAW_Data!AJ508),"",DaqBook_RAW_Data!AJ508)</f>
        <v/>
      </c>
      <c r="F518" s="167" t="str">
        <f>IF(ISBLANK(DaqBook_RAW_Data!AK508),"",DaqBook_RAW_Data!AK508)</f>
        <v/>
      </c>
      <c r="G518" s="167" t="str">
        <f>IF(ISBLANK(DaqBook_RAW_Data!AL508),"",DaqBook_RAW_Data!AL508)</f>
        <v/>
      </c>
      <c r="H518" s="167" t="str">
        <f>IF(ISBLANK(DaqBook_RAW_Data!AM508),"",DaqBook_RAW_Data!AM508)</f>
        <v/>
      </c>
      <c r="I518" s="167" t="str">
        <f>IF(ISBLANK(DaqBook_RAW_Data!AN508),"",DaqBook_RAW_Data!AN508)</f>
        <v/>
      </c>
      <c r="J518" s="167" t="str">
        <f>IF(ISBLANK(DaqBook_RAW_Data!AO508),"",DaqBook_RAW_Data!AO508)</f>
        <v/>
      </c>
      <c r="K518" s="167" t="str">
        <f>IF(ISBLANK(DaqBook_RAW_Data!AP508),"",DaqBook_RAW_Data!AP508)</f>
        <v/>
      </c>
      <c r="L518" s="167" t="str">
        <f>IF(ISBLANK(DaqBook_RAW_Data!AQ508),"",DaqBook_RAW_Data!AQ508)</f>
        <v/>
      </c>
      <c r="M518" s="167" t="str">
        <f>IF(ISBLANK(DaqBook_RAW_Data!AR508),"",DaqBook_RAW_Data!AR508)</f>
        <v/>
      </c>
      <c r="N518" s="167" t="str">
        <f>IF(ISBLANK(DaqBook_RAW_Data!AS508),"",DaqBook_RAW_Data!AS508)</f>
        <v/>
      </c>
      <c r="O518" s="44"/>
      <c r="P518" s="44"/>
    </row>
    <row r="519" spans="1:16" x14ac:dyDescent="0.2">
      <c r="A519" s="58" t="e">
        <f t="shared" si="7"/>
        <v>#VALUE!</v>
      </c>
      <c r="B519" s="144" t="str">
        <f>IF(ISBLANK(DaqBook_RAW_Data!AG509),IF(DaqBook_RAW_Data!A509="","",TIMEVALUE(DaqBook_RAW_Data!A509)),TIMEVALUE(DaqBook_RAW_Data!AG509))</f>
        <v/>
      </c>
      <c r="C519" s="167" t="str">
        <f>IF(ISBLANK(DaqBook_RAW_Data!AH509),"",DaqBook_RAW_Data!AH509)</f>
        <v/>
      </c>
      <c r="D519" s="167" t="str">
        <f>IF(ISBLANK(DaqBook_RAW_Data!AI509),"",DaqBook_RAW_Data!AI509)</f>
        <v/>
      </c>
      <c r="E519" s="167" t="str">
        <f>IF(ISBLANK(DaqBook_RAW_Data!AJ509),"",DaqBook_RAW_Data!AJ509)</f>
        <v/>
      </c>
      <c r="F519" s="167" t="str">
        <f>IF(ISBLANK(DaqBook_RAW_Data!AK509),"",DaqBook_RAW_Data!AK509)</f>
        <v/>
      </c>
      <c r="G519" s="167" t="str">
        <f>IF(ISBLANK(DaqBook_RAW_Data!AL509),"",DaqBook_RAW_Data!AL509)</f>
        <v/>
      </c>
      <c r="H519" s="167" t="str">
        <f>IF(ISBLANK(DaqBook_RAW_Data!AM509),"",DaqBook_RAW_Data!AM509)</f>
        <v/>
      </c>
      <c r="I519" s="167" t="str">
        <f>IF(ISBLANK(DaqBook_RAW_Data!AN509),"",DaqBook_RAW_Data!AN509)</f>
        <v/>
      </c>
      <c r="J519" s="167" t="str">
        <f>IF(ISBLANK(DaqBook_RAW_Data!AO509),"",DaqBook_RAW_Data!AO509)</f>
        <v/>
      </c>
      <c r="K519" s="167" t="str">
        <f>IF(ISBLANK(DaqBook_RAW_Data!AP509),"",DaqBook_RAW_Data!AP509)</f>
        <v/>
      </c>
      <c r="L519" s="167" t="str">
        <f>IF(ISBLANK(DaqBook_RAW_Data!AQ509),"",DaqBook_RAW_Data!AQ509)</f>
        <v/>
      </c>
      <c r="M519" s="167" t="str">
        <f>IF(ISBLANK(DaqBook_RAW_Data!AR509),"",DaqBook_RAW_Data!AR509)</f>
        <v/>
      </c>
      <c r="N519" s="167" t="str">
        <f>IF(ISBLANK(DaqBook_RAW_Data!AS509),"",DaqBook_RAW_Data!AS509)</f>
        <v/>
      </c>
      <c r="O519" s="44"/>
      <c r="P519" s="44"/>
    </row>
    <row r="520" spans="1:16" x14ac:dyDescent="0.2">
      <c r="A520" s="58" t="e">
        <f t="shared" si="7"/>
        <v>#VALUE!</v>
      </c>
      <c r="B520" s="144" t="str">
        <f>IF(ISBLANK(DaqBook_RAW_Data!AG510),IF(DaqBook_RAW_Data!A510="","",TIMEVALUE(DaqBook_RAW_Data!A510)),TIMEVALUE(DaqBook_RAW_Data!AG510))</f>
        <v/>
      </c>
      <c r="C520" s="167" t="str">
        <f>IF(ISBLANK(DaqBook_RAW_Data!AH510),"",DaqBook_RAW_Data!AH510)</f>
        <v/>
      </c>
      <c r="D520" s="167" t="str">
        <f>IF(ISBLANK(DaqBook_RAW_Data!AI510),"",DaqBook_RAW_Data!AI510)</f>
        <v/>
      </c>
      <c r="E520" s="167" t="str">
        <f>IF(ISBLANK(DaqBook_RAW_Data!AJ510),"",DaqBook_RAW_Data!AJ510)</f>
        <v/>
      </c>
      <c r="F520" s="167" t="str">
        <f>IF(ISBLANK(DaqBook_RAW_Data!AK510),"",DaqBook_RAW_Data!AK510)</f>
        <v/>
      </c>
      <c r="G520" s="167" t="str">
        <f>IF(ISBLANK(DaqBook_RAW_Data!AL510),"",DaqBook_RAW_Data!AL510)</f>
        <v/>
      </c>
      <c r="H520" s="167" t="str">
        <f>IF(ISBLANK(DaqBook_RAW_Data!AM510),"",DaqBook_RAW_Data!AM510)</f>
        <v/>
      </c>
      <c r="I520" s="167" t="str">
        <f>IF(ISBLANK(DaqBook_RAW_Data!AN510),"",DaqBook_RAW_Data!AN510)</f>
        <v/>
      </c>
      <c r="J520" s="167" t="str">
        <f>IF(ISBLANK(DaqBook_RAW_Data!AO510),"",DaqBook_RAW_Data!AO510)</f>
        <v/>
      </c>
      <c r="K520" s="167" t="str">
        <f>IF(ISBLANK(DaqBook_RAW_Data!AP510),"",DaqBook_RAW_Data!AP510)</f>
        <v/>
      </c>
      <c r="L520" s="167" t="str">
        <f>IF(ISBLANK(DaqBook_RAW_Data!AQ510),"",DaqBook_RAW_Data!AQ510)</f>
        <v/>
      </c>
      <c r="M520" s="167" t="str">
        <f>IF(ISBLANK(DaqBook_RAW_Data!AR510),"",DaqBook_RAW_Data!AR510)</f>
        <v/>
      </c>
      <c r="N520" s="167" t="str">
        <f>IF(ISBLANK(DaqBook_RAW_Data!AS510),"",DaqBook_RAW_Data!AS510)</f>
        <v/>
      </c>
      <c r="O520" s="44"/>
      <c r="P520" s="44"/>
    </row>
    <row r="521" spans="1:16" x14ac:dyDescent="0.2">
      <c r="A521" s="58" t="e">
        <f t="shared" si="7"/>
        <v>#VALUE!</v>
      </c>
      <c r="B521" s="144" t="str">
        <f>IF(ISBLANK(DaqBook_RAW_Data!AG511),IF(DaqBook_RAW_Data!A511="","",TIMEVALUE(DaqBook_RAW_Data!A511)),TIMEVALUE(DaqBook_RAW_Data!AG511))</f>
        <v/>
      </c>
      <c r="C521" s="167" t="str">
        <f>IF(ISBLANK(DaqBook_RAW_Data!AH511),"",DaqBook_RAW_Data!AH511)</f>
        <v/>
      </c>
      <c r="D521" s="167" t="str">
        <f>IF(ISBLANK(DaqBook_RAW_Data!AI511),"",DaqBook_RAW_Data!AI511)</f>
        <v/>
      </c>
      <c r="E521" s="167" t="str">
        <f>IF(ISBLANK(DaqBook_RAW_Data!AJ511),"",DaqBook_RAW_Data!AJ511)</f>
        <v/>
      </c>
      <c r="F521" s="167" t="str">
        <f>IF(ISBLANK(DaqBook_RAW_Data!AK511),"",DaqBook_RAW_Data!AK511)</f>
        <v/>
      </c>
      <c r="G521" s="167" t="str">
        <f>IF(ISBLANK(DaqBook_RAW_Data!AL511),"",DaqBook_RAW_Data!AL511)</f>
        <v/>
      </c>
      <c r="H521" s="167" t="str">
        <f>IF(ISBLANK(DaqBook_RAW_Data!AM511),"",DaqBook_RAW_Data!AM511)</f>
        <v/>
      </c>
      <c r="I521" s="167" t="str">
        <f>IF(ISBLANK(DaqBook_RAW_Data!AN511),"",DaqBook_RAW_Data!AN511)</f>
        <v/>
      </c>
      <c r="J521" s="167" t="str">
        <f>IF(ISBLANK(DaqBook_RAW_Data!AO511),"",DaqBook_RAW_Data!AO511)</f>
        <v/>
      </c>
      <c r="K521" s="167" t="str">
        <f>IF(ISBLANK(DaqBook_RAW_Data!AP511),"",DaqBook_RAW_Data!AP511)</f>
        <v/>
      </c>
      <c r="L521" s="167" t="str">
        <f>IF(ISBLANK(DaqBook_RAW_Data!AQ511),"",DaqBook_RAW_Data!AQ511)</f>
        <v/>
      </c>
      <c r="M521" s="167" t="str">
        <f>IF(ISBLANK(DaqBook_RAW_Data!AR511),"",DaqBook_RAW_Data!AR511)</f>
        <v/>
      </c>
      <c r="N521" s="167" t="str">
        <f>IF(ISBLANK(DaqBook_RAW_Data!AS511),"",DaqBook_RAW_Data!AS511)</f>
        <v/>
      </c>
      <c r="O521" s="44"/>
      <c r="P521" s="44"/>
    </row>
    <row r="522" spans="1:16" x14ac:dyDescent="0.2">
      <c r="A522" s="58" t="e">
        <f t="shared" si="7"/>
        <v>#VALUE!</v>
      </c>
      <c r="B522" s="144" t="str">
        <f>IF(ISBLANK(DaqBook_RAW_Data!AG512),IF(DaqBook_RAW_Data!A512="","",TIMEVALUE(DaqBook_RAW_Data!A512)),TIMEVALUE(DaqBook_RAW_Data!AG512))</f>
        <v/>
      </c>
      <c r="C522" s="167" t="str">
        <f>IF(ISBLANK(DaqBook_RAW_Data!AH512),"",DaqBook_RAW_Data!AH512)</f>
        <v/>
      </c>
      <c r="D522" s="167" t="str">
        <f>IF(ISBLANK(DaqBook_RAW_Data!AI512),"",DaqBook_RAW_Data!AI512)</f>
        <v/>
      </c>
      <c r="E522" s="167" t="str">
        <f>IF(ISBLANK(DaqBook_RAW_Data!AJ512),"",DaqBook_RAW_Data!AJ512)</f>
        <v/>
      </c>
      <c r="F522" s="167" t="str">
        <f>IF(ISBLANK(DaqBook_RAW_Data!AK512),"",DaqBook_RAW_Data!AK512)</f>
        <v/>
      </c>
      <c r="G522" s="167" t="str">
        <f>IF(ISBLANK(DaqBook_RAW_Data!AL512),"",DaqBook_RAW_Data!AL512)</f>
        <v/>
      </c>
      <c r="H522" s="167" t="str">
        <f>IF(ISBLANK(DaqBook_RAW_Data!AM512),"",DaqBook_RAW_Data!AM512)</f>
        <v/>
      </c>
      <c r="I522" s="167" t="str">
        <f>IF(ISBLANK(DaqBook_RAW_Data!AN512),"",DaqBook_RAW_Data!AN512)</f>
        <v/>
      </c>
      <c r="J522" s="167" t="str">
        <f>IF(ISBLANK(DaqBook_RAW_Data!AO512),"",DaqBook_RAW_Data!AO512)</f>
        <v/>
      </c>
      <c r="K522" s="167" t="str">
        <f>IF(ISBLANK(DaqBook_RAW_Data!AP512),"",DaqBook_RAW_Data!AP512)</f>
        <v/>
      </c>
      <c r="L522" s="167" t="str">
        <f>IF(ISBLANK(DaqBook_RAW_Data!AQ512),"",DaqBook_RAW_Data!AQ512)</f>
        <v/>
      </c>
      <c r="M522" s="167" t="str">
        <f>IF(ISBLANK(DaqBook_RAW_Data!AR512),"",DaqBook_RAW_Data!AR512)</f>
        <v/>
      </c>
      <c r="N522" s="167" t="str">
        <f>IF(ISBLANK(DaqBook_RAW_Data!AS512),"",DaqBook_RAW_Data!AS512)</f>
        <v/>
      </c>
      <c r="O522" s="44"/>
      <c r="P522" s="44"/>
    </row>
    <row r="523" spans="1:16" x14ac:dyDescent="0.2">
      <c r="A523" s="58" t="e">
        <f t="shared" si="7"/>
        <v>#VALUE!</v>
      </c>
      <c r="B523" s="144" t="str">
        <f>IF(ISBLANK(DaqBook_RAW_Data!AG513),IF(DaqBook_RAW_Data!A513="","",TIMEVALUE(DaqBook_RAW_Data!A513)),TIMEVALUE(DaqBook_RAW_Data!AG513))</f>
        <v/>
      </c>
      <c r="C523" s="167" t="str">
        <f>IF(ISBLANK(DaqBook_RAW_Data!AH513),"",DaqBook_RAW_Data!AH513)</f>
        <v/>
      </c>
      <c r="D523" s="167" t="str">
        <f>IF(ISBLANK(DaqBook_RAW_Data!AI513),"",DaqBook_RAW_Data!AI513)</f>
        <v/>
      </c>
      <c r="E523" s="167" t="str">
        <f>IF(ISBLANK(DaqBook_RAW_Data!AJ513),"",DaqBook_RAW_Data!AJ513)</f>
        <v/>
      </c>
      <c r="F523" s="167" t="str">
        <f>IF(ISBLANK(DaqBook_RAW_Data!AK513),"",DaqBook_RAW_Data!AK513)</f>
        <v/>
      </c>
      <c r="G523" s="167" t="str">
        <f>IF(ISBLANK(DaqBook_RAW_Data!AL513),"",DaqBook_RAW_Data!AL513)</f>
        <v/>
      </c>
      <c r="H523" s="167" t="str">
        <f>IF(ISBLANK(DaqBook_RAW_Data!AM513),"",DaqBook_RAW_Data!AM513)</f>
        <v/>
      </c>
      <c r="I523" s="167" t="str">
        <f>IF(ISBLANK(DaqBook_RAW_Data!AN513),"",DaqBook_RAW_Data!AN513)</f>
        <v/>
      </c>
      <c r="J523" s="167" t="str">
        <f>IF(ISBLANK(DaqBook_RAW_Data!AO513),"",DaqBook_RAW_Data!AO513)</f>
        <v/>
      </c>
      <c r="K523" s="167" t="str">
        <f>IF(ISBLANK(DaqBook_RAW_Data!AP513),"",DaqBook_RAW_Data!AP513)</f>
        <v/>
      </c>
      <c r="L523" s="167" t="str">
        <f>IF(ISBLANK(DaqBook_RAW_Data!AQ513),"",DaqBook_RAW_Data!AQ513)</f>
        <v/>
      </c>
      <c r="M523" s="167" t="str">
        <f>IF(ISBLANK(DaqBook_RAW_Data!AR513),"",DaqBook_RAW_Data!AR513)</f>
        <v/>
      </c>
      <c r="N523" s="167" t="str">
        <f>IF(ISBLANK(DaqBook_RAW_Data!AS513),"",DaqBook_RAW_Data!AS513)</f>
        <v/>
      </c>
      <c r="O523" s="44"/>
      <c r="P523" s="44"/>
    </row>
    <row r="524" spans="1:16" x14ac:dyDescent="0.2">
      <c r="A524" s="58" t="e">
        <f t="shared" si="7"/>
        <v>#VALUE!</v>
      </c>
      <c r="B524" s="144" t="str">
        <f>IF(ISBLANK(DaqBook_RAW_Data!AG514),IF(DaqBook_RAW_Data!A514="","",TIMEVALUE(DaqBook_RAW_Data!A514)),TIMEVALUE(DaqBook_RAW_Data!AG514))</f>
        <v/>
      </c>
      <c r="C524" s="167" t="str">
        <f>IF(ISBLANK(DaqBook_RAW_Data!AH514),"",DaqBook_RAW_Data!AH514)</f>
        <v/>
      </c>
      <c r="D524" s="167" t="str">
        <f>IF(ISBLANK(DaqBook_RAW_Data!AI514),"",DaqBook_RAW_Data!AI514)</f>
        <v/>
      </c>
      <c r="E524" s="167" t="str">
        <f>IF(ISBLANK(DaqBook_RAW_Data!AJ514),"",DaqBook_RAW_Data!AJ514)</f>
        <v/>
      </c>
      <c r="F524" s="167" t="str">
        <f>IF(ISBLANK(DaqBook_RAW_Data!AK514),"",DaqBook_RAW_Data!AK514)</f>
        <v/>
      </c>
      <c r="G524" s="167" t="str">
        <f>IF(ISBLANK(DaqBook_RAW_Data!AL514),"",DaqBook_RAW_Data!AL514)</f>
        <v/>
      </c>
      <c r="H524" s="167" t="str">
        <f>IF(ISBLANK(DaqBook_RAW_Data!AM514),"",DaqBook_RAW_Data!AM514)</f>
        <v/>
      </c>
      <c r="I524" s="167" t="str">
        <f>IF(ISBLANK(DaqBook_RAW_Data!AN514),"",DaqBook_RAW_Data!AN514)</f>
        <v/>
      </c>
      <c r="J524" s="167" t="str">
        <f>IF(ISBLANK(DaqBook_RAW_Data!AO514),"",DaqBook_RAW_Data!AO514)</f>
        <v/>
      </c>
      <c r="K524" s="167" t="str">
        <f>IF(ISBLANK(DaqBook_RAW_Data!AP514),"",DaqBook_RAW_Data!AP514)</f>
        <v/>
      </c>
      <c r="L524" s="167" t="str">
        <f>IF(ISBLANK(DaqBook_RAW_Data!AQ514),"",DaqBook_RAW_Data!AQ514)</f>
        <v/>
      </c>
      <c r="M524" s="167" t="str">
        <f>IF(ISBLANK(DaqBook_RAW_Data!AR514),"",DaqBook_RAW_Data!AR514)</f>
        <v/>
      </c>
      <c r="N524" s="167" t="str">
        <f>IF(ISBLANK(DaqBook_RAW_Data!AS514),"",DaqBook_RAW_Data!AS514)</f>
        <v/>
      </c>
      <c r="O524" s="44"/>
      <c r="P524" s="44"/>
    </row>
    <row r="525" spans="1:16" x14ac:dyDescent="0.2">
      <c r="A525" s="58" t="e">
        <f t="shared" si="7"/>
        <v>#VALUE!</v>
      </c>
      <c r="B525" s="144" t="str">
        <f>IF(ISBLANK(DaqBook_RAW_Data!AG515),IF(DaqBook_RAW_Data!A515="","",TIMEVALUE(DaqBook_RAW_Data!A515)),TIMEVALUE(DaqBook_RAW_Data!AG515))</f>
        <v/>
      </c>
      <c r="C525" s="167" t="str">
        <f>IF(ISBLANK(DaqBook_RAW_Data!AH515),"",DaqBook_RAW_Data!AH515)</f>
        <v/>
      </c>
      <c r="D525" s="167" t="str">
        <f>IF(ISBLANK(DaqBook_RAW_Data!AI515),"",DaqBook_RAW_Data!AI515)</f>
        <v/>
      </c>
      <c r="E525" s="167" t="str">
        <f>IF(ISBLANK(DaqBook_RAW_Data!AJ515),"",DaqBook_RAW_Data!AJ515)</f>
        <v/>
      </c>
      <c r="F525" s="167" t="str">
        <f>IF(ISBLANK(DaqBook_RAW_Data!AK515),"",DaqBook_RAW_Data!AK515)</f>
        <v/>
      </c>
      <c r="G525" s="167" t="str">
        <f>IF(ISBLANK(DaqBook_RAW_Data!AL515),"",DaqBook_RAW_Data!AL515)</f>
        <v/>
      </c>
      <c r="H525" s="167" t="str">
        <f>IF(ISBLANK(DaqBook_RAW_Data!AM515),"",DaqBook_RAW_Data!AM515)</f>
        <v/>
      </c>
      <c r="I525" s="167" t="str">
        <f>IF(ISBLANK(DaqBook_RAW_Data!AN515),"",DaqBook_RAW_Data!AN515)</f>
        <v/>
      </c>
      <c r="J525" s="167" t="str">
        <f>IF(ISBLANK(DaqBook_RAW_Data!AO515),"",DaqBook_RAW_Data!AO515)</f>
        <v/>
      </c>
      <c r="K525" s="167" t="str">
        <f>IF(ISBLANK(DaqBook_RAW_Data!AP515),"",DaqBook_RAW_Data!AP515)</f>
        <v/>
      </c>
      <c r="L525" s="167" t="str">
        <f>IF(ISBLANK(DaqBook_RAW_Data!AQ515),"",DaqBook_RAW_Data!AQ515)</f>
        <v/>
      </c>
      <c r="M525" s="167" t="str">
        <f>IF(ISBLANK(DaqBook_RAW_Data!AR515),"",DaqBook_RAW_Data!AR515)</f>
        <v/>
      </c>
      <c r="N525" s="167" t="str">
        <f>IF(ISBLANK(DaqBook_RAW_Data!AS515),"",DaqBook_RAW_Data!AS515)</f>
        <v/>
      </c>
      <c r="O525" s="44"/>
      <c r="P525" s="44"/>
    </row>
    <row r="526" spans="1:16" x14ac:dyDescent="0.2">
      <c r="A526" s="58" t="e">
        <f t="shared" si="7"/>
        <v>#VALUE!</v>
      </c>
      <c r="B526" s="144" t="str">
        <f>IF(ISBLANK(DaqBook_RAW_Data!AG516),IF(DaqBook_RAW_Data!A516="","",TIMEVALUE(DaqBook_RAW_Data!A516)),TIMEVALUE(DaqBook_RAW_Data!AG516))</f>
        <v/>
      </c>
      <c r="C526" s="167" t="str">
        <f>IF(ISBLANK(DaqBook_RAW_Data!AH516),"",DaqBook_RAW_Data!AH516)</f>
        <v/>
      </c>
      <c r="D526" s="167" t="str">
        <f>IF(ISBLANK(DaqBook_RAW_Data!AI516),"",DaqBook_RAW_Data!AI516)</f>
        <v/>
      </c>
      <c r="E526" s="167" t="str">
        <f>IF(ISBLANK(DaqBook_RAW_Data!AJ516),"",DaqBook_RAW_Data!AJ516)</f>
        <v/>
      </c>
      <c r="F526" s="167" t="str">
        <f>IF(ISBLANK(DaqBook_RAW_Data!AK516),"",DaqBook_RAW_Data!AK516)</f>
        <v/>
      </c>
      <c r="G526" s="167" t="str">
        <f>IF(ISBLANK(DaqBook_RAW_Data!AL516),"",DaqBook_RAW_Data!AL516)</f>
        <v/>
      </c>
      <c r="H526" s="167" t="str">
        <f>IF(ISBLANK(DaqBook_RAW_Data!AM516),"",DaqBook_RAW_Data!AM516)</f>
        <v/>
      </c>
      <c r="I526" s="167" t="str">
        <f>IF(ISBLANK(DaqBook_RAW_Data!AN516),"",DaqBook_RAW_Data!AN516)</f>
        <v/>
      </c>
      <c r="J526" s="167" t="str">
        <f>IF(ISBLANK(DaqBook_RAW_Data!AO516),"",DaqBook_RAW_Data!AO516)</f>
        <v/>
      </c>
      <c r="K526" s="167" t="str">
        <f>IF(ISBLANK(DaqBook_RAW_Data!AP516),"",DaqBook_RAW_Data!AP516)</f>
        <v/>
      </c>
      <c r="L526" s="167" t="str">
        <f>IF(ISBLANK(DaqBook_RAW_Data!AQ516),"",DaqBook_RAW_Data!AQ516)</f>
        <v/>
      </c>
      <c r="M526" s="167" t="str">
        <f>IF(ISBLANK(DaqBook_RAW_Data!AR516),"",DaqBook_RAW_Data!AR516)</f>
        <v/>
      </c>
      <c r="N526" s="167" t="str">
        <f>IF(ISBLANK(DaqBook_RAW_Data!AS516),"",DaqBook_RAW_Data!AS516)</f>
        <v/>
      </c>
      <c r="O526" s="44"/>
      <c r="P526" s="44"/>
    </row>
    <row r="527" spans="1:16" x14ac:dyDescent="0.2">
      <c r="A527" s="58" t="e">
        <f t="shared" ref="A527:A590" si="8">HOUR(B527)&amp;":"&amp;MINUTE(B527)</f>
        <v>#VALUE!</v>
      </c>
      <c r="B527" s="144" t="str">
        <f>IF(ISBLANK(DaqBook_RAW_Data!AG517),IF(DaqBook_RAW_Data!A517="","",TIMEVALUE(DaqBook_RAW_Data!A517)),TIMEVALUE(DaqBook_RAW_Data!AG517))</f>
        <v/>
      </c>
      <c r="C527" s="167" t="str">
        <f>IF(ISBLANK(DaqBook_RAW_Data!AH517),"",DaqBook_RAW_Data!AH517)</f>
        <v/>
      </c>
      <c r="D527" s="167" t="str">
        <f>IF(ISBLANK(DaqBook_RAW_Data!AI517),"",DaqBook_RAW_Data!AI517)</f>
        <v/>
      </c>
      <c r="E527" s="167" t="str">
        <f>IF(ISBLANK(DaqBook_RAW_Data!AJ517),"",DaqBook_RAW_Data!AJ517)</f>
        <v/>
      </c>
      <c r="F527" s="167" t="str">
        <f>IF(ISBLANK(DaqBook_RAW_Data!AK517),"",DaqBook_RAW_Data!AK517)</f>
        <v/>
      </c>
      <c r="G527" s="167" t="str">
        <f>IF(ISBLANK(DaqBook_RAW_Data!AL517),"",DaqBook_RAW_Data!AL517)</f>
        <v/>
      </c>
      <c r="H527" s="167" t="str">
        <f>IF(ISBLANK(DaqBook_RAW_Data!AM517),"",DaqBook_RAW_Data!AM517)</f>
        <v/>
      </c>
      <c r="I527" s="167" t="str">
        <f>IF(ISBLANK(DaqBook_RAW_Data!AN517),"",DaqBook_RAW_Data!AN517)</f>
        <v/>
      </c>
      <c r="J527" s="167" t="str">
        <f>IF(ISBLANK(DaqBook_RAW_Data!AO517),"",DaqBook_RAW_Data!AO517)</f>
        <v/>
      </c>
      <c r="K527" s="167" t="str">
        <f>IF(ISBLANK(DaqBook_RAW_Data!AP517),"",DaqBook_RAW_Data!AP517)</f>
        <v/>
      </c>
      <c r="L527" s="167" t="str">
        <f>IF(ISBLANK(DaqBook_RAW_Data!AQ517),"",DaqBook_RAW_Data!AQ517)</f>
        <v/>
      </c>
      <c r="M527" s="167" t="str">
        <f>IF(ISBLANK(DaqBook_RAW_Data!AR517),"",DaqBook_RAW_Data!AR517)</f>
        <v/>
      </c>
      <c r="N527" s="167" t="str">
        <f>IF(ISBLANK(DaqBook_RAW_Data!AS517),"",DaqBook_RAW_Data!AS517)</f>
        <v/>
      </c>
      <c r="O527" s="44"/>
      <c r="P527" s="44"/>
    </row>
    <row r="528" spans="1:16" x14ac:dyDescent="0.2">
      <c r="A528" s="58" t="e">
        <f t="shared" si="8"/>
        <v>#VALUE!</v>
      </c>
      <c r="B528" s="144" t="str">
        <f>IF(ISBLANK(DaqBook_RAW_Data!AG518),IF(DaqBook_RAW_Data!A518="","",TIMEVALUE(DaqBook_RAW_Data!A518)),TIMEVALUE(DaqBook_RAW_Data!AG518))</f>
        <v/>
      </c>
      <c r="C528" s="167" t="str">
        <f>IF(ISBLANK(DaqBook_RAW_Data!AH518),"",DaqBook_RAW_Data!AH518)</f>
        <v/>
      </c>
      <c r="D528" s="167" t="str">
        <f>IF(ISBLANK(DaqBook_RAW_Data!AI518),"",DaqBook_RAW_Data!AI518)</f>
        <v/>
      </c>
      <c r="E528" s="167" t="str">
        <f>IF(ISBLANK(DaqBook_RAW_Data!AJ518),"",DaqBook_RAW_Data!AJ518)</f>
        <v/>
      </c>
      <c r="F528" s="167" t="str">
        <f>IF(ISBLANK(DaqBook_RAW_Data!AK518),"",DaqBook_RAW_Data!AK518)</f>
        <v/>
      </c>
      <c r="G528" s="167" t="str">
        <f>IF(ISBLANK(DaqBook_RAW_Data!AL518),"",DaqBook_RAW_Data!AL518)</f>
        <v/>
      </c>
      <c r="H528" s="167" t="str">
        <f>IF(ISBLANK(DaqBook_RAW_Data!AM518),"",DaqBook_RAW_Data!AM518)</f>
        <v/>
      </c>
      <c r="I528" s="167" t="str">
        <f>IF(ISBLANK(DaqBook_RAW_Data!AN518),"",DaqBook_RAW_Data!AN518)</f>
        <v/>
      </c>
      <c r="J528" s="167" t="str">
        <f>IF(ISBLANK(DaqBook_RAW_Data!AO518),"",DaqBook_RAW_Data!AO518)</f>
        <v/>
      </c>
      <c r="K528" s="167" t="str">
        <f>IF(ISBLANK(DaqBook_RAW_Data!AP518),"",DaqBook_RAW_Data!AP518)</f>
        <v/>
      </c>
      <c r="L528" s="167" t="str">
        <f>IF(ISBLANK(DaqBook_RAW_Data!AQ518),"",DaqBook_RAW_Data!AQ518)</f>
        <v/>
      </c>
      <c r="M528" s="167" t="str">
        <f>IF(ISBLANK(DaqBook_RAW_Data!AR518),"",DaqBook_RAW_Data!AR518)</f>
        <v/>
      </c>
      <c r="N528" s="167" t="str">
        <f>IF(ISBLANK(DaqBook_RAW_Data!AS518),"",DaqBook_RAW_Data!AS518)</f>
        <v/>
      </c>
      <c r="O528" s="44"/>
      <c r="P528" s="44"/>
    </row>
    <row r="529" spans="1:16" x14ac:dyDescent="0.2">
      <c r="A529" s="58" t="e">
        <f t="shared" si="8"/>
        <v>#VALUE!</v>
      </c>
      <c r="B529" s="144" t="str">
        <f>IF(ISBLANK(DaqBook_RAW_Data!AG519),IF(DaqBook_RAW_Data!A519="","",TIMEVALUE(DaqBook_RAW_Data!A519)),TIMEVALUE(DaqBook_RAW_Data!AG519))</f>
        <v/>
      </c>
      <c r="C529" s="167" t="str">
        <f>IF(ISBLANK(DaqBook_RAW_Data!AH519),"",DaqBook_RAW_Data!AH519)</f>
        <v/>
      </c>
      <c r="D529" s="167" t="str">
        <f>IF(ISBLANK(DaqBook_RAW_Data!AI519),"",DaqBook_RAW_Data!AI519)</f>
        <v/>
      </c>
      <c r="E529" s="167" t="str">
        <f>IF(ISBLANK(DaqBook_RAW_Data!AJ519),"",DaqBook_RAW_Data!AJ519)</f>
        <v/>
      </c>
      <c r="F529" s="167" t="str">
        <f>IF(ISBLANK(DaqBook_RAW_Data!AK519),"",DaqBook_RAW_Data!AK519)</f>
        <v/>
      </c>
      <c r="G529" s="167" t="str">
        <f>IF(ISBLANK(DaqBook_RAW_Data!AL519),"",DaqBook_RAW_Data!AL519)</f>
        <v/>
      </c>
      <c r="H529" s="167" t="str">
        <f>IF(ISBLANK(DaqBook_RAW_Data!AM519),"",DaqBook_RAW_Data!AM519)</f>
        <v/>
      </c>
      <c r="I529" s="167" t="str">
        <f>IF(ISBLANK(DaqBook_RAW_Data!AN519),"",DaqBook_RAW_Data!AN519)</f>
        <v/>
      </c>
      <c r="J529" s="167" t="str">
        <f>IF(ISBLANK(DaqBook_RAW_Data!AO519),"",DaqBook_RAW_Data!AO519)</f>
        <v/>
      </c>
      <c r="K529" s="167" t="str">
        <f>IF(ISBLANK(DaqBook_RAW_Data!AP519),"",DaqBook_RAW_Data!AP519)</f>
        <v/>
      </c>
      <c r="L529" s="167" t="str">
        <f>IF(ISBLANK(DaqBook_RAW_Data!AQ519),"",DaqBook_RAW_Data!AQ519)</f>
        <v/>
      </c>
      <c r="M529" s="167" t="str">
        <f>IF(ISBLANK(DaqBook_RAW_Data!AR519),"",DaqBook_RAW_Data!AR519)</f>
        <v/>
      </c>
      <c r="N529" s="167" t="str">
        <f>IF(ISBLANK(DaqBook_RAW_Data!AS519),"",DaqBook_RAW_Data!AS519)</f>
        <v/>
      </c>
      <c r="O529" s="44"/>
      <c r="P529" s="44"/>
    </row>
    <row r="530" spans="1:16" x14ac:dyDescent="0.2">
      <c r="A530" s="58" t="e">
        <f t="shared" si="8"/>
        <v>#VALUE!</v>
      </c>
      <c r="B530" s="144" t="str">
        <f>IF(ISBLANK(DaqBook_RAW_Data!AG520),IF(DaqBook_RAW_Data!A520="","",TIMEVALUE(DaqBook_RAW_Data!A520)),TIMEVALUE(DaqBook_RAW_Data!AG520))</f>
        <v/>
      </c>
      <c r="C530" s="167" t="str">
        <f>IF(ISBLANK(DaqBook_RAW_Data!AH520),"",DaqBook_RAW_Data!AH520)</f>
        <v/>
      </c>
      <c r="D530" s="167" t="str">
        <f>IF(ISBLANK(DaqBook_RAW_Data!AI520),"",DaqBook_RAW_Data!AI520)</f>
        <v/>
      </c>
      <c r="E530" s="167" t="str">
        <f>IF(ISBLANK(DaqBook_RAW_Data!AJ520),"",DaqBook_RAW_Data!AJ520)</f>
        <v/>
      </c>
      <c r="F530" s="167" t="str">
        <f>IF(ISBLANK(DaqBook_RAW_Data!AK520),"",DaqBook_RAW_Data!AK520)</f>
        <v/>
      </c>
      <c r="G530" s="167" t="str">
        <f>IF(ISBLANK(DaqBook_RAW_Data!AL520),"",DaqBook_RAW_Data!AL520)</f>
        <v/>
      </c>
      <c r="H530" s="167" t="str">
        <f>IF(ISBLANK(DaqBook_RAW_Data!AM520),"",DaqBook_RAW_Data!AM520)</f>
        <v/>
      </c>
      <c r="I530" s="167" t="str">
        <f>IF(ISBLANK(DaqBook_RAW_Data!AN520),"",DaqBook_RAW_Data!AN520)</f>
        <v/>
      </c>
      <c r="J530" s="167" t="str">
        <f>IF(ISBLANK(DaqBook_RAW_Data!AO520),"",DaqBook_RAW_Data!AO520)</f>
        <v/>
      </c>
      <c r="K530" s="167" t="str">
        <f>IF(ISBLANK(DaqBook_RAW_Data!AP520),"",DaqBook_RAW_Data!AP520)</f>
        <v/>
      </c>
      <c r="L530" s="167" t="str">
        <f>IF(ISBLANK(DaqBook_RAW_Data!AQ520),"",DaqBook_RAW_Data!AQ520)</f>
        <v/>
      </c>
      <c r="M530" s="167" t="str">
        <f>IF(ISBLANK(DaqBook_RAW_Data!AR520),"",DaqBook_RAW_Data!AR520)</f>
        <v/>
      </c>
      <c r="N530" s="167" t="str">
        <f>IF(ISBLANK(DaqBook_RAW_Data!AS520),"",DaqBook_RAW_Data!AS520)</f>
        <v/>
      </c>
      <c r="O530" s="44"/>
      <c r="P530" s="44"/>
    </row>
    <row r="531" spans="1:16" x14ac:dyDescent="0.2">
      <c r="A531" s="58" t="e">
        <f t="shared" si="8"/>
        <v>#VALUE!</v>
      </c>
      <c r="B531" s="144" t="str">
        <f>IF(ISBLANK(DaqBook_RAW_Data!AG521),IF(DaqBook_RAW_Data!A521="","",TIMEVALUE(DaqBook_RAW_Data!A521)),TIMEVALUE(DaqBook_RAW_Data!AG521))</f>
        <v/>
      </c>
      <c r="C531" s="167" t="str">
        <f>IF(ISBLANK(DaqBook_RAW_Data!AH521),"",DaqBook_RAW_Data!AH521)</f>
        <v/>
      </c>
      <c r="D531" s="167" t="str">
        <f>IF(ISBLANK(DaqBook_RAW_Data!AI521),"",DaqBook_RAW_Data!AI521)</f>
        <v/>
      </c>
      <c r="E531" s="167" t="str">
        <f>IF(ISBLANK(DaqBook_RAW_Data!AJ521),"",DaqBook_RAW_Data!AJ521)</f>
        <v/>
      </c>
      <c r="F531" s="167" t="str">
        <f>IF(ISBLANK(DaqBook_RAW_Data!AK521),"",DaqBook_RAW_Data!AK521)</f>
        <v/>
      </c>
      <c r="G531" s="167" t="str">
        <f>IF(ISBLANK(DaqBook_RAW_Data!AL521),"",DaqBook_RAW_Data!AL521)</f>
        <v/>
      </c>
      <c r="H531" s="167" t="str">
        <f>IF(ISBLANK(DaqBook_RAW_Data!AM521),"",DaqBook_RAW_Data!AM521)</f>
        <v/>
      </c>
      <c r="I531" s="167" t="str">
        <f>IF(ISBLANK(DaqBook_RAW_Data!AN521),"",DaqBook_RAW_Data!AN521)</f>
        <v/>
      </c>
      <c r="J531" s="167" t="str">
        <f>IF(ISBLANK(DaqBook_RAW_Data!AO521),"",DaqBook_RAW_Data!AO521)</f>
        <v/>
      </c>
      <c r="K531" s="167" t="str">
        <f>IF(ISBLANK(DaqBook_RAW_Data!AP521),"",DaqBook_RAW_Data!AP521)</f>
        <v/>
      </c>
      <c r="L531" s="167" t="str">
        <f>IF(ISBLANK(DaqBook_RAW_Data!AQ521),"",DaqBook_RAW_Data!AQ521)</f>
        <v/>
      </c>
      <c r="M531" s="167" t="str">
        <f>IF(ISBLANK(DaqBook_RAW_Data!AR521),"",DaqBook_RAW_Data!AR521)</f>
        <v/>
      </c>
      <c r="N531" s="167" t="str">
        <f>IF(ISBLANK(DaqBook_RAW_Data!AS521),"",DaqBook_RAW_Data!AS521)</f>
        <v/>
      </c>
      <c r="O531" s="44"/>
      <c r="P531" s="44"/>
    </row>
    <row r="532" spans="1:16" x14ac:dyDescent="0.2">
      <c r="A532" s="58" t="e">
        <f t="shared" si="8"/>
        <v>#VALUE!</v>
      </c>
      <c r="B532" s="144" t="str">
        <f>IF(ISBLANK(DaqBook_RAW_Data!AG522),IF(DaqBook_RAW_Data!A522="","",TIMEVALUE(DaqBook_RAW_Data!A522)),TIMEVALUE(DaqBook_RAW_Data!AG522))</f>
        <v/>
      </c>
      <c r="C532" s="167" t="str">
        <f>IF(ISBLANK(DaqBook_RAW_Data!AH522),"",DaqBook_RAW_Data!AH522)</f>
        <v/>
      </c>
      <c r="D532" s="167" t="str">
        <f>IF(ISBLANK(DaqBook_RAW_Data!AI522),"",DaqBook_RAW_Data!AI522)</f>
        <v/>
      </c>
      <c r="E532" s="167" t="str">
        <f>IF(ISBLANK(DaqBook_RAW_Data!AJ522),"",DaqBook_RAW_Data!AJ522)</f>
        <v/>
      </c>
      <c r="F532" s="167" t="str">
        <f>IF(ISBLANK(DaqBook_RAW_Data!AK522),"",DaqBook_RAW_Data!AK522)</f>
        <v/>
      </c>
      <c r="G532" s="167" t="str">
        <f>IF(ISBLANK(DaqBook_RAW_Data!AL522),"",DaqBook_RAW_Data!AL522)</f>
        <v/>
      </c>
      <c r="H532" s="167" t="str">
        <f>IF(ISBLANK(DaqBook_RAW_Data!AM522),"",DaqBook_RAW_Data!AM522)</f>
        <v/>
      </c>
      <c r="I532" s="167" t="str">
        <f>IF(ISBLANK(DaqBook_RAW_Data!AN522),"",DaqBook_RAW_Data!AN522)</f>
        <v/>
      </c>
      <c r="J532" s="167" t="str">
        <f>IF(ISBLANK(DaqBook_RAW_Data!AO522),"",DaqBook_RAW_Data!AO522)</f>
        <v/>
      </c>
      <c r="K532" s="167" t="str">
        <f>IF(ISBLANK(DaqBook_RAW_Data!AP522),"",DaqBook_RAW_Data!AP522)</f>
        <v/>
      </c>
      <c r="L532" s="167" t="str">
        <f>IF(ISBLANK(DaqBook_RAW_Data!AQ522),"",DaqBook_RAW_Data!AQ522)</f>
        <v/>
      </c>
      <c r="M532" s="167" t="str">
        <f>IF(ISBLANK(DaqBook_RAW_Data!AR522),"",DaqBook_RAW_Data!AR522)</f>
        <v/>
      </c>
      <c r="N532" s="167" t="str">
        <f>IF(ISBLANK(DaqBook_RAW_Data!AS522),"",DaqBook_RAW_Data!AS522)</f>
        <v/>
      </c>
      <c r="O532" s="44"/>
      <c r="P532" s="44"/>
    </row>
    <row r="533" spans="1:16" x14ac:dyDescent="0.2">
      <c r="A533" s="58" t="e">
        <f t="shared" si="8"/>
        <v>#VALUE!</v>
      </c>
      <c r="B533" s="144" t="str">
        <f>IF(ISBLANK(DaqBook_RAW_Data!AG523),IF(DaqBook_RAW_Data!A523="","",TIMEVALUE(DaqBook_RAW_Data!A523)),TIMEVALUE(DaqBook_RAW_Data!AG523))</f>
        <v/>
      </c>
      <c r="C533" s="167" t="str">
        <f>IF(ISBLANK(DaqBook_RAW_Data!AH523),"",DaqBook_RAW_Data!AH523)</f>
        <v/>
      </c>
      <c r="D533" s="167" t="str">
        <f>IF(ISBLANK(DaqBook_RAW_Data!AI523),"",DaqBook_RAW_Data!AI523)</f>
        <v/>
      </c>
      <c r="E533" s="167" t="str">
        <f>IF(ISBLANK(DaqBook_RAW_Data!AJ523),"",DaqBook_RAW_Data!AJ523)</f>
        <v/>
      </c>
      <c r="F533" s="167" t="str">
        <f>IF(ISBLANK(DaqBook_RAW_Data!AK523),"",DaqBook_RAW_Data!AK523)</f>
        <v/>
      </c>
      <c r="G533" s="167" t="str">
        <f>IF(ISBLANK(DaqBook_RAW_Data!AL523),"",DaqBook_RAW_Data!AL523)</f>
        <v/>
      </c>
      <c r="H533" s="167" t="str">
        <f>IF(ISBLANK(DaqBook_RAW_Data!AM523),"",DaqBook_RAW_Data!AM523)</f>
        <v/>
      </c>
      <c r="I533" s="167" t="str">
        <f>IF(ISBLANK(DaqBook_RAW_Data!AN523),"",DaqBook_RAW_Data!AN523)</f>
        <v/>
      </c>
      <c r="J533" s="167" t="str">
        <f>IF(ISBLANK(DaqBook_RAW_Data!AO523),"",DaqBook_RAW_Data!AO523)</f>
        <v/>
      </c>
      <c r="K533" s="167" t="str">
        <f>IF(ISBLANK(DaqBook_RAW_Data!AP523),"",DaqBook_RAW_Data!AP523)</f>
        <v/>
      </c>
      <c r="L533" s="167" t="str">
        <f>IF(ISBLANK(DaqBook_RAW_Data!AQ523),"",DaqBook_RAW_Data!AQ523)</f>
        <v/>
      </c>
      <c r="M533" s="167" t="str">
        <f>IF(ISBLANK(DaqBook_RAW_Data!AR523),"",DaqBook_RAW_Data!AR523)</f>
        <v/>
      </c>
      <c r="N533" s="167" t="str">
        <f>IF(ISBLANK(DaqBook_RAW_Data!AS523),"",DaqBook_RAW_Data!AS523)</f>
        <v/>
      </c>
      <c r="O533" s="44"/>
      <c r="P533" s="44"/>
    </row>
    <row r="534" spans="1:16" x14ac:dyDescent="0.2">
      <c r="A534" s="58" t="e">
        <f t="shared" si="8"/>
        <v>#VALUE!</v>
      </c>
      <c r="B534" s="144" t="str">
        <f>IF(ISBLANK(DaqBook_RAW_Data!AG524),IF(DaqBook_RAW_Data!A524="","",TIMEVALUE(DaqBook_RAW_Data!A524)),TIMEVALUE(DaqBook_RAW_Data!AG524))</f>
        <v/>
      </c>
      <c r="C534" s="167" t="str">
        <f>IF(ISBLANK(DaqBook_RAW_Data!AH524),"",DaqBook_RAW_Data!AH524)</f>
        <v/>
      </c>
      <c r="D534" s="167" t="str">
        <f>IF(ISBLANK(DaqBook_RAW_Data!AI524),"",DaqBook_RAW_Data!AI524)</f>
        <v/>
      </c>
      <c r="E534" s="167" t="str">
        <f>IF(ISBLANK(DaqBook_RAW_Data!AJ524),"",DaqBook_RAW_Data!AJ524)</f>
        <v/>
      </c>
      <c r="F534" s="167" t="str">
        <f>IF(ISBLANK(DaqBook_RAW_Data!AK524),"",DaqBook_RAW_Data!AK524)</f>
        <v/>
      </c>
      <c r="G534" s="167" t="str">
        <f>IF(ISBLANK(DaqBook_RAW_Data!AL524),"",DaqBook_RAW_Data!AL524)</f>
        <v/>
      </c>
      <c r="H534" s="167" t="str">
        <f>IF(ISBLANK(DaqBook_RAW_Data!AM524),"",DaqBook_RAW_Data!AM524)</f>
        <v/>
      </c>
      <c r="I534" s="167" t="str">
        <f>IF(ISBLANK(DaqBook_RAW_Data!AN524),"",DaqBook_RAW_Data!AN524)</f>
        <v/>
      </c>
      <c r="J534" s="167" t="str">
        <f>IF(ISBLANK(DaqBook_RAW_Data!AO524),"",DaqBook_RAW_Data!AO524)</f>
        <v/>
      </c>
      <c r="K534" s="167" t="str">
        <f>IF(ISBLANK(DaqBook_RAW_Data!AP524),"",DaqBook_RAW_Data!AP524)</f>
        <v/>
      </c>
      <c r="L534" s="167" t="str">
        <f>IF(ISBLANK(DaqBook_RAW_Data!AQ524),"",DaqBook_RAW_Data!AQ524)</f>
        <v/>
      </c>
      <c r="M534" s="167" t="str">
        <f>IF(ISBLANK(DaqBook_RAW_Data!AR524),"",DaqBook_RAW_Data!AR524)</f>
        <v/>
      </c>
      <c r="N534" s="167" t="str">
        <f>IF(ISBLANK(DaqBook_RAW_Data!AS524),"",DaqBook_RAW_Data!AS524)</f>
        <v/>
      </c>
      <c r="O534" s="44"/>
      <c r="P534" s="44"/>
    </row>
    <row r="535" spans="1:16" x14ac:dyDescent="0.2">
      <c r="A535" s="58" t="e">
        <f t="shared" si="8"/>
        <v>#VALUE!</v>
      </c>
      <c r="B535" s="144" t="str">
        <f>IF(ISBLANK(DaqBook_RAW_Data!AG525),IF(DaqBook_RAW_Data!A525="","",TIMEVALUE(DaqBook_RAW_Data!A525)),TIMEVALUE(DaqBook_RAW_Data!AG525))</f>
        <v/>
      </c>
      <c r="C535" s="167" t="str">
        <f>IF(ISBLANK(DaqBook_RAW_Data!AH525),"",DaqBook_RAW_Data!AH525)</f>
        <v/>
      </c>
      <c r="D535" s="167" t="str">
        <f>IF(ISBLANK(DaqBook_RAW_Data!AI525),"",DaqBook_RAW_Data!AI525)</f>
        <v/>
      </c>
      <c r="E535" s="167" t="str">
        <f>IF(ISBLANK(DaqBook_RAW_Data!AJ525),"",DaqBook_RAW_Data!AJ525)</f>
        <v/>
      </c>
      <c r="F535" s="167" t="str">
        <f>IF(ISBLANK(DaqBook_RAW_Data!AK525),"",DaqBook_RAW_Data!AK525)</f>
        <v/>
      </c>
      <c r="G535" s="167" t="str">
        <f>IF(ISBLANK(DaqBook_RAW_Data!AL525),"",DaqBook_RAW_Data!AL525)</f>
        <v/>
      </c>
      <c r="H535" s="167" t="str">
        <f>IF(ISBLANK(DaqBook_RAW_Data!AM525),"",DaqBook_RAW_Data!AM525)</f>
        <v/>
      </c>
      <c r="I535" s="167" t="str">
        <f>IF(ISBLANK(DaqBook_RAW_Data!AN525),"",DaqBook_RAW_Data!AN525)</f>
        <v/>
      </c>
      <c r="J535" s="167" t="str">
        <f>IF(ISBLANK(DaqBook_RAW_Data!AO525),"",DaqBook_RAW_Data!AO525)</f>
        <v/>
      </c>
      <c r="K535" s="167" t="str">
        <f>IF(ISBLANK(DaqBook_RAW_Data!AP525),"",DaqBook_RAW_Data!AP525)</f>
        <v/>
      </c>
      <c r="L535" s="167" t="str">
        <f>IF(ISBLANK(DaqBook_RAW_Data!AQ525),"",DaqBook_RAW_Data!AQ525)</f>
        <v/>
      </c>
      <c r="M535" s="167" t="str">
        <f>IF(ISBLANK(DaqBook_RAW_Data!AR525),"",DaqBook_RAW_Data!AR525)</f>
        <v/>
      </c>
      <c r="N535" s="167" t="str">
        <f>IF(ISBLANK(DaqBook_RAW_Data!AS525),"",DaqBook_RAW_Data!AS525)</f>
        <v/>
      </c>
      <c r="O535" s="44"/>
      <c r="P535" s="44"/>
    </row>
    <row r="536" spans="1:16" x14ac:dyDescent="0.2">
      <c r="A536" s="58" t="e">
        <f t="shared" si="8"/>
        <v>#VALUE!</v>
      </c>
      <c r="B536" s="144" t="str">
        <f>IF(ISBLANK(DaqBook_RAW_Data!AG526),IF(DaqBook_RAW_Data!A526="","",TIMEVALUE(DaqBook_RAW_Data!A526)),TIMEVALUE(DaqBook_RAW_Data!AG526))</f>
        <v/>
      </c>
      <c r="C536" s="167" t="str">
        <f>IF(ISBLANK(DaqBook_RAW_Data!AH526),"",DaqBook_RAW_Data!AH526)</f>
        <v/>
      </c>
      <c r="D536" s="167" t="str">
        <f>IF(ISBLANK(DaqBook_RAW_Data!AI526),"",DaqBook_RAW_Data!AI526)</f>
        <v/>
      </c>
      <c r="E536" s="167" t="str">
        <f>IF(ISBLANK(DaqBook_RAW_Data!AJ526),"",DaqBook_RAW_Data!AJ526)</f>
        <v/>
      </c>
      <c r="F536" s="167" t="str">
        <f>IF(ISBLANK(DaqBook_RAW_Data!AK526),"",DaqBook_RAW_Data!AK526)</f>
        <v/>
      </c>
      <c r="G536" s="167" t="str">
        <f>IF(ISBLANK(DaqBook_RAW_Data!AL526),"",DaqBook_RAW_Data!AL526)</f>
        <v/>
      </c>
      <c r="H536" s="167" t="str">
        <f>IF(ISBLANK(DaqBook_RAW_Data!AM526),"",DaqBook_RAW_Data!AM526)</f>
        <v/>
      </c>
      <c r="I536" s="167" t="str">
        <f>IF(ISBLANK(DaqBook_RAW_Data!AN526),"",DaqBook_RAW_Data!AN526)</f>
        <v/>
      </c>
      <c r="J536" s="167" t="str">
        <f>IF(ISBLANK(DaqBook_RAW_Data!AO526),"",DaqBook_RAW_Data!AO526)</f>
        <v/>
      </c>
      <c r="K536" s="167" t="str">
        <f>IF(ISBLANK(DaqBook_RAW_Data!AP526),"",DaqBook_RAW_Data!AP526)</f>
        <v/>
      </c>
      <c r="L536" s="167" t="str">
        <f>IF(ISBLANK(DaqBook_RAW_Data!AQ526),"",DaqBook_RAW_Data!AQ526)</f>
        <v/>
      </c>
      <c r="M536" s="167" t="str">
        <f>IF(ISBLANK(DaqBook_RAW_Data!AR526),"",DaqBook_RAW_Data!AR526)</f>
        <v/>
      </c>
      <c r="N536" s="167" t="str">
        <f>IF(ISBLANK(DaqBook_RAW_Data!AS526),"",DaqBook_RAW_Data!AS526)</f>
        <v/>
      </c>
      <c r="O536" s="44"/>
      <c r="P536" s="44"/>
    </row>
    <row r="537" spans="1:16" x14ac:dyDescent="0.2">
      <c r="A537" s="58" t="e">
        <f t="shared" si="8"/>
        <v>#VALUE!</v>
      </c>
      <c r="B537" s="144" t="str">
        <f>IF(ISBLANK(DaqBook_RAW_Data!AG527),IF(DaqBook_RAW_Data!A527="","",TIMEVALUE(DaqBook_RAW_Data!A527)),TIMEVALUE(DaqBook_RAW_Data!AG527))</f>
        <v/>
      </c>
      <c r="C537" s="167" t="str">
        <f>IF(ISBLANK(DaqBook_RAW_Data!AH527),"",DaqBook_RAW_Data!AH527)</f>
        <v/>
      </c>
      <c r="D537" s="167" t="str">
        <f>IF(ISBLANK(DaqBook_RAW_Data!AI527),"",DaqBook_RAW_Data!AI527)</f>
        <v/>
      </c>
      <c r="E537" s="167" t="str">
        <f>IF(ISBLANK(DaqBook_RAW_Data!AJ527),"",DaqBook_RAW_Data!AJ527)</f>
        <v/>
      </c>
      <c r="F537" s="167" t="str">
        <f>IF(ISBLANK(DaqBook_RAW_Data!AK527),"",DaqBook_RAW_Data!AK527)</f>
        <v/>
      </c>
      <c r="G537" s="167" t="str">
        <f>IF(ISBLANK(DaqBook_RAW_Data!AL527),"",DaqBook_RAW_Data!AL527)</f>
        <v/>
      </c>
      <c r="H537" s="167" t="str">
        <f>IF(ISBLANK(DaqBook_RAW_Data!AM527),"",DaqBook_RAW_Data!AM527)</f>
        <v/>
      </c>
      <c r="I537" s="167" t="str">
        <f>IF(ISBLANK(DaqBook_RAW_Data!AN527),"",DaqBook_RAW_Data!AN527)</f>
        <v/>
      </c>
      <c r="J537" s="167" t="str">
        <f>IF(ISBLANK(DaqBook_RAW_Data!AO527),"",DaqBook_RAW_Data!AO527)</f>
        <v/>
      </c>
      <c r="K537" s="167" t="str">
        <f>IF(ISBLANK(DaqBook_RAW_Data!AP527),"",DaqBook_RAW_Data!AP527)</f>
        <v/>
      </c>
      <c r="L537" s="167" t="str">
        <f>IF(ISBLANK(DaqBook_RAW_Data!AQ527),"",DaqBook_RAW_Data!AQ527)</f>
        <v/>
      </c>
      <c r="M537" s="167" t="str">
        <f>IF(ISBLANK(DaqBook_RAW_Data!AR527),"",DaqBook_RAW_Data!AR527)</f>
        <v/>
      </c>
      <c r="N537" s="167" t="str">
        <f>IF(ISBLANK(DaqBook_RAW_Data!AS527),"",DaqBook_RAW_Data!AS527)</f>
        <v/>
      </c>
      <c r="O537" s="44"/>
      <c r="P537" s="44"/>
    </row>
    <row r="538" spans="1:16" x14ac:dyDescent="0.2">
      <c r="A538" s="58" t="e">
        <f t="shared" si="8"/>
        <v>#VALUE!</v>
      </c>
      <c r="B538" s="144" t="str">
        <f>IF(ISBLANK(DaqBook_RAW_Data!AG528),IF(DaqBook_RAW_Data!A528="","",TIMEVALUE(DaqBook_RAW_Data!A528)),TIMEVALUE(DaqBook_RAW_Data!AG528))</f>
        <v/>
      </c>
      <c r="C538" s="167" t="str">
        <f>IF(ISBLANK(DaqBook_RAW_Data!AH528),"",DaqBook_RAW_Data!AH528)</f>
        <v/>
      </c>
      <c r="D538" s="167" t="str">
        <f>IF(ISBLANK(DaqBook_RAW_Data!AI528),"",DaqBook_RAW_Data!AI528)</f>
        <v/>
      </c>
      <c r="E538" s="167" t="str">
        <f>IF(ISBLANK(DaqBook_RAW_Data!AJ528),"",DaqBook_RAW_Data!AJ528)</f>
        <v/>
      </c>
      <c r="F538" s="167" t="str">
        <f>IF(ISBLANK(DaqBook_RAW_Data!AK528),"",DaqBook_RAW_Data!AK528)</f>
        <v/>
      </c>
      <c r="G538" s="167" t="str">
        <f>IF(ISBLANK(DaqBook_RAW_Data!AL528),"",DaqBook_RAW_Data!AL528)</f>
        <v/>
      </c>
      <c r="H538" s="167" t="str">
        <f>IF(ISBLANK(DaqBook_RAW_Data!AM528),"",DaqBook_RAW_Data!AM528)</f>
        <v/>
      </c>
      <c r="I538" s="167" t="str">
        <f>IF(ISBLANK(DaqBook_RAW_Data!AN528),"",DaqBook_RAW_Data!AN528)</f>
        <v/>
      </c>
      <c r="J538" s="167" t="str">
        <f>IF(ISBLANK(DaqBook_RAW_Data!AO528),"",DaqBook_RAW_Data!AO528)</f>
        <v/>
      </c>
      <c r="K538" s="167" t="str">
        <f>IF(ISBLANK(DaqBook_RAW_Data!AP528),"",DaqBook_RAW_Data!AP528)</f>
        <v/>
      </c>
      <c r="L538" s="167" t="str">
        <f>IF(ISBLANK(DaqBook_RAW_Data!AQ528),"",DaqBook_RAW_Data!AQ528)</f>
        <v/>
      </c>
      <c r="M538" s="167" t="str">
        <f>IF(ISBLANK(DaqBook_RAW_Data!AR528),"",DaqBook_RAW_Data!AR528)</f>
        <v/>
      </c>
      <c r="N538" s="167" t="str">
        <f>IF(ISBLANK(DaqBook_RAW_Data!AS528),"",DaqBook_RAW_Data!AS528)</f>
        <v/>
      </c>
      <c r="O538" s="44"/>
      <c r="P538" s="44"/>
    </row>
    <row r="539" spans="1:16" x14ac:dyDescent="0.2">
      <c r="A539" s="58" t="e">
        <f t="shared" si="8"/>
        <v>#VALUE!</v>
      </c>
      <c r="B539" s="144" t="str">
        <f>IF(ISBLANK(DaqBook_RAW_Data!AG529),IF(DaqBook_RAW_Data!A529="","",TIMEVALUE(DaqBook_RAW_Data!A529)),TIMEVALUE(DaqBook_RAW_Data!AG529))</f>
        <v/>
      </c>
      <c r="C539" s="167" t="str">
        <f>IF(ISBLANK(DaqBook_RAW_Data!AH529),"",DaqBook_RAW_Data!AH529)</f>
        <v/>
      </c>
      <c r="D539" s="167" t="str">
        <f>IF(ISBLANK(DaqBook_RAW_Data!AI529),"",DaqBook_RAW_Data!AI529)</f>
        <v/>
      </c>
      <c r="E539" s="167" t="str">
        <f>IF(ISBLANK(DaqBook_RAW_Data!AJ529),"",DaqBook_RAW_Data!AJ529)</f>
        <v/>
      </c>
      <c r="F539" s="167" t="str">
        <f>IF(ISBLANK(DaqBook_RAW_Data!AK529),"",DaqBook_RAW_Data!AK529)</f>
        <v/>
      </c>
      <c r="G539" s="167" t="str">
        <f>IF(ISBLANK(DaqBook_RAW_Data!AL529),"",DaqBook_RAW_Data!AL529)</f>
        <v/>
      </c>
      <c r="H539" s="167" t="str">
        <f>IF(ISBLANK(DaqBook_RAW_Data!AM529),"",DaqBook_RAW_Data!AM529)</f>
        <v/>
      </c>
      <c r="I539" s="167" t="str">
        <f>IF(ISBLANK(DaqBook_RAW_Data!AN529),"",DaqBook_RAW_Data!AN529)</f>
        <v/>
      </c>
      <c r="J539" s="167" t="str">
        <f>IF(ISBLANK(DaqBook_RAW_Data!AO529),"",DaqBook_RAW_Data!AO529)</f>
        <v/>
      </c>
      <c r="K539" s="167" t="str">
        <f>IF(ISBLANK(DaqBook_RAW_Data!AP529),"",DaqBook_RAW_Data!AP529)</f>
        <v/>
      </c>
      <c r="L539" s="167" t="str">
        <f>IF(ISBLANK(DaqBook_RAW_Data!AQ529),"",DaqBook_RAW_Data!AQ529)</f>
        <v/>
      </c>
      <c r="M539" s="167" t="str">
        <f>IF(ISBLANK(DaqBook_RAW_Data!AR529),"",DaqBook_RAW_Data!AR529)</f>
        <v/>
      </c>
      <c r="N539" s="167" t="str">
        <f>IF(ISBLANK(DaqBook_RAW_Data!AS529),"",DaqBook_RAW_Data!AS529)</f>
        <v/>
      </c>
      <c r="O539" s="44"/>
      <c r="P539" s="44"/>
    </row>
    <row r="540" spans="1:16" x14ac:dyDescent="0.2">
      <c r="A540" s="58" t="e">
        <f t="shared" si="8"/>
        <v>#VALUE!</v>
      </c>
      <c r="B540" s="144" t="str">
        <f>IF(ISBLANK(DaqBook_RAW_Data!AG530),IF(DaqBook_RAW_Data!A530="","",TIMEVALUE(DaqBook_RAW_Data!A530)),TIMEVALUE(DaqBook_RAW_Data!AG530))</f>
        <v/>
      </c>
      <c r="C540" s="167" t="str">
        <f>IF(ISBLANK(DaqBook_RAW_Data!AH530),"",DaqBook_RAW_Data!AH530)</f>
        <v/>
      </c>
      <c r="D540" s="167" t="str">
        <f>IF(ISBLANK(DaqBook_RAW_Data!AI530),"",DaqBook_RAW_Data!AI530)</f>
        <v/>
      </c>
      <c r="E540" s="167" t="str">
        <f>IF(ISBLANK(DaqBook_RAW_Data!AJ530),"",DaqBook_RAW_Data!AJ530)</f>
        <v/>
      </c>
      <c r="F540" s="167" t="str">
        <f>IF(ISBLANK(DaqBook_RAW_Data!AK530),"",DaqBook_RAW_Data!AK530)</f>
        <v/>
      </c>
      <c r="G540" s="167" t="str">
        <f>IF(ISBLANK(DaqBook_RAW_Data!AL530),"",DaqBook_RAW_Data!AL530)</f>
        <v/>
      </c>
      <c r="H540" s="167" t="str">
        <f>IF(ISBLANK(DaqBook_RAW_Data!AM530),"",DaqBook_RAW_Data!AM530)</f>
        <v/>
      </c>
      <c r="I540" s="167" t="str">
        <f>IF(ISBLANK(DaqBook_RAW_Data!AN530),"",DaqBook_RAW_Data!AN530)</f>
        <v/>
      </c>
      <c r="J540" s="167" t="str">
        <f>IF(ISBLANK(DaqBook_RAW_Data!AO530),"",DaqBook_RAW_Data!AO530)</f>
        <v/>
      </c>
      <c r="K540" s="167" t="str">
        <f>IF(ISBLANK(DaqBook_RAW_Data!AP530),"",DaqBook_RAW_Data!AP530)</f>
        <v/>
      </c>
      <c r="L540" s="167" t="str">
        <f>IF(ISBLANK(DaqBook_RAW_Data!AQ530),"",DaqBook_RAW_Data!AQ530)</f>
        <v/>
      </c>
      <c r="M540" s="167" t="str">
        <f>IF(ISBLANK(DaqBook_RAW_Data!AR530),"",DaqBook_RAW_Data!AR530)</f>
        <v/>
      </c>
      <c r="N540" s="167" t="str">
        <f>IF(ISBLANK(DaqBook_RAW_Data!AS530),"",DaqBook_RAW_Data!AS530)</f>
        <v/>
      </c>
      <c r="O540" s="44"/>
      <c r="P540" s="44"/>
    </row>
    <row r="541" spans="1:16" x14ac:dyDescent="0.2">
      <c r="A541" s="58" t="e">
        <f t="shared" si="8"/>
        <v>#VALUE!</v>
      </c>
      <c r="B541" s="144" t="str">
        <f>IF(ISBLANK(DaqBook_RAW_Data!AG531),IF(DaqBook_RAW_Data!A531="","",TIMEVALUE(DaqBook_RAW_Data!A531)),TIMEVALUE(DaqBook_RAW_Data!AG531))</f>
        <v/>
      </c>
      <c r="C541" s="167" t="str">
        <f>IF(ISBLANK(DaqBook_RAW_Data!AH531),"",DaqBook_RAW_Data!AH531)</f>
        <v/>
      </c>
      <c r="D541" s="167" t="str">
        <f>IF(ISBLANK(DaqBook_RAW_Data!AI531),"",DaqBook_RAW_Data!AI531)</f>
        <v/>
      </c>
      <c r="E541" s="167" t="str">
        <f>IF(ISBLANK(DaqBook_RAW_Data!AJ531),"",DaqBook_RAW_Data!AJ531)</f>
        <v/>
      </c>
      <c r="F541" s="167" t="str">
        <f>IF(ISBLANK(DaqBook_RAW_Data!AK531),"",DaqBook_RAW_Data!AK531)</f>
        <v/>
      </c>
      <c r="G541" s="167" t="str">
        <f>IF(ISBLANK(DaqBook_RAW_Data!AL531),"",DaqBook_RAW_Data!AL531)</f>
        <v/>
      </c>
      <c r="H541" s="167" t="str">
        <f>IF(ISBLANK(DaqBook_RAW_Data!AM531),"",DaqBook_RAW_Data!AM531)</f>
        <v/>
      </c>
      <c r="I541" s="167" t="str">
        <f>IF(ISBLANK(DaqBook_RAW_Data!AN531),"",DaqBook_RAW_Data!AN531)</f>
        <v/>
      </c>
      <c r="J541" s="167" t="str">
        <f>IF(ISBLANK(DaqBook_RAW_Data!AO531),"",DaqBook_RAW_Data!AO531)</f>
        <v/>
      </c>
      <c r="K541" s="167" t="str">
        <f>IF(ISBLANK(DaqBook_RAW_Data!AP531),"",DaqBook_RAW_Data!AP531)</f>
        <v/>
      </c>
      <c r="L541" s="167" t="str">
        <f>IF(ISBLANK(DaqBook_RAW_Data!AQ531),"",DaqBook_RAW_Data!AQ531)</f>
        <v/>
      </c>
      <c r="M541" s="167" t="str">
        <f>IF(ISBLANK(DaqBook_RAW_Data!AR531),"",DaqBook_RAW_Data!AR531)</f>
        <v/>
      </c>
      <c r="N541" s="167" t="str">
        <f>IF(ISBLANK(DaqBook_RAW_Data!AS531),"",DaqBook_RAW_Data!AS531)</f>
        <v/>
      </c>
      <c r="O541" s="44"/>
      <c r="P541" s="44"/>
    </row>
    <row r="542" spans="1:16" x14ac:dyDescent="0.2">
      <c r="A542" s="58" t="e">
        <f t="shared" si="8"/>
        <v>#VALUE!</v>
      </c>
      <c r="B542" s="144" t="str">
        <f>IF(ISBLANK(DaqBook_RAW_Data!AG532),IF(DaqBook_RAW_Data!A532="","",TIMEVALUE(DaqBook_RAW_Data!A532)),TIMEVALUE(DaqBook_RAW_Data!AG532))</f>
        <v/>
      </c>
      <c r="C542" s="167" t="str">
        <f>IF(ISBLANK(DaqBook_RAW_Data!AH532),"",DaqBook_RAW_Data!AH532)</f>
        <v/>
      </c>
      <c r="D542" s="167" t="str">
        <f>IF(ISBLANK(DaqBook_RAW_Data!AI532),"",DaqBook_RAW_Data!AI532)</f>
        <v/>
      </c>
      <c r="E542" s="167" t="str">
        <f>IF(ISBLANK(DaqBook_RAW_Data!AJ532),"",DaqBook_RAW_Data!AJ532)</f>
        <v/>
      </c>
      <c r="F542" s="167" t="str">
        <f>IF(ISBLANK(DaqBook_RAW_Data!AK532),"",DaqBook_RAW_Data!AK532)</f>
        <v/>
      </c>
      <c r="G542" s="167" t="str">
        <f>IF(ISBLANK(DaqBook_RAW_Data!AL532),"",DaqBook_RAW_Data!AL532)</f>
        <v/>
      </c>
      <c r="H542" s="167" t="str">
        <f>IF(ISBLANK(DaqBook_RAW_Data!AM532),"",DaqBook_RAW_Data!AM532)</f>
        <v/>
      </c>
      <c r="I542" s="167" t="str">
        <f>IF(ISBLANK(DaqBook_RAW_Data!AN532),"",DaqBook_RAW_Data!AN532)</f>
        <v/>
      </c>
      <c r="J542" s="167" t="str">
        <f>IF(ISBLANK(DaqBook_RAW_Data!AO532),"",DaqBook_RAW_Data!AO532)</f>
        <v/>
      </c>
      <c r="K542" s="167" t="str">
        <f>IF(ISBLANK(DaqBook_RAW_Data!AP532),"",DaqBook_RAW_Data!AP532)</f>
        <v/>
      </c>
      <c r="L542" s="167" t="str">
        <f>IF(ISBLANK(DaqBook_RAW_Data!AQ532),"",DaqBook_RAW_Data!AQ532)</f>
        <v/>
      </c>
      <c r="M542" s="167" t="str">
        <f>IF(ISBLANK(DaqBook_RAW_Data!AR532),"",DaqBook_RAW_Data!AR532)</f>
        <v/>
      </c>
      <c r="N542" s="167" t="str">
        <f>IF(ISBLANK(DaqBook_RAW_Data!AS532),"",DaqBook_RAW_Data!AS532)</f>
        <v/>
      </c>
      <c r="O542" s="44"/>
      <c r="P542" s="44"/>
    </row>
    <row r="543" spans="1:16" x14ac:dyDescent="0.2">
      <c r="A543" s="58" t="e">
        <f t="shared" si="8"/>
        <v>#VALUE!</v>
      </c>
      <c r="B543" s="144" t="str">
        <f>IF(ISBLANK(DaqBook_RAW_Data!AG533),IF(DaqBook_RAW_Data!A533="","",TIMEVALUE(DaqBook_RAW_Data!A533)),TIMEVALUE(DaqBook_RAW_Data!AG533))</f>
        <v/>
      </c>
      <c r="C543" s="167" t="str">
        <f>IF(ISBLANK(DaqBook_RAW_Data!AH533),"",DaqBook_RAW_Data!AH533)</f>
        <v/>
      </c>
      <c r="D543" s="167" t="str">
        <f>IF(ISBLANK(DaqBook_RAW_Data!AI533),"",DaqBook_RAW_Data!AI533)</f>
        <v/>
      </c>
      <c r="E543" s="167" t="str">
        <f>IF(ISBLANK(DaqBook_RAW_Data!AJ533),"",DaqBook_RAW_Data!AJ533)</f>
        <v/>
      </c>
      <c r="F543" s="167" t="str">
        <f>IF(ISBLANK(DaqBook_RAW_Data!AK533),"",DaqBook_RAW_Data!AK533)</f>
        <v/>
      </c>
      <c r="G543" s="167" t="str">
        <f>IF(ISBLANK(DaqBook_RAW_Data!AL533),"",DaqBook_RAW_Data!AL533)</f>
        <v/>
      </c>
      <c r="H543" s="167" t="str">
        <f>IF(ISBLANK(DaqBook_RAW_Data!AM533),"",DaqBook_RAW_Data!AM533)</f>
        <v/>
      </c>
      <c r="I543" s="167" t="str">
        <f>IF(ISBLANK(DaqBook_RAW_Data!AN533),"",DaqBook_RAW_Data!AN533)</f>
        <v/>
      </c>
      <c r="J543" s="167" t="str">
        <f>IF(ISBLANK(DaqBook_RAW_Data!AO533),"",DaqBook_RAW_Data!AO533)</f>
        <v/>
      </c>
      <c r="K543" s="167" t="str">
        <f>IF(ISBLANK(DaqBook_RAW_Data!AP533),"",DaqBook_RAW_Data!AP533)</f>
        <v/>
      </c>
      <c r="L543" s="167" t="str">
        <f>IF(ISBLANK(DaqBook_RAW_Data!AQ533),"",DaqBook_RAW_Data!AQ533)</f>
        <v/>
      </c>
      <c r="M543" s="167" t="str">
        <f>IF(ISBLANK(DaqBook_RAW_Data!AR533),"",DaqBook_RAW_Data!AR533)</f>
        <v/>
      </c>
      <c r="N543" s="167" t="str">
        <f>IF(ISBLANK(DaqBook_RAW_Data!AS533),"",DaqBook_RAW_Data!AS533)</f>
        <v/>
      </c>
      <c r="O543" s="44"/>
      <c r="P543" s="44"/>
    </row>
    <row r="544" spans="1:16" x14ac:dyDescent="0.2">
      <c r="A544" s="58" t="e">
        <f t="shared" si="8"/>
        <v>#VALUE!</v>
      </c>
      <c r="B544" s="144" t="str">
        <f>IF(ISBLANK(DaqBook_RAW_Data!AG534),IF(DaqBook_RAW_Data!A534="","",TIMEVALUE(DaqBook_RAW_Data!A534)),TIMEVALUE(DaqBook_RAW_Data!AG534))</f>
        <v/>
      </c>
      <c r="C544" s="167" t="str">
        <f>IF(ISBLANK(DaqBook_RAW_Data!AH534),"",DaqBook_RAW_Data!AH534)</f>
        <v/>
      </c>
      <c r="D544" s="167" t="str">
        <f>IF(ISBLANK(DaqBook_RAW_Data!AI534),"",DaqBook_RAW_Data!AI534)</f>
        <v/>
      </c>
      <c r="E544" s="167" t="str">
        <f>IF(ISBLANK(DaqBook_RAW_Data!AJ534),"",DaqBook_RAW_Data!AJ534)</f>
        <v/>
      </c>
      <c r="F544" s="167" t="str">
        <f>IF(ISBLANK(DaqBook_RAW_Data!AK534),"",DaqBook_RAW_Data!AK534)</f>
        <v/>
      </c>
      <c r="G544" s="167" t="str">
        <f>IF(ISBLANK(DaqBook_RAW_Data!AL534),"",DaqBook_RAW_Data!AL534)</f>
        <v/>
      </c>
      <c r="H544" s="167" t="str">
        <f>IF(ISBLANK(DaqBook_RAW_Data!AM534),"",DaqBook_RAW_Data!AM534)</f>
        <v/>
      </c>
      <c r="I544" s="167" t="str">
        <f>IF(ISBLANK(DaqBook_RAW_Data!AN534),"",DaqBook_RAW_Data!AN534)</f>
        <v/>
      </c>
      <c r="J544" s="167" t="str">
        <f>IF(ISBLANK(DaqBook_RAW_Data!AO534),"",DaqBook_RAW_Data!AO534)</f>
        <v/>
      </c>
      <c r="K544" s="167" t="str">
        <f>IF(ISBLANK(DaqBook_RAW_Data!AP534),"",DaqBook_RAW_Data!AP534)</f>
        <v/>
      </c>
      <c r="L544" s="167" t="str">
        <f>IF(ISBLANK(DaqBook_RAW_Data!AQ534),"",DaqBook_RAW_Data!AQ534)</f>
        <v/>
      </c>
      <c r="M544" s="167" t="str">
        <f>IF(ISBLANK(DaqBook_RAW_Data!AR534),"",DaqBook_RAW_Data!AR534)</f>
        <v/>
      </c>
      <c r="N544" s="167" t="str">
        <f>IF(ISBLANK(DaqBook_RAW_Data!AS534),"",DaqBook_RAW_Data!AS534)</f>
        <v/>
      </c>
      <c r="O544" s="44"/>
      <c r="P544" s="44"/>
    </row>
    <row r="545" spans="1:16" x14ac:dyDescent="0.2">
      <c r="A545" s="58" t="e">
        <f t="shared" si="8"/>
        <v>#VALUE!</v>
      </c>
      <c r="B545" s="144" t="str">
        <f>IF(ISBLANK(DaqBook_RAW_Data!AG535),IF(DaqBook_RAW_Data!A535="","",TIMEVALUE(DaqBook_RAW_Data!A535)),TIMEVALUE(DaqBook_RAW_Data!AG535))</f>
        <v/>
      </c>
      <c r="C545" s="167" t="str">
        <f>IF(ISBLANK(DaqBook_RAW_Data!AH535),"",DaqBook_RAW_Data!AH535)</f>
        <v/>
      </c>
      <c r="D545" s="167" t="str">
        <f>IF(ISBLANK(DaqBook_RAW_Data!AI535),"",DaqBook_RAW_Data!AI535)</f>
        <v/>
      </c>
      <c r="E545" s="167" t="str">
        <f>IF(ISBLANK(DaqBook_RAW_Data!AJ535),"",DaqBook_RAW_Data!AJ535)</f>
        <v/>
      </c>
      <c r="F545" s="167" t="str">
        <f>IF(ISBLANK(DaqBook_RAW_Data!AK535),"",DaqBook_RAW_Data!AK535)</f>
        <v/>
      </c>
      <c r="G545" s="167" t="str">
        <f>IF(ISBLANK(DaqBook_RAW_Data!AL535),"",DaqBook_RAW_Data!AL535)</f>
        <v/>
      </c>
      <c r="H545" s="167" t="str">
        <f>IF(ISBLANK(DaqBook_RAW_Data!AM535),"",DaqBook_RAW_Data!AM535)</f>
        <v/>
      </c>
      <c r="I545" s="167" t="str">
        <f>IF(ISBLANK(DaqBook_RAW_Data!AN535),"",DaqBook_RAW_Data!AN535)</f>
        <v/>
      </c>
      <c r="J545" s="167" t="str">
        <f>IF(ISBLANK(DaqBook_RAW_Data!AO535),"",DaqBook_RAW_Data!AO535)</f>
        <v/>
      </c>
      <c r="K545" s="167" t="str">
        <f>IF(ISBLANK(DaqBook_RAW_Data!AP535),"",DaqBook_RAW_Data!AP535)</f>
        <v/>
      </c>
      <c r="L545" s="167" t="str">
        <f>IF(ISBLANK(DaqBook_RAW_Data!AQ535),"",DaqBook_RAW_Data!AQ535)</f>
        <v/>
      </c>
      <c r="M545" s="167" t="str">
        <f>IF(ISBLANK(DaqBook_RAW_Data!AR535),"",DaqBook_RAW_Data!AR535)</f>
        <v/>
      </c>
      <c r="N545" s="167" t="str">
        <f>IF(ISBLANK(DaqBook_RAW_Data!AS535),"",DaqBook_RAW_Data!AS535)</f>
        <v/>
      </c>
      <c r="O545" s="44"/>
      <c r="P545" s="44"/>
    </row>
    <row r="546" spans="1:16" x14ac:dyDescent="0.2">
      <c r="A546" s="58" t="e">
        <f t="shared" si="8"/>
        <v>#VALUE!</v>
      </c>
      <c r="B546" s="144" t="str">
        <f>IF(ISBLANK(DaqBook_RAW_Data!AG536),IF(DaqBook_RAW_Data!A536="","",TIMEVALUE(DaqBook_RAW_Data!A536)),TIMEVALUE(DaqBook_RAW_Data!AG536))</f>
        <v/>
      </c>
      <c r="C546" s="167" t="str">
        <f>IF(ISBLANK(DaqBook_RAW_Data!AH536),"",DaqBook_RAW_Data!AH536)</f>
        <v/>
      </c>
      <c r="D546" s="167" t="str">
        <f>IF(ISBLANK(DaqBook_RAW_Data!AI536),"",DaqBook_RAW_Data!AI536)</f>
        <v/>
      </c>
      <c r="E546" s="167" t="str">
        <f>IF(ISBLANK(DaqBook_RAW_Data!AJ536),"",DaqBook_RAW_Data!AJ536)</f>
        <v/>
      </c>
      <c r="F546" s="167" t="str">
        <f>IF(ISBLANK(DaqBook_RAW_Data!AK536),"",DaqBook_RAW_Data!AK536)</f>
        <v/>
      </c>
      <c r="G546" s="167" t="str">
        <f>IF(ISBLANK(DaqBook_RAW_Data!AL536),"",DaqBook_RAW_Data!AL536)</f>
        <v/>
      </c>
      <c r="H546" s="167" t="str">
        <f>IF(ISBLANK(DaqBook_RAW_Data!AM536),"",DaqBook_RAW_Data!AM536)</f>
        <v/>
      </c>
      <c r="I546" s="167" t="str">
        <f>IF(ISBLANK(DaqBook_RAW_Data!AN536),"",DaqBook_RAW_Data!AN536)</f>
        <v/>
      </c>
      <c r="J546" s="167" t="str">
        <f>IF(ISBLANK(DaqBook_RAW_Data!AO536),"",DaqBook_RAW_Data!AO536)</f>
        <v/>
      </c>
      <c r="K546" s="167" t="str">
        <f>IF(ISBLANK(DaqBook_RAW_Data!AP536),"",DaqBook_RAW_Data!AP536)</f>
        <v/>
      </c>
      <c r="L546" s="167" t="str">
        <f>IF(ISBLANK(DaqBook_RAW_Data!AQ536),"",DaqBook_RAW_Data!AQ536)</f>
        <v/>
      </c>
      <c r="M546" s="167" t="str">
        <f>IF(ISBLANK(DaqBook_RAW_Data!AR536),"",DaqBook_RAW_Data!AR536)</f>
        <v/>
      </c>
      <c r="N546" s="167" t="str">
        <f>IF(ISBLANK(DaqBook_RAW_Data!AS536),"",DaqBook_RAW_Data!AS536)</f>
        <v/>
      </c>
      <c r="O546" s="44"/>
      <c r="P546" s="44"/>
    </row>
    <row r="547" spans="1:16" x14ac:dyDescent="0.2">
      <c r="A547" s="58" t="e">
        <f t="shared" si="8"/>
        <v>#VALUE!</v>
      </c>
      <c r="B547" s="144" t="str">
        <f>IF(ISBLANK(DaqBook_RAW_Data!AG537),IF(DaqBook_RAW_Data!A537="","",TIMEVALUE(DaqBook_RAW_Data!A537)),TIMEVALUE(DaqBook_RAW_Data!AG537))</f>
        <v/>
      </c>
      <c r="C547" s="167" t="str">
        <f>IF(ISBLANK(DaqBook_RAW_Data!AH537),"",DaqBook_RAW_Data!AH537)</f>
        <v/>
      </c>
      <c r="D547" s="167" t="str">
        <f>IF(ISBLANK(DaqBook_RAW_Data!AI537),"",DaqBook_RAW_Data!AI537)</f>
        <v/>
      </c>
      <c r="E547" s="167" t="str">
        <f>IF(ISBLANK(DaqBook_RAW_Data!AJ537),"",DaqBook_RAW_Data!AJ537)</f>
        <v/>
      </c>
      <c r="F547" s="167" t="str">
        <f>IF(ISBLANK(DaqBook_RAW_Data!AK537),"",DaqBook_RAW_Data!AK537)</f>
        <v/>
      </c>
      <c r="G547" s="167" t="str">
        <f>IF(ISBLANK(DaqBook_RAW_Data!AL537),"",DaqBook_RAW_Data!AL537)</f>
        <v/>
      </c>
      <c r="H547" s="167" t="str">
        <f>IF(ISBLANK(DaqBook_RAW_Data!AM537),"",DaqBook_RAW_Data!AM537)</f>
        <v/>
      </c>
      <c r="I547" s="167" t="str">
        <f>IF(ISBLANK(DaqBook_RAW_Data!AN537),"",DaqBook_RAW_Data!AN537)</f>
        <v/>
      </c>
      <c r="J547" s="167" t="str">
        <f>IF(ISBLANK(DaqBook_RAW_Data!AO537),"",DaqBook_RAW_Data!AO537)</f>
        <v/>
      </c>
      <c r="K547" s="167" t="str">
        <f>IF(ISBLANK(DaqBook_RAW_Data!AP537),"",DaqBook_RAW_Data!AP537)</f>
        <v/>
      </c>
      <c r="L547" s="167" t="str">
        <f>IF(ISBLANK(DaqBook_RAW_Data!AQ537),"",DaqBook_RAW_Data!AQ537)</f>
        <v/>
      </c>
      <c r="M547" s="167" t="str">
        <f>IF(ISBLANK(DaqBook_RAW_Data!AR537),"",DaqBook_RAW_Data!AR537)</f>
        <v/>
      </c>
      <c r="N547" s="167" t="str">
        <f>IF(ISBLANK(DaqBook_RAW_Data!AS537),"",DaqBook_RAW_Data!AS537)</f>
        <v/>
      </c>
      <c r="O547" s="44"/>
      <c r="P547" s="44"/>
    </row>
    <row r="548" spans="1:16" x14ac:dyDescent="0.2">
      <c r="A548" s="58" t="e">
        <f t="shared" si="8"/>
        <v>#VALUE!</v>
      </c>
      <c r="B548" s="144" t="str">
        <f>IF(ISBLANK(DaqBook_RAW_Data!AG538),IF(DaqBook_RAW_Data!A538="","",TIMEVALUE(DaqBook_RAW_Data!A538)),TIMEVALUE(DaqBook_RAW_Data!AG538))</f>
        <v/>
      </c>
      <c r="C548" s="167" t="str">
        <f>IF(ISBLANK(DaqBook_RAW_Data!AH538),"",DaqBook_RAW_Data!AH538)</f>
        <v/>
      </c>
      <c r="D548" s="167" t="str">
        <f>IF(ISBLANK(DaqBook_RAW_Data!AI538),"",DaqBook_RAW_Data!AI538)</f>
        <v/>
      </c>
      <c r="E548" s="167" t="str">
        <f>IF(ISBLANK(DaqBook_RAW_Data!AJ538),"",DaqBook_RAW_Data!AJ538)</f>
        <v/>
      </c>
      <c r="F548" s="167" t="str">
        <f>IF(ISBLANK(DaqBook_RAW_Data!AK538),"",DaqBook_RAW_Data!AK538)</f>
        <v/>
      </c>
      <c r="G548" s="167" t="str">
        <f>IF(ISBLANK(DaqBook_RAW_Data!AL538),"",DaqBook_RAW_Data!AL538)</f>
        <v/>
      </c>
      <c r="H548" s="167" t="str">
        <f>IF(ISBLANK(DaqBook_RAW_Data!AM538),"",DaqBook_RAW_Data!AM538)</f>
        <v/>
      </c>
      <c r="I548" s="167" t="str">
        <f>IF(ISBLANK(DaqBook_RAW_Data!AN538),"",DaqBook_RAW_Data!AN538)</f>
        <v/>
      </c>
      <c r="J548" s="167" t="str">
        <f>IF(ISBLANK(DaqBook_RAW_Data!AO538),"",DaqBook_RAW_Data!AO538)</f>
        <v/>
      </c>
      <c r="K548" s="167" t="str">
        <f>IF(ISBLANK(DaqBook_RAW_Data!AP538),"",DaqBook_RAW_Data!AP538)</f>
        <v/>
      </c>
      <c r="L548" s="167" t="str">
        <f>IF(ISBLANK(DaqBook_RAW_Data!AQ538),"",DaqBook_RAW_Data!AQ538)</f>
        <v/>
      </c>
      <c r="M548" s="167" t="str">
        <f>IF(ISBLANK(DaqBook_RAW_Data!AR538),"",DaqBook_RAW_Data!AR538)</f>
        <v/>
      </c>
      <c r="N548" s="167" t="str">
        <f>IF(ISBLANK(DaqBook_RAW_Data!AS538),"",DaqBook_RAW_Data!AS538)</f>
        <v/>
      </c>
      <c r="O548" s="44"/>
      <c r="P548" s="44"/>
    </row>
    <row r="549" spans="1:16" x14ac:dyDescent="0.2">
      <c r="A549" s="58" t="e">
        <f t="shared" si="8"/>
        <v>#VALUE!</v>
      </c>
      <c r="B549" s="144" t="str">
        <f>IF(ISBLANK(DaqBook_RAW_Data!AG539),IF(DaqBook_RAW_Data!A539="","",TIMEVALUE(DaqBook_RAW_Data!A539)),TIMEVALUE(DaqBook_RAW_Data!AG539))</f>
        <v/>
      </c>
      <c r="C549" s="167" t="str">
        <f>IF(ISBLANK(DaqBook_RAW_Data!AH539),"",DaqBook_RAW_Data!AH539)</f>
        <v/>
      </c>
      <c r="D549" s="167" t="str">
        <f>IF(ISBLANK(DaqBook_RAW_Data!AI539),"",DaqBook_RAW_Data!AI539)</f>
        <v/>
      </c>
      <c r="E549" s="167" t="str">
        <f>IF(ISBLANK(DaqBook_RAW_Data!AJ539),"",DaqBook_RAW_Data!AJ539)</f>
        <v/>
      </c>
      <c r="F549" s="167" t="str">
        <f>IF(ISBLANK(DaqBook_RAW_Data!AK539),"",DaqBook_RAW_Data!AK539)</f>
        <v/>
      </c>
      <c r="G549" s="167" t="str">
        <f>IF(ISBLANK(DaqBook_RAW_Data!AL539),"",DaqBook_RAW_Data!AL539)</f>
        <v/>
      </c>
      <c r="H549" s="167" t="str">
        <f>IF(ISBLANK(DaqBook_RAW_Data!AM539),"",DaqBook_RAW_Data!AM539)</f>
        <v/>
      </c>
      <c r="I549" s="167" t="str">
        <f>IF(ISBLANK(DaqBook_RAW_Data!AN539),"",DaqBook_RAW_Data!AN539)</f>
        <v/>
      </c>
      <c r="J549" s="167" t="str">
        <f>IF(ISBLANK(DaqBook_RAW_Data!AO539),"",DaqBook_RAW_Data!AO539)</f>
        <v/>
      </c>
      <c r="K549" s="167" t="str">
        <f>IF(ISBLANK(DaqBook_RAW_Data!AP539),"",DaqBook_RAW_Data!AP539)</f>
        <v/>
      </c>
      <c r="L549" s="167" t="str">
        <f>IF(ISBLANK(DaqBook_RAW_Data!AQ539),"",DaqBook_RAW_Data!AQ539)</f>
        <v/>
      </c>
      <c r="M549" s="167" t="str">
        <f>IF(ISBLANK(DaqBook_RAW_Data!AR539),"",DaqBook_RAW_Data!AR539)</f>
        <v/>
      </c>
      <c r="N549" s="167" t="str">
        <f>IF(ISBLANK(DaqBook_RAW_Data!AS539),"",DaqBook_RAW_Data!AS539)</f>
        <v/>
      </c>
      <c r="O549" s="44"/>
      <c r="P549" s="44"/>
    </row>
    <row r="550" spans="1:16" x14ac:dyDescent="0.2">
      <c r="A550" s="58" t="e">
        <f t="shared" si="8"/>
        <v>#VALUE!</v>
      </c>
      <c r="B550" s="144" t="str">
        <f>IF(ISBLANK(DaqBook_RAW_Data!AG540),IF(DaqBook_RAW_Data!A540="","",TIMEVALUE(DaqBook_RAW_Data!A540)),TIMEVALUE(DaqBook_RAW_Data!AG540))</f>
        <v/>
      </c>
      <c r="C550" s="167" t="str">
        <f>IF(ISBLANK(DaqBook_RAW_Data!AH540),"",DaqBook_RAW_Data!AH540)</f>
        <v/>
      </c>
      <c r="D550" s="167" t="str">
        <f>IF(ISBLANK(DaqBook_RAW_Data!AI540),"",DaqBook_RAW_Data!AI540)</f>
        <v/>
      </c>
      <c r="E550" s="167" t="str">
        <f>IF(ISBLANK(DaqBook_RAW_Data!AJ540),"",DaqBook_RAW_Data!AJ540)</f>
        <v/>
      </c>
      <c r="F550" s="167" t="str">
        <f>IF(ISBLANK(DaqBook_RAW_Data!AK540),"",DaqBook_RAW_Data!AK540)</f>
        <v/>
      </c>
      <c r="G550" s="167" t="str">
        <f>IF(ISBLANK(DaqBook_RAW_Data!AL540),"",DaqBook_RAW_Data!AL540)</f>
        <v/>
      </c>
      <c r="H550" s="167" t="str">
        <f>IF(ISBLANK(DaqBook_RAW_Data!AM540),"",DaqBook_RAW_Data!AM540)</f>
        <v/>
      </c>
      <c r="I550" s="167" t="str">
        <f>IF(ISBLANK(DaqBook_RAW_Data!AN540),"",DaqBook_RAW_Data!AN540)</f>
        <v/>
      </c>
      <c r="J550" s="167" t="str">
        <f>IF(ISBLANK(DaqBook_RAW_Data!AO540),"",DaqBook_RAW_Data!AO540)</f>
        <v/>
      </c>
      <c r="K550" s="167" t="str">
        <f>IF(ISBLANK(DaqBook_RAW_Data!AP540),"",DaqBook_RAW_Data!AP540)</f>
        <v/>
      </c>
      <c r="L550" s="167" t="str">
        <f>IF(ISBLANK(DaqBook_RAW_Data!AQ540),"",DaqBook_RAW_Data!AQ540)</f>
        <v/>
      </c>
      <c r="M550" s="167" t="str">
        <f>IF(ISBLANK(DaqBook_RAW_Data!AR540),"",DaqBook_RAW_Data!AR540)</f>
        <v/>
      </c>
      <c r="N550" s="167" t="str">
        <f>IF(ISBLANK(DaqBook_RAW_Data!AS540),"",DaqBook_RAW_Data!AS540)</f>
        <v/>
      </c>
      <c r="O550" s="44"/>
      <c r="P550" s="44"/>
    </row>
    <row r="551" spans="1:16" x14ac:dyDescent="0.2">
      <c r="A551" s="58" t="e">
        <f t="shared" si="8"/>
        <v>#VALUE!</v>
      </c>
      <c r="B551" s="144" t="str">
        <f>IF(ISBLANK(DaqBook_RAW_Data!AG541),IF(DaqBook_RAW_Data!A541="","",TIMEVALUE(DaqBook_RAW_Data!A541)),TIMEVALUE(DaqBook_RAW_Data!AG541))</f>
        <v/>
      </c>
      <c r="C551" s="167" t="str">
        <f>IF(ISBLANK(DaqBook_RAW_Data!AH541),"",DaqBook_RAW_Data!AH541)</f>
        <v/>
      </c>
      <c r="D551" s="167" t="str">
        <f>IF(ISBLANK(DaqBook_RAW_Data!AI541),"",DaqBook_RAW_Data!AI541)</f>
        <v/>
      </c>
      <c r="E551" s="167" t="str">
        <f>IF(ISBLANK(DaqBook_RAW_Data!AJ541),"",DaqBook_RAW_Data!AJ541)</f>
        <v/>
      </c>
      <c r="F551" s="167" t="str">
        <f>IF(ISBLANK(DaqBook_RAW_Data!AK541),"",DaqBook_RAW_Data!AK541)</f>
        <v/>
      </c>
      <c r="G551" s="167" t="str">
        <f>IF(ISBLANK(DaqBook_RAW_Data!AL541),"",DaqBook_RAW_Data!AL541)</f>
        <v/>
      </c>
      <c r="H551" s="167" t="str">
        <f>IF(ISBLANK(DaqBook_RAW_Data!AM541),"",DaqBook_RAW_Data!AM541)</f>
        <v/>
      </c>
      <c r="I551" s="167" t="str">
        <f>IF(ISBLANK(DaqBook_RAW_Data!AN541),"",DaqBook_RAW_Data!AN541)</f>
        <v/>
      </c>
      <c r="J551" s="167" t="str">
        <f>IF(ISBLANK(DaqBook_RAW_Data!AO541),"",DaqBook_RAW_Data!AO541)</f>
        <v/>
      </c>
      <c r="K551" s="167" t="str">
        <f>IF(ISBLANK(DaqBook_RAW_Data!AP541),"",DaqBook_RAW_Data!AP541)</f>
        <v/>
      </c>
      <c r="L551" s="167" t="str">
        <f>IF(ISBLANK(DaqBook_RAW_Data!AQ541),"",DaqBook_RAW_Data!AQ541)</f>
        <v/>
      </c>
      <c r="M551" s="167" t="str">
        <f>IF(ISBLANK(DaqBook_RAW_Data!AR541),"",DaqBook_RAW_Data!AR541)</f>
        <v/>
      </c>
      <c r="N551" s="167" t="str">
        <f>IF(ISBLANK(DaqBook_RAW_Data!AS541),"",DaqBook_RAW_Data!AS541)</f>
        <v/>
      </c>
      <c r="O551" s="44"/>
      <c r="P551" s="44"/>
    </row>
    <row r="552" spans="1:16" x14ac:dyDescent="0.2">
      <c r="A552" s="58" t="e">
        <f t="shared" si="8"/>
        <v>#VALUE!</v>
      </c>
      <c r="B552" s="144" t="str">
        <f>IF(ISBLANK(DaqBook_RAW_Data!AG542),IF(DaqBook_RAW_Data!A542="","",TIMEVALUE(DaqBook_RAW_Data!A542)),TIMEVALUE(DaqBook_RAW_Data!AG542))</f>
        <v/>
      </c>
      <c r="C552" s="167" t="str">
        <f>IF(ISBLANK(DaqBook_RAW_Data!AH542),"",DaqBook_RAW_Data!AH542)</f>
        <v/>
      </c>
      <c r="D552" s="167" t="str">
        <f>IF(ISBLANK(DaqBook_RAW_Data!AI542),"",DaqBook_RAW_Data!AI542)</f>
        <v/>
      </c>
      <c r="E552" s="167" t="str">
        <f>IF(ISBLANK(DaqBook_RAW_Data!AJ542),"",DaqBook_RAW_Data!AJ542)</f>
        <v/>
      </c>
      <c r="F552" s="167" t="str">
        <f>IF(ISBLANK(DaqBook_RAW_Data!AK542),"",DaqBook_RAW_Data!AK542)</f>
        <v/>
      </c>
      <c r="G552" s="167" t="str">
        <f>IF(ISBLANK(DaqBook_RAW_Data!AL542),"",DaqBook_RAW_Data!AL542)</f>
        <v/>
      </c>
      <c r="H552" s="167" t="str">
        <f>IF(ISBLANK(DaqBook_RAW_Data!AM542),"",DaqBook_RAW_Data!AM542)</f>
        <v/>
      </c>
      <c r="I552" s="167" t="str">
        <f>IF(ISBLANK(DaqBook_RAW_Data!AN542),"",DaqBook_RAW_Data!AN542)</f>
        <v/>
      </c>
      <c r="J552" s="167" t="str">
        <f>IF(ISBLANK(DaqBook_RAW_Data!AO542),"",DaqBook_RAW_Data!AO542)</f>
        <v/>
      </c>
      <c r="K552" s="167" t="str">
        <f>IF(ISBLANK(DaqBook_RAW_Data!AP542),"",DaqBook_RAW_Data!AP542)</f>
        <v/>
      </c>
      <c r="L552" s="167" t="str">
        <f>IF(ISBLANK(DaqBook_RAW_Data!AQ542),"",DaqBook_RAW_Data!AQ542)</f>
        <v/>
      </c>
      <c r="M552" s="167" t="str">
        <f>IF(ISBLANK(DaqBook_RAW_Data!AR542),"",DaqBook_RAW_Data!AR542)</f>
        <v/>
      </c>
      <c r="N552" s="167" t="str">
        <f>IF(ISBLANK(DaqBook_RAW_Data!AS542),"",DaqBook_RAW_Data!AS542)</f>
        <v/>
      </c>
      <c r="O552" s="44"/>
      <c r="P552" s="44"/>
    </row>
    <row r="553" spans="1:16" x14ac:dyDescent="0.2">
      <c r="A553" s="58" t="e">
        <f t="shared" si="8"/>
        <v>#VALUE!</v>
      </c>
      <c r="B553" s="144" t="str">
        <f>IF(ISBLANK(DaqBook_RAW_Data!AG543),IF(DaqBook_RAW_Data!A543="","",TIMEVALUE(DaqBook_RAW_Data!A543)),TIMEVALUE(DaqBook_RAW_Data!AG543))</f>
        <v/>
      </c>
      <c r="C553" s="167" t="str">
        <f>IF(ISBLANK(DaqBook_RAW_Data!AH543),"",DaqBook_RAW_Data!AH543)</f>
        <v/>
      </c>
      <c r="D553" s="167" t="str">
        <f>IF(ISBLANK(DaqBook_RAW_Data!AI543),"",DaqBook_RAW_Data!AI543)</f>
        <v/>
      </c>
      <c r="E553" s="167" t="str">
        <f>IF(ISBLANK(DaqBook_RAW_Data!AJ543),"",DaqBook_RAW_Data!AJ543)</f>
        <v/>
      </c>
      <c r="F553" s="167" t="str">
        <f>IF(ISBLANK(DaqBook_RAW_Data!AK543),"",DaqBook_RAW_Data!AK543)</f>
        <v/>
      </c>
      <c r="G553" s="167" t="str">
        <f>IF(ISBLANK(DaqBook_RAW_Data!AL543),"",DaqBook_RAW_Data!AL543)</f>
        <v/>
      </c>
      <c r="H553" s="167" t="str">
        <f>IF(ISBLANK(DaqBook_RAW_Data!AM543),"",DaqBook_RAW_Data!AM543)</f>
        <v/>
      </c>
      <c r="I553" s="167" t="str">
        <f>IF(ISBLANK(DaqBook_RAW_Data!AN543),"",DaqBook_RAW_Data!AN543)</f>
        <v/>
      </c>
      <c r="J553" s="167" t="str">
        <f>IF(ISBLANK(DaqBook_RAW_Data!AO543),"",DaqBook_RAW_Data!AO543)</f>
        <v/>
      </c>
      <c r="K553" s="167" t="str">
        <f>IF(ISBLANK(DaqBook_RAW_Data!AP543),"",DaqBook_RAW_Data!AP543)</f>
        <v/>
      </c>
      <c r="L553" s="167" t="str">
        <f>IF(ISBLANK(DaqBook_RAW_Data!AQ543),"",DaqBook_RAW_Data!AQ543)</f>
        <v/>
      </c>
      <c r="M553" s="167" t="str">
        <f>IF(ISBLANK(DaqBook_RAW_Data!AR543),"",DaqBook_RAW_Data!AR543)</f>
        <v/>
      </c>
      <c r="N553" s="167" t="str">
        <f>IF(ISBLANK(DaqBook_RAW_Data!AS543),"",DaqBook_RAW_Data!AS543)</f>
        <v/>
      </c>
      <c r="O553" s="44"/>
      <c r="P553" s="44"/>
    </row>
    <row r="554" spans="1:16" x14ac:dyDescent="0.2">
      <c r="A554" s="58" t="e">
        <f t="shared" si="8"/>
        <v>#VALUE!</v>
      </c>
      <c r="B554" s="144" t="str">
        <f>IF(ISBLANK(DaqBook_RAW_Data!AG544),IF(DaqBook_RAW_Data!A544="","",TIMEVALUE(DaqBook_RAW_Data!A544)),TIMEVALUE(DaqBook_RAW_Data!AG544))</f>
        <v/>
      </c>
      <c r="C554" s="167" t="str">
        <f>IF(ISBLANK(DaqBook_RAW_Data!AH544),"",DaqBook_RAW_Data!AH544)</f>
        <v/>
      </c>
      <c r="D554" s="167" t="str">
        <f>IF(ISBLANK(DaqBook_RAW_Data!AI544),"",DaqBook_RAW_Data!AI544)</f>
        <v/>
      </c>
      <c r="E554" s="167" t="str">
        <f>IF(ISBLANK(DaqBook_RAW_Data!AJ544),"",DaqBook_RAW_Data!AJ544)</f>
        <v/>
      </c>
      <c r="F554" s="167" t="str">
        <f>IF(ISBLANK(DaqBook_RAW_Data!AK544),"",DaqBook_RAW_Data!AK544)</f>
        <v/>
      </c>
      <c r="G554" s="167" t="str">
        <f>IF(ISBLANK(DaqBook_RAW_Data!AL544),"",DaqBook_RAW_Data!AL544)</f>
        <v/>
      </c>
      <c r="H554" s="167" t="str">
        <f>IF(ISBLANK(DaqBook_RAW_Data!AM544),"",DaqBook_RAW_Data!AM544)</f>
        <v/>
      </c>
      <c r="I554" s="167" t="str">
        <f>IF(ISBLANK(DaqBook_RAW_Data!AN544),"",DaqBook_RAW_Data!AN544)</f>
        <v/>
      </c>
      <c r="J554" s="167" t="str">
        <f>IF(ISBLANK(DaqBook_RAW_Data!AO544),"",DaqBook_RAW_Data!AO544)</f>
        <v/>
      </c>
      <c r="K554" s="167" t="str">
        <f>IF(ISBLANK(DaqBook_RAW_Data!AP544),"",DaqBook_RAW_Data!AP544)</f>
        <v/>
      </c>
      <c r="L554" s="167" t="str">
        <f>IF(ISBLANK(DaqBook_RAW_Data!AQ544),"",DaqBook_RAW_Data!AQ544)</f>
        <v/>
      </c>
      <c r="M554" s="167" t="str">
        <f>IF(ISBLANK(DaqBook_RAW_Data!AR544),"",DaqBook_RAW_Data!AR544)</f>
        <v/>
      </c>
      <c r="N554" s="167" t="str">
        <f>IF(ISBLANK(DaqBook_RAW_Data!AS544),"",DaqBook_RAW_Data!AS544)</f>
        <v/>
      </c>
      <c r="O554" s="44"/>
      <c r="P554" s="44"/>
    </row>
    <row r="555" spans="1:16" x14ac:dyDescent="0.2">
      <c r="A555" s="58" t="e">
        <f t="shared" si="8"/>
        <v>#VALUE!</v>
      </c>
      <c r="B555" s="144" t="str">
        <f>IF(ISBLANK(DaqBook_RAW_Data!AG545),IF(DaqBook_RAW_Data!A545="","",TIMEVALUE(DaqBook_RAW_Data!A545)),TIMEVALUE(DaqBook_RAW_Data!AG545))</f>
        <v/>
      </c>
      <c r="C555" s="167" t="str">
        <f>IF(ISBLANK(DaqBook_RAW_Data!AH545),"",DaqBook_RAW_Data!AH545)</f>
        <v/>
      </c>
      <c r="D555" s="167" t="str">
        <f>IF(ISBLANK(DaqBook_RAW_Data!AI545),"",DaqBook_RAW_Data!AI545)</f>
        <v/>
      </c>
      <c r="E555" s="167" t="str">
        <f>IF(ISBLANK(DaqBook_RAW_Data!AJ545),"",DaqBook_RAW_Data!AJ545)</f>
        <v/>
      </c>
      <c r="F555" s="167" t="str">
        <f>IF(ISBLANK(DaqBook_RAW_Data!AK545),"",DaqBook_RAW_Data!AK545)</f>
        <v/>
      </c>
      <c r="G555" s="167" t="str">
        <f>IF(ISBLANK(DaqBook_RAW_Data!AL545),"",DaqBook_RAW_Data!AL545)</f>
        <v/>
      </c>
      <c r="H555" s="167" t="str">
        <f>IF(ISBLANK(DaqBook_RAW_Data!AM545),"",DaqBook_RAW_Data!AM545)</f>
        <v/>
      </c>
      <c r="I555" s="167" t="str">
        <f>IF(ISBLANK(DaqBook_RAW_Data!AN545),"",DaqBook_RAW_Data!AN545)</f>
        <v/>
      </c>
      <c r="J555" s="167" t="str">
        <f>IF(ISBLANK(DaqBook_RAW_Data!AO545),"",DaqBook_RAW_Data!AO545)</f>
        <v/>
      </c>
      <c r="K555" s="167" t="str">
        <f>IF(ISBLANK(DaqBook_RAW_Data!AP545),"",DaqBook_RAW_Data!AP545)</f>
        <v/>
      </c>
      <c r="L555" s="167" t="str">
        <f>IF(ISBLANK(DaqBook_RAW_Data!AQ545),"",DaqBook_RAW_Data!AQ545)</f>
        <v/>
      </c>
      <c r="M555" s="167" t="str">
        <f>IF(ISBLANK(DaqBook_RAW_Data!AR545),"",DaqBook_RAW_Data!AR545)</f>
        <v/>
      </c>
      <c r="N555" s="167" t="str">
        <f>IF(ISBLANK(DaqBook_RAW_Data!AS545),"",DaqBook_RAW_Data!AS545)</f>
        <v/>
      </c>
      <c r="O555" s="44"/>
      <c r="P555" s="44"/>
    </row>
    <row r="556" spans="1:16" x14ac:dyDescent="0.2">
      <c r="A556" s="58" t="e">
        <f t="shared" si="8"/>
        <v>#VALUE!</v>
      </c>
      <c r="B556" s="144" t="str">
        <f>IF(ISBLANK(DaqBook_RAW_Data!AG546),IF(DaqBook_RAW_Data!A546="","",TIMEVALUE(DaqBook_RAW_Data!A546)),TIMEVALUE(DaqBook_RAW_Data!AG546))</f>
        <v/>
      </c>
      <c r="C556" s="167" t="str">
        <f>IF(ISBLANK(DaqBook_RAW_Data!AH546),"",DaqBook_RAW_Data!AH546)</f>
        <v/>
      </c>
      <c r="D556" s="167" t="str">
        <f>IF(ISBLANK(DaqBook_RAW_Data!AI546),"",DaqBook_RAW_Data!AI546)</f>
        <v/>
      </c>
      <c r="E556" s="167" t="str">
        <f>IF(ISBLANK(DaqBook_RAW_Data!AJ546),"",DaqBook_RAW_Data!AJ546)</f>
        <v/>
      </c>
      <c r="F556" s="167" t="str">
        <f>IF(ISBLANK(DaqBook_RAW_Data!AK546),"",DaqBook_RAW_Data!AK546)</f>
        <v/>
      </c>
      <c r="G556" s="167" t="str">
        <f>IF(ISBLANK(DaqBook_RAW_Data!AL546),"",DaqBook_RAW_Data!AL546)</f>
        <v/>
      </c>
      <c r="H556" s="167" t="str">
        <f>IF(ISBLANK(DaqBook_RAW_Data!AM546),"",DaqBook_RAW_Data!AM546)</f>
        <v/>
      </c>
      <c r="I556" s="167" t="str">
        <f>IF(ISBLANK(DaqBook_RAW_Data!AN546),"",DaqBook_RAW_Data!AN546)</f>
        <v/>
      </c>
      <c r="J556" s="167" t="str">
        <f>IF(ISBLANK(DaqBook_RAW_Data!AO546),"",DaqBook_RAW_Data!AO546)</f>
        <v/>
      </c>
      <c r="K556" s="167" t="str">
        <f>IF(ISBLANK(DaqBook_RAW_Data!AP546),"",DaqBook_RAW_Data!AP546)</f>
        <v/>
      </c>
      <c r="L556" s="167" t="str">
        <f>IF(ISBLANK(DaqBook_RAW_Data!AQ546),"",DaqBook_RAW_Data!AQ546)</f>
        <v/>
      </c>
      <c r="M556" s="167" t="str">
        <f>IF(ISBLANK(DaqBook_RAW_Data!AR546),"",DaqBook_RAW_Data!AR546)</f>
        <v/>
      </c>
      <c r="N556" s="167" t="str">
        <f>IF(ISBLANK(DaqBook_RAW_Data!AS546),"",DaqBook_RAW_Data!AS546)</f>
        <v/>
      </c>
      <c r="O556" s="44"/>
      <c r="P556" s="44"/>
    </row>
    <row r="557" spans="1:16" x14ac:dyDescent="0.2">
      <c r="A557" s="58" t="e">
        <f t="shared" si="8"/>
        <v>#VALUE!</v>
      </c>
      <c r="B557" s="144" t="str">
        <f>IF(ISBLANK(DaqBook_RAW_Data!AG547),IF(DaqBook_RAW_Data!A547="","",TIMEVALUE(DaqBook_RAW_Data!A547)),TIMEVALUE(DaqBook_RAW_Data!AG547))</f>
        <v/>
      </c>
      <c r="C557" s="167" t="str">
        <f>IF(ISBLANK(DaqBook_RAW_Data!AH547),"",DaqBook_RAW_Data!AH547)</f>
        <v/>
      </c>
      <c r="D557" s="167" t="str">
        <f>IF(ISBLANK(DaqBook_RAW_Data!AI547),"",DaqBook_RAW_Data!AI547)</f>
        <v/>
      </c>
      <c r="E557" s="167" t="str">
        <f>IF(ISBLANK(DaqBook_RAW_Data!AJ547),"",DaqBook_RAW_Data!AJ547)</f>
        <v/>
      </c>
      <c r="F557" s="167" t="str">
        <f>IF(ISBLANK(DaqBook_RAW_Data!AK547),"",DaqBook_RAW_Data!AK547)</f>
        <v/>
      </c>
      <c r="G557" s="167" t="str">
        <f>IF(ISBLANK(DaqBook_RAW_Data!AL547),"",DaqBook_RAW_Data!AL547)</f>
        <v/>
      </c>
      <c r="H557" s="167" t="str">
        <f>IF(ISBLANK(DaqBook_RAW_Data!AM547),"",DaqBook_RAW_Data!AM547)</f>
        <v/>
      </c>
      <c r="I557" s="167" t="str">
        <f>IF(ISBLANK(DaqBook_RAW_Data!AN547),"",DaqBook_RAW_Data!AN547)</f>
        <v/>
      </c>
      <c r="J557" s="167" t="str">
        <f>IF(ISBLANK(DaqBook_RAW_Data!AO547),"",DaqBook_RAW_Data!AO547)</f>
        <v/>
      </c>
      <c r="K557" s="167" t="str">
        <f>IF(ISBLANK(DaqBook_RAW_Data!AP547),"",DaqBook_RAW_Data!AP547)</f>
        <v/>
      </c>
      <c r="L557" s="167" t="str">
        <f>IF(ISBLANK(DaqBook_RAW_Data!AQ547),"",DaqBook_RAW_Data!AQ547)</f>
        <v/>
      </c>
      <c r="M557" s="167" t="str">
        <f>IF(ISBLANK(DaqBook_RAW_Data!AR547),"",DaqBook_RAW_Data!AR547)</f>
        <v/>
      </c>
      <c r="N557" s="167" t="str">
        <f>IF(ISBLANK(DaqBook_RAW_Data!AS547),"",DaqBook_RAW_Data!AS547)</f>
        <v/>
      </c>
      <c r="O557" s="44"/>
      <c r="P557" s="44"/>
    </row>
    <row r="558" spans="1:16" x14ac:dyDescent="0.2">
      <c r="A558" s="58" t="e">
        <f t="shared" si="8"/>
        <v>#VALUE!</v>
      </c>
      <c r="B558" s="144" t="str">
        <f>IF(ISBLANK(DaqBook_RAW_Data!AG548),IF(DaqBook_RAW_Data!A548="","",TIMEVALUE(DaqBook_RAW_Data!A548)),TIMEVALUE(DaqBook_RAW_Data!AG548))</f>
        <v/>
      </c>
      <c r="C558" s="167" t="str">
        <f>IF(ISBLANK(DaqBook_RAW_Data!AH548),"",DaqBook_RAW_Data!AH548)</f>
        <v/>
      </c>
      <c r="D558" s="167" t="str">
        <f>IF(ISBLANK(DaqBook_RAW_Data!AI548),"",DaqBook_RAW_Data!AI548)</f>
        <v/>
      </c>
      <c r="E558" s="167" t="str">
        <f>IF(ISBLANK(DaqBook_RAW_Data!AJ548),"",DaqBook_RAW_Data!AJ548)</f>
        <v/>
      </c>
      <c r="F558" s="167" t="str">
        <f>IF(ISBLANK(DaqBook_RAW_Data!AK548),"",DaqBook_RAW_Data!AK548)</f>
        <v/>
      </c>
      <c r="G558" s="167" t="str">
        <f>IF(ISBLANK(DaqBook_RAW_Data!AL548),"",DaqBook_RAW_Data!AL548)</f>
        <v/>
      </c>
      <c r="H558" s="167" t="str">
        <f>IF(ISBLANK(DaqBook_RAW_Data!AM548),"",DaqBook_RAW_Data!AM548)</f>
        <v/>
      </c>
      <c r="I558" s="167" t="str">
        <f>IF(ISBLANK(DaqBook_RAW_Data!AN548),"",DaqBook_RAW_Data!AN548)</f>
        <v/>
      </c>
      <c r="J558" s="167" t="str">
        <f>IF(ISBLANK(DaqBook_RAW_Data!AO548),"",DaqBook_RAW_Data!AO548)</f>
        <v/>
      </c>
      <c r="K558" s="167" t="str">
        <f>IF(ISBLANK(DaqBook_RAW_Data!AP548),"",DaqBook_RAW_Data!AP548)</f>
        <v/>
      </c>
      <c r="L558" s="167" t="str">
        <f>IF(ISBLANK(DaqBook_RAW_Data!AQ548),"",DaqBook_RAW_Data!AQ548)</f>
        <v/>
      </c>
      <c r="M558" s="167" t="str">
        <f>IF(ISBLANK(DaqBook_RAW_Data!AR548),"",DaqBook_RAW_Data!AR548)</f>
        <v/>
      </c>
      <c r="N558" s="167" t="str">
        <f>IF(ISBLANK(DaqBook_RAW_Data!AS548),"",DaqBook_RAW_Data!AS548)</f>
        <v/>
      </c>
      <c r="O558" s="44"/>
      <c r="P558" s="44"/>
    </row>
    <row r="559" spans="1:16" x14ac:dyDescent="0.2">
      <c r="A559" s="58" t="e">
        <f t="shared" si="8"/>
        <v>#VALUE!</v>
      </c>
      <c r="B559" s="144" t="str">
        <f>IF(ISBLANK(DaqBook_RAW_Data!AG549),IF(DaqBook_RAW_Data!A549="","",TIMEVALUE(DaqBook_RAW_Data!A549)),TIMEVALUE(DaqBook_RAW_Data!AG549))</f>
        <v/>
      </c>
      <c r="C559" s="167" t="str">
        <f>IF(ISBLANK(DaqBook_RAW_Data!AH549),"",DaqBook_RAW_Data!AH549)</f>
        <v/>
      </c>
      <c r="D559" s="167" t="str">
        <f>IF(ISBLANK(DaqBook_RAW_Data!AI549),"",DaqBook_RAW_Data!AI549)</f>
        <v/>
      </c>
      <c r="E559" s="167" t="str">
        <f>IF(ISBLANK(DaqBook_RAW_Data!AJ549),"",DaqBook_RAW_Data!AJ549)</f>
        <v/>
      </c>
      <c r="F559" s="167" t="str">
        <f>IF(ISBLANK(DaqBook_RAW_Data!AK549),"",DaqBook_RAW_Data!AK549)</f>
        <v/>
      </c>
      <c r="G559" s="167" t="str">
        <f>IF(ISBLANK(DaqBook_RAW_Data!AL549),"",DaqBook_RAW_Data!AL549)</f>
        <v/>
      </c>
      <c r="H559" s="167" t="str">
        <f>IF(ISBLANK(DaqBook_RAW_Data!AM549),"",DaqBook_RAW_Data!AM549)</f>
        <v/>
      </c>
      <c r="I559" s="167" t="str">
        <f>IF(ISBLANK(DaqBook_RAW_Data!AN549),"",DaqBook_RAW_Data!AN549)</f>
        <v/>
      </c>
      <c r="J559" s="167" t="str">
        <f>IF(ISBLANK(DaqBook_RAW_Data!AO549),"",DaqBook_RAW_Data!AO549)</f>
        <v/>
      </c>
      <c r="K559" s="167" t="str">
        <f>IF(ISBLANK(DaqBook_RAW_Data!AP549),"",DaqBook_RAW_Data!AP549)</f>
        <v/>
      </c>
      <c r="L559" s="167" t="str">
        <f>IF(ISBLANK(DaqBook_RAW_Data!AQ549),"",DaqBook_RAW_Data!AQ549)</f>
        <v/>
      </c>
      <c r="M559" s="167" t="str">
        <f>IF(ISBLANK(DaqBook_RAW_Data!AR549),"",DaqBook_RAW_Data!AR549)</f>
        <v/>
      </c>
      <c r="N559" s="167" t="str">
        <f>IF(ISBLANK(DaqBook_RAW_Data!AS549),"",DaqBook_RAW_Data!AS549)</f>
        <v/>
      </c>
      <c r="O559" s="44"/>
      <c r="P559" s="44"/>
    </row>
    <row r="560" spans="1:16" x14ac:dyDescent="0.2">
      <c r="A560" s="58" t="e">
        <f t="shared" si="8"/>
        <v>#VALUE!</v>
      </c>
      <c r="B560" s="144" t="str">
        <f>IF(ISBLANK(DaqBook_RAW_Data!AG550),IF(DaqBook_RAW_Data!A550="","",TIMEVALUE(DaqBook_RAW_Data!A550)),TIMEVALUE(DaqBook_RAW_Data!AG550))</f>
        <v/>
      </c>
      <c r="C560" s="167" t="str">
        <f>IF(ISBLANK(DaqBook_RAW_Data!AH550),"",DaqBook_RAW_Data!AH550)</f>
        <v/>
      </c>
      <c r="D560" s="167" t="str">
        <f>IF(ISBLANK(DaqBook_RAW_Data!AI550),"",DaqBook_RAW_Data!AI550)</f>
        <v/>
      </c>
      <c r="E560" s="167" t="str">
        <f>IF(ISBLANK(DaqBook_RAW_Data!AJ550),"",DaqBook_RAW_Data!AJ550)</f>
        <v/>
      </c>
      <c r="F560" s="167" t="str">
        <f>IF(ISBLANK(DaqBook_RAW_Data!AK550),"",DaqBook_RAW_Data!AK550)</f>
        <v/>
      </c>
      <c r="G560" s="167" t="str">
        <f>IF(ISBLANK(DaqBook_RAW_Data!AL550),"",DaqBook_RAW_Data!AL550)</f>
        <v/>
      </c>
      <c r="H560" s="167" t="str">
        <f>IF(ISBLANK(DaqBook_RAW_Data!AM550),"",DaqBook_RAW_Data!AM550)</f>
        <v/>
      </c>
      <c r="I560" s="167" t="str">
        <f>IF(ISBLANK(DaqBook_RAW_Data!AN550),"",DaqBook_RAW_Data!AN550)</f>
        <v/>
      </c>
      <c r="J560" s="167" t="str">
        <f>IF(ISBLANK(DaqBook_RAW_Data!AO550),"",DaqBook_RAW_Data!AO550)</f>
        <v/>
      </c>
      <c r="K560" s="167" t="str">
        <f>IF(ISBLANK(DaqBook_RAW_Data!AP550),"",DaqBook_RAW_Data!AP550)</f>
        <v/>
      </c>
      <c r="L560" s="167" t="str">
        <f>IF(ISBLANK(DaqBook_RAW_Data!AQ550),"",DaqBook_RAW_Data!AQ550)</f>
        <v/>
      </c>
      <c r="M560" s="167" t="str">
        <f>IF(ISBLANK(DaqBook_RAW_Data!AR550),"",DaqBook_RAW_Data!AR550)</f>
        <v/>
      </c>
      <c r="N560" s="167" t="str">
        <f>IF(ISBLANK(DaqBook_RAW_Data!AS550),"",DaqBook_RAW_Data!AS550)</f>
        <v/>
      </c>
      <c r="O560" s="44"/>
      <c r="P560" s="44"/>
    </row>
    <row r="561" spans="1:16" x14ac:dyDescent="0.2">
      <c r="A561" s="58" t="e">
        <f t="shared" si="8"/>
        <v>#VALUE!</v>
      </c>
      <c r="B561" s="144" t="str">
        <f>IF(ISBLANK(DaqBook_RAW_Data!AG551),IF(DaqBook_RAW_Data!A551="","",TIMEVALUE(DaqBook_RAW_Data!A551)),TIMEVALUE(DaqBook_RAW_Data!AG551))</f>
        <v/>
      </c>
      <c r="C561" s="167" t="str">
        <f>IF(ISBLANK(DaqBook_RAW_Data!AH551),"",DaqBook_RAW_Data!AH551)</f>
        <v/>
      </c>
      <c r="D561" s="167" t="str">
        <f>IF(ISBLANK(DaqBook_RAW_Data!AI551),"",DaqBook_RAW_Data!AI551)</f>
        <v/>
      </c>
      <c r="E561" s="167" t="str">
        <f>IF(ISBLANK(DaqBook_RAW_Data!AJ551),"",DaqBook_RAW_Data!AJ551)</f>
        <v/>
      </c>
      <c r="F561" s="167" t="str">
        <f>IF(ISBLANK(DaqBook_RAW_Data!AK551),"",DaqBook_RAW_Data!AK551)</f>
        <v/>
      </c>
      <c r="G561" s="167" t="str">
        <f>IF(ISBLANK(DaqBook_RAW_Data!AL551),"",DaqBook_RAW_Data!AL551)</f>
        <v/>
      </c>
      <c r="H561" s="167" t="str">
        <f>IF(ISBLANK(DaqBook_RAW_Data!AM551),"",DaqBook_RAW_Data!AM551)</f>
        <v/>
      </c>
      <c r="I561" s="167" t="str">
        <f>IF(ISBLANK(DaqBook_RAW_Data!AN551),"",DaqBook_RAW_Data!AN551)</f>
        <v/>
      </c>
      <c r="J561" s="167" t="str">
        <f>IF(ISBLANK(DaqBook_RAW_Data!AO551),"",DaqBook_RAW_Data!AO551)</f>
        <v/>
      </c>
      <c r="K561" s="167" t="str">
        <f>IF(ISBLANK(DaqBook_RAW_Data!AP551),"",DaqBook_RAW_Data!AP551)</f>
        <v/>
      </c>
      <c r="L561" s="167" t="str">
        <f>IF(ISBLANK(DaqBook_RAW_Data!AQ551),"",DaqBook_RAW_Data!AQ551)</f>
        <v/>
      </c>
      <c r="M561" s="167" t="str">
        <f>IF(ISBLANK(DaqBook_RAW_Data!AR551),"",DaqBook_RAW_Data!AR551)</f>
        <v/>
      </c>
      <c r="N561" s="167" t="str">
        <f>IF(ISBLANK(DaqBook_RAW_Data!AS551),"",DaqBook_RAW_Data!AS551)</f>
        <v/>
      </c>
      <c r="O561" s="44"/>
      <c r="P561" s="44"/>
    </row>
    <row r="562" spans="1:16" x14ac:dyDescent="0.2">
      <c r="A562" s="58" t="e">
        <f t="shared" si="8"/>
        <v>#VALUE!</v>
      </c>
      <c r="B562" s="144" t="str">
        <f>IF(ISBLANK(DaqBook_RAW_Data!AG552),IF(DaqBook_RAW_Data!A552="","",TIMEVALUE(DaqBook_RAW_Data!A552)),TIMEVALUE(DaqBook_RAW_Data!AG552))</f>
        <v/>
      </c>
      <c r="C562" s="167" t="str">
        <f>IF(ISBLANK(DaqBook_RAW_Data!AH552),"",DaqBook_RAW_Data!AH552)</f>
        <v/>
      </c>
      <c r="D562" s="167" t="str">
        <f>IF(ISBLANK(DaqBook_RAW_Data!AI552),"",DaqBook_RAW_Data!AI552)</f>
        <v/>
      </c>
      <c r="E562" s="167" t="str">
        <f>IF(ISBLANK(DaqBook_RAW_Data!AJ552),"",DaqBook_RAW_Data!AJ552)</f>
        <v/>
      </c>
      <c r="F562" s="167" t="str">
        <f>IF(ISBLANK(DaqBook_RAW_Data!AK552),"",DaqBook_RAW_Data!AK552)</f>
        <v/>
      </c>
      <c r="G562" s="167" t="str">
        <f>IF(ISBLANK(DaqBook_RAW_Data!AL552),"",DaqBook_RAW_Data!AL552)</f>
        <v/>
      </c>
      <c r="H562" s="167" t="str">
        <f>IF(ISBLANK(DaqBook_RAW_Data!AM552),"",DaqBook_RAW_Data!AM552)</f>
        <v/>
      </c>
      <c r="I562" s="167" t="str">
        <f>IF(ISBLANK(DaqBook_RAW_Data!AN552),"",DaqBook_RAW_Data!AN552)</f>
        <v/>
      </c>
      <c r="J562" s="167" t="str">
        <f>IF(ISBLANK(DaqBook_RAW_Data!AO552),"",DaqBook_RAW_Data!AO552)</f>
        <v/>
      </c>
      <c r="K562" s="167" t="str">
        <f>IF(ISBLANK(DaqBook_RAW_Data!AP552),"",DaqBook_RAW_Data!AP552)</f>
        <v/>
      </c>
      <c r="L562" s="167" t="str">
        <f>IF(ISBLANK(DaqBook_RAW_Data!AQ552),"",DaqBook_RAW_Data!AQ552)</f>
        <v/>
      </c>
      <c r="M562" s="167" t="str">
        <f>IF(ISBLANK(DaqBook_RAW_Data!AR552),"",DaqBook_RAW_Data!AR552)</f>
        <v/>
      </c>
      <c r="N562" s="167" t="str">
        <f>IF(ISBLANK(DaqBook_RAW_Data!AS552),"",DaqBook_RAW_Data!AS552)</f>
        <v/>
      </c>
      <c r="O562" s="44"/>
      <c r="P562" s="44"/>
    </row>
    <row r="563" spans="1:16" x14ac:dyDescent="0.2">
      <c r="A563" s="58" t="e">
        <f t="shared" si="8"/>
        <v>#VALUE!</v>
      </c>
      <c r="B563" s="144" t="str">
        <f>IF(ISBLANK(DaqBook_RAW_Data!AG553),IF(DaqBook_RAW_Data!A553="","",TIMEVALUE(DaqBook_RAW_Data!A553)),TIMEVALUE(DaqBook_RAW_Data!AG553))</f>
        <v/>
      </c>
      <c r="C563" s="167" t="str">
        <f>IF(ISBLANK(DaqBook_RAW_Data!AH553),"",DaqBook_RAW_Data!AH553)</f>
        <v/>
      </c>
      <c r="D563" s="167" t="str">
        <f>IF(ISBLANK(DaqBook_RAW_Data!AI553),"",DaqBook_RAW_Data!AI553)</f>
        <v/>
      </c>
      <c r="E563" s="167" t="str">
        <f>IF(ISBLANK(DaqBook_RAW_Data!AJ553),"",DaqBook_RAW_Data!AJ553)</f>
        <v/>
      </c>
      <c r="F563" s="167" t="str">
        <f>IF(ISBLANK(DaqBook_RAW_Data!AK553),"",DaqBook_RAW_Data!AK553)</f>
        <v/>
      </c>
      <c r="G563" s="167" t="str">
        <f>IF(ISBLANK(DaqBook_RAW_Data!AL553),"",DaqBook_RAW_Data!AL553)</f>
        <v/>
      </c>
      <c r="H563" s="167" t="str">
        <f>IF(ISBLANK(DaqBook_RAW_Data!AM553),"",DaqBook_RAW_Data!AM553)</f>
        <v/>
      </c>
      <c r="I563" s="167" t="str">
        <f>IF(ISBLANK(DaqBook_RAW_Data!AN553),"",DaqBook_RAW_Data!AN553)</f>
        <v/>
      </c>
      <c r="J563" s="167" t="str">
        <f>IF(ISBLANK(DaqBook_RAW_Data!AO553),"",DaqBook_RAW_Data!AO553)</f>
        <v/>
      </c>
      <c r="K563" s="167" t="str">
        <f>IF(ISBLANK(DaqBook_RAW_Data!AP553),"",DaqBook_RAW_Data!AP553)</f>
        <v/>
      </c>
      <c r="L563" s="167" t="str">
        <f>IF(ISBLANK(DaqBook_RAW_Data!AQ553),"",DaqBook_RAW_Data!AQ553)</f>
        <v/>
      </c>
      <c r="M563" s="167" t="str">
        <f>IF(ISBLANK(DaqBook_RAW_Data!AR553),"",DaqBook_RAW_Data!AR553)</f>
        <v/>
      </c>
      <c r="N563" s="167" t="str">
        <f>IF(ISBLANK(DaqBook_RAW_Data!AS553),"",DaqBook_RAW_Data!AS553)</f>
        <v/>
      </c>
      <c r="O563" s="44"/>
      <c r="P563" s="44"/>
    </row>
    <row r="564" spans="1:16" x14ac:dyDescent="0.2">
      <c r="A564" s="58" t="e">
        <f t="shared" si="8"/>
        <v>#VALUE!</v>
      </c>
      <c r="B564" s="144" t="str">
        <f>IF(ISBLANK(DaqBook_RAW_Data!AG554),IF(DaqBook_RAW_Data!A554="","",TIMEVALUE(DaqBook_RAW_Data!A554)),TIMEVALUE(DaqBook_RAW_Data!AG554))</f>
        <v/>
      </c>
      <c r="C564" s="167" t="str">
        <f>IF(ISBLANK(DaqBook_RAW_Data!AH554),"",DaqBook_RAW_Data!AH554)</f>
        <v/>
      </c>
      <c r="D564" s="167" t="str">
        <f>IF(ISBLANK(DaqBook_RAW_Data!AI554),"",DaqBook_RAW_Data!AI554)</f>
        <v/>
      </c>
      <c r="E564" s="167" t="str">
        <f>IF(ISBLANK(DaqBook_RAW_Data!AJ554),"",DaqBook_RAW_Data!AJ554)</f>
        <v/>
      </c>
      <c r="F564" s="167" t="str">
        <f>IF(ISBLANK(DaqBook_RAW_Data!AK554),"",DaqBook_RAW_Data!AK554)</f>
        <v/>
      </c>
      <c r="G564" s="167" t="str">
        <f>IF(ISBLANK(DaqBook_RAW_Data!AL554),"",DaqBook_RAW_Data!AL554)</f>
        <v/>
      </c>
      <c r="H564" s="167" t="str">
        <f>IF(ISBLANK(DaqBook_RAW_Data!AM554),"",DaqBook_RAW_Data!AM554)</f>
        <v/>
      </c>
      <c r="I564" s="167" t="str">
        <f>IF(ISBLANK(DaqBook_RAW_Data!AN554),"",DaqBook_RAW_Data!AN554)</f>
        <v/>
      </c>
      <c r="J564" s="167" t="str">
        <f>IF(ISBLANK(DaqBook_RAW_Data!AO554),"",DaqBook_RAW_Data!AO554)</f>
        <v/>
      </c>
      <c r="K564" s="167" t="str">
        <f>IF(ISBLANK(DaqBook_RAW_Data!AP554),"",DaqBook_RAW_Data!AP554)</f>
        <v/>
      </c>
      <c r="L564" s="167" t="str">
        <f>IF(ISBLANK(DaqBook_RAW_Data!AQ554),"",DaqBook_RAW_Data!AQ554)</f>
        <v/>
      </c>
      <c r="M564" s="167" t="str">
        <f>IF(ISBLANK(DaqBook_RAW_Data!AR554),"",DaqBook_RAW_Data!AR554)</f>
        <v/>
      </c>
      <c r="N564" s="167" t="str">
        <f>IF(ISBLANK(DaqBook_RAW_Data!AS554),"",DaqBook_RAW_Data!AS554)</f>
        <v/>
      </c>
      <c r="O564" s="44"/>
      <c r="P564" s="44"/>
    </row>
    <row r="565" spans="1:16" x14ac:dyDescent="0.2">
      <c r="A565" s="58" t="e">
        <f t="shared" si="8"/>
        <v>#VALUE!</v>
      </c>
      <c r="B565" s="144" t="str">
        <f>IF(ISBLANK(DaqBook_RAW_Data!AG555),IF(DaqBook_RAW_Data!A555="","",TIMEVALUE(DaqBook_RAW_Data!A555)),TIMEVALUE(DaqBook_RAW_Data!AG555))</f>
        <v/>
      </c>
      <c r="C565" s="167" t="str">
        <f>IF(ISBLANK(DaqBook_RAW_Data!AH555),"",DaqBook_RAW_Data!AH555)</f>
        <v/>
      </c>
      <c r="D565" s="167" t="str">
        <f>IF(ISBLANK(DaqBook_RAW_Data!AI555),"",DaqBook_RAW_Data!AI555)</f>
        <v/>
      </c>
      <c r="E565" s="167" t="str">
        <f>IF(ISBLANK(DaqBook_RAW_Data!AJ555),"",DaqBook_RAW_Data!AJ555)</f>
        <v/>
      </c>
      <c r="F565" s="167" t="str">
        <f>IF(ISBLANK(DaqBook_RAW_Data!AK555),"",DaqBook_RAW_Data!AK555)</f>
        <v/>
      </c>
      <c r="G565" s="167" t="str">
        <f>IF(ISBLANK(DaqBook_RAW_Data!AL555),"",DaqBook_RAW_Data!AL555)</f>
        <v/>
      </c>
      <c r="H565" s="167" t="str">
        <f>IF(ISBLANK(DaqBook_RAW_Data!AM555),"",DaqBook_RAW_Data!AM555)</f>
        <v/>
      </c>
      <c r="I565" s="167" t="str">
        <f>IF(ISBLANK(DaqBook_RAW_Data!AN555),"",DaqBook_RAW_Data!AN555)</f>
        <v/>
      </c>
      <c r="J565" s="167" t="str">
        <f>IF(ISBLANK(DaqBook_RAW_Data!AO555),"",DaqBook_RAW_Data!AO555)</f>
        <v/>
      </c>
      <c r="K565" s="167" t="str">
        <f>IF(ISBLANK(DaqBook_RAW_Data!AP555),"",DaqBook_RAW_Data!AP555)</f>
        <v/>
      </c>
      <c r="L565" s="167" t="str">
        <f>IF(ISBLANK(DaqBook_RAW_Data!AQ555),"",DaqBook_RAW_Data!AQ555)</f>
        <v/>
      </c>
      <c r="M565" s="167" t="str">
        <f>IF(ISBLANK(DaqBook_RAW_Data!AR555),"",DaqBook_RAW_Data!AR555)</f>
        <v/>
      </c>
      <c r="N565" s="167" t="str">
        <f>IF(ISBLANK(DaqBook_RAW_Data!AS555),"",DaqBook_RAW_Data!AS555)</f>
        <v/>
      </c>
      <c r="O565" s="44"/>
      <c r="P565" s="44"/>
    </row>
    <row r="566" spans="1:16" x14ac:dyDescent="0.2">
      <c r="A566" s="58" t="e">
        <f t="shared" si="8"/>
        <v>#VALUE!</v>
      </c>
      <c r="B566" s="144" t="str">
        <f>IF(ISBLANK(DaqBook_RAW_Data!AG556),IF(DaqBook_RAW_Data!A556="","",TIMEVALUE(DaqBook_RAW_Data!A556)),TIMEVALUE(DaqBook_RAW_Data!AG556))</f>
        <v/>
      </c>
      <c r="C566" s="167" t="str">
        <f>IF(ISBLANK(DaqBook_RAW_Data!AH556),"",DaqBook_RAW_Data!AH556)</f>
        <v/>
      </c>
      <c r="D566" s="167" t="str">
        <f>IF(ISBLANK(DaqBook_RAW_Data!AI556),"",DaqBook_RAW_Data!AI556)</f>
        <v/>
      </c>
      <c r="E566" s="167" t="str">
        <f>IF(ISBLANK(DaqBook_RAW_Data!AJ556),"",DaqBook_RAW_Data!AJ556)</f>
        <v/>
      </c>
      <c r="F566" s="167" t="str">
        <f>IF(ISBLANK(DaqBook_RAW_Data!AK556),"",DaqBook_RAW_Data!AK556)</f>
        <v/>
      </c>
      <c r="G566" s="167" t="str">
        <f>IF(ISBLANK(DaqBook_RAW_Data!AL556),"",DaqBook_RAW_Data!AL556)</f>
        <v/>
      </c>
      <c r="H566" s="167" t="str">
        <f>IF(ISBLANK(DaqBook_RAW_Data!AM556),"",DaqBook_RAW_Data!AM556)</f>
        <v/>
      </c>
      <c r="I566" s="167" t="str">
        <f>IF(ISBLANK(DaqBook_RAW_Data!AN556),"",DaqBook_RAW_Data!AN556)</f>
        <v/>
      </c>
      <c r="J566" s="167" t="str">
        <f>IF(ISBLANK(DaqBook_RAW_Data!AO556),"",DaqBook_RAW_Data!AO556)</f>
        <v/>
      </c>
      <c r="K566" s="167" t="str">
        <f>IF(ISBLANK(DaqBook_RAW_Data!AP556),"",DaqBook_RAW_Data!AP556)</f>
        <v/>
      </c>
      <c r="L566" s="167" t="str">
        <f>IF(ISBLANK(DaqBook_RAW_Data!AQ556),"",DaqBook_RAW_Data!AQ556)</f>
        <v/>
      </c>
      <c r="M566" s="167" t="str">
        <f>IF(ISBLANK(DaqBook_RAW_Data!AR556),"",DaqBook_RAW_Data!AR556)</f>
        <v/>
      </c>
      <c r="N566" s="167" t="str">
        <f>IF(ISBLANK(DaqBook_RAW_Data!AS556),"",DaqBook_RAW_Data!AS556)</f>
        <v/>
      </c>
      <c r="O566" s="44"/>
      <c r="P566" s="44"/>
    </row>
    <row r="567" spans="1:16" x14ac:dyDescent="0.2">
      <c r="A567" s="58" t="e">
        <f t="shared" si="8"/>
        <v>#VALUE!</v>
      </c>
      <c r="B567" s="144" t="str">
        <f>IF(ISBLANK(DaqBook_RAW_Data!AG557),IF(DaqBook_RAW_Data!A557="","",TIMEVALUE(DaqBook_RAW_Data!A557)),TIMEVALUE(DaqBook_RAW_Data!AG557))</f>
        <v/>
      </c>
      <c r="C567" s="167" t="str">
        <f>IF(ISBLANK(DaqBook_RAW_Data!AH557),"",DaqBook_RAW_Data!AH557)</f>
        <v/>
      </c>
      <c r="D567" s="167" t="str">
        <f>IF(ISBLANK(DaqBook_RAW_Data!AI557),"",DaqBook_RAW_Data!AI557)</f>
        <v/>
      </c>
      <c r="E567" s="167" t="str">
        <f>IF(ISBLANK(DaqBook_RAW_Data!AJ557),"",DaqBook_RAW_Data!AJ557)</f>
        <v/>
      </c>
      <c r="F567" s="167" t="str">
        <f>IF(ISBLANK(DaqBook_RAW_Data!AK557),"",DaqBook_RAW_Data!AK557)</f>
        <v/>
      </c>
      <c r="G567" s="167" t="str">
        <f>IF(ISBLANK(DaqBook_RAW_Data!AL557),"",DaqBook_RAW_Data!AL557)</f>
        <v/>
      </c>
      <c r="H567" s="167" t="str">
        <f>IF(ISBLANK(DaqBook_RAW_Data!AM557),"",DaqBook_RAW_Data!AM557)</f>
        <v/>
      </c>
      <c r="I567" s="167" t="str">
        <f>IF(ISBLANK(DaqBook_RAW_Data!AN557),"",DaqBook_RAW_Data!AN557)</f>
        <v/>
      </c>
      <c r="J567" s="167" t="str">
        <f>IF(ISBLANK(DaqBook_RAW_Data!AO557),"",DaqBook_RAW_Data!AO557)</f>
        <v/>
      </c>
      <c r="K567" s="167" t="str">
        <f>IF(ISBLANK(DaqBook_RAW_Data!AP557),"",DaqBook_RAW_Data!AP557)</f>
        <v/>
      </c>
      <c r="L567" s="167" t="str">
        <f>IF(ISBLANK(DaqBook_RAW_Data!AQ557),"",DaqBook_RAW_Data!AQ557)</f>
        <v/>
      </c>
      <c r="M567" s="167" t="str">
        <f>IF(ISBLANK(DaqBook_RAW_Data!AR557),"",DaqBook_RAW_Data!AR557)</f>
        <v/>
      </c>
      <c r="N567" s="167" t="str">
        <f>IF(ISBLANK(DaqBook_RAW_Data!AS557),"",DaqBook_RAW_Data!AS557)</f>
        <v/>
      </c>
      <c r="O567" s="44"/>
      <c r="P567" s="44"/>
    </row>
    <row r="568" spans="1:16" x14ac:dyDescent="0.2">
      <c r="A568" s="58" t="e">
        <f t="shared" si="8"/>
        <v>#VALUE!</v>
      </c>
      <c r="B568" s="144" t="str">
        <f>IF(ISBLANK(DaqBook_RAW_Data!AG558),IF(DaqBook_RAW_Data!A558="","",TIMEVALUE(DaqBook_RAW_Data!A558)),TIMEVALUE(DaqBook_RAW_Data!AG558))</f>
        <v/>
      </c>
      <c r="C568" s="167" t="str">
        <f>IF(ISBLANK(DaqBook_RAW_Data!AH558),"",DaqBook_RAW_Data!AH558)</f>
        <v/>
      </c>
      <c r="D568" s="167" t="str">
        <f>IF(ISBLANK(DaqBook_RAW_Data!AI558),"",DaqBook_RAW_Data!AI558)</f>
        <v/>
      </c>
      <c r="E568" s="167" t="str">
        <f>IF(ISBLANK(DaqBook_RAW_Data!AJ558),"",DaqBook_RAW_Data!AJ558)</f>
        <v/>
      </c>
      <c r="F568" s="167" t="str">
        <f>IF(ISBLANK(DaqBook_RAW_Data!AK558),"",DaqBook_RAW_Data!AK558)</f>
        <v/>
      </c>
      <c r="G568" s="167" t="str">
        <f>IF(ISBLANK(DaqBook_RAW_Data!AL558),"",DaqBook_RAW_Data!AL558)</f>
        <v/>
      </c>
      <c r="H568" s="167" t="str">
        <f>IF(ISBLANK(DaqBook_RAW_Data!AM558),"",DaqBook_RAW_Data!AM558)</f>
        <v/>
      </c>
      <c r="I568" s="167" t="str">
        <f>IF(ISBLANK(DaqBook_RAW_Data!AN558),"",DaqBook_RAW_Data!AN558)</f>
        <v/>
      </c>
      <c r="J568" s="167" t="str">
        <f>IF(ISBLANK(DaqBook_RAW_Data!AO558),"",DaqBook_RAW_Data!AO558)</f>
        <v/>
      </c>
      <c r="K568" s="167" t="str">
        <f>IF(ISBLANK(DaqBook_RAW_Data!AP558),"",DaqBook_RAW_Data!AP558)</f>
        <v/>
      </c>
      <c r="L568" s="167" t="str">
        <f>IF(ISBLANK(DaqBook_RAW_Data!AQ558),"",DaqBook_RAW_Data!AQ558)</f>
        <v/>
      </c>
      <c r="M568" s="167" t="str">
        <f>IF(ISBLANK(DaqBook_RAW_Data!AR558),"",DaqBook_RAW_Data!AR558)</f>
        <v/>
      </c>
      <c r="N568" s="167" t="str">
        <f>IF(ISBLANK(DaqBook_RAW_Data!AS558),"",DaqBook_RAW_Data!AS558)</f>
        <v/>
      </c>
      <c r="O568" s="44"/>
      <c r="P568" s="44"/>
    </row>
    <row r="569" spans="1:16" x14ac:dyDescent="0.2">
      <c r="A569" s="58" t="e">
        <f t="shared" si="8"/>
        <v>#VALUE!</v>
      </c>
      <c r="B569" s="144" t="str">
        <f>IF(ISBLANK(DaqBook_RAW_Data!AG559),IF(DaqBook_RAW_Data!A559="","",TIMEVALUE(DaqBook_RAW_Data!A559)),TIMEVALUE(DaqBook_RAW_Data!AG559))</f>
        <v/>
      </c>
      <c r="C569" s="167" t="str">
        <f>IF(ISBLANK(DaqBook_RAW_Data!AH559),"",DaqBook_RAW_Data!AH559)</f>
        <v/>
      </c>
      <c r="D569" s="167" t="str">
        <f>IF(ISBLANK(DaqBook_RAW_Data!AI559),"",DaqBook_RAW_Data!AI559)</f>
        <v/>
      </c>
      <c r="E569" s="167" t="str">
        <f>IF(ISBLANK(DaqBook_RAW_Data!AJ559),"",DaqBook_RAW_Data!AJ559)</f>
        <v/>
      </c>
      <c r="F569" s="167" t="str">
        <f>IF(ISBLANK(DaqBook_RAW_Data!AK559),"",DaqBook_RAW_Data!AK559)</f>
        <v/>
      </c>
      <c r="G569" s="167" t="str">
        <f>IF(ISBLANK(DaqBook_RAW_Data!AL559),"",DaqBook_RAW_Data!AL559)</f>
        <v/>
      </c>
      <c r="H569" s="167" t="str">
        <f>IF(ISBLANK(DaqBook_RAW_Data!AM559),"",DaqBook_RAW_Data!AM559)</f>
        <v/>
      </c>
      <c r="I569" s="167" t="str">
        <f>IF(ISBLANK(DaqBook_RAW_Data!AN559),"",DaqBook_RAW_Data!AN559)</f>
        <v/>
      </c>
      <c r="J569" s="167" t="str">
        <f>IF(ISBLANK(DaqBook_RAW_Data!AO559),"",DaqBook_RAW_Data!AO559)</f>
        <v/>
      </c>
      <c r="K569" s="167" t="str">
        <f>IF(ISBLANK(DaqBook_RAW_Data!AP559),"",DaqBook_RAW_Data!AP559)</f>
        <v/>
      </c>
      <c r="L569" s="167" t="str">
        <f>IF(ISBLANK(DaqBook_RAW_Data!AQ559),"",DaqBook_RAW_Data!AQ559)</f>
        <v/>
      </c>
      <c r="M569" s="167" t="str">
        <f>IF(ISBLANK(DaqBook_RAW_Data!AR559),"",DaqBook_RAW_Data!AR559)</f>
        <v/>
      </c>
      <c r="N569" s="167" t="str">
        <f>IF(ISBLANK(DaqBook_RAW_Data!AS559),"",DaqBook_RAW_Data!AS559)</f>
        <v/>
      </c>
      <c r="O569" s="44"/>
      <c r="P569" s="44"/>
    </row>
    <row r="570" spans="1:16" x14ac:dyDescent="0.2">
      <c r="A570" s="58" t="e">
        <f t="shared" si="8"/>
        <v>#VALUE!</v>
      </c>
      <c r="B570" s="144" t="str">
        <f>IF(ISBLANK(DaqBook_RAW_Data!AG560),IF(DaqBook_RAW_Data!A560="","",TIMEVALUE(DaqBook_RAW_Data!A560)),TIMEVALUE(DaqBook_RAW_Data!AG560))</f>
        <v/>
      </c>
      <c r="C570" s="167" t="str">
        <f>IF(ISBLANK(DaqBook_RAW_Data!AH560),"",DaqBook_RAW_Data!AH560)</f>
        <v/>
      </c>
      <c r="D570" s="167" t="str">
        <f>IF(ISBLANK(DaqBook_RAW_Data!AI560),"",DaqBook_RAW_Data!AI560)</f>
        <v/>
      </c>
      <c r="E570" s="167" t="str">
        <f>IF(ISBLANK(DaqBook_RAW_Data!AJ560),"",DaqBook_RAW_Data!AJ560)</f>
        <v/>
      </c>
      <c r="F570" s="167" t="str">
        <f>IF(ISBLANK(DaqBook_RAW_Data!AK560),"",DaqBook_RAW_Data!AK560)</f>
        <v/>
      </c>
      <c r="G570" s="167" t="str">
        <f>IF(ISBLANK(DaqBook_RAW_Data!AL560),"",DaqBook_RAW_Data!AL560)</f>
        <v/>
      </c>
      <c r="H570" s="167" t="str">
        <f>IF(ISBLANK(DaqBook_RAW_Data!AM560),"",DaqBook_RAW_Data!AM560)</f>
        <v/>
      </c>
      <c r="I570" s="167" t="str">
        <f>IF(ISBLANK(DaqBook_RAW_Data!AN560),"",DaqBook_RAW_Data!AN560)</f>
        <v/>
      </c>
      <c r="J570" s="167" t="str">
        <f>IF(ISBLANK(DaqBook_RAW_Data!AO560),"",DaqBook_RAW_Data!AO560)</f>
        <v/>
      </c>
      <c r="K570" s="167" t="str">
        <f>IF(ISBLANK(DaqBook_RAW_Data!AP560),"",DaqBook_RAW_Data!AP560)</f>
        <v/>
      </c>
      <c r="L570" s="167" t="str">
        <f>IF(ISBLANK(DaqBook_RAW_Data!AQ560),"",DaqBook_RAW_Data!AQ560)</f>
        <v/>
      </c>
      <c r="M570" s="167" t="str">
        <f>IF(ISBLANK(DaqBook_RAW_Data!AR560),"",DaqBook_RAW_Data!AR560)</f>
        <v/>
      </c>
      <c r="N570" s="167" t="str">
        <f>IF(ISBLANK(DaqBook_RAW_Data!AS560),"",DaqBook_RAW_Data!AS560)</f>
        <v/>
      </c>
      <c r="O570" s="44"/>
      <c r="P570" s="44"/>
    </row>
    <row r="571" spans="1:16" x14ac:dyDescent="0.2">
      <c r="A571" s="58" t="e">
        <f t="shared" si="8"/>
        <v>#VALUE!</v>
      </c>
      <c r="B571" s="144" t="str">
        <f>IF(ISBLANK(DaqBook_RAW_Data!AG561),IF(DaqBook_RAW_Data!A561="","",TIMEVALUE(DaqBook_RAW_Data!A561)),TIMEVALUE(DaqBook_RAW_Data!AG561))</f>
        <v/>
      </c>
      <c r="C571" s="167" t="str">
        <f>IF(ISBLANK(DaqBook_RAW_Data!AH561),"",DaqBook_RAW_Data!AH561)</f>
        <v/>
      </c>
      <c r="D571" s="167" t="str">
        <f>IF(ISBLANK(DaqBook_RAW_Data!AI561),"",DaqBook_RAW_Data!AI561)</f>
        <v/>
      </c>
      <c r="E571" s="167" t="str">
        <f>IF(ISBLANK(DaqBook_RAW_Data!AJ561),"",DaqBook_RAW_Data!AJ561)</f>
        <v/>
      </c>
      <c r="F571" s="167" t="str">
        <f>IF(ISBLANK(DaqBook_RAW_Data!AK561),"",DaqBook_RAW_Data!AK561)</f>
        <v/>
      </c>
      <c r="G571" s="167" t="str">
        <f>IF(ISBLANK(DaqBook_RAW_Data!AL561),"",DaqBook_RAW_Data!AL561)</f>
        <v/>
      </c>
      <c r="H571" s="167" t="str">
        <f>IF(ISBLANK(DaqBook_RAW_Data!AM561),"",DaqBook_RAW_Data!AM561)</f>
        <v/>
      </c>
      <c r="I571" s="167" t="str">
        <f>IF(ISBLANK(DaqBook_RAW_Data!AN561),"",DaqBook_RAW_Data!AN561)</f>
        <v/>
      </c>
      <c r="J571" s="167" t="str">
        <f>IF(ISBLANK(DaqBook_RAW_Data!AO561),"",DaqBook_RAW_Data!AO561)</f>
        <v/>
      </c>
      <c r="K571" s="167" t="str">
        <f>IF(ISBLANK(DaqBook_RAW_Data!AP561),"",DaqBook_RAW_Data!AP561)</f>
        <v/>
      </c>
      <c r="L571" s="167" t="str">
        <f>IF(ISBLANK(DaqBook_RAW_Data!AQ561),"",DaqBook_RAW_Data!AQ561)</f>
        <v/>
      </c>
      <c r="M571" s="167" t="str">
        <f>IF(ISBLANK(DaqBook_RAW_Data!AR561),"",DaqBook_RAW_Data!AR561)</f>
        <v/>
      </c>
      <c r="N571" s="167" t="str">
        <f>IF(ISBLANK(DaqBook_RAW_Data!AS561),"",DaqBook_RAW_Data!AS561)</f>
        <v/>
      </c>
      <c r="O571" s="44"/>
      <c r="P571" s="44"/>
    </row>
    <row r="572" spans="1:16" x14ac:dyDescent="0.2">
      <c r="A572" s="58" t="e">
        <f t="shared" si="8"/>
        <v>#VALUE!</v>
      </c>
      <c r="B572" s="144" t="str">
        <f>IF(ISBLANK(DaqBook_RAW_Data!AG562),IF(DaqBook_RAW_Data!A562="","",TIMEVALUE(DaqBook_RAW_Data!A562)),TIMEVALUE(DaqBook_RAW_Data!AG562))</f>
        <v/>
      </c>
      <c r="C572" s="167" t="str">
        <f>IF(ISBLANK(DaqBook_RAW_Data!AH562),"",DaqBook_RAW_Data!AH562)</f>
        <v/>
      </c>
      <c r="D572" s="167" t="str">
        <f>IF(ISBLANK(DaqBook_RAW_Data!AI562),"",DaqBook_RAW_Data!AI562)</f>
        <v/>
      </c>
      <c r="E572" s="167" t="str">
        <f>IF(ISBLANK(DaqBook_RAW_Data!AJ562),"",DaqBook_RAW_Data!AJ562)</f>
        <v/>
      </c>
      <c r="F572" s="167" t="str">
        <f>IF(ISBLANK(DaqBook_RAW_Data!AK562),"",DaqBook_RAW_Data!AK562)</f>
        <v/>
      </c>
      <c r="G572" s="167" t="str">
        <f>IF(ISBLANK(DaqBook_RAW_Data!AL562),"",DaqBook_RAW_Data!AL562)</f>
        <v/>
      </c>
      <c r="H572" s="167" t="str">
        <f>IF(ISBLANK(DaqBook_RAW_Data!AM562),"",DaqBook_RAW_Data!AM562)</f>
        <v/>
      </c>
      <c r="I572" s="167" t="str">
        <f>IF(ISBLANK(DaqBook_RAW_Data!AN562),"",DaqBook_RAW_Data!AN562)</f>
        <v/>
      </c>
      <c r="J572" s="167" t="str">
        <f>IF(ISBLANK(DaqBook_RAW_Data!AO562),"",DaqBook_RAW_Data!AO562)</f>
        <v/>
      </c>
      <c r="K572" s="167" t="str">
        <f>IF(ISBLANK(DaqBook_RAW_Data!AP562),"",DaqBook_RAW_Data!AP562)</f>
        <v/>
      </c>
      <c r="L572" s="167" t="str">
        <f>IF(ISBLANK(DaqBook_RAW_Data!AQ562),"",DaqBook_RAW_Data!AQ562)</f>
        <v/>
      </c>
      <c r="M572" s="167" t="str">
        <f>IF(ISBLANK(DaqBook_RAW_Data!AR562),"",DaqBook_RAW_Data!AR562)</f>
        <v/>
      </c>
      <c r="N572" s="167" t="str">
        <f>IF(ISBLANK(DaqBook_RAW_Data!AS562),"",DaqBook_RAW_Data!AS562)</f>
        <v/>
      </c>
      <c r="O572" s="44"/>
      <c r="P572" s="44"/>
    </row>
    <row r="573" spans="1:16" x14ac:dyDescent="0.2">
      <c r="A573" s="58" t="e">
        <f t="shared" si="8"/>
        <v>#VALUE!</v>
      </c>
      <c r="B573" s="144" t="str">
        <f>IF(ISBLANK(DaqBook_RAW_Data!AG563),IF(DaqBook_RAW_Data!A563="","",TIMEVALUE(DaqBook_RAW_Data!A563)),TIMEVALUE(DaqBook_RAW_Data!AG563))</f>
        <v/>
      </c>
      <c r="C573" s="167" t="str">
        <f>IF(ISBLANK(DaqBook_RAW_Data!AH563),"",DaqBook_RAW_Data!AH563)</f>
        <v/>
      </c>
      <c r="D573" s="167" t="str">
        <f>IF(ISBLANK(DaqBook_RAW_Data!AI563),"",DaqBook_RAW_Data!AI563)</f>
        <v/>
      </c>
      <c r="E573" s="167" t="str">
        <f>IF(ISBLANK(DaqBook_RAW_Data!AJ563),"",DaqBook_RAW_Data!AJ563)</f>
        <v/>
      </c>
      <c r="F573" s="167" t="str">
        <f>IF(ISBLANK(DaqBook_RAW_Data!AK563),"",DaqBook_RAW_Data!AK563)</f>
        <v/>
      </c>
      <c r="G573" s="167" t="str">
        <f>IF(ISBLANK(DaqBook_RAW_Data!AL563),"",DaqBook_RAW_Data!AL563)</f>
        <v/>
      </c>
      <c r="H573" s="167" t="str">
        <f>IF(ISBLANK(DaqBook_RAW_Data!AM563),"",DaqBook_RAW_Data!AM563)</f>
        <v/>
      </c>
      <c r="I573" s="167" t="str">
        <f>IF(ISBLANK(DaqBook_RAW_Data!AN563),"",DaqBook_RAW_Data!AN563)</f>
        <v/>
      </c>
      <c r="J573" s="167" t="str">
        <f>IF(ISBLANK(DaqBook_RAW_Data!AO563),"",DaqBook_RAW_Data!AO563)</f>
        <v/>
      </c>
      <c r="K573" s="167" t="str">
        <f>IF(ISBLANK(DaqBook_RAW_Data!AP563),"",DaqBook_RAW_Data!AP563)</f>
        <v/>
      </c>
      <c r="L573" s="167" t="str">
        <f>IF(ISBLANK(DaqBook_RAW_Data!AQ563),"",DaqBook_RAW_Data!AQ563)</f>
        <v/>
      </c>
      <c r="M573" s="167" t="str">
        <f>IF(ISBLANK(DaqBook_RAW_Data!AR563),"",DaqBook_RAW_Data!AR563)</f>
        <v/>
      </c>
      <c r="N573" s="167" t="str">
        <f>IF(ISBLANK(DaqBook_RAW_Data!AS563),"",DaqBook_RAW_Data!AS563)</f>
        <v/>
      </c>
      <c r="O573" s="44"/>
      <c r="P573" s="44"/>
    </row>
    <row r="574" spans="1:16" x14ac:dyDescent="0.2">
      <c r="A574" s="58" t="e">
        <f t="shared" si="8"/>
        <v>#VALUE!</v>
      </c>
      <c r="B574" s="144" t="str">
        <f>IF(ISBLANK(DaqBook_RAW_Data!AG564),IF(DaqBook_RAW_Data!A564="","",TIMEVALUE(DaqBook_RAW_Data!A564)),TIMEVALUE(DaqBook_RAW_Data!AG564))</f>
        <v/>
      </c>
      <c r="C574" s="167" t="str">
        <f>IF(ISBLANK(DaqBook_RAW_Data!AH564),"",DaqBook_RAW_Data!AH564)</f>
        <v/>
      </c>
      <c r="D574" s="167" t="str">
        <f>IF(ISBLANK(DaqBook_RAW_Data!AI564),"",DaqBook_RAW_Data!AI564)</f>
        <v/>
      </c>
      <c r="E574" s="167" t="str">
        <f>IF(ISBLANK(DaqBook_RAW_Data!AJ564),"",DaqBook_RAW_Data!AJ564)</f>
        <v/>
      </c>
      <c r="F574" s="167" t="str">
        <f>IF(ISBLANK(DaqBook_RAW_Data!AK564),"",DaqBook_RAW_Data!AK564)</f>
        <v/>
      </c>
      <c r="G574" s="167" t="str">
        <f>IF(ISBLANK(DaqBook_RAW_Data!AL564),"",DaqBook_RAW_Data!AL564)</f>
        <v/>
      </c>
      <c r="H574" s="167" t="str">
        <f>IF(ISBLANK(DaqBook_RAW_Data!AM564),"",DaqBook_RAW_Data!AM564)</f>
        <v/>
      </c>
      <c r="I574" s="167" t="str">
        <f>IF(ISBLANK(DaqBook_RAW_Data!AN564),"",DaqBook_RAW_Data!AN564)</f>
        <v/>
      </c>
      <c r="J574" s="167" t="str">
        <f>IF(ISBLANK(DaqBook_RAW_Data!AO564),"",DaqBook_RAW_Data!AO564)</f>
        <v/>
      </c>
      <c r="K574" s="167" t="str">
        <f>IF(ISBLANK(DaqBook_RAW_Data!AP564),"",DaqBook_RAW_Data!AP564)</f>
        <v/>
      </c>
      <c r="L574" s="167" t="str">
        <f>IF(ISBLANK(DaqBook_RAW_Data!AQ564),"",DaqBook_RAW_Data!AQ564)</f>
        <v/>
      </c>
      <c r="M574" s="167" t="str">
        <f>IF(ISBLANK(DaqBook_RAW_Data!AR564),"",DaqBook_RAW_Data!AR564)</f>
        <v/>
      </c>
      <c r="N574" s="167" t="str">
        <f>IF(ISBLANK(DaqBook_RAW_Data!AS564),"",DaqBook_RAW_Data!AS564)</f>
        <v/>
      </c>
      <c r="O574" s="44"/>
      <c r="P574" s="44"/>
    </row>
    <row r="575" spans="1:16" x14ac:dyDescent="0.2">
      <c r="A575" s="58" t="e">
        <f t="shared" si="8"/>
        <v>#VALUE!</v>
      </c>
      <c r="B575" s="144" t="str">
        <f>IF(ISBLANK(DaqBook_RAW_Data!AG565),IF(DaqBook_RAW_Data!A565="","",TIMEVALUE(DaqBook_RAW_Data!A565)),TIMEVALUE(DaqBook_RAW_Data!AG565))</f>
        <v/>
      </c>
      <c r="C575" s="167" t="str">
        <f>IF(ISBLANK(DaqBook_RAW_Data!AH565),"",DaqBook_RAW_Data!AH565)</f>
        <v/>
      </c>
      <c r="D575" s="167" t="str">
        <f>IF(ISBLANK(DaqBook_RAW_Data!AI565),"",DaqBook_RAW_Data!AI565)</f>
        <v/>
      </c>
      <c r="E575" s="167" t="str">
        <f>IF(ISBLANK(DaqBook_RAW_Data!AJ565),"",DaqBook_RAW_Data!AJ565)</f>
        <v/>
      </c>
      <c r="F575" s="167" t="str">
        <f>IF(ISBLANK(DaqBook_RAW_Data!AK565),"",DaqBook_RAW_Data!AK565)</f>
        <v/>
      </c>
      <c r="G575" s="167" t="str">
        <f>IF(ISBLANK(DaqBook_RAW_Data!AL565),"",DaqBook_RAW_Data!AL565)</f>
        <v/>
      </c>
      <c r="H575" s="167" t="str">
        <f>IF(ISBLANK(DaqBook_RAW_Data!AM565),"",DaqBook_RAW_Data!AM565)</f>
        <v/>
      </c>
      <c r="I575" s="167" t="str">
        <f>IF(ISBLANK(DaqBook_RAW_Data!AN565),"",DaqBook_RAW_Data!AN565)</f>
        <v/>
      </c>
      <c r="J575" s="167" t="str">
        <f>IF(ISBLANK(DaqBook_RAW_Data!AO565),"",DaqBook_RAW_Data!AO565)</f>
        <v/>
      </c>
      <c r="K575" s="167" t="str">
        <f>IF(ISBLANK(DaqBook_RAW_Data!AP565),"",DaqBook_RAW_Data!AP565)</f>
        <v/>
      </c>
      <c r="L575" s="167" t="str">
        <f>IF(ISBLANK(DaqBook_RAW_Data!AQ565),"",DaqBook_RAW_Data!AQ565)</f>
        <v/>
      </c>
      <c r="M575" s="167" t="str">
        <f>IF(ISBLANK(DaqBook_RAW_Data!AR565),"",DaqBook_RAW_Data!AR565)</f>
        <v/>
      </c>
      <c r="N575" s="167" t="str">
        <f>IF(ISBLANK(DaqBook_RAW_Data!AS565),"",DaqBook_RAW_Data!AS565)</f>
        <v/>
      </c>
      <c r="O575" s="44"/>
      <c r="P575" s="44"/>
    </row>
    <row r="576" spans="1:16" x14ac:dyDescent="0.2">
      <c r="A576" s="58" t="e">
        <f t="shared" si="8"/>
        <v>#VALUE!</v>
      </c>
      <c r="B576" s="144" t="str">
        <f>IF(ISBLANK(DaqBook_RAW_Data!AG566),IF(DaqBook_RAW_Data!A566="","",TIMEVALUE(DaqBook_RAW_Data!A566)),TIMEVALUE(DaqBook_RAW_Data!AG566))</f>
        <v/>
      </c>
      <c r="C576" s="167" t="str">
        <f>IF(ISBLANK(DaqBook_RAW_Data!AH566),"",DaqBook_RAW_Data!AH566)</f>
        <v/>
      </c>
      <c r="D576" s="167" t="str">
        <f>IF(ISBLANK(DaqBook_RAW_Data!AI566),"",DaqBook_RAW_Data!AI566)</f>
        <v/>
      </c>
      <c r="E576" s="167" t="str">
        <f>IF(ISBLANK(DaqBook_RAW_Data!AJ566),"",DaqBook_RAW_Data!AJ566)</f>
        <v/>
      </c>
      <c r="F576" s="167" t="str">
        <f>IF(ISBLANK(DaqBook_RAW_Data!AK566),"",DaqBook_RAW_Data!AK566)</f>
        <v/>
      </c>
      <c r="G576" s="167" t="str">
        <f>IF(ISBLANK(DaqBook_RAW_Data!AL566),"",DaqBook_RAW_Data!AL566)</f>
        <v/>
      </c>
      <c r="H576" s="167" t="str">
        <f>IF(ISBLANK(DaqBook_RAW_Data!AM566),"",DaqBook_RAW_Data!AM566)</f>
        <v/>
      </c>
      <c r="I576" s="167" t="str">
        <f>IF(ISBLANK(DaqBook_RAW_Data!AN566),"",DaqBook_RAW_Data!AN566)</f>
        <v/>
      </c>
      <c r="J576" s="167" t="str">
        <f>IF(ISBLANK(DaqBook_RAW_Data!AO566),"",DaqBook_RAW_Data!AO566)</f>
        <v/>
      </c>
      <c r="K576" s="167" t="str">
        <f>IF(ISBLANK(DaqBook_RAW_Data!AP566),"",DaqBook_RAW_Data!AP566)</f>
        <v/>
      </c>
      <c r="L576" s="167" t="str">
        <f>IF(ISBLANK(DaqBook_RAW_Data!AQ566),"",DaqBook_RAW_Data!AQ566)</f>
        <v/>
      </c>
      <c r="M576" s="167" t="str">
        <f>IF(ISBLANK(DaqBook_RAW_Data!AR566),"",DaqBook_RAW_Data!AR566)</f>
        <v/>
      </c>
      <c r="N576" s="167" t="str">
        <f>IF(ISBLANK(DaqBook_RAW_Data!AS566),"",DaqBook_RAW_Data!AS566)</f>
        <v/>
      </c>
      <c r="O576" s="44"/>
      <c r="P576" s="44"/>
    </row>
    <row r="577" spans="1:16" x14ac:dyDescent="0.2">
      <c r="A577" s="58" t="e">
        <f t="shared" si="8"/>
        <v>#VALUE!</v>
      </c>
      <c r="B577" s="144" t="str">
        <f>IF(ISBLANK(DaqBook_RAW_Data!AG567),IF(DaqBook_RAW_Data!A567="","",TIMEVALUE(DaqBook_RAW_Data!A567)),TIMEVALUE(DaqBook_RAW_Data!AG567))</f>
        <v/>
      </c>
      <c r="C577" s="167" t="str">
        <f>IF(ISBLANK(DaqBook_RAW_Data!AH567),"",DaqBook_RAW_Data!AH567)</f>
        <v/>
      </c>
      <c r="D577" s="167" t="str">
        <f>IF(ISBLANK(DaqBook_RAW_Data!AI567),"",DaqBook_RAW_Data!AI567)</f>
        <v/>
      </c>
      <c r="E577" s="167" t="str">
        <f>IF(ISBLANK(DaqBook_RAW_Data!AJ567),"",DaqBook_RAW_Data!AJ567)</f>
        <v/>
      </c>
      <c r="F577" s="167" t="str">
        <f>IF(ISBLANK(DaqBook_RAW_Data!AK567),"",DaqBook_RAW_Data!AK567)</f>
        <v/>
      </c>
      <c r="G577" s="167" t="str">
        <f>IF(ISBLANK(DaqBook_RAW_Data!AL567),"",DaqBook_RAW_Data!AL567)</f>
        <v/>
      </c>
      <c r="H577" s="167" t="str">
        <f>IF(ISBLANK(DaqBook_RAW_Data!AM567),"",DaqBook_RAW_Data!AM567)</f>
        <v/>
      </c>
      <c r="I577" s="167" t="str">
        <f>IF(ISBLANK(DaqBook_RAW_Data!AN567),"",DaqBook_RAW_Data!AN567)</f>
        <v/>
      </c>
      <c r="J577" s="167" t="str">
        <f>IF(ISBLANK(DaqBook_RAW_Data!AO567),"",DaqBook_RAW_Data!AO567)</f>
        <v/>
      </c>
      <c r="K577" s="167" t="str">
        <f>IF(ISBLANK(DaqBook_RAW_Data!AP567),"",DaqBook_RAW_Data!AP567)</f>
        <v/>
      </c>
      <c r="L577" s="167" t="str">
        <f>IF(ISBLANK(DaqBook_RAW_Data!AQ567),"",DaqBook_RAW_Data!AQ567)</f>
        <v/>
      </c>
      <c r="M577" s="167" t="str">
        <f>IF(ISBLANK(DaqBook_RAW_Data!AR567),"",DaqBook_RAW_Data!AR567)</f>
        <v/>
      </c>
      <c r="N577" s="167" t="str">
        <f>IF(ISBLANK(DaqBook_RAW_Data!AS567),"",DaqBook_RAW_Data!AS567)</f>
        <v/>
      </c>
      <c r="O577" s="44"/>
      <c r="P577" s="44"/>
    </row>
    <row r="578" spans="1:16" x14ac:dyDescent="0.2">
      <c r="A578" s="58" t="e">
        <f t="shared" si="8"/>
        <v>#VALUE!</v>
      </c>
      <c r="B578" s="144" t="str">
        <f>IF(ISBLANK(DaqBook_RAW_Data!AG568),IF(DaqBook_RAW_Data!A568="","",TIMEVALUE(DaqBook_RAW_Data!A568)),TIMEVALUE(DaqBook_RAW_Data!AG568))</f>
        <v/>
      </c>
      <c r="C578" s="167" t="str">
        <f>IF(ISBLANK(DaqBook_RAW_Data!AH568),"",DaqBook_RAW_Data!AH568)</f>
        <v/>
      </c>
      <c r="D578" s="167" t="str">
        <f>IF(ISBLANK(DaqBook_RAW_Data!AI568),"",DaqBook_RAW_Data!AI568)</f>
        <v/>
      </c>
      <c r="E578" s="167" t="str">
        <f>IF(ISBLANK(DaqBook_RAW_Data!AJ568),"",DaqBook_RAW_Data!AJ568)</f>
        <v/>
      </c>
      <c r="F578" s="167" t="str">
        <f>IF(ISBLANK(DaqBook_RAW_Data!AK568),"",DaqBook_RAW_Data!AK568)</f>
        <v/>
      </c>
      <c r="G578" s="167" t="str">
        <f>IF(ISBLANK(DaqBook_RAW_Data!AL568),"",DaqBook_RAW_Data!AL568)</f>
        <v/>
      </c>
      <c r="H578" s="167" t="str">
        <f>IF(ISBLANK(DaqBook_RAW_Data!AM568),"",DaqBook_RAW_Data!AM568)</f>
        <v/>
      </c>
      <c r="I578" s="167" t="str">
        <f>IF(ISBLANK(DaqBook_RAW_Data!AN568),"",DaqBook_RAW_Data!AN568)</f>
        <v/>
      </c>
      <c r="J578" s="167" t="str">
        <f>IF(ISBLANK(DaqBook_RAW_Data!AO568),"",DaqBook_RAW_Data!AO568)</f>
        <v/>
      </c>
      <c r="K578" s="167" t="str">
        <f>IF(ISBLANK(DaqBook_RAW_Data!AP568),"",DaqBook_RAW_Data!AP568)</f>
        <v/>
      </c>
      <c r="L578" s="167" t="str">
        <f>IF(ISBLANK(DaqBook_RAW_Data!AQ568),"",DaqBook_RAW_Data!AQ568)</f>
        <v/>
      </c>
      <c r="M578" s="167" t="str">
        <f>IF(ISBLANK(DaqBook_RAW_Data!AR568),"",DaqBook_RAW_Data!AR568)</f>
        <v/>
      </c>
      <c r="N578" s="167" t="str">
        <f>IF(ISBLANK(DaqBook_RAW_Data!AS568),"",DaqBook_RAW_Data!AS568)</f>
        <v/>
      </c>
      <c r="O578" s="44"/>
      <c r="P578" s="44"/>
    </row>
    <row r="579" spans="1:16" x14ac:dyDescent="0.2">
      <c r="A579" s="58" t="e">
        <f t="shared" si="8"/>
        <v>#VALUE!</v>
      </c>
      <c r="B579" s="144" t="str">
        <f>IF(ISBLANK(DaqBook_RAW_Data!AG569),IF(DaqBook_RAW_Data!A569="","",TIMEVALUE(DaqBook_RAW_Data!A569)),TIMEVALUE(DaqBook_RAW_Data!AG569))</f>
        <v/>
      </c>
      <c r="C579" s="167" t="str">
        <f>IF(ISBLANK(DaqBook_RAW_Data!AH569),"",DaqBook_RAW_Data!AH569)</f>
        <v/>
      </c>
      <c r="D579" s="167" t="str">
        <f>IF(ISBLANK(DaqBook_RAW_Data!AI569),"",DaqBook_RAW_Data!AI569)</f>
        <v/>
      </c>
      <c r="E579" s="167" t="str">
        <f>IF(ISBLANK(DaqBook_RAW_Data!AJ569),"",DaqBook_RAW_Data!AJ569)</f>
        <v/>
      </c>
      <c r="F579" s="167" t="str">
        <f>IF(ISBLANK(DaqBook_RAW_Data!AK569),"",DaqBook_RAW_Data!AK569)</f>
        <v/>
      </c>
      <c r="G579" s="167" t="str">
        <f>IF(ISBLANK(DaqBook_RAW_Data!AL569),"",DaqBook_RAW_Data!AL569)</f>
        <v/>
      </c>
      <c r="H579" s="167" t="str">
        <f>IF(ISBLANK(DaqBook_RAW_Data!AM569),"",DaqBook_RAW_Data!AM569)</f>
        <v/>
      </c>
      <c r="I579" s="167" t="str">
        <f>IF(ISBLANK(DaqBook_RAW_Data!AN569),"",DaqBook_RAW_Data!AN569)</f>
        <v/>
      </c>
      <c r="J579" s="167" t="str">
        <f>IF(ISBLANK(DaqBook_RAW_Data!AO569),"",DaqBook_RAW_Data!AO569)</f>
        <v/>
      </c>
      <c r="K579" s="167" t="str">
        <f>IF(ISBLANK(DaqBook_RAW_Data!AP569),"",DaqBook_RAW_Data!AP569)</f>
        <v/>
      </c>
      <c r="L579" s="167" t="str">
        <f>IF(ISBLANK(DaqBook_RAW_Data!AQ569),"",DaqBook_RAW_Data!AQ569)</f>
        <v/>
      </c>
      <c r="M579" s="167" t="str">
        <f>IF(ISBLANK(DaqBook_RAW_Data!AR569),"",DaqBook_RAW_Data!AR569)</f>
        <v/>
      </c>
      <c r="N579" s="167" t="str">
        <f>IF(ISBLANK(DaqBook_RAW_Data!AS569),"",DaqBook_RAW_Data!AS569)</f>
        <v/>
      </c>
      <c r="O579" s="44"/>
      <c r="P579" s="44"/>
    </row>
    <row r="580" spans="1:16" x14ac:dyDescent="0.2">
      <c r="A580" s="58" t="e">
        <f t="shared" si="8"/>
        <v>#VALUE!</v>
      </c>
      <c r="B580" s="144" t="str">
        <f>IF(ISBLANK(DaqBook_RAW_Data!AG570),IF(DaqBook_RAW_Data!A570="","",TIMEVALUE(DaqBook_RAW_Data!A570)),TIMEVALUE(DaqBook_RAW_Data!AG570))</f>
        <v/>
      </c>
      <c r="C580" s="167" t="str">
        <f>IF(ISBLANK(DaqBook_RAW_Data!AH570),"",DaqBook_RAW_Data!AH570)</f>
        <v/>
      </c>
      <c r="D580" s="167" t="str">
        <f>IF(ISBLANK(DaqBook_RAW_Data!AI570),"",DaqBook_RAW_Data!AI570)</f>
        <v/>
      </c>
      <c r="E580" s="167" t="str">
        <f>IF(ISBLANK(DaqBook_RAW_Data!AJ570),"",DaqBook_RAW_Data!AJ570)</f>
        <v/>
      </c>
      <c r="F580" s="167" t="str">
        <f>IF(ISBLANK(DaqBook_RAW_Data!AK570),"",DaqBook_RAW_Data!AK570)</f>
        <v/>
      </c>
      <c r="G580" s="167" t="str">
        <f>IF(ISBLANK(DaqBook_RAW_Data!AL570),"",DaqBook_RAW_Data!AL570)</f>
        <v/>
      </c>
      <c r="H580" s="167" t="str">
        <f>IF(ISBLANK(DaqBook_RAW_Data!AM570),"",DaqBook_RAW_Data!AM570)</f>
        <v/>
      </c>
      <c r="I580" s="167" t="str">
        <f>IF(ISBLANK(DaqBook_RAW_Data!AN570),"",DaqBook_RAW_Data!AN570)</f>
        <v/>
      </c>
      <c r="J580" s="167" t="str">
        <f>IF(ISBLANK(DaqBook_RAW_Data!AO570),"",DaqBook_RAW_Data!AO570)</f>
        <v/>
      </c>
      <c r="K580" s="167" t="str">
        <f>IF(ISBLANK(DaqBook_RAW_Data!AP570),"",DaqBook_RAW_Data!AP570)</f>
        <v/>
      </c>
      <c r="L580" s="167" t="str">
        <f>IF(ISBLANK(DaqBook_RAW_Data!AQ570),"",DaqBook_RAW_Data!AQ570)</f>
        <v/>
      </c>
      <c r="M580" s="167" t="str">
        <f>IF(ISBLANK(DaqBook_RAW_Data!AR570),"",DaqBook_RAW_Data!AR570)</f>
        <v/>
      </c>
      <c r="N580" s="167" t="str">
        <f>IF(ISBLANK(DaqBook_RAW_Data!AS570),"",DaqBook_RAW_Data!AS570)</f>
        <v/>
      </c>
      <c r="O580" s="44"/>
      <c r="P580" s="44"/>
    </row>
    <row r="581" spans="1:16" x14ac:dyDescent="0.2">
      <c r="A581" s="58" t="e">
        <f t="shared" si="8"/>
        <v>#VALUE!</v>
      </c>
      <c r="B581" s="144" t="str">
        <f>IF(ISBLANK(DaqBook_RAW_Data!AG571),IF(DaqBook_RAW_Data!A571="","",TIMEVALUE(DaqBook_RAW_Data!A571)),TIMEVALUE(DaqBook_RAW_Data!AG571))</f>
        <v/>
      </c>
      <c r="C581" s="167" t="str">
        <f>IF(ISBLANK(DaqBook_RAW_Data!AH571),"",DaqBook_RAW_Data!AH571)</f>
        <v/>
      </c>
      <c r="D581" s="167" t="str">
        <f>IF(ISBLANK(DaqBook_RAW_Data!AI571),"",DaqBook_RAW_Data!AI571)</f>
        <v/>
      </c>
      <c r="E581" s="167" t="str">
        <f>IF(ISBLANK(DaqBook_RAW_Data!AJ571),"",DaqBook_RAW_Data!AJ571)</f>
        <v/>
      </c>
      <c r="F581" s="167" t="str">
        <f>IF(ISBLANK(DaqBook_RAW_Data!AK571),"",DaqBook_RAW_Data!AK571)</f>
        <v/>
      </c>
      <c r="G581" s="167" t="str">
        <f>IF(ISBLANK(DaqBook_RAW_Data!AL571),"",DaqBook_RAW_Data!AL571)</f>
        <v/>
      </c>
      <c r="H581" s="167" t="str">
        <f>IF(ISBLANK(DaqBook_RAW_Data!AM571),"",DaqBook_RAW_Data!AM571)</f>
        <v/>
      </c>
      <c r="I581" s="167" t="str">
        <f>IF(ISBLANK(DaqBook_RAW_Data!AN571),"",DaqBook_RAW_Data!AN571)</f>
        <v/>
      </c>
      <c r="J581" s="167" t="str">
        <f>IF(ISBLANK(DaqBook_RAW_Data!AO571),"",DaqBook_RAW_Data!AO571)</f>
        <v/>
      </c>
      <c r="K581" s="167" t="str">
        <f>IF(ISBLANK(DaqBook_RAW_Data!AP571),"",DaqBook_RAW_Data!AP571)</f>
        <v/>
      </c>
      <c r="L581" s="167" t="str">
        <f>IF(ISBLANK(DaqBook_RAW_Data!AQ571),"",DaqBook_RAW_Data!AQ571)</f>
        <v/>
      </c>
      <c r="M581" s="167" t="str">
        <f>IF(ISBLANK(DaqBook_RAW_Data!AR571),"",DaqBook_RAW_Data!AR571)</f>
        <v/>
      </c>
      <c r="N581" s="167" t="str">
        <f>IF(ISBLANK(DaqBook_RAW_Data!AS571),"",DaqBook_RAW_Data!AS571)</f>
        <v/>
      </c>
      <c r="O581" s="44"/>
      <c r="P581" s="44"/>
    </row>
    <row r="582" spans="1:16" x14ac:dyDescent="0.2">
      <c r="A582" s="58" t="e">
        <f t="shared" si="8"/>
        <v>#VALUE!</v>
      </c>
      <c r="B582" s="144" t="str">
        <f>IF(ISBLANK(DaqBook_RAW_Data!AG572),IF(DaqBook_RAW_Data!A572="","",TIMEVALUE(DaqBook_RAW_Data!A572)),TIMEVALUE(DaqBook_RAW_Data!AG572))</f>
        <v/>
      </c>
      <c r="C582" s="167" t="str">
        <f>IF(ISBLANK(DaqBook_RAW_Data!AH572),"",DaqBook_RAW_Data!AH572)</f>
        <v/>
      </c>
      <c r="D582" s="167" t="str">
        <f>IF(ISBLANK(DaqBook_RAW_Data!AI572),"",DaqBook_RAW_Data!AI572)</f>
        <v/>
      </c>
      <c r="E582" s="167" t="str">
        <f>IF(ISBLANK(DaqBook_RAW_Data!AJ572),"",DaqBook_RAW_Data!AJ572)</f>
        <v/>
      </c>
      <c r="F582" s="167" t="str">
        <f>IF(ISBLANK(DaqBook_RAW_Data!AK572),"",DaqBook_RAW_Data!AK572)</f>
        <v/>
      </c>
      <c r="G582" s="167" t="str">
        <f>IF(ISBLANK(DaqBook_RAW_Data!AL572),"",DaqBook_RAW_Data!AL572)</f>
        <v/>
      </c>
      <c r="H582" s="167" t="str">
        <f>IF(ISBLANK(DaqBook_RAW_Data!AM572),"",DaqBook_RAW_Data!AM572)</f>
        <v/>
      </c>
      <c r="I582" s="167" t="str">
        <f>IF(ISBLANK(DaqBook_RAW_Data!AN572),"",DaqBook_RAW_Data!AN572)</f>
        <v/>
      </c>
      <c r="J582" s="167" t="str">
        <f>IF(ISBLANK(DaqBook_RAW_Data!AO572),"",DaqBook_RAW_Data!AO572)</f>
        <v/>
      </c>
      <c r="K582" s="167" t="str">
        <f>IF(ISBLANK(DaqBook_RAW_Data!AP572),"",DaqBook_RAW_Data!AP572)</f>
        <v/>
      </c>
      <c r="L582" s="167" t="str">
        <f>IF(ISBLANK(DaqBook_RAW_Data!AQ572),"",DaqBook_RAW_Data!AQ572)</f>
        <v/>
      </c>
      <c r="M582" s="167" t="str">
        <f>IF(ISBLANK(DaqBook_RAW_Data!AR572),"",DaqBook_RAW_Data!AR572)</f>
        <v/>
      </c>
      <c r="N582" s="167" t="str">
        <f>IF(ISBLANK(DaqBook_RAW_Data!AS572),"",DaqBook_RAW_Data!AS572)</f>
        <v/>
      </c>
      <c r="O582" s="44"/>
      <c r="P582" s="44"/>
    </row>
    <row r="583" spans="1:16" x14ac:dyDescent="0.2">
      <c r="A583" s="58" t="e">
        <f t="shared" si="8"/>
        <v>#VALUE!</v>
      </c>
      <c r="B583" s="144" t="str">
        <f>IF(ISBLANK(DaqBook_RAW_Data!AG573),IF(DaqBook_RAW_Data!A573="","",TIMEVALUE(DaqBook_RAW_Data!A573)),TIMEVALUE(DaqBook_RAW_Data!AG573))</f>
        <v/>
      </c>
      <c r="C583" s="167" t="str">
        <f>IF(ISBLANK(DaqBook_RAW_Data!AH573),"",DaqBook_RAW_Data!AH573)</f>
        <v/>
      </c>
      <c r="D583" s="167" t="str">
        <f>IF(ISBLANK(DaqBook_RAW_Data!AI573),"",DaqBook_RAW_Data!AI573)</f>
        <v/>
      </c>
      <c r="E583" s="167" t="str">
        <f>IF(ISBLANK(DaqBook_RAW_Data!AJ573),"",DaqBook_RAW_Data!AJ573)</f>
        <v/>
      </c>
      <c r="F583" s="167" t="str">
        <f>IF(ISBLANK(DaqBook_RAW_Data!AK573),"",DaqBook_RAW_Data!AK573)</f>
        <v/>
      </c>
      <c r="G583" s="167" t="str">
        <f>IF(ISBLANK(DaqBook_RAW_Data!AL573),"",DaqBook_RAW_Data!AL573)</f>
        <v/>
      </c>
      <c r="H583" s="167" t="str">
        <f>IF(ISBLANK(DaqBook_RAW_Data!AM573),"",DaqBook_RAW_Data!AM573)</f>
        <v/>
      </c>
      <c r="I583" s="167" t="str">
        <f>IF(ISBLANK(DaqBook_RAW_Data!AN573),"",DaqBook_RAW_Data!AN573)</f>
        <v/>
      </c>
      <c r="J583" s="167" t="str">
        <f>IF(ISBLANK(DaqBook_RAW_Data!AO573),"",DaqBook_RAW_Data!AO573)</f>
        <v/>
      </c>
      <c r="K583" s="167" t="str">
        <f>IF(ISBLANK(DaqBook_RAW_Data!AP573),"",DaqBook_RAW_Data!AP573)</f>
        <v/>
      </c>
      <c r="L583" s="167" t="str">
        <f>IF(ISBLANK(DaqBook_RAW_Data!AQ573),"",DaqBook_RAW_Data!AQ573)</f>
        <v/>
      </c>
      <c r="M583" s="167" t="str">
        <f>IF(ISBLANK(DaqBook_RAW_Data!AR573),"",DaqBook_RAW_Data!AR573)</f>
        <v/>
      </c>
      <c r="N583" s="167" t="str">
        <f>IF(ISBLANK(DaqBook_RAW_Data!AS573),"",DaqBook_RAW_Data!AS573)</f>
        <v/>
      </c>
      <c r="O583" s="44"/>
      <c r="P583" s="44"/>
    </row>
    <row r="584" spans="1:16" x14ac:dyDescent="0.2">
      <c r="A584" s="58" t="e">
        <f t="shared" si="8"/>
        <v>#VALUE!</v>
      </c>
      <c r="B584" s="144" t="str">
        <f>IF(ISBLANK(DaqBook_RAW_Data!AG574),IF(DaqBook_RAW_Data!A574="","",TIMEVALUE(DaqBook_RAW_Data!A574)),TIMEVALUE(DaqBook_RAW_Data!AG574))</f>
        <v/>
      </c>
      <c r="C584" s="167" t="str">
        <f>IF(ISBLANK(DaqBook_RAW_Data!AH574),"",DaqBook_RAW_Data!AH574)</f>
        <v/>
      </c>
      <c r="D584" s="167" t="str">
        <f>IF(ISBLANK(DaqBook_RAW_Data!AI574),"",DaqBook_RAW_Data!AI574)</f>
        <v/>
      </c>
      <c r="E584" s="167" t="str">
        <f>IF(ISBLANK(DaqBook_RAW_Data!AJ574),"",DaqBook_RAW_Data!AJ574)</f>
        <v/>
      </c>
      <c r="F584" s="167" t="str">
        <f>IF(ISBLANK(DaqBook_RAW_Data!AK574),"",DaqBook_RAW_Data!AK574)</f>
        <v/>
      </c>
      <c r="G584" s="167" t="str">
        <f>IF(ISBLANK(DaqBook_RAW_Data!AL574),"",DaqBook_RAW_Data!AL574)</f>
        <v/>
      </c>
      <c r="H584" s="167" t="str">
        <f>IF(ISBLANK(DaqBook_RAW_Data!AM574),"",DaqBook_RAW_Data!AM574)</f>
        <v/>
      </c>
      <c r="I584" s="167" t="str">
        <f>IF(ISBLANK(DaqBook_RAW_Data!AN574),"",DaqBook_RAW_Data!AN574)</f>
        <v/>
      </c>
      <c r="J584" s="167" t="str">
        <f>IF(ISBLANK(DaqBook_RAW_Data!AO574),"",DaqBook_RAW_Data!AO574)</f>
        <v/>
      </c>
      <c r="K584" s="167" t="str">
        <f>IF(ISBLANK(DaqBook_RAW_Data!AP574),"",DaqBook_RAW_Data!AP574)</f>
        <v/>
      </c>
      <c r="L584" s="167" t="str">
        <f>IF(ISBLANK(DaqBook_RAW_Data!AQ574),"",DaqBook_RAW_Data!AQ574)</f>
        <v/>
      </c>
      <c r="M584" s="167" t="str">
        <f>IF(ISBLANK(DaqBook_RAW_Data!AR574),"",DaqBook_RAW_Data!AR574)</f>
        <v/>
      </c>
      <c r="N584" s="167" t="str">
        <f>IF(ISBLANK(DaqBook_RAW_Data!AS574),"",DaqBook_RAW_Data!AS574)</f>
        <v/>
      </c>
      <c r="O584" s="44"/>
      <c r="P584" s="44"/>
    </row>
    <row r="585" spans="1:16" x14ac:dyDescent="0.2">
      <c r="A585" s="58" t="e">
        <f t="shared" si="8"/>
        <v>#VALUE!</v>
      </c>
      <c r="B585" s="144" t="str">
        <f>IF(ISBLANK(DaqBook_RAW_Data!AG575),IF(DaqBook_RAW_Data!A575="","",TIMEVALUE(DaqBook_RAW_Data!A575)),TIMEVALUE(DaqBook_RAW_Data!AG575))</f>
        <v/>
      </c>
      <c r="C585" s="167" t="str">
        <f>IF(ISBLANK(DaqBook_RAW_Data!AH575),"",DaqBook_RAW_Data!AH575)</f>
        <v/>
      </c>
      <c r="D585" s="167" t="str">
        <f>IF(ISBLANK(DaqBook_RAW_Data!AI575),"",DaqBook_RAW_Data!AI575)</f>
        <v/>
      </c>
      <c r="E585" s="167" t="str">
        <f>IF(ISBLANK(DaqBook_RAW_Data!AJ575),"",DaqBook_RAW_Data!AJ575)</f>
        <v/>
      </c>
      <c r="F585" s="167" t="str">
        <f>IF(ISBLANK(DaqBook_RAW_Data!AK575),"",DaqBook_RAW_Data!AK575)</f>
        <v/>
      </c>
      <c r="G585" s="167" t="str">
        <f>IF(ISBLANK(DaqBook_RAW_Data!AL575),"",DaqBook_RAW_Data!AL575)</f>
        <v/>
      </c>
      <c r="H585" s="167" t="str">
        <f>IF(ISBLANK(DaqBook_RAW_Data!AM575),"",DaqBook_RAW_Data!AM575)</f>
        <v/>
      </c>
      <c r="I585" s="167" t="str">
        <f>IF(ISBLANK(DaqBook_RAW_Data!AN575),"",DaqBook_RAW_Data!AN575)</f>
        <v/>
      </c>
      <c r="J585" s="167" t="str">
        <f>IF(ISBLANK(DaqBook_RAW_Data!AO575),"",DaqBook_RAW_Data!AO575)</f>
        <v/>
      </c>
      <c r="K585" s="167" t="str">
        <f>IF(ISBLANK(DaqBook_RAW_Data!AP575),"",DaqBook_RAW_Data!AP575)</f>
        <v/>
      </c>
      <c r="L585" s="167" t="str">
        <f>IF(ISBLANK(DaqBook_RAW_Data!AQ575),"",DaqBook_RAW_Data!AQ575)</f>
        <v/>
      </c>
      <c r="M585" s="167" t="str">
        <f>IF(ISBLANK(DaqBook_RAW_Data!AR575),"",DaqBook_RAW_Data!AR575)</f>
        <v/>
      </c>
      <c r="N585" s="167" t="str">
        <f>IF(ISBLANK(DaqBook_RAW_Data!AS575),"",DaqBook_RAW_Data!AS575)</f>
        <v/>
      </c>
      <c r="O585" s="44"/>
      <c r="P585" s="44"/>
    </row>
    <row r="586" spans="1:16" x14ac:dyDescent="0.2">
      <c r="A586" s="58" t="e">
        <f t="shared" si="8"/>
        <v>#VALUE!</v>
      </c>
      <c r="B586" s="144" t="str">
        <f>IF(ISBLANK(DaqBook_RAW_Data!AG576),IF(DaqBook_RAW_Data!A576="","",TIMEVALUE(DaqBook_RAW_Data!A576)),TIMEVALUE(DaqBook_RAW_Data!AG576))</f>
        <v/>
      </c>
      <c r="C586" s="167" t="str">
        <f>IF(ISBLANK(DaqBook_RAW_Data!AH576),"",DaqBook_RAW_Data!AH576)</f>
        <v/>
      </c>
      <c r="D586" s="167" t="str">
        <f>IF(ISBLANK(DaqBook_RAW_Data!AI576),"",DaqBook_RAW_Data!AI576)</f>
        <v/>
      </c>
      <c r="E586" s="167" t="str">
        <f>IF(ISBLANK(DaqBook_RAW_Data!AJ576),"",DaqBook_RAW_Data!AJ576)</f>
        <v/>
      </c>
      <c r="F586" s="167" t="str">
        <f>IF(ISBLANK(DaqBook_RAW_Data!AK576),"",DaqBook_RAW_Data!AK576)</f>
        <v/>
      </c>
      <c r="G586" s="167" t="str">
        <f>IF(ISBLANK(DaqBook_RAW_Data!AL576),"",DaqBook_RAW_Data!AL576)</f>
        <v/>
      </c>
      <c r="H586" s="167" t="str">
        <f>IF(ISBLANK(DaqBook_RAW_Data!AM576),"",DaqBook_RAW_Data!AM576)</f>
        <v/>
      </c>
      <c r="I586" s="167" t="str">
        <f>IF(ISBLANK(DaqBook_RAW_Data!AN576),"",DaqBook_RAW_Data!AN576)</f>
        <v/>
      </c>
      <c r="J586" s="167" t="str">
        <f>IF(ISBLANK(DaqBook_RAW_Data!AO576),"",DaqBook_RAW_Data!AO576)</f>
        <v/>
      </c>
      <c r="K586" s="167" t="str">
        <f>IF(ISBLANK(DaqBook_RAW_Data!AP576),"",DaqBook_RAW_Data!AP576)</f>
        <v/>
      </c>
      <c r="L586" s="167" t="str">
        <f>IF(ISBLANK(DaqBook_RAW_Data!AQ576),"",DaqBook_RAW_Data!AQ576)</f>
        <v/>
      </c>
      <c r="M586" s="167" t="str">
        <f>IF(ISBLANK(DaqBook_RAW_Data!AR576),"",DaqBook_RAW_Data!AR576)</f>
        <v/>
      </c>
      <c r="N586" s="167" t="str">
        <f>IF(ISBLANK(DaqBook_RAW_Data!AS576),"",DaqBook_RAW_Data!AS576)</f>
        <v/>
      </c>
      <c r="O586" s="44"/>
      <c r="P586" s="44"/>
    </row>
    <row r="587" spans="1:16" x14ac:dyDescent="0.2">
      <c r="A587" s="58" t="e">
        <f t="shared" si="8"/>
        <v>#VALUE!</v>
      </c>
      <c r="B587" s="144" t="str">
        <f>IF(ISBLANK(DaqBook_RAW_Data!AG577),IF(DaqBook_RAW_Data!A577="","",TIMEVALUE(DaqBook_RAW_Data!A577)),TIMEVALUE(DaqBook_RAW_Data!AG577))</f>
        <v/>
      </c>
      <c r="C587" s="167" t="str">
        <f>IF(ISBLANK(DaqBook_RAW_Data!AH577),"",DaqBook_RAW_Data!AH577)</f>
        <v/>
      </c>
      <c r="D587" s="167" t="str">
        <f>IF(ISBLANK(DaqBook_RAW_Data!AI577),"",DaqBook_RAW_Data!AI577)</f>
        <v/>
      </c>
      <c r="E587" s="167" t="str">
        <f>IF(ISBLANK(DaqBook_RAW_Data!AJ577),"",DaqBook_RAW_Data!AJ577)</f>
        <v/>
      </c>
      <c r="F587" s="167" t="str">
        <f>IF(ISBLANK(DaqBook_RAW_Data!AK577),"",DaqBook_RAW_Data!AK577)</f>
        <v/>
      </c>
      <c r="G587" s="167" t="str">
        <f>IF(ISBLANK(DaqBook_RAW_Data!AL577),"",DaqBook_RAW_Data!AL577)</f>
        <v/>
      </c>
      <c r="H587" s="167" t="str">
        <f>IF(ISBLANK(DaqBook_RAW_Data!AM577),"",DaqBook_RAW_Data!AM577)</f>
        <v/>
      </c>
      <c r="I587" s="167" t="str">
        <f>IF(ISBLANK(DaqBook_RAW_Data!AN577),"",DaqBook_RAW_Data!AN577)</f>
        <v/>
      </c>
      <c r="J587" s="167" t="str">
        <f>IF(ISBLANK(DaqBook_RAW_Data!AO577),"",DaqBook_RAW_Data!AO577)</f>
        <v/>
      </c>
      <c r="K587" s="167" t="str">
        <f>IF(ISBLANK(DaqBook_RAW_Data!AP577),"",DaqBook_RAW_Data!AP577)</f>
        <v/>
      </c>
      <c r="L587" s="167" t="str">
        <f>IF(ISBLANK(DaqBook_RAW_Data!AQ577),"",DaqBook_RAW_Data!AQ577)</f>
        <v/>
      </c>
      <c r="M587" s="167" t="str">
        <f>IF(ISBLANK(DaqBook_RAW_Data!AR577),"",DaqBook_RAW_Data!AR577)</f>
        <v/>
      </c>
      <c r="N587" s="167" t="str">
        <f>IF(ISBLANK(DaqBook_RAW_Data!AS577),"",DaqBook_RAW_Data!AS577)</f>
        <v/>
      </c>
      <c r="O587" s="44"/>
      <c r="P587" s="44"/>
    </row>
    <row r="588" spans="1:16" x14ac:dyDescent="0.2">
      <c r="A588" s="58" t="e">
        <f t="shared" si="8"/>
        <v>#VALUE!</v>
      </c>
      <c r="B588" s="144" t="str">
        <f>IF(ISBLANK(DaqBook_RAW_Data!AG578),IF(DaqBook_RAW_Data!A578="","",TIMEVALUE(DaqBook_RAW_Data!A578)),TIMEVALUE(DaqBook_RAW_Data!AG578))</f>
        <v/>
      </c>
      <c r="C588" s="167" t="str">
        <f>IF(ISBLANK(DaqBook_RAW_Data!AH578),"",DaqBook_RAW_Data!AH578)</f>
        <v/>
      </c>
      <c r="D588" s="167" t="str">
        <f>IF(ISBLANK(DaqBook_RAW_Data!AI578),"",DaqBook_RAW_Data!AI578)</f>
        <v/>
      </c>
      <c r="E588" s="167" t="str">
        <f>IF(ISBLANK(DaqBook_RAW_Data!AJ578),"",DaqBook_RAW_Data!AJ578)</f>
        <v/>
      </c>
      <c r="F588" s="167" t="str">
        <f>IF(ISBLANK(DaqBook_RAW_Data!AK578),"",DaqBook_RAW_Data!AK578)</f>
        <v/>
      </c>
      <c r="G588" s="167" t="str">
        <f>IF(ISBLANK(DaqBook_RAW_Data!AL578),"",DaqBook_RAW_Data!AL578)</f>
        <v/>
      </c>
      <c r="H588" s="167" t="str">
        <f>IF(ISBLANK(DaqBook_RAW_Data!AM578),"",DaqBook_RAW_Data!AM578)</f>
        <v/>
      </c>
      <c r="I588" s="167" t="str">
        <f>IF(ISBLANK(DaqBook_RAW_Data!AN578),"",DaqBook_RAW_Data!AN578)</f>
        <v/>
      </c>
      <c r="J588" s="167" t="str">
        <f>IF(ISBLANK(DaqBook_RAW_Data!AO578),"",DaqBook_RAW_Data!AO578)</f>
        <v/>
      </c>
      <c r="K588" s="167" t="str">
        <f>IF(ISBLANK(DaqBook_RAW_Data!AP578),"",DaqBook_RAW_Data!AP578)</f>
        <v/>
      </c>
      <c r="L588" s="167" t="str">
        <f>IF(ISBLANK(DaqBook_RAW_Data!AQ578),"",DaqBook_RAW_Data!AQ578)</f>
        <v/>
      </c>
      <c r="M588" s="167" t="str">
        <f>IF(ISBLANK(DaqBook_RAW_Data!AR578),"",DaqBook_RAW_Data!AR578)</f>
        <v/>
      </c>
      <c r="N588" s="167" t="str">
        <f>IF(ISBLANK(DaqBook_RAW_Data!AS578),"",DaqBook_RAW_Data!AS578)</f>
        <v/>
      </c>
      <c r="O588" s="44"/>
      <c r="P588" s="44"/>
    </row>
    <row r="589" spans="1:16" x14ac:dyDescent="0.2">
      <c r="A589" s="58" t="e">
        <f t="shared" si="8"/>
        <v>#VALUE!</v>
      </c>
      <c r="B589" s="144" t="str">
        <f>IF(ISBLANK(DaqBook_RAW_Data!AG579),IF(DaqBook_RAW_Data!A579="","",TIMEVALUE(DaqBook_RAW_Data!A579)),TIMEVALUE(DaqBook_RAW_Data!AG579))</f>
        <v/>
      </c>
      <c r="C589" s="167" t="str">
        <f>IF(ISBLANK(DaqBook_RAW_Data!AH579),"",DaqBook_RAW_Data!AH579)</f>
        <v/>
      </c>
      <c r="D589" s="167" t="str">
        <f>IF(ISBLANK(DaqBook_RAW_Data!AI579),"",DaqBook_RAW_Data!AI579)</f>
        <v/>
      </c>
      <c r="E589" s="167" t="str">
        <f>IF(ISBLANK(DaqBook_RAW_Data!AJ579),"",DaqBook_RAW_Data!AJ579)</f>
        <v/>
      </c>
      <c r="F589" s="167" t="str">
        <f>IF(ISBLANK(DaqBook_RAW_Data!AK579),"",DaqBook_RAW_Data!AK579)</f>
        <v/>
      </c>
      <c r="G589" s="167" t="str">
        <f>IF(ISBLANK(DaqBook_RAW_Data!AL579),"",DaqBook_RAW_Data!AL579)</f>
        <v/>
      </c>
      <c r="H589" s="167" t="str">
        <f>IF(ISBLANK(DaqBook_RAW_Data!AM579),"",DaqBook_RAW_Data!AM579)</f>
        <v/>
      </c>
      <c r="I589" s="167" t="str">
        <f>IF(ISBLANK(DaqBook_RAW_Data!AN579),"",DaqBook_RAW_Data!AN579)</f>
        <v/>
      </c>
      <c r="J589" s="167" t="str">
        <f>IF(ISBLANK(DaqBook_RAW_Data!AO579),"",DaqBook_RAW_Data!AO579)</f>
        <v/>
      </c>
      <c r="K589" s="167" t="str">
        <f>IF(ISBLANK(DaqBook_RAW_Data!AP579),"",DaqBook_RAW_Data!AP579)</f>
        <v/>
      </c>
      <c r="L589" s="167" t="str">
        <f>IF(ISBLANK(DaqBook_RAW_Data!AQ579),"",DaqBook_RAW_Data!AQ579)</f>
        <v/>
      </c>
      <c r="M589" s="167" t="str">
        <f>IF(ISBLANK(DaqBook_RAW_Data!AR579),"",DaqBook_RAW_Data!AR579)</f>
        <v/>
      </c>
      <c r="N589" s="167" t="str">
        <f>IF(ISBLANK(DaqBook_RAW_Data!AS579),"",DaqBook_RAW_Data!AS579)</f>
        <v/>
      </c>
      <c r="O589" s="44"/>
      <c r="P589" s="44"/>
    </row>
    <row r="590" spans="1:16" x14ac:dyDescent="0.2">
      <c r="A590" s="58" t="e">
        <f t="shared" si="8"/>
        <v>#VALUE!</v>
      </c>
      <c r="B590" s="144" t="str">
        <f>IF(ISBLANK(DaqBook_RAW_Data!AG580),IF(DaqBook_RAW_Data!A580="","",TIMEVALUE(DaqBook_RAW_Data!A580)),TIMEVALUE(DaqBook_RAW_Data!AG580))</f>
        <v/>
      </c>
      <c r="C590" s="167" t="str">
        <f>IF(ISBLANK(DaqBook_RAW_Data!AH580),"",DaqBook_RAW_Data!AH580)</f>
        <v/>
      </c>
      <c r="D590" s="167" t="str">
        <f>IF(ISBLANK(DaqBook_RAW_Data!AI580),"",DaqBook_RAW_Data!AI580)</f>
        <v/>
      </c>
      <c r="E590" s="167" t="str">
        <f>IF(ISBLANK(DaqBook_RAW_Data!AJ580),"",DaqBook_RAW_Data!AJ580)</f>
        <v/>
      </c>
      <c r="F590" s="167" t="str">
        <f>IF(ISBLANK(DaqBook_RAW_Data!AK580),"",DaqBook_RAW_Data!AK580)</f>
        <v/>
      </c>
      <c r="G590" s="167" t="str">
        <f>IF(ISBLANK(DaqBook_RAW_Data!AL580),"",DaqBook_RAW_Data!AL580)</f>
        <v/>
      </c>
      <c r="H590" s="167" t="str">
        <f>IF(ISBLANK(DaqBook_RAW_Data!AM580),"",DaqBook_RAW_Data!AM580)</f>
        <v/>
      </c>
      <c r="I590" s="167" t="str">
        <f>IF(ISBLANK(DaqBook_RAW_Data!AN580),"",DaqBook_RAW_Data!AN580)</f>
        <v/>
      </c>
      <c r="J590" s="167" t="str">
        <f>IF(ISBLANK(DaqBook_RAW_Data!AO580),"",DaqBook_RAW_Data!AO580)</f>
        <v/>
      </c>
      <c r="K590" s="167" t="str">
        <f>IF(ISBLANK(DaqBook_RAW_Data!AP580),"",DaqBook_RAW_Data!AP580)</f>
        <v/>
      </c>
      <c r="L590" s="167" t="str">
        <f>IF(ISBLANK(DaqBook_RAW_Data!AQ580),"",DaqBook_RAW_Data!AQ580)</f>
        <v/>
      </c>
      <c r="M590" s="167" t="str">
        <f>IF(ISBLANK(DaqBook_RAW_Data!AR580),"",DaqBook_RAW_Data!AR580)</f>
        <v/>
      </c>
      <c r="N590" s="167" t="str">
        <f>IF(ISBLANK(DaqBook_RAW_Data!AS580),"",DaqBook_RAW_Data!AS580)</f>
        <v/>
      </c>
      <c r="O590" s="44"/>
      <c r="P590" s="44"/>
    </row>
    <row r="591" spans="1:16" x14ac:dyDescent="0.2">
      <c r="A591" s="58" t="e">
        <f t="shared" ref="A591:A654" si="9">HOUR(B591)&amp;":"&amp;MINUTE(B591)</f>
        <v>#VALUE!</v>
      </c>
      <c r="B591" s="144" t="str">
        <f>IF(ISBLANK(DaqBook_RAW_Data!AG581),IF(DaqBook_RAW_Data!A581="","",TIMEVALUE(DaqBook_RAW_Data!A581)),TIMEVALUE(DaqBook_RAW_Data!AG581))</f>
        <v/>
      </c>
      <c r="C591" s="167" t="str">
        <f>IF(ISBLANK(DaqBook_RAW_Data!AH581),"",DaqBook_RAW_Data!AH581)</f>
        <v/>
      </c>
      <c r="D591" s="167" t="str">
        <f>IF(ISBLANK(DaqBook_RAW_Data!AI581),"",DaqBook_RAW_Data!AI581)</f>
        <v/>
      </c>
      <c r="E591" s="167" t="str">
        <f>IF(ISBLANK(DaqBook_RAW_Data!AJ581),"",DaqBook_RAW_Data!AJ581)</f>
        <v/>
      </c>
      <c r="F591" s="167" t="str">
        <f>IF(ISBLANK(DaqBook_RAW_Data!AK581),"",DaqBook_RAW_Data!AK581)</f>
        <v/>
      </c>
      <c r="G591" s="167" t="str">
        <f>IF(ISBLANK(DaqBook_RAW_Data!AL581),"",DaqBook_RAW_Data!AL581)</f>
        <v/>
      </c>
      <c r="H591" s="167" t="str">
        <f>IF(ISBLANK(DaqBook_RAW_Data!AM581),"",DaqBook_RAW_Data!AM581)</f>
        <v/>
      </c>
      <c r="I591" s="167" t="str">
        <f>IF(ISBLANK(DaqBook_RAW_Data!AN581),"",DaqBook_RAW_Data!AN581)</f>
        <v/>
      </c>
      <c r="J591" s="167" t="str">
        <f>IF(ISBLANK(DaqBook_RAW_Data!AO581),"",DaqBook_RAW_Data!AO581)</f>
        <v/>
      </c>
      <c r="K591" s="167" t="str">
        <f>IF(ISBLANK(DaqBook_RAW_Data!AP581),"",DaqBook_RAW_Data!AP581)</f>
        <v/>
      </c>
      <c r="L591" s="167" t="str">
        <f>IF(ISBLANK(DaqBook_RAW_Data!AQ581),"",DaqBook_RAW_Data!AQ581)</f>
        <v/>
      </c>
      <c r="M591" s="167" t="str">
        <f>IF(ISBLANK(DaqBook_RAW_Data!AR581),"",DaqBook_RAW_Data!AR581)</f>
        <v/>
      </c>
      <c r="N591" s="167" t="str">
        <f>IF(ISBLANK(DaqBook_RAW_Data!AS581),"",DaqBook_RAW_Data!AS581)</f>
        <v/>
      </c>
      <c r="O591" s="44"/>
      <c r="P591" s="44"/>
    </row>
    <row r="592" spans="1:16" x14ac:dyDescent="0.2">
      <c r="A592" s="58" t="e">
        <f t="shared" si="9"/>
        <v>#VALUE!</v>
      </c>
      <c r="B592" s="144" t="str">
        <f>IF(ISBLANK(DaqBook_RAW_Data!AG582),IF(DaqBook_RAW_Data!A582="","",TIMEVALUE(DaqBook_RAW_Data!A582)),TIMEVALUE(DaqBook_RAW_Data!AG582))</f>
        <v/>
      </c>
      <c r="C592" s="167" t="str">
        <f>IF(ISBLANK(DaqBook_RAW_Data!AH582),"",DaqBook_RAW_Data!AH582)</f>
        <v/>
      </c>
      <c r="D592" s="167" t="str">
        <f>IF(ISBLANK(DaqBook_RAW_Data!AI582),"",DaqBook_RAW_Data!AI582)</f>
        <v/>
      </c>
      <c r="E592" s="167" t="str">
        <f>IF(ISBLANK(DaqBook_RAW_Data!AJ582),"",DaqBook_RAW_Data!AJ582)</f>
        <v/>
      </c>
      <c r="F592" s="167" t="str">
        <f>IF(ISBLANK(DaqBook_RAW_Data!AK582),"",DaqBook_RAW_Data!AK582)</f>
        <v/>
      </c>
      <c r="G592" s="167" t="str">
        <f>IF(ISBLANK(DaqBook_RAW_Data!AL582),"",DaqBook_RAW_Data!AL582)</f>
        <v/>
      </c>
      <c r="H592" s="167" t="str">
        <f>IF(ISBLANK(DaqBook_RAW_Data!AM582),"",DaqBook_RAW_Data!AM582)</f>
        <v/>
      </c>
      <c r="I592" s="167" t="str">
        <f>IF(ISBLANK(DaqBook_RAW_Data!AN582),"",DaqBook_RAW_Data!AN582)</f>
        <v/>
      </c>
      <c r="J592" s="167" t="str">
        <f>IF(ISBLANK(DaqBook_RAW_Data!AO582),"",DaqBook_RAW_Data!AO582)</f>
        <v/>
      </c>
      <c r="K592" s="167" t="str">
        <f>IF(ISBLANK(DaqBook_RAW_Data!AP582),"",DaqBook_RAW_Data!AP582)</f>
        <v/>
      </c>
      <c r="L592" s="167" t="str">
        <f>IF(ISBLANK(DaqBook_RAW_Data!AQ582),"",DaqBook_RAW_Data!AQ582)</f>
        <v/>
      </c>
      <c r="M592" s="167" t="str">
        <f>IF(ISBLANK(DaqBook_RAW_Data!AR582),"",DaqBook_RAW_Data!AR582)</f>
        <v/>
      </c>
      <c r="N592" s="167" t="str">
        <f>IF(ISBLANK(DaqBook_RAW_Data!AS582),"",DaqBook_RAW_Data!AS582)</f>
        <v/>
      </c>
      <c r="O592" s="44"/>
      <c r="P592" s="44"/>
    </row>
    <row r="593" spans="1:16" x14ac:dyDescent="0.2">
      <c r="A593" s="58" t="e">
        <f t="shared" si="9"/>
        <v>#VALUE!</v>
      </c>
      <c r="B593" s="144" t="str">
        <f>IF(ISBLANK(DaqBook_RAW_Data!AG583),IF(DaqBook_RAW_Data!A583="","",TIMEVALUE(DaqBook_RAW_Data!A583)),TIMEVALUE(DaqBook_RAW_Data!AG583))</f>
        <v/>
      </c>
      <c r="C593" s="167" t="str">
        <f>IF(ISBLANK(DaqBook_RAW_Data!AH583),"",DaqBook_RAW_Data!AH583)</f>
        <v/>
      </c>
      <c r="D593" s="167" t="str">
        <f>IF(ISBLANK(DaqBook_RAW_Data!AI583),"",DaqBook_RAW_Data!AI583)</f>
        <v/>
      </c>
      <c r="E593" s="167" t="str">
        <f>IF(ISBLANK(DaqBook_RAW_Data!AJ583),"",DaqBook_RAW_Data!AJ583)</f>
        <v/>
      </c>
      <c r="F593" s="167" t="str">
        <f>IF(ISBLANK(DaqBook_RAW_Data!AK583),"",DaqBook_RAW_Data!AK583)</f>
        <v/>
      </c>
      <c r="G593" s="167" t="str">
        <f>IF(ISBLANK(DaqBook_RAW_Data!AL583),"",DaqBook_RAW_Data!AL583)</f>
        <v/>
      </c>
      <c r="H593" s="167" t="str">
        <f>IF(ISBLANK(DaqBook_RAW_Data!AM583),"",DaqBook_RAW_Data!AM583)</f>
        <v/>
      </c>
      <c r="I593" s="167" t="str">
        <f>IF(ISBLANK(DaqBook_RAW_Data!AN583),"",DaqBook_RAW_Data!AN583)</f>
        <v/>
      </c>
      <c r="J593" s="167" t="str">
        <f>IF(ISBLANK(DaqBook_RAW_Data!AO583),"",DaqBook_RAW_Data!AO583)</f>
        <v/>
      </c>
      <c r="K593" s="167" t="str">
        <f>IF(ISBLANK(DaqBook_RAW_Data!AP583),"",DaqBook_RAW_Data!AP583)</f>
        <v/>
      </c>
      <c r="L593" s="167" t="str">
        <f>IF(ISBLANK(DaqBook_RAW_Data!AQ583),"",DaqBook_RAW_Data!AQ583)</f>
        <v/>
      </c>
      <c r="M593" s="167" t="str">
        <f>IF(ISBLANK(DaqBook_RAW_Data!AR583),"",DaqBook_RAW_Data!AR583)</f>
        <v/>
      </c>
      <c r="N593" s="167" t="str">
        <f>IF(ISBLANK(DaqBook_RAW_Data!AS583),"",DaqBook_RAW_Data!AS583)</f>
        <v/>
      </c>
      <c r="O593" s="44"/>
      <c r="P593" s="44"/>
    </row>
    <row r="594" spans="1:16" x14ac:dyDescent="0.2">
      <c r="A594" s="58" t="e">
        <f t="shared" si="9"/>
        <v>#VALUE!</v>
      </c>
      <c r="B594" s="144" t="str">
        <f>IF(ISBLANK(DaqBook_RAW_Data!AG584),IF(DaqBook_RAW_Data!A584="","",TIMEVALUE(DaqBook_RAW_Data!A584)),TIMEVALUE(DaqBook_RAW_Data!AG584))</f>
        <v/>
      </c>
      <c r="C594" s="167" t="str">
        <f>IF(ISBLANK(DaqBook_RAW_Data!AH584),"",DaqBook_RAW_Data!AH584)</f>
        <v/>
      </c>
      <c r="D594" s="167" t="str">
        <f>IF(ISBLANK(DaqBook_RAW_Data!AI584),"",DaqBook_RAW_Data!AI584)</f>
        <v/>
      </c>
      <c r="E594" s="167" t="str">
        <f>IF(ISBLANK(DaqBook_RAW_Data!AJ584),"",DaqBook_RAW_Data!AJ584)</f>
        <v/>
      </c>
      <c r="F594" s="167" t="str">
        <f>IF(ISBLANK(DaqBook_RAW_Data!AK584),"",DaqBook_RAW_Data!AK584)</f>
        <v/>
      </c>
      <c r="G594" s="167" t="str">
        <f>IF(ISBLANK(DaqBook_RAW_Data!AL584),"",DaqBook_RAW_Data!AL584)</f>
        <v/>
      </c>
      <c r="H594" s="167" t="str">
        <f>IF(ISBLANK(DaqBook_RAW_Data!AM584),"",DaqBook_RAW_Data!AM584)</f>
        <v/>
      </c>
      <c r="I594" s="167" t="str">
        <f>IF(ISBLANK(DaqBook_RAW_Data!AN584),"",DaqBook_RAW_Data!AN584)</f>
        <v/>
      </c>
      <c r="J594" s="167" t="str">
        <f>IF(ISBLANK(DaqBook_RAW_Data!AO584),"",DaqBook_RAW_Data!AO584)</f>
        <v/>
      </c>
      <c r="K594" s="167" t="str">
        <f>IF(ISBLANK(DaqBook_RAW_Data!AP584),"",DaqBook_RAW_Data!AP584)</f>
        <v/>
      </c>
      <c r="L594" s="167" t="str">
        <f>IF(ISBLANK(DaqBook_RAW_Data!AQ584),"",DaqBook_RAW_Data!AQ584)</f>
        <v/>
      </c>
      <c r="M594" s="167" t="str">
        <f>IF(ISBLANK(DaqBook_RAW_Data!AR584),"",DaqBook_RAW_Data!AR584)</f>
        <v/>
      </c>
      <c r="N594" s="167" t="str">
        <f>IF(ISBLANK(DaqBook_RAW_Data!AS584),"",DaqBook_RAW_Data!AS584)</f>
        <v/>
      </c>
      <c r="O594" s="44"/>
      <c r="P594" s="44"/>
    </row>
    <row r="595" spans="1:16" x14ac:dyDescent="0.2">
      <c r="A595" s="58" t="e">
        <f t="shared" si="9"/>
        <v>#VALUE!</v>
      </c>
      <c r="B595" s="144" t="str">
        <f>IF(ISBLANK(DaqBook_RAW_Data!AG585),IF(DaqBook_RAW_Data!A585="","",TIMEVALUE(DaqBook_RAW_Data!A585)),TIMEVALUE(DaqBook_RAW_Data!AG585))</f>
        <v/>
      </c>
      <c r="C595" s="167" t="str">
        <f>IF(ISBLANK(DaqBook_RAW_Data!AH585),"",DaqBook_RAW_Data!AH585)</f>
        <v/>
      </c>
      <c r="D595" s="167" t="str">
        <f>IF(ISBLANK(DaqBook_RAW_Data!AI585),"",DaqBook_RAW_Data!AI585)</f>
        <v/>
      </c>
      <c r="E595" s="167" t="str">
        <f>IF(ISBLANK(DaqBook_RAW_Data!AJ585),"",DaqBook_RAW_Data!AJ585)</f>
        <v/>
      </c>
      <c r="F595" s="167" t="str">
        <f>IF(ISBLANK(DaqBook_RAW_Data!AK585),"",DaqBook_RAW_Data!AK585)</f>
        <v/>
      </c>
      <c r="G595" s="167" t="str">
        <f>IF(ISBLANK(DaqBook_RAW_Data!AL585),"",DaqBook_RAW_Data!AL585)</f>
        <v/>
      </c>
      <c r="H595" s="167" t="str">
        <f>IF(ISBLANK(DaqBook_RAW_Data!AM585),"",DaqBook_RAW_Data!AM585)</f>
        <v/>
      </c>
      <c r="I595" s="167" t="str">
        <f>IF(ISBLANK(DaqBook_RAW_Data!AN585),"",DaqBook_RAW_Data!AN585)</f>
        <v/>
      </c>
      <c r="J595" s="167" t="str">
        <f>IF(ISBLANK(DaqBook_RAW_Data!AO585),"",DaqBook_RAW_Data!AO585)</f>
        <v/>
      </c>
      <c r="K595" s="167" t="str">
        <f>IF(ISBLANK(DaqBook_RAW_Data!AP585),"",DaqBook_RAW_Data!AP585)</f>
        <v/>
      </c>
      <c r="L595" s="167" t="str">
        <f>IF(ISBLANK(DaqBook_RAW_Data!AQ585),"",DaqBook_RAW_Data!AQ585)</f>
        <v/>
      </c>
      <c r="M595" s="167" t="str">
        <f>IF(ISBLANK(DaqBook_RAW_Data!AR585),"",DaqBook_RAW_Data!AR585)</f>
        <v/>
      </c>
      <c r="N595" s="167" t="str">
        <f>IF(ISBLANK(DaqBook_RAW_Data!AS585),"",DaqBook_RAW_Data!AS585)</f>
        <v/>
      </c>
      <c r="O595" s="44"/>
      <c r="P595" s="44"/>
    </row>
    <row r="596" spans="1:16" x14ac:dyDescent="0.2">
      <c r="A596" s="58" t="e">
        <f t="shared" si="9"/>
        <v>#VALUE!</v>
      </c>
      <c r="B596" s="144" t="str">
        <f>IF(ISBLANK(DaqBook_RAW_Data!AG586),IF(DaqBook_RAW_Data!A586="","",TIMEVALUE(DaqBook_RAW_Data!A586)),TIMEVALUE(DaqBook_RAW_Data!AG586))</f>
        <v/>
      </c>
      <c r="C596" s="167" t="str">
        <f>IF(ISBLANK(DaqBook_RAW_Data!AH586),"",DaqBook_RAW_Data!AH586)</f>
        <v/>
      </c>
      <c r="D596" s="167" t="str">
        <f>IF(ISBLANK(DaqBook_RAW_Data!AI586),"",DaqBook_RAW_Data!AI586)</f>
        <v/>
      </c>
      <c r="E596" s="167" t="str">
        <f>IF(ISBLANK(DaqBook_RAW_Data!AJ586),"",DaqBook_RAW_Data!AJ586)</f>
        <v/>
      </c>
      <c r="F596" s="167" t="str">
        <f>IF(ISBLANK(DaqBook_RAW_Data!AK586),"",DaqBook_RAW_Data!AK586)</f>
        <v/>
      </c>
      <c r="G596" s="167" t="str">
        <f>IF(ISBLANK(DaqBook_RAW_Data!AL586),"",DaqBook_RAW_Data!AL586)</f>
        <v/>
      </c>
      <c r="H596" s="167" t="str">
        <f>IF(ISBLANK(DaqBook_RAW_Data!AM586),"",DaqBook_RAW_Data!AM586)</f>
        <v/>
      </c>
      <c r="I596" s="167" t="str">
        <f>IF(ISBLANK(DaqBook_RAW_Data!AN586),"",DaqBook_RAW_Data!AN586)</f>
        <v/>
      </c>
      <c r="J596" s="167" t="str">
        <f>IF(ISBLANK(DaqBook_RAW_Data!AO586),"",DaqBook_RAW_Data!AO586)</f>
        <v/>
      </c>
      <c r="K596" s="167" t="str">
        <f>IF(ISBLANK(DaqBook_RAW_Data!AP586),"",DaqBook_RAW_Data!AP586)</f>
        <v/>
      </c>
      <c r="L596" s="167" t="str">
        <f>IF(ISBLANK(DaqBook_RAW_Data!AQ586),"",DaqBook_RAW_Data!AQ586)</f>
        <v/>
      </c>
      <c r="M596" s="167" t="str">
        <f>IF(ISBLANK(DaqBook_RAW_Data!AR586),"",DaqBook_RAW_Data!AR586)</f>
        <v/>
      </c>
      <c r="N596" s="167" t="str">
        <f>IF(ISBLANK(DaqBook_RAW_Data!AS586),"",DaqBook_RAW_Data!AS586)</f>
        <v/>
      </c>
      <c r="O596" s="44"/>
      <c r="P596" s="44"/>
    </row>
    <row r="597" spans="1:16" x14ac:dyDescent="0.2">
      <c r="A597" s="58" t="e">
        <f t="shared" si="9"/>
        <v>#VALUE!</v>
      </c>
      <c r="B597" s="144" t="str">
        <f>IF(ISBLANK(DaqBook_RAW_Data!AG587),IF(DaqBook_RAW_Data!A587="","",TIMEVALUE(DaqBook_RAW_Data!A587)),TIMEVALUE(DaqBook_RAW_Data!AG587))</f>
        <v/>
      </c>
      <c r="C597" s="167" t="str">
        <f>IF(ISBLANK(DaqBook_RAW_Data!AH587),"",DaqBook_RAW_Data!AH587)</f>
        <v/>
      </c>
      <c r="D597" s="167" t="str">
        <f>IF(ISBLANK(DaqBook_RAW_Data!AI587),"",DaqBook_RAW_Data!AI587)</f>
        <v/>
      </c>
      <c r="E597" s="167" t="str">
        <f>IF(ISBLANK(DaqBook_RAW_Data!AJ587),"",DaqBook_RAW_Data!AJ587)</f>
        <v/>
      </c>
      <c r="F597" s="167" t="str">
        <f>IF(ISBLANK(DaqBook_RAW_Data!AK587),"",DaqBook_RAW_Data!AK587)</f>
        <v/>
      </c>
      <c r="G597" s="167" t="str">
        <f>IF(ISBLANK(DaqBook_RAW_Data!AL587),"",DaqBook_RAW_Data!AL587)</f>
        <v/>
      </c>
      <c r="H597" s="167" t="str">
        <f>IF(ISBLANK(DaqBook_RAW_Data!AM587),"",DaqBook_RAW_Data!AM587)</f>
        <v/>
      </c>
      <c r="I597" s="167" t="str">
        <f>IF(ISBLANK(DaqBook_RAW_Data!AN587),"",DaqBook_RAW_Data!AN587)</f>
        <v/>
      </c>
      <c r="J597" s="167" t="str">
        <f>IF(ISBLANK(DaqBook_RAW_Data!AO587),"",DaqBook_RAW_Data!AO587)</f>
        <v/>
      </c>
      <c r="K597" s="167" t="str">
        <f>IF(ISBLANK(DaqBook_RAW_Data!AP587),"",DaqBook_RAW_Data!AP587)</f>
        <v/>
      </c>
      <c r="L597" s="167" t="str">
        <f>IF(ISBLANK(DaqBook_RAW_Data!AQ587),"",DaqBook_RAW_Data!AQ587)</f>
        <v/>
      </c>
      <c r="M597" s="167" t="str">
        <f>IF(ISBLANK(DaqBook_RAW_Data!AR587),"",DaqBook_RAW_Data!AR587)</f>
        <v/>
      </c>
      <c r="N597" s="167" t="str">
        <f>IF(ISBLANK(DaqBook_RAW_Data!AS587),"",DaqBook_RAW_Data!AS587)</f>
        <v/>
      </c>
      <c r="O597" s="44"/>
      <c r="P597" s="44"/>
    </row>
    <row r="598" spans="1:16" x14ac:dyDescent="0.2">
      <c r="A598" s="58" t="e">
        <f t="shared" si="9"/>
        <v>#VALUE!</v>
      </c>
      <c r="B598" s="144" t="str">
        <f>IF(ISBLANK(DaqBook_RAW_Data!AG588),IF(DaqBook_RAW_Data!A588="","",TIMEVALUE(DaqBook_RAW_Data!A588)),TIMEVALUE(DaqBook_RAW_Data!AG588))</f>
        <v/>
      </c>
      <c r="C598" s="167" t="str">
        <f>IF(ISBLANK(DaqBook_RAW_Data!AH588),"",DaqBook_RAW_Data!AH588)</f>
        <v/>
      </c>
      <c r="D598" s="167" t="str">
        <f>IF(ISBLANK(DaqBook_RAW_Data!AI588),"",DaqBook_RAW_Data!AI588)</f>
        <v/>
      </c>
      <c r="E598" s="167" t="str">
        <f>IF(ISBLANK(DaqBook_RAW_Data!AJ588),"",DaqBook_RAW_Data!AJ588)</f>
        <v/>
      </c>
      <c r="F598" s="167" t="str">
        <f>IF(ISBLANK(DaqBook_RAW_Data!AK588),"",DaqBook_RAW_Data!AK588)</f>
        <v/>
      </c>
      <c r="G598" s="167" t="str">
        <f>IF(ISBLANK(DaqBook_RAW_Data!AL588),"",DaqBook_RAW_Data!AL588)</f>
        <v/>
      </c>
      <c r="H598" s="167" t="str">
        <f>IF(ISBLANK(DaqBook_RAW_Data!AM588),"",DaqBook_RAW_Data!AM588)</f>
        <v/>
      </c>
      <c r="I598" s="167" t="str">
        <f>IF(ISBLANK(DaqBook_RAW_Data!AN588),"",DaqBook_RAW_Data!AN588)</f>
        <v/>
      </c>
      <c r="J598" s="167" t="str">
        <f>IF(ISBLANK(DaqBook_RAW_Data!AO588),"",DaqBook_RAW_Data!AO588)</f>
        <v/>
      </c>
      <c r="K598" s="167" t="str">
        <f>IF(ISBLANK(DaqBook_RAW_Data!AP588),"",DaqBook_RAW_Data!AP588)</f>
        <v/>
      </c>
      <c r="L598" s="167" t="str">
        <f>IF(ISBLANK(DaqBook_RAW_Data!AQ588),"",DaqBook_RAW_Data!AQ588)</f>
        <v/>
      </c>
      <c r="M598" s="167" t="str">
        <f>IF(ISBLANK(DaqBook_RAW_Data!AR588),"",DaqBook_RAW_Data!AR588)</f>
        <v/>
      </c>
      <c r="N598" s="167" t="str">
        <f>IF(ISBLANK(DaqBook_RAW_Data!AS588),"",DaqBook_RAW_Data!AS588)</f>
        <v/>
      </c>
      <c r="O598" s="44"/>
      <c r="P598" s="44"/>
    </row>
    <row r="599" spans="1:16" x14ac:dyDescent="0.2">
      <c r="A599" s="58" t="e">
        <f t="shared" si="9"/>
        <v>#VALUE!</v>
      </c>
      <c r="B599" s="144" t="str">
        <f>IF(ISBLANK(DaqBook_RAW_Data!AG589),IF(DaqBook_RAW_Data!A589="","",TIMEVALUE(DaqBook_RAW_Data!A589)),TIMEVALUE(DaqBook_RAW_Data!AG589))</f>
        <v/>
      </c>
      <c r="C599" s="167" t="str">
        <f>IF(ISBLANK(DaqBook_RAW_Data!AH589),"",DaqBook_RAW_Data!AH589)</f>
        <v/>
      </c>
      <c r="D599" s="167" t="str">
        <f>IF(ISBLANK(DaqBook_RAW_Data!AI589),"",DaqBook_RAW_Data!AI589)</f>
        <v/>
      </c>
      <c r="E599" s="167" t="str">
        <f>IF(ISBLANK(DaqBook_RAW_Data!AJ589),"",DaqBook_RAW_Data!AJ589)</f>
        <v/>
      </c>
      <c r="F599" s="167" t="str">
        <f>IF(ISBLANK(DaqBook_RAW_Data!AK589),"",DaqBook_RAW_Data!AK589)</f>
        <v/>
      </c>
      <c r="G599" s="167" t="str">
        <f>IF(ISBLANK(DaqBook_RAW_Data!AL589),"",DaqBook_RAW_Data!AL589)</f>
        <v/>
      </c>
      <c r="H599" s="167" t="str">
        <f>IF(ISBLANK(DaqBook_RAW_Data!AM589),"",DaqBook_RAW_Data!AM589)</f>
        <v/>
      </c>
      <c r="I599" s="167" t="str">
        <f>IF(ISBLANK(DaqBook_RAW_Data!AN589),"",DaqBook_RAW_Data!AN589)</f>
        <v/>
      </c>
      <c r="J599" s="167" t="str">
        <f>IF(ISBLANK(DaqBook_RAW_Data!AO589),"",DaqBook_RAW_Data!AO589)</f>
        <v/>
      </c>
      <c r="K599" s="167" t="str">
        <f>IF(ISBLANK(DaqBook_RAW_Data!AP589),"",DaqBook_RAW_Data!AP589)</f>
        <v/>
      </c>
      <c r="L599" s="167" t="str">
        <f>IF(ISBLANK(DaqBook_RAW_Data!AQ589),"",DaqBook_RAW_Data!AQ589)</f>
        <v/>
      </c>
      <c r="M599" s="167" t="str">
        <f>IF(ISBLANK(DaqBook_RAW_Data!AR589),"",DaqBook_RAW_Data!AR589)</f>
        <v/>
      </c>
      <c r="N599" s="167" t="str">
        <f>IF(ISBLANK(DaqBook_RAW_Data!AS589),"",DaqBook_RAW_Data!AS589)</f>
        <v/>
      </c>
      <c r="O599" s="44"/>
      <c r="P599" s="44"/>
    </row>
    <row r="600" spans="1:16" x14ac:dyDescent="0.2">
      <c r="A600" s="58" t="e">
        <f t="shared" si="9"/>
        <v>#VALUE!</v>
      </c>
      <c r="B600" s="144" t="str">
        <f>IF(ISBLANK(DaqBook_RAW_Data!AG590),IF(DaqBook_RAW_Data!A590="","",TIMEVALUE(DaqBook_RAW_Data!A590)),TIMEVALUE(DaqBook_RAW_Data!AG590))</f>
        <v/>
      </c>
      <c r="C600" s="167" t="str">
        <f>IF(ISBLANK(DaqBook_RAW_Data!AH590),"",DaqBook_RAW_Data!AH590)</f>
        <v/>
      </c>
      <c r="D600" s="167" t="str">
        <f>IF(ISBLANK(DaqBook_RAW_Data!AI590),"",DaqBook_RAW_Data!AI590)</f>
        <v/>
      </c>
      <c r="E600" s="167" t="str">
        <f>IF(ISBLANK(DaqBook_RAW_Data!AJ590),"",DaqBook_RAW_Data!AJ590)</f>
        <v/>
      </c>
      <c r="F600" s="167" t="str">
        <f>IF(ISBLANK(DaqBook_RAW_Data!AK590),"",DaqBook_RAW_Data!AK590)</f>
        <v/>
      </c>
      <c r="G600" s="167" t="str">
        <f>IF(ISBLANK(DaqBook_RAW_Data!AL590),"",DaqBook_RAW_Data!AL590)</f>
        <v/>
      </c>
      <c r="H600" s="167" t="str">
        <f>IF(ISBLANK(DaqBook_RAW_Data!AM590),"",DaqBook_RAW_Data!AM590)</f>
        <v/>
      </c>
      <c r="I600" s="167" t="str">
        <f>IF(ISBLANK(DaqBook_RAW_Data!AN590),"",DaqBook_RAW_Data!AN590)</f>
        <v/>
      </c>
      <c r="J600" s="167" t="str">
        <f>IF(ISBLANK(DaqBook_RAW_Data!AO590),"",DaqBook_RAW_Data!AO590)</f>
        <v/>
      </c>
      <c r="K600" s="167" t="str">
        <f>IF(ISBLANK(DaqBook_RAW_Data!AP590),"",DaqBook_RAW_Data!AP590)</f>
        <v/>
      </c>
      <c r="L600" s="167" t="str">
        <f>IF(ISBLANK(DaqBook_RAW_Data!AQ590),"",DaqBook_RAW_Data!AQ590)</f>
        <v/>
      </c>
      <c r="M600" s="167" t="str">
        <f>IF(ISBLANK(DaqBook_RAW_Data!AR590),"",DaqBook_RAW_Data!AR590)</f>
        <v/>
      </c>
      <c r="N600" s="167" t="str">
        <f>IF(ISBLANK(DaqBook_RAW_Data!AS590),"",DaqBook_RAW_Data!AS590)</f>
        <v/>
      </c>
      <c r="O600" s="44"/>
      <c r="P600" s="44"/>
    </row>
    <row r="601" spans="1:16" x14ac:dyDescent="0.2">
      <c r="A601" s="58" t="e">
        <f t="shared" si="9"/>
        <v>#VALUE!</v>
      </c>
      <c r="B601" s="144" t="str">
        <f>IF(ISBLANK(DaqBook_RAW_Data!AG591),IF(DaqBook_RAW_Data!A591="","",TIMEVALUE(DaqBook_RAW_Data!A591)),TIMEVALUE(DaqBook_RAW_Data!AG591))</f>
        <v/>
      </c>
      <c r="C601" s="167" t="str">
        <f>IF(ISBLANK(DaqBook_RAW_Data!AH591),"",DaqBook_RAW_Data!AH591)</f>
        <v/>
      </c>
      <c r="D601" s="167" t="str">
        <f>IF(ISBLANK(DaqBook_RAW_Data!AI591),"",DaqBook_RAW_Data!AI591)</f>
        <v/>
      </c>
      <c r="E601" s="167" t="str">
        <f>IF(ISBLANK(DaqBook_RAW_Data!AJ591),"",DaqBook_RAW_Data!AJ591)</f>
        <v/>
      </c>
      <c r="F601" s="167" t="str">
        <f>IF(ISBLANK(DaqBook_RAW_Data!AK591),"",DaqBook_RAW_Data!AK591)</f>
        <v/>
      </c>
      <c r="G601" s="167" t="str">
        <f>IF(ISBLANK(DaqBook_RAW_Data!AL591),"",DaqBook_RAW_Data!AL591)</f>
        <v/>
      </c>
      <c r="H601" s="167" t="str">
        <f>IF(ISBLANK(DaqBook_RAW_Data!AM591),"",DaqBook_RAW_Data!AM591)</f>
        <v/>
      </c>
      <c r="I601" s="167" t="str">
        <f>IF(ISBLANK(DaqBook_RAW_Data!AN591),"",DaqBook_RAW_Data!AN591)</f>
        <v/>
      </c>
      <c r="J601" s="167" t="str">
        <f>IF(ISBLANK(DaqBook_RAW_Data!AO591),"",DaqBook_RAW_Data!AO591)</f>
        <v/>
      </c>
      <c r="K601" s="167" t="str">
        <f>IF(ISBLANK(DaqBook_RAW_Data!AP591),"",DaqBook_RAW_Data!AP591)</f>
        <v/>
      </c>
      <c r="L601" s="167" t="str">
        <f>IF(ISBLANK(DaqBook_RAW_Data!AQ591),"",DaqBook_RAW_Data!AQ591)</f>
        <v/>
      </c>
      <c r="M601" s="167" t="str">
        <f>IF(ISBLANK(DaqBook_RAW_Data!AR591),"",DaqBook_RAW_Data!AR591)</f>
        <v/>
      </c>
      <c r="N601" s="167" t="str">
        <f>IF(ISBLANK(DaqBook_RAW_Data!AS591),"",DaqBook_RAW_Data!AS591)</f>
        <v/>
      </c>
      <c r="O601" s="44"/>
      <c r="P601" s="44"/>
    </row>
    <row r="602" spans="1:16" x14ac:dyDescent="0.2">
      <c r="A602" s="58" t="e">
        <f t="shared" si="9"/>
        <v>#VALUE!</v>
      </c>
      <c r="B602" s="144" t="str">
        <f>IF(ISBLANK(DaqBook_RAW_Data!AG592),IF(DaqBook_RAW_Data!A592="","",TIMEVALUE(DaqBook_RAW_Data!A592)),TIMEVALUE(DaqBook_RAW_Data!AG592))</f>
        <v/>
      </c>
      <c r="C602" s="167" t="str">
        <f>IF(ISBLANK(DaqBook_RAW_Data!AH592),"",DaqBook_RAW_Data!AH592)</f>
        <v/>
      </c>
      <c r="D602" s="167" t="str">
        <f>IF(ISBLANK(DaqBook_RAW_Data!AI592),"",DaqBook_RAW_Data!AI592)</f>
        <v/>
      </c>
      <c r="E602" s="167" t="str">
        <f>IF(ISBLANK(DaqBook_RAW_Data!AJ592),"",DaqBook_RAW_Data!AJ592)</f>
        <v/>
      </c>
      <c r="F602" s="167" t="str">
        <f>IF(ISBLANK(DaqBook_RAW_Data!AK592),"",DaqBook_RAW_Data!AK592)</f>
        <v/>
      </c>
      <c r="G602" s="167" t="str">
        <f>IF(ISBLANK(DaqBook_RAW_Data!AL592),"",DaqBook_RAW_Data!AL592)</f>
        <v/>
      </c>
      <c r="H602" s="167" t="str">
        <f>IF(ISBLANK(DaqBook_RAW_Data!AM592),"",DaqBook_RAW_Data!AM592)</f>
        <v/>
      </c>
      <c r="I602" s="167" t="str">
        <f>IF(ISBLANK(DaqBook_RAW_Data!AN592),"",DaqBook_RAW_Data!AN592)</f>
        <v/>
      </c>
      <c r="J602" s="167" t="str">
        <f>IF(ISBLANK(DaqBook_RAW_Data!AO592),"",DaqBook_RAW_Data!AO592)</f>
        <v/>
      </c>
      <c r="K602" s="167" t="str">
        <f>IF(ISBLANK(DaqBook_RAW_Data!AP592),"",DaqBook_RAW_Data!AP592)</f>
        <v/>
      </c>
      <c r="L602" s="167" t="str">
        <f>IF(ISBLANK(DaqBook_RAW_Data!AQ592),"",DaqBook_RAW_Data!AQ592)</f>
        <v/>
      </c>
      <c r="M602" s="167" t="str">
        <f>IF(ISBLANK(DaqBook_RAW_Data!AR592),"",DaqBook_RAW_Data!AR592)</f>
        <v/>
      </c>
      <c r="N602" s="167" t="str">
        <f>IF(ISBLANK(DaqBook_RAW_Data!AS592),"",DaqBook_RAW_Data!AS592)</f>
        <v/>
      </c>
      <c r="O602" s="44"/>
      <c r="P602" s="44"/>
    </row>
    <row r="603" spans="1:16" x14ac:dyDescent="0.2">
      <c r="A603" s="58" t="e">
        <f t="shared" si="9"/>
        <v>#VALUE!</v>
      </c>
      <c r="B603" s="144" t="str">
        <f>IF(ISBLANK(DaqBook_RAW_Data!AG593),IF(DaqBook_RAW_Data!A593="","",TIMEVALUE(DaqBook_RAW_Data!A593)),TIMEVALUE(DaqBook_RAW_Data!AG593))</f>
        <v/>
      </c>
      <c r="C603" s="167" t="str">
        <f>IF(ISBLANK(DaqBook_RAW_Data!AH593),"",DaqBook_RAW_Data!AH593)</f>
        <v/>
      </c>
      <c r="D603" s="167" t="str">
        <f>IF(ISBLANK(DaqBook_RAW_Data!AI593),"",DaqBook_RAW_Data!AI593)</f>
        <v/>
      </c>
      <c r="E603" s="167" t="str">
        <f>IF(ISBLANK(DaqBook_RAW_Data!AJ593),"",DaqBook_RAW_Data!AJ593)</f>
        <v/>
      </c>
      <c r="F603" s="167" t="str">
        <f>IF(ISBLANK(DaqBook_RAW_Data!AK593),"",DaqBook_RAW_Data!AK593)</f>
        <v/>
      </c>
      <c r="G603" s="167" t="str">
        <f>IF(ISBLANK(DaqBook_RAW_Data!AL593),"",DaqBook_RAW_Data!AL593)</f>
        <v/>
      </c>
      <c r="H603" s="167" t="str">
        <f>IF(ISBLANK(DaqBook_RAW_Data!AM593),"",DaqBook_RAW_Data!AM593)</f>
        <v/>
      </c>
      <c r="I603" s="167" t="str">
        <f>IF(ISBLANK(DaqBook_RAW_Data!AN593),"",DaqBook_RAW_Data!AN593)</f>
        <v/>
      </c>
      <c r="J603" s="167" t="str">
        <f>IF(ISBLANK(DaqBook_RAW_Data!AO593),"",DaqBook_RAW_Data!AO593)</f>
        <v/>
      </c>
      <c r="K603" s="167" t="str">
        <f>IF(ISBLANK(DaqBook_RAW_Data!AP593),"",DaqBook_RAW_Data!AP593)</f>
        <v/>
      </c>
      <c r="L603" s="167" t="str">
        <f>IF(ISBLANK(DaqBook_RAW_Data!AQ593),"",DaqBook_RAW_Data!AQ593)</f>
        <v/>
      </c>
      <c r="M603" s="167" t="str">
        <f>IF(ISBLANK(DaqBook_RAW_Data!AR593),"",DaqBook_RAW_Data!AR593)</f>
        <v/>
      </c>
      <c r="N603" s="167" t="str">
        <f>IF(ISBLANK(DaqBook_RAW_Data!AS593),"",DaqBook_RAW_Data!AS593)</f>
        <v/>
      </c>
      <c r="O603" s="44"/>
      <c r="P603" s="44"/>
    </row>
    <row r="604" spans="1:16" x14ac:dyDescent="0.2">
      <c r="A604" s="58" t="e">
        <f t="shared" si="9"/>
        <v>#VALUE!</v>
      </c>
      <c r="B604" s="144" t="str">
        <f>IF(ISBLANK(DaqBook_RAW_Data!AG594),IF(DaqBook_RAW_Data!A594="","",TIMEVALUE(DaqBook_RAW_Data!A594)),TIMEVALUE(DaqBook_RAW_Data!AG594))</f>
        <v/>
      </c>
      <c r="C604" s="167" t="str">
        <f>IF(ISBLANK(DaqBook_RAW_Data!AH594),"",DaqBook_RAW_Data!AH594)</f>
        <v/>
      </c>
      <c r="D604" s="167" t="str">
        <f>IF(ISBLANK(DaqBook_RAW_Data!AI594),"",DaqBook_RAW_Data!AI594)</f>
        <v/>
      </c>
      <c r="E604" s="167" t="str">
        <f>IF(ISBLANK(DaqBook_RAW_Data!AJ594),"",DaqBook_RAW_Data!AJ594)</f>
        <v/>
      </c>
      <c r="F604" s="167" t="str">
        <f>IF(ISBLANK(DaqBook_RAW_Data!AK594),"",DaqBook_RAW_Data!AK594)</f>
        <v/>
      </c>
      <c r="G604" s="167" t="str">
        <f>IF(ISBLANK(DaqBook_RAW_Data!AL594),"",DaqBook_RAW_Data!AL594)</f>
        <v/>
      </c>
      <c r="H604" s="167" t="str">
        <f>IF(ISBLANK(DaqBook_RAW_Data!AM594),"",DaqBook_RAW_Data!AM594)</f>
        <v/>
      </c>
      <c r="I604" s="167" t="str">
        <f>IF(ISBLANK(DaqBook_RAW_Data!AN594),"",DaqBook_RAW_Data!AN594)</f>
        <v/>
      </c>
      <c r="J604" s="167" t="str">
        <f>IF(ISBLANK(DaqBook_RAW_Data!AO594),"",DaqBook_RAW_Data!AO594)</f>
        <v/>
      </c>
      <c r="K604" s="167" t="str">
        <f>IF(ISBLANK(DaqBook_RAW_Data!AP594),"",DaqBook_RAW_Data!AP594)</f>
        <v/>
      </c>
      <c r="L604" s="167" t="str">
        <f>IF(ISBLANK(DaqBook_RAW_Data!AQ594),"",DaqBook_RAW_Data!AQ594)</f>
        <v/>
      </c>
      <c r="M604" s="167" t="str">
        <f>IF(ISBLANK(DaqBook_RAW_Data!AR594),"",DaqBook_RAW_Data!AR594)</f>
        <v/>
      </c>
      <c r="N604" s="167" t="str">
        <f>IF(ISBLANK(DaqBook_RAW_Data!AS594),"",DaqBook_RAW_Data!AS594)</f>
        <v/>
      </c>
      <c r="O604" s="44"/>
      <c r="P604" s="44"/>
    </row>
    <row r="605" spans="1:16" x14ac:dyDescent="0.2">
      <c r="A605" s="58" t="e">
        <f t="shared" si="9"/>
        <v>#VALUE!</v>
      </c>
      <c r="B605" s="144" t="str">
        <f>IF(ISBLANK(DaqBook_RAW_Data!AG595),IF(DaqBook_RAW_Data!A595="","",TIMEVALUE(DaqBook_RAW_Data!A595)),TIMEVALUE(DaqBook_RAW_Data!AG595))</f>
        <v/>
      </c>
      <c r="C605" s="167" t="str">
        <f>IF(ISBLANK(DaqBook_RAW_Data!AH595),"",DaqBook_RAW_Data!AH595)</f>
        <v/>
      </c>
      <c r="D605" s="167" t="str">
        <f>IF(ISBLANK(DaqBook_RAW_Data!AI595),"",DaqBook_RAW_Data!AI595)</f>
        <v/>
      </c>
      <c r="E605" s="167" t="str">
        <f>IF(ISBLANK(DaqBook_RAW_Data!AJ595),"",DaqBook_RAW_Data!AJ595)</f>
        <v/>
      </c>
      <c r="F605" s="167" t="str">
        <f>IF(ISBLANK(DaqBook_RAW_Data!AK595),"",DaqBook_RAW_Data!AK595)</f>
        <v/>
      </c>
      <c r="G605" s="167" t="str">
        <f>IF(ISBLANK(DaqBook_RAW_Data!AL595),"",DaqBook_RAW_Data!AL595)</f>
        <v/>
      </c>
      <c r="H605" s="167" t="str">
        <f>IF(ISBLANK(DaqBook_RAW_Data!AM595),"",DaqBook_RAW_Data!AM595)</f>
        <v/>
      </c>
      <c r="I605" s="167" t="str">
        <f>IF(ISBLANK(DaqBook_RAW_Data!AN595),"",DaqBook_RAW_Data!AN595)</f>
        <v/>
      </c>
      <c r="J605" s="167" t="str">
        <f>IF(ISBLANK(DaqBook_RAW_Data!AO595),"",DaqBook_RAW_Data!AO595)</f>
        <v/>
      </c>
      <c r="K605" s="167" t="str">
        <f>IF(ISBLANK(DaqBook_RAW_Data!AP595),"",DaqBook_RAW_Data!AP595)</f>
        <v/>
      </c>
      <c r="L605" s="167" t="str">
        <f>IF(ISBLANK(DaqBook_RAW_Data!AQ595),"",DaqBook_RAW_Data!AQ595)</f>
        <v/>
      </c>
      <c r="M605" s="167" t="str">
        <f>IF(ISBLANK(DaqBook_RAW_Data!AR595),"",DaqBook_RAW_Data!AR595)</f>
        <v/>
      </c>
      <c r="N605" s="167" t="str">
        <f>IF(ISBLANK(DaqBook_RAW_Data!AS595),"",DaqBook_RAW_Data!AS595)</f>
        <v/>
      </c>
      <c r="O605" s="44"/>
      <c r="P605" s="44"/>
    </row>
    <row r="606" spans="1:16" x14ac:dyDescent="0.2">
      <c r="A606" s="58" t="e">
        <f t="shared" si="9"/>
        <v>#VALUE!</v>
      </c>
      <c r="B606" s="144" t="str">
        <f>IF(ISBLANK(DaqBook_RAW_Data!AG596),IF(DaqBook_RAW_Data!A596="","",TIMEVALUE(DaqBook_RAW_Data!A596)),TIMEVALUE(DaqBook_RAW_Data!AG596))</f>
        <v/>
      </c>
      <c r="C606" s="167" t="str">
        <f>IF(ISBLANK(DaqBook_RAW_Data!AH596),"",DaqBook_RAW_Data!AH596)</f>
        <v/>
      </c>
      <c r="D606" s="167" t="str">
        <f>IF(ISBLANK(DaqBook_RAW_Data!AI596),"",DaqBook_RAW_Data!AI596)</f>
        <v/>
      </c>
      <c r="E606" s="167" t="str">
        <f>IF(ISBLANK(DaqBook_RAW_Data!AJ596),"",DaqBook_RAW_Data!AJ596)</f>
        <v/>
      </c>
      <c r="F606" s="167" t="str">
        <f>IF(ISBLANK(DaqBook_RAW_Data!AK596),"",DaqBook_RAW_Data!AK596)</f>
        <v/>
      </c>
      <c r="G606" s="167" t="str">
        <f>IF(ISBLANK(DaqBook_RAW_Data!AL596),"",DaqBook_RAW_Data!AL596)</f>
        <v/>
      </c>
      <c r="H606" s="167" t="str">
        <f>IF(ISBLANK(DaqBook_RAW_Data!AM596),"",DaqBook_RAW_Data!AM596)</f>
        <v/>
      </c>
      <c r="I606" s="167" t="str">
        <f>IF(ISBLANK(DaqBook_RAW_Data!AN596),"",DaqBook_RAW_Data!AN596)</f>
        <v/>
      </c>
      <c r="J606" s="167" t="str">
        <f>IF(ISBLANK(DaqBook_RAW_Data!AO596),"",DaqBook_RAW_Data!AO596)</f>
        <v/>
      </c>
      <c r="K606" s="167" t="str">
        <f>IF(ISBLANK(DaqBook_RAW_Data!AP596),"",DaqBook_RAW_Data!AP596)</f>
        <v/>
      </c>
      <c r="L606" s="167" t="str">
        <f>IF(ISBLANK(DaqBook_RAW_Data!AQ596),"",DaqBook_RAW_Data!AQ596)</f>
        <v/>
      </c>
      <c r="M606" s="167" t="str">
        <f>IF(ISBLANK(DaqBook_RAW_Data!AR596),"",DaqBook_RAW_Data!AR596)</f>
        <v/>
      </c>
      <c r="N606" s="167" t="str">
        <f>IF(ISBLANK(DaqBook_RAW_Data!AS596),"",DaqBook_RAW_Data!AS596)</f>
        <v/>
      </c>
      <c r="O606" s="44"/>
      <c r="P606" s="44"/>
    </row>
    <row r="607" spans="1:16" x14ac:dyDescent="0.2">
      <c r="A607" s="58" t="e">
        <f t="shared" si="9"/>
        <v>#VALUE!</v>
      </c>
      <c r="B607" s="144" t="str">
        <f>IF(ISBLANK(DaqBook_RAW_Data!AG597),IF(DaqBook_RAW_Data!A597="","",TIMEVALUE(DaqBook_RAW_Data!A597)),TIMEVALUE(DaqBook_RAW_Data!AG597))</f>
        <v/>
      </c>
      <c r="C607" s="167" t="str">
        <f>IF(ISBLANK(DaqBook_RAW_Data!AH597),"",DaqBook_RAW_Data!AH597)</f>
        <v/>
      </c>
      <c r="D607" s="167" t="str">
        <f>IF(ISBLANK(DaqBook_RAW_Data!AI597),"",DaqBook_RAW_Data!AI597)</f>
        <v/>
      </c>
      <c r="E607" s="167" t="str">
        <f>IF(ISBLANK(DaqBook_RAW_Data!AJ597),"",DaqBook_RAW_Data!AJ597)</f>
        <v/>
      </c>
      <c r="F607" s="167" t="str">
        <f>IF(ISBLANK(DaqBook_RAW_Data!AK597),"",DaqBook_RAW_Data!AK597)</f>
        <v/>
      </c>
      <c r="G607" s="167" t="str">
        <f>IF(ISBLANK(DaqBook_RAW_Data!AL597),"",DaqBook_RAW_Data!AL597)</f>
        <v/>
      </c>
      <c r="H607" s="167" t="str">
        <f>IF(ISBLANK(DaqBook_RAW_Data!AM597),"",DaqBook_RAW_Data!AM597)</f>
        <v/>
      </c>
      <c r="I607" s="167" t="str">
        <f>IF(ISBLANK(DaqBook_RAW_Data!AN597),"",DaqBook_RAW_Data!AN597)</f>
        <v/>
      </c>
      <c r="J607" s="167" t="str">
        <f>IF(ISBLANK(DaqBook_RAW_Data!AO597),"",DaqBook_RAW_Data!AO597)</f>
        <v/>
      </c>
      <c r="K607" s="167" t="str">
        <f>IF(ISBLANK(DaqBook_RAW_Data!AP597),"",DaqBook_RAW_Data!AP597)</f>
        <v/>
      </c>
      <c r="L607" s="167" t="str">
        <f>IF(ISBLANK(DaqBook_RAW_Data!AQ597),"",DaqBook_RAW_Data!AQ597)</f>
        <v/>
      </c>
      <c r="M607" s="167" t="str">
        <f>IF(ISBLANK(DaqBook_RAW_Data!AR597),"",DaqBook_RAW_Data!AR597)</f>
        <v/>
      </c>
      <c r="N607" s="167" t="str">
        <f>IF(ISBLANK(DaqBook_RAW_Data!AS597),"",DaqBook_RAW_Data!AS597)</f>
        <v/>
      </c>
      <c r="O607" s="44"/>
      <c r="P607" s="44"/>
    </row>
    <row r="608" spans="1:16" x14ac:dyDescent="0.2">
      <c r="A608" s="58" t="e">
        <f t="shared" si="9"/>
        <v>#VALUE!</v>
      </c>
      <c r="B608" s="144" t="str">
        <f>IF(ISBLANK(DaqBook_RAW_Data!AG598),IF(DaqBook_RAW_Data!A598="","",TIMEVALUE(DaqBook_RAW_Data!A598)),TIMEVALUE(DaqBook_RAW_Data!AG598))</f>
        <v/>
      </c>
      <c r="C608" s="167" t="str">
        <f>IF(ISBLANK(DaqBook_RAW_Data!AH598),"",DaqBook_RAW_Data!AH598)</f>
        <v/>
      </c>
      <c r="D608" s="167" t="str">
        <f>IF(ISBLANK(DaqBook_RAW_Data!AI598),"",DaqBook_RAW_Data!AI598)</f>
        <v/>
      </c>
      <c r="E608" s="167" t="str">
        <f>IF(ISBLANK(DaqBook_RAW_Data!AJ598),"",DaqBook_RAW_Data!AJ598)</f>
        <v/>
      </c>
      <c r="F608" s="167" t="str">
        <f>IF(ISBLANK(DaqBook_RAW_Data!AK598),"",DaqBook_RAW_Data!AK598)</f>
        <v/>
      </c>
      <c r="G608" s="167" t="str">
        <f>IF(ISBLANK(DaqBook_RAW_Data!AL598),"",DaqBook_RAW_Data!AL598)</f>
        <v/>
      </c>
      <c r="H608" s="167" t="str">
        <f>IF(ISBLANK(DaqBook_RAW_Data!AM598),"",DaqBook_RAW_Data!AM598)</f>
        <v/>
      </c>
      <c r="I608" s="167" t="str">
        <f>IF(ISBLANK(DaqBook_RAW_Data!AN598),"",DaqBook_RAW_Data!AN598)</f>
        <v/>
      </c>
      <c r="J608" s="167" t="str">
        <f>IF(ISBLANK(DaqBook_RAW_Data!AO598),"",DaqBook_RAW_Data!AO598)</f>
        <v/>
      </c>
      <c r="K608" s="167" t="str">
        <f>IF(ISBLANK(DaqBook_RAW_Data!AP598),"",DaqBook_RAW_Data!AP598)</f>
        <v/>
      </c>
      <c r="L608" s="167" t="str">
        <f>IF(ISBLANK(DaqBook_RAW_Data!AQ598),"",DaqBook_RAW_Data!AQ598)</f>
        <v/>
      </c>
      <c r="M608" s="167" t="str">
        <f>IF(ISBLANK(DaqBook_RAW_Data!AR598),"",DaqBook_RAW_Data!AR598)</f>
        <v/>
      </c>
      <c r="N608" s="167" t="str">
        <f>IF(ISBLANK(DaqBook_RAW_Data!AS598),"",DaqBook_RAW_Data!AS598)</f>
        <v/>
      </c>
      <c r="O608" s="44"/>
      <c r="P608" s="44"/>
    </row>
    <row r="609" spans="1:16" x14ac:dyDescent="0.2">
      <c r="A609" s="58" t="e">
        <f t="shared" si="9"/>
        <v>#VALUE!</v>
      </c>
      <c r="B609" s="144" t="str">
        <f>IF(ISBLANK(DaqBook_RAW_Data!AG599),IF(DaqBook_RAW_Data!A599="","",TIMEVALUE(DaqBook_RAW_Data!A599)),TIMEVALUE(DaqBook_RAW_Data!AG599))</f>
        <v/>
      </c>
      <c r="C609" s="167" t="str">
        <f>IF(ISBLANK(DaqBook_RAW_Data!AH599),"",DaqBook_RAW_Data!AH599)</f>
        <v/>
      </c>
      <c r="D609" s="167" t="str">
        <f>IF(ISBLANK(DaqBook_RAW_Data!AI599),"",DaqBook_RAW_Data!AI599)</f>
        <v/>
      </c>
      <c r="E609" s="167" t="str">
        <f>IF(ISBLANK(DaqBook_RAW_Data!AJ599),"",DaqBook_RAW_Data!AJ599)</f>
        <v/>
      </c>
      <c r="F609" s="167" t="str">
        <f>IF(ISBLANK(DaqBook_RAW_Data!AK599),"",DaqBook_RAW_Data!AK599)</f>
        <v/>
      </c>
      <c r="G609" s="167" t="str">
        <f>IF(ISBLANK(DaqBook_RAW_Data!AL599),"",DaqBook_RAW_Data!AL599)</f>
        <v/>
      </c>
      <c r="H609" s="167" t="str">
        <f>IF(ISBLANK(DaqBook_RAW_Data!AM599),"",DaqBook_RAW_Data!AM599)</f>
        <v/>
      </c>
      <c r="I609" s="167" t="str">
        <f>IF(ISBLANK(DaqBook_RAW_Data!AN599),"",DaqBook_RAW_Data!AN599)</f>
        <v/>
      </c>
      <c r="J609" s="167" t="str">
        <f>IF(ISBLANK(DaqBook_RAW_Data!AO599),"",DaqBook_RAW_Data!AO599)</f>
        <v/>
      </c>
      <c r="K609" s="167" t="str">
        <f>IF(ISBLANK(DaqBook_RAW_Data!AP599),"",DaqBook_RAW_Data!AP599)</f>
        <v/>
      </c>
      <c r="L609" s="167" t="str">
        <f>IF(ISBLANK(DaqBook_RAW_Data!AQ599),"",DaqBook_RAW_Data!AQ599)</f>
        <v/>
      </c>
      <c r="M609" s="167" t="str">
        <f>IF(ISBLANK(DaqBook_RAW_Data!AR599),"",DaqBook_RAW_Data!AR599)</f>
        <v/>
      </c>
      <c r="N609" s="167" t="str">
        <f>IF(ISBLANK(DaqBook_RAW_Data!AS599),"",DaqBook_RAW_Data!AS599)</f>
        <v/>
      </c>
      <c r="O609" s="44"/>
      <c r="P609" s="44"/>
    </row>
    <row r="610" spans="1:16" x14ac:dyDescent="0.2">
      <c r="A610" s="58" t="e">
        <f t="shared" si="9"/>
        <v>#VALUE!</v>
      </c>
      <c r="B610" s="144" t="str">
        <f>IF(ISBLANK(DaqBook_RAW_Data!AG600),IF(DaqBook_RAW_Data!A600="","",TIMEVALUE(DaqBook_RAW_Data!A600)),TIMEVALUE(DaqBook_RAW_Data!AG600))</f>
        <v/>
      </c>
      <c r="C610" s="167" t="str">
        <f>IF(ISBLANK(DaqBook_RAW_Data!AH600),"",DaqBook_RAW_Data!AH600)</f>
        <v/>
      </c>
      <c r="D610" s="167" t="str">
        <f>IF(ISBLANK(DaqBook_RAW_Data!AI600),"",DaqBook_RAW_Data!AI600)</f>
        <v/>
      </c>
      <c r="E610" s="167" t="str">
        <f>IF(ISBLANK(DaqBook_RAW_Data!AJ600),"",DaqBook_RAW_Data!AJ600)</f>
        <v/>
      </c>
      <c r="F610" s="167" t="str">
        <f>IF(ISBLANK(DaqBook_RAW_Data!AK600),"",DaqBook_RAW_Data!AK600)</f>
        <v/>
      </c>
      <c r="G610" s="167" t="str">
        <f>IF(ISBLANK(DaqBook_RAW_Data!AL600),"",DaqBook_RAW_Data!AL600)</f>
        <v/>
      </c>
      <c r="H610" s="167" t="str">
        <f>IF(ISBLANK(DaqBook_RAW_Data!AM600),"",DaqBook_RAW_Data!AM600)</f>
        <v/>
      </c>
      <c r="I610" s="167" t="str">
        <f>IF(ISBLANK(DaqBook_RAW_Data!AN600),"",DaqBook_RAW_Data!AN600)</f>
        <v/>
      </c>
      <c r="J610" s="167" t="str">
        <f>IF(ISBLANK(DaqBook_RAW_Data!AO600),"",DaqBook_RAW_Data!AO600)</f>
        <v/>
      </c>
      <c r="K610" s="167" t="str">
        <f>IF(ISBLANK(DaqBook_RAW_Data!AP600),"",DaqBook_RAW_Data!AP600)</f>
        <v/>
      </c>
      <c r="L610" s="167" t="str">
        <f>IF(ISBLANK(DaqBook_RAW_Data!AQ600),"",DaqBook_RAW_Data!AQ600)</f>
        <v/>
      </c>
      <c r="M610" s="167" t="str">
        <f>IF(ISBLANK(DaqBook_RAW_Data!AR600),"",DaqBook_RAW_Data!AR600)</f>
        <v/>
      </c>
      <c r="N610" s="167" t="str">
        <f>IF(ISBLANK(DaqBook_RAW_Data!AS600),"",DaqBook_RAW_Data!AS600)</f>
        <v/>
      </c>
      <c r="O610" s="44"/>
      <c r="P610" s="44"/>
    </row>
    <row r="611" spans="1:16" x14ac:dyDescent="0.2">
      <c r="A611" s="58" t="e">
        <f t="shared" si="9"/>
        <v>#VALUE!</v>
      </c>
      <c r="B611" s="144" t="str">
        <f>IF(ISBLANK(DaqBook_RAW_Data!AG601),IF(DaqBook_RAW_Data!A601="","",TIMEVALUE(DaqBook_RAW_Data!A601)),TIMEVALUE(DaqBook_RAW_Data!AG601))</f>
        <v/>
      </c>
      <c r="C611" s="167" t="str">
        <f>IF(ISBLANK(DaqBook_RAW_Data!AH601),"",DaqBook_RAW_Data!AH601)</f>
        <v/>
      </c>
      <c r="D611" s="167" t="str">
        <f>IF(ISBLANK(DaqBook_RAW_Data!AI601),"",DaqBook_RAW_Data!AI601)</f>
        <v/>
      </c>
      <c r="E611" s="167" t="str">
        <f>IF(ISBLANK(DaqBook_RAW_Data!AJ601),"",DaqBook_RAW_Data!AJ601)</f>
        <v/>
      </c>
      <c r="F611" s="167" t="str">
        <f>IF(ISBLANK(DaqBook_RAW_Data!AK601),"",DaqBook_RAW_Data!AK601)</f>
        <v/>
      </c>
      <c r="G611" s="167" t="str">
        <f>IF(ISBLANK(DaqBook_RAW_Data!AL601),"",DaqBook_RAW_Data!AL601)</f>
        <v/>
      </c>
      <c r="H611" s="167" t="str">
        <f>IF(ISBLANK(DaqBook_RAW_Data!AM601),"",DaqBook_RAW_Data!AM601)</f>
        <v/>
      </c>
      <c r="I611" s="167" t="str">
        <f>IF(ISBLANK(DaqBook_RAW_Data!AN601),"",DaqBook_RAW_Data!AN601)</f>
        <v/>
      </c>
      <c r="J611" s="167" t="str">
        <f>IF(ISBLANK(DaqBook_RAW_Data!AO601),"",DaqBook_RAW_Data!AO601)</f>
        <v/>
      </c>
      <c r="K611" s="167" t="str">
        <f>IF(ISBLANK(DaqBook_RAW_Data!AP601),"",DaqBook_RAW_Data!AP601)</f>
        <v/>
      </c>
      <c r="L611" s="167" t="str">
        <f>IF(ISBLANK(DaqBook_RAW_Data!AQ601),"",DaqBook_RAW_Data!AQ601)</f>
        <v/>
      </c>
      <c r="M611" s="167" t="str">
        <f>IF(ISBLANK(DaqBook_RAW_Data!AR601),"",DaqBook_RAW_Data!AR601)</f>
        <v/>
      </c>
      <c r="N611" s="167" t="str">
        <f>IF(ISBLANK(DaqBook_RAW_Data!AS601),"",DaqBook_RAW_Data!AS601)</f>
        <v/>
      </c>
      <c r="O611" s="44"/>
      <c r="P611" s="44"/>
    </row>
    <row r="612" spans="1:16" x14ac:dyDescent="0.2">
      <c r="A612" s="58" t="e">
        <f t="shared" si="9"/>
        <v>#VALUE!</v>
      </c>
      <c r="B612" s="144" t="str">
        <f>IF(ISBLANK(DaqBook_RAW_Data!AG602),IF(DaqBook_RAW_Data!A602="","",TIMEVALUE(DaqBook_RAW_Data!A602)),TIMEVALUE(DaqBook_RAW_Data!AG602))</f>
        <v/>
      </c>
      <c r="C612" s="167" t="str">
        <f>IF(ISBLANK(DaqBook_RAW_Data!AH602),"",DaqBook_RAW_Data!AH602)</f>
        <v/>
      </c>
      <c r="D612" s="167" t="str">
        <f>IF(ISBLANK(DaqBook_RAW_Data!AI602),"",DaqBook_RAW_Data!AI602)</f>
        <v/>
      </c>
      <c r="E612" s="167" t="str">
        <f>IF(ISBLANK(DaqBook_RAW_Data!AJ602),"",DaqBook_RAW_Data!AJ602)</f>
        <v/>
      </c>
      <c r="F612" s="167" t="str">
        <f>IF(ISBLANK(DaqBook_RAW_Data!AK602),"",DaqBook_RAW_Data!AK602)</f>
        <v/>
      </c>
      <c r="G612" s="167" t="str">
        <f>IF(ISBLANK(DaqBook_RAW_Data!AL602),"",DaqBook_RAW_Data!AL602)</f>
        <v/>
      </c>
      <c r="H612" s="167" t="str">
        <f>IF(ISBLANK(DaqBook_RAW_Data!AM602),"",DaqBook_RAW_Data!AM602)</f>
        <v/>
      </c>
      <c r="I612" s="167" t="str">
        <f>IF(ISBLANK(DaqBook_RAW_Data!AN602),"",DaqBook_RAW_Data!AN602)</f>
        <v/>
      </c>
      <c r="J612" s="167" t="str">
        <f>IF(ISBLANK(DaqBook_RAW_Data!AO602),"",DaqBook_RAW_Data!AO602)</f>
        <v/>
      </c>
      <c r="K612" s="167" t="str">
        <f>IF(ISBLANK(DaqBook_RAW_Data!AP602),"",DaqBook_RAW_Data!AP602)</f>
        <v/>
      </c>
      <c r="L612" s="167" t="str">
        <f>IF(ISBLANK(DaqBook_RAW_Data!AQ602),"",DaqBook_RAW_Data!AQ602)</f>
        <v/>
      </c>
      <c r="M612" s="167" t="str">
        <f>IF(ISBLANK(DaqBook_RAW_Data!AR602),"",DaqBook_RAW_Data!AR602)</f>
        <v/>
      </c>
      <c r="N612" s="167" t="str">
        <f>IF(ISBLANK(DaqBook_RAW_Data!AS602),"",DaqBook_RAW_Data!AS602)</f>
        <v/>
      </c>
      <c r="O612" s="44"/>
      <c r="P612" s="44"/>
    </row>
    <row r="613" spans="1:16" x14ac:dyDescent="0.2">
      <c r="A613" s="58" t="e">
        <f t="shared" si="9"/>
        <v>#VALUE!</v>
      </c>
      <c r="B613" s="144" t="str">
        <f>IF(ISBLANK(DaqBook_RAW_Data!AG603),IF(DaqBook_RAW_Data!A603="","",TIMEVALUE(DaqBook_RAW_Data!A603)),TIMEVALUE(DaqBook_RAW_Data!AG603))</f>
        <v/>
      </c>
      <c r="C613" s="167" t="str">
        <f>IF(ISBLANK(DaqBook_RAW_Data!AH603),"",DaqBook_RAW_Data!AH603)</f>
        <v/>
      </c>
      <c r="D613" s="167" t="str">
        <f>IF(ISBLANK(DaqBook_RAW_Data!AI603),"",DaqBook_RAW_Data!AI603)</f>
        <v/>
      </c>
      <c r="E613" s="167" t="str">
        <f>IF(ISBLANK(DaqBook_RAW_Data!AJ603),"",DaqBook_RAW_Data!AJ603)</f>
        <v/>
      </c>
      <c r="F613" s="167" t="str">
        <f>IF(ISBLANK(DaqBook_RAW_Data!AK603),"",DaqBook_RAW_Data!AK603)</f>
        <v/>
      </c>
      <c r="G613" s="167" t="str">
        <f>IF(ISBLANK(DaqBook_RAW_Data!AL603),"",DaqBook_RAW_Data!AL603)</f>
        <v/>
      </c>
      <c r="H613" s="167" t="str">
        <f>IF(ISBLANK(DaqBook_RAW_Data!AM603),"",DaqBook_RAW_Data!AM603)</f>
        <v/>
      </c>
      <c r="I613" s="167" t="str">
        <f>IF(ISBLANK(DaqBook_RAW_Data!AN603),"",DaqBook_RAW_Data!AN603)</f>
        <v/>
      </c>
      <c r="J613" s="167" t="str">
        <f>IF(ISBLANK(DaqBook_RAW_Data!AO603),"",DaqBook_RAW_Data!AO603)</f>
        <v/>
      </c>
      <c r="K613" s="167" t="str">
        <f>IF(ISBLANK(DaqBook_RAW_Data!AP603),"",DaqBook_RAW_Data!AP603)</f>
        <v/>
      </c>
      <c r="L613" s="167" t="str">
        <f>IF(ISBLANK(DaqBook_RAW_Data!AQ603),"",DaqBook_RAW_Data!AQ603)</f>
        <v/>
      </c>
      <c r="M613" s="167" t="str">
        <f>IF(ISBLANK(DaqBook_RAW_Data!AR603),"",DaqBook_RAW_Data!AR603)</f>
        <v/>
      </c>
      <c r="N613" s="167" t="str">
        <f>IF(ISBLANK(DaqBook_RAW_Data!AS603),"",DaqBook_RAW_Data!AS603)</f>
        <v/>
      </c>
      <c r="O613" s="44"/>
      <c r="P613" s="44"/>
    </row>
    <row r="614" spans="1:16" x14ac:dyDescent="0.2">
      <c r="A614" s="58" t="e">
        <f t="shared" si="9"/>
        <v>#VALUE!</v>
      </c>
      <c r="B614" s="144" t="str">
        <f>IF(ISBLANK(DaqBook_RAW_Data!AG604),IF(DaqBook_RAW_Data!A604="","",TIMEVALUE(DaqBook_RAW_Data!A604)),TIMEVALUE(DaqBook_RAW_Data!AG604))</f>
        <v/>
      </c>
      <c r="C614" s="167" t="str">
        <f>IF(ISBLANK(DaqBook_RAW_Data!AH604),"",DaqBook_RAW_Data!AH604)</f>
        <v/>
      </c>
      <c r="D614" s="167" t="str">
        <f>IF(ISBLANK(DaqBook_RAW_Data!AI604),"",DaqBook_RAW_Data!AI604)</f>
        <v/>
      </c>
      <c r="E614" s="167" t="str">
        <f>IF(ISBLANK(DaqBook_RAW_Data!AJ604),"",DaqBook_RAW_Data!AJ604)</f>
        <v/>
      </c>
      <c r="F614" s="167" t="str">
        <f>IF(ISBLANK(DaqBook_RAW_Data!AK604),"",DaqBook_RAW_Data!AK604)</f>
        <v/>
      </c>
      <c r="G614" s="167" t="str">
        <f>IF(ISBLANK(DaqBook_RAW_Data!AL604),"",DaqBook_RAW_Data!AL604)</f>
        <v/>
      </c>
      <c r="H614" s="167" t="str">
        <f>IF(ISBLANK(DaqBook_RAW_Data!AM604),"",DaqBook_RAW_Data!AM604)</f>
        <v/>
      </c>
      <c r="I614" s="167" t="str">
        <f>IF(ISBLANK(DaqBook_RAW_Data!AN604),"",DaqBook_RAW_Data!AN604)</f>
        <v/>
      </c>
      <c r="J614" s="167" t="str">
        <f>IF(ISBLANK(DaqBook_RAW_Data!AO604),"",DaqBook_RAW_Data!AO604)</f>
        <v/>
      </c>
      <c r="K614" s="167" t="str">
        <f>IF(ISBLANK(DaqBook_RAW_Data!AP604),"",DaqBook_RAW_Data!AP604)</f>
        <v/>
      </c>
      <c r="L614" s="167" t="str">
        <f>IF(ISBLANK(DaqBook_RAW_Data!AQ604),"",DaqBook_RAW_Data!AQ604)</f>
        <v/>
      </c>
      <c r="M614" s="167" t="str">
        <f>IF(ISBLANK(DaqBook_RAW_Data!AR604),"",DaqBook_RAW_Data!AR604)</f>
        <v/>
      </c>
      <c r="N614" s="167" t="str">
        <f>IF(ISBLANK(DaqBook_RAW_Data!AS604),"",DaqBook_RAW_Data!AS604)</f>
        <v/>
      </c>
      <c r="O614" s="44"/>
      <c r="P614" s="44"/>
    </row>
    <row r="615" spans="1:16" x14ac:dyDescent="0.2">
      <c r="A615" s="58" t="e">
        <f t="shared" si="9"/>
        <v>#VALUE!</v>
      </c>
      <c r="B615" s="144" t="str">
        <f>IF(ISBLANK(DaqBook_RAW_Data!AG605),IF(DaqBook_RAW_Data!A605="","",TIMEVALUE(DaqBook_RAW_Data!A605)),TIMEVALUE(DaqBook_RAW_Data!AG605))</f>
        <v/>
      </c>
      <c r="C615" s="167" t="str">
        <f>IF(ISBLANK(DaqBook_RAW_Data!AH605),"",DaqBook_RAW_Data!AH605)</f>
        <v/>
      </c>
      <c r="D615" s="167" t="str">
        <f>IF(ISBLANK(DaqBook_RAW_Data!AI605),"",DaqBook_RAW_Data!AI605)</f>
        <v/>
      </c>
      <c r="E615" s="167" t="str">
        <f>IF(ISBLANK(DaqBook_RAW_Data!AJ605),"",DaqBook_RAW_Data!AJ605)</f>
        <v/>
      </c>
      <c r="F615" s="167" t="str">
        <f>IF(ISBLANK(DaqBook_RAW_Data!AK605),"",DaqBook_RAW_Data!AK605)</f>
        <v/>
      </c>
      <c r="G615" s="167" t="str">
        <f>IF(ISBLANK(DaqBook_RAW_Data!AL605),"",DaqBook_RAW_Data!AL605)</f>
        <v/>
      </c>
      <c r="H615" s="167" t="str">
        <f>IF(ISBLANK(DaqBook_RAW_Data!AM605),"",DaqBook_RAW_Data!AM605)</f>
        <v/>
      </c>
      <c r="I615" s="167" t="str">
        <f>IF(ISBLANK(DaqBook_RAW_Data!AN605),"",DaqBook_RAW_Data!AN605)</f>
        <v/>
      </c>
      <c r="J615" s="167" t="str">
        <f>IF(ISBLANK(DaqBook_RAW_Data!AO605),"",DaqBook_RAW_Data!AO605)</f>
        <v/>
      </c>
      <c r="K615" s="167" t="str">
        <f>IF(ISBLANK(DaqBook_RAW_Data!AP605),"",DaqBook_RAW_Data!AP605)</f>
        <v/>
      </c>
      <c r="L615" s="167" t="str">
        <f>IF(ISBLANK(DaqBook_RAW_Data!AQ605),"",DaqBook_RAW_Data!AQ605)</f>
        <v/>
      </c>
      <c r="M615" s="167" t="str">
        <f>IF(ISBLANK(DaqBook_RAW_Data!AR605),"",DaqBook_RAW_Data!AR605)</f>
        <v/>
      </c>
      <c r="N615" s="167" t="str">
        <f>IF(ISBLANK(DaqBook_RAW_Data!AS605),"",DaqBook_RAW_Data!AS605)</f>
        <v/>
      </c>
      <c r="O615" s="44"/>
      <c r="P615" s="44"/>
    </row>
    <row r="616" spans="1:16" x14ac:dyDescent="0.2">
      <c r="A616" s="58" t="e">
        <f t="shared" si="9"/>
        <v>#VALUE!</v>
      </c>
      <c r="B616" s="144" t="str">
        <f>IF(ISBLANK(DaqBook_RAW_Data!AG606),IF(DaqBook_RAW_Data!A606="","",TIMEVALUE(DaqBook_RAW_Data!A606)),TIMEVALUE(DaqBook_RAW_Data!AG606))</f>
        <v/>
      </c>
      <c r="C616" s="167" t="str">
        <f>IF(ISBLANK(DaqBook_RAW_Data!AH606),"",DaqBook_RAW_Data!AH606)</f>
        <v/>
      </c>
      <c r="D616" s="167" t="str">
        <f>IF(ISBLANK(DaqBook_RAW_Data!AI606),"",DaqBook_RAW_Data!AI606)</f>
        <v/>
      </c>
      <c r="E616" s="167" t="str">
        <f>IF(ISBLANK(DaqBook_RAW_Data!AJ606),"",DaqBook_RAW_Data!AJ606)</f>
        <v/>
      </c>
      <c r="F616" s="167" t="str">
        <f>IF(ISBLANK(DaqBook_RAW_Data!AK606),"",DaqBook_RAW_Data!AK606)</f>
        <v/>
      </c>
      <c r="G616" s="167" t="str">
        <f>IF(ISBLANK(DaqBook_RAW_Data!AL606),"",DaqBook_RAW_Data!AL606)</f>
        <v/>
      </c>
      <c r="H616" s="167" t="str">
        <f>IF(ISBLANK(DaqBook_RAW_Data!AM606),"",DaqBook_RAW_Data!AM606)</f>
        <v/>
      </c>
      <c r="I616" s="167" t="str">
        <f>IF(ISBLANK(DaqBook_RAW_Data!AN606),"",DaqBook_RAW_Data!AN606)</f>
        <v/>
      </c>
      <c r="J616" s="167" t="str">
        <f>IF(ISBLANK(DaqBook_RAW_Data!AO606),"",DaqBook_RAW_Data!AO606)</f>
        <v/>
      </c>
      <c r="K616" s="167" t="str">
        <f>IF(ISBLANK(DaqBook_RAW_Data!AP606),"",DaqBook_RAW_Data!AP606)</f>
        <v/>
      </c>
      <c r="L616" s="167" t="str">
        <f>IF(ISBLANK(DaqBook_RAW_Data!AQ606),"",DaqBook_RAW_Data!AQ606)</f>
        <v/>
      </c>
      <c r="M616" s="167" t="str">
        <f>IF(ISBLANK(DaqBook_RAW_Data!AR606),"",DaqBook_RAW_Data!AR606)</f>
        <v/>
      </c>
      <c r="N616" s="167" t="str">
        <f>IF(ISBLANK(DaqBook_RAW_Data!AS606),"",DaqBook_RAW_Data!AS606)</f>
        <v/>
      </c>
      <c r="O616" s="44"/>
      <c r="P616" s="44"/>
    </row>
    <row r="617" spans="1:16" x14ac:dyDescent="0.2">
      <c r="A617" s="58" t="e">
        <f t="shared" si="9"/>
        <v>#VALUE!</v>
      </c>
      <c r="B617" s="144" t="str">
        <f>IF(ISBLANK(DaqBook_RAW_Data!AG607),IF(DaqBook_RAW_Data!A607="","",TIMEVALUE(DaqBook_RAW_Data!A607)),TIMEVALUE(DaqBook_RAW_Data!AG607))</f>
        <v/>
      </c>
      <c r="C617" s="167" t="str">
        <f>IF(ISBLANK(DaqBook_RAW_Data!AH607),"",DaqBook_RAW_Data!AH607)</f>
        <v/>
      </c>
      <c r="D617" s="167" t="str">
        <f>IF(ISBLANK(DaqBook_RAW_Data!AI607),"",DaqBook_RAW_Data!AI607)</f>
        <v/>
      </c>
      <c r="E617" s="167" t="str">
        <f>IF(ISBLANK(DaqBook_RAW_Data!AJ607),"",DaqBook_RAW_Data!AJ607)</f>
        <v/>
      </c>
      <c r="F617" s="167" t="str">
        <f>IF(ISBLANK(DaqBook_RAW_Data!AK607),"",DaqBook_RAW_Data!AK607)</f>
        <v/>
      </c>
      <c r="G617" s="167" t="str">
        <f>IF(ISBLANK(DaqBook_RAW_Data!AL607),"",DaqBook_RAW_Data!AL607)</f>
        <v/>
      </c>
      <c r="H617" s="167" t="str">
        <f>IF(ISBLANK(DaqBook_RAW_Data!AM607),"",DaqBook_RAW_Data!AM607)</f>
        <v/>
      </c>
      <c r="I617" s="167" t="str">
        <f>IF(ISBLANK(DaqBook_RAW_Data!AN607),"",DaqBook_RAW_Data!AN607)</f>
        <v/>
      </c>
      <c r="J617" s="167" t="str">
        <f>IF(ISBLANK(DaqBook_RAW_Data!AO607),"",DaqBook_RAW_Data!AO607)</f>
        <v/>
      </c>
      <c r="K617" s="167" t="str">
        <f>IF(ISBLANK(DaqBook_RAW_Data!AP607),"",DaqBook_RAW_Data!AP607)</f>
        <v/>
      </c>
      <c r="L617" s="167" t="str">
        <f>IF(ISBLANK(DaqBook_RAW_Data!AQ607),"",DaqBook_RAW_Data!AQ607)</f>
        <v/>
      </c>
      <c r="M617" s="167" t="str">
        <f>IF(ISBLANK(DaqBook_RAW_Data!AR607),"",DaqBook_RAW_Data!AR607)</f>
        <v/>
      </c>
      <c r="N617" s="167" t="str">
        <f>IF(ISBLANK(DaqBook_RAW_Data!AS607),"",DaqBook_RAW_Data!AS607)</f>
        <v/>
      </c>
      <c r="O617" s="44"/>
      <c r="P617" s="44"/>
    </row>
    <row r="618" spans="1:16" x14ac:dyDescent="0.2">
      <c r="A618" s="58" t="e">
        <f t="shared" si="9"/>
        <v>#VALUE!</v>
      </c>
      <c r="B618" s="144" t="str">
        <f>IF(ISBLANK(DaqBook_RAW_Data!AG608),IF(DaqBook_RAW_Data!A608="","",TIMEVALUE(DaqBook_RAW_Data!A608)),TIMEVALUE(DaqBook_RAW_Data!AG608))</f>
        <v/>
      </c>
      <c r="C618" s="167" t="str">
        <f>IF(ISBLANK(DaqBook_RAW_Data!AH608),"",DaqBook_RAW_Data!AH608)</f>
        <v/>
      </c>
      <c r="D618" s="167" t="str">
        <f>IF(ISBLANK(DaqBook_RAW_Data!AI608),"",DaqBook_RAW_Data!AI608)</f>
        <v/>
      </c>
      <c r="E618" s="167" t="str">
        <f>IF(ISBLANK(DaqBook_RAW_Data!AJ608),"",DaqBook_RAW_Data!AJ608)</f>
        <v/>
      </c>
      <c r="F618" s="167" t="str">
        <f>IF(ISBLANK(DaqBook_RAW_Data!AK608),"",DaqBook_RAW_Data!AK608)</f>
        <v/>
      </c>
      <c r="G618" s="167" t="str">
        <f>IF(ISBLANK(DaqBook_RAW_Data!AL608),"",DaqBook_RAW_Data!AL608)</f>
        <v/>
      </c>
      <c r="H618" s="167" t="str">
        <f>IF(ISBLANK(DaqBook_RAW_Data!AM608),"",DaqBook_RAW_Data!AM608)</f>
        <v/>
      </c>
      <c r="I618" s="167" t="str">
        <f>IF(ISBLANK(DaqBook_RAW_Data!AN608),"",DaqBook_RAW_Data!AN608)</f>
        <v/>
      </c>
      <c r="J618" s="167" t="str">
        <f>IF(ISBLANK(DaqBook_RAW_Data!AO608),"",DaqBook_RAW_Data!AO608)</f>
        <v/>
      </c>
      <c r="K618" s="167" t="str">
        <f>IF(ISBLANK(DaqBook_RAW_Data!AP608),"",DaqBook_RAW_Data!AP608)</f>
        <v/>
      </c>
      <c r="L618" s="167" t="str">
        <f>IF(ISBLANK(DaqBook_RAW_Data!AQ608),"",DaqBook_RAW_Data!AQ608)</f>
        <v/>
      </c>
      <c r="M618" s="167" t="str">
        <f>IF(ISBLANK(DaqBook_RAW_Data!AR608),"",DaqBook_RAW_Data!AR608)</f>
        <v/>
      </c>
      <c r="N618" s="167" t="str">
        <f>IF(ISBLANK(DaqBook_RAW_Data!AS608),"",DaqBook_RAW_Data!AS608)</f>
        <v/>
      </c>
      <c r="O618" s="44"/>
      <c r="P618" s="44"/>
    </row>
    <row r="619" spans="1:16" x14ac:dyDescent="0.2">
      <c r="A619" s="58" t="e">
        <f t="shared" si="9"/>
        <v>#VALUE!</v>
      </c>
      <c r="B619" s="144" t="str">
        <f>IF(ISBLANK(DaqBook_RAW_Data!AG609),IF(DaqBook_RAW_Data!A609="","",TIMEVALUE(DaqBook_RAW_Data!A609)),TIMEVALUE(DaqBook_RAW_Data!AG609))</f>
        <v/>
      </c>
      <c r="C619" s="167" t="str">
        <f>IF(ISBLANK(DaqBook_RAW_Data!AH609),"",DaqBook_RAW_Data!AH609)</f>
        <v/>
      </c>
      <c r="D619" s="167" t="str">
        <f>IF(ISBLANK(DaqBook_RAW_Data!AI609),"",DaqBook_RAW_Data!AI609)</f>
        <v/>
      </c>
      <c r="E619" s="167" t="str">
        <f>IF(ISBLANK(DaqBook_RAW_Data!AJ609),"",DaqBook_RAW_Data!AJ609)</f>
        <v/>
      </c>
      <c r="F619" s="167" t="str">
        <f>IF(ISBLANK(DaqBook_RAW_Data!AK609),"",DaqBook_RAW_Data!AK609)</f>
        <v/>
      </c>
      <c r="G619" s="167" t="str">
        <f>IF(ISBLANK(DaqBook_RAW_Data!AL609),"",DaqBook_RAW_Data!AL609)</f>
        <v/>
      </c>
      <c r="H619" s="167" t="str">
        <f>IF(ISBLANK(DaqBook_RAW_Data!AM609),"",DaqBook_RAW_Data!AM609)</f>
        <v/>
      </c>
      <c r="I619" s="167" t="str">
        <f>IF(ISBLANK(DaqBook_RAW_Data!AN609),"",DaqBook_RAW_Data!AN609)</f>
        <v/>
      </c>
      <c r="J619" s="167" t="str">
        <f>IF(ISBLANK(DaqBook_RAW_Data!AO609),"",DaqBook_RAW_Data!AO609)</f>
        <v/>
      </c>
      <c r="K619" s="167" t="str">
        <f>IF(ISBLANK(DaqBook_RAW_Data!AP609),"",DaqBook_RAW_Data!AP609)</f>
        <v/>
      </c>
      <c r="L619" s="167" t="str">
        <f>IF(ISBLANK(DaqBook_RAW_Data!AQ609),"",DaqBook_RAW_Data!AQ609)</f>
        <v/>
      </c>
      <c r="M619" s="167" t="str">
        <f>IF(ISBLANK(DaqBook_RAW_Data!AR609),"",DaqBook_RAW_Data!AR609)</f>
        <v/>
      </c>
      <c r="N619" s="167" t="str">
        <f>IF(ISBLANK(DaqBook_RAW_Data!AS609),"",DaqBook_RAW_Data!AS609)</f>
        <v/>
      </c>
      <c r="O619" s="44"/>
      <c r="P619" s="44"/>
    </row>
    <row r="620" spans="1:16" x14ac:dyDescent="0.2">
      <c r="A620" s="58" t="e">
        <f t="shared" si="9"/>
        <v>#VALUE!</v>
      </c>
      <c r="B620" s="144" t="str">
        <f>IF(ISBLANK(DaqBook_RAW_Data!AG610),IF(DaqBook_RAW_Data!A610="","",TIMEVALUE(DaqBook_RAW_Data!A610)),TIMEVALUE(DaqBook_RAW_Data!AG610))</f>
        <v/>
      </c>
      <c r="C620" s="167" t="str">
        <f>IF(ISBLANK(DaqBook_RAW_Data!AH610),"",DaqBook_RAW_Data!AH610)</f>
        <v/>
      </c>
      <c r="D620" s="167" t="str">
        <f>IF(ISBLANK(DaqBook_RAW_Data!AI610),"",DaqBook_RAW_Data!AI610)</f>
        <v/>
      </c>
      <c r="E620" s="167" t="str">
        <f>IF(ISBLANK(DaqBook_RAW_Data!AJ610),"",DaqBook_RAW_Data!AJ610)</f>
        <v/>
      </c>
      <c r="F620" s="167" t="str">
        <f>IF(ISBLANK(DaqBook_RAW_Data!AK610),"",DaqBook_RAW_Data!AK610)</f>
        <v/>
      </c>
      <c r="G620" s="167" t="str">
        <f>IF(ISBLANK(DaqBook_RAW_Data!AL610),"",DaqBook_RAW_Data!AL610)</f>
        <v/>
      </c>
      <c r="H620" s="167" t="str">
        <f>IF(ISBLANK(DaqBook_RAW_Data!AM610),"",DaqBook_RAW_Data!AM610)</f>
        <v/>
      </c>
      <c r="I620" s="167" t="str">
        <f>IF(ISBLANK(DaqBook_RAW_Data!AN610),"",DaqBook_RAW_Data!AN610)</f>
        <v/>
      </c>
      <c r="J620" s="167" t="str">
        <f>IF(ISBLANK(DaqBook_RAW_Data!AO610),"",DaqBook_RAW_Data!AO610)</f>
        <v/>
      </c>
      <c r="K620" s="167" t="str">
        <f>IF(ISBLANK(DaqBook_RAW_Data!AP610),"",DaqBook_RAW_Data!AP610)</f>
        <v/>
      </c>
      <c r="L620" s="167" t="str">
        <f>IF(ISBLANK(DaqBook_RAW_Data!AQ610),"",DaqBook_RAW_Data!AQ610)</f>
        <v/>
      </c>
      <c r="M620" s="167" t="str">
        <f>IF(ISBLANK(DaqBook_RAW_Data!AR610),"",DaqBook_RAW_Data!AR610)</f>
        <v/>
      </c>
      <c r="N620" s="167" t="str">
        <f>IF(ISBLANK(DaqBook_RAW_Data!AS610),"",DaqBook_RAW_Data!AS610)</f>
        <v/>
      </c>
      <c r="O620" s="44"/>
      <c r="P620" s="44"/>
    </row>
    <row r="621" spans="1:16" x14ac:dyDescent="0.2">
      <c r="A621" s="58" t="e">
        <f t="shared" si="9"/>
        <v>#VALUE!</v>
      </c>
      <c r="B621" s="144" t="str">
        <f>IF(ISBLANK(DaqBook_RAW_Data!AG611),IF(DaqBook_RAW_Data!A611="","",TIMEVALUE(DaqBook_RAW_Data!A611)),TIMEVALUE(DaqBook_RAW_Data!AG611))</f>
        <v/>
      </c>
      <c r="C621" s="167" t="str">
        <f>IF(ISBLANK(DaqBook_RAW_Data!AH611),"",DaqBook_RAW_Data!AH611)</f>
        <v/>
      </c>
      <c r="D621" s="167" t="str">
        <f>IF(ISBLANK(DaqBook_RAW_Data!AI611),"",DaqBook_RAW_Data!AI611)</f>
        <v/>
      </c>
      <c r="E621" s="167" t="str">
        <f>IF(ISBLANK(DaqBook_RAW_Data!AJ611),"",DaqBook_RAW_Data!AJ611)</f>
        <v/>
      </c>
      <c r="F621" s="167" t="str">
        <f>IF(ISBLANK(DaqBook_RAW_Data!AK611),"",DaqBook_RAW_Data!AK611)</f>
        <v/>
      </c>
      <c r="G621" s="167" t="str">
        <f>IF(ISBLANK(DaqBook_RAW_Data!AL611),"",DaqBook_RAW_Data!AL611)</f>
        <v/>
      </c>
      <c r="H621" s="167" t="str">
        <f>IF(ISBLANK(DaqBook_RAW_Data!AM611),"",DaqBook_RAW_Data!AM611)</f>
        <v/>
      </c>
      <c r="I621" s="167" t="str">
        <f>IF(ISBLANK(DaqBook_RAW_Data!AN611),"",DaqBook_RAW_Data!AN611)</f>
        <v/>
      </c>
      <c r="J621" s="167" t="str">
        <f>IF(ISBLANK(DaqBook_RAW_Data!AO611),"",DaqBook_RAW_Data!AO611)</f>
        <v/>
      </c>
      <c r="K621" s="167" t="str">
        <f>IF(ISBLANK(DaqBook_RAW_Data!AP611),"",DaqBook_RAW_Data!AP611)</f>
        <v/>
      </c>
      <c r="L621" s="167" t="str">
        <f>IF(ISBLANK(DaqBook_RAW_Data!AQ611),"",DaqBook_RAW_Data!AQ611)</f>
        <v/>
      </c>
      <c r="M621" s="167" t="str">
        <f>IF(ISBLANK(DaqBook_RAW_Data!AR611),"",DaqBook_RAW_Data!AR611)</f>
        <v/>
      </c>
      <c r="N621" s="167" t="str">
        <f>IF(ISBLANK(DaqBook_RAW_Data!AS611),"",DaqBook_RAW_Data!AS611)</f>
        <v/>
      </c>
      <c r="O621" s="44"/>
      <c r="P621" s="44"/>
    </row>
    <row r="622" spans="1:16" x14ac:dyDescent="0.2">
      <c r="A622" s="58" t="e">
        <f t="shared" si="9"/>
        <v>#VALUE!</v>
      </c>
      <c r="B622" s="144" t="str">
        <f>IF(ISBLANK(DaqBook_RAW_Data!AG612),IF(DaqBook_RAW_Data!A612="","",TIMEVALUE(DaqBook_RAW_Data!A612)),TIMEVALUE(DaqBook_RAW_Data!AG612))</f>
        <v/>
      </c>
      <c r="C622" s="167" t="str">
        <f>IF(ISBLANK(DaqBook_RAW_Data!AH612),"",DaqBook_RAW_Data!AH612)</f>
        <v/>
      </c>
      <c r="D622" s="167" t="str">
        <f>IF(ISBLANK(DaqBook_RAW_Data!AI612),"",DaqBook_RAW_Data!AI612)</f>
        <v/>
      </c>
      <c r="E622" s="167" t="str">
        <f>IF(ISBLANK(DaqBook_RAW_Data!AJ612),"",DaqBook_RAW_Data!AJ612)</f>
        <v/>
      </c>
      <c r="F622" s="167" t="str">
        <f>IF(ISBLANK(DaqBook_RAW_Data!AK612),"",DaqBook_RAW_Data!AK612)</f>
        <v/>
      </c>
      <c r="G622" s="167" t="str">
        <f>IF(ISBLANK(DaqBook_RAW_Data!AL612),"",DaqBook_RAW_Data!AL612)</f>
        <v/>
      </c>
      <c r="H622" s="167" t="str">
        <f>IF(ISBLANK(DaqBook_RAW_Data!AM612),"",DaqBook_RAW_Data!AM612)</f>
        <v/>
      </c>
      <c r="I622" s="167" t="str">
        <f>IF(ISBLANK(DaqBook_RAW_Data!AN612),"",DaqBook_RAW_Data!AN612)</f>
        <v/>
      </c>
      <c r="J622" s="167" t="str">
        <f>IF(ISBLANK(DaqBook_RAW_Data!AO612),"",DaqBook_RAW_Data!AO612)</f>
        <v/>
      </c>
      <c r="K622" s="167" t="str">
        <f>IF(ISBLANK(DaqBook_RAW_Data!AP612),"",DaqBook_RAW_Data!AP612)</f>
        <v/>
      </c>
      <c r="L622" s="167" t="str">
        <f>IF(ISBLANK(DaqBook_RAW_Data!AQ612),"",DaqBook_RAW_Data!AQ612)</f>
        <v/>
      </c>
      <c r="M622" s="167" t="str">
        <f>IF(ISBLANK(DaqBook_RAW_Data!AR612),"",DaqBook_RAW_Data!AR612)</f>
        <v/>
      </c>
      <c r="N622" s="167" t="str">
        <f>IF(ISBLANK(DaqBook_RAW_Data!AS612),"",DaqBook_RAW_Data!AS612)</f>
        <v/>
      </c>
      <c r="O622" s="44"/>
      <c r="P622" s="44"/>
    </row>
    <row r="623" spans="1:16" x14ac:dyDescent="0.2">
      <c r="A623" s="58" t="e">
        <f t="shared" si="9"/>
        <v>#VALUE!</v>
      </c>
      <c r="B623" s="144" t="str">
        <f>IF(ISBLANK(DaqBook_RAW_Data!AG613),IF(DaqBook_RAW_Data!A613="","",TIMEVALUE(DaqBook_RAW_Data!A613)),TIMEVALUE(DaqBook_RAW_Data!AG613))</f>
        <v/>
      </c>
      <c r="C623" s="167" t="str">
        <f>IF(ISBLANK(DaqBook_RAW_Data!AH613),"",DaqBook_RAW_Data!AH613)</f>
        <v/>
      </c>
      <c r="D623" s="167" t="str">
        <f>IF(ISBLANK(DaqBook_RAW_Data!AI613),"",DaqBook_RAW_Data!AI613)</f>
        <v/>
      </c>
      <c r="E623" s="167" t="str">
        <f>IF(ISBLANK(DaqBook_RAW_Data!AJ613),"",DaqBook_RAW_Data!AJ613)</f>
        <v/>
      </c>
      <c r="F623" s="167" t="str">
        <f>IF(ISBLANK(DaqBook_RAW_Data!AK613),"",DaqBook_RAW_Data!AK613)</f>
        <v/>
      </c>
      <c r="G623" s="167" t="str">
        <f>IF(ISBLANK(DaqBook_RAW_Data!AL613),"",DaqBook_RAW_Data!AL613)</f>
        <v/>
      </c>
      <c r="H623" s="167" t="str">
        <f>IF(ISBLANK(DaqBook_RAW_Data!AM613),"",DaqBook_RAW_Data!AM613)</f>
        <v/>
      </c>
      <c r="I623" s="167" t="str">
        <f>IF(ISBLANK(DaqBook_RAW_Data!AN613),"",DaqBook_RAW_Data!AN613)</f>
        <v/>
      </c>
      <c r="J623" s="167" t="str">
        <f>IF(ISBLANK(DaqBook_RAW_Data!AO613),"",DaqBook_RAW_Data!AO613)</f>
        <v/>
      </c>
      <c r="K623" s="167" t="str">
        <f>IF(ISBLANK(DaqBook_RAW_Data!AP613),"",DaqBook_RAW_Data!AP613)</f>
        <v/>
      </c>
      <c r="L623" s="167" t="str">
        <f>IF(ISBLANK(DaqBook_RAW_Data!AQ613),"",DaqBook_RAW_Data!AQ613)</f>
        <v/>
      </c>
      <c r="M623" s="167" t="str">
        <f>IF(ISBLANK(DaqBook_RAW_Data!AR613),"",DaqBook_RAW_Data!AR613)</f>
        <v/>
      </c>
      <c r="N623" s="167" t="str">
        <f>IF(ISBLANK(DaqBook_RAW_Data!AS613),"",DaqBook_RAW_Data!AS613)</f>
        <v/>
      </c>
      <c r="O623" s="44"/>
      <c r="P623" s="44"/>
    </row>
    <row r="624" spans="1:16" x14ac:dyDescent="0.2">
      <c r="A624" s="58" t="e">
        <f t="shared" si="9"/>
        <v>#VALUE!</v>
      </c>
      <c r="B624" s="144" t="str">
        <f>IF(ISBLANK(DaqBook_RAW_Data!AG614),IF(DaqBook_RAW_Data!A614="","",TIMEVALUE(DaqBook_RAW_Data!A614)),TIMEVALUE(DaqBook_RAW_Data!AG614))</f>
        <v/>
      </c>
      <c r="C624" s="167" t="str">
        <f>IF(ISBLANK(DaqBook_RAW_Data!AH614),"",DaqBook_RAW_Data!AH614)</f>
        <v/>
      </c>
      <c r="D624" s="167" t="str">
        <f>IF(ISBLANK(DaqBook_RAW_Data!AI614),"",DaqBook_RAW_Data!AI614)</f>
        <v/>
      </c>
      <c r="E624" s="167" t="str">
        <f>IF(ISBLANK(DaqBook_RAW_Data!AJ614),"",DaqBook_RAW_Data!AJ614)</f>
        <v/>
      </c>
      <c r="F624" s="167" t="str">
        <f>IF(ISBLANK(DaqBook_RAW_Data!AK614),"",DaqBook_RAW_Data!AK614)</f>
        <v/>
      </c>
      <c r="G624" s="167" t="str">
        <f>IF(ISBLANK(DaqBook_RAW_Data!AL614),"",DaqBook_RAW_Data!AL614)</f>
        <v/>
      </c>
      <c r="H624" s="167" t="str">
        <f>IF(ISBLANK(DaqBook_RAW_Data!AM614),"",DaqBook_RAW_Data!AM614)</f>
        <v/>
      </c>
      <c r="I624" s="167" t="str">
        <f>IF(ISBLANK(DaqBook_RAW_Data!AN614),"",DaqBook_RAW_Data!AN614)</f>
        <v/>
      </c>
      <c r="J624" s="167" t="str">
        <f>IF(ISBLANK(DaqBook_RAW_Data!AO614),"",DaqBook_RAW_Data!AO614)</f>
        <v/>
      </c>
      <c r="K624" s="167" t="str">
        <f>IF(ISBLANK(DaqBook_RAW_Data!AP614),"",DaqBook_RAW_Data!AP614)</f>
        <v/>
      </c>
      <c r="L624" s="167" t="str">
        <f>IF(ISBLANK(DaqBook_RAW_Data!AQ614),"",DaqBook_RAW_Data!AQ614)</f>
        <v/>
      </c>
      <c r="M624" s="167" t="str">
        <f>IF(ISBLANK(DaqBook_RAW_Data!AR614),"",DaqBook_RAW_Data!AR614)</f>
        <v/>
      </c>
      <c r="N624" s="167" t="str">
        <f>IF(ISBLANK(DaqBook_RAW_Data!AS614),"",DaqBook_RAW_Data!AS614)</f>
        <v/>
      </c>
      <c r="O624" s="44"/>
      <c r="P624" s="44"/>
    </row>
    <row r="625" spans="1:16" x14ac:dyDescent="0.2">
      <c r="A625" s="58" t="e">
        <f t="shared" si="9"/>
        <v>#VALUE!</v>
      </c>
      <c r="B625" s="144" t="str">
        <f>IF(ISBLANK(DaqBook_RAW_Data!AG615),IF(DaqBook_RAW_Data!A615="","",TIMEVALUE(DaqBook_RAW_Data!A615)),TIMEVALUE(DaqBook_RAW_Data!AG615))</f>
        <v/>
      </c>
      <c r="C625" s="167" t="str">
        <f>IF(ISBLANK(DaqBook_RAW_Data!AH615),"",DaqBook_RAW_Data!AH615)</f>
        <v/>
      </c>
      <c r="D625" s="167" t="str">
        <f>IF(ISBLANK(DaqBook_RAW_Data!AI615),"",DaqBook_RAW_Data!AI615)</f>
        <v/>
      </c>
      <c r="E625" s="167" t="str">
        <f>IF(ISBLANK(DaqBook_RAW_Data!AJ615),"",DaqBook_RAW_Data!AJ615)</f>
        <v/>
      </c>
      <c r="F625" s="167" t="str">
        <f>IF(ISBLANK(DaqBook_RAW_Data!AK615),"",DaqBook_RAW_Data!AK615)</f>
        <v/>
      </c>
      <c r="G625" s="167" t="str">
        <f>IF(ISBLANK(DaqBook_RAW_Data!AL615),"",DaqBook_RAW_Data!AL615)</f>
        <v/>
      </c>
      <c r="H625" s="167" t="str">
        <f>IF(ISBLANK(DaqBook_RAW_Data!AM615),"",DaqBook_RAW_Data!AM615)</f>
        <v/>
      </c>
      <c r="I625" s="167" t="str">
        <f>IF(ISBLANK(DaqBook_RAW_Data!AN615),"",DaqBook_RAW_Data!AN615)</f>
        <v/>
      </c>
      <c r="J625" s="167" t="str">
        <f>IF(ISBLANK(DaqBook_RAW_Data!AO615),"",DaqBook_RAW_Data!AO615)</f>
        <v/>
      </c>
      <c r="K625" s="167" t="str">
        <f>IF(ISBLANK(DaqBook_RAW_Data!AP615),"",DaqBook_RAW_Data!AP615)</f>
        <v/>
      </c>
      <c r="L625" s="167" t="str">
        <f>IF(ISBLANK(DaqBook_RAW_Data!AQ615),"",DaqBook_RAW_Data!AQ615)</f>
        <v/>
      </c>
      <c r="M625" s="167" t="str">
        <f>IF(ISBLANK(DaqBook_RAW_Data!AR615),"",DaqBook_RAW_Data!AR615)</f>
        <v/>
      </c>
      <c r="N625" s="167" t="str">
        <f>IF(ISBLANK(DaqBook_RAW_Data!AS615),"",DaqBook_RAW_Data!AS615)</f>
        <v/>
      </c>
      <c r="O625" s="44"/>
      <c r="P625" s="44"/>
    </row>
    <row r="626" spans="1:16" x14ac:dyDescent="0.2">
      <c r="A626" s="58" t="e">
        <f t="shared" si="9"/>
        <v>#VALUE!</v>
      </c>
      <c r="B626" s="144" t="str">
        <f>IF(ISBLANK(DaqBook_RAW_Data!AG616),IF(DaqBook_RAW_Data!A616="","",TIMEVALUE(DaqBook_RAW_Data!A616)),TIMEVALUE(DaqBook_RAW_Data!AG616))</f>
        <v/>
      </c>
      <c r="C626" s="167" t="str">
        <f>IF(ISBLANK(DaqBook_RAW_Data!AH616),"",DaqBook_RAW_Data!AH616)</f>
        <v/>
      </c>
      <c r="D626" s="167" t="str">
        <f>IF(ISBLANK(DaqBook_RAW_Data!AI616),"",DaqBook_RAW_Data!AI616)</f>
        <v/>
      </c>
      <c r="E626" s="167" t="str">
        <f>IF(ISBLANK(DaqBook_RAW_Data!AJ616),"",DaqBook_RAW_Data!AJ616)</f>
        <v/>
      </c>
      <c r="F626" s="167" t="str">
        <f>IF(ISBLANK(DaqBook_RAW_Data!AK616),"",DaqBook_RAW_Data!AK616)</f>
        <v/>
      </c>
      <c r="G626" s="167" t="str">
        <f>IF(ISBLANK(DaqBook_RAW_Data!AL616),"",DaqBook_RAW_Data!AL616)</f>
        <v/>
      </c>
      <c r="H626" s="167" t="str">
        <f>IF(ISBLANK(DaqBook_RAW_Data!AM616),"",DaqBook_RAW_Data!AM616)</f>
        <v/>
      </c>
      <c r="I626" s="167" t="str">
        <f>IF(ISBLANK(DaqBook_RAW_Data!AN616),"",DaqBook_RAW_Data!AN616)</f>
        <v/>
      </c>
      <c r="J626" s="167" t="str">
        <f>IF(ISBLANK(DaqBook_RAW_Data!AO616),"",DaqBook_RAW_Data!AO616)</f>
        <v/>
      </c>
      <c r="K626" s="167" t="str">
        <f>IF(ISBLANK(DaqBook_RAW_Data!AP616),"",DaqBook_RAW_Data!AP616)</f>
        <v/>
      </c>
      <c r="L626" s="167" t="str">
        <f>IF(ISBLANK(DaqBook_RAW_Data!AQ616),"",DaqBook_RAW_Data!AQ616)</f>
        <v/>
      </c>
      <c r="M626" s="167" t="str">
        <f>IF(ISBLANK(DaqBook_RAW_Data!AR616),"",DaqBook_RAW_Data!AR616)</f>
        <v/>
      </c>
      <c r="N626" s="167" t="str">
        <f>IF(ISBLANK(DaqBook_RAW_Data!AS616),"",DaqBook_RAW_Data!AS616)</f>
        <v/>
      </c>
      <c r="O626" s="44"/>
      <c r="P626" s="44"/>
    </row>
    <row r="627" spans="1:16" x14ac:dyDescent="0.2">
      <c r="A627" s="58" t="e">
        <f t="shared" si="9"/>
        <v>#VALUE!</v>
      </c>
      <c r="B627" s="144" t="str">
        <f>IF(ISBLANK(DaqBook_RAW_Data!AG617),IF(DaqBook_RAW_Data!A617="","",TIMEVALUE(DaqBook_RAW_Data!A617)),TIMEVALUE(DaqBook_RAW_Data!AG617))</f>
        <v/>
      </c>
      <c r="C627" s="167" t="str">
        <f>IF(ISBLANK(DaqBook_RAW_Data!AH617),"",DaqBook_RAW_Data!AH617)</f>
        <v/>
      </c>
      <c r="D627" s="167" t="str">
        <f>IF(ISBLANK(DaqBook_RAW_Data!AI617),"",DaqBook_RAW_Data!AI617)</f>
        <v/>
      </c>
      <c r="E627" s="167" t="str">
        <f>IF(ISBLANK(DaqBook_RAW_Data!AJ617),"",DaqBook_RAW_Data!AJ617)</f>
        <v/>
      </c>
      <c r="F627" s="167" t="str">
        <f>IF(ISBLANK(DaqBook_RAW_Data!AK617),"",DaqBook_RAW_Data!AK617)</f>
        <v/>
      </c>
      <c r="G627" s="167" t="str">
        <f>IF(ISBLANK(DaqBook_RAW_Data!AL617),"",DaqBook_RAW_Data!AL617)</f>
        <v/>
      </c>
      <c r="H627" s="167" t="str">
        <f>IF(ISBLANK(DaqBook_RAW_Data!AM617),"",DaqBook_RAW_Data!AM617)</f>
        <v/>
      </c>
      <c r="I627" s="167" t="str">
        <f>IF(ISBLANK(DaqBook_RAW_Data!AN617),"",DaqBook_RAW_Data!AN617)</f>
        <v/>
      </c>
      <c r="J627" s="167" t="str">
        <f>IF(ISBLANK(DaqBook_RAW_Data!AO617),"",DaqBook_RAW_Data!AO617)</f>
        <v/>
      </c>
      <c r="K627" s="167" t="str">
        <f>IF(ISBLANK(DaqBook_RAW_Data!AP617),"",DaqBook_RAW_Data!AP617)</f>
        <v/>
      </c>
      <c r="L627" s="167" t="str">
        <f>IF(ISBLANK(DaqBook_RAW_Data!AQ617),"",DaqBook_RAW_Data!AQ617)</f>
        <v/>
      </c>
      <c r="M627" s="167" t="str">
        <f>IF(ISBLANK(DaqBook_RAW_Data!AR617),"",DaqBook_RAW_Data!AR617)</f>
        <v/>
      </c>
      <c r="N627" s="167" t="str">
        <f>IF(ISBLANK(DaqBook_RAW_Data!AS617),"",DaqBook_RAW_Data!AS617)</f>
        <v/>
      </c>
      <c r="O627" s="44"/>
      <c r="P627" s="44"/>
    </row>
    <row r="628" spans="1:16" x14ac:dyDescent="0.2">
      <c r="A628" s="58" t="e">
        <f t="shared" si="9"/>
        <v>#VALUE!</v>
      </c>
      <c r="B628" s="144" t="str">
        <f>IF(ISBLANK(DaqBook_RAW_Data!AG618),IF(DaqBook_RAW_Data!A618="","",TIMEVALUE(DaqBook_RAW_Data!A618)),TIMEVALUE(DaqBook_RAW_Data!AG618))</f>
        <v/>
      </c>
      <c r="C628" s="167" t="str">
        <f>IF(ISBLANK(DaqBook_RAW_Data!AH618),"",DaqBook_RAW_Data!AH618)</f>
        <v/>
      </c>
      <c r="D628" s="167" t="str">
        <f>IF(ISBLANK(DaqBook_RAW_Data!AI618),"",DaqBook_RAW_Data!AI618)</f>
        <v/>
      </c>
      <c r="E628" s="167" t="str">
        <f>IF(ISBLANK(DaqBook_RAW_Data!AJ618),"",DaqBook_RAW_Data!AJ618)</f>
        <v/>
      </c>
      <c r="F628" s="167" t="str">
        <f>IF(ISBLANK(DaqBook_RAW_Data!AK618),"",DaqBook_RAW_Data!AK618)</f>
        <v/>
      </c>
      <c r="G628" s="167" t="str">
        <f>IF(ISBLANK(DaqBook_RAW_Data!AL618),"",DaqBook_RAW_Data!AL618)</f>
        <v/>
      </c>
      <c r="H628" s="167" t="str">
        <f>IF(ISBLANK(DaqBook_RAW_Data!AM618),"",DaqBook_RAW_Data!AM618)</f>
        <v/>
      </c>
      <c r="I628" s="167" t="str">
        <f>IF(ISBLANK(DaqBook_RAW_Data!AN618),"",DaqBook_RAW_Data!AN618)</f>
        <v/>
      </c>
      <c r="J628" s="167" t="str">
        <f>IF(ISBLANK(DaqBook_RAW_Data!AO618),"",DaqBook_RAW_Data!AO618)</f>
        <v/>
      </c>
      <c r="K628" s="167" t="str">
        <f>IF(ISBLANK(DaqBook_RAW_Data!AP618),"",DaqBook_RAW_Data!AP618)</f>
        <v/>
      </c>
      <c r="L628" s="167" t="str">
        <f>IF(ISBLANK(DaqBook_RAW_Data!AQ618),"",DaqBook_RAW_Data!AQ618)</f>
        <v/>
      </c>
      <c r="M628" s="167" t="str">
        <f>IF(ISBLANK(DaqBook_RAW_Data!AR618),"",DaqBook_RAW_Data!AR618)</f>
        <v/>
      </c>
      <c r="N628" s="167" t="str">
        <f>IF(ISBLANK(DaqBook_RAW_Data!AS618),"",DaqBook_RAW_Data!AS618)</f>
        <v/>
      </c>
      <c r="O628" s="44"/>
      <c r="P628" s="44"/>
    </row>
    <row r="629" spans="1:16" x14ac:dyDescent="0.2">
      <c r="A629" s="58" t="e">
        <f t="shared" si="9"/>
        <v>#VALUE!</v>
      </c>
      <c r="B629" s="144" t="str">
        <f>IF(ISBLANK(DaqBook_RAW_Data!AG619),IF(DaqBook_RAW_Data!A619="","",TIMEVALUE(DaqBook_RAW_Data!A619)),TIMEVALUE(DaqBook_RAW_Data!AG619))</f>
        <v/>
      </c>
      <c r="C629" s="167" t="str">
        <f>IF(ISBLANK(DaqBook_RAW_Data!AH619),"",DaqBook_RAW_Data!AH619)</f>
        <v/>
      </c>
      <c r="D629" s="167" t="str">
        <f>IF(ISBLANK(DaqBook_RAW_Data!AI619),"",DaqBook_RAW_Data!AI619)</f>
        <v/>
      </c>
      <c r="E629" s="167" t="str">
        <f>IF(ISBLANK(DaqBook_RAW_Data!AJ619),"",DaqBook_RAW_Data!AJ619)</f>
        <v/>
      </c>
      <c r="F629" s="167" t="str">
        <f>IF(ISBLANK(DaqBook_RAW_Data!AK619),"",DaqBook_RAW_Data!AK619)</f>
        <v/>
      </c>
      <c r="G629" s="167" t="str">
        <f>IF(ISBLANK(DaqBook_RAW_Data!AL619),"",DaqBook_RAW_Data!AL619)</f>
        <v/>
      </c>
      <c r="H629" s="167" t="str">
        <f>IF(ISBLANK(DaqBook_RAW_Data!AM619),"",DaqBook_RAW_Data!AM619)</f>
        <v/>
      </c>
      <c r="I629" s="167" t="str">
        <f>IF(ISBLANK(DaqBook_RAW_Data!AN619),"",DaqBook_RAW_Data!AN619)</f>
        <v/>
      </c>
      <c r="J629" s="167" t="str">
        <f>IF(ISBLANK(DaqBook_RAW_Data!AO619),"",DaqBook_RAW_Data!AO619)</f>
        <v/>
      </c>
      <c r="K629" s="167" t="str">
        <f>IF(ISBLANK(DaqBook_RAW_Data!AP619),"",DaqBook_RAW_Data!AP619)</f>
        <v/>
      </c>
      <c r="L629" s="167" t="str">
        <f>IF(ISBLANK(DaqBook_RAW_Data!AQ619),"",DaqBook_RAW_Data!AQ619)</f>
        <v/>
      </c>
      <c r="M629" s="167" t="str">
        <f>IF(ISBLANK(DaqBook_RAW_Data!AR619),"",DaqBook_RAW_Data!AR619)</f>
        <v/>
      </c>
      <c r="N629" s="167" t="str">
        <f>IF(ISBLANK(DaqBook_RAW_Data!AS619),"",DaqBook_RAW_Data!AS619)</f>
        <v/>
      </c>
      <c r="O629" s="44"/>
      <c r="P629" s="44"/>
    </row>
    <row r="630" spans="1:16" x14ac:dyDescent="0.2">
      <c r="A630" s="58" t="e">
        <f t="shared" si="9"/>
        <v>#VALUE!</v>
      </c>
      <c r="B630" s="144" t="str">
        <f>IF(ISBLANK(DaqBook_RAW_Data!AG620),IF(DaqBook_RAW_Data!A620="","",TIMEVALUE(DaqBook_RAW_Data!A620)),TIMEVALUE(DaqBook_RAW_Data!AG620))</f>
        <v/>
      </c>
      <c r="C630" s="167" t="str">
        <f>IF(ISBLANK(DaqBook_RAW_Data!AH620),"",DaqBook_RAW_Data!AH620)</f>
        <v/>
      </c>
      <c r="D630" s="167" t="str">
        <f>IF(ISBLANK(DaqBook_RAW_Data!AI620),"",DaqBook_RAW_Data!AI620)</f>
        <v/>
      </c>
      <c r="E630" s="167" t="str">
        <f>IF(ISBLANK(DaqBook_RAW_Data!AJ620),"",DaqBook_RAW_Data!AJ620)</f>
        <v/>
      </c>
      <c r="F630" s="167" t="str">
        <f>IF(ISBLANK(DaqBook_RAW_Data!AK620),"",DaqBook_RAW_Data!AK620)</f>
        <v/>
      </c>
      <c r="G630" s="167" t="str">
        <f>IF(ISBLANK(DaqBook_RAW_Data!AL620),"",DaqBook_RAW_Data!AL620)</f>
        <v/>
      </c>
      <c r="H630" s="167" t="str">
        <f>IF(ISBLANK(DaqBook_RAW_Data!AM620),"",DaqBook_RAW_Data!AM620)</f>
        <v/>
      </c>
      <c r="I630" s="167" t="str">
        <f>IF(ISBLANK(DaqBook_RAW_Data!AN620),"",DaqBook_RAW_Data!AN620)</f>
        <v/>
      </c>
      <c r="J630" s="167" t="str">
        <f>IF(ISBLANK(DaqBook_RAW_Data!AO620),"",DaqBook_RAW_Data!AO620)</f>
        <v/>
      </c>
      <c r="K630" s="167" t="str">
        <f>IF(ISBLANK(DaqBook_RAW_Data!AP620),"",DaqBook_RAW_Data!AP620)</f>
        <v/>
      </c>
      <c r="L630" s="167" t="str">
        <f>IF(ISBLANK(DaqBook_RAW_Data!AQ620),"",DaqBook_RAW_Data!AQ620)</f>
        <v/>
      </c>
      <c r="M630" s="167" t="str">
        <f>IF(ISBLANK(DaqBook_RAW_Data!AR620),"",DaqBook_RAW_Data!AR620)</f>
        <v/>
      </c>
      <c r="N630" s="167" t="str">
        <f>IF(ISBLANK(DaqBook_RAW_Data!AS620),"",DaqBook_RAW_Data!AS620)</f>
        <v/>
      </c>
      <c r="O630" s="44"/>
      <c r="P630" s="44"/>
    </row>
    <row r="631" spans="1:16" x14ac:dyDescent="0.2">
      <c r="A631" s="58" t="e">
        <f t="shared" si="9"/>
        <v>#VALUE!</v>
      </c>
      <c r="B631" s="144" t="str">
        <f>IF(ISBLANK(DaqBook_RAW_Data!AG621),IF(DaqBook_RAW_Data!A621="","",TIMEVALUE(DaqBook_RAW_Data!A621)),TIMEVALUE(DaqBook_RAW_Data!AG621))</f>
        <v/>
      </c>
      <c r="C631" s="167" t="str">
        <f>IF(ISBLANK(DaqBook_RAW_Data!AH621),"",DaqBook_RAW_Data!AH621)</f>
        <v/>
      </c>
      <c r="D631" s="167" t="str">
        <f>IF(ISBLANK(DaqBook_RAW_Data!AI621),"",DaqBook_RAW_Data!AI621)</f>
        <v/>
      </c>
      <c r="E631" s="167" t="str">
        <f>IF(ISBLANK(DaqBook_RAW_Data!AJ621),"",DaqBook_RAW_Data!AJ621)</f>
        <v/>
      </c>
      <c r="F631" s="167" t="str">
        <f>IF(ISBLANK(DaqBook_RAW_Data!AK621),"",DaqBook_RAW_Data!AK621)</f>
        <v/>
      </c>
      <c r="G631" s="167" t="str">
        <f>IF(ISBLANK(DaqBook_RAW_Data!AL621),"",DaqBook_RAW_Data!AL621)</f>
        <v/>
      </c>
      <c r="H631" s="167" t="str">
        <f>IF(ISBLANK(DaqBook_RAW_Data!AM621),"",DaqBook_RAW_Data!AM621)</f>
        <v/>
      </c>
      <c r="I631" s="167" t="str">
        <f>IF(ISBLANK(DaqBook_RAW_Data!AN621),"",DaqBook_RAW_Data!AN621)</f>
        <v/>
      </c>
      <c r="J631" s="167" t="str">
        <f>IF(ISBLANK(DaqBook_RAW_Data!AO621),"",DaqBook_RAW_Data!AO621)</f>
        <v/>
      </c>
      <c r="K631" s="167" t="str">
        <f>IF(ISBLANK(DaqBook_RAW_Data!AP621),"",DaqBook_RAW_Data!AP621)</f>
        <v/>
      </c>
      <c r="L631" s="167" t="str">
        <f>IF(ISBLANK(DaqBook_RAW_Data!AQ621),"",DaqBook_RAW_Data!AQ621)</f>
        <v/>
      </c>
      <c r="M631" s="167" t="str">
        <f>IF(ISBLANK(DaqBook_RAW_Data!AR621),"",DaqBook_RAW_Data!AR621)</f>
        <v/>
      </c>
      <c r="N631" s="167" t="str">
        <f>IF(ISBLANK(DaqBook_RAW_Data!AS621),"",DaqBook_RAW_Data!AS621)</f>
        <v/>
      </c>
      <c r="O631" s="44"/>
      <c r="P631" s="44"/>
    </row>
    <row r="632" spans="1:16" x14ac:dyDescent="0.2">
      <c r="A632" s="58" t="e">
        <f t="shared" si="9"/>
        <v>#VALUE!</v>
      </c>
      <c r="B632" s="144" t="str">
        <f>IF(ISBLANK(DaqBook_RAW_Data!AG622),IF(DaqBook_RAW_Data!A622="","",TIMEVALUE(DaqBook_RAW_Data!A622)),TIMEVALUE(DaqBook_RAW_Data!AG622))</f>
        <v/>
      </c>
      <c r="C632" s="167" t="str">
        <f>IF(ISBLANK(DaqBook_RAW_Data!AH622),"",DaqBook_RAW_Data!AH622)</f>
        <v/>
      </c>
      <c r="D632" s="167" t="str">
        <f>IF(ISBLANK(DaqBook_RAW_Data!AI622),"",DaqBook_RAW_Data!AI622)</f>
        <v/>
      </c>
      <c r="E632" s="167" t="str">
        <f>IF(ISBLANK(DaqBook_RAW_Data!AJ622),"",DaqBook_RAW_Data!AJ622)</f>
        <v/>
      </c>
      <c r="F632" s="167" t="str">
        <f>IF(ISBLANK(DaqBook_RAW_Data!AK622),"",DaqBook_RAW_Data!AK622)</f>
        <v/>
      </c>
      <c r="G632" s="167" t="str">
        <f>IF(ISBLANK(DaqBook_RAW_Data!AL622),"",DaqBook_RAW_Data!AL622)</f>
        <v/>
      </c>
      <c r="H632" s="167" t="str">
        <f>IF(ISBLANK(DaqBook_RAW_Data!AM622),"",DaqBook_RAW_Data!AM622)</f>
        <v/>
      </c>
      <c r="I632" s="167" t="str">
        <f>IF(ISBLANK(DaqBook_RAW_Data!AN622),"",DaqBook_RAW_Data!AN622)</f>
        <v/>
      </c>
      <c r="J632" s="167" t="str">
        <f>IF(ISBLANK(DaqBook_RAW_Data!AO622),"",DaqBook_RAW_Data!AO622)</f>
        <v/>
      </c>
      <c r="K632" s="167" t="str">
        <f>IF(ISBLANK(DaqBook_RAW_Data!AP622),"",DaqBook_RAW_Data!AP622)</f>
        <v/>
      </c>
      <c r="L632" s="167" t="str">
        <f>IF(ISBLANK(DaqBook_RAW_Data!AQ622),"",DaqBook_RAW_Data!AQ622)</f>
        <v/>
      </c>
      <c r="M632" s="167" t="str">
        <f>IF(ISBLANK(DaqBook_RAW_Data!AR622),"",DaqBook_RAW_Data!AR622)</f>
        <v/>
      </c>
      <c r="N632" s="167" t="str">
        <f>IF(ISBLANK(DaqBook_RAW_Data!AS622),"",DaqBook_RAW_Data!AS622)</f>
        <v/>
      </c>
      <c r="O632" s="44"/>
      <c r="P632" s="44"/>
    </row>
    <row r="633" spans="1:16" x14ac:dyDescent="0.2">
      <c r="A633" s="58" t="e">
        <f t="shared" si="9"/>
        <v>#VALUE!</v>
      </c>
      <c r="B633" s="144" t="str">
        <f>IF(ISBLANK(DaqBook_RAW_Data!AG623),IF(DaqBook_RAW_Data!A623="","",TIMEVALUE(DaqBook_RAW_Data!A623)),TIMEVALUE(DaqBook_RAW_Data!AG623))</f>
        <v/>
      </c>
      <c r="C633" s="167" t="str">
        <f>IF(ISBLANK(DaqBook_RAW_Data!AH623),"",DaqBook_RAW_Data!AH623)</f>
        <v/>
      </c>
      <c r="D633" s="167" t="str">
        <f>IF(ISBLANK(DaqBook_RAW_Data!AI623),"",DaqBook_RAW_Data!AI623)</f>
        <v/>
      </c>
      <c r="E633" s="167" t="str">
        <f>IF(ISBLANK(DaqBook_RAW_Data!AJ623),"",DaqBook_RAW_Data!AJ623)</f>
        <v/>
      </c>
      <c r="F633" s="167" t="str">
        <f>IF(ISBLANK(DaqBook_RAW_Data!AK623),"",DaqBook_RAW_Data!AK623)</f>
        <v/>
      </c>
      <c r="G633" s="167" t="str">
        <f>IF(ISBLANK(DaqBook_RAW_Data!AL623),"",DaqBook_RAW_Data!AL623)</f>
        <v/>
      </c>
      <c r="H633" s="167" t="str">
        <f>IF(ISBLANK(DaqBook_RAW_Data!AM623),"",DaqBook_RAW_Data!AM623)</f>
        <v/>
      </c>
      <c r="I633" s="167" t="str">
        <f>IF(ISBLANK(DaqBook_RAW_Data!AN623),"",DaqBook_RAW_Data!AN623)</f>
        <v/>
      </c>
      <c r="J633" s="167" t="str">
        <f>IF(ISBLANK(DaqBook_RAW_Data!AO623),"",DaqBook_RAW_Data!AO623)</f>
        <v/>
      </c>
      <c r="K633" s="167" t="str">
        <f>IF(ISBLANK(DaqBook_RAW_Data!AP623),"",DaqBook_RAW_Data!AP623)</f>
        <v/>
      </c>
      <c r="L633" s="167" t="str">
        <f>IF(ISBLANK(DaqBook_RAW_Data!AQ623),"",DaqBook_RAW_Data!AQ623)</f>
        <v/>
      </c>
      <c r="M633" s="167" t="str">
        <f>IF(ISBLANK(DaqBook_RAW_Data!AR623),"",DaqBook_RAW_Data!AR623)</f>
        <v/>
      </c>
      <c r="N633" s="167" t="str">
        <f>IF(ISBLANK(DaqBook_RAW_Data!AS623),"",DaqBook_RAW_Data!AS623)</f>
        <v/>
      </c>
      <c r="O633" s="44"/>
      <c r="P633" s="44"/>
    </row>
    <row r="634" spans="1:16" x14ac:dyDescent="0.2">
      <c r="A634" s="58" t="e">
        <f t="shared" si="9"/>
        <v>#VALUE!</v>
      </c>
      <c r="B634" s="144" t="str">
        <f>IF(ISBLANK(DaqBook_RAW_Data!AG624),IF(DaqBook_RAW_Data!A624="","",TIMEVALUE(DaqBook_RAW_Data!A624)),TIMEVALUE(DaqBook_RAW_Data!AG624))</f>
        <v/>
      </c>
      <c r="C634" s="167" t="str">
        <f>IF(ISBLANK(DaqBook_RAW_Data!AH624),"",DaqBook_RAW_Data!AH624)</f>
        <v/>
      </c>
      <c r="D634" s="167" t="str">
        <f>IF(ISBLANK(DaqBook_RAW_Data!AI624),"",DaqBook_RAW_Data!AI624)</f>
        <v/>
      </c>
      <c r="E634" s="167" t="str">
        <f>IF(ISBLANK(DaqBook_RAW_Data!AJ624),"",DaqBook_RAW_Data!AJ624)</f>
        <v/>
      </c>
      <c r="F634" s="167" t="str">
        <f>IF(ISBLANK(DaqBook_RAW_Data!AK624),"",DaqBook_RAW_Data!AK624)</f>
        <v/>
      </c>
      <c r="G634" s="167" t="str">
        <f>IF(ISBLANK(DaqBook_RAW_Data!AL624),"",DaqBook_RAW_Data!AL624)</f>
        <v/>
      </c>
      <c r="H634" s="167" t="str">
        <f>IF(ISBLANK(DaqBook_RAW_Data!AM624),"",DaqBook_RAW_Data!AM624)</f>
        <v/>
      </c>
      <c r="I634" s="167" t="str">
        <f>IF(ISBLANK(DaqBook_RAW_Data!AN624),"",DaqBook_RAW_Data!AN624)</f>
        <v/>
      </c>
      <c r="J634" s="167" t="str">
        <f>IF(ISBLANK(DaqBook_RAW_Data!AO624),"",DaqBook_RAW_Data!AO624)</f>
        <v/>
      </c>
      <c r="K634" s="167" t="str">
        <f>IF(ISBLANK(DaqBook_RAW_Data!AP624),"",DaqBook_RAW_Data!AP624)</f>
        <v/>
      </c>
      <c r="L634" s="167" t="str">
        <f>IF(ISBLANK(DaqBook_RAW_Data!AQ624),"",DaqBook_RAW_Data!AQ624)</f>
        <v/>
      </c>
      <c r="M634" s="167" t="str">
        <f>IF(ISBLANK(DaqBook_RAW_Data!AR624),"",DaqBook_RAW_Data!AR624)</f>
        <v/>
      </c>
      <c r="N634" s="167" t="str">
        <f>IF(ISBLANK(DaqBook_RAW_Data!AS624),"",DaqBook_RAW_Data!AS624)</f>
        <v/>
      </c>
      <c r="O634" s="44"/>
      <c r="P634" s="44"/>
    </row>
    <row r="635" spans="1:16" x14ac:dyDescent="0.2">
      <c r="A635" s="58" t="e">
        <f t="shared" si="9"/>
        <v>#VALUE!</v>
      </c>
      <c r="B635" s="144" t="str">
        <f>IF(ISBLANK(DaqBook_RAW_Data!AG625),IF(DaqBook_RAW_Data!A625="","",TIMEVALUE(DaqBook_RAW_Data!A625)),TIMEVALUE(DaqBook_RAW_Data!AG625))</f>
        <v/>
      </c>
      <c r="C635" s="167" t="str">
        <f>IF(ISBLANK(DaqBook_RAW_Data!AH625),"",DaqBook_RAW_Data!AH625)</f>
        <v/>
      </c>
      <c r="D635" s="167" t="str">
        <f>IF(ISBLANK(DaqBook_RAW_Data!AI625),"",DaqBook_RAW_Data!AI625)</f>
        <v/>
      </c>
      <c r="E635" s="167" t="str">
        <f>IF(ISBLANK(DaqBook_RAW_Data!AJ625),"",DaqBook_RAW_Data!AJ625)</f>
        <v/>
      </c>
      <c r="F635" s="167" t="str">
        <f>IF(ISBLANK(DaqBook_RAW_Data!AK625),"",DaqBook_RAW_Data!AK625)</f>
        <v/>
      </c>
      <c r="G635" s="167" t="str">
        <f>IF(ISBLANK(DaqBook_RAW_Data!AL625),"",DaqBook_RAW_Data!AL625)</f>
        <v/>
      </c>
      <c r="H635" s="167" t="str">
        <f>IF(ISBLANK(DaqBook_RAW_Data!AM625),"",DaqBook_RAW_Data!AM625)</f>
        <v/>
      </c>
      <c r="I635" s="167" t="str">
        <f>IF(ISBLANK(DaqBook_RAW_Data!AN625),"",DaqBook_RAW_Data!AN625)</f>
        <v/>
      </c>
      <c r="J635" s="167" t="str">
        <f>IF(ISBLANK(DaqBook_RAW_Data!AO625),"",DaqBook_RAW_Data!AO625)</f>
        <v/>
      </c>
      <c r="K635" s="167" t="str">
        <f>IF(ISBLANK(DaqBook_RAW_Data!AP625),"",DaqBook_RAW_Data!AP625)</f>
        <v/>
      </c>
      <c r="L635" s="167" t="str">
        <f>IF(ISBLANK(DaqBook_RAW_Data!AQ625),"",DaqBook_RAW_Data!AQ625)</f>
        <v/>
      </c>
      <c r="M635" s="167" t="str">
        <f>IF(ISBLANK(DaqBook_RAW_Data!AR625),"",DaqBook_RAW_Data!AR625)</f>
        <v/>
      </c>
      <c r="N635" s="167" t="str">
        <f>IF(ISBLANK(DaqBook_RAW_Data!AS625),"",DaqBook_RAW_Data!AS625)</f>
        <v/>
      </c>
      <c r="O635" s="44"/>
      <c r="P635" s="44"/>
    </row>
    <row r="636" spans="1:16" x14ac:dyDescent="0.2">
      <c r="A636" s="58" t="e">
        <f t="shared" si="9"/>
        <v>#VALUE!</v>
      </c>
      <c r="B636" s="144" t="str">
        <f>IF(ISBLANK(DaqBook_RAW_Data!AG626),IF(DaqBook_RAW_Data!A626="","",TIMEVALUE(DaqBook_RAW_Data!A626)),TIMEVALUE(DaqBook_RAW_Data!AG626))</f>
        <v/>
      </c>
      <c r="C636" s="167" t="str">
        <f>IF(ISBLANK(DaqBook_RAW_Data!AH626),"",DaqBook_RAW_Data!AH626)</f>
        <v/>
      </c>
      <c r="D636" s="167" t="str">
        <f>IF(ISBLANK(DaqBook_RAW_Data!AI626),"",DaqBook_RAW_Data!AI626)</f>
        <v/>
      </c>
      <c r="E636" s="167" t="str">
        <f>IF(ISBLANK(DaqBook_RAW_Data!AJ626),"",DaqBook_RAW_Data!AJ626)</f>
        <v/>
      </c>
      <c r="F636" s="167" t="str">
        <f>IF(ISBLANK(DaqBook_RAW_Data!AK626),"",DaqBook_RAW_Data!AK626)</f>
        <v/>
      </c>
      <c r="G636" s="167" t="str">
        <f>IF(ISBLANK(DaqBook_RAW_Data!AL626),"",DaqBook_RAW_Data!AL626)</f>
        <v/>
      </c>
      <c r="H636" s="167" t="str">
        <f>IF(ISBLANK(DaqBook_RAW_Data!AM626),"",DaqBook_RAW_Data!AM626)</f>
        <v/>
      </c>
      <c r="I636" s="167" t="str">
        <f>IF(ISBLANK(DaqBook_RAW_Data!AN626),"",DaqBook_RAW_Data!AN626)</f>
        <v/>
      </c>
      <c r="J636" s="167" t="str">
        <f>IF(ISBLANK(DaqBook_RAW_Data!AO626),"",DaqBook_RAW_Data!AO626)</f>
        <v/>
      </c>
      <c r="K636" s="167" t="str">
        <f>IF(ISBLANK(DaqBook_RAW_Data!AP626),"",DaqBook_RAW_Data!AP626)</f>
        <v/>
      </c>
      <c r="L636" s="167" t="str">
        <f>IF(ISBLANK(DaqBook_RAW_Data!AQ626),"",DaqBook_RAW_Data!AQ626)</f>
        <v/>
      </c>
      <c r="M636" s="167" t="str">
        <f>IF(ISBLANK(DaqBook_RAW_Data!AR626),"",DaqBook_RAW_Data!AR626)</f>
        <v/>
      </c>
      <c r="N636" s="167" t="str">
        <f>IF(ISBLANK(DaqBook_RAW_Data!AS626),"",DaqBook_RAW_Data!AS626)</f>
        <v/>
      </c>
      <c r="O636" s="44"/>
      <c r="P636" s="44"/>
    </row>
    <row r="637" spans="1:16" x14ac:dyDescent="0.2">
      <c r="A637" s="58" t="e">
        <f t="shared" si="9"/>
        <v>#VALUE!</v>
      </c>
      <c r="B637" s="144" t="str">
        <f>IF(ISBLANK(DaqBook_RAW_Data!AG627),IF(DaqBook_RAW_Data!A627="","",TIMEVALUE(DaqBook_RAW_Data!A627)),TIMEVALUE(DaqBook_RAW_Data!AG627))</f>
        <v/>
      </c>
      <c r="C637" s="167" t="str">
        <f>IF(ISBLANK(DaqBook_RAW_Data!AH627),"",DaqBook_RAW_Data!AH627)</f>
        <v/>
      </c>
      <c r="D637" s="167" t="str">
        <f>IF(ISBLANK(DaqBook_RAW_Data!AI627),"",DaqBook_RAW_Data!AI627)</f>
        <v/>
      </c>
      <c r="E637" s="167" t="str">
        <f>IF(ISBLANK(DaqBook_RAW_Data!AJ627),"",DaqBook_RAW_Data!AJ627)</f>
        <v/>
      </c>
      <c r="F637" s="167" t="str">
        <f>IF(ISBLANK(DaqBook_RAW_Data!AK627),"",DaqBook_RAW_Data!AK627)</f>
        <v/>
      </c>
      <c r="G637" s="167" t="str">
        <f>IF(ISBLANK(DaqBook_RAW_Data!AL627),"",DaqBook_RAW_Data!AL627)</f>
        <v/>
      </c>
      <c r="H637" s="167" t="str">
        <f>IF(ISBLANK(DaqBook_RAW_Data!AM627),"",DaqBook_RAW_Data!AM627)</f>
        <v/>
      </c>
      <c r="I637" s="167" t="str">
        <f>IF(ISBLANK(DaqBook_RAW_Data!AN627),"",DaqBook_RAW_Data!AN627)</f>
        <v/>
      </c>
      <c r="J637" s="167" t="str">
        <f>IF(ISBLANK(DaqBook_RAW_Data!AO627),"",DaqBook_RAW_Data!AO627)</f>
        <v/>
      </c>
      <c r="K637" s="167" t="str">
        <f>IF(ISBLANK(DaqBook_RAW_Data!AP627),"",DaqBook_RAW_Data!AP627)</f>
        <v/>
      </c>
      <c r="L637" s="167" t="str">
        <f>IF(ISBLANK(DaqBook_RAW_Data!AQ627),"",DaqBook_RAW_Data!AQ627)</f>
        <v/>
      </c>
      <c r="M637" s="167" t="str">
        <f>IF(ISBLANK(DaqBook_RAW_Data!AR627),"",DaqBook_RAW_Data!AR627)</f>
        <v/>
      </c>
      <c r="N637" s="167" t="str">
        <f>IF(ISBLANK(DaqBook_RAW_Data!AS627),"",DaqBook_RAW_Data!AS627)</f>
        <v/>
      </c>
      <c r="O637" s="44"/>
      <c r="P637" s="44"/>
    </row>
    <row r="638" spans="1:16" x14ac:dyDescent="0.2">
      <c r="A638" s="58" t="e">
        <f t="shared" si="9"/>
        <v>#VALUE!</v>
      </c>
      <c r="B638" s="144" t="str">
        <f>IF(ISBLANK(DaqBook_RAW_Data!AG628),IF(DaqBook_RAW_Data!A628="","",TIMEVALUE(DaqBook_RAW_Data!A628)),TIMEVALUE(DaqBook_RAW_Data!AG628))</f>
        <v/>
      </c>
      <c r="C638" s="167" t="str">
        <f>IF(ISBLANK(DaqBook_RAW_Data!AH628),"",DaqBook_RAW_Data!AH628)</f>
        <v/>
      </c>
      <c r="D638" s="167" t="str">
        <f>IF(ISBLANK(DaqBook_RAW_Data!AI628),"",DaqBook_RAW_Data!AI628)</f>
        <v/>
      </c>
      <c r="E638" s="167" t="str">
        <f>IF(ISBLANK(DaqBook_RAW_Data!AJ628),"",DaqBook_RAW_Data!AJ628)</f>
        <v/>
      </c>
      <c r="F638" s="167" t="str">
        <f>IF(ISBLANK(DaqBook_RAW_Data!AK628),"",DaqBook_RAW_Data!AK628)</f>
        <v/>
      </c>
      <c r="G638" s="167" t="str">
        <f>IF(ISBLANK(DaqBook_RAW_Data!AL628),"",DaqBook_RAW_Data!AL628)</f>
        <v/>
      </c>
      <c r="H638" s="167" t="str">
        <f>IF(ISBLANK(DaqBook_RAW_Data!AM628),"",DaqBook_RAW_Data!AM628)</f>
        <v/>
      </c>
      <c r="I638" s="167" t="str">
        <f>IF(ISBLANK(DaqBook_RAW_Data!AN628),"",DaqBook_RAW_Data!AN628)</f>
        <v/>
      </c>
      <c r="J638" s="167" t="str">
        <f>IF(ISBLANK(DaqBook_RAW_Data!AO628),"",DaqBook_RAW_Data!AO628)</f>
        <v/>
      </c>
      <c r="K638" s="167" t="str">
        <f>IF(ISBLANK(DaqBook_RAW_Data!AP628),"",DaqBook_RAW_Data!AP628)</f>
        <v/>
      </c>
      <c r="L638" s="167" t="str">
        <f>IF(ISBLANK(DaqBook_RAW_Data!AQ628),"",DaqBook_RAW_Data!AQ628)</f>
        <v/>
      </c>
      <c r="M638" s="167" t="str">
        <f>IF(ISBLANK(DaqBook_RAW_Data!AR628),"",DaqBook_RAW_Data!AR628)</f>
        <v/>
      </c>
      <c r="N638" s="167" t="str">
        <f>IF(ISBLANK(DaqBook_RAW_Data!AS628),"",DaqBook_RAW_Data!AS628)</f>
        <v/>
      </c>
      <c r="O638" s="44"/>
      <c r="P638" s="44"/>
    </row>
    <row r="639" spans="1:16" x14ac:dyDescent="0.2">
      <c r="A639" s="58" t="e">
        <f t="shared" si="9"/>
        <v>#VALUE!</v>
      </c>
      <c r="B639" s="144" t="str">
        <f>IF(ISBLANK(DaqBook_RAW_Data!AG629),IF(DaqBook_RAW_Data!A629="","",TIMEVALUE(DaqBook_RAW_Data!A629)),TIMEVALUE(DaqBook_RAW_Data!AG629))</f>
        <v/>
      </c>
      <c r="C639" s="167" t="str">
        <f>IF(ISBLANK(DaqBook_RAW_Data!AH629),"",DaqBook_RAW_Data!AH629)</f>
        <v/>
      </c>
      <c r="D639" s="167" t="str">
        <f>IF(ISBLANK(DaqBook_RAW_Data!AI629),"",DaqBook_RAW_Data!AI629)</f>
        <v/>
      </c>
      <c r="E639" s="167" t="str">
        <f>IF(ISBLANK(DaqBook_RAW_Data!AJ629),"",DaqBook_RAW_Data!AJ629)</f>
        <v/>
      </c>
      <c r="F639" s="167" t="str">
        <f>IF(ISBLANK(DaqBook_RAW_Data!AK629),"",DaqBook_RAW_Data!AK629)</f>
        <v/>
      </c>
      <c r="G639" s="167" t="str">
        <f>IF(ISBLANK(DaqBook_RAW_Data!AL629),"",DaqBook_RAW_Data!AL629)</f>
        <v/>
      </c>
      <c r="H639" s="167" t="str">
        <f>IF(ISBLANK(DaqBook_RAW_Data!AM629),"",DaqBook_RAW_Data!AM629)</f>
        <v/>
      </c>
      <c r="I639" s="167" t="str">
        <f>IF(ISBLANK(DaqBook_RAW_Data!AN629),"",DaqBook_RAW_Data!AN629)</f>
        <v/>
      </c>
      <c r="J639" s="167" t="str">
        <f>IF(ISBLANK(DaqBook_RAW_Data!AO629),"",DaqBook_RAW_Data!AO629)</f>
        <v/>
      </c>
      <c r="K639" s="167" t="str">
        <f>IF(ISBLANK(DaqBook_RAW_Data!AP629),"",DaqBook_RAW_Data!AP629)</f>
        <v/>
      </c>
      <c r="L639" s="167" t="str">
        <f>IF(ISBLANK(DaqBook_RAW_Data!AQ629),"",DaqBook_RAW_Data!AQ629)</f>
        <v/>
      </c>
      <c r="M639" s="167" t="str">
        <f>IF(ISBLANK(DaqBook_RAW_Data!AR629),"",DaqBook_RAW_Data!AR629)</f>
        <v/>
      </c>
      <c r="N639" s="167" t="str">
        <f>IF(ISBLANK(DaqBook_RAW_Data!AS629),"",DaqBook_RAW_Data!AS629)</f>
        <v/>
      </c>
      <c r="O639" s="44"/>
      <c r="P639" s="44"/>
    </row>
    <row r="640" spans="1:16" x14ac:dyDescent="0.2">
      <c r="A640" s="58" t="e">
        <f t="shared" si="9"/>
        <v>#VALUE!</v>
      </c>
      <c r="B640" s="144" t="str">
        <f>IF(ISBLANK(DaqBook_RAW_Data!AG630),IF(DaqBook_RAW_Data!A630="","",TIMEVALUE(DaqBook_RAW_Data!A630)),TIMEVALUE(DaqBook_RAW_Data!AG630))</f>
        <v/>
      </c>
      <c r="C640" s="167" t="str">
        <f>IF(ISBLANK(DaqBook_RAW_Data!AH630),"",DaqBook_RAW_Data!AH630)</f>
        <v/>
      </c>
      <c r="D640" s="167" t="str">
        <f>IF(ISBLANK(DaqBook_RAW_Data!AI630),"",DaqBook_RAW_Data!AI630)</f>
        <v/>
      </c>
      <c r="E640" s="167" t="str">
        <f>IF(ISBLANK(DaqBook_RAW_Data!AJ630),"",DaqBook_RAW_Data!AJ630)</f>
        <v/>
      </c>
      <c r="F640" s="167" t="str">
        <f>IF(ISBLANK(DaqBook_RAW_Data!AK630),"",DaqBook_RAW_Data!AK630)</f>
        <v/>
      </c>
      <c r="G640" s="167" t="str">
        <f>IF(ISBLANK(DaqBook_RAW_Data!AL630),"",DaqBook_RAW_Data!AL630)</f>
        <v/>
      </c>
      <c r="H640" s="167" t="str">
        <f>IF(ISBLANK(DaqBook_RAW_Data!AM630),"",DaqBook_RAW_Data!AM630)</f>
        <v/>
      </c>
      <c r="I640" s="167" t="str">
        <f>IF(ISBLANK(DaqBook_RAW_Data!AN630),"",DaqBook_RAW_Data!AN630)</f>
        <v/>
      </c>
      <c r="J640" s="167" t="str">
        <f>IF(ISBLANK(DaqBook_RAW_Data!AO630),"",DaqBook_RAW_Data!AO630)</f>
        <v/>
      </c>
      <c r="K640" s="167" t="str">
        <f>IF(ISBLANK(DaqBook_RAW_Data!AP630),"",DaqBook_RAW_Data!AP630)</f>
        <v/>
      </c>
      <c r="L640" s="167" t="str">
        <f>IF(ISBLANK(DaqBook_RAW_Data!AQ630),"",DaqBook_RAW_Data!AQ630)</f>
        <v/>
      </c>
      <c r="M640" s="167" t="str">
        <f>IF(ISBLANK(DaqBook_RAW_Data!AR630),"",DaqBook_RAW_Data!AR630)</f>
        <v/>
      </c>
      <c r="N640" s="167" t="str">
        <f>IF(ISBLANK(DaqBook_RAW_Data!AS630),"",DaqBook_RAW_Data!AS630)</f>
        <v/>
      </c>
      <c r="O640" s="44"/>
      <c r="P640" s="44"/>
    </row>
    <row r="641" spans="1:16" x14ac:dyDescent="0.2">
      <c r="A641" s="58" t="e">
        <f t="shared" si="9"/>
        <v>#VALUE!</v>
      </c>
      <c r="B641" s="144" t="str">
        <f>IF(ISBLANK(DaqBook_RAW_Data!AG631),IF(DaqBook_RAW_Data!A631="","",TIMEVALUE(DaqBook_RAW_Data!A631)),TIMEVALUE(DaqBook_RAW_Data!AG631))</f>
        <v/>
      </c>
      <c r="C641" s="167" t="str">
        <f>IF(ISBLANK(DaqBook_RAW_Data!AH631),"",DaqBook_RAW_Data!AH631)</f>
        <v/>
      </c>
      <c r="D641" s="167" t="str">
        <f>IF(ISBLANK(DaqBook_RAW_Data!AI631),"",DaqBook_RAW_Data!AI631)</f>
        <v/>
      </c>
      <c r="E641" s="167" t="str">
        <f>IF(ISBLANK(DaqBook_RAW_Data!AJ631),"",DaqBook_RAW_Data!AJ631)</f>
        <v/>
      </c>
      <c r="F641" s="167" t="str">
        <f>IF(ISBLANK(DaqBook_RAW_Data!AK631),"",DaqBook_RAW_Data!AK631)</f>
        <v/>
      </c>
      <c r="G641" s="167" t="str">
        <f>IF(ISBLANK(DaqBook_RAW_Data!AL631),"",DaqBook_RAW_Data!AL631)</f>
        <v/>
      </c>
      <c r="H641" s="167" t="str">
        <f>IF(ISBLANK(DaqBook_RAW_Data!AM631),"",DaqBook_RAW_Data!AM631)</f>
        <v/>
      </c>
      <c r="I641" s="167" t="str">
        <f>IF(ISBLANK(DaqBook_RAW_Data!AN631),"",DaqBook_RAW_Data!AN631)</f>
        <v/>
      </c>
      <c r="J641" s="167" t="str">
        <f>IF(ISBLANK(DaqBook_RAW_Data!AO631),"",DaqBook_RAW_Data!AO631)</f>
        <v/>
      </c>
      <c r="K641" s="167" t="str">
        <f>IF(ISBLANK(DaqBook_RAW_Data!AP631),"",DaqBook_RAW_Data!AP631)</f>
        <v/>
      </c>
      <c r="L641" s="167" t="str">
        <f>IF(ISBLANK(DaqBook_RAW_Data!AQ631),"",DaqBook_RAW_Data!AQ631)</f>
        <v/>
      </c>
      <c r="M641" s="167" t="str">
        <f>IF(ISBLANK(DaqBook_RAW_Data!AR631),"",DaqBook_RAW_Data!AR631)</f>
        <v/>
      </c>
      <c r="N641" s="167" t="str">
        <f>IF(ISBLANK(DaqBook_RAW_Data!AS631),"",DaqBook_RAW_Data!AS631)</f>
        <v/>
      </c>
      <c r="O641" s="44"/>
      <c r="P641" s="44"/>
    </row>
    <row r="642" spans="1:16" x14ac:dyDescent="0.2">
      <c r="A642" s="58" t="e">
        <f t="shared" si="9"/>
        <v>#VALUE!</v>
      </c>
      <c r="B642" s="144" t="str">
        <f>IF(ISBLANK(DaqBook_RAW_Data!AG632),IF(DaqBook_RAW_Data!A632="","",TIMEVALUE(DaqBook_RAW_Data!A632)),TIMEVALUE(DaqBook_RAW_Data!AG632))</f>
        <v/>
      </c>
      <c r="C642" s="167" t="str">
        <f>IF(ISBLANK(DaqBook_RAW_Data!AH632),"",DaqBook_RAW_Data!AH632)</f>
        <v/>
      </c>
      <c r="D642" s="167" t="str">
        <f>IF(ISBLANK(DaqBook_RAW_Data!AI632),"",DaqBook_RAW_Data!AI632)</f>
        <v/>
      </c>
      <c r="E642" s="167" t="str">
        <f>IF(ISBLANK(DaqBook_RAW_Data!AJ632),"",DaqBook_RAW_Data!AJ632)</f>
        <v/>
      </c>
      <c r="F642" s="167" t="str">
        <f>IF(ISBLANK(DaqBook_RAW_Data!AK632),"",DaqBook_RAW_Data!AK632)</f>
        <v/>
      </c>
      <c r="G642" s="167" t="str">
        <f>IF(ISBLANK(DaqBook_RAW_Data!AL632),"",DaqBook_RAW_Data!AL632)</f>
        <v/>
      </c>
      <c r="H642" s="167" t="str">
        <f>IF(ISBLANK(DaqBook_RAW_Data!AM632),"",DaqBook_RAW_Data!AM632)</f>
        <v/>
      </c>
      <c r="I642" s="167" t="str">
        <f>IF(ISBLANK(DaqBook_RAW_Data!AN632),"",DaqBook_RAW_Data!AN632)</f>
        <v/>
      </c>
      <c r="J642" s="167" t="str">
        <f>IF(ISBLANK(DaqBook_RAW_Data!AO632),"",DaqBook_RAW_Data!AO632)</f>
        <v/>
      </c>
      <c r="K642" s="167" t="str">
        <f>IF(ISBLANK(DaqBook_RAW_Data!AP632),"",DaqBook_RAW_Data!AP632)</f>
        <v/>
      </c>
      <c r="L642" s="167" t="str">
        <f>IF(ISBLANK(DaqBook_RAW_Data!AQ632),"",DaqBook_RAW_Data!AQ632)</f>
        <v/>
      </c>
      <c r="M642" s="167" t="str">
        <f>IF(ISBLANK(DaqBook_RAW_Data!AR632),"",DaqBook_RAW_Data!AR632)</f>
        <v/>
      </c>
      <c r="N642" s="167" t="str">
        <f>IF(ISBLANK(DaqBook_RAW_Data!AS632),"",DaqBook_RAW_Data!AS632)</f>
        <v/>
      </c>
      <c r="O642" s="44"/>
      <c r="P642" s="44"/>
    </row>
    <row r="643" spans="1:16" x14ac:dyDescent="0.2">
      <c r="A643" s="58" t="e">
        <f t="shared" si="9"/>
        <v>#VALUE!</v>
      </c>
      <c r="B643" s="144" t="str">
        <f>IF(ISBLANK(DaqBook_RAW_Data!AG633),IF(DaqBook_RAW_Data!A633="","",TIMEVALUE(DaqBook_RAW_Data!A633)),TIMEVALUE(DaqBook_RAW_Data!AG633))</f>
        <v/>
      </c>
      <c r="C643" s="167" t="str">
        <f>IF(ISBLANK(DaqBook_RAW_Data!AH633),"",DaqBook_RAW_Data!AH633)</f>
        <v/>
      </c>
      <c r="D643" s="167" t="str">
        <f>IF(ISBLANK(DaqBook_RAW_Data!AI633),"",DaqBook_RAW_Data!AI633)</f>
        <v/>
      </c>
      <c r="E643" s="167" t="str">
        <f>IF(ISBLANK(DaqBook_RAW_Data!AJ633),"",DaqBook_RAW_Data!AJ633)</f>
        <v/>
      </c>
      <c r="F643" s="167" t="str">
        <f>IF(ISBLANK(DaqBook_RAW_Data!AK633),"",DaqBook_RAW_Data!AK633)</f>
        <v/>
      </c>
      <c r="G643" s="167" t="str">
        <f>IF(ISBLANK(DaqBook_RAW_Data!AL633),"",DaqBook_RAW_Data!AL633)</f>
        <v/>
      </c>
      <c r="H643" s="167" t="str">
        <f>IF(ISBLANK(DaqBook_RAW_Data!AM633),"",DaqBook_RAW_Data!AM633)</f>
        <v/>
      </c>
      <c r="I643" s="167" t="str">
        <f>IF(ISBLANK(DaqBook_RAW_Data!AN633),"",DaqBook_RAW_Data!AN633)</f>
        <v/>
      </c>
      <c r="J643" s="167" t="str">
        <f>IF(ISBLANK(DaqBook_RAW_Data!AO633),"",DaqBook_RAW_Data!AO633)</f>
        <v/>
      </c>
      <c r="K643" s="167" t="str">
        <f>IF(ISBLANK(DaqBook_RAW_Data!AP633),"",DaqBook_RAW_Data!AP633)</f>
        <v/>
      </c>
      <c r="L643" s="167" t="str">
        <f>IF(ISBLANK(DaqBook_RAW_Data!AQ633),"",DaqBook_RAW_Data!AQ633)</f>
        <v/>
      </c>
      <c r="M643" s="167" t="str">
        <f>IF(ISBLANK(DaqBook_RAW_Data!AR633),"",DaqBook_RAW_Data!AR633)</f>
        <v/>
      </c>
      <c r="N643" s="167" t="str">
        <f>IF(ISBLANK(DaqBook_RAW_Data!AS633),"",DaqBook_RAW_Data!AS633)</f>
        <v/>
      </c>
      <c r="O643" s="44"/>
      <c r="P643" s="44"/>
    </row>
    <row r="644" spans="1:16" x14ac:dyDescent="0.2">
      <c r="A644" s="58" t="e">
        <f t="shared" si="9"/>
        <v>#VALUE!</v>
      </c>
      <c r="B644" s="144" t="str">
        <f>IF(ISBLANK(DaqBook_RAW_Data!AG634),IF(DaqBook_RAW_Data!A634="","",TIMEVALUE(DaqBook_RAW_Data!A634)),TIMEVALUE(DaqBook_RAW_Data!AG634))</f>
        <v/>
      </c>
      <c r="C644" s="167" t="str">
        <f>IF(ISBLANK(DaqBook_RAW_Data!AH634),"",DaqBook_RAW_Data!AH634)</f>
        <v/>
      </c>
      <c r="D644" s="167" t="str">
        <f>IF(ISBLANK(DaqBook_RAW_Data!AI634),"",DaqBook_RAW_Data!AI634)</f>
        <v/>
      </c>
      <c r="E644" s="167" t="str">
        <f>IF(ISBLANK(DaqBook_RAW_Data!AJ634),"",DaqBook_RAW_Data!AJ634)</f>
        <v/>
      </c>
      <c r="F644" s="167" t="str">
        <f>IF(ISBLANK(DaqBook_RAW_Data!AK634),"",DaqBook_RAW_Data!AK634)</f>
        <v/>
      </c>
      <c r="G644" s="167" t="str">
        <f>IF(ISBLANK(DaqBook_RAW_Data!AL634),"",DaqBook_RAW_Data!AL634)</f>
        <v/>
      </c>
      <c r="H644" s="167" t="str">
        <f>IF(ISBLANK(DaqBook_RAW_Data!AM634),"",DaqBook_RAW_Data!AM634)</f>
        <v/>
      </c>
      <c r="I644" s="167" t="str">
        <f>IF(ISBLANK(DaqBook_RAW_Data!AN634),"",DaqBook_RAW_Data!AN634)</f>
        <v/>
      </c>
      <c r="J644" s="167" t="str">
        <f>IF(ISBLANK(DaqBook_RAW_Data!AO634),"",DaqBook_RAW_Data!AO634)</f>
        <v/>
      </c>
      <c r="K644" s="167" t="str">
        <f>IF(ISBLANK(DaqBook_RAW_Data!AP634),"",DaqBook_RAW_Data!AP634)</f>
        <v/>
      </c>
      <c r="L644" s="167" t="str">
        <f>IF(ISBLANK(DaqBook_RAW_Data!AQ634),"",DaqBook_RAW_Data!AQ634)</f>
        <v/>
      </c>
      <c r="M644" s="167" t="str">
        <f>IF(ISBLANK(DaqBook_RAW_Data!AR634),"",DaqBook_RAW_Data!AR634)</f>
        <v/>
      </c>
      <c r="N644" s="167" t="str">
        <f>IF(ISBLANK(DaqBook_RAW_Data!AS634),"",DaqBook_RAW_Data!AS634)</f>
        <v/>
      </c>
      <c r="O644" s="44"/>
      <c r="P644" s="44"/>
    </row>
    <row r="645" spans="1:16" x14ac:dyDescent="0.2">
      <c r="A645" s="58" t="e">
        <f t="shared" si="9"/>
        <v>#VALUE!</v>
      </c>
      <c r="B645" s="144" t="str">
        <f>IF(ISBLANK(DaqBook_RAW_Data!AG635),IF(DaqBook_RAW_Data!A635="","",TIMEVALUE(DaqBook_RAW_Data!A635)),TIMEVALUE(DaqBook_RAW_Data!AG635))</f>
        <v/>
      </c>
      <c r="C645" s="167" t="str">
        <f>IF(ISBLANK(DaqBook_RAW_Data!AH635),"",DaqBook_RAW_Data!AH635)</f>
        <v/>
      </c>
      <c r="D645" s="167" t="str">
        <f>IF(ISBLANK(DaqBook_RAW_Data!AI635),"",DaqBook_RAW_Data!AI635)</f>
        <v/>
      </c>
      <c r="E645" s="167" t="str">
        <f>IF(ISBLANK(DaqBook_RAW_Data!AJ635),"",DaqBook_RAW_Data!AJ635)</f>
        <v/>
      </c>
      <c r="F645" s="167" t="str">
        <f>IF(ISBLANK(DaqBook_RAW_Data!AK635),"",DaqBook_RAW_Data!AK635)</f>
        <v/>
      </c>
      <c r="G645" s="167" t="str">
        <f>IF(ISBLANK(DaqBook_RAW_Data!AL635),"",DaqBook_RAW_Data!AL635)</f>
        <v/>
      </c>
      <c r="H645" s="167" t="str">
        <f>IF(ISBLANK(DaqBook_RAW_Data!AM635),"",DaqBook_RAW_Data!AM635)</f>
        <v/>
      </c>
      <c r="I645" s="167" t="str">
        <f>IF(ISBLANK(DaqBook_RAW_Data!AN635),"",DaqBook_RAW_Data!AN635)</f>
        <v/>
      </c>
      <c r="J645" s="167" t="str">
        <f>IF(ISBLANK(DaqBook_RAW_Data!AO635),"",DaqBook_RAW_Data!AO635)</f>
        <v/>
      </c>
      <c r="K645" s="167" t="str">
        <f>IF(ISBLANK(DaqBook_RAW_Data!AP635),"",DaqBook_RAW_Data!AP635)</f>
        <v/>
      </c>
      <c r="L645" s="167" t="str">
        <f>IF(ISBLANK(DaqBook_RAW_Data!AQ635),"",DaqBook_RAW_Data!AQ635)</f>
        <v/>
      </c>
      <c r="M645" s="167" t="str">
        <f>IF(ISBLANK(DaqBook_RAW_Data!AR635),"",DaqBook_RAW_Data!AR635)</f>
        <v/>
      </c>
      <c r="N645" s="167" t="str">
        <f>IF(ISBLANK(DaqBook_RAW_Data!AS635),"",DaqBook_RAW_Data!AS635)</f>
        <v/>
      </c>
      <c r="O645" s="44"/>
      <c r="P645" s="44"/>
    </row>
    <row r="646" spans="1:16" x14ac:dyDescent="0.2">
      <c r="A646" s="58" t="e">
        <f t="shared" si="9"/>
        <v>#VALUE!</v>
      </c>
      <c r="B646" s="144" t="str">
        <f>IF(ISBLANK(DaqBook_RAW_Data!AG636),IF(DaqBook_RAW_Data!A636="","",TIMEVALUE(DaqBook_RAW_Data!A636)),TIMEVALUE(DaqBook_RAW_Data!AG636))</f>
        <v/>
      </c>
      <c r="C646" s="167" t="str">
        <f>IF(ISBLANK(DaqBook_RAW_Data!AH636),"",DaqBook_RAW_Data!AH636)</f>
        <v/>
      </c>
      <c r="D646" s="167" t="str">
        <f>IF(ISBLANK(DaqBook_RAW_Data!AI636),"",DaqBook_RAW_Data!AI636)</f>
        <v/>
      </c>
      <c r="E646" s="167" t="str">
        <f>IF(ISBLANK(DaqBook_RAW_Data!AJ636),"",DaqBook_RAW_Data!AJ636)</f>
        <v/>
      </c>
      <c r="F646" s="167" t="str">
        <f>IF(ISBLANK(DaqBook_RAW_Data!AK636),"",DaqBook_RAW_Data!AK636)</f>
        <v/>
      </c>
      <c r="G646" s="167" t="str">
        <f>IF(ISBLANK(DaqBook_RAW_Data!AL636),"",DaqBook_RAW_Data!AL636)</f>
        <v/>
      </c>
      <c r="H646" s="167" t="str">
        <f>IF(ISBLANK(DaqBook_RAW_Data!AM636),"",DaqBook_RAW_Data!AM636)</f>
        <v/>
      </c>
      <c r="I646" s="167" t="str">
        <f>IF(ISBLANK(DaqBook_RAW_Data!AN636),"",DaqBook_RAW_Data!AN636)</f>
        <v/>
      </c>
      <c r="J646" s="167" t="str">
        <f>IF(ISBLANK(DaqBook_RAW_Data!AO636),"",DaqBook_RAW_Data!AO636)</f>
        <v/>
      </c>
      <c r="K646" s="167" t="str">
        <f>IF(ISBLANK(DaqBook_RAW_Data!AP636),"",DaqBook_RAW_Data!AP636)</f>
        <v/>
      </c>
      <c r="L646" s="167" t="str">
        <f>IF(ISBLANK(DaqBook_RAW_Data!AQ636),"",DaqBook_RAW_Data!AQ636)</f>
        <v/>
      </c>
      <c r="M646" s="167" t="str">
        <f>IF(ISBLANK(DaqBook_RAW_Data!AR636),"",DaqBook_RAW_Data!AR636)</f>
        <v/>
      </c>
      <c r="N646" s="167" t="str">
        <f>IF(ISBLANK(DaqBook_RAW_Data!AS636),"",DaqBook_RAW_Data!AS636)</f>
        <v/>
      </c>
      <c r="O646" s="44"/>
      <c r="P646" s="44"/>
    </row>
    <row r="647" spans="1:16" x14ac:dyDescent="0.2">
      <c r="A647" s="58" t="e">
        <f t="shared" si="9"/>
        <v>#VALUE!</v>
      </c>
      <c r="B647" s="144" t="str">
        <f>IF(ISBLANK(DaqBook_RAW_Data!AG637),IF(DaqBook_RAW_Data!A637="","",TIMEVALUE(DaqBook_RAW_Data!A637)),TIMEVALUE(DaqBook_RAW_Data!AG637))</f>
        <v/>
      </c>
      <c r="C647" s="167" t="str">
        <f>IF(ISBLANK(DaqBook_RAW_Data!AH637),"",DaqBook_RAW_Data!AH637)</f>
        <v/>
      </c>
      <c r="D647" s="167" t="str">
        <f>IF(ISBLANK(DaqBook_RAW_Data!AI637),"",DaqBook_RAW_Data!AI637)</f>
        <v/>
      </c>
      <c r="E647" s="167" t="str">
        <f>IF(ISBLANK(DaqBook_RAW_Data!AJ637),"",DaqBook_RAW_Data!AJ637)</f>
        <v/>
      </c>
      <c r="F647" s="167" t="str">
        <f>IF(ISBLANK(DaqBook_RAW_Data!AK637),"",DaqBook_RAW_Data!AK637)</f>
        <v/>
      </c>
      <c r="G647" s="167" t="str">
        <f>IF(ISBLANK(DaqBook_RAW_Data!AL637),"",DaqBook_RAW_Data!AL637)</f>
        <v/>
      </c>
      <c r="H647" s="167" t="str">
        <f>IF(ISBLANK(DaqBook_RAW_Data!AM637),"",DaqBook_RAW_Data!AM637)</f>
        <v/>
      </c>
      <c r="I647" s="167" t="str">
        <f>IF(ISBLANK(DaqBook_RAW_Data!AN637),"",DaqBook_RAW_Data!AN637)</f>
        <v/>
      </c>
      <c r="J647" s="167" t="str">
        <f>IF(ISBLANK(DaqBook_RAW_Data!AO637),"",DaqBook_RAW_Data!AO637)</f>
        <v/>
      </c>
      <c r="K647" s="167" t="str">
        <f>IF(ISBLANK(DaqBook_RAW_Data!AP637),"",DaqBook_RAW_Data!AP637)</f>
        <v/>
      </c>
      <c r="L647" s="167" t="str">
        <f>IF(ISBLANK(DaqBook_RAW_Data!AQ637),"",DaqBook_RAW_Data!AQ637)</f>
        <v/>
      </c>
      <c r="M647" s="167" t="str">
        <f>IF(ISBLANK(DaqBook_RAW_Data!AR637),"",DaqBook_RAW_Data!AR637)</f>
        <v/>
      </c>
      <c r="N647" s="167" t="str">
        <f>IF(ISBLANK(DaqBook_RAW_Data!AS637),"",DaqBook_RAW_Data!AS637)</f>
        <v/>
      </c>
      <c r="O647" s="44"/>
      <c r="P647" s="44"/>
    </row>
    <row r="648" spans="1:16" x14ac:dyDescent="0.2">
      <c r="A648" s="58" t="e">
        <f t="shared" si="9"/>
        <v>#VALUE!</v>
      </c>
      <c r="B648" s="144" t="str">
        <f>IF(ISBLANK(DaqBook_RAW_Data!AG638),IF(DaqBook_RAW_Data!A638="","",TIMEVALUE(DaqBook_RAW_Data!A638)),TIMEVALUE(DaqBook_RAW_Data!AG638))</f>
        <v/>
      </c>
      <c r="C648" s="167" t="str">
        <f>IF(ISBLANK(DaqBook_RAW_Data!AH638),"",DaqBook_RAW_Data!AH638)</f>
        <v/>
      </c>
      <c r="D648" s="167" t="str">
        <f>IF(ISBLANK(DaqBook_RAW_Data!AI638),"",DaqBook_RAW_Data!AI638)</f>
        <v/>
      </c>
      <c r="E648" s="167" t="str">
        <f>IF(ISBLANK(DaqBook_RAW_Data!AJ638),"",DaqBook_RAW_Data!AJ638)</f>
        <v/>
      </c>
      <c r="F648" s="167" t="str">
        <f>IF(ISBLANK(DaqBook_RAW_Data!AK638),"",DaqBook_RAW_Data!AK638)</f>
        <v/>
      </c>
      <c r="G648" s="167" t="str">
        <f>IF(ISBLANK(DaqBook_RAW_Data!AL638),"",DaqBook_RAW_Data!AL638)</f>
        <v/>
      </c>
      <c r="H648" s="167" t="str">
        <f>IF(ISBLANK(DaqBook_RAW_Data!AM638),"",DaqBook_RAW_Data!AM638)</f>
        <v/>
      </c>
      <c r="I648" s="167" t="str">
        <f>IF(ISBLANK(DaqBook_RAW_Data!AN638),"",DaqBook_RAW_Data!AN638)</f>
        <v/>
      </c>
      <c r="J648" s="167" t="str">
        <f>IF(ISBLANK(DaqBook_RAW_Data!AO638),"",DaqBook_RAW_Data!AO638)</f>
        <v/>
      </c>
      <c r="K648" s="167" t="str">
        <f>IF(ISBLANK(DaqBook_RAW_Data!AP638),"",DaqBook_RAW_Data!AP638)</f>
        <v/>
      </c>
      <c r="L648" s="167" t="str">
        <f>IF(ISBLANK(DaqBook_RAW_Data!AQ638),"",DaqBook_RAW_Data!AQ638)</f>
        <v/>
      </c>
      <c r="M648" s="167" t="str">
        <f>IF(ISBLANK(DaqBook_RAW_Data!AR638),"",DaqBook_RAW_Data!AR638)</f>
        <v/>
      </c>
      <c r="N648" s="167" t="str">
        <f>IF(ISBLANK(DaqBook_RAW_Data!AS638),"",DaqBook_RAW_Data!AS638)</f>
        <v/>
      </c>
      <c r="O648" s="44"/>
      <c r="P648" s="44"/>
    </row>
    <row r="649" spans="1:16" x14ac:dyDescent="0.2">
      <c r="A649" s="58" t="e">
        <f t="shared" si="9"/>
        <v>#VALUE!</v>
      </c>
      <c r="B649" s="144" t="str">
        <f>IF(ISBLANK(DaqBook_RAW_Data!AG639),IF(DaqBook_RAW_Data!A639="","",TIMEVALUE(DaqBook_RAW_Data!A639)),TIMEVALUE(DaqBook_RAW_Data!AG639))</f>
        <v/>
      </c>
      <c r="C649" s="167" t="str">
        <f>IF(ISBLANK(DaqBook_RAW_Data!AH639),"",DaqBook_RAW_Data!AH639)</f>
        <v/>
      </c>
      <c r="D649" s="167" t="str">
        <f>IF(ISBLANK(DaqBook_RAW_Data!AI639),"",DaqBook_RAW_Data!AI639)</f>
        <v/>
      </c>
      <c r="E649" s="167" t="str">
        <f>IF(ISBLANK(DaqBook_RAW_Data!AJ639),"",DaqBook_RAW_Data!AJ639)</f>
        <v/>
      </c>
      <c r="F649" s="167" t="str">
        <f>IF(ISBLANK(DaqBook_RAW_Data!AK639),"",DaqBook_RAW_Data!AK639)</f>
        <v/>
      </c>
      <c r="G649" s="167" t="str">
        <f>IF(ISBLANK(DaqBook_RAW_Data!AL639),"",DaqBook_RAW_Data!AL639)</f>
        <v/>
      </c>
      <c r="H649" s="167" t="str">
        <f>IF(ISBLANK(DaqBook_RAW_Data!AM639),"",DaqBook_RAW_Data!AM639)</f>
        <v/>
      </c>
      <c r="I649" s="167" t="str">
        <f>IF(ISBLANK(DaqBook_RAW_Data!AN639),"",DaqBook_RAW_Data!AN639)</f>
        <v/>
      </c>
      <c r="J649" s="167" t="str">
        <f>IF(ISBLANK(DaqBook_RAW_Data!AO639),"",DaqBook_RAW_Data!AO639)</f>
        <v/>
      </c>
      <c r="K649" s="167" t="str">
        <f>IF(ISBLANK(DaqBook_RAW_Data!AP639),"",DaqBook_RAW_Data!AP639)</f>
        <v/>
      </c>
      <c r="L649" s="167" t="str">
        <f>IF(ISBLANK(DaqBook_RAW_Data!AQ639),"",DaqBook_RAW_Data!AQ639)</f>
        <v/>
      </c>
      <c r="M649" s="167" t="str">
        <f>IF(ISBLANK(DaqBook_RAW_Data!AR639),"",DaqBook_RAW_Data!AR639)</f>
        <v/>
      </c>
      <c r="N649" s="167" t="str">
        <f>IF(ISBLANK(DaqBook_RAW_Data!AS639),"",DaqBook_RAW_Data!AS639)</f>
        <v/>
      </c>
      <c r="O649" s="44"/>
      <c r="P649" s="44"/>
    </row>
    <row r="650" spans="1:16" x14ac:dyDescent="0.2">
      <c r="A650" s="58" t="e">
        <f t="shared" si="9"/>
        <v>#VALUE!</v>
      </c>
      <c r="B650" s="144" t="str">
        <f>IF(ISBLANK(DaqBook_RAW_Data!AG640),IF(DaqBook_RAW_Data!A640="","",TIMEVALUE(DaqBook_RAW_Data!A640)),TIMEVALUE(DaqBook_RAW_Data!AG640))</f>
        <v/>
      </c>
      <c r="C650" s="167" t="str">
        <f>IF(ISBLANK(DaqBook_RAW_Data!AH640),"",DaqBook_RAW_Data!AH640)</f>
        <v/>
      </c>
      <c r="D650" s="167" t="str">
        <f>IF(ISBLANK(DaqBook_RAW_Data!AI640),"",DaqBook_RAW_Data!AI640)</f>
        <v/>
      </c>
      <c r="E650" s="167" t="str">
        <f>IF(ISBLANK(DaqBook_RAW_Data!AJ640),"",DaqBook_RAW_Data!AJ640)</f>
        <v/>
      </c>
      <c r="F650" s="167" t="str">
        <f>IF(ISBLANK(DaqBook_RAW_Data!AK640),"",DaqBook_RAW_Data!AK640)</f>
        <v/>
      </c>
      <c r="G650" s="167" t="str">
        <f>IF(ISBLANK(DaqBook_RAW_Data!AL640),"",DaqBook_RAW_Data!AL640)</f>
        <v/>
      </c>
      <c r="H650" s="167" t="str">
        <f>IF(ISBLANK(DaqBook_RAW_Data!AM640),"",DaqBook_RAW_Data!AM640)</f>
        <v/>
      </c>
      <c r="I650" s="167" t="str">
        <f>IF(ISBLANK(DaqBook_RAW_Data!AN640),"",DaqBook_RAW_Data!AN640)</f>
        <v/>
      </c>
      <c r="J650" s="167" t="str">
        <f>IF(ISBLANK(DaqBook_RAW_Data!AO640),"",DaqBook_RAW_Data!AO640)</f>
        <v/>
      </c>
      <c r="K650" s="167" t="str">
        <f>IF(ISBLANK(DaqBook_RAW_Data!AP640),"",DaqBook_RAW_Data!AP640)</f>
        <v/>
      </c>
      <c r="L650" s="167" t="str">
        <f>IF(ISBLANK(DaqBook_RAW_Data!AQ640),"",DaqBook_RAW_Data!AQ640)</f>
        <v/>
      </c>
      <c r="M650" s="167" t="str">
        <f>IF(ISBLANK(DaqBook_RAW_Data!AR640),"",DaqBook_RAW_Data!AR640)</f>
        <v/>
      </c>
      <c r="N650" s="167" t="str">
        <f>IF(ISBLANK(DaqBook_RAW_Data!AS640),"",DaqBook_RAW_Data!AS640)</f>
        <v/>
      </c>
      <c r="O650" s="44"/>
      <c r="P650" s="44"/>
    </row>
    <row r="651" spans="1:16" x14ac:dyDescent="0.2">
      <c r="A651" s="58" t="e">
        <f t="shared" si="9"/>
        <v>#VALUE!</v>
      </c>
      <c r="B651" s="144" t="str">
        <f>IF(ISBLANK(DaqBook_RAW_Data!AG641),IF(DaqBook_RAW_Data!A641="","",TIMEVALUE(DaqBook_RAW_Data!A641)),TIMEVALUE(DaqBook_RAW_Data!AG641))</f>
        <v/>
      </c>
      <c r="C651" s="167" t="str">
        <f>IF(ISBLANK(DaqBook_RAW_Data!AH641),"",DaqBook_RAW_Data!AH641)</f>
        <v/>
      </c>
      <c r="D651" s="167" t="str">
        <f>IF(ISBLANK(DaqBook_RAW_Data!AI641),"",DaqBook_RAW_Data!AI641)</f>
        <v/>
      </c>
      <c r="E651" s="167" t="str">
        <f>IF(ISBLANK(DaqBook_RAW_Data!AJ641),"",DaqBook_RAW_Data!AJ641)</f>
        <v/>
      </c>
      <c r="F651" s="167" t="str">
        <f>IF(ISBLANK(DaqBook_RAW_Data!AK641),"",DaqBook_RAW_Data!AK641)</f>
        <v/>
      </c>
      <c r="G651" s="167" t="str">
        <f>IF(ISBLANK(DaqBook_RAW_Data!AL641),"",DaqBook_RAW_Data!AL641)</f>
        <v/>
      </c>
      <c r="H651" s="167" t="str">
        <f>IF(ISBLANK(DaqBook_RAW_Data!AM641),"",DaqBook_RAW_Data!AM641)</f>
        <v/>
      </c>
      <c r="I651" s="167" t="str">
        <f>IF(ISBLANK(DaqBook_RAW_Data!AN641),"",DaqBook_RAW_Data!AN641)</f>
        <v/>
      </c>
      <c r="J651" s="167" t="str">
        <f>IF(ISBLANK(DaqBook_RAW_Data!AO641),"",DaqBook_RAW_Data!AO641)</f>
        <v/>
      </c>
      <c r="K651" s="167" t="str">
        <f>IF(ISBLANK(DaqBook_RAW_Data!AP641),"",DaqBook_RAW_Data!AP641)</f>
        <v/>
      </c>
      <c r="L651" s="167" t="str">
        <f>IF(ISBLANK(DaqBook_RAW_Data!AQ641),"",DaqBook_RAW_Data!AQ641)</f>
        <v/>
      </c>
      <c r="M651" s="167" t="str">
        <f>IF(ISBLANK(DaqBook_RAW_Data!AR641),"",DaqBook_RAW_Data!AR641)</f>
        <v/>
      </c>
      <c r="N651" s="167" t="str">
        <f>IF(ISBLANK(DaqBook_RAW_Data!AS641),"",DaqBook_RAW_Data!AS641)</f>
        <v/>
      </c>
      <c r="O651" s="44"/>
      <c r="P651" s="44"/>
    </row>
    <row r="652" spans="1:16" x14ac:dyDescent="0.2">
      <c r="A652" s="58" t="e">
        <f t="shared" si="9"/>
        <v>#VALUE!</v>
      </c>
      <c r="B652" s="144" t="str">
        <f>IF(ISBLANK(DaqBook_RAW_Data!AG642),IF(DaqBook_RAW_Data!A642="","",TIMEVALUE(DaqBook_RAW_Data!A642)),TIMEVALUE(DaqBook_RAW_Data!AG642))</f>
        <v/>
      </c>
      <c r="C652" s="167" t="str">
        <f>IF(ISBLANK(DaqBook_RAW_Data!AH642),"",DaqBook_RAW_Data!AH642)</f>
        <v/>
      </c>
      <c r="D652" s="167" t="str">
        <f>IF(ISBLANK(DaqBook_RAW_Data!AI642),"",DaqBook_RAW_Data!AI642)</f>
        <v/>
      </c>
      <c r="E652" s="167" t="str">
        <f>IF(ISBLANK(DaqBook_RAW_Data!AJ642),"",DaqBook_RAW_Data!AJ642)</f>
        <v/>
      </c>
      <c r="F652" s="167" t="str">
        <f>IF(ISBLANK(DaqBook_RAW_Data!AK642),"",DaqBook_RAW_Data!AK642)</f>
        <v/>
      </c>
      <c r="G652" s="167" t="str">
        <f>IF(ISBLANK(DaqBook_RAW_Data!AL642),"",DaqBook_RAW_Data!AL642)</f>
        <v/>
      </c>
      <c r="H652" s="167" t="str">
        <f>IF(ISBLANK(DaqBook_RAW_Data!AM642),"",DaqBook_RAW_Data!AM642)</f>
        <v/>
      </c>
      <c r="I652" s="167" t="str">
        <f>IF(ISBLANK(DaqBook_RAW_Data!AN642),"",DaqBook_RAW_Data!AN642)</f>
        <v/>
      </c>
      <c r="J652" s="167" t="str">
        <f>IF(ISBLANK(DaqBook_RAW_Data!AO642),"",DaqBook_RAW_Data!AO642)</f>
        <v/>
      </c>
      <c r="K652" s="167" t="str">
        <f>IF(ISBLANK(DaqBook_RAW_Data!AP642),"",DaqBook_RAW_Data!AP642)</f>
        <v/>
      </c>
      <c r="L652" s="167" t="str">
        <f>IF(ISBLANK(DaqBook_RAW_Data!AQ642),"",DaqBook_RAW_Data!AQ642)</f>
        <v/>
      </c>
      <c r="M652" s="167" t="str">
        <f>IF(ISBLANK(DaqBook_RAW_Data!AR642),"",DaqBook_RAW_Data!AR642)</f>
        <v/>
      </c>
      <c r="N652" s="167" t="str">
        <f>IF(ISBLANK(DaqBook_RAW_Data!AS642),"",DaqBook_RAW_Data!AS642)</f>
        <v/>
      </c>
      <c r="O652" s="44"/>
      <c r="P652" s="44"/>
    </row>
    <row r="653" spans="1:16" x14ac:dyDescent="0.2">
      <c r="A653" s="58" t="e">
        <f t="shared" si="9"/>
        <v>#VALUE!</v>
      </c>
      <c r="B653" s="144" t="str">
        <f>IF(ISBLANK(DaqBook_RAW_Data!AG643),IF(DaqBook_RAW_Data!A643="","",TIMEVALUE(DaqBook_RAW_Data!A643)),TIMEVALUE(DaqBook_RAW_Data!AG643))</f>
        <v/>
      </c>
      <c r="C653" s="167" t="str">
        <f>IF(ISBLANK(DaqBook_RAW_Data!AH643),"",DaqBook_RAW_Data!AH643)</f>
        <v/>
      </c>
      <c r="D653" s="167" t="str">
        <f>IF(ISBLANK(DaqBook_RAW_Data!AI643),"",DaqBook_RAW_Data!AI643)</f>
        <v/>
      </c>
      <c r="E653" s="167" t="str">
        <f>IF(ISBLANK(DaqBook_RAW_Data!AJ643),"",DaqBook_RAW_Data!AJ643)</f>
        <v/>
      </c>
      <c r="F653" s="167" t="str">
        <f>IF(ISBLANK(DaqBook_RAW_Data!AK643),"",DaqBook_RAW_Data!AK643)</f>
        <v/>
      </c>
      <c r="G653" s="167" t="str">
        <f>IF(ISBLANK(DaqBook_RAW_Data!AL643),"",DaqBook_RAW_Data!AL643)</f>
        <v/>
      </c>
      <c r="H653" s="167" t="str">
        <f>IF(ISBLANK(DaqBook_RAW_Data!AM643),"",DaqBook_RAW_Data!AM643)</f>
        <v/>
      </c>
      <c r="I653" s="167" t="str">
        <f>IF(ISBLANK(DaqBook_RAW_Data!AN643),"",DaqBook_RAW_Data!AN643)</f>
        <v/>
      </c>
      <c r="J653" s="167" t="str">
        <f>IF(ISBLANK(DaqBook_RAW_Data!AO643),"",DaqBook_RAW_Data!AO643)</f>
        <v/>
      </c>
      <c r="K653" s="167" t="str">
        <f>IF(ISBLANK(DaqBook_RAW_Data!AP643),"",DaqBook_RAW_Data!AP643)</f>
        <v/>
      </c>
      <c r="L653" s="167" t="str">
        <f>IF(ISBLANK(DaqBook_RAW_Data!AQ643),"",DaqBook_RAW_Data!AQ643)</f>
        <v/>
      </c>
      <c r="M653" s="167" t="str">
        <f>IF(ISBLANK(DaqBook_RAW_Data!AR643),"",DaqBook_RAW_Data!AR643)</f>
        <v/>
      </c>
      <c r="N653" s="167" t="str">
        <f>IF(ISBLANK(DaqBook_RAW_Data!AS643),"",DaqBook_RAW_Data!AS643)</f>
        <v/>
      </c>
      <c r="O653" s="44"/>
      <c r="P653" s="44"/>
    </row>
    <row r="654" spans="1:16" x14ac:dyDescent="0.2">
      <c r="A654" s="58" t="e">
        <f t="shared" si="9"/>
        <v>#VALUE!</v>
      </c>
      <c r="B654" s="144" t="str">
        <f>IF(ISBLANK(DaqBook_RAW_Data!AG644),IF(DaqBook_RAW_Data!A644="","",TIMEVALUE(DaqBook_RAW_Data!A644)),TIMEVALUE(DaqBook_RAW_Data!AG644))</f>
        <v/>
      </c>
      <c r="C654" s="167" t="str">
        <f>IF(ISBLANK(DaqBook_RAW_Data!AH644),"",DaqBook_RAW_Data!AH644)</f>
        <v/>
      </c>
      <c r="D654" s="167" t="str">
        <f>IF(ISBLANK(DaqBook_RAW_Data!AI644),"",DaqBook_RAW_Data!AI644)</f>
        <v/>
      </c>
      <c r="E654" s="167" t="str">
        <f>IF(ISBLANK(DaqBook_RAW_Data!AJ644),"",DaqBook_RAW_Data!AJ644)</f>
        <v/>
      </c>
      <c r="F654" s="167" t="str">
        <f>IF(ISBLANK(DaqBook_RAW_Data!AK644),"",DaqBook_RAW_Data!AK644)</f>
        <v/>
      </c>
      <c r="G654" s="167" t="str">
        <f>IF(ISBLANK(DaqBook_RAW_Data!AL644),"",DaqBook_RAW_Data!AL644)</f>
        <v/>
      </c>
      <c r="H654" s="167" t="str">
        <f>IF(ISBLANK(DaqBook_RAW_Data!AM644),"",DaqBook_RAW_Data!AM644)</f>
        <v/>
      </c>
      <c r="I654" s="167" t="str">
        <f>IF(ISBLANK(DaqBook_RAW_Data!AN644),"",DaqBook_RAW_Data!AN644)</f>
        <v/>
      </c>
      <c r="J654" s="167" t="str">
        <f>IF(ISBLANK(DaqBook_RAW_Data!AO644),"",DaqBook_RAW_Data!AO644)</f>
        <v/>
      </c>
      <c r="K654" s="167" t="str">
        <f>IF(ISBLANK(DaqBook_RAW_Data!AP644),"",DaqBook_RAW_Data!AP644)</f>
        <v/>
      </c>
      <c r="L654" s="167" t="str">
        <f>IF(ISBLANK(DaqBook_RAW_Data!AQ644),"",DaqBook_RAW_Data!AQ644)</f>
        <v/>
      </c>
      <c r="M654" s="167" t="str">
        <f>IF(ISBLANK(DaqBook_RAW_Data!AR644),"",DaqBook_RAW_Data!AR644)</f>
        <v/>
      </c>
      <c r="N654" s="167" t="str">
        <f>IF(ISBLANK(DaqBook_RAW_Data!AS644),"",DaqBook_RAW_Data!AS644)</f>
        <v/>
      </c>
      <c r="O654" s="44"/>
      <c r="P654" s="44"/>
    </row>
    <row r="655" spans="1:16" x14ac:dyDescent="0.2">
      <c r="A655" s="58" t="e">
        <f t="shared" ref="A655:A718" si="10">HOUR(B655)&amp;":"&amp;MINUTE(B655)</f>
        <v>#VALUE!</v>
      </c>
      <c r="B655" s="144" t="str">
        <f>IF(ISBLANK(DaqBook_RAW_Data!AG645),IF(DaqBook_RAW_Data!A645="","",TIMEVALUE(DaqBook_RAW_Data!A645)),TIMEVALUE(DaqBook_RAW_Data!AG645))</f>
        <v/>
      </c>
      <c r="C655" s="167" t="str">
        <f>IF(ISBLANK(DaqBook_RAW_Data!AH645),"",DaqBook_RAW_Data!AH645)</f>
        <v/>
      </c>
      <c r="D655" s="167" t="str">
        <f>IF(ISBLANK(DaqBook_RAW_Data!AI645),"",DaqBook_RAW_Data!AI645)</f>
        <v/>
      </c>
      <c r="E655" s="167" t="str">
        <f>IF(ISBLANK(DaqBook_RAW_Data!AJ645),"",DaqBook_RAW_Data!AJ645)</f>
        <v/>
      </c>
      <c r="F655" s="167" t="str">
        <f>IF(ISBLANK(DaqBook_RAW_Data!AK645),"",DaqBook_RAW_Data!AK645)</f>
        <v/>
      </c>
      <c r="G655" s="167" t="str">
        <f>IF(ISBLANK(DaqBook_RAW_Data!AL645),"",DaqBook_RAW_Data!AL645)</f>
        <v/>
      </c>
      <c r="H655" s="167" t="str">
        <f>IF(ISBLANK(DaqBook_RAW_Data!AM645),"",DaqBook_RAW_Data!AM645)</f>
        <v/>
      </c>
      <c r="I655" s="167" t="str">
        <f>IF(ISBLANK(DaqBook_RAW_Data!AN645),"",DaqBook_RAW_Data!AN645)</f>
        <v/>
      </c>
      <c r="J655" s="167" t="str">
        <f>IF(ISBLANK(DaqBook_RAW_Data!AO645),"",DaqBook_RAW_Data!AO645)</f>
        <v/>
      </c>
      <c r="K655" s="167" t="str">
        <f>IF(ISBLANK(DaqBook_RAW_Data!AP645),"",DaqBook_RAW_Data!AP645)</f>
        <v/>
      </c>
      <c r="L655" s="167" t="str">
        <f>IF(ISBLANK(DaqBook_RAW_Data!AQ645),"",DaqBook_RAW_Data!AQ645)</f>
        <v/>
      </c>
      <c r="M655" s="167" t="str">
        <f>IF(ISBLANK(DaqBook_RAW_Data!AR645),"",DaqBook_RAW_Data!AR645)</f>
        <v/>
      </c>
      <c r="N655" s="167" t="str">
        <f>IF(ISBLANK(DaqBook_RAW_Data!AS645),"",DaqBook_RAW_Data!AS645)</f>
        <v/>
      </c>
      <c r="O655" s="44"/>
      <c r="P655" s="44"/>
    </row>
    <row r="656" spans="1:16" x14ac:dyDescent="0.2">
      <c r="A656" s="58" t="e">
        <f t="shared" si="10"/>
        <v>#VALUE!</v>
      </c>
      <c r="B656" s="144" t="str">
        <f>IF(ISBLANK(DaqBook_RAW_Data!AG646),IF(DaqBook_RAW_Data!A646="","",TIMEVALUE(DaqBook_RAW_Data!A646)),TIMEVALUE(DaqBook_RAW_Data!AG646))</f>
        <v/>
      </c>
      <c r="C656" s="167" t="str">
        <f>IF(ISBLANK(DaqBook_RAW_Data!AH646),"",DaqBook_RAW_Data!AH646)</f>
        <v/>
      </c>
      <c r="D656" s="167" t="str">
        <f>IF(ISBLANK(DaqBook_RAW_Data!AI646),"",DaqBook_RAW_Data!AI646)</f>
        <v/>
      </c>
      <c r="E656" s="167" t="str">
        <f>IF(ISBLANK(DaqBook_RAW_Data!AJ646),"",DaqBook_RAW_Data!AJ646)</f>
        <v/>
      </c>
      <c r="F656" s="167" t="str">
        <f>IF(ISBLANK(DaqBook_RAW_Data!AK646),"",DaqBook_RAW_Data!AK646)</f>
        <v/>
      </c>
      <c r="G656" s="167" t="str">
        <f>IF(ISBLANK(DaqBook_RAW_Data!AL646),"",DaqBook_RAW_Data!AL646)</f>
        <v/>
      </c>
      <c r="H656" s="167" t="str">
        <f>IF(ISBLANK(DaqBook_RAW_Data!AM646),"",DaqBook_RAW_Data!AM646)</f>
        <v/>
      </c>
      <c r="I656" s="167" t="str">
        <f>IF(ISBLANK(DaqBook_RAW_Data!AN646),"",DaqBook_RAW_Data!AN646)</f>
        <v/>
      </c>
      <c r="J656" s="167" t="str">
        <f>IF(ISBLANK(DaqBook_RAW_Data!AO646),"",DaqBook_RAW_Data!AO646)</f>
        <v/>
      </c>
      <c r="K656" s="167" t="str">
        <f>IF(ISBLANK(DaqBook_RAW_Data!AP646),"",DaqBook_RAW_Data!AP646)</f>
        <v/>
      </c>
      <c r="L656" s="167" t="str">
        <f>IF(ISBLANK(DaqBook_RAW_Data!AQ646),"",DaqBook_RAW_Data!AQ646)</f>
        <v/>
      </c>
      <c r="M656" s="167" t="str">
        <f>IF(ISBLANK(DaqBook_RAW_Data!AR646),"",DaqBook_RAW_Data!AR646)</f>
        <v/>
      </c>
      <c r="N656" s="167" t="str">
        <f>IF(ISBLANK(DaqBook_RAW_Data!AS646),"",DaqBook_RAW_Data!AS646)</f>
        <v/>
      </c>
      <c r="O656" s="44"/>
      <c r="P656" s="44"/>
    </row>
    <row r="657" spans="1:16" x14ac:dyDescent="0.2">
      <c r="A657" s="58" t="e">
        <f t="shared" si="10"/>
        <v>#VALUE!</v>
      </c>
      <c r="B657" s="144" t="str">
        <f>IF(ISBLANK(DaqBook_RAW_Data!AG647),IF(DaqBook_RAW_Data!A647="","",TIMEVALUE(DaqBook_RAW_Data!A647)),TIMEVALUE(DaqBook_RAW_Data!AG647))</f>
        <v/>
      </c>
      <c r="C657" s="167" t="str">
        <f>IF(ISBLANK(DaqBook_RAW_Data!AH647),"",DaqBook_RAW_Data!AH647)</f>
        <v/>
      </c>
      <c r="D657" s="167" t="str">
        <f>IF(ISBLANK(DaqBook_RAW_Data!AI647),"",DaqBook_RAW_Data!AI647)</f>
        <v/>
      </c>
      <c r="E657" s="167" t="str">
        <f>IF(ISBLANK(DaqBook_RAW_Data!AJ647),"",DaqBook_RAW_Data!AJ647)</f>
        <v/>
      </c>
      <c r="F657" s="167" t="str">
        <f>IF(ISBLANK(DaqBook_RAW_Data!AK647),"",DaqBook_RAW_Data!AK647)</f>
        <v/>
      </c>
      <c r="G657" s="167" t="str">
        <f>IF(ISBLANK(DaqBook_RAW_Data!AL647),"",DaqBook_RAW_Data!AL647)</f>
        <v/>
      </c>
      <c r="H657" s="167" t="str">
        <f>IF(ISBLANK(DaqBook_RAW_Data!AM647),"",DaqBook_RAW_Data!AM647)</f>
        <v/>
      </c>
      <c r="I657" s="167" t="str">
        <f>IF(ISBLANK(DaqBook_RAW_Data!AN647),"",DaqBook_RAW_Data!AN647)</f>
        <v/>
      </c>
      <c r="J657" s="167" t="str">
        <f>IF(ISBLANK(DaqBook_RAW_Data!AO647),"",DaqBook_RAW_Data!AO647)</f>
        <v/>
      </c>
      <c r="K657" s="167" t="str">
        <f>IF(ISBLANK(DaqBook_RAW_Data!AP647),"",DaqBook_RAW_Data!AP647)</f>
        <v/>
      </c>
      <c r="L657" s="167" t="str">
        <f>IF(ISBLANK(DaqBook_RAW_Data!AQ647),"",DaqBook_RAW_Data!AQ647)</f>
        <v/>
      </c>
      <c r="M657" s="167" t="str">
        <f>IF(ISBLANK(DaqBook_RAW_Data!AR647),"",DaqBook_RAW_Data!AR647)</f>
        <v/>
      </c>
      <c r="N657" s="167" t="str">
        <f>IF(ISBLANK(DaqBook_RAW_Data!AS647),"",DaqBook_RAW_Data!AS647)</f>
        <v/>
      </c>
      <c r="O657" s="44"/>
      <c r="P657" s="44"/>
    </row>
    <row r="658" spans="1:16" x14ac:dyDescent="0.2">
      <c r="A658" s="58" t="e">
        <f t="shared" si="10"/>
        <v>#VALUE!</v>
      </c>
      <c r="B658" s="144" t="str">
        <f>IF(ISBLANK(DaqBook_RAW_Data!AG648),IF(DaqBook_RAW_Data!A648="","",TIMEVALUE(DaqBook_RAW_Data!A648)),TIMEVALUE(DaqBook_RAW_Data!AG648))</f>
        <v/>
      </c>
      <c r="C658" s="167" t="str">
        <f>IF(ISBLANK(DaqBook_RAW_Data!AH648),"",DaqBook_RAW_Data!AH648)</f>
        <v/>
      </c>
      <c r="D658" s="167" t="str">
        <f>IF(ISBLANK(DaqBook_RAW_Data!AI648),"",DaqBook_RAW_Data!AI648)</f>
        <v/>
      </c>
      <c r="E658" s="167" t="str">
        <f>IF(ISBLANK(DaqBook_RAW_Data!AJ648),"",DaqBook_RAW_Data!AJ648)</f>
        <v/>
      </c>
      <c r="F658" s="167" t="str">
        <f>IF(ISBLANK(DaqBook_RAW_Data!AK648),"",DaqBook_RAW_Data!AK648)</f>
        <v/>
      </c>
      <c r="G658" s="167" t="str">
        <f>IF(ISBLANK(DaqBook_RAW_Data!AL648),"",DaqBook_RAW_Data!AL648)</f>
        <v/>
      </c>
      <c r="H658" s="167" t="str">
        <f>IF(ISBLANK(DaqBook_RAW_Data!AM648),"",DaqBook_RAW_Data!AM648)</f>
        <v/>
      </c>
      <c r="I658" s="167" t="str">
        <f>IF(ISBLANK(DaqBook_RAW_Data!AN648),"",DaqBook_RAW_Data!AN648)</f>
        <v/>
      </c>
      <c r="J658" s="167" t="str">
        <f>IF(ISBLANK(DaqBook_RAW_Data!AO648),"",DaqBook_RAW_Data!AO648)</f>
        <v/>
      </c>
      <c r="K658" s="167" t="str">
        <f>IF(ISBLANK(DaqBook_RAW_Data!AP648),"",DaqBook_RAW_Data!AP648)</f>
        <v/>
      </c>
      <c r="L658" s="167" t="str">
        <f>IF(ISBLANK(DaqBook_RAW_Data!AQ648),"",DaqBook_RAW_Data!AQ648)</f>
        <v/>
      </c>
      <c r="M658" s="167" t="str">
        <f>IF(ISBLANK(DaqBook_RAW_Data!AR648),"",DaqBook_RAW_Data!AR648)</f>
        <v/>
      </c>
      <c r="N658" s="167" t="str">
        <f>IF(ISBLANK(DaqBook_RAW_Data!AS648),"",DaqBook_RAW_Data!AS648)</f>
        <v/>
      </c>
      <c r="O658" s="44"/>
      <c r="P658" s="44"/>
    </row>
    <row r="659" spans="1:16" x14ac:dyDescent="0.2">
      <c r="A659" s="58" t="e">
        <f t="shared" si="10"/>
        <v>#VALUE!</v>
      </c>
      <c r="B659" s="144" t="str">
        <f>IF(ISBLANK(DaqBook_RAW_Data!AG649),IF(DaqBook_RAW_Data!A649="","",TIMEVALUE(DaqBook_RAW_Data!A649)),TIMEVALUE(DaqBook_RAW_Data!AG649))</f>
        <v/>
      </c>
      <c r="C659" s="167" t="str">
        <f>IF(ISBLANK(DaqBook_RAW_Data!AH649),"",DaqBook_RAW_Data!AH649)</f>
        <v/>
      </c>
      <c r="D659" s="167" t="str">
        <f>IF(ISBLANK(DaqBook_RAW_Data!AI649),"",DaqBook_RAW_Data!AI649)</f>
        <v/>
      </c>
      <c r="E659" s="167" t="str">
        <f>IF(ISBLANK(DaqBook_RAW_Data!AJ649),"",DaqBook_RAW_Data!AJ649)</f>
        <v/>
      </c>
      <c r="F659" s="167" t="str">
        <f>IF(ISBLANK(DaqBook_RAW_Data!AK649),"",DaqBook_RAW_Data!AK649)</f>
        <v/>
      </c>
      <c r="G659" s="167" t="str">
        <f>IF(ISBLANK(DaqBook_RAW_Data!AL649),"",DaqBook_RAW_Data!AL649)</f>
        <v/>
      </c>
      <c r="H659" s="167" t="str">
        <f>IF(ISBLANK(DaqBook_RAW_Data!AM649),"",DaqBook_RAW_Data!AM649)</f>
        <v/>
      </c>
      <c r="I659" s="167" t="str">
        <f>IF(ISBLANK(DaqBook_RAW_Data!AN649),"",DaqBook_RAW_Data!AN649)</f>
        <v/>
      </c>
      <c r="J659" s="167" t="str">
        <f>IF(ISBLANK(DaqBook_RAW_Data!AO649),"",DaqBook_RAW_Data!AO649)</f>
        <v/>
      </c>
      <c r="K659" s="167" t="str">
        <f>IF(ISBLANK(DaqBook_RAW_Data!AP649),"",DaqBook_RAW_Data!AP649)</f>
        <v/>
      </c>
      <c r="L659" s="167" t="str">
        <f>IF(ISBLANK(DaqBook_RAW_Data!AQ649),"",DaqBook_RAW_Data!AQ649)</f>
        <v/>
      </c>
      <c r="M659" s="167" t="str">
        <f>IF(ISBLANK(DaqBook_RAW_Data!AR649),"",DaqBook_RAW_Data!AR649)</f>
        <v/>
      </c>
      <c r="N659" s="167" t="str">
        <f>IF(ISBLANK(DaqBook_RAW_Data!AS649),"",DaqBook_RAW_Data!AS649)</f>
        <v/>
      </c>
      <c r="O659" s="44"/>
      <c r="P659" s="44"/>
    </row>
    <row r="660" spans="1:16" x14ac:dyDescent="0.2">
      <c r="A660" s="58" t="e">
        <f t="shared" si="10"/>
        <v>#VALUE!</v>
      </c>
      <c r="B660" s="144" t="str">
        <f>IF(ISBLANK(DaqBook_RAW_Data!AG650),IF(DaqBook_RAW_Data!A650="","",TIMEVALUE(DaqBook_RAW_Data!A650)),TIMEVALUE(DaqBook_RAW_Data!AG650))</f>
        <v/>
      </c>
      <c r="C660" s="167" t="str">
        <f>IF(ISBLANK(DaqBook_RAW_Data!AH650),"",DaqBook_RAW_Data!AH650)</f>
        <v/>
      </c>
      <c r="D660" s="167" t="str">
        <f>IF(ISBLANK(DaqBook_RAW_Data!AI650),"",DaqBook_RAW_Data!AI650)</f>
        <v/>
      </c>
      <c r="E660" s="167" t="str">
        <f>IF(ISBLANK(DaqBook_RAW_Data!AJ650),"",DaqBook_RAW_Data!AJ650)</f>
        <v/>
      </c>
      <c r="F660" s="167" t="str">
        <f>IF(ISBLANK(DaqBook_RAW_Data!AK650),"",DaqBook_RAW_Data!AK650)</f>
        <v/>
      </c>
      <c r="G660" s="167" t="str">
        <f>IF(ISBLANK(DaqBook_RAW_Data!AL650),"",DaqBook_RAW_Data!AL650)</f>
        <v/>
      </c>
      <c r="H660" s="167" t="str">
        <f>IF(ISBLANK(DaqBook_RAW_Data!AM650),"",DaqBook_RAW_Data!AM650)</f>
        <v/>
      </c>
      <c r="I660" s="167" t="str">
        <f>IF(ISBLANK(DaqBook_RAW_Data!AN650),"",DaqBook_RAW_Data!AN650)</f>
        <v/>
      </c>
      <c r="J660" s="167" t="str">
        <f>IF(ISBLANK(DaqBook_RAW_Data!AO650),"",DaqBook_RAW_Data!AO650)</f>
        <v/>
      </c>
      <c r="K660" s="167" t="str">
        <f>IF(ISBLANK(DaqBook_RAW_Data!AP650),"",DaqBook_RAW_Data!AP650)</f>
        <v/>
      </c>
      <c r="L660" s="167" t="str">
        <f>IF(ISBLANK(DaqBook_RAW_Data!AQ650),"",DaqBook_RAW_Data!AQ650)</f>
        <v/>
      </c>
      <c r="M660" s="167" t="str">
        <f>IF(ISBLANK(DaqBook_RAW_Data!AR650),"",DaqBook_RAW_Data!AR650)</f>
        <v/>
      </c>
      <c r="N660" s="167" t="str">
        <f>IF(ISBLANK(DaqBook_RAW_Data!AS650),"",DaqBook_RAW_Data!AS650)</f>
        <v/>
      </c>
      <c r="O660" s="44"/>
      <c r="P660" s="44"/>
    </row>
    <row r="661" spans="1:16" x14ac:dyDescent="0.2">
      <c r="A661" s="58" t="e">
        <f t="shared" si="10"/>
        <v>#VALUE!</v>
      </c>
      <c r="B661" s="144" t="str">
        <f>IF(ISBLANK(DaqBook_RAW_Data!AG651),IF(DaqBook_RAW_Data!A651="","",TIMEVALUE(DaqBook_RAW_Data!A651)),TIMEVALUE(DaqBook_RAW_Data!AG651))</f>
        <v/>
      </c>
      <c r="C661" s="167" t="str">
        <f>IF(ISBLANK(DaqBook_RAW_Data!AH651),"",DaqBook_RAW_Data!AH651)</f>
        <v/>
      </c>
      <c r="D661" s="167" t="str">
        <f>IF(ISBLANK(DaqBook_RAW_Data!AI651),"",DaqBook_RAW_Data!AI651)</f>
        <v/>
      </c>
      <c r="E661" s="167" t="str">
        <f>IF(ISBLANK(DaqBook_RAW_Data!AJ651),"",DaqBook_RAW_Data!AJ651)</f>
        <v/>
      </c>
      <c r="F661" s="167" t="str">
        <f>IF(ISBLANK(DaqBook_RAW_Data!AK651),"",DaqBook_RAW_Data!AK651)</f>
        <v/>
      </c>
      <c r="G661" s="167" t="str">
        <f>IF(ISBLANK(DaqBook_RAW_Data!AL651),"",DaqBook_RAW_Data!AL651)</f>
        <v/>
      </c>
      <c r="H661" s="167" t="str">
        <f>IF(ISBLANK(DaqBook_RAW_Data!AM651),"",DaqBook_RAW_Data!AM651)</f>
        <v/>
      </c>
      <c r="I661" s="167" t="str">
        <f>IF(ISBLANK(DaqBook_RAW_Data!AN651),"",DaqBook_RAW_Data!AN651)</f>
        <v/>
      </c>
      <c r="J661" s="167" t="str">
        <f>IF(ISBLANK(DaqBook_RAW_Data!AO651),"",DaqBook_RAW_Data!AO651)</f>
        <v/>
      </c>
      <c r="K661" s="167" t="str">
        <f>IF(ISBLANK(DaqBook_RAW_Data!AP651),"",DaqBook_RAW_Data!AP651)</f>
        <v/>
      </c>
      <c r="L661" s="167" t="str">
        <f>IF(ISBLANK(DaqBook_RAW_Data!AQ651),"",DaqBook_RAW_Data!AQ651)</f>
        <v/>
      </c>
      <c r="M661" s="167" t="str">
        <f>IF(ISBLANK(DaqBook_RAW_Data!AR651),"",DaqBook_RAW_Data!AR651)</f>
        <v/>
      </c>
      <c r="N661" s="167" t="str">
        <f>IF(ISBLANK(DaqBook_RAW_Data!AS651),"",DaqBook_RAW_Data!AS651)</f>
        <v/>
      </c>
      <c r="O661" s="44"/>
      <c r="P661" s="44"/>
    </row>
    <row r="662" spans="1:16" x14ac:dyDescent="0.2">
      <c r="A662" s="58" t="e">
        <f t="shared" si="10"/>
        <v>#VALUE!</v>
      </c>
      <c r="B662" s="144" t="str">
        <f>IF(ISBLANK(DaqBook_RAW_Data!AG652),IF(DaqBook_RAW_Data!A652="","",TIMEVALUE(DaqBook_RAW_Data!A652)),TIMEVALUE(DaqBook_RAW_Data!AG652))</f>
        <v/>
      </c>
      <c r="C662" s="167" t="str">
        <f>IF(ISBLANK(DaqBook_RAW_Data!AH652),"",DaqBook_RAW_Data!AH652)</f>
        <v/>
      </c>
      <c r="D662" s="167" t="str">
        <f>IF(ISBLANK(DaqBook_RAW_Data!AI652),"",DaqBook_RAW_Data!AI652)</f>
        <v/>
      </c>
      <c r="E662" s="167" t="str">
        <f>IF(ISBLANK(DaqBook_RAW_Data!AJ652),"",DaqBook_RAW_Data!AJ652)</f>
        <v/>
      </c>
      <c r="F662" s="167" t="str">
        <f>IF(ISBLANK(DaqBook_RAW_Data!AK652),"",DaqBook_RAW_Data!AK652)</f>
        <v/>
      </c>
      <c r="G662" s="167" t="str">
        <f>IF(ISBLANK(DaqBook_RAW_Data!AL652),"",DaqBook_RAW_Data!AL652)</f>
        <v/>
      </c>
      <c r="H662" s="167" t="str">
        <f>IF(ISBLANK(DaqBook_RAW_Data!AM652),"",DaqBook_RAW_Data!AM652)</f>
        <v/>
      </c>
      <c r="I662" s="167" t="str">
        <f>IF(ISBLANK(DaqBook_RAW_Data!AN652),"",DaqBook_RAW_Data!AN652)</f>
        <v/>
      </c>
      <c r="J662" s="167" t="str">
        <f>IF(ISBLANK(DaqBook_RAW_Data!AO652),"",DaqBook_RAW_Data!AO652)</f>
        <v/>
      </c>
      <c r="K662" s="167" t="str">
        <f>IF(ISBLANK(DaqBook_RAW_Data!AP652),"",DaqBook_RAW_Data!AP652)</f>
        <v/>
      </c>
      <c r="L662" s="167" t="str">
        <f>IF(ISBLANK(DaqBook_RAW_Data!AQ652),"",DaqBook_RAW_Data!AQ652)</f>
        <v/>
      </c>
      <c r="M662" s="167" t="str">
        <f>IF(ISBLANK(DaqBook_RAW_Data!AR652),"",DaqBook_RAW_Data!AR652)</f>
        <v/>
      </c>
      <c r="N662" s="167" t="str">
        <f>IF(ISBLANK(DaqBook_RAW_Data!AS652),"",DaqBook_RAW_Data!AS652)</f>
        <v/>
      </c>
      <c r="O662" s="44"/>
      <c r="P662" s="44"/>
    </row>
    <row r="663" spans="1:16" x14ac:dyDescent="0.2">
      <c r="A663" s="58" t="e">
        <f t="shared" si="10"/>
        <v>#VALUE!</v>
      </c>
      <c r="B663" s="144" t="str">
        <f>IF(ISBLANK(DaqBook_RAW_Data!AG653),IF(DaqBook_RAW_Data!A653="","",TIMEVALUE(DaqBook_RAW_Data!A653)),TIMEVALUE(DaqBook_RAW_Data!AG653))</f>
        <v/>
      </c>
      <c r="C663" s="167" t="str">
        <f>IF(ISBLANK(DaqBook_RAW_Data!AH653),"",DaqBook_RAW_Data!AH653)</f>
        <v/>
      </c>
      <c r="D663" s="167" t="str">
        <f>IF(ISBLANK(DaqBook_RAW_Data!AI653),"",DaqBook_RAW_Data!AI653)</f>
        <v/>
      </c>
      <c r="E663" s="167" t="str">
        <f>IF(ISBLANK(DaqBook_RAW_Data!AJ653),"",DaqBook_RAW_Data!AJ653)</f>
        <v/>
      </c>
      <c r="F663" s="167" t="str">
        <f>IF(ISBLANK(DaqBook_RAW_Data!AK653),"",DaqBook_RAW_Data!AK653)</f>
        <v/>
      </c>
      <c r="G663" s="167" t="str">
        <f>IF(ISBLANK(DaqBook_RAW_Data!AL653),"",DaqBook_RAW_Data!AL653)</f>
        <v/>
      </c>
      <c r="H663" s="167" t="str">
        <f>IF(ISBLANK(DaqBook_RAW_Data!AM653),"",DaqBook_RAW_Data!AM653)</f>
        <v/>
      </c>
      <c r="I663" s="167" t="str">
        <f>IF(ISBLANK(DaqBook_RAW_Data!AN653),"",DaqBook_RAW_Data!AN653)</f>
        <v/>
      </c>
      <c r="J663" s="167" t="str">
        <f>IF(ISBLANK(DaqBook_RAW_Data!AO653),"",DaqBook_RAW_Data!AO653)</f>
        <v/>
      </c>
      <c r="K663" s="167" t="str">
        <f>IF(ISBLANK(DaqBook_RAW_Data!AP653),"",DaqBook_RAW_Data!AP653)</f>
        <v/>
      </c>
      <c r="L663" s="167" t="str">
        <f>IF(ISBLANK(DaqBook_RAW_Data!AQ653),"",DaqBook_RAW_Data!AQ653)</f>
        <v/>
      </c>
      <c r="M663" s="167" t="str">
        <f>IF(ISBLANK(DaqBook_RAW_Data!AR653),"",DaqBook_RAW_Data!AR653)</f>
        <v/>
      </c>
      <c r="N663" s="167" t="str">
        <f>IF(ISBLANK(DaqBook_RAW_Data!AS653),"",DaqBook_RAW_Data!AS653)</f>
        <v/>
      </c>
      <c r="O663" s="44"/>
      <c r="P663" s="44"/>
    </row>
    <row r="664" spans="1:16" x14ac:dyDescent="0.2">
      <c r="A664" s="58" t="e">
        <f t="shared" si="10"/>
        <v>#VALUE!</v>
      </c>
      <c r="B664" s="144" t="str">
        <f>IF(ISBLANK(DaqBook_RAW_Data!AG654),IF(DaqBook_RAW_Data!A654="","",TIMEVALUE(DaqBook_RAW_Data!A654)),TIMEVALUE(DaqBook_RAW_Data!AG654))</f>
        <v/>
      </c>
      <c r="C664" s="167" t="str">
        <f>IF(ISBLANK(DaqBook_RAW_Data!AH654),"",DaqBook_RAW_Data!AH654)</f>
        <v/>
      </c>
      <c r="D664" s="167" t="str">
        <f>IF(ISBLANK(DaqBook_RAW_Data!AI654),"",DaqBook_RAW_Data!AI654)</f>
        <v/>
      </c>
      <c r="E664" s="167" t="str">
        <f>IF(ISBLANK(DaqBook_RAW_Data!AJ654),"",DaqBook_RAW_Data!AJ654)</f>
        <v/>
      </c>
      <c r="F664" s="167" t="str">
        <f>IF(ISBLANK(DaqBook_RAW_Data!AK654),"",DaqBook_RAW_Data!AK654)</f>
        <v/>
      </c>
      <c r="G664" s="167" t="str">
        <f>IF(ISBLANK(DaqBook_RAW_Data!AL654),"",DaqBook_RAW_Data!AL654)</f>
        <v/>
      </c>
      <c r="H664" s="167" t="str">
        <f>IF(ISBLANK(DaqBook_RAW_Data!AM654),"",DaqBook_RAW_Data!AM654)</f>
        <v/>
      </c>
      <c r="I664" s="167" t="str">
        <f>IF(ISBLANK(DaqBook_RAW_Data!AN654),"",DaqBook_RAW_Data!AN654)</f>
        <v/>
      </c>
      <c r="J664" s="167" t="str">
        <f>IF(ISBLANK(DaqBook_RAW_Data!AO654),"",DaqBook_RAW_Data!AO654)</f>
        <v/>
      </c>
      <c r="K664" s="167" t="str">
        <f>IF(ISBLANK(DaqBook_RAW_Data!AP654),"",DaqBook_RAW_Data!AP654)</f>
        <v/>
      </c>
      <c r="L664" s="167" t="str">
        <f>IF(ISBLANK(DaqBook_RAW_Data!AQ654),"",DaqBook_RAW_Data!AQ654)</f>
        <v/>
      </c>
      <c r="M664" s="167" t="str">
        <f>IF(ISBLANK(DaqBook_RAW_Data!AR654),"",DaqBook_RAW_Data!AR654)</f>
        <v/>
      </c>
      <c r="N664" s="167" t="str">
        <f>IF(ISBLANK(DaqBook_RAW_Data!AS654),"",DaqBook_RAW_Data!AS654)</f>
        <v/>
      </c>
      <c r="O664" s="44"/>
      <c r="P664" s="44"/>
    </row>
    <row r="665" spans="1:16" x14ac:dyDescent="0.2">
      <c r="A665" s="58" t="e">
        <f t="shared" si="10"/>
        <v>#VALUE!</v>
      </c>
      <c r="B665" s="144" t="str">
        <f>IF(ISBLANK(DaqBook_RAW_Data!AG655),IF(DaqBook_RAW_Data!A655="","",TIMEVALUE(DaqBook_RAW_Data!A655)),TIMEVALUE(DaqBook_RAW_Data!AG655))</f>
        <v/>
      </c>
      <c r="C665" s="167" t="str">
        <f>IF(ISBLANK(DaqBook_RAW_Data!AH655),"",DaqBook_RAW_Data!AH655)</f>
        <v/>
      </c>
      <c r="D665" s="167" t="str">
        <f>IF(ISBLANK(DaqBook_RAW_Data!AI655),"",DaqBook_RAW_Data!AI655)</f>
        <v/>
      </c>
      <c r="E665" s="167" t="str">
        <f>IF(ISBLANK(DaqBook_RAW_Data!AJ655),"",DaqBook_RAW_Data!AJ655)</f>
        <v/>
      </c>
      <c r="F665" s="167" t="str">
        <f>IF(ISBLANK(DaqBook_RAW_Data!AK655),"",DaqBook_RAW_Data!AK655)</f>
        <v/>
      </c>
      <c r="G665" s="167" t="str">
        <f>IF(ISBLANK(DaqBook_RAW_Data!AL655),"",DaqBook_RAW_Data!AL655)</f>
        <v/>
      </c>
      <c r="H665" s="167" t="str">
        <f>IF(ISBLANK(DaqBook_RAW_Data!AM655),"",DaqBook_RAW_Data!AM655)</f>
        <v/>
      </c>
      <c r="I665" s="167" t="str">
        <f>IF(ISBLANK(DaqBook_RAW_Data!AN655),"",DaqBook_RAW_Data!AN655)</f>
        <v/>
      </c>
      <c r="J665" s="167" t="str">
        <f>IF(ISBLANK(DaqBook_RAW_Data!AO655),"",DaqBook_RAW_Data!AO655)</f>
        <v/>
      </c>
      <c r="K665" s="167" t="str">
        <f>IF(ISBLANK(DaqBook_RAW_Data!AP655),"",DaqBook_RAW_Data!AP655)</f>
        <v/>
      </c>
      <c r="L665" s="167" t="str">
        <f>IF(ISBLANK(DaqBook_RAW_Data!AQ655),"",DaqBook_RAW_Data!AQ655)</f>
        <v/>
      </c>
      <c r="M665" s="167" t="str">
        <f>IF(ISBLANK(DaqBook_RAW_Data!AR655),"",DaqBook_RAW_Data!AR655)</f>
        <v/>
      </c>
      <c r="N665" s="167" t="str">
        <f>IF(ISBLANK(DaqBook_RAW_Data!AS655),"",DaqBook_RAW_Data!AS655)</f>
        <v/>
      </c>
      <c r="O665" s="44"/>
      <c r="P665" s="44"/>
    </row>
    <row r="666" spans="1:16" x14ac:dyDescent="0.2">
      <c r="A666" s="58" t="e">
        <f t="shared" si="10"/>
        <v>#VALUE!</v>
      </c>
      <c r="B666" s="144" t="str">
        <f>IF(ISBLANK(DaqBook_RAW_Data!AG656),IF(DaqBook_RAW_Data!A656="","",TIMEVALUE(DaqBook_RAW_Data!A656)),TIMEVALUE(DaqBook_RAW_Data!AG656))</f>
        <v/>
      </c>
      <c r="C666" s="167" t="str">
        <f>IF(ISBLANK(DaqBook_RAW_Data!AH656),"",DaqBook_RAW_Data!AH656)</f>
        <v/>
      </c>
      <c r="D666" s="167" t="str">
        <f>IF(ISBLANK(DaqBook_RAW_Data!AI656),"",DaqBook_RAW_Data!AI656)</f>
        <v/>
      </c>
      <c r="E666" s="167" t="str">
        <f>IF(ISBLANK(DaqBook_RAW_Data!AJ656),"",DaqBook_RAW_Data!AJ656)</f>
        <v/>
      </c>
      <c r="F666" s="167" t="str">
        <f>IF(ISBLANK(DaqBook_RAW_Data!AK656),"",DaqBook_RAW_Data!AK656)</f>
        <v/>
      </c>
      <c r="G666" s="167" t="str">
        <f>IF(ISBLANK(DaqBook_RAW_Data!AL656),"",DaqBook_RAW_Data!AL656)</f>
        <v/>
      </c>
      <c r="H666" s="167" t="str">
        <f>IF(ISBLANK(DaqBook_RAW_Data!AM656),"",DaqBook_RAW_Data!AM656)</f>
        <v/>
      </c>
      <c r="I666" s="167" t="str">
        <f>IF(ISBLANK(DaqBook_RAW_Data!AN656),"",DaqBook_RAW_Data!AN656)</f>
        <v/>
      </c>
      <c r="J666" s="167" t="str">
        <f>IF(ISBLANK(DaqBook_RAW_Data!AO656),"",DaqBook_RAW_Data!AO656)</f>
        <v/>
      </c>
      <c r="K666" s="167" t="str">
        <f>IF(ISBLANK(DaqBook_RAW_Data!AP656),"",DaqBook_RAW_Data!AP656)</f>
        <v/>
      </c>
      <c r="L666" s="167" t="str">
        <f>IF(ISBLANK(DaqBook_RAW_Data!AQ656),"",DaqBook_RAW_Data!AQ656)</f>
        <v/>
      </c>
      <c r="M666" s="167" t="str">
        <f>IF(ISBLANK(DaqBook_RAW_Data!AR656),"",DaqBook_RAW_Data!AR656)</f>
        <v/>
      </c>
      <c r="N666" s="167" t="str">
        <f>IF(ISBLANK(DaqBook_RAW_Data!AS656),"",DaqBook_RAW_Data!AS656)</f>
        <v/>
      </c>
      <c r="O666" s="44"/>
      <c r="P666" s="44"/>
    </row>
    <row r="667" spans="1:16" x14ac:dyDescent="0.2">
      <c r="A667" s="58" t="e">
        <f t="shared" si="10"/>
        <v>#VALUE!</v>
      </c>
      <c r="B667" s="144" t="str">
        <f>IF(ISBLANK(DaqBook_RAW_Data!AG657),IF(DaqBook_RAW_Data!A657="","",TIMEVALUE(DaqBook_RAW_Data!A657)),TIMEVALUE(DaqBook_RAW_Data!AG657))</f>
        <v/>
      </c>
      <c r="C667" s="167" t="str">
        <f>IF(ISBLANK(DaqBook_RAW_Data!AH657),"",DaqBook_RAW_Data!AH657)</f>
        <v/>
      </c>
      <c r="D667" s="167" t="str">
        <f>IF(ISBLANK(DaqBook_RAW_Data!AI657),"",DaqBook_RAW_Data!AI657)</f>
        <v/>
      </c>
      <c r="E667" s="167" t="str">
        <f>IF(ISBLANK(DaqBook_RAW_Data!AJ657),"",DaqBook_RAW_Data!AJ657)</f>
        <v/>
      </c>
      <c r="F667" s="167" t="str">
        <f>IF(ISBLANK(DaqBook_RAW_Data!AK657),"",DaqBook_RAW_Data!AK657)</f>
        <v/>
      </c>
      <c r="G667" s="167" t="str">
        <f>IF(ISBLANK(DaqBook_RAW_Data!AL657),"",DaqBook_RAW_Data!AL657)</f>
        <v/>
      </c>
      <c r="H667" s="167" t="str">
        <f>IF(ISBLANK(DaqBook_RAW_Data!AM657),"",DaqBook_RAW_Data!AM657)</f>
        <v/>
      </c>
      <c r="I667" s="167" t="str">
        <f>IF(ISBLANK(DaqBook_RAW_Data!AN657),"",DaqBook_RAW_Data!AN657)</f>
        <v/>
      </c>
      <c r="J667" s="167" t="str">
        <f>IF(ISBLANK(DaqBook_RAW_Data!AO657),"",DaqBook_RAW_Data!AO657)</f>
        <v/>
      </c>
      <c r="K667" s="167" t="str">
        <f>IF(ISBLANK(DaqBook_RAW_Data!AP657),"",DaqBook_RAW_Data!AP657)</f>
        <v/>
      </c>
      <c r="L667" s="167" t="str">
        <f>IF(ISBLANK(DaqBook_RAW_Data!AQ657),"",DaqBook_RAW_Data!AQ657)</f>
        <v/>
      </c>
      <c r="M667" s="167" t="str">
        <f>IF(ISBLANK(DaqBook_RAW_Data!AR657),"",DaqBook_RAW_Data!AR657)</f>
        <v/>
      </c>
      <c r="N667" s="167" t="str">
        <f>IF(ISBLANK(DaqBook_RAW_Data!AS657),"",DaqBook_RAW_Data!AS657)</f>
        <v/>
      </c>
      <c r="O667" s="44"/>
      <c r="P667" s="44"/>
    </row>
    <row r="668" spans="1:16" x14ac:dyDescent="0.2">
      <c r="A668" s="58" t="e">
        <f t="shared" si="10"/>
        <v>#VALUE!</v>
      </c>
      <c r="B668" s="144" t="str">
        <f>IF(ISBLANK(DaqBook_RAW_Data!AG658),IF(DaqBook_RAW_Data!A658="","",TIMEVALUE(DaqBook_RAW_Data!A658)),TIMEVALUE(DaqBook_RAW_Data!AG658))</f>
        <v/>
      </c>
      <c r="C668" s="167" t="str">
        <f>IF(ISBLANK(DaqBook_RAW_Data!AH658),"",DaqBook_RAW_Data!AH658)</f>
        <v/>
      </c>
      <c r="D668" s="167" t="str">
        <f>IF(ISBLANK(DaqBook_RAW_Data!AI658),"",DaqBook_RAW_Data!AI658)</f>
        <v/>
      </c>
      <c r="E668" s="167" t="str">
        <f>IF(ISBLANK(DaqBook_RAW_Data!AJ658),"",DaqBook_RAW_Data!AJ658)</f>
        <v/>
      </c>
      <c r="F668" s="167" t="str">
        <f>IF(ISBLANK(DaqBook_RAW_Data!AK658),"",DaqBook_RAW_Data!AK658)</f>
        <v/>
      </c>
      <c r="G668" s="167" t="str">
        <f>IF(ISBLANK(DaqBook_RAW_Data!AL658),"",DaqBook_RAW_Data!AL658)</f>
        <v/>
      </c>
      <c r="H668" s="167" t="str">
        <f>IF(ISBLANK(DaqBook_RAW_Data!AM658),"",DaqBook_RAW_Data!AM658)</f>
        <v/>
      </c>
      <c r="I668" s="167" t="str">
        <f>IF(ISBLANK(DaqBook_RAW_Data!AN658),"",DaqBook_RAW_Data!AN658)</f>
        <v/>
      </c>
      <c r="J668" s="167" t="str">
        <f>IF(ISBLANK(DaqBook_RAW_Data!AO658),"",DaqBook_RAW_Data!AO658)</f>
        <v/>
      </c>
      <c r="K668" s="167" t="str">
        <f>IF(ISBLANK(DaqBook_RAW_Data!AP658),"",DaqBook_RAW_Data!AP658)</f>
        <v/>
      </c>
      <c r="L668" s="167" t="str">
        <f>IF(ISBLANK(DaqBook_RAW_Data!AQ658),"",DaqBook_RAW_Data!AQ658)</f>
        <v/>
      </c>
      <c r="M668" s="167" t="str">
        <f>IF(ISBLANK(DaqBook_RAW_Data!AR658),"",DaqBook_RAW_Data!AR658)</f>
        <v/>
      </c>
      <c r="N668" s="167" t="str">
        <f>IF(ISBLANK(DaqBook_RAW_Data!AS658),"",DaqBook_RAW_Data!AS658)</f>
        <v/>
      </c>
      <c r="O668" s="44"/>
      <c r="P668" s="44"/>
    </row>
    <row r="669" spans="1:16" x14ac:dyDescent="0.2">
      <c r="A669" s="58" t="e">
        <f t="shared" si="10"/>
        <v>#VALUE!</v>
      </c>
      <c r="B669" s="144" t="str">
        <f>IF(ISBLANK(DaqBook_RAW_Data!AG659),IF(DaqBook_RAW_Data!A659="","",TIMEVALUE(DaqBook_RAW_Data!A659)),TIMEVALUE(DaqBook_RAW_Data!AG659))</f>
        <v/>
      </c>
      <c r="C669" s="167" t="str">
        <f>IF(ISBLANK(DaqBook_RAW_Data!AH659),"",DaqBook_RAW_Data!AH659)</f>
        <v/>
      </c>
      <c r="D669" s="167" t="str">
        <f>IF(ISBLANK(DaqBook_RAW_Data!AI659),"",DaqBook_RAW_Data!AI659)</f>
        <v/>
      </c>
      <c r="E669" s="167" t="str">
        <f>IF(ISBLANK(DaqBook_RAW_Data!AJ659),"",DaqBook_RAW_Data!AJ659)</f>
        <v/>
      </c>
      <c r="F669" s="167" t="str">
        <f>IF(ISBLANK(DaqBook_RAW_Data!AK659),"",DaqBook_RAW_Data!AK659)</f>
        <v/>
      </c>
      <c r="G669" s="167" t="str">
        <f>IF(ISBLANK(DaqBook_RAW_Data!AL659),"",DaqBook_RAW_Data!AL659)</f>
        <v/>
      </c>
      <c r="H669" s="167" t="str">
        <f>IF(ISBLANK(DaqBook_RAW_Data!AM659),"",DaqBook_RAW_Data!AM659)</f>
        <v/>
      </c>
      <c r="I669" s="167" t="str">
        <f>IF(ISBLANK(DaqBook_RAW_Data!AN659),"",DaqBook_RAW_Data!AN659)</f>
        <v/>
      </c>
      <c r="J669" s="167" t="str">
        <f>IF(ISBLANK(DaqBook_RAW_Data!AO659),"",DaqBook_RAW_Data!AO659)</f>
        <v/>
      </c>
      <c r="K669" s="167" t="str">
        <f>IF(ISBLANK(DaqBook_RAW_Data!AP659),"",DaqBook_RAW_Data!AP659)</f>
        <v/>
      </c>
      <c r="L669" s="167" t="str">
        <f>IF(ISBLANK(DaqBook_RAW_Data!AQ659),"",DaqBook_RAW_Data!AQ659)</f>
        <v/>
      </c>
      <c r="M669" s="167" t="str">
        <f>IF(ISBLANK(DaqBook_RAW_Data!AR659),"",DaqBook_RAW_Data!AR659)</f>
        <v/>
      </c>
      <c r="N669" s="167" t="str">
        <f>IF(ISBLANK(DaqBook_RAW_Data!AS659),"",DaqBook_RAW_Data!AS659)</f>
        <v/>
      </c>
      <c r="O669" s="44"/>
      <c r="P669" s="44"/>
    </row>
    <row r="670" spans="1:16" x14ac:dyDescent="0.2">
      <c r="A670" s="58" t="e">
        <f t="shared" si="10"/>
        <v>#VALUE!</v>
      </c>
      <c r="B670" s="144" t="str">
        <f>IF(ISBLANK(DaqBook_RAW_Data!AG660),IF(DaqBook_RAW_Data!A660="","",TIMEVALUE(DaqBook_RAW_Data!A660)),TIMEVALUE(DaqBook_RAW_Data!AG660))</f>
        <v/>
      </c>
      <c r="C670" s="167" t="str">
        <f>IF(ISBLANK(DaqBook_RAW_Data!AH660),"",DaqBook_RAW_Data!AH660)</f>
        <v/>
      </c>
      <c r="D670" s="167" t="str">
        <f>IF(ISBLANK(DaqBook_RAW_Data!AI660),"",DaqBook_RAW_Data!AI660)</f>
        <v/>
      </c>
      <c r="E670" s="167" t="str">
        <f>IF(ISBLANK(DaqBook_RAW_Data!AJ660),"",DaqBook_RAW_Data!AJ660)</f>
        <v/>
      </c>
      <c r="F670" s="167" t="str">
        <f>IF(ISBLANK(DaqBook_RAW_Data!AK660),"",DaqBook_RAW_Data!AK660)</f>
        <v/>
      </c>
      <c r="G670" s="167" t="str">
        <f>IF(ISBLANK(DaqBook_RAW_Data!AL660),"",DaqBook_RAW_Data!AL660)</f>
        <v/>
      </c>
      <c r="H670" s="167" t="str">
        <f>IF(ISBLANK(DaqBook_RAW_Data!AM660),"",DaqBook_RAW_Data!AM660)</f>
        <v/>
      </c>
      <c r="I670" s="167" t="str">
        <f>IF(ISBLANK(DaqBook_RAW_Data!AN660),"",DaqBook_RAW_Data!AN660)</f>
        <v/>
      </c>
      <c r="J670" s="167" t="str">
        <f>IF(ISBLANK(DaqBook_RAW_Data!AO660),"",DaqBook_RAW_Data!AO660)</f>
        <v/>
      </c>
      <c r="K670" s="167" t="str">
        <f>IF(ISBLANK(DaqBook_RAW_Data!AP660),"",DaqBook_RAW_Data!AP660)</f>
        <v/>
      </c>
      <c r="L670" s="167" t="str">
        <f>IF(ISBLANK(DaqBook_RAW_Data!AQ660),"",DaqBook_RAW_Data!AQ660)</f>
        <v/>
      </c>
      <c r="M670" s="167" t="str">
        <f>IF(ISBLANK(DaqBook_RAW_Data!AR660),"",DaqBook_RAW_Data!AR660)</f>
        <v/>
      </c>
      <c r="N670" s="167" t="str">
        <f>IF(ISBLANK(DaqBook_RAW_Data!AS660),"",DaqBook_RAW_Data!AS660)</f>
        <v/>
      </c>
      <c r="O670" s="44"/>
      <c r="P670" s="44"/>
    </row>
    <row r="671" spans="1:16" x14ac:dyDescent="0.2">
      <c r="A671" s="58" t="e">
        <f t="shared" si="10"/>
        <v>#VALUE!</v>
      </c>
      <c r="B671" s="144" t="str">
        <f>IF(ISBLANK(DaqBook_RAW_Data!AG661),IF(DaqBook_RAW_Data!A661="","",TIMEVALUE(DaqBook_RAW_Data!A661)),TIMEVALUE(DaqBook_RAW_Data!AG661))</f>
        <v/>
      </c>
      <c r="C671" s="167" t="str">
        <f>IF(ISBLANK(DaqBook_RAW_Data!AH661),"",DaqBook_RAW_Data!AH661)</f>
        <v/>
      </c>
      <c r="D671" s="167" t="str">
        <f>IF(ISBLANK(DaqBook_RAW_Data!AI661),"",DaqBook_RAW_Data!AI661)</f>
        <v/>
      </c>
      <c r="E671" s="167" t="str">
        <f>IF(ISBLANK(DaqBook_RAW_Data!AJ661),"",DaqBook_RAW_Data!AJ661)</f>
        <v/>
      </c>
      <c r="F671" s="167" t="str">
        <f>IF(ISBLANK(DaqBook_RAW_Data!AK661),"",DaqBook_RAW_Data!AK661)</f>
        <v/>
      </c>
      <c r="G671" s="167" t="str">
        <f>IF(ISBLANK(DaqBook_RAW_Data!AL661),"",DaqBook_RAW_Data!AL661)</f>
        <v/>
      </c>
      <c r="H671" s="167" t="str">
        <f>IF(ISBLANK(DaqBook_RAW_Data!AM661),"",DaqBook_RAW_Data!AM661)</f>
        <v/>
      </c>
      <c r="I671" s="167" t="str">
        <f>IF(ISBLANK(DaqBook_RAW_Data!AN661),"",DaqBook_RAW_Data!AN661)</f>
        <v/>
      </c>
      <c r="J671" s="167" t="str">
        <f>IF(ISBLANK(DaqBook_RAW_Data!AO661),"",DaqBook_RAW_Data!AO661)</f>
        <v/>
      </c>
      <c r="K671" s="167" t="str">
        <f>IF(ISBLANK(DaqBook_RAW_Data!AP661),"",DaqBook_RAW_Data!AP661)</f>
        <v/>
      </c>
      <c r="L671" s="167" t="str">
        <f>IF(ISBLANK(DaqBook_RAW_Data!AQ661),"",DaqBook_RAW_Data!AQ661)</f>
        <v/>
      </c>
      <c r="M671" s="167" t="str">
        <f>IF(ISBLANK(DaqBook_RAW_Data!AR661),"",DaqBook_RAW_Data!AR661)</f>
        <v/>
      </c>
      <c r="N671" s="167" t="str">
        <f>IF(ISBLANK(DaqBook_RAW_Data!AS661),"",DaqBook_RAW_Data!AS661)</f>
        <v/>
      </c>
      <c r="O671" s="44"/>
      <c r="P671" s="44"/>
    </row>
    <row r="672" spans="1:16" x14ac:dyDescent="0.2">
      <c r="A672" s="58" t="e">
        <f t="shared" si="10"/>
        <v>#VALUE!</v>
      </c>
      <c r="B672" s="144" t="str">
        <f>IF(ISBLANK(DaqBook_RAW_Data!AG662),IF(DaqBook_RAW_Data!A662="","",TIMEVALUE(DaqBook_RAW_Data!A662)),TIMEVALUE(DaqBook_RAW_Data!AG662))</f>
        <v/>
      </c>
      <c r="C672" s="167" t="str">
        <f>IF(ISBLANK(DaqBook_RAW_Data!AH662),"",DaqBook_RAW_Data!AH662)</f>
        <v/>
      </c>
      <c r="D672" s="167" t="str">
        <f>IF(ISBLANK(DaqBook_RAW_Data!AI662),"",DaqBook_RAW_Data!AI662)</f>
        <v/>
      </c>
      <c r="E672" s="167" t="str">
        <f>IF(ISBLANK(DaqBook_RAW_Data!AJ662),"",DaqBook_RAW_Data!AJ662)</f>
        <v/>
      </c>
      <c r="F672" s="167" t="str">
        <f>IF(ISBLANK(DaqBook_RAW_Data!AK662),"",DaqBook_RAW_Data!AK662)</f>
        <v/>
      </c>
      <c r="G672" s="167" t="str">
        <f>IF(ISBLANK(DaqBook_RAW_Data!AL662),"",DaqBook_RAW_Data!AL662)</f>
        <v/>
      </c>
      <c r="H672" s="167" t="str">
        <f>IF(ISBLANK(DaqBook_RAW_Data!AM662),"",DaqBook_RAW_Data!AM662)</f>
        <v/>
      </c>
      <c r="I672" s="167" t="str">
        <f>IF(ISBLANK(DaqBook_RAW_Data!AN662),"",DaqBook_RAW_Data!AN662)</f>
        <v/>
      </c>
      <c r="J672" s="167" t="str">
        <f>IF(ISBLANK(DaqBook_RAW_Data!AO662),"",DaqBook_RAW_Data!AO662)</f>
        <v/>
      </c>
      <c r="K672" s="167" t="str">
        <f>IF(ISBLANK(DaqBook_RAW_Data!AP662),"",DaqBook_RAW_Data!AP662)</f>
        <v/>
      </c>
      <c r="L672" s="167" t="str">
        <f>IF(ISBLANK(DaqBook_RAW_Data!AQ662),"",DaqBook_RAW_Data!AQ662)</f>
        <v/>
      </c>
      <c r="M672" s="167" t="str">
        <f>IF(ISBLANK(DaqBook_RAW_Data!AR662),"",DaqBook_RAW_Data!AR662)</f>
        <v/>
      </c>
      <c r="N672" s="167" t="str">
        <f>IF(ISBLANK(DaqBook_RAW_Data!AS662),"",DaqBook_RAW_Data!AS662)</f>
        <v/>
      </c>
      <c r="O672" s="44"/>
      <c r="P672" s="44"/>
    </row>
    <row r="673" spans="1:16" x14ac:dyDescent="0.2">
      <c r="A673" s="58" t="e">
        <f t="shared" si="10"/>
        <v>#VALUE!</v>
      </c>
      <c r="B673" s="144" t="str">
        <f>IF(ISBLANK(DaqBook_RAW_Data!AG663),IF(DaqBook_RAW_Data!A663="","",TIMEVALUE(DaqBook_RAW_Data!A663)),TIMEVALUE(DaqBook_RAW_Data!AG663))</f>
        <v/>
      </c>
      <c r="C673" s="167" t="str">
        <f>IF(ISBLANK(DaqBook_RAW_Data!AH663),"",DaqBook_RAW_Data!AH663)</f>
        <v/>
      </c>
      <c r="D673" s="167" t="str">
        <f>IF(ISBLANK(DaqBook_RAW_Data!AI663),"",DaqBook_RAW_Data!AI663)</f>
        <v/>
      </c>
      <c r="E673" s="167" t="str">
        <f>IF(ISBLANK(DaqBook_RAW_Data!AJ663),"",DaqBook_RAW_Data!AJ663)</f>
        <v/>
      </c>
      <c r="F673" s="167" t="str">
        <f>IF(ISBLANK(DaqBook_RAW_Data!AK663),"",DaqBook_RAW_Data!AK663)</f>
        <v/>
      </c>
      <c r="G673" s="167" t="str">
        <f>IF(ISBLANK(DaqBook_RAW_Data!AL663),"",DaqBook_RAW_Data!AL663)</f>
        <v/>
      </c>
      <c r="H673" s="167" t="str">
        <f>IF(ISBLANK(DaqBook_RAW_Data!AM663),"",DaqBook_RAW_Data!AM663)</f>
        <v/>
      </c>
      <c r="I673" s="167" t="str">
        <f>IF(ISBLANK(DaqBook_RAW_Data!AN663),"",DaqBook_RAW_Data!AN663)</f>
        <v/>
      </c>
      <c r="J673" s="167" t="str">
        <f>IF(ISBLANK(DaqBook_RAW_Data!AO663),"",DaqBook_RAW_Data!AO663)</f>
        <v/>
      </c>
      <c r="K673" s="167" t="str">
        <f>IF(ISBLANK(DaqBook_RAW_Data!AP663),"",DaqBook_RAW_Data!AP663)</f>
        <v/>
      </c>
      <c r="L673" s="167" t="str">
        <f>IF(ISBLANK(DaqBook_RAW_Data!AQ663),"",DaqBook_RAW_Data!AQ663)</f>
        <v/>
      </c>
      <c r="M673" s="167" t="str">
        <f>IF(ISBLANK(DaqBook_RAW_Data!AR663),"",DaqBook_RAW_Data!AR663)</f>
        <v/>
      </c>
      <c r="N673" s="167" t="str">
        <f>IF(ISBLANK(DaqBook_RAW_Data!AS663),"",DaqBook_RAW_Data!AS663)</f>
        <v/>
      </c>
      <c r="O673" s="44"/>
      <c r="P673" s="44"/>
    </row>
    <row r="674" spans="1:16" x14ac:dyDescent="0.2">
      <c r="A674" s="58" t="e">
        <f t="shared" si="10"/>
        <v>#VALUE!</v>
      </c>
      <c r="B674" s="144" t="str">
        <f>IF(ISBLANK(DaqBook_RAW_Data!AG664),IF(DaqBook_RAW_Data!A664="","",TIMEVALUE(DaqBook_RAW_Data!A664)),TIMEVALUE(DaqBook_RAW_Data!AG664))</f>
        <v/>
      </c>
      <c r="C674" s="167" t="str">
        <f>IF(ISBLANK(DaqBook_RAW_Data!AH664),"",DaqBook_RAW_Data!AH664)</f>
        <v/>
      </c>
      <c r="D674" s="167" t="str">
        <f>IF(ISBLANK(DaqBook_RAW_Data!AI664),"",DaqBook_RAW_Data!AI664)</f>
        <v/>
      </c>
      <c r="E674" s="167" t="str">
        <f>IF(ISBLANK(DaqBook_RAW_Data!AJ664),"",DaqBook_RAW_Data!AJ664)</f>
        <v/>
      </c>
      <c r="F674" s="167" t="str">
        <f>IF(ISBLANK(DaqBook_RAW_Data!AK664),"",DaqBook_RAW_Data!AK664)</f>
        <v/>
      </c>
      <c r="G674" s="167" t="str">
        <f>IF(ISBLANK(DaqBook_RAW_Data!AL664),"",DaqBook_RAW_Data!AL664)</f>
        <v/>
      </c>
      <c r="H674" s="167" t="str">
        <f>IF(ISBLANK(DaqBook_RAW_Data!AM664),"",DaqBook_RAW_Data!AM664)</f>
        <v/>
      </c>
      <c r="I674" s="167" t="str">
        <f>IF(ISBLANK(DaqBook_RAW_Data!AN664),"",DaqBook_RAW_Data!AN664)</f>
        <v/>
      </c>
      <c r="J674" s="167" t="str">
        <f>IF(ISBLANK(DaqBook_RAW_Data!AO664),"",DaqBook_RAW_Data!AO664)</f>
        <v/>
      </c>
      <c r="K674" s="167" t="str">
        <f>IF(ISBLANK(DaqBook_RAW_Data!AP664),"",DaqBook_RAW_Data!AP664)</f>
        <v/>
      </c>
      <c r="L674" s="167" t="str">
        <f>IF(ISBLANK(DaqBook_RAW_Data!AQ664),"",DaqBook_RAW_Data!AQ664)</f>
        <v/>
      </c>
      <c r="M674" s="167" t="str">
        <f>IF(ISBLANK(DaqBook_RAW_Data!AR664),"",DaqBook_RAW_Data!AR664)</f>
        <v/>
      </c>
      <c r="N674" s="167" t="str">
        <f>IF(ISBLANK(DaqBook_RAW_Data!AS664),"",DaqBook_RAW_Data!AS664)</f>
        <v/>
      </c>
      <c r="O674" s="44"/>
      <c r="P674" s="44"/>
    </row>
    <row r="675" spans="1:16" x14ac:dyDescent="0.2">
      <c r="A675" s="58" t="e">
        <f t="shared" si="10"/>
        <v>#VALUE!</v>
      </c>
      <c r="B675" s="144" t="str">
        <f>IF(ISBLANK(DaqBook_RAW_Data!AG665),IF(DaqBook_RAW_Data!A665="","",TIMEVALUE(DaqBook_RAW_Data!A665)),TIMEVALUE(DaqBook_RAW_Data!AG665))</f>
        <v/>
      </c>
      <c r="C675" s="167" t="str">
        <f>IF(ISBLANK(DaqBook_RAW_Data!AH665),"",DaqBook_RAW_Data!AH665)</f>
        <v/>
      </c>
      <c r="D675" s="167" t="str">
        <f>IF(ISBLANK(DaqBook_RAW_Data!AI665),"",DaqBook_RAW_Data!AI665)</f>
        <v/>
      </c>
      <c r="E675" s="167" t="str">
        <f>IF(ISBLANK(DaqBook_RAW_Data!AJ665),"",DaqBook_RAW_Data!AJ665)</f>
        <v/>
      </c>
      <c r="F675" s="167" t="str">
        <f>IF(ISBLANK(DaqBook_RAW_Data!AK665),"",DaqBook_RAW_Data!AK665)</f>
        <v/>
      </c>
      <c r="G675" s="167" t="str">
        <f>IF(ISBLANK(DaqBook_RAW_Data!AL665),"",DaqBook_RAW_Data!AL665)</f>
        <v/>
      </c>
      <c r="H675" s="167" t="str">
        <f>IF(ISBLANK(DaqBook_RAW_Data!AM665),"",DaqBook_RAW_Data!AM665)</f>
        <v/>
      </c>
      <c r="I675" s="167" t="str">
        <f>IF(ISBLANK(DaqBook_RAW_Data!AN665),"",DaqBook_RAW_Data!AN665)</f>
        <v/>
      </c>
      <c r="J675" s="167" t="str">
        <f>IF(ISBLANK(DaqBook_RAW_Data!AO665),"",DaqBook_RAW_Data!AO665)</f>
        <v/>
      </c>
      <c r="K675" s="167" t="str">
        <f>IF(ISBLANK(DaqBook_RAW_Data!AP665),"",DaqBook_RAW_Data!AP665)</f>
        <v/>
      </c>
      <c r="L675" s="167" t="str">
        <f>IF(ISBLANK(DaqBook_RAW_Data!AQ665),"",DaqBook_RAW_Data!AQ665)</f>
        <v/>
      </c>
      <c r="M675" s="167" t="str">
        <f>IF(ISBLANK(DaqBook_RAW_Data!AR665),"",DaqBook_RAW_Data!AR665)</f>
        <v/>
      </c>
      <c r="N675" s="167" t="str">
        <f>IF(ISBLANK(DaqBook_RAW_Data!AS665),"",DaqBook_RAW_Data!AS665)</f>
        <v/>
      </c>
      <c r="O675" s="44"/>
      <c r="P675" s="44"/>
    </row>
    <row r="676" spans="1:16" x14ac:dyDescent="0.2">
      <c r="A676" s="58" t="e">
        <f t="shared" si="10"/>
        <v>#VALUE!</v>
      </c>
      <c r="B676" s="144" t="str">
        <f>IF(ISBLANK(DaqBook_RAW_Data!AG666),IF(DaqBook_RAW_Data!A666="","",TIMEVALUE(DaqBook_RAW_Data!A666)),TIMEVALUE(DaqBook_RAW_Data!AG666))</f>
        <v/>
      </c>
      <c r="C676" s="167" t="str">
        <f>IF(ISBLANK(DaqBook_RAW_Data!AH666),"",DaqBook_RAW_Data!AH666)</f>
        <v/>
      </c>
      <c r="D676" s="167" t="str">
        <f>IF(ISBLANK(DaqBook_RAW_Data!AI666),"",DaqBook_RAW_Data!AI666)</f>
        <v/>
      </c>
      <c r="E676" s="167" t="str">
        <f>IF(ISBLANK(DaqBook_RAW_Data!AJ666),"",DaqBook_RAW_Data!AJ666)</f>
        <v/>
      </c>
      <c r="F676" s="167" t="str">
        <f>IF(ISBLANK(DaqBook_RAW_Data!AK666),"",DaqBook_RAW_Data!AK666)</f>
        <v/>
      </c>
      <c r="G676" s="167" t="str">
        <f>IF(ISBLANK(DaqBook_RAW_Data!AL666),"",DaqBook_RAW_Data!AL666)</f>
        <v/>
      </c>
      <c r="H676" s="167" t="str">
        <f>IF(ISBLANK(DaqBook_RAW_Data!AM666),"",DaqBook_RAW_Data!AM666)</f>
        <v/>
      </c>
      <c r="I676" s="167" t="str">
        <f>IF(ISBLANK(DaqBook_RAW_Data!AN666),"",DaqBook_RAW_Data!AN666)</f>
        <v/>
      </c>
      <c r="J676" s="167" t="str">
        <f>IF(ISBLANK(DaqBook_RAW_Data!AO666),"",DaqBook_RAW_Data!AO666)</f>
        <v/>
      </c>
      <c r="K676" s="167" t="str">
        <f>IF(ISBLANK(DaqBook_RAW_Data!AP666),"",DaqBook_RAW_Data!AP666)</f>
        <v/>
      </c>
      <c r="L676" s="167" t="str">
        <f>IF(ISBLANK(DaqBook_RAW_Data!AQ666),"",DaqBook_RAW_Data!AQ666)</f>
        <v/>
      </c>
      <c r="M676" s="167" t="str">
        <f>IF(ISBLANK(DaqBook_RAW_Data!AR666),"",DaqBook_RAW_Data!AR666)</f>
        <v/>
      </c>
      <c r="N676" s="167" t="str">
        <f>IF(ISBLANK(DaqBook_RAW_Data!AS666),"",DaqBook_RAW_Data!AS666)</f>
        <v/>
      </c>
      <c r="O676" s="44"/>
      <c r="P676" s="44"/>
    </row>
    <row r="677" spans="1:16" x14ac:dyDescent="0.2">
      <c r="A677" s="58" t="e">
        <f t="shared" si="10"/>
        <v>#VALUE!</v>
      </c>
      <c r="B677" s="144" t="str">
        <f>IF(ISBLANK(DaqBook_RAW_Data!AG667),IF(DaqBook_RAW_Data!A667="","",TIMEVALUE(DaqBook_RAW_Data!A667)),TIMEVALUE(DaqBook_RAW_Data!AG667))</f>
        <v/>
      </c>
      <c r="C677" s="167" t="str">
        <f>IF(ISBLANK(DaqBook_RAW_Data!AH667),"",DaqBook_RAW_Data!AH667)</f>
        <v/>
      </c>
      <c r="D677" s="167" t="str">
        <f>IF(ISBLANK(DaqBook_RAW_Data!AI667),"",DaqBook_RAW_Data!AI667)</f>
        <v/>
      </c>
      <c r="E677" s="167" t="str">
        <f>IF(ISBLANK(DaqBook_RAW_Data!AJ667),"",DaqBook_RAW_Data!AJ667)</f>
        <v/>
      </c>
      <c r="F677" s="167" t="str">
        <f>IF(ISBLANK(DaqBook_RAW_Data!AK667),"",DaqBook_RAW_Data!AK667)</f>
        <v/>
      </c>
      <c r="G677" s="167" t="str">
        <f>IF(ISBLANK(DaqBook_RAW_Data!AL667),"",DaqBook_RAW_Data!AL667)</f>
        <v/>
      </c>
      <c r="H677" s="167" t="str">
        <f>IF(ISBLANK(DaqBook_RAW_Data!AM667),"",DaqBook_RAW_Data!AM667)</f>
        <v/>
      </c>
      <c r="I677" s="167" t="str">
        <f>IF(ISBLANK(DaqBook_RAW_Data!AN667),"",DaqBook_RAW_Data!AN667)</f>
        <v/>
      </c>
      <c r="J677" s="167" t="str">
        <f>IF(ISBLANK(DaqBook_RAW_Data!AO667),"",DaqBook_RAW_Data!AO667)</f>
        <v/>
      </c>
      <c r="K677" s="167" t="str">
        <f>IF(ISBLANK(DaqBook_RAW_Data!AP667),"",DaqBook_RAW_Data!AP667)</f>
        <v/>
      </c>
      <c r="L677" s="167" t="str">
        <f>IF(ISBLANK(DaqBook_RAW_Data!AQ667),"",DaqBook_RAW_Data!AQ667)</f>
        <v/>
      </c>
      <c r="M677" s="167" t="str">
        <f>IF(ISBLANK(DaqBook_RAW_Data!AR667),"",DaqBook_RAW_Data!AR667)</f>
        <v/>
      </c>
      <c r="N677" s="167" t="str">
        <f>IF(ISBLANK(DaqBook_RAW_Data!AS667),"",DaqBook_RAW_Data!AS667)</f>
        <v/>
      </c>
      <c r="O677" s="44"/>
      <c r="P677" s="44"/>
    </row>
    <row r="678" spans="1:16" x14ac:dyDescent="0.2">
      <c r="A678" s="58" t="e">
        <f t="shared" si="10"/>
        <v>#VALUE!</v>
      </c>
      <c r="B678" s="144" t="str">
        <f>IF(ISBLANK(DaqBook_RAW_Data!AG668),IF(DaqBook_RAW_Data!A668="","",TIMEVALUE(DaqBook_RAW_Data!A668)),TIMEVALUE(DaqBook_RAW_Data!AG668))</f>
        <v/>
      </c>
      <c r="C678" s="167" t="str">
        <f>IF(ISBLANK(DaqBook_RAW_Data!AH668),"",DaqBook_RAW_Data!AH668)</f>
        <v/>
      </c>
      <c r="D678" s="167" t="str">
        <f>IF(ISBLANK(DaqBook_RAW_Data!AI668),"",DaqBook_RAW_Data!AI668)</f>
        <v/>
      </c>
      <c r="E678" s="167" t="str">
        <f>IF(ISBLANK(DaqBook_RAW_Data!AJ668),"",DaqBook_RAW_Data!AJ668)</f>
        <v/>
      </c>
      <c r="F678" s="167" t="str">
        <f>IF(ISBLANK(DaqBook_RAW_Data!AK668),"",DaqBook_RAW_Data!AK668)</f>
        <v/>
      </c>
      <c r="G678" s="167" t="str">
        <f>IF(ISBLANK(DaqBook_RAW_Data!AL668),"",DaqBook_RAW_Data!AL668)</f>
        <v/>
      </c>
      <c r="H678" s="167" t="str">
        <f>IF(ISBLANK(DaqBook_RAW_Data!AM668),"",DaqBook_RAW_Data!AM668)</f>
        <v/>
      </c>
      <c r="I678" s="167" t="str">
        <f>IF(ISBLANK(DaqBook_RAW_Data!AN668),"",DaqBook_RAW_Data!AN668)</f>
        <v/>
      </c>
      <c r="J678" s="167" t="str">
        <f>IF(ISBLANK(DaqBook_RAW_Data!AO668),"",DaqBook_RAW_Data!AO668)</f>
        <v/>
      </c>
      <c r="K678" s="167" t="str">
        <f>IF(ISBLANK(DaqBook_RAW_Data!AP668),"",DaqBook_RAW_Data!AP668)</f>
        <v/>
      </c>
      <c r="L678" s="167" t="str">
        <f>IF(ISBLANK(DaqBook_RAW_Data!AQ668),"",DaqBook_RAW_Data!AQ668)</f>
        <v/>
      </c>
      <c r="M678" s="167" t="str">
        <f>IF(ISBLANK(DaqBook_RAW_Data!AR668),"",DaqBook_RAW_Data!AR668)</f>
        <v/>
      </c>
      <c r="N678" s="167" t="str">
        <f>IF(ISBLANK(DaqBook_RAW_Data!AS668),"",DaqBook_RAW_Data!AS668)</f>
        <v/>
      </c>
      <c r="O678" s="44"/>
      <c r="P678" s="44"/>
    </row>
    <row r="679" spans="1:16" x14ac:dyDescent="0.2">
      <c r="A679" s="58" t="e">
        <f t="shared" si="10"/>
        <v>#VALUE!</v>
      </c>
      <c r="B679" s="144" t="str">
        <f>IF(ISBLANK(DaqBook_RAW_Data!AG669),IF(DaqBook_RAW_Data!A669="","",TIMEVALUE(DaqBook_RAW_Data!A669)),TIMEVALUE(DaqBook_RAW_Data!AG669))</f>
        <v/>
      </c>
      <c r="C679" s="167" t="str">
        <f>IF(ISBLANK(DaqBook_RAW_Data!AH669),"",DaqBook_RAW_Data!AH669)</f>
        <v/>
      </c>
      <c r="D679" s="167" t="str">
        <f>IF(ISBLANK(DaqBook_RAW_Data!AI669),"",DaqBook_RAW_Data!AI669)</f>
        <v/>
      </c>
      <c r="E679" s="167" t="str">
        <f>IF(ISBLANK(DaqBook_RAW_Data!AJ669),"",DaqBook_RAW_Data!AJ669)</f>
        <v/>
      </c>
      <c r="F679" s="167" t="str">
        <f>IF(ISBLANK(DaqBook_RAW_Data!AK669),"",DaqBook_RAW_Data!AK669)</f>
        <v/>
      </c>
      <c r="G679" s="167" t="str">
        <f>IF(ISBLANK(DaqBook_RAW_Data!AL669),"",DaqBook_RAW_Data!AL669)</f>
        <v/>
      </c>
      <c r="H679" s="167" t="str">
        <f>IF(ISBLANK(DaqBook_RAW_Data!AM669),"",DaqBook_RAW_Data!AM669)</f>
        <v/>
      </c>
      <c r="I679" s="167" t="str">
        <f>IF(ISBLANK(DaqBook_RAW_Data!AN669),"",DaqBook_RAW_Data!AN669)</f>
        <v/>
      </c>
      <c r="J679" s="167" t="str">
        <f>IF(ISBLANK(DaqBook_RAW_Data!AO669),"",DaqBook_RAW_Data!AO669)</f>
        <v/>
      </c>
      <c r="K679" s="167" t="str">
        <f>IF(ISBLANK(DaqBook_RAW_Data!AP669),"",DaqBook_RAW_Data!AP669)</f>
        <v/>
      </c>
      <c r="L679" s="167" t="str">
        <f>IF(ISBLANK(DaqBook_RAW_Data!AQ669),"",DaqBook_RAW_Data!AQ669)</f>
        <v/>
      </c>
      <c r="M679" s="167" t="str">
        <f>IF(ISBLANK(DaqBook_RAW_Data!AR669),"",DaqBook_RAW_Data!AR669)</f>
        <v/>
      </c>
      <c r="N679" s="167" t="str">
        <f>IF(ISBLANK(DaqBook_RAW_Data!AS669),"",DaqBook_RAW_Data!AS669)</f>
        <v/>
      </c>
      <c r="O679" s="44"/>
      <c r="P679" s="44"/>
    </row>
    <row r="680" spans="1:16" x14ac:dyDescent="0.2">
      <c r="A680" s="58" t="e">
        <f t="shared" si="10"/>
        <v>#VALUE!</v>
      </c>
      <c r="B680" s="144" t="str">
        <f>IF(ISBLANK(DaqBook_RAW_Data!AG670),IF(DaqBook_RAW_Data!A670="","",TIMEVALUE(DaqBook_RAW_Data!A670)),TIMEVALUE(DaqBook_RAW_Data!AG670))</f>
        <v/>
      </c>
      <c r="C680" s="167" t="str">
        <f>IF(ISBLANK(DaqBook_RAW_Data!AH670),"",DaqBook_RAW_Data!AH670)</f>
        <v/>
      </c>
      <c r="D680" s="167" t="str">
        <f>IF(ISBLANK(DaqBook_RAW_Data!AI670),"",DaqBook_RAW_Data!AI670)</f>
        <v/>
      </c>
      <c r="E680" s="167" t="str">
        <f>IF(ISBLANK(DaqBook_RAW_Data!AJ670),"",DaqBook_RAW_Data!AJ670)</f>
        <v/>
      </c>
      <c r="F680" s="167" t="str">
        <f>IF(ISBLANK(DaqBook_RAW_Data!AK670),"",DaqBook_RAW_Data!AK670)</f>
        <v/>
      </c>
      <c r="G680" s="167" t="str">
        <f>IF(ISBLANK(DaqBook_RAW_Data!AL670),"",DaqBook_RAW_Data!AL670)</f>
        <v/>
      </c>
      <c r="H680" s="167" t="str">
        <f>IF(ISBLANK(DaqBook_RAW_Data!AM670),"",DaqBook_RAW_Data!AM670)</f>
        <v/>
      </c>
      <c r="I680" s="167" t="str">
        <f>IF(ISBLANK(DaqBook_RAW_Data!AN670),"",DaqBook_RAW_Data!AN670)</f>
        <v/>
      </c>
      <c r="J680" s="167" t="str">
        <f>IF(ISBLANK(DaqBook_RAW_Data!AO670),"",DaqBook_RAW_Data!AO670)</f>
        <v/>
      </c>
      <c r="K680" s="167" t="str">
        <f>IF(ISBLANK(DaqBook_RAW_Data!AP670),"",DaqBook_RAW_Data!AP670)</f>
        <v/>
      </c>
      <c r="L680" s="167" t="str">
        <f>IF(ISBLANK(DaqBook_RAW_Data!AQ670),"",DaqBook_RAW_Data!AQ670)</f>
        <v/>
      </c>
      <c r="M680" s="167" t="str">
        <f>IF(ISBLANK(DaqBook_RAW_Data!AR670),"",DaqBook_RAW_Data!AR670)</f>
        <v/>
      </c>
      <c r="N680" s="167" t="str">
        <f>IF(ISBLANK(DaqBook_RAW_Data!AS670),"",DaqBook_RAW_Data!AS670)</f>
        <v/>
      </c>
      <c r="O680" s="44"/>
      <c r="P680" s="44"/>
    </row>
    <row r="681" spans="1:16" x14ac:dyDescent="0.2">
      <c r="A681" s="58" t="e">
        <f t="shared" si="10"/>
        <v>#VALUE!</v>
      </c>
      <c r="B681" s="144" t="str">
        <f>IF(ISBLANK(DaqBook_RAW_Data!AG671),IF(DaqBook_RAW_Data!A671="","",TIMEVALUE(DaqBook_RAW_Data!A671)),TIMEVALUE(DaqBook_RAW_Data!AG671))</f>
        <v/>
      </c>
      <c r="C681" s="167" t="str">
        <f>IF(ISBLANK(DaqBook_RAW_Data!AH671),"",DaqBook_RAW_Data!AH671)</f>
        <v/>
      </c>
      <c r="D681" s="167" t="str">
        <f>IF(ISBLANK(DaqBook_RAW_Data!AI671),"",DaqBook_RAW_Data!AI671)</f>
        <v/>
      </c>
      <c r="E681" s="167" t="str">
        <f>IF(ISBLANK(DaqBook_RAW_Data!AJ671),"",DaqBook_RAW_Data!AJ671)</f>
        <v/>
      </c>
      <c r="F681" s="167" t="str">
        <f>IF(ISBLANK(DaqBook_RAW_Data!AK671),"",DaqBook_RAW_Data!AK671)</f>
        <v/>
      </c>
      <c r="G681" s="167" t="str">
        <f>IF(ISBLANK(DaqBook_RAW_Data!AL671),"",DaqBook_RAW_Data!AL671)</f>
        <v/>
      </c>
      <c r="H681" s="167" t="str">
        <f>IF(ISBLANK(DaqBook_RAW_Data!AM671),"",DaqBook_RAW_Data!AM671)</f>
        <v/>
      </c>
      <c r="I681" s="167" t="str">
        <f>IF(ISBLANK(DaqBook_RAW_Data!AN671),"",DaqBook_RAW_Data!AN671)</f>
        <v/>
      </c>
      <c r="J681" s="167" t="str">
        <f>IF(ISBLANK(DaqBook_RAW_Data!AO671),"",DaqBook_RAW_Data!AO671)</f>
        <v/>
      </c>
      <c r="K681" s="167" t="str">
        <f>IF(ISBLANK(DaqBook_RAW_Data!AP671),"",DaqBook_RAW_Data!AP671)</f>
        <v/>
      </c>
      <c r="L681" s="167" t="str">
        <f>IF(ISBLANK(DaqBook_RAW_Data!AQ671),"",DaqBook_RAW_Data!AQ671)</f>
        <v/>
      </c>
      <c r="M681" s="167" t="str">
        <f>IF(ISBLANK(DaqBook_RAW_Data!AR671),"",DaqBook_RAW_Data!AR671)</f>
        <v/>
      </c>
      <c r="N681" s="167" t="str">
        <f>IF(ISBLANK(DaqBook_RAW_Data!AS671),"",DaqBook_RAW_Data!AS671)</f>
        <v/>
      </c>
      <c r="O681" s="44"/>
      <c r="P681" s="44"/>
    </row>
    <row r="682" spans="1:16" x14ac:dyDescent="0.2">
      <c r="A682" s="58" t="e">
        <f t="shared" si="10"/>
        <v>#VALUE!</v>
      </c>
      <c r="B682" s="144" t="str">
        <f>IF(ISBLANK(DaqBook_RAW_Data!AG672),IF(DaqBook_RAW_Data!A672="","",TIMEVALUE(DaqBook_RAW_Data!A672)),TIMEVALUE(DaqBook_RAW_Data!AG672))</f>
        <v/>
      </c>
      <c r="C682" s="167" t="str">
        <f>IF(ISBLANK(DaqBook_RAW_Data!AH672),"",DaqBook_RAW_Data!AH672)</f>
        <v/>
      </c>
      <c r="D682" s="167" t="str">
        <f>IF(ISBLANK(DaqBook_RAW_Data!AI672),"",DaqBook_RAW_Data!AI672)</f>
        <v/>
      </c>
      <c r="E682" s="167" t="str">
        <f>IF(ISBLANK(DaqBook_RAW_Data!AJ672),"",DaqBook_RAW_Data!AJ672)</f>
        <v/>
      </c>
      <c r="F682" s="167" t="str">
        <f>IF(ISBLANK(DaqBook_RAW_Data!AK672),"",DaqBook_RAW_Data!AK672)</f>
        <v/>
      </c>
      <c r="G682" s="167" t="str">
        <f>IF(ISBLANK(DaqBook_RAW_Data!AL672),"",DaqBook_RAW_Data!AL672)</f>
        <v/>
      </c>
      <c r="H682" s="167" t="str">
        <f>IF(ISBLANK(DaqBook_RAW_Data!AM672),"",DaqBook_RAW_Data!AM672)</f>
        <v/>
      </c>
      <c r="I682" s="167" t="str">
        <f>IF(ISBLANK(DaqBook_RAW_Data!AN672),"",DaqBook_RAW_Data!AN672)</f>
        <v/>
      </c>
      <c r="J682" s="167" t="str">
        <f>IF(ISBLANK(DaqBook_RAW_Data!AO672),"",DaqBook_RAW_Data!AO672)</f>
        <v/>
      </c>
      <c r="K682" s="167" t="str">
        <f>IF(ISBLANK(DaqBook_RAW_Data!AP672),"",DaqBook_RAW_Data!AP672)</f>
        <v/>
      </c>
      <c r="L682" s="167" t="str">
        <f>IF(ISBLANK(DaqBook_RAW_Data!AQ672),"",DaqBook_RAW_Data!AQ672)</f>
        <v/>
      </c>
      <c r="M682" s="167" t="str">
        <f>IF(ISBLANK(DaqBook_RAW_Data!AR672),"",DaqBook_RAW_Data!AR672)</f>
        <v/>
      </c>
      <c r="N682" s="167" t="str">
        <f>IF(ISBLANK(DaqBook_RAW_Data!AS672),"",DaqBook_RAW_Data!AS672)</f>
        <v/>
      </c>
      <c r="O682" s="44"/>
      <c r="P682" s="44"/>
    </row>
    <row r="683" spans="1:16" x14ac:dyDescent="0.2">
      <c r="A683" s="58" t="e">
        <f t="shared" si="10"/>
        <v>#VALUE!</v>
      </c>
      <c r="B683" s="144" t="str">
        <f>IF(ISBLANK(DaqBook_RAW_Data!AG673),IF(DaqBook_RAW_Data!A673="","",TIMEVALUE(DaqBook_RAW_Data!A673)),TIMEVALUE(DaqBook_RAW_Data!AG673))</f>
        <v/>
      </c>
      <c r="C683" s="167" t="str">
        <f>IF(ISBLANK(DaqBook_RAW_Data!AH673),"",DaqBook_RAW_Data!AH673)</f>
        <v/>
      </c>
      <c r="D683" s="167" t="str">
        <f>IF(ISBLANK(DaqBook_RAW_Data!AI673),"",DaqBook_RAW_Data!AI673)</f>
        <v/>
      </c>
      <c r="E683" s="167" t="str">
        <f>IF(ISBLANK(DaqBook_RAW_Data!AJ673),"",DaqBook_RAW_Data!AJ673)</f>
        <v/>
      </c>
      <c r="F683" s="167" t="str">
        <f>IF(ISBLANK(DaqBook_RAW_Data!AK673),"",DaqBook_RAW_Data!AK673)</f>
        <v/>
      </c>
      <c r="G683" s="167" t="str">
        <f>IF(ISBLANK(DaqBook_RAW_Data!AL673),"",DaqBook_RAW_Data!AL673)</f>
        <v/>
      </c>
      <c r="H683" s="167" t="str">
        <f>IF(ISBLANK(DaqBook_RAW_Data!AM673),"",DaqBook_RAW_Data!AM673)</f>
        <v/>
      </c>
      <c r="I683" s="167" t="str">
        <f>IF(ISBLANK(DaqBook_RAW_Data!AN673),"",DaqBook_RAW_Data!AN673)</f>
        <v/>
      </c>
      <c r="J683" s="167" t="str">
        <f>IF(ISBLANK(DaqBook_RAW_Data!AO673),"",DaqBook_RAW_Data!AO673)</f>
        <v/>
      </c>
      <c r="K683" s="167" t="str">
        <f>IF(ISBLANK(DaqBook_RAW_Data!AP673),"",DaqBook_RAW_Data!AP673)</f>
        <v/>
      </c>
      <c r="L683" s="167" t="str">
        <f>IF(ISBLANK(DaqBook_RAW_Data!AQ673),"",DaqBook_RAW_Data!AQ673)</f>
        <v/>
      </c>
      <c r="M683" s="167" t="str">
        <f>IF(ISBLANK(DaqBook_RAW_Data!AR673),"",DaqBook_RAW_Data!AR673)</f>
        <v/>
      </c>
      <c r="N683" s="167" t="str">
        <f>IF(ISBLANK(DaqBook_RAW_Data!AS673),"",DaqBook_RAW_Data!AS673)</f>
        <v/>
      </c>
      <c r="O683" s="44"/>
      <c r="P683" s="44"/>
    </row>
    <row r="684" spans="1:16" x14ac:dyDescent="0.2">
      <c r="A684" s="58" t="e">
        <f t="shared" si="10"/>
        <v>#VALUE!</v>
      </c>
      <c r="B684" s="144" t="str">
        <f>IF(ISBLANK(DaqBook_RAW_Data!AG674),IF(DaqBook_RAW_Data!A674="","",TIMEVALUE(DaqBook_RAW_Data!A674)),TIMEVALUE(DaqBook_RAW_Data!AG674))</f>
        <v/>
      </c>
      <c r="C684" s="167" t="str">
        <f>IF(ISBLANK(DaqBook_RAW_Data!AH674),"",DaqBook_RAW_Data!AH674)</f>
        <v/>
      </c>
      <c r="D684" s="167" t="str">
        <f>IF(ISBLANK(DaqBook_RAW_Data!AI674),"",DaqBook_RAW_Data!AI674)</f>
        <v/>
      </c>
      <c r="E684" s="167" t="str">
        <f>IF(ISBLANK(DaqBook_RAW_Data!AJ674),"",DaqBook_RAW_Data!AJ674)</f>
        <v/>
      </c>
      <c r="F684" s="167" t="str">
        <f>IF(ISBLANK(DaqBook_RAW_Data!AK674),"",DaqBook_RAW_Data!AK674)</f>
        <v/>
      </c>
      <c r="G684" s="167" t="str">
        <f>IF(ISBLANK(DaqBook_RAW_Data!AL674),"",DaqBook_RAW_Data!AL674)</f>
        <v/>
      </c>
      <c r="H684" s="167" t="str">
        <f>IF(ISBLANK(DaqBook_RAW_Data!AM674),"",DaqBook_RAW_Data!AM674)</f>
        <v/>
      </c>
      <c r="I684" s="167" t="str">
        <f>IF(ISBLANK(DaqBook_RAW_Data!AN674),"",DaqBook_RAW_Data!AN674)</f>
        <v/>
      </c>
      <c r="J684" s="167" t="str">
        <f>IF(ISBLANK(DaqBook_RAW_Data!AO674),"",DaqBook_RAW_Data!AO674)</f>
        <v/>
      </c>
      <c r="K684" s="167" t="str">
        <f>IF(ISBLANK(DaqBook_RAW_Data!AP674),"",DaqBook_RAW_Data!AP674)</f>
        <v/>
      </c>
      <c r="L684" s="167" t="str">
        <f>IF(ISBLANK(DaqBook_RAW_Data!AQ674),"",DaqBook_RAW_Data!AQ674)</f>
        <v/>
      </c>
      <c r="M684" s="167" t="str">
        <f>IF(ISBLANK(DaqBook_RAW_Data!AR674),"",DaqBook_RAW_Data!AR674)</f>
        <v/>
      </c>
      <c r="N684" s="167" t="str">
        <f>IF(ISBLANK(DaqBook_RAW_Data!AS674),"",DaqBook_RAW_Data!AS674)</f>
        <v/>
      </c>
      <c r="O684" s="44"/>
      <c r="P684" s="44"/>
    </row>
    <row r="685" spans="1:16" x14ac:dyDescent="0.2">
      <c r="A685" s="58" t="e">
        <f t="shared" si="10"/>
        <v>#VALUE!</v>
      </c>
      <c r="B685" s="144" t="str">
        <f>IF(ISBLANK(DaqBook_RAW_Data!AG675),IF(DaqBook_RAW_Data!A675="","",TIMEVALUE(DaqBook_RAW_Data!A675)),TIMEVALUE(DaqBook_RAW_Data!AG675))</f>
        <v/>
      </c>
      <c r="C685" s="167" t="str">
        <f>IF(ISBLANK(DaqBook_RAW_Data!AH675),"",DaqBook_RAW_Data!AH675)</f>
        <v/>
      </c>
      <c r="D685" s="167" t="str">
        <f>IF(ISBLANK(DaqBook_RAW_Data!AI675),"",DaqBook_RAW_Data!AI675)</f>
        <v/>
      </c>
      <c r="E685" s="167" t="str">
        <f>IF(ISBLANK(DaqBook_RAW_Data!AJ675),"",DaqBook_RAW_Data!AJ675)</f>
        <v/>
      </c>
      <c r="F685" s="167" t="str">
        <f>IF(ISBLANK(DaqBook_RAW_Data!AK675),"",DaqBook_RAW_Data!AK675)</f>
        <v/>
      </c>
      <c r="G685" s="167" t="str">
        <f>IF(ISBLANK(DaqBook_RAW_Data!AL675),"",DaqBook_RAW_Data!AL675)</f>
        <v/>
      </c>
      <c r="H685" s="167" t="str">
        <f>IF(ISBLANK(DaqBook_RAW_Data!AM675),"",DaqBook_RAW_Data!AM675)</f>
        <v/>
      </c>
      <c r="I685" s="167" t="str">
        <f>IF(ISBLANK(DaqBook_RAW_Data!AN675),"",DaqBook_RAW_Data!AN675)</f>
        <v/>
      </c>
      <c r="J685" s="167" t="str">
        <f>IF(ISBLANK(DaqBook_RAW_Data!AO675),"",DaqBook_RAW_Data!AO675)</f>
        <v/>
      </c>
      <c r="K685" s="167" t="str">
        <f>IF(ISBLANK(DaqBook_RAW_Data!AP675),"",DaqBook_RAW_Data!AP675)</f>
        <v/>
      </c>
      <c r="L685" s="167" t="str">
        <f>IF(ISBLANK(DaqBook_RAW_Data!AQ675),"",DaqBook_RAW_Data!AQ675)</f>
        <v/>
      </c>
      <c r="M685" s="167" t="str">
        <f>IF(ISBLANK(DaqBook_RAW_Data!AR675),"",DaqBook_RAW_Data!AR675)</f>
        <v/>
      </c>
      <c r="N685" s="167" t="str">
        <f>IF(ISBLANK(DaqBook_RAW_Data!AS675),"",DaqBook_RAW_Data!AS675)</f>
        <v/>
      </c>
      <c r="O685" s="44"/>
      <c r="P685" s="44"/>
    </row>
    <row r="686" spans="1:16" x14ac:dyDescent="0.2">
      <c r="A686" s="58" t="e">
        <f t="shared" si="10"/>
        <v>#VALUE!</v>
      </c>
      <c r="B686" s="144" t="str">
        <f>IF(ISBLANK(DaqBook_RAW_Data!AG676),IF(DaqBook_RAW_Data!A676="","",TIMEVALUE(DaqBook_RAW_Data!A676)),TIMEVALUE(DaqBook_RAW_Data!AG676))</f>
        <v/>
      </c>
      <c r="C686" s="167" t="str">
        <f>IF(ISBLANK(DaqBook_RAW_Data!AH676),"",DaqBook_RAW_Data!AH676)</f>
        <v/>
      </c>
      <c r="D686" s="167" t="str">
        <f>IF(ISBLANK(DaqBook_RAW_Data!AI676),"",DaqBook_RAW_Data!AI676)</f>
        <v/>
      </c>
      <c r="E686" s="167" t="str">
        <f>IF(ISBLANK(DaqBook_RAW_Data!AJ676),"",DaqBook_RAW_Data!AJ676)</f>
        <v/>
      </c>
      <c r="F686" s="167" t="str">
        <f>IF(ISBLANK(DaqBook_RAW_Data!AK676),"",DaqBook_RAW_Data!AK676)</f>
        <v/>
      </c>
      <c r="G686" s="167" t="str">
        <f>IF(ISBLANK(DaqBook_RAW_Data!AL676),"",DaqBook_RAW_Data!AL676)</f>
        <v/>
      </c>
      <c r="H686" s="167" t="str">
        <f>IF(ISBLANK(DaqBook_RAW_Data!AM676),"",DaqBook_RAW_Data!AM676)</f>
        <v/>
      </c>
      <c r="I686" s="167" t="str">
        <f>IF(ISBLANK(DaqBook_RAW_Data!AN676),"",DaqBook_RAW_Data!AN676)</f>
        <v/>
      </c>
      <c r="J686" s="167" t="str">
        <f>IF(ISBLANK(DaqBook_RAW_Data!AO676),"",DaqBook_RAW_Data!AO676)</f>
        <v/>
      </c>
      <c r="K686" s="167" t="str">
        <f>IF(ISBLANK(DaqBook_RAW_Data!AP676),"",DaqBook_RAW_Data!AP676)</f>
        <v/>
      </c>
      <c r="L686" s="167" t="str">
        <f>IF(ISBLANK(DaqBook_RAW_Data!AQ676),"",DaqBook_RAW_Data!AQ676)</f>
        <v/>
      </c>
      <c r="M686" s="167" t="str">
        <f>IF(ISBLANK(DaqBook_RAW_Data!AR676),"",DaqBook_RAW_Data!AR676)</f>
        <v/>
      </c>
      <c r="N686" s="167" t="str">
        <f>IF(ISBLANK(DaqBook_RAW_Data!AS676),"",DaqBook_RAW_Data!AS676)</f>
        <v/>
      </c>
      <c r="O686" s="44"/>
      <c r="P686" s="44"/>
    </row>
    <row r="687" spans="1:16" x14ac:dyDescent="0.2">
      <c r="A687" s="58" t="e">
        <f t="shared" si="10"/>
        <v>#VALUE!</v>
      </c>
      <c r="B687" s="144" t="str">
        <f>IF(ISBLANK(DaqBook_RAW_Data!AG677),IF(DaqBook_RAW_Data!A677="","",TIMEVALUE(DaqBook_RAW_Data!A677)),TIMEVALUE(DaqBook_RAW_Data!AG677))</f>
        <v/>
      </c>
      <c r="C687" s="167" t="str">
        <f>IF(ISBLANK(DaqBook_RAW_Data!AH677),"",DaqBook_RAW_Data!AH677)</f>
        <v/>
      </c>
      <c r="D687" s="167" t="str">
        <f>IF(ISBLANK(DaqBook_RAW_Data!AI677),"",DaqBook_RAW_Data!AI677)</f>
        <v/>
      </c>
      <c r="E687" s="167" t="str">
        <f>IF(ISBLANK(DaqBook_RAW_Data!AJ677),"",DaqBook_RAW_Data!AJ677)</f>
        <v/>
      </c>
      <c r="F687" s="167" t="str">
        <f>IF(ISBLANK(DaqBook_RAW_Data!AK677),"",DaqBook_RAW_Data!AK677)</f>
        <v/>
      </c>
      <c r="G687" s="167" t="str">
        <f>IF(ISBLANK(DaqBook_RAW_Data!AL677),"",DaqBook_RAW_Data!AL677)</f>
        <v/>
      </c>
      <c r="H687" s="167" t="str">
        <f>IF(ISBLANK(DaqBook_RAW_Data!AM677),"",DaqBook_RAW_Data!AM677)</f>
        <v/>
      </c>
      <c r="I687" s="167" t="str">
        <f>IF(ISBLANK(DaqBook_RAW_Data!AN677),"",DaqBook_RAW_Data!AN677)</f>
        <v/>
      </c>
      <c r="J687" s="167" t="str">
        <f>IF(ISBLANK(DaqBook_RAW_Data!AO677),"",DaqBook_RAW_Data!AO677)</f>
        <v/>
      </c>
      <c r="K687" s="167" t="str">
        <f>IF(ISBLANK(DaqBook_RAW_Data!AP677),"",DaqBook_RAW_Data!AP677)</f>
        <v/>
      </c>
      <c r="L687" s="167" t="str">
        <f>IF(ISBLANK(DaqBook_RAW_Data!AQ677),"",DaqBook_RAW_Data!AQ677)</f>
        <v/>
      </c>
      <c r="M687" s="167" t="str">
        <f>IF(ISBLANK(DaqBook_RAW_Data!AR677),"",DaqBook_RAW_Data!AR677)</f>
        <v/>
      </c>
      <c r="N687" s="167" t="str">
        <f>IF(ISBLANK(DaqBook_RAW_Data!AS677),"",DaqBook_RAW_Data!AS677)</f>
        <v/>
      </c>
      <c r="O687" s="44"/>
      <c r="P687" s="44"/>
    </row>
    <row r="688" spans="1:16" x14ac:dyDescent="0.2">
      <c r="A688" s="58" t="e">
        <f t="shared" si="10"/>
        <v>#VALUE!</v>
      </c>
      <c r="B688" s="144" t="str">
        <f>IF(ISBLANK(DaqBook_RAW_Data!AG678),IF(DaqBook_RAW_Data!A678="","",TIMEVALUE(DaqBook_RAW_Data!A678)),TIMEVALUE(DaqBook_RAW_Data!AG678))</f>
        <v/>
      </c>
      <c r="C688" s="167" t="str">
        <f>IF(ISBLANK(DaqBook_RAW_Data!AH678),"",DaqBook_RAW_Data!AH678)</f>
        <v/>
      </c>
      <c r="D688" s="167" t="str">
        <f>IF(ISBLANK(DaqBook_RAW_Data!AI678),"",DaqBook_RAW_Data!AI678)</f>
        <v/>
      </c>
      <c r="E688" s="167" t="str">
        <f>IF(ISBLANK(DaqBook_RAW_Data!AJ678),"",DaqBook_RAW_Data!AJ678)</f>
        <v/>
      </c>
      <c r="F688" s="167" t="str">
        <f>IF(ISBLANK(DaqBook_RAW_Data!AK678),"",DaqBook_RAW_Data!AK678)</f>
        <v/>
      </c>
      <c r="G688" s="167" t="str">
        <f>IF(ISBLANK(DaqBook_RAW_Data!AL678),"",DaqBook_RAW_Data!AL678)</f>
        <v/>
      </c>
      <c r="H688" s="167" t="str">
        <f>IF(ISBLANK(DaqBook_RAW_Data!AM678),"",DaqBook_RAW_Data!AM678)</f>
        <v/>
      </c>
      <c r="I688" s="167" t="str">
        <f>IF(ISBLANK(DaqBook_RAW_Data!AN678),"",DaqBook_RAW_Data!AN678)</f>
        <v/>
      </c>
      <c r="J688" s="167" t="str">
        <f>IF(ISBLANK(DaqBook_RAW_Data!AO678),"",DaqBook_RAW_Data!AO678)</f>
        <v/>
      </c>
      <c r="K688" s="167" t="str">
        <f>IF(ISBLANK(DaqBook_RAW_Data!AP678),"",DaqBook_RAW_Data!AP678)</f>
        <v/>
      </c>
      <c r="L688" s="167" t="str">
        <f>IF(ISBLANK(DaqBook_RAW_Data!AQ678),"",DaqBook_RAW_Data!AQ678)</f>
        <v/>
      </c>
      <c r="M688" s="167" t="str">
        <f>IF(ISBLANK(DaqBook_RAW_Data!AR678),"",DaqBook_RAW_Data!AR678)</f>
        <v/>
      </c>
      <c r="N688" s="167" t="str">
        <f>IF(ISBLANK(DaqBook_RAW_Data!AS678),"",DaqBook_RAW_Data!AS678)</f>
        <v/>
      </c>
      <c r="O688" s="44"/>
      <c r="P688" s="44"/>
    </row>
    <row r="689" spans="1:16" x14ac:dyDescent="0.2">
      <c r="A689" s="58" t="e">
        <f t="shared" si="10"/>
        <v>#VALUE!</v>
      </c>
      <c r="B689" s="144" t="str">
        <f>IF(ISBLANK(DaqBook_RAW_Data!AG679),IF(DaqBook_RAW_Data!A679="","",TIMEVALUE(DaqBook_RAW_Data!A679)),TIMEVALUE(DaqBook_RAW_Data!AG679))</f>
        <v/>
      </c>
      <c r="C689" s="167" t="str">
        <f>IF(ISBLANK(DaqBook_RAW_Data!AH679),"",DaqBook_RAW_Data!AH679)</f>
        <v/>
      </c>
      <c r="D689" s="167" t="str">
        <f>IF(ISBLANK(DaqBook_RAW_Data!AI679),"",DaqBook_RAW_Data!AI679)</f>
        <v/>
      </c>
      <c r="E689" s="167" t="str">
        <f>IF(ISBLANK(DaqBook_RAW_Data!AJ679),"",DaqBook_RAW_Data!AJ679)</f>
        <v/>
      </c>
      <c r="F689" s="167" t="str">
        <f>IF(ISBLANK(DaqBook_RAW_Data!AK679),"",DaqBook_RAW_Data!AK679)</f>
        <v/>
      </c>
      <c r="G689" s="167" t="str">
        <f>IF(ISBLANK(DaqBook_RAW_Data!AL679),"",DaqBook_RAW_Data!AL679)</f>
        <v/>
      </c>
      <c r="H689" s="167" t="str">
        <f>IF(ISBLANK(DaqBook_RAW_Data!AM679),"",DaqBook_RAW_Data!AM679)</f>
        <v/>
      </c>
      <c r="I689" s="167" t="str">
        <f>IF(ISBLANK(DaqBook_RAW_Data!AN679),"",DaqBook_RAW_Data!AN679)</f>
        <v/>
      </c>
      <c r="J689" s="167" t="str">
        <f>IF(ISBLANK(DaqBook_RAW_Data!AO679),"",DaqBook_RAW_Data!AO679)</f>
        <v/>
      </c>
      <c r="K689" s="167" t="str">
        <f>IF(ISBLANK(DaqBook_RAW_Data!AP679),"",DaqBook_RAW_Data!AP679)</f>
        <v/>
      </c>
      <c r="L689" s="167" t="str">
        <f>IF(ISBLANK(DaqBook_RAW_Data!AQ679),"",DaqBook_RAW_Data!AQ679)</f>
        <v/>
      </c>
      <c r="M689" s="167" t="str">
        <f>IF(ISBLANK(DaqBook_RAW_Data!AR679),"",DaqBook_RAW_Data!AR679)</f>
        <v/>
      </c>
      <c r="N689" s="167" t="str">
        <f>IF(ISBLANK(DaqBook_RAW_Data!AS679),"",DaqBook_RAW_Data!AS679)</f>
        <v/>
      </c>
      <c r="O689" s="44"/>
      <c r="P689" s="44"/>
    </row>
    <row r="690" spans="1:16" x14ac:dyDescent="0.2">
      <c r="A690" s="58" t="e">
        <f t="shared" si="10"/>
        <v>#VALUE!</v>
      </c>
      <c r="B690" s="144" t="str">
        <f>IF(ISBLANK(DaqBook_RAW_Data!AG680),IF(DaqBook_RAW_Data!A680="","",TIMEVALUE(DaqBook_RAW_Data!A680)),TIMEVALUE(DaqBook_RAW_Data!AG680))</f>
        <v/>
      </c>
      <c r="C690" s="167" t="str">
        <f>IF(ISBLANK(DaqBook_RAW_Data!AH680),"",DaqBook_RAW_Data!AH680)</f>
        <v/>
      </c>
      <c r="D690" s="167" t="str">
        <f>IF(ISBLANK(DaqBook_RAW_Data!AI680),"",DaqBook_RAW_Data!AI680)</f>
        <v/>
      </c>
      <c r="E690" s="167" t="str">
        <f>IF(ISBLANK(DaqBook_RAW_Data!AJ680),"",DaqBook_RAW_Data!AJ680)</f>
        <v/>
      </c>
      <c r="F690" s="167" t="str">
        <f>IF(ISBLANK(DaqBook_RAW_Data!AK680),"",DaqBook_RAW_Data!AK680)</f>
        <v/>
      </c>
      <c r="G690" s="167" t="str">
        <f>IF(ISBLANK(DaqBook_RAW_Data!AL680),"",DaqBook_RAW_Data!AL680)</f>
        <v/>
      </c>
      <c r="H690" s="167" t="str">
        <f>IF(ISBLANK(DaqBook_RAW_Data!AM680),"",DaqBook_RAW_Data!AM680)</f>
        <v/>
      </c>
      <c r="I690" s="167" t="str">
        <f>IF(ISBLANK(DaqBook_RAW_Data!AN680),"",DaqBook_RAW_Data!AN680)</f>
        <v/>
      </c>
      <c r="J690" s="167" t="str">
        <f>IF(ISBLANK(DaqBook_RAW_Data!AO680),"",DaqBook_RAW_Data!AO680)</f>
        <v/>
      </c>
      <c r="K690" s="167" t="str">
        <f>IF(ISBLANK(DaqBook_RAW_Data!AP680),"",DaqBook_RAW_Data!AP680)</f>
        <v/>
      </c>
      <c r="L690" s="167" t="str">
        <f>IF(ISBLANK(DaqBook_RAW_Data!AQ680),"",DaqBook_RAW_Data!AQ680)</f>
        <v/>
      </c>
      <c r="M690" s="167" t="str">
        <f>IF(ISBLANK(DaqBook_RAW_Data!AR680),"",DaqBook_RAW_Data!AR680)</f>
        <v/>
      </c>
      <c r="N690" s="167" t="str">
        <f>IF(ISBLANK(DaqBook_RAW_Data!AS680),"",DaqBook_RAW_Data!AS680)</f>
        <v/>
      </c>
      <c r="O690" s="44"/>
      <c r="P690" s="44"/>
    </row>
    <row r="691" spans="1:16" x14ac:dyDescent="0.2">
      <c r="A691" s="58" t="e">
        <f t="shared" si="10"/>
        <v>#VALUE!</v>
      </c>
      <c r="B691" s="144" t="str">
        <f>IF(ISBLANK(DaqBook_RAW_Data!AG681),IF(DaqBook_RAW_Data!A681="","",TIMEVALUE(DaqBook_RAW_Data!A681)),TIMEVALUE(DaqBook_RAW_Data!AG681))</f>
        <v/>
      </c>
      <c r="C691" s="167" t="str">
        <f>IF(ISBLANK(DaqBook_RAW_Data!AH681),"",DaqBook_RAW_Data!AH681)</f>
        <v/>
      </c>
      <c r="D691" s="167" t="str">
        <f>IF(ISBLANK(DaqBook_RAW_Data!AI681),"",DaqBook_RAW_Data!AI681)</f>
        <v/>
      </c>
      <c r="E691" s="167" t="str">
        <f>IF(ISBLANK(DaqBook_RAW_Data!AJ681),"",DaqBook_RAW_Data!AJ681)</f>
        <v/>
      </c>
      <c r="F691" s="167" t="str">
        <f>IF(ISBLANK(DaqBook_RAW_Data!AK681),"",DaqBook_RAW_Data!AK681)</f>
        <v/>
      </c>
      <c r="G691" s="167" t="str">
        <f>IF(ISBLANK(DaqBook_RAW_Data!AL681),"",DaqBook_RAW_Data!AL681)</f>
        <v/>
      </c>
      <c r="H691" s="167" t="str">
        <f>IF(ISBLANK(DaqBook_RAW_Data!AM681),"",DaqBook_RAW_Data!AM681)</f>
        <v/>
      </c>
      <c r="I691" s="167" t="str">
        <f>IF(ISBLANK(DaqBook_RAW_Data!AN681),"",DaqBook_RAW_Data!AN681)</f>
        <v/>
      </c>
      <c r="J691" s="167" t="str">
        <f>IF(ISBLANK(DaqBook_RAW_Data!AO681),"",DaqBook_RAW_Data!AO681)</f>
        <v/>
      </c>
      <c r="K691" s="167" t="str">
        <f>IF(ISBLANK(DaqBook_RAW_Data!AP681),"",DaqBook_RAW_Data!AP681)</f>
        <v/>
      </c>
      <c r="L691" s="167" t="str">
        <f>IF(ISBLANK(DaqBook_RAW_Data!AQ681),"",DaqBook_RAW_Data!AQ681)</f>
        <v/>
      </c>
      <c r="M691" s="167" t="str">
        <f>IF(ISBLANK(DaqBook_RAW_Data!AR681),"",DaqBook_RAW_Data!AR681)</f>
        <v/>
      </c>
      <c r="N691" s="167" t="str">
        <f>IF(ISBLANK(DaqBook_RAW_Data!AS681),"",DaqBook_RAW_Data!AS681)</f>
        <v/>
      </c>
      <c r="O691" s="44"/>
      <c r="P691" s="44"/>
    </row>
    <row r="692" spans="1:16" x14ac:dyDescent="0.2">
      <c r="A692" s="58" t="e">
        <f t="shared" si="10"/>
        <v>#VALUE!</v>
      </c>
      <c r="B692" s="144" t="str">
        <f>IF(ISBLANK(DaqBook_RAW_Data!AG682),IF(DaqBook_RAW_Data!A682="","",TIMEVALUE(DaqBook_RAW_Data!A682)),TIMEVALUE(DaqBook_RAW_Data!AG682))</f>
        <v/>
      </c>
      <c r="C692" s="167" t="str">
        <f>IF(ISBLANK(DaqBook_RAW_Data!AH682),"",DaqBook_RAW_Data!AH682)</f>
        <v/>
      </c>
      <c r="D692" s="167" t="str">
        <f>IF(ISBLANK(DaqBook_RAW_Data!AI682),"",DaqBook_RAW_Data!AI682)</f>
        <v/>
      </c>
      <c r="E692" s="167" t="str">
        <f>IF(ISBLANK(DaqBook_RAW_Data!AJ682),"",DaqBook_RAW_Data!AJ682)</f>
        <v/>
      </c>
      <c r="F692" s="167" t="str">
        <f>IF(ISBLANK(DaqBook_RAW_Data!AK682),"",DaqBook_RAW_Data!AK682)</f>
        <v/>
      </c>
      <c r="G692" s="167" t="str">
        <f>IF(ISBLANK(DaqBook_RAW_Data!AL682),"",DaqBook_RAW_Data!AL682)</f>
        <v/>
      </c>
      <c r="H692" s="167" t="str">
        <f>IF(ISBLANK(DaqBook_RAW_Data!AM682),"",DaqBook_RAW_Data!AM682)</f>
        <v/>
      </c>
      <c r="I692" s="167" t="str">
        <f>IF(ISBLANK(DaqBook_RAW_Data!AN682),"",DaqBook_RAW_Data!AN682)</f>
        <v/>
      </c>
      <c r="J692" s="167" t="str">
        <f>IF(ISBLANK(DaqBook_RAW_Data!AO682),"",DaqBook_RAW_Data!AO682)</f>
        <v/>
      </c>
      <c r="K692" s="167" t="str">
        <f>IF(ISBLANK(DaqBook_RAW_Data!AP682),"",DaqBook_RAW_Data!AP682)</f>
        <v/>
      </c>
      <c r="L692" s="167" t="str">
        <f>IF(ISBLANK(DaqBook_RAW_Data!AQ682),"",DaqBook_RAW_Data!AQ682)</f>
        <v/>
      </c>
      <c r="M692" s="167" t="str">
        <f>IF(ISBLANK(DaqBook_RAW_Data!AR682),"",DaqBook_RAW_Data!AR682)</f>
        <v/>
      </c>
      <c r="N692" s="167" t="str">
        <f>IF(ISBLANK(DaqBook_RAW_Data!AS682),"",DaqBook_RAW_Data!AS682)</f>
        <v/>
      </c>
      <c r="O692" s="44"/>
      <c r="P692" s="44"/>
    </row>
    <row r="693" spans="1:16" x14ac:dyDescent="0.2">
      <c r="A693" s="58" t="e">
        <f t="shared" si="10"/>
        <v>#VALUE!</v>
      </c>
      <c r="B693" s="144" t="str">
        <f>IF(ISBLANK(DaqBook_RAW_Data!AG683),IF(DaqBook_RAW_Data!A683="","",TIMEVALUE(DaqBook_RAW_Data!A683)),TIMEVALUE(DaqBook_RAW_Data!AG683))</f>
        <v/>
      </c>
      <c r="C693" s="167" t="str">
        <f>IF(ISBLANK(DaqBook_RAW_Data!AH683),"",DaqBook_RAW_Data!AH683)</f>
        <v/>
      </c>
      <c r="D693" s="167" t="str">
        <f>IF(ISBLANK(DaqBook_RAW_Data!AI683),"",DaqBook_RAW_Data!AI683)</f>
        <v/>
      </c>
      <c r="E693" s="167" t="str">
        <f>IF(ISBLANK(DaqBook_RAW_Data!AJ683),"",DaqBook_RAW_Data!AJ683)</f>
        <v/>
      </c>
      <c r="F693" s="167" t="str">
        <f>IF(ISBLANK(DaqBook_RAW_Data!AK683),"",DaqBook_RAW_Data!AK683)</f>
        <v/>
      </c>
      <c r="G693" s="167" t="str">
        <f>IF(ISBLANK(DaqBook_RAW_Data!AL683),"",DaqBook_RAW_Data!AL683)</f>
        <v/>
      </c>
      <c r="H693" s="167" t="str">
        <f>IF(ISBLANK(DaqBook_RAW_Data!AM683),"",DaqBook_RAW_Data!AM683)</f>
        <v/>
      </c>
      <c r="I693" s="167" t="str">
        <f>IF(ISBLANK(DaqBook_RAW_Data!AN683),"",DaqBook_RAW_Data!AN683)</f>
        <v/>
      </c>
      <c r="J693" s="167" t="str">
        <f>IF(ISBLANK(DaqBook_RAW_Data!AO683),"",DaqBook_RAW_Data!AO683)</f>
        <v/>
      </c>
      <c r="K693" s="167" t="str">
        <f>IF(ISBLANK(DaqBook_RAW_Data!AP683),"",DaqBook_RAW_Data!AP683)</f>
        <v/>
      </c>
      <c r="L693" s="167" t="str">
        <f>IF(ISBLANK(DaqBook_RAW_Data!AQ683),"",DaqBook_RAW_Data!AQ683)</f>
        <v/>
      </c>
      <c r="M693" s="167" t="str">
        <f>IF(ISBLANK(DaqBook_RAW_Data!AR683),"",DaqBook_RAW_Data!AR683)</f>
        <v/>
      </c>
      <c r="N693" s="167" t="str">
        <f>IF(ISBLANK(DaqBook_RAW_Data!AS683),"",DaqBook_RAW_Data!AS683)</f>
        <v/>
      </c>
      <c r="O693" s="44"/>
      <c r="P693" s="44"/>
    </row>
    <row r="694" spans="1:16" x14ac:dyDescent="0.2">
      <c r="A694" s="58" t="e">
        <f t="shared" si="10"/>
        <v>#VALUE!</v>
      </c>
      <c r="B694" s="144" t="str">
        <f>IF(ISBLANK(DaqBook_RAW_Data!AG684),IF(DaqBook_RAW_Data!A684="","",TIMEVALUE(DaqBook_RAW_Data!A684)),TIMEVALUE(DaqBook_RAW_Data!AG684))</f>
        <v/>
      </c>
      <c r="C694" s="167" t="str">
        <f>IF(ISBLANK(DaqBook_RAW_Data!AH684),"",DaqBook_RAW_Data!AH684)</f>
        <v/>
      </c>
      <c r="D694" s="167" t="str">
        <f>IF(ISBLANK(DaqBook_RAW_Data!AI684),"",DaqBook_RAW_Data!AI684)</f>
        <v/>
      </c>
      <c r="E694" s="167" t="str">
        <f>IF(ISBLANK(DaqBook_RAW_Data!AJ684),"",DaqBook_RAW_Data!AJ684)</f>
        <v/>
      </c>
      <c r="F694" s="167" t="str">
        <f>IF(ISBLANK(DaqBook_RAW_Data!AK684),"",DaqBook_RAW_Data!AK684)</f>
        <v/>
      </c>
      <c r="G694" s="167" t="str">
        <f>IF(ISBLANK(DaqBook_RAW_Data!AL684),"",DaqBook_RAW_Data!AL684)</f>
        <v/>
      </c>
      <c r="H694" s="167" t="str">
        <f>IF(ISBLANK(DaqBook_RAW_Data!AM684),"",DaqBook_RAW_Data!AM684)</f>
        <v/>
      </c>
      <c r="I694" s="167" t="str">
        <f>IF(ISBLANK(DaqBook_RAW_Data!AN684),"",DaqBook_RAW_Data!AN684)</f>
        <v/>
      </c>
      <c r="J694" s="167" t="str">
        <f>IF(ISBLANK(DaqBook_RAW_Data!AO684),"",DaqBook_RAW_Data!AO684)</f>
        <v/>
      </c>
      <c r="K694" s="167" t="str">
        <f>IF(ISBLANK(DaqBook_RAW_Data!AP684),"",DaqBook_RAW_Data!AP684)</f>
        <v/>
      </c>
      <c r="L694" s="167" t="str">
        <f>IF(ISBLANK(DaqBook_RAW_Data!AQ684),"",DaqBook_RAW_Data!AQ684)</f>
        <v/>
      </c>
      <c r="M694" s="167" t="str">
        <f>IF(ISBLANK(DaqBook_RAW_Data!AR684),"",DaqBook_RAW_Data!AR684)</f>
        <v/>
      </c>
      <c r="N694" s="167" t="str">
        <f>IF(ISBLANK(DaqBook_RAW_Data!AS684),"",DaqBook_RAW_Data!AS684)</f>
        <v/>
      </c>
      <c r="O694" s="44"/>
      <c r="P694" s="44"/>
    </row>
    <row r="695" spans="1:16" x14ac:dyDescent="0.2">
      <c r="A695" s="58" t="e">
        <f t="shared" si="10"/>
        <v>#VALUE!</v>
      </c>
      <c r="B695" s="144" t="str">
        <f>IF(ISBLANK(DaqBook_RAW_Data!AG685),IF(DaqBook_RAW_Data!A685="","",TIMEVALUE(DaqBook_RAW_Data!A685)),TIMEVALUE(DaqBook_RAW_Data!AG685))</f>
        <v/>
      </c>
      <c r="C695" s="167" t="str">
        <f>IF(ISBLANK(DaqBook_RAW_Data!AH685),"",DaqBook_RAW_Data!AH685)</f>
        <v/>
      </c>
      <c r="D695" s="167" t="str">
        <f>IF(ISBLANK(DaqBook_RAW_Data!AI685),"",DaqBook_RAW_Data!AI685)</f>
        <v/>
      </c>
      <c r="E695" s="167" t="str">
        <f>IF(ISBLANK(DaqBook_RAW_Data!AJ685),"",DaqBook_RAW_Data!AJ685)</f>
        <v/>
      </c>
      <c r="F695" s="167" t="str">
        <f>IF(ISBLANK(DaqBook_RAW_Data!AK685),"",DaqBook_RAW_Data!AK685)</f>
        <v/>
      </c>
      <c r="G695" s="167" t="str">
        <f>IF(ISBLANK(DaqBook_RAW_Data!AL685),"",DaqBook_RAW_Data!AL685)</f>
        <v/>
      </c>
      <c r="H695" s="167" t="str">
        <f>IF(ISBLANK(DaqBook_RAW_Data!AM685),"",DaqBook_RAW_Data!AM685)</f>
        <v/>
      </c>
      <c r="I695" s="167" t="str">
        <f>IF(ISBLANK(DaqBook_RAW_Data!AN685),"",DaqBook_RAW_Data!AN685)</f>
        <v/>
      </c>
      <c r="J695" s="167" t="str">
        <f>IF(ISBLANK(DaqBook_RAW_Data!AO685),"",DaqBook_RAW_Data!AO685)</f>
        <v/>
      </c>
      <c r="K695" s="167" t="str">
        <f>IF(ISBLANK(DaqBook_RAW_Data!AP685),"",DaqBook_RAW_Data!AP685)</f>
        <v/>
      </c>
      <c r="L695" s="167" t="str">
        <f>IF(ISBLANK(DaqBook_RAW_Data!AQ685),"",DaqBook_RAW_Data!AQ685)</f>
        <v/>
      </c>
      <c r="M695" s="167" t="str">
        <f>IF(ISBLANK(DaqBook_RAW_Data!AR685),"",DaqBook_RAW_Data!AR685)</f>
        <v/>
      </c>
      <c r="N695" s="167" t="str">
        <f>IF(ISBLANK(DaqBook_RAW_Data!AS685),"",DaqBook_RAW_Data!AS685)</f>
        <v/>
      </c>
      <c r="O695" s="44"/>
      <c r="P695" s="44"/>
    </row>
    <row r="696" spans="1:16" x14ac:dyDescent="0.2">
      <c r="A696" s="58" t="e">
        <f t="shared" si="10"/>
        <v>#VALUE!</v>
      </c>
      <c r="B696" s="144" t="str">
        <f>IF(ISBLANK(DaqBook_RAW_Data!AG686),IF(DaqBook_RAW_Data!A686="","",TIMEVALUE(DaqBook_RAW_Data!A686)),TIMEVALUE(DaqBook_RAW_Data!AG686))</f>
        <v/>
      </c>
      <c r="C696" s="167" t="str">
        <f>IF(ISBLANK(DaqBook_RAW_Data!AH686),"",DaqBook_RAW_Data!AH686)</f>
        <v/>
      </c>
      <c r="D696" s="167" t="str">
        <f>IF(ISBLANK(DaqBook_RAW_Data!AI686),"",DaqBook_RAW_Data!AI686)</f>
        <v/>
      </c>
      <c r="E696" s="167" t="str">
        <f>IF(ISBLANK(DaqBook_RAW_Data!AJ686),"",DaqBook_RAW_Data!AJ686)</f>
        <v/>
      </c>
      <c r="F696" s="167" t="str">
        <f>IF(ISBLANK(DaqBook_RAW_Data!AK686),"",DaqBook_RAW_Data!AK686)</f>
        <v/>
      </c>
      <c r="G696" s="167" t="str">
        <f>IF(ISBLANK(DaqBook_RAW_Data!AL686),"",DaqBook_RAW_Data!AL686)</f>
        <v/>
      </c>
      <c r="H696" s="167" t="str">
        <f>IF(ISBLANK(DaqBook_RAW_Data!AM686),"",DaqBook_RAW_Data!AM686)</f>
        <v/>
      </c>
      <c r="I696" s="167" t="str">
        <f>IF(ISBLANK(DaqBook_RAW_Data!AN686),"",DaqBook_RAW_Data!AN686)</f>
        <v/>
      </c>
      <c r="J696" s="167" t="str">
        <f>IF(ISBLANK(DaqBook_RAW_Data!AO686),"",DaqBook_RAW_Data!AO686)</f>
        <v/>
      </c>
      <c r="K696" s="167" t="str">
        <f>IF(ISBLANK(DaqBook_RAW_Data!AP686),"",DaqBook_RAW_Data!AP686)</f>
        <v/>
      </c>
      <c r="L696" s="167" t="str">
        <f>IF(ISBLANK(DaqBook_RAW_Data!AQ686),"",DaqBook_RAW_Data!AQ686)</f>
        <v/>
      </c>
      <c r="M696" s="167" t="str">
        <f>IF(ISBLANK(DaqBook_RAW_Data!AR686),"",DaqBook_RAW_Data!AR686)</f>
        <v/>
      </c>
      <c r="N696" s="167" t="str">
        <f>IF(ISBLANK(DaqBook_RAW_Data!AS686),"",DaqBook_RAW_Data!AS686)</f>
        <v/>
      </c>
      <c r="O696" s="44"/>
      <c r="P696" s="44"/>
    </row>
    <row r="697" spans="1:16" x14ac:dyDescent="0.2">
      <c r="A697" s="58" t="e">
        <f t="shared" si="10"/>
        <v>#VALUE!</v>
      </c>
      <c r="B697" s="144" t="str">
        <f>IF(ISBLANK(DaqBook_RAW_Data!AG687),IF(DaqBook_RAW_Data!A687="","",TIMEVALUE(DaqBook_RAW_Data!A687)),TIMEVALUE(DaqBook_RAW_Data!AG687))</f>
        <v/>
      </c>
      <c r="C697" s="167" t="str">
        <f>IF(ISBLANK(DaqBook_RAW_Data!AH687),"",DaqBook_RAW_Data!AH687)</f>
        <v/>
      </c>
      <c r="D697" s="167" t="str">
        <f>IF(ISBLANK(DaqBook_RAW_Data!AI687),"",DaqBook_RAW_Data!AI687)</f>
        <v/>
      </c>
      <c r="E697" s="167" t="str">
        <f>IF(ISBLANK(DaqBook_RAW_Data!AJ687),"",DaqBook_RAW_Data!AJ687)</f>
        <v/>
      </c>
      <c r="F697" s="167" t="str">
        <f>IF(ISBLANK(DaqBook_RAW_Data!AK687),"",DaqBook_RAW_Data!AK687)</f>
        <v/>
      </c>
      <c r="G697" s="167" t="str">
        <f>IF(ISBLANK(DaqBook_RAW_Data!AL687),"",DaqBook_RAW_Data!AL687)</f>
        <v/>
      </c>
      <c r="H697" s="167" t="str">
        <f>IF(ISBLANK(DaqBook_RAW_Data!AM687),"",DaqBook_RAW_Data!AM687)</f>
        <v/>
      </c>
      <c r="I697" s="167" t="str">
        <f>IF(ISBLANK(DaqBook_RAW_Data!AN687),"",DaqBook_RAW_Data!AN687)</f>
        <v/>
      </c>
      <c r="J697" s="167" t="str">
        <f>IF(ISBLANK(DaqBook_RAW_Data!AO687),"",DaqBook_RAW_Data!AO687)</f>
        <v/>
      </c>
      <c r="K697" s="167" t="str">
        <f>IF(ISBLANK(DaqBook_RAW_Data!AP687),"",DaqBook_RAW_Data!AP687)</f>
        <v/>
      </c>
      <c r="L697" s="167" t="str">
        <f>IF(ISBLANK(DaqBook_RAW_Data!AQ687),"",DaqBook_RAW_Data!AQ687)</f>
        <v/>
      </c>
      <c r="M697" s="167" t="str">
        <f>IF(ISBLANK(DaqBook_RAW_Data!AR687),"",DaqBook_RAW_Data!AR687)</f>
        <v/>
      </c>
      <c r="N697" s="167" t="str">
        <f>IF(ISBLANK(DaqBook_RAW_Data!AS687),"",DaqBook_RAW_Data!AS687)</f>
        <v/>
      </c>
      <c r="O697" s="44"/>
      <c r="P697" s="44"/>
    </row>
    <row r="698" spans="1:16" x14ac:dyDescent="0.2">
      <c r="A698" s="58" t="e">
        <f t="shared" si="10"/>
        <v>#VALUE!</v>
      </c>
      <c r="B698" s="144" t="str">
        <f>IF(ISBLANK(DaqBook_RAW_Data!AG688),IF(DaqBook_RAW_Data!A688="","",TIMEVALUE(DaqBook_RAW_Data!A688)),TIMEVALUE(DaqBook_RAW_Data!AG688))</f>
        <v/>
      </c>
      <c r="C698" s="167" t="str">
        <f>IF(ISBLANK(DaqBook_RAW_Data!AH688),"",DaqBook_RAW_Data!AH688)</f>
        <v/>
      </c>
      <c r="D698" s="167" t="str">
        <f>IF(ISBLANK(DaqBook_RAW_Data!AI688),"",DaqBook_RAW_Data!AI688)</f>
        <v/>
      </c>
      <c r="E698" s="167" t="str">
        <f>IF(ISBLANK(DaqBook_RAW_Data!AJ688),"",DaqBook_RAW_Data!AJ688)</f>
        <v/>
      </c>
      <c r="F698" s="167" t="str">
        <f>IF(ISBLANK(DaqBook_RAW_Data!AK688),"",DaqBook_RAW_Data!AK688)</f>
        <v/>
      </c>
      <c r="G698" s="167" t="str">
        <f>IF(ISBLANK(DaqBook_RAW_Data!AL688),"",DaqBook_RAW_Data!AL688)</f>
        <v/>
      </c>
      <c r="H698" s="167" t="str">
        <f>IF(ISBLANK(DaqBook_RAW_Data!AM688),"",DaqBook_RAW_Data!AM688)</f>
        <v/>
      </c>
      <c r="I698" s="167" t="str">
        <f>IF(ISBLANK(DaqBook_RAW_Data!AN688),"",DaqBook_RAW_Data!AN688)</f>
        <v/>
      </c>
      <c r="J698" s="167" t="str">
        <f>IF(ISBLANK(DaqBook_RAW_Data!AO688),"",DaqBook_RAW_Data!AO688)</f>
        <v/>
      </c>
      <c r="K698" s="167" t="str">
        <f>IF(ISBLANK(DaqBook_RAW_Data!AP688),"",DaqBook_RAW_Data!AP688)</f>
        <v/>
      </c>
      <c r="L698" s="167" t="str">
        <f>IF(ISBLANK(DaqBook_RAW_Data!AQ688),"",DaqBook_RAW_Data!AQ688)</f>
        <v/>
      </c>
      <c r="M698" s="167" t="str">
        <f>IF(ISBLANK(DaqBook_RAW_Data!AR688),"",DaqBook_RAW_Data!AR688)</f>
        <v/>
      </c>
      <c r="N698" s="167" t="str">
        <f>IF(ISBLANK(DaqBook_RAW_Data!AS688),"",DaqBook_RAW_Data!AS688)</f>
        <v/>
      </c>
      <c r="O698" s="44"/>
      <c r="P698" s="44"/>
    </row>
    <row r="699" spans="1:16" x14ac:dyDescent="0.2">
      <c r="A699" s="58" t="e">
        <f t="shared" si="10"/>
        <v>#VALUE!</v>
      </c>
      <c r="B699" s="144" t="str">
        <f>IF(ISBLANK(DaqBook_RAW_Data!AG689),IF(DaqBook_RAW_Data!A689="","",TIMEVALUE(DaqBook_RAW_Data!A689)),TIMEVALUE(DaqBook_RAW_Data!AG689))</f>
        <v/>
      </c>
      <c r="C699" s="167" t="str">
        <f>IF(ISBLANK(DaqBook_RAW_Data!AH689),"",DaqBook_RAW_Data!AH689)</f>
        <v/>
      </c>
      <c r="D699" s="167" t="str">
        <f>IF(ISBLANK(DaqBook_RAW_Data!AI689),"",DaqBook_RAW_Data!AI689)</f>
        <v/>
      </c>
      <c r="E699" s="167" t="str">
        <f>IF(ISBLANK(DaqBook_RAW_Data!AJ689),"",DaqBook_RAW_Data!AJ689)</f>
        <v/>
      </c>
      <c r="F699" s="167" t="str">
        <f>IF(ISBLANK(DaqBook_RAW_Data!AK689),"",DaqBook_RAW_Data!AK689)</f>
        <v/>
      </c>
      <c r="G699" s="167" t="str">
        <f>IF(ISBLANK(DaqBook_RAW_Data!AL689),"",DaqBook_RAW_Data!AL689)</f>
        <v/>
      </c>
      <c r="H699" s="167" t="str">
        <f>IF(ISBLANK(DaqBook_RAW_Data!AM689),"",DaqBook_RAW_Data!AM689)</f>
        <v/>
      </c>
      <c r="I699" s="167" t="str">
        <f>IF(ISBLANK(DaqBook_RAW_Data!AN689),"",DaqBook_RAW_Data!AN689)</f>
        <v/>
      </c>
      <c r="J699" s="167" t="str">
        <f>IF(ISBLANK(DaqBook_RAW_Data!AO689),"",DaqBook_RAW_Data!AO689)</f>
        <v/>
      </c>
      <c r="K699" s="167" t="str">
        <f>IF(ISBLANK(DaqBook_RAW_Data!AP689),"",DaqBook_RAW_Data!AP689)</f>
        <v/>
      </c>
      <c r="L699" s="167" t="str">
        <f>IF(ISBLANK(DaqBook_RAW_Data!AQ689),"",DaqBook_RAW_Data!AQ689)</f>
        <v/>
      </c>
      <c r="M699" s="167" t="str">
        <f>IF(ISBLANK(DaqBook_RAW_Data!AR689),"",DaqBook_RAW_Data!AR689)</f>
        <v/>
      </c>
      <c r="N699" s="167" t="str">
        <f>IF(ISBLANK(DaqBook_RAW_Data!AS689),"",DaqBook_RAW_Data!AS689)</f>
        <v/>
      </c>
      <c r="O699" s="44"/>
      <c r="P699" s="44"/>
    </row>
    <row r="700" spans="1:16" x14ac:dyDescent="0.2">
      <c r="A700" s="58" t="e">
        <f t="shared" si="10"/>
        <v>#VALUE!</v>
      </c>
      <c r="B700" s="144" t="str">
        <f>IF(ISBLANK(DaqBook_RAW_Data!AG690),IF(DaqBook_RAW_Data!A690="","",TIMEVALUE(DaqBook_RAW_Data!A690)),TIMEVALUE(DaqBook_RAW_Data!AG690))</f>
        <v/>
      </c>
      <c r="C700" s="167" t="str">
        <f>IF(ISBLANK(DaqBook_RAW_Data!AH690),"",DaqBook_RAW_Data!AH690)</f>
        <v/>
      </c>
      <c r="D700" s="167" t="str">
        <f>IF(ISBLANK(DaqBook_RAW_Data!AI690),"",DaqBook_RAW_Data!AI690)</f>
        <v/>
      </c>
      <c r="E700" s="167" t="str">
        <f>IF(ISBLANK(DaqBook_RAW_Data!AJ690),"",DaqBook_RAW_Data!AJ690)</f>
        <v/>
      </c>
      <c r="F700" s="167" t="str">
        <f>IF(ISBLANK(DaqBook_RAW_Data!AK690),"",DaqBook_RAW_Data!AK690)</f>
        <v/>
      </c>
      <c r="G700" s="167" t="str">
        <f>IF(ISBLANK(DaqBook_RAW_Data!AL690),"",DaqBook_RAW_Data!AL690)</f>
        <v/>
      </c>
      <c r="H700" s="167" t="str">
        <f>IF(ISBLANK(DaqBook_RAW_Data!AM690),"",DaqBook_RAW_Data!AM690)</f>
        <v/>
      </c>
      <c r="I700" s="167" t="str">
        <f>IF(ISBLANK(DaqBook_RAW_Data!AN690),"",DaqBook_RAW_Data!AN690)</f>
        <v/>
      </c>
      <c r="J700" s="167" t="str">
        <f>IF(ISBLANK(DaqBook_RAW_Data!AO690),"",DaqBook_RAW_Data!AO690)</f>
        <v/>
      </c>
      <c r="K700" s="167" t="str">
        <f>IF(ISBLANK(DaqBook_RAW_Data!AP690),"",DaqBook_RAW_Data!AP690)</f>
        <v/>
      </c>
      <c r="L700" s="167" t="str">
        <f>IF(ISBLANK(DaqBook_RAW_Data!AQ690),"",DaqBook_RAW_Data!AQ690)</f>
        <v/>
      </c>
      <c r="M700" s="167" t="str">
        <f>IF(ISBLANK(DaqBook_RAW_Data!AR690),"",DaqBook_RAW_Data!AR690)</f>
        <v/>
      </c>
      <c r="N700" s="167" t="str">
        <f>IF(ISBLANK(DaqBook_RAW_Data!AS690),"",DaqBook_RAW_Data!AS690)</f>
        <v/>
      </c>
      <c r="O700" s="44"/>
      <c r="P700" s="44"/>
    </row>
    <row r="701" spans="1:16" x14ac:dyDescent="0.2">
      <c r="A701" s="58" t="e">
        <f t="shared" si="10"/>
        <v>#VALUE!</v>
      </c>
      <c r="B701" s="144" t="str">
        <f>IF(ISBLANK(DaqBook_RAW_Data!AG691),IF(DaqBook_RAW_Data!A691="","",TIMEVALUE(DaqBook_RAW_Data!A691)),TIMEVALUE(DaqBook_RAW_Data!AG691))</f>
        <v/>
      </c>
      <c r="C701" s="167" t="str">
        <f>IF(ISBLANK(DaqBook_RAW_Data!AH691),"",DaqBook_RAW_Data!AH691)</f>
        <v/>
      </c>
      <c r="D701" s="167" t="str">
        <f>IF(ISBLANK(DaqBook_RAW_Data!AI691),"",DaqBook_RAW_Data!AI691)</f>
        <v/>
      </c>
      <c r="E701" s="167" t="str">
        <f>IF(ISBLANK(DaqBook_RAW_Data!AJ691),"",DaqBook_RAW_Data!AJ691)</f>
        <v/>
      </c>
      <c r="F701" s="167" t="str">
        <f>IF(ISBLANK(DaqBook_RAW_Data!AK691),"",DaqBook_RAW_Data!AK691)</f>
        <v/>
      </c>
      <c r="G701" s="167" t="str">
        <f>IF(ISBLANK(DaqBook_RAW_Data!AL691),"",DaqBook_RAW_Data!AL691)</f>
        <v/>
      </c>
      <c r="H701" s="167" t="str">
        <f>IF(ISBLANK(DaqBook_RAW_Data!AM691),"",DaqBook_RAW_Data!AM691)</f>
        <v/>
      </c>
      <c r="I701" s="167" t="str">
        <f>IF(ISBLANK(DaqBook_RAW_Data!AN691),"",DaqBook_RAW_Data!AN691)</f>
        <v/>
      </c>
      <c r="J701" s="167" t="str">
        <f>IF(ISBLANK(DaqBook_RAW_Data!AO691),"",DaqBook_RAW_Data!AO691)</f>
        <v/>
      </c>
      <c r="K701" s="167" t="str">
        <f>IF(ISBLANK(DaqBook_RAW_Data!AP691),"",DaqBook_RAW_Data!AP691)</f>
        <v/>
      </c>
      <c r="L701" s="167" t="str">
        <f>IF(ISBLANK(DaqBook_RAW_Data!AQ691),"",DaqBook_RAW_Data!AQ691)</f>
        <v/>
      </c>
      <c r="M701" s="167" t="str">
        <f>IF(ISBLANK(DaqBook_RAW_Data!AR691),"",DaqBook_RAW_Data!AR691)</f>
        <v/>
      </c>
      <c r="N701" s="167" t="str">
        <f>IF(ISBLANK(DaqBook_RAW_Data!AS691),"",DaqBook_RAW_Data!AS691)</f>
        <v/>
      </c>
      <c r="O701" s="44"/>
      <c r="P701" s="44"/>
    </row>
    <row r="702" spans="1:16" x14ac:dyDescent="0.2">
      <c r="A702" s="58" t="e">
        <f t="shared" si="10"/>
        <v>#VALUE!</v>
      </c>
      <c r="B702" s="144" t="str">
        <f>IF(ISBLANK(DaqBook_RAW_Data!AG692),IF(DaqBook_RAW_Data!A692="","",TIMEVALUE(DaqBook_RAW_Data!A692)),TIMEVALUE(DaqBook_RAW_Data!AG692))</f>
        <v/>
      </c>
      <c r="C702" s="167" t="str">
        <f>IF(ISBLANK(DaqBook_RAW_Data!AH692),"",DaqBook_RAW_Data!AH692)</f>
        <v/>
      </c>
      <c r="D702" s="167" t="str">
        <f>IF(ISBLANK(DaqBook_RAW_Data!AI692),"",DaqBook_RAW_Data!AI692)</f>
        <v/>
      </c>
      <c r="E702" s="167" t="str">
        <f>IF(ISBLANK(DaqBook_RAW_Data!AJ692),"",DaqBook_RAW_Data!AJ692)</f>
        <v/>
      </c>
      <c r="F702" s="167" t="str">
        <f>IF(ISBLANK(DaqBook_RAW_Data!AK692),"",DaqBook_RAW_Data!AK692)</f>
        <v/>
      </c>
      <c r="G702" s="167" t="str">
        <f>IF(ISBLANK(DaqBook_RAW_Data!AL692),"",DaqBook_RAW_Data!AL692)</f>
        <v/>
      </c>
      <c r="H702" s="167" t="str">
        <f>IF(ISBLANK(DaqBook_RAW_Data!AM692),"",DaqBook_RAW_Data!AM692)</f>
        <v/>
      </c>
      <c r="I702" s="167" t="str">
        <f>IF(ISBLANK(DaqBook_RAW_Data!AN692),"",DaqBook_RAW_Data!AN692)</f>
        <v/>
      </c>
      <c r="J702" s="167" t="str">
        <f>IF(ISBLANK(DaqBook_RAW_Data!AO692),"",DaqBook_RAW_Data!AO692)</f>
        <v/>
      </c>
      <c r="K702" s="167" t="str">
        <f>IF(ISBLANK(DaqBook_RAW_Data!AP692),"",DaqBook_RAW_Data!AP692)</f>
        <v/>
      </c>
      <c r="L702" s="167" t="str">
        <f>IF(ISBLANK(DaqBook_RAW_Data!AQ692),"",DaqBook_RAW_Data!AQ692)</f>
        <v/>
      </c>
      <c r="M702" s="167" t="str">
        <f>IF(ISBLANK(DaqBook_RAW_Data!AR692),"",DaqBook_RAW_Data!AR692)</f>
        <v/>
      </c>
      <c r="N702" s="167" t="str">
        <f>IF(ISBLANK(DaqBook_RAW_Data!AS692),"",DaqBook_RAW_Data!AS692)</f>
        <v/>
      </c>
      <c r="O702" s="44"/>
      <c r="P702" s="44"/>
    </row>
    <row r="703" spans="1:16" x14ac:dyDescent="0.2">
      <c r="A703" s="58" t="e">
        <f t="shared" si="10"/>
        <v>#VALUE!</v>
      </c>
      <c r="B703" s="144" t="str">
        <f>IF(ISBLANK(DaqBook_RAW_Data!AG693),IF(DaqBook_RAW_Data!A693="","",TIMEVALUE(DaqBook_RAW_Data!A693)),TIMEVALUE(DaqBook_RAW_Data!AG693))</f>
        <v/>
      </c>
      <c r="C703" s="167" t="str">
        <f>IF(ISBLANK(DaqBook_RAW_Data!AH693),"",DaqBook_RAW_Data!AH693)</f>
        <v/>
      </c>
      <c r="D703" s="167" t="str">
        <f>IF(ISBLANK(DaqBook_RAW_Data!AI693),"",DaqBook_RAW_Data!AI693)</f>
        <v/>
      </c>
      <c r="E703" s="167" t="str">
        <f>IF(ISBLANK(DaqBook_RAW_Data!AJ693),"",DaqBook_RAW_Data!AJ693)</f>
        <v/>
      </c>
      <c r="F703" s="167" t="str">
        <f>IF(ISBLANK(DaqBook_RAW_Data!AK693),"",DaqBook_RAW_Data!AK693)</f>
        <v/>
      </c>
      <c r="G703" s="167" t="str">
        <f>IF(ISBLANK(DaqBook_RAW_Data!AL693),"",DaqBook_RAW_Data!AL693)</f>
        <v/>
      </c>
      <c r="H703" s="167" t="str">
        <f>IF(ISBLANK(DaqBook_RAW_Data!AM693),"",DaqBook_RAW_Data!AM693)</f>
        <v/>
      </c>
      <c r="I703" s="167" t="str">
        <f>IF(ISBLANK(DaqBook_RAW_Data!AN693),"",DaqBook_RAW_Data!AN693)</f>
        <v/>
      </c>
      <c r="J703" s="167" t="str">
        <f>IF(ISBLANK(DaqBook_RAW_Data!AO693),"",DaqBook_RAW_Data!AO693)</f>
        <v/>
      </c>
      <c r="K703" s="167" t="str">
        <f>IF(ISBLANK(DaqBook_RAW_Data!AP693),"",DaqBook_RAW_Data!AP693)</f>
        <v/>
      </c>
      <c r="L703" s="167" t="str">
        <f>IF(ISBLANK(DaqBook_RAW_Data!AQ693),"",DaqBook_RAW_Data!AQ693)</f>
        <v/>
      </c>
      <c r="M703" s="167" t="str">
        <f>IF(ISBLANK(DaqBook_RAW_Data!AR693),"",DaqBook_RAW_Data!AR693)</f>
        <v/>
      </c>
      <c r="N703" s="167" t="str">
        <f>IF(ISBLANK(DaqBook_RAW_Data!AS693),"",DaqBook_RAW_Data!AS693)</f>
        <v/>
      </c>
      <c r="O703" s="44"/>
      <c r="P703" s="44"/>
    </row>
    <row r="704" spans="1:16" x14ac:dyDescent="0.2">
      <c r="A704" s="58" t="e">
        <f t="shared" si="10"/>
        <v>#VALUE!</v>
      </c>
      <c r="B704" s="144" t="str">
        <f>IF(ISBLANK(DaqBook_RAW_Data!AG694),IF(DaqBook_RAW_Data!A694="","",TIMEVALUE(DaqBook_RAW_Data!A694)),TIMEVALUE(DaqBook_RAW_Data!AG694))</f>
        <v/>
      </c>
      <c r="C704" s="167" t="str">
        <f>IF(ISBLANK(DaqBook_RAW_Data!AH694),"",DaqBook_RAW_Data!AH694)</f>
        <v/>
      </c>
      <c r="D704" s="167" t="str">
        <f>IF(ISBLANK(DaqBook_RAW_Data!AI694),"",DaqBook_RAW_Data!AI694)</f>
        <v/>
      </c>
      <c r="E704" s="167" t="str">
        <f>IF(ISBLANK(DaqBook_RAW_Data!AJ694),"",DaqBook_RAW_Data!AJ694)</f>
        <v/>
      </c>
      <c r="F704" s="167" t="str">
        <f>IF(ISBLANK(DaqBook_RAW_Data!AK694),"",DaqBook_RAW_Data!AK694)</f>
        <v/>
      </c>
      <c r="G704" s="167" t="str">
        <f>IF(ISBLANK(DaqBook_RAW_Data!AL694),"",DaqBook_RAW_Data!AL694)</f>
        <v/>
      </c>
      <c r="H704" s="167" t="str">
        <f>IF(ISBLANK(DaqBook_RAW_Data!AM694),"",DaqBook_RAW_Data!AM694)</f>
        <v/>
      </c>
      <c r="I704" s="167" t="str">
        <f>IF(ISBLANK(DaqBook_RAW_Data!AN694),"",DaqBook_RAW_Data!AN694)</f>
        <v/>
      </c>
      <c r="J704" s="167" t="str">
        <f>IF(ISBLANK(DaqBook_RAW_Data!AO694),"",DaqBook_RAW_Data!AO694)</f>
        <v/>
      </c>
      <c r="K704" s="167" t="str">
        <f>IF(ISBLANK(DaqBook_RAW_Data!AP694),"",DaqBook_RAW_Data!AP694)</f>
        <v/>
      </c>
      <c r="L704" s="167" t="str">
        <f>IF(ISBLANK(DaqBook_RAW_Data!AQ694),"",DaqBook_RAW_Data!AQ694)</f>
        <v/>
      </c>
      <c r="M704" s="167" t="str">
        <f>IF(ISBLANK(DaqBook_RAW_Data!AR694),"",DaqBook_RAW_Data!AR694)</f>
        <v/>
      </c>
      <c r="N704" s="167" t="str">
        <f>IF(ISBLANK(DaqBook_RAW_Data!AS694),"",DaqBook_RAW_Data!AS694)</f>
        <v/>
      </c>
      <c r="O704" s="44"/>
      <c r="P704" s="44"/>
    </row>
    <row r="705" spans="1:16" x14ac:dyDescent="0.2">
      <c r="A705" s="58" t="e">
        <f t="shared" si="10"/>
        <v>#VALUE!</v>
      </c>
      <c r="B705" s="144" t="str">
        <f>IF(ISBLANK(DaqBook_RAW_Data!AG695),IF(DaqBook_RAW_Data!A695="","",TIMEVALUE(DaqBook_RAW_Data!A695)),TIMEVALUE(DaqBook_RAW_Data!AG695))</f>
        <v/>
      </c>
      <c r="C705" s="167" t="str">
        <f>IF(ISBLANK(DaqBook_RAW_Data!AH695),"",DaqBook_RAW_Data!AH695)</f>
        <v/>
      </c>
      <c r="D705" s="167" t="str">
        <f>IF(ISBLANK(DaqBook_RAW_Data!AI695),"",DaqBook_RAW_Data!AI695)</f>
        <v/>
      </c>
      <c r="E705" s="167" t="str">
        <f>IF(ISBLANK(DaqBook_RAW_Data!AJ695),"",DaqBook_RAW_Data!AJ695)</f>
        <v/>
      </c>
      <c r="F705" s="167" t="str">
        <f>IF(ISBLANK(DaqBook_RAW_Data!AK695),"",DaqBook_RAW_Data!AK695)</f>
        <v/>
      </c>
      <c r="G705" s="167" t="str">
        <f>IF(ISBLANK(DaqBook_RAW_Data!AL695),"",DaqBook_RAW_Data!AL695)</f>
        <v/>
      </c>
      <c r="H705" s="167" t="str">
        <f>IF(ISBLANK(DaqBook_RAW_Data!AM695),"",DaqBook_RAW_Data!AM695)</f>
        <v/>
      </c>
      <c r="I705" s="167" t="str">
        <f>IF(ISBLANK(DaqBook_RAW_Data!AN695),"",DaqBook_RAW_Data!AN695)</f>
        <v/>
      </c>
      <c r="J705" s="167" t="str">
        <f>IF(ISBLANK(DaqBook_RAW_Data!AO695),"",DaqBook_RAW_Data!AO695)</f>
        <v/>
      </c>
      <c r="K705" s="167" t="str">
        <f>IF(ISBLANK(DaqBook_RAW_Data!AP695),"",DaqBook_RAW_Data!AP695)</f>
        <v/>
      </c>
      <c r="L705" s="167" t="str">
        <f>IF(ISBLANK(DaqBook_RAW_Data!AQ695),"",DaqBook_RAW_Data!AQ695)</f>
        <v/>
      </c>
      <c r="M705" s="167" t="str">
        <f>IF(ISBLANK(DaqBook_RAW_Data!AR695),"",DaqBook_RAW_Data!AR695)</f>
        <v/>
      </c>
      <c r="N705" s="167" t="str">
        <f>IF(ISBLANK(DaqBook_RAW_Data!AS695),"",DaqBook_RAW_Data!AS695)</f>
        <v/>
      </c>
      <c r="O705" s="44"/>
      <c r="P705" s="44"/>
    </row>
    <row r="706" spans="1:16" x14ac:dyDescent="0.2">
      <c r="A706" s="58" t="e">
        <f t="shared" si="10"/>
        <v>#VALUE!</v>
      </c>
      <c r="B706" s="144" t="str">
        <f>IF(ISBLANK(DaqBook_RAW_Data!AG696),IF(DaqBook_RAW_Data!A696="","",TIMEVALUE(DaqBook_RAW_Data!A696)),TIMEVALUE(DaqBook_RAW_Data!AG696))</f>
        <v/>
      </c>
      <c r="C706" s="167" t="str">
        <f>IF(ISBLANK(DaqBook_RAW_Data!AH696),"",DaqBook_RAW_Data!AH696)</f>
        <v/>
      </c>
      <c r="D706" s="167" t="str">
        <f>IF(ISBLANK(DaqBook_RAW_Data!AI696),"",DaqBook_RAW_Data!AI696)</f>
        <v/>
      </c>
      <c r="E706" s="167" t="str">
        <f>IF(ISBLANK(DaqBook_RAW_Data!AJ696),"",DaqBook_RAW_Data!AJ696)</f>
        <v/>
      </c>
      <c r="F706" s="167" t="str">
        <f>IF(ISBLANK(DaqBook_RAW_Data!AK696),"",DaqBook_RAW_Data!AK696)</f>
        <v/>
      </c>
      <c r="G706" s="167" t="str">
        <f>IF(ISBLANK(DaqBook_RAW_Data!AL696),"",DaqBook_RAW_Data!AL696)</f>
        <v/>
      </c>
      <c r="H706" s="167" t="str">
        <f>IF(ISBLANK(DaqBook_RAW_Data!AM696),"",DaqBook_RAW_Data!AM696)</f>
        <v/>
      </c>
      <c r="I706" s="167" t="str">
        <f>IF(ISBLANK(DaqBook_RAW_Data!AN696),"",DaqBook_RAW_Data!AN696)</f>
        <v/>
      </c>
      <c r="J706" s="167" t="str">
        <f>IF(ISBLANK(DaqBook_RAW_Data!AO696),"",DaqBook_RAW_Data!AO696)</f>
        <v/>
      </c>
      <c r="K706" s="167" t="str">
        <f>IF(ISBLANK(DaqBook_RAW_Data!AP696),"",DaqBook_RAW_Data!AP696)</f>
        <v/>
      </c>
      <c r="L706" s="167" t="str">
        <f>IF(ISBLANK(DaqBook_RAW_Data!AQ696),"",DaqBook_RAW_Data!AQ696)</f>
        <v/>
      </c>
      <c r="M706" s="167" t="str">
        <f>IF(ISBLANK(DaqBook_RAW_Data!AR696),"",DaqBook_RAW_Data!AR696)</f>
        <v/>
      </c>
      <c r="N706" s="167" t="str">
        <f>IF(ISBLANK(DaqBook_RAW_Data!AS696),"",DaqBook_RAW_Data!AS696)</f>
        <v/>
      </c>
      <c r="O706" s="44"/>
      <c r="P706" s="44"/>
    </row>
    <row r="707" spans="1:16" x14ac:dyDescent="0.2">
      <c r="A707" s="58" t="e">
        <f t="shared" si="10"/>
        <v>#VALUE!</v>
      </c>
      <c r="B707" s="144" t="str">
        <f>IF(ISBLANK(DaqBook_RAW_Data!AG697),IF(DaqBook_RAW_Data!A697="","",TIMEVALUE(DaqBook_RAW_Data!A697)),TIMEVALUE(DaqBook_RAW_Data!AG697))</f>
        <v/>
      </c>
      <c r="C707" s="167" t="str">
        <f>IF(ISBLANK(DaqBook_RAW_Data!AH697),"",DaqBook_RAW_Data!AH697)</f>
        <v/>
      </c>
      <c r="D707" s="167" t="str">
        <f>IF(ISBLANK(DaqBook_RAW_Data!AI697),"",DaqBook_RAW_Data!AI697)</f>
        <v/>
      </c>
      <c r="E707" s="167" t="str">
        <f>IF(ISBLANK(DaqBook_RAW_Data!AJ697),"",DaqBook_RAW_Data!AJ697)</f>
        <v/>
      </c>
      <c r="F707" s="167" t="str">
        <f>IF(ISBLANK(DaqBook_RAW_Data!AK697),"",DaqBook_RAW_Data!AK697)</f>
        <v/>
      </c>
      <c r="G707" s="167" t="str">
        <f>IF(ISBLANK(DaqBook_RAW_Data!AL697),"",DaqBook_RAW_Data!AL697)</f>
        <v/>
      </c>
      <c r="H707" s="167" t="str">
        <f>IF(ISBLANK(DaqBook_RAW_Data!AM697),"",DaqBook_RAW_Data!AM697)</f>
        <v/>
      </c>
      <c r="I707" s="167" t="str">
        <f>IF(ISBLANK(DaqBook_RAW_Data!AN697),"",DaqBook_RAW_Data!AN697)</f>
        <v/>
      </c>
      <c r="J707" s="167" t="str">
        <f>IF(ISBLANK(DaqBook_RAW_Data!AO697),"",DaqBook_RAW_Data!AO697)</f>
        <v/>
      </c>
      <c r="K707" s="167" t="str">
        <f>IF(ISBLANK(DaqBook_RAW_Data!AP697),"",DaqBook_RAW_Data!AP697)</f>
        <v/>
      </c>
      <c r="L707" s="167" t="str">
        <f>IF(ISBLANK(DaqBook_RAW_Data!AQ697),"",DaqBook_RAW_Data!AQ697)</f>
        <v/>
      </c>
      <c r="M707" s="167" t="str">
        <f>IF(ISBLANK(DaqBook_RAW_Data!AR697),"",DaqBook_RAW_Data!AR697)</f>
        <v/>
      </c>
      <c r="N707" s="167" t="str">
        <f>IF(ISBLANK(DaqBook_RAW_Data!AS697),"",DaqBook_RAW_Data!AS697)</f>
        <v/>
      </c>
      <c r="O707" s="44"/>
      <c r="P707" s="44"/>
    </row>
    <row r="708" spans="1:16" x14ac:dyDescent="0.2">
      <c r="A708" s="58" t="e">
        <f t="shared" si="10"/>
        <v>#VALUE!</v>
      </c>
      <c r="B708" s="144" t="str">
        <f>IF(ISBLANK(DaqBook_RAW_Data!AG698),IF(DaqBook_RAW_Data!A698="","",TIMEVALUE(DaqBook_RAW_Data!A698)),TIMEVALUE(DaqBook_RAW_Data!AG698))</f>
        <v/>
      </c>
      <c r="C708" s="167" t="str">
        <f>IF(ISBLANK(DaqBook_RAW_Data!AH698),"",DaqBook_RAW_Data!AH698)</f>
        <v/>
      </c>
      <c r="D708" s="167" t="str">
        <f>IF(ISBLANK(DaqBook_RAW_Data!AI698),"",DaqBook_RAW_Data!AI698)</f>
        <v/>
      </c>
      <c r="E708" s="167" t="str">
        <f>IF(ISBLANK(DaqBook_RAW_Data!AJ698),"",DaqBook_RAW_Data!AJ698)</f>
        <v/>
      </c>
      <c r="F708" s="167" t="str">
        <f>IF(ISBLANK(DaqBook_RAW_Data!AK698),"",DaqBook_RAW_Data!AK698)</f>
        <v/>
      </c>
      <c r="G708" s="167" t="str">
        <f>IF(ISBLANK(DaqBook_RAW_Data!AL698),"",DaqBook_RAW_Data!AL698)</f>
        <v/>
      </c>
      <c r="H708" s="167" t="str">
        <f>IF(ISBLANK(DaqBook_RAW_Data!AM698),"",DaqBook_RAW_Data!AM698)</f>
        <v/>
      </c>
      <c r="I708" s="167" t="str">
        <f>IF(ISBLANK(DaqBook_RAW_Data!AN698),"",DaqBook_RAW_Data!AN698)</f>
        <v/>
      </c>
      <c r="J708" s="167" t="str">
        <f>IF(ISBLANK(DaqBook_RAW_Data!AO698),"",DaqBook_RAW_Data!AO698)</f>
        <v/>
      </c>
      <c r="K708" s="167" t="str">
        <f>IF(ISBLANK(DaqBook_RAW_Data!AP698),"",DaqBook_RAW_Data!AP698)</f>
        <v/>
      </c>
      <c r="L708" s="167" t="str">
        <f>IF(ISBLANK(DaqBook_RAW_Data!AQ698),"",DaqBook_RAW_Data!AQ698)</f>
        <v/>
      </c>
      <c r="M708" s="167" t="str">
        <f>IF(ISBLANK(DaqBook_RAW_Data!AR698),"",DaqBook_RAW_Data!AR698)</f>
        <v/>
      </c>
      <c r="N708" s="167" t="str">
        <f>IF(ISBLANK(DaqBook_RAW_Data!AS698),"",DaqBook_RAW_Data!AS698)</f>
        <v/>
      </c>
      <c r="O708" s="44"/>
      <c r="P708" s="44"/>
    </row>
    <row r="709" spans="1:16" x14ac:dyDescent="0.2">
      <c r="A709" s="58" t="e">
        <f t="shared" si="10"/>
        <v>#VALUE!</v>
      </c>
      <c r="B709" s="144" t="str">
        <f>IF(ISBLANK(DaqBook_RAW_Data!AG699),IF(DaqBook_RAW_Data!A699="","",TIMEVALUE(DaqBook_RAW_Data!A699)),TIMEVALUE(DaqBook_RAW_Data!AG699))</f>
        <v/>
      </c>
      <c r="C709" s="167" t="str">
        <f>IF(ISBLANK(DaqBook_RAW_Data!AH699),"",DaqBook_RAW_Data!AH699)</f>
        <v/>
      </c>
      <c r="D709" s="167" t="str">
        <f>IF(ISBLANK(DaqBook_RAW_Data!AI699),"",DaqBook_RAW_Data!AI699)</f>
        <v/>
      </c>
      <c r="E709" s="167" t="str">
        <f>IF(ISBLANK(DaqBook_RAW_Data!AJ699),"",DaqBook_RAW_Data!AJ699)</f>
        <v/>
      </c>
      <c r="F709" s="167" t="str">
        <f>IF(ISBLANK(DaqBook_RAW_Data!AK699),"",DaqBook_RAW_Data!AK699)</f>
        <v/>
      </c>
      <c r="G709" s="167" t="str">
        <f>IF(ISBLANK(DaqBook_RAW_Data!AL699),"",DaqBook_RAW_Data!AL699)</f>
        <v/>
      </c>
      <c r="H709" s="167" t="str">
        <f>IF(ISBLANK(DaqBook_RAW_Data!AM699),"",DaqBook_RAW_Data!AM699)</f>
        <v/>
      </c>
      <c r="I709" s="167" t="str">
        <f>IF(ISBLANK(DaqBook_RAW_Data!AN699),"",DaqBook_RAW_Data!AN699)</f>
        <v/>
      </c>
      <c r="J709" s="167" t="str">
        <f>IF(ISBLANK(DaqBook_RAW_Data!AO699),"",DaqBook_RAW_Data!AO699)</f>
        <v/>
      </c>
      <c r="K709" s="167" t="str">
        <f>IF(ISBLANK(DaqBook_RAW_Data!AP699),"",DaqBook_RAW_Data!AP699)</f>
        <v/>
      </c>
      <c r="L709" s="167" t="str">
        <f>IF(ISBLANK(DaqBook_RAW_Data!AQ699),"",DaqBook_RAW_Data!AQ699)</f>
        <v/>
      </c>
      <c r="M709" s="167" t="str">
        <f>IF(ISBLANK(DaqBook_RAW_Data!AR699),"",DaqBook_RAW_Data!AR699)</f>
        <v/>
      </c>
      <c r="N709" s="167" t="str">
        <f>IF(ISBLANK(DaqBook_RAW_Data!AS699),"",DaqBook_RAW_Data!AS699)</f>
        <v/>
      </c>
      <c r="O709" s="44"/>
      <c r="P709" s="44"/>
    </row>
    <row r="710" spans="1:16" x14ac:dyDescent="0.2">
      <c r="A710" s="58" t="e">
        <f t="shared" si="10"/>
        <v>#VALUE!</v>
      </c>
      <c r="B710" s="144" t="str">
        <f>IF(ISBLANK(DaqBook_RAW_Data!AG700),IF(DaqBook_RAW_Data!A700="","",TIMEVALUE(DaqBook_RAW_Data!A700)),TIMEVALUE(DaqBook_RAW_Data!AG700))</f>
        <v/>
      </c>
      <c r="C710" s="167" t="str">
        <f>IF(ISBLANK(DaqBook_RAW_Data!AH700),"",DaqBook_RAW_Data!AH700)</f>
        <v/>
      </c>
      <c r="D710" s="167" t="str">
        <f>IF(ISBLANK(DaqBook_RAW_Data!AI700),"",DaqBook_RAW_Data!AI700)</f>
        <v/>
      </c>
      <c r="E710" s="167" t="str">
        <f>IF(ISBLANK(DaqBook_RAW_Data!AJ700),"",DaqBook_RAW_Data!AJ700)</f>
        <v/>
      </c>
      <c r="F710" s="167" t="str">
        <f>IF(ISBLANK(DaqBook_RAW_Data!AK700),"",DaqBook_RAW_Data!AK700)</f>
        <v/>
      </c>
      <c r="G710" s="167" t="str">
        <f>IF(ISBLANK(DaqBook_RAW_Data!AL700),"",DaqBook_RAW_Data!AL700)</f>
        <v/>
      </c>
      <c r="H710" s="167" t="str">
        <f>IF(ISBLANK(DaqBook_RAW_Data!AM700),"",DaqBook_RAW_Data!AM700)</f>
        <v/>
      </c>
      <c r="I710" s="167" t="str">
        <f>IF(ISBLANK(DaqBook_RAW_Data!AN700),"",DaqBook_RAW_Data!AN700)</f>
        <v/>
      </c>
      <c r="J710" s="167" t="str">
        <f>IF(ISBLANK(DaqBook_RAW_Data!AO700),"",DaqBook_RAW_Data!AO700)</f>
        <v/>
      </c>
      <c r="K710" s="167" t="str">
        <f>IF(ISBLANK(DaqBook_RAW_Data!AP700),"",DaqBook_RAW_Data!AP700)</f>
        <v/>
      </c>
      <c r="L710" s="167" t="str">
        <f>IF(ISBLANK(DaqBook_RAW_Data!AQ700),"",DaqBook_RAW_Data!AQ700)</f>
        <v/>
      </c>
      <c r="M710" s="167" t="str">
        <f>IF(ISBLANK(DaqBook_RAW_Data!AR700),"",DaqBook_RAW_Data!AR700)</f>
        <v/>
      </c>
      <c r="N710" s="167" t="str">
        <f>IF(ISBLANK(DaqBook_RAW_Data!AS700),"",DaqBook_RAW_Data!AS700)</f>
        <v/>
      </c>
      <c r="O710" s="44"/>
      <c r="P710" s="44"/>
    </row>
    <row r="711" spans="1:16" x14ac:dyDescent="0.2">
      <c r="A711" s="58" t="e">
        <f t="shared" si="10"/>
        <v>#VALUE!</v>
      </c>
      <c r="B711" s="144" t="str">
        <f>IF(ISBLANK(DaqBook_RAW_Data!AG701),IF(DaqBook_RAW_Data!A701="","",TIMEVALUE(DaqBook_RAW_Data!A701)),TIMEVALUE(DaqBook_RAW_Data!AG701))</f>
        <v/>
      </c>
      <c r="C711" s="167" t="str">
        <f>IF(ISBLANK(DaqBook_RAW_Data!AH701),"",DaqBook_RAW_Data!AH701)</f>
        <v/>
      </c>
      <c r="D711" s="167" t="str">
        <f>IF(ISBLANK(DaqBook_RAW_Data!AI701),"",DaqBook_RAW_Data!AI701)</f>
        <v/>
      </c>
      <c r="E711" s="167" t="str">
        <f>IF(ISBLANK(DaqBook_RAW_Data!AJ701),"",DaqBook_RAW_Data!AJ701)</f>
        <v/>
      </c>
      <c r="F711" s="167" t="str">
        <f>IF(ISBLANK(DaqBook_RAW_Data!AK701),"",DaqBook_RAW_Data!AK701)</f>
        <v/>
      </c>
      <c r="G711" s="167" t="str">
        <f>IF(ISBLANK(DaqBook_RAW_Data!AL701),"",DaqBook_RAW_Data!AL701)</f>
        <v/>
      </c>
      <c r="H711" s="167" t="str">
        <f>IF(ISBLANK(DaqBook_RAW_Data!AM701),"",DaqBook_RAW_Data!AM701)</f>
        <v/>
      </c>
      <c r="I711" s="167" t="str">
        <f>IF(ISBLANK(DaqBook_RAW_Data!AN701),"",DaqBook_RAW_Data!AN701)</f>
        <v/>
      </c>
      <c r="J711" s="167" t="str">
        <f>IF(ISBLANK(DaqBook_RAW_Data!AO701),"",DaqBook_RAW_Data!AO701)</f>
        <v/>
      </c>
      <c r="K711" s="167" t="str">
        <f>IF(ISBLANK(DaqBook_RAW_Data!AP701),"",DaqBook_RAW_Data!AP701)</f>
        <v/>
      </c>
      <c r="L711" s="167" t="str">
        <f>IF(ISBLANK(DaqBook_RAW_Data!AQ701),"",DaqBook_RAW_Data!AQ701)</f>
        <v/>
      </c>
      <c r="M711" s="167" t="str">
        <f>IF(ISBLANK(DaqBook_RAW_Data!AR701),"",DaqBook_RAW_Data!AR701)</f>
        <v/>
      </c>
      <c r="N711" s="167" t="str">
        <f>IF(ISBLANK(DaqBook_RAW_Data!AS701),"",DaqBook_RAW_Data!AS701)</f>
        <v/>
      </c>
      <c r="O711" s="44"/>
      <c r="P711" s="44"/>
    </row>
    <row r="712" spans="1:16" x14ac:dyDescent="0.2">
      <c r="A712" s="58" t="e">
        <f t="shared" si="10"/>
        <v>#VALUE!</v>
      </c>
      <c r="B712" s="144" t="str">
        <f>IF(ISBLANK(DaqBook_RAW_Data!AG702),IF(DaqBook_RAW_Data!A702="","",TIMEVALUE(DaqBook_RAW_Data!A702)),TIMEVALUE(DaqBook_RAW_Data!AG702))</f>
        <v/>
      </c>
      <c r="C712" s="167" t="str">
        <f>IF(ISBLANK(DaqBook_RAW_Data!AH702),"",DaqBook_RAW_Data!AH702)</f>
        <v/>
      </c>
      <c r="D712" s="167" t="str">
        <f>IF(ISBLANK(DaqBook_RAW_Data!AI702),"",DaqBook_RAW_Data!AI702)</f>
        <v/>
      </c>
      <c r="E712" s="167" t="str">
        <f>IF(ISBLANK(DaqBook_RAW_Data!AJ702),"",DaqBook_RAW_Data!AJ702)</f>
        <v/>
      </c>
      <c r="F712" s="167" t="str">
        <f>IF(ISBLANK(DaqBook_RAW_Data!AK702),"",DaqBook_RAW_Data!AK702)</f>
        <v/>
      </c>
      <c r="G712" s="167" t="str">
        <f>IF(ISBLANK(DaqBook_RAW_Data!AL702),"",DaqBook_RAW_Data!AL702)</f>
        <v/>
      </c>
      <c r="H712" s="167" t="str">
        <f>IF(ISBLANK(DaqBook_RAW_Data!AM702),"",DaqBook_RAW_Data!AM702)</f>
        <v/>
      </c>
      <c r="I712" s="167" t="str">
        <f>IF(ISBLANK(DaqBook_RAW_Data!AN702),"",DaqBook_RAW_Data!AN702)</f>
        <v/>
      </c>
      <c r="J712" s="167" t="str">
        <f>IF(ISBLANK(DaqBook_RAW_Data!AO702),"",DaqBook_RAW_Data!AO702)</f>
        <v/>
      </c>
      <c r="K712" s="167" t="str">
        <f>IF(ISBLANK(DaqBook_RAW_Data!AP702),"",DaqBook_RAW_Data!AP702)</f>
        <v/>
      </c>
      <c r="L712" s="167" t="str">
        <f>IF(ISBLANK(DaqBook_RAW_Data!AQ702),"",DaqBook_RAW_Data!AQ702)</f>
        <v/>
      </c>
      <c r="M712" s="167" t="str">
        <f>IF(ISBLANK(DaqBook_RAW_Data!AR702),"",DaqBook_RAW_Data!AR702)</f>
        <v/>
      </c>
      <c r="N712" s="167" t="str">
        <f>IF(ISBLANK(DaqBook_RAW_Data!AS702),"",DaqBook_RAW_Data!AS702)</f>
        <v/>
      </c>
      <c r="O712" s="44"/>
      <c r="P712" s="44"/>
    </row>
    <row r="713" spans="1:16" x14ac:dyDescent="0.2">
      <c r="A713" s="58" t="e">
        <f t="shared" si="10"/>
        <v>#VALUE!</v>
      </c>
      <c r="B713" s="144" t="str">
        <f>IF(ISBLANK(DaqBook_RAW_Data!AG703),IF(DaqBook_RAW_Data!A703="","",TIMEVALUE(DaqBook_RAW_Data!A703)),TIMEVALUE(DaqBook_RAW_Data!AG703))</f>
        <v/>
      </c>
      <c r="C713" s="167" t="str">
        <f>IF(ISBLANK(DaqBook_RAW_Data!AH703),"",DaqBook_RAW_Data!AH703)</f>
        <v/>
      </c>
      <c r="D713" s="167" t="str">
        <f>IF(ISBLANK(DaqBook_RAW_Data!AI703),"",DaqBook_RAW_Data!AI703)</f>
        <v/>
      </c>
      <c r="E713" s="167" t="str">
        <f>IF(ISBLANK(DaqBook_RAW_Data!AJ703),"",DaqBook_RAW_Data!AJ703)</f>
        <v/>
      </c>
      <c r="F713" s="167" t="str">
        <f>IF(ISBLANK(DaqBook_RAW_Data!AK703),"",DaqBook_RAW_Data!AK703)</f>
        <v/>
      </c>
      <c r="G713" s="167" t="str">
        <f>IF(ISBLANK(DaqBook_RAW_Data!AL703),"",DaqBook_RAW_Data!AL703)</f>
        <v/>
      </c>
      <c r="H713" s="167" t="str">
        <f>IF(ISBLANK(DaqBook_RAW_Data!AM703),"",DaqBook_RAW_Data!AM703)</f>
        <v/>
      </c>
      <c r="I713" s="167" t="str">
        <f>IF(ISBLANK(DaqBook_RAW_Data!AN703),"",DaqBook_RAW_Data!AN703)</f>
        <v/>
      </c>
      <c r="J713" s="167" t="str">
        <f>IF(ISBLANK(DaqBook_RAW_Data!AO703),"",DaqBook_RAW_Data!AO703)</f>
        <v/>
      </c>
      <c r="K713" s="167" t="str">
        <f>IF(ISBLANK(DaqBook_RAW_Data!AP703),"",DaqBook_RAW_Data!AP703)</f>
        <v/>
      </c>
      <c r="L713" s="167" t="str">
        <f>IF(ISBLANK(DaqBook_RAW_Data!AQ703),"",DaqBook_RAW_Data!AQ703)</f>
        <v/>
      </c>
      <c r="M713" s="167" t="str">
        <f>IF(ISBLANK(DaqBook_RAW_Data!AR703),"",DaqBook_RAW_Data!AR703)</f>
        <v/>
      </c>
      <c r="N713" s="167" t="str">
        <f>IF(ISBLANK(DaqBook_RAW_Data!AS703),"",DaqBook_RAW_Data!AS703)</f>
        <v/>
      </c>
      <c r="O713" s="44"/>
      <c r="P713" s="44"/>
    </row>
    <row r="714" spans="1:16" x14ac:dyDescent="0.2">
      <c r="A714" s="58" t="e">
        <f t="shared" si="10"/>
        <v>#VALUE!</v>
      </c>
      <c r="B714" s="144" t="str">
        <f>IF(ISBLANK(DaqBook_RAW_Data!AG704),IF(DaqBook_RAW_Data!A704="","",TIMEVALUE(DaqBook_RAW_Data!A704)),TIMEVALUE(DaqBook_RAW_Data!AG704))</f>
        <v/>
      </c>
      <c r="C714" s="167" t="str">
        <f>IF(ISBLANK(DaqBook_RAW_Data!AH704),"",DaqBook_RAW_Data!AH704)</f>
        <v/>
      </c>
      <c r="D714" s="167" t="str">
        <f>IF(ISBLANK(DaqBook_RAW_Data!AI704),"",DaqBook_RAW_Data!AI704)</f>
        <v/>
      </c>
      <c r="E714" s="167" t="str">
        <f>IF(ISBLANK(DaqBook_RAW_Data!AJ704),"",DaqBook_RAW_Data!AJ704)</f>
        <v/>
      </c>
      <c r="F714" s="167" t="str">
        <f>IF(ISBLANK(DaqBook_RAW_Data!AK704),"",DaqBook_RAW_Data!AK704)</f>
        <v/>
      </c>
      <c r="G714" s="167" t="str">
        <f>IF(ISBLANK(DaqBook_RAW_Data!AL704),"",DaqBook_RAW_Data!AL704)</f>
        <v/>
      </c>
      <c r="H714" s="167" t="str">
        <f>IF(ISBLANK(DaqBook_RAW_Data!AM704),"",DaqBook_RAW_Data!AM704)</f>
        <v/>
      </c>
      <c r="I714" s="167" t="str">
        <f>IF(ISBLANK(DaqBook_RAW_Data!AN704),"",DaqBook_RAW_Data!AN704)</f>
        <v/>
      </c>
      <c r="J714" s="167" t="str">
        <f>IF(ISBLANK(DaqBook_RAW_Data!AO704),"",DaqBook_RAW_Data!AO704)</f>
        <v/>
      </c>
      <c r="K714" s="167" t="str">
        <f>IF(ISBLANK(DaqBook_RAW_Data!AP704),"",DaqBook_RAW_Data!AP704)</f>
        <v/>
      </c>
      <c r="L714" s="167" t="str">
        <f>IF(ISBLANK(DaqBook_RAW_Data!AQ704),"",DaqBook_RAW_Data!AQ704)</f>
        <v/>
      </c>
      <c r="M714" s="167" t="str">
        <f>IF(ISBLANK(DaqBook_RAW_Data!AR704),"",DaqBook_RAW_Data!AR704)</f>
        <v/>
      </c>
      <c r="N714" s="167" t="str">
        <f>IF(ISBLANK(DaqBook_RAW_Data!AS704),"",DaqBook_RAW_Data!AS704)</f>
        <v/>
      </c>
      <c r="O714" s="44"/>
      <c r="P714" s="44"/>
    </row>
    <row r="715" spans="1:16" x14ac:dyDescent="0.2">
      <c r="A715" s="58" t="e">
        <f t="shared" si="10"/>
        <v>#VALUE!</v>
      </c>
      <c r="B715" s="144" t="str">
        <f>IF(ISBLANK(DaqBook_RAW_Data!AG705),IF(DaqBook_RAW_Data!A705="","",TIMEVALUE(DaqBook_RAW_Data!A705)),TIMEVALUE(DaqBook_RAW_Data!AG705))</f>
        <v/>
      </c>
      <c r="C715" s="167" t="str">
        <f>IF(ISBLANK(DaqBook_RAW_Data!AH705),"",DaqBook_RAW_Data!AH705)</f>
        <v/>
      </c>
      <c r="D715" s="167" t="str">
        <f>IF(ISBLANK(DaqBook_RAW_Data!AI705),"",DaqBook_RAW_Data!AI705)</f>
        <v/>
      </c>
      <c r="E715" s="167" t="str">
        <f>IF(ISBLANK(DaqBook_RAW_Data!AJ705),"",DaqBook_RAW_Data!AJ705)</f>
        <v/>
      </c>
      <c r="F715" s="167" t="str">
        <f>IF(ISBLANK(DaqBook_RAW_Data!AK705),"",DaqBook_RAW_Data!AK705)</f>
        <v/>
      </c>
      <c r="G715" s="167" t="str">
        <f>IF(ISBLANK(DaqBook_RAW_Data!AL705),"",DaqBook_RAW_Data!AL705)</f>
        <v/>
      </c>
      <c r="H715" s="167" t="str">
        <f>IF(ISBLANK(DaqBook_RAW_Data!AM705),"",DaqBook_RAW_Data!AM705)</f>
        <v/>
      </c>
      <c r="I715" s="167" t="str">
        <f>IF(ISBLANK(DaqBook_RAW_Data!AN705),"",DaqBook_RAW_Data!AN705)</f>
        <v/>
      </c>
      <c r="J715" s="167" t="str">
        <f>IF(ISBLANK(DaqBook_RAW_Data!AO705),"",DaqBook_RAW_Data!AO705)</f>
        <v/>
      </c>
      <c r="K715" s="167" t="str">
        <f>IF(ISBLANK(DaqBook_RAW_Data!AP705),"",DaqBook_RAW_Data!AP705)</f>
        <v/>
      </c>
      <c r="L715" s="167" t="str">
        <f>IF(ISBLANK(DaqBook_RAW_Data!AQ705),"",DaqBook_RAW_Data!AQ705)</f>
        <v/>
      </c>
      <c r="M715" s="167" t="str">
        <f>IF(ISBLANK(DaqBook_RAW_Data!AR705),"",DaqBook_RAW_Data!AR705)</f>
        <v/>
      </c>
      <c r="N715" s="167" t="str">
        <f>IF(ISBLANK(DaqBook_RAW_Data!AS705),"",DaqBook_RAW_Data!AS705)</f>
        <v/>
      </c>
      <c r="O715" s="44"/>
      <c r="P715" s="44"/>
    </row>
    <row r="716" spans="1:16" x14ac:dyDescent="0.2">
      <c r="A716" s="58" t="e">
        <f t="shared" si="10"/>
        <v>#VALUE!</v>
      </c>
      <c r="B716" s="144" t="str">
        <f>IF(ISBLANK(DaqBook_RAW_Data!AG706),IF(DaqBook_RAW_Data!A706="","",TIMEVALUE(DaqBook_RAW_Data!A706)),TIMEVALUE(DaqBook_RAW_Data!AG706))</f>
        <v/>
      </c>
      <c r="C716" s="167" t="str">
        <f>IF(ISBLANK(DaqBook_RAW_Data!AH706),"",DaqBook_RAW_Data!AH706)</f>
        <v/>
      </c>
      <c r="D716" s="167" t="str">
        <f>IF(ISBLANK(DaqBook_RAW_Data!AI706),"",DaqBook_RAW_Data!AI706)</f>
        <v/>
      </c>
      <c r="E716" s="167" t="str">
        <f>IF(ISBLANK(DaqBook_RAW_Data!AJ706),"",DaqBook_RAW_Data!AJ706)</f>
        <v/>
      </c>
      <c r="F716" s="167" t="str">
        <f>IF(ISBLANK(DaqBook_RAW_Data!AK706),"",DaqBook_RAW_Data!AK706)</f>
        <v/>
      </c>
      <c r="G716" s="167" t="str">
        <f>IF(ISBLANK(DaqBook_RAW_Data!AL706),"",DaqBook_RAW_Data!AL706)</f>
        <v/>
      </c>
      <c r="H716" s="167" t="str">
        <f>IF(ISBLANK(DaqBook_RAW_Data!AM706),"",DaqBook_RAW_Data!AM706)</f>
        <v/>
      </c>
      <c r="I716" s="167" t="str">
        <f>IF(ISBLANK(DaqBook_RAW_Data!AN706),"",DaqBook_RAW_Data!AN706)</f>
        <v/>
      </c>
      <c r="J716" s="167" t="str">
        <f>IF(ISBLANK(DaqBook_RAW_Data!AO706),"",DaqBook_RAW_Data!AO706)</f>
        <v/>
      </c>
      <c r="K716" s="167" t="str">
        <f>IF(ISBLANK(DaqBook_RAW_Data!AP706),"",DaqBook_RAW_Data!AP706)</f>
        <v/>
      </c>
      <c r="L716" s="167" t="str">
        <f>IF(ISBLANK(DaqBook_RAW_Data!AQ706),"",DaqBook_RAW_Data!AQ706)</f>
        <v/>
      </c>
      <c r="M716" s="167" t="str">
        <f>IF(ISBLANK(DaqBook_RAW_Data!AR706),"",DaqBook_RAW_Data!AR706)</f>
        <v/>
      </c>
      <c r="N716" s="167" t="str">
        <f>IF(ISBLANK(DaqBook_RAW_Data!AS706),"",DaqBook_RAW_Data!AS706)</f>
        <v/>
      </c>
      <c r="O716" s="44"/>
      <c r="P716" s="44"/>
    </row>
    <row r="717" spans="1:16" x14ac:dyDescent="0.2">
      <c r="A717" s="58" t="e">
        <f t="shared" si="10"/>
        <v>#VALUE!</v>
      </c>
      <c r="B717" s="144" t="str">
        <f>IF(ISBLANK(DaqBook_RAW_Data!AG707),IF(DaqBook_RAW_Data!A707="","",TIMEVALUE(DaqBook_RAW_Data!A707)),TIMEVALUE(DaqBook_RAW_Data!AG707))</f>
        <v/>
      </c>
      <c r="C717" s="167" t="str">
        <f>IF(ISBLANK(DaqBook_RAW_Data!AH707),"",DaqBook_RAW_Data!AH707)</f>
        <v/>
      </c>
      <c r="D717" s="167" t="str">
        <f>IF(ISBLANK(DaqBook_RAW_Data!AI707),"",DaqBook_RAW_Data!AI707)</f>
        <v/>
      </c>
      <c r="E717" s="167" t="str">
        <f>IF(ISBLANK(DaqBook_RAW_Data!AJ707),"",DaqBook_RAW_Data!AJ707)</f>
        <v/>
      </c>
      <c r="F717" s="167" t="str">
        <f>IF(ISBLANK(DaqBook_RAW_Data!AK707),"",DaqBook_RAW_Data!AK707)</f>
        <v/>
      </c>
      <c r="G717" s="167" t="str">
        <f>IF(ISBLANK(DaqBook_RAW_Data!AL707),"",DaqBook_RAW_Data!AL707)</f>
        <v/>
      </c>
      <c r="H717" s="167" t="str">
        <f>IF(ISBLANK(DaqBook_RAW_Data!AM707),"",DaqBook_RAW_Data!AM707)</f>
        <v/>
      </c>
      <c r="I717" s="167" t="str">
        <f>IF(ISBLANK(DaqBook_RAW_Data!AN707),"",DaqBook_RAW_Data!AN707)</f>
        <v/>
      </c>
      <c r="J717" s="167" t="str">
        <f>IF(ISBLANK(DaqBook_RAW_Data!AO707),"",DaqBook_RAW_Data!AO707)</f>
        <v/>
      </c>
      <c r="K717" s="167" t="str">
        <f>IF(ISBLANK(DaqBook_RAW_Data!AP707),"",DaqBook_RAW_Data!AP707)</f>
        <v/>
      </c>
      <c r="L717" s="167" t="str">
        <f>IF(ISBLANK(DaqBook_RAW_Data!AQ707),"",DaqBook_RAW_Data!AQ707)</f>
        <v/>
      </c>
      <c r="M717" s="167" t="str">
        <f>IF(ISBLANK(DaqBook_RAW_Data!AR707),"",DaqBook_RAW_Data!AR707)</f>
        <v/>
      </c>
      <c r="N717" s="167" t="str">
        <f>IF(ISBLANK(DaqBook_RAW_Data!AS707),"",DaqBook_RAW_Data!AS707)</f>
        <v/>
      </c>
      <c r="O717" s="44"/>
      <c r="P717" s="44"/>
    </row>
    <row r="718" spans="1:16" x14ac:dyDescent="0.2">
      <c r="A718" s="58" t="e">
        <f t="shared" si="10"/>
        <v>#VALUE!</v>
      </c>
      <c r="B718" s="144" t="str">
        <f>IF(ISBLANK(DaqBook_RAW_Data!AG708),IF(DaqBook_RAW_Data!A708="","",TIMEVALUE(DaqBook_RAW_Data!A708)),TIMEVALUE(DaqBook_RAW_Data!AG708))</f>
        <v/>
      </c>
      <c r="C718" s="167" t="str">
        <f>IF(ISBLANK(DaqBook_RAW_Data!AH708),"",DaqBook_RAW_Data!AH708)</f>
        <v/>
      </c>
      <c r="D718" s="167" t="str">
        <f>IF(ISBLANK(DaqBook_RAW_Data!AI708),"",DaqBook_RAW_Data!AI708)</f>
        <v/>
      </c>
      <c r="E718" s="167" t="str">
        <f>IF(ISBLANK(DaqBook_RAW_Data!AJ708),"",DaqBook_RAW_Data!AJ708)</f>
        <v/>
      </c>
      <c r="F718" s="167" t="str">
        <f>IF(ISBLANK(DaqBook_RAW_Data!AK708),"",DaqBook_RAW_Data!AK708)</f>
        <v/>
      </c>
      <c r="G718" s="167" t="str">
        <f>IF(ISBLANK(DaqBook_RAW_Data!AL708),"",DaqBook_RAW_Data!AL708)</f>
        <v/>
      </c>
      <c r="H718" s="167" t="str">
        <f>IF(ISBLANK(DaqBook_RAW_Data!AM708),"",DaqBook_RAW_Data!AM708)</f>
        <v/>
      </c>
      <c r="I718" s="167" t="str">
        <f>IF(ISBLANK(DaqBook_RAW_Data!AN708),"",DaqBook_RAW_Data!AN708)</f>
        <v/>
      </c>
      <c r="J718" s="167" t="str">
        <f>IF(ISBLANK(DaqBook_RAW_Data!AO708),"",DaqBook_RAW_Data!AO708)</f>
        <v/>
      </c>
      <c r="K718" s="167" t="str">
        <f>IF(ISBLANK(DaqBook_RAW_Data!AP708),"",DaqBook_RAW_Data!AP708)</f>
        <v/>
      </c>
      <c r="L718" s="167" t="str">
        <f>IF(ISBLANK(DaqBook_RAW_Data!AQ708),"",DaqBook_RAW_Data!AQ708)</f>
        <v/>
      </c>
      <c r="M718" s="167" t="str">
        <f>IF(ISBLANK(DaqBook_RAW_Data!AR708),"",DaqBook_RAW_Data!AR708)</f>
        <v/>
      </c>
      <c r="N718" s="167" t="str">
        <f>IF(ISBLANK(DaqBook_RAW_Data!AS708),"",DaqBook_RAW_Data!AS708)</f>
        <v/>
      </c>
      <c r="O718" s="44"/>
      <c r="P718" s="44"/>
    </row>
    <row r="719" spans="1:16" x14ac:dyDescent="0.2">
      <c r="A719" s="58" t="e">
        <f t="shared" ref="A719:A782" si="11">HOUR(B719)&amp;":"&amp;MINUTE(B719)</f>
        <v>#VALUE!</v>
      </c>
      <c r="B719" s="144" t="str">
        <f>IF(ISBLANK(DaqBook_RAW_Data!AG709),IF(DaqBook_RAW_Data!A709="","",TIMEVALUE(DaqBook_RAW_Data!A709)),TIMEVALUE(DaqBook_RAW_Data!AG709))</f>
        <v/>
      </c>
      <c r="C719" s="167" t="str">
        <f>IF(ISBLANK(DaqBook_RAW_Data!AH709),"",DaqBook_RAW_Data!AH709)</f>
        <v/>
      </c>
      <c r="D719" s="167" t="str">
        <f>IF(ISBLANK(DaqBook_RAW_Data!AI709),"",DaqBook_RAW_Data!AI709)</f>
        <v/>
      </c>
      <c r="E719" s="167" t="str">
        <f>IF(ISBLANK(DaqBook_RAW_Data!AJ709),"",DaqBook_RAW_Data!AJ709)</f>
        <v/>
      </c>
      <c r="F719" s="167" t="str">
        <f>IF(ISBLANK(DaqBook_RAW_Data!AK709),"",DaqBook_RAW_Data!AK709)</f>
        <v/>
      </c>
      <c r="G719" s="167" t="str">
        <f>IF(ISBLANK(DaqBook_RAW_Data!AL709),"",DaqBook_RAW_Data!AL709)</f>
        <v/>
      </c>
      <c r="H719" s="167" t="str">
        <f>IF(ISBLANK(DaqBook_RAW_Data!AM709),"",DaqBook_RAW_Data!AM709)</f>
        <v/>
      </c>
      <c r="I719" s="167" t="str">
        <f>IF(ISBLANK(DaqBook_RAW_Data!AN709),"",DaqBook_RAW_Data!AN709)</f>
        <v/>
      </c>
      <c r="J719" s="167" t="str">
        <f>IF(ISBLANK(DaqBook_RAW_Data!AO709),"",DaqBook_RAW_Data!AO709)</f>
        <v/>
      </c>
      <c r="K719" s="167" t="str">
        <f>IF(ISBLANK(DaqBook_RAW_Data!AP709),"",DaqBook_RAW_Data!AP709)</f>
        <v/>
      </c>
      <c r="L719" s="167" t="str">
        <f>IF(ISBLANK(DaqBook_RAW_Data!AQ709),"",DaqBook_RAW_Data!AQ709)</f>
        <v/>
      </c>
      <c r="M719" s="167" t="str">
        <f>IF(ISBLANK(DaqBook_RAW_Data!AR709),"",DaqBook_RAW_Data!AR709)</f>
        <v/>
      </c>
      <c r="N719" s="167" t="str">
        <f>IF(ISBLANK(DaqBook_RAW_Data!AS709),"",DaqBook_RAW_Data!AS709)</f>
        <v/>
      </c>
      <c r="O719" s="44"/>
      <c r="P719" s="44"/>
    </row>
    <row r="720" spans="1:16" x14ac:dyDescent="0.2">
      <c r="A720" s="58" t="e">
        <f t="shared" si="11"/>
        <v>#VALUE!</v>
      </c>
      <c r="B720" s="144" t="str">
        <f>IF(ISBLANK(DaqBook_RAW_Data!AG710),IF(DaqBook_RAW_Data!A710="","",TIMEVALUE(DaqBook_RAW_Data!A710)),TIMEVALUE(DaqBook_RAW_Data!AG710))</f>
        <v/>
      </c>
      <c r="C720" s="167" t="str">
        <f>IF(ISBLANK(DaqBook_RAW_Data!AH710),"",DaqBook_RAW_Data!AH710)</f>
        <v/>
      </c>
      <c r="D720" s="167" t="str">
        <f>IF(ISBLANK(DaqBook_RAW_Data!AI710),"",DaqBook_RAW_Data!AI710)</f>
        <v/>
      </c>
      <c r="E720" s="167" t="str">
        <f>IF(ISBLANK(DaqBook_RAW_Data!AJ710),"",DaqBook_RAW_Data!AJ710)</f>
        <v/>
      </c>
      <c r="F720" s="167" t="str">
        <f>IF(ISBLANK(DaqBook_RAW_Data!AK710),"",DaqBook_RAW_Data!AK710)</f>
        <v/>
      </c>
      <c r="G720" s="167" t="str">
        <f>IF(ISBLANK(DaqBook_RAW_Data!AL710),"",DaqBook_RAW_Data!AL710)</f>
        <v/>
      </c>
      <c r="H720" s="167" t="str">
        <f>IF(ISBLANK(DaqBook_RAW_Data!AM710),"",DaqBook_RAW_Data!AM710)</f>
        <v/>
      </c>
      <c r="I720" s="167" t="str">
        <f>IF(ISBLANK(DaqBook_RAW_Data!AN710),"",DaqBook_RAW_Data!AN710)</f>
        <v/>
      </c>
      <c r="J720" s="167" t="str">
        <f>IF(ISBLANK(DaqBook_RAW_Data!AO710),"",DaqBook_RAW_Data!AO710)</f>
        <v/>
      </c>
      <c r="K720" s="167" t="str">
        <f>IF(ISBLANK(DaqBook_RAW_Data!AP710),"",DaqBook_RAW_Data!AP710)</f>
        <v/>
      </c>
      <c r="L720" s="167" t="str">
        <f>IF(ISBLANK(DaqBook_RAW_Data!AQ710),"",DaqBook_RAW_Data!AQ710)</f>
        <v/>
      </c>
      <c r="M720" s="167" t="str">
        <f>IF(ISBLANK(DaqBook_RAW_Data!AR710),"",DaqBook_RAW_Data!AR710)</f>
        <v/>
      </c>
      <c r="N720" s="167" t="str">
        <f>IF(ISBLANK(DaqBook_RAW_Data!AS710),"",DaqBook_RAW_Data!AS710)</f>
        <v/>
      </c>
      <c r="O720" s="44"/>
      <c r="P720" s="44"/>
    </row>
    <row r="721" spans="1:16" x14ac:dyDescent="0.2">
      <c r="A721" s="58" t="e">
        <f t="shared" si="11"/>
        <v>#VALUE!</v>
      </c>
      <c r="B721" s="144" t="str">
        <f>IF(ISBLANK(DaqBook_RAW_Data!AG711),IF(DaqBook_RAW_Data!A711="","",TIMEVALUE(DaqBook_RAW_Data!A711)),TIMEVALUE(DaqBook_RAW_Data!AG711))</f>
        <v/>
      </c>
      <c r="C721" s="167" t="str">
        <f>IF(ISBLANK(DaqBook_RAW_Data!AH711),"",DaqBook_RAW_Data!AH711)</f>
        <v/>
      </c>
      <c r="D721" s="167" t="str">
        <f>IF(ISBLANK(DaqBook_RAW_Data!AI711),"",DaqBook_RAW_Data!AI711)</f>
        <v/>
      </c>
      <c r="E721" s="167" t="str">
        <f>IF(ISBLANK(DaqBook_RAW_Data!AJ711),"",DaqBook_RAW_Data!AJ711)</f>
        <v/>
      </c>
      <c r="F721" s="167" t="str">
        <f>IF(ISBLANK(DaqBook_RAW_Data!AK711),"",DaqBook_RAW_Data!AK711)</f>
        <v/>
      </c>
      <c r="G721" s="167" t="str">
        <f>IF(ISBLANK(DaqBook_RAW_Data!AL711),"",DaqBook_RAW_Data!AL711)</f>
        <v/>
      </c>
      <c r="H721" s="167" t="str">
        <f>IF(ISBLANK(DaqBook_RAW_Data!AM711),"",DaqBook_RAW_Data!AM711)</f>
        <v/>
      </c>
      <c r="I721" s="167" t="str">
        <f>IF(ISBLANK(DaqBook_RAW_Data!AN711),"",DaqBook_RAW_Data!AN711)</f>
        <v/>
      </c>
      <c r="J721" s="167" t="str">
        <f>IF(ISBLANK(DaqBook_RAW_Data!AO711),"",DaqBook_RAW_Data!AO711)</f>
        <v/>
      </c>
      <c r="K721" s="167" t="str">
        <f>IF(ISBLANK(DaqBook_RAW_Data!AP711),"",DaqBook_RAW_Data!AP711)</f>
        <v/>
      </c>
      <c r="L721" s="167" t="str">
        <f>IF(ISBLANK(DaqBook_RAW_Data!AQ711),"",DaqBook_RAW_Data!AQ711)</f>
        <v/>
      </c>
      <c r="M721" s="167" t="str">
        <f>IF(ISBLANK(DaqBook_RAW_Data!AR711),"",DaqBook_RAW_Data!AR711)</f>
        <v/>
      </c>
      <c r="N721" s="167" t="str">
        <f>IF(ISBLANK(DaqBook_RAW_Data!AS711),"",DaqBook_RAW_Data!AS711)</f>
        <v/>
      </c>
      <c r="O721" s="44"/>
      <c r="P721" s="44"/>
    </row>
    <row r="722" spans="1:16" x14ac:dyDescent="0.2">
      <c r="A722" s="58" t="e">
        <f t="shared" si="11"/>
        <v>#VALUE!</v>
      </c>
      <c r="B722" s="144" t="str">
        <f>IF(ISBLANK(DaqBook_RAW_Data!AG712),IF(DaqBook_RAW_Data!A712="","",TIMEVALUE(DaqBook_RAW_Data!A712)),TIMEVALUE(DaqBook_RAW_Data!AG712))</f>
        <v/>
      </c>
      <c r="C722" s="167" t="str">
        <f>IF(ISBLANK(DaqBook_RAW_Data!AH712),"",DaqBook_RAW_Data!AH712)</f>
        <v/>
      </c>
      <c r="D722" s="167" t="str">
        <f>IF(ISBLANK(DaqBook_RAW_Data!AI712),"",DaqBook_RAW_Data!AI712)</f>
        <v/>
      </c>
      <c r="E722" s="167" t="str">
        <f>IF(ISBLANK(DaqBook_RAW_Data!AJ712),"",DaqBook_RAW_Data!AJ712)</f>
        <v/>
      </c>
      <c r="F722" s="167" t="str">
        <f>IF(ISBLANK(DaqBook_RAW_Data!AK712),"",DaqBook_RAW_Data!AK712)</f>
        <v/>
      </c>
      <c r="G722" s="167" t="str">
        <f>IF(ISBLANK(DaqBook_RAW_Data!AL712),"",DaqBook_RAW_Data!AL712)</f>
        <v/>
      </c>
      <c r="H722" s="167" t="str">
        <f>IF(ISBLANK(DaqBook_RAW_Data!AM712),"",DaqBook_RAW_Data!AM712)</f>
        <v/>
      </c>
      <c r="I722" s="167" t="str">
        <f>IF(ISBLANK(DaqBook_RAW_Data!AN712),"",DaqBook_RAW_Data!AN712)</f>
        <v/>
      </c>
      <c r="J722" s="167" t="str">
        <f>IF(ISBLANK(DaqBook_RAW_Data!AO712),"",DaqBook_RAW_Data!AO712)</f>
        <v/>
      </c>
      <c r="K722" s="167" t="str">
        <f>IF(ISBLANK(DaqBook_RAW_Data!AP712),"",DaqBook_RAW_Data!AP712)</f>
        <v/>
      </c>
      <c r="L722" s="167" t="str">
        <f>IF(ISBLANK(DaqBook_RAW_Data!AQ712),"",DaqBook_RAW_Data!AQ712)</f>
        <v/>
      </c>
      <c r="M722" s="167" t="str">
        <f>IF(ISBLANK(DaqBook_RAW_Data!AR712),"",DaqBook_RAW_Data!AR712)</f>
        <v/>
      </c>
      <c r="N722" s="167" t="str">
        <f>IF(ISBLANK(DaqBook_RAW_Data!AS712),"",DaqBook_RAW_Data!AS712)</f>
        <v/>
      </c>
      <c r="O722" s="44"/>
      <c r="P722" s="44"/>
    </row>
    <row r="723" spans="1:16" x14ac:dyDescent="0.2">
      <c r="A723" s="58" t="e">
        <f t="shared" si="11"/>
        <v>#VALUE!</v>
      </c>
      <c r="B723" s="144" t="str">
        <f>IF(ISBLANK(DaqBook_RAW_Data!AG713),IF(DaqBook_RAW_Data!A713="","",TIMEVALUE(DaqBook_RAW_Data!A713)),TIMEVALUE(DaqBook_RAW_Data!AG713))</f>
        <v/>
      </c>
      <c r="C723" s="167" t="str">
        <f>IF(ISBLANK(DaqBook_RAW_Data!AH713),"",DaqBook_RAW_Data!AH713)</f>
        <v/>
      </c>
      <c r="D723" s="167" t="str">
        <f>IF(ISBLANK(DaqBook_RAW_Data!AI713),"",DaqBook_RAW_Data!AI713)</f>
        <v/>
      </c>
      <c r="E723" s="167" t="str">
        <f>IF(ISBLANK(DaqBook_RAW_Data!AJ713),"",DaqBook_RAW_Data!AJ713)</f>
        <v/>
      </c>
      <c r="F723" s="167" t="str">
        <f>IF(ISBLANK(DaqBook_RAW_Data!AK713),"",DaqBook_RAW_Data!AK713)</f>
        <v/>
      </c>
      <c r="G723" s="167" t="str">
        <f>IF(ISBLANK(DaqBook_RAW_Data!AL713),"",DaqBook_RAW_Data!AL713)</f>
        <v/>
      </c>
      <c r="H723" s="167" t="str">
        <f>IF(ISBLANK(DaqBook_RAW_Data!AM713),"",DaqBook_RAW_Data!AM713)</f>
        <v/>
      </c>
      <c r="I723" s="167" t="str">
        <f>IF(ISBLANK(DaqBook_RAW_Data!AN713),"",DaqBook_RAW_Data!AN713)</f>
        <v/>
      </c>
      <c r="J723" s="167" t="str">
        <f>IF(ISBLANK(DaqBook_RAW_Data!AO713),"",DaqBook_RAW_Data!AO713)</f>
        <v/>
      </c>
      <c r="K723" s="167" t="str">
        <f>IF(ISBLANK(DaqBook_RAW_Data!AP713),"",DaqBook_RAW_Data!AP713)</f>
        <v/>
      </c>
      <c r="L723" s="167" t="str">
        <f>IF(ISBLANK(DaqBook_RAW_Data!AQ713),"",DaqBook_RAW_Data!AQ713)</f>
        <v/>
      </c>
      <c r="M723" s="167" t="str">
        <f>IF(ISBLANK(DaqBook_RAW_Data!AR713),"",DaqBook_RAW_Data!AR713)</f>
        <v/>
      </c>
      <c r="N723" s="167" t="str">
        <f>IF(ISBLANK(DaqBook_RAW_Data!AS713),"",DaqBook_RAW_Data!AS713)</f>
        <v/>
      </c>
      <c r="O723" s="44"/>
      <c r="P723" s="44"/>
    </row>
    <row r="724" spans="1:16" x14ac:dyDescent="0.2">
      <c r="A724" s="58" t="e">
        <f t="shared" si="11"/>
        <v>#VALUE!</v>
      </c>
      <c r="B724" s="144" t="str">
        <f>IF(ISBLANK(DaqBook_RAW_Data!AG714),IF(DaqBook_RAW_Data!A714="","",TIMEVALUE(DaqBook_RAW_Data!A714)),TIMEVALUE(DaqBook_RAW_Data!AG714))</f>
        <v/>
      </c>
      <c r="C724" s="167" t="str">
        <f>IF(ISBLANK(DaqBook_RAW_Data!AH714),"",DaqBook_RAW_Data!AH714)</f>
        <v/>
      </c>
      <c r="D724" s="167" t="str">
        <f>IF(ISBLANK(DaqBook_RAW_Data!AI714),"",DaqBook_RAW_Data!AI714)</f>
        <v/>
      </c>
      <c r="E724" s="167" t="str">
        <f>IF(ISBLANK(DaqBook_RAW_Data!AJ714),"",DaqBook_RAW_Data!AJ714)</f>
        <v/>
      </c>
      <c r="F724" s="167" t="str">
        <f>IF(ISBLANK(DaqBook_RAW_Data!AK714),"",DaqBook_RAW_Data!AK714)</f>
        <v/>
      </c>
      <c r="G724" s="167" t="str">
        <f>IF(ISBLANK(DaqBook_RAW_Data!AL714),"",DaqBook_RAW_Data!AL714)</f>
        <v/>
      </c>
      <c r="H724" s="167" t="str">
        <f>IF(ISBLANK(DaqBook_RAW_Data!AM714),"",DaqBook_RAW_Data!AM714)</f>
        <v/>
      </c>
      <c r="I724" s="167" t="str">
        <f>IF(ISBLANK(DaqBook_RAW_Data!AN714),"",DaqBook_RAW_Data!AN714)</f>
        <v/>
      </c>
      <c r="J724" s="167" t="str">
        <f>IF(ISBLANK(DaqBook_RAW_Data!AO714),"",DaqBook_RAW_Data!AO714)</f>
        <v/>
      </c>
      <c r="K724" s="167" t="str">
        <f>IF(ISBLANK(DaqBook_RAW_Data!AP714),"",DaqBook_RAW_Data!AP714)</f>
        <v/>
      </c>
      <c r="L724" s="167" t="str">
        <f>IF(ISBLANK(DaqBook_RAW_Data!AQ714),"",DaqBook_RAW_Data!AQ714)</f>
        <v/>
      </c>
      <c r="M724" s="167" t="str">
        <f>IF(ISBLANK(DaqBook_RAW_Data!AR714),"",DaqBook_RAW_Data!AR714)</f>
        <v/>
      </c>
      <c r="N724" s="167" t="str">
        <f>IF(ISBLANK(DaqBook_RAW_Data!AS714),"",DaqBook_RAW_Data!AS714)</f>
        <v/>
      </c>
      <c r="O724" s="44"/>
      <c r="P724" s="44"/>
    </row>
    <row r="725" spans="1:16" x14ac:dyDescent="0.2">
      <c r="A725" s="58" t="e">
        <f t="shared" si="11"/>
        <v>#VALUE!</v>
      </c>
      <c r="B725" s="144" t="str">
        <f>IF(ISBLANK(DaqBook_RAW_Data!AG715),IF(DaqBook_RAW_Data!A715="","",TIMEVALUE(DaqBook_RAW_Data!A715)),TIMEVALUE(DaqBook_RAW_Data!AG715))</f>
        <v/>
      </c>
      <c r="C725" s="167" t="str">
        <f>IF(ISBLANK(DaqBook_RAW_Data!AH715),"",DaqBook_RAW_Data!AH715)</f>
        <v/>
      </c>
      <c r="D725" s="167" t="str">
        <f>IF(ISBLANK(DaqBook_RAW_Data!AI715),"",DaqBook_RAW_Data!AI715)</f>
        <v/>
      </c>
      <c r="E725" s="167" t="str">
        <f>IF(ISBLANK(DaqBook_RAW_Data!AJ715),"",DaqBook_RAW_Data!AJ715)</f>
        <v/>
      </c>
      <c r="F725" s="167" t="str">
        <f>IF(ISBLANK(DaqBook_RAW_Data!AK715),"",DaqBook_RAW_Data!AK715)</f>
        <v/>
      </c>
      <c r="G725" s="167" t="str">
        <f>IF(ISBLANK(DaqBook_RAW_Data!AL715),"",DaqBook_RAW_Data!AL715)</f>
        <v/>
      </c>
      <c r="H725" s="167" t="str">
        <f>IF(ISBLANK(DaqBook_RAW_Data!AM715),"",DaqBook_RAW_Data!AM715)</f>
        <v/>
      </c>
      <c r="I725" s="167" t="str">
        <f>IF(ISBLANK(DaqBook_RAW_Data!AN715),"",DaqBook_RAW_Data!AN715)</f>
        <v/>
      </c>
      <c r="J725" s="167" t="str">
        <f>IF(ISBLANK(DaqBook_RAW_Data!AO715),"",DaqBook_RAW_Data!AO715)</f>
        <v/>
      </c>
      <c r="K725" s="167" t="str">
        <f>IF(ISBLANK(DaqBook_RAW_Data!AP715),"",DaqBook_RAW_Data!AP715)</f>
        <v/>
      </c>
      <c r="L725" s="167" t="str">
        <f>IF(ISBLANK(DaqBook_RAW_Data!AQ715),"",DaqBook_RAW_Data!AQ715)</f>
        <v/>
      </c>
      <c r="M725" s="167" t="str">
        <f>IF(ISBLANK(DaqBook_RAW_Data!AR715),"",DaqBook_RAW_Data!AR715)</f>
        <v/>
      </c>
      <c r="N725" s="167" t="str">
        <f>IF(ISBLANK(DaqBook_RAW_Data!AS715),"",DaqBook_RAW_Data!AS715)</f>
        <v/>
      </c>
      <c r="O725" s="44"/>
      <c r="P725" s="44"/>
    </row>
    <row r="726" spans="1:16" x14ac:dyDescent="0.2">
      <c r="A726" s="58" t="e">
        <f t="shared" si="11"/>
        <v>#VALUE!</v>
      </c>
      <c r="B726" s="144" t="str">
        <f>IF(ISBLANK(DaqBook_RAW_Data!AG716),IF(DaqBook_RAW_Data!A716="","",TIMEVALUE(DaqBook_RAW_Data!A716)),TIMEVALUE(DaqBook_RAW_Data!AG716))</f>
        <v/>
      </c>
      <c r="C726" s="167" t="str">
        <f>IF(ISBLANK(DaqBook_RAW_Data!AH716),"",DaqBook_RAW_Data!AH716)</f>
        <v/>
      </c>
      <c r="D726" s="167" t="str">
        <f>IF(ISBLANK(DaqBook_RAW_Data!AI716),"",DaqBook_RAW_Data!AI716)</f>
        <v/>
      </c>
      <c r="E726" s="167" t="str">
        <f>IF(ISBLANK(DaqBook_RAW_Data!AJ716),"",DaqBook_RAW_Data!AJ716)</f>
        <v/>
      </c>
      <c r="F726" s="167" t="str">
        <f>IF(ISBLANK(DaqBook_RAW_Data!AK716),"",DaqBook_RAW_Data!AK716)</f>
        <v/>
      </c>
      <c r="G726" s="167" t="str">
        <f>IF(ISBLANK(DaqBook_RAW_Data!AL716),"",DaqBook_RAW_Data!AL716)</f>
        <v/>
      </c>
      <c r="H726" s="167" t="str">
        <f>IF(ISBLANK(DaqBook_RAW_Data!AM716),"",DaqBook_RAW_Data!AM716)</f>
        <v/>
      </c>
      <c r="I726" s="167" t="str">
        <f>IF(ISBLANK(DaqBook_RAW_Data!AN716),"",DaqBook_RAW_Data!AN716)</f>
        <v/>
      </c>
      <c r="J726" s="167" t="str">
        <f>IF(ISBLANK(DaqBook_RAW_Data!AO716),"",DaqBook_RAW_Data!AO716)</f>
        <v/>
      </c>
      <c r="K726" s="167" t="str">
        <f>IF(ISBLANK(DaqBook_RAW_Data!AP716),"",DaqBook_RAW_Data!AP716)</f>
        <v/>
      </c>
      <c r="L726" s="167" t="str">
        <f>IF(ISBLANK(DaqBook_RAW_Data!AQ716),"",DaqBook_RAW_Data!AQ716)</f>
        <v/>
      </c>
      <c r="M726" s="167" t="str">
        <f>IF(ISBLANK(DaqBook_RAW_Data!AR716),"",DaqBook_RAW_Data!AR716)</f>
        <v/>
      </c>
      <c r="N726" s="167" t="str">
        <f>IF(ISBLANK(DaqBook_RAW_Data!AS716),"",DaqBook_RAW_Data!AS716)</f>
        <v/>
      </c>
      <c r="O726" s="44"/>
      <c r="P726" s="44"/>
    </row>
    <row r="727" spans="1:16" x14ac:dyDescent="0.2">
      <c r="A727" s="58" t="e">
        <f t="shared" si="11"/>
        <v>#VALUE!</v>
      </c>
      <c r="B727" s="144" t="str">
        <f>IF(ISBLANK(DaqBook_RAW_Data!AG717),IF(DaqBook_RAW_Data!A717="","",TIMEVALUE(DaqBook_RAW_Data!A717)),TIMEVALUE(DaqBook_RAW_Data!AG717))</f>
        <v/>
      </c>
      <c r="C727" s="167" t="str">
        <f>IF(ISBLANK(DaqBook_RAW_Data!AH717),"",DaqBook_RAW_Data!AH717)</f>
        <v/>
      </c>
      <c r="D727" s="167" t="str">
        <f>IF(ISBLANK(DaqBook_RAW_Data!AI717),"",DaqBook_RAW_Data!AI717)</f>
        <v/>
      </c>
      <c r="E727" s="167" t="str">
        <f>IF(ISBLANK(DaqBook_RAW_Data!AJ717),"",DaqBook_RAW_Data!AJ717)</f>
        <v/>
      </c>
      <c r="F727" s="167" t="str">
        <f>IF(ISBLANK(DaqBook_RAW_Data!AK717),"",DaqBook_RAW_Data!AK717)</f>
        <v/>
      </c>
      <c r="G727" s="167" t="str">
        <f>IF(ISBLANK(DaqBook_RAW_Data!AL717),"",DaqBook_RAW_Data!AL717)</f>
        <v/>
      </c>
      <c r="H727" s="167" t="str">
        <f>IF(ISBLANK(DaqBook_RAW_Data!AM717),"",DaqBook_RAW_Data!AM717)</f>
        <v/>
      </c>
      <c r="I727" s="167" t="str">
        <f>IF(ISBLANK(DaqBook_RAW_Data!AN717),"",DaqBook_RAW_Data!AN717)</f>
        <v/>
      </c>
      <c r="J727" s="167" t="str">
        <f>IF(ISBLANK(DaqBook_RAW_Data!AO717),"",DaqBook_RAW_Data!AO717)</f>
        <v/>
      </c>
      <c r="K727" s="167" t="str">
        <f>IF(ISBLANK(DaqBook_RAW_Data!AP717),"",DaqBook_RAW_Data!AP717)</f>
        <v/>
      </c>
      <c r="L727" s="167" t="str">
        <f>IF(ISBLANK(DaqBook_RAW_Data!AQ717),"",DaqBook_RAW_Data!AQ717)</f>
        <v/>
      </c>
      <c r="M727" s="167" t="str">
        <f>IF(ISBLANK(DaqBook_RAW_Data!AR717),"",DaqBook_RAW_Data!AR717)</f>
        <v/>
      </c>
      <c r="N727" s="167" t="str">
        <f>IF(ISBLANK(DaqBook_RAW_Data!AS717),"",DaqBook_RAW_Data!AS717)</f>
        <v/>
      </c>
      <c r="O727" s="44"/>
      <c r="P727" s="44"/>
    </row>
    <row r="728" spans="1:16" x14ac:dyDescent="0.2">
      <c r="A728" s="58" t="e">
        <f t="shared" si="11"/>
        <v>#VALUE!</v>
      </c>
      <c r="B728" s="144" t="str">
        <f>IF(ISBLANK(DaqBook_RAW_Data!AG718),IF(DaqBook_RAW_Data!A718="","",TIMEVALUE(DaqBook_RAW_Data!A718)),TIMEVALUE(DaqBook_RAW_Data!AG718))</f>
        <v/>
      </c>
      <c r="C728" s="167" t="str">
        <f>IF(ISBLANK(DaqBook_RAW_Data!AH718),"",DaqBook_RAW_Data!AH718)</f>
        <v/>
      </c>
      <c r="D728" s="167" t="str">
        <f>IF(ISBLANK(DaqBook_RAW_Data!AI718),"",DaqBook_RAW_Data!AI718)</f>
        <v/>
      </c>
      <c r="E728" s="167" t="str">
        <f>IF(ISBLANK(DaqBook_RAW_Data!AJ718),"",DaqBook_RAW_Data!AJ718)</f>
        <v/>
      </c>
      <c r="F728" s="167" t="str">
        <f>IF(ISBLANK(DaqBook_RAW_Data!AK718),"",DaqBook_RAW_Data!AK718)</f>
        <v/>
      </c>
      <c r="G728" s="167" t="str">
        <f>IF(ISBLANK(DaqBook_RAW_Data!AL718),"",DaqBook_RAW_Data!AL718)</f>
        <v/>
      </c>
      <c r="H728" s="167" t="str">
        <f>IF(ISBLANK(DaqBook_RAW_Data!AM718),"",DaqBook_RAW_Data!AM718)</f>
        <v/>
      </c>
      <c r="I728" s="167" t="str">
        <f>IF(ISBLANK(DaqBook_RAW_Data!AN718),"",DaqBook_RAW_Data!AN718)</f>
        <v/>
      </c>
      <c r="J728" s="167" t="str">
        <f>IF(ISBLANK(DaqBook_RAW_Data!AO718),"",DaqBook_RAW_Data!AO718)</f>
        <v/>
      </c>
      <c r="K728" s="167" t="str">
        <f>IF(ISBLANK(DaqBook_RAW_Data!AP718),"",DaqBook_RAW_Data!AP718)</f>
        <v/>
      </c>
      <c r="L728" s="167" t="str">
        <f>IF(ISBLANK(DaqBook_RAW_Data!AQ718),"",DaqBook_RAW_Data!AQ718)</f>
        <v/>
      </c>
      <c r="M728" s="167" t="str">
        <f>IF(ISBLANK(DaqBook_RAW_Data!AR718),"",DaqBook_RAW_Data!AR718)</f>
        <v/>
      </c>
      <c r="N728" s="167" t="str">
        <f>IF(ISBLANK(DaqBook_RAW_Data!AS718),"",DaqBook_RAW_Data!AS718)</f>
        <v/>
      </c>
      <c r="O728" s="44"/>
      <c r="P728" s="44"/>
    </row>
    <row r="729" spans="1:16" x14ac:dyDescent="0.2">
      <c r="A729" s="58" t="e">
        <f t="shared" si="11"/>
        <v>#VALUE!</v>
      </c>
      <c r="B729" s="144" t="str">
        <f>IF(ISBLANK(DaqBook_RAW_Data!AG719),IF(DaqBook_RAW_Data!A719="","",TIMEVALUE(DaqBook_RAW_Data!A719)),TIMEVALUE(DaqBook_RAW_Data!AG719))</f>
        <v/>
      </c>
      <c r="C729" s="167" t="str">
        <f>IF(ISBLANK(DaqBook_RAW_Data!AH719),"",DaqBook_RAW_Data!AH719)</f>
        <v/>
      </c>
      <c r="D729" s="167" t="str">
        <f>IF(ISBLANK(DaqBook_RAW_Data!AI719),"",DaqBook_RAW_Data!AI719)</f>
        <v/>
      </c>
      <c r="E729" s="167" t="str">
        <f>IF(ISBLANK(DaqBook_RAW_Data!AJ719),"",DaqBook_RAW_Data!AJ719)</f>
        <v/>
      </c>
      <c r="F729" s="167" t="str">
        <f>IF(ISBLANK(DaqBook_RAW_Data!AK719),"",DaqBook_RAW_Data!AK719)</f>
        <v/>
      </c>
      <c r="G729" s="167" t="str">
        <f>IF(ISBLANK(DaqBook_RAW_Data!AL719),"",DaqBook_RAW_Data!AL719)</f>
        <v/>
      </c>
      <c r="H729" s="167" t="str">
        <f>IF(ISBLANK(DaqBook_RAW_Data!AM719),"",DaqBook_RAW_Data!AM719)</f>
        <v/>
      </c>
      <c r="I729" s="167" t="str">
        <f>IF(ISBLANK(DaqBook_RAW_Data!AN719),"",DaqBook_RAW_Data!AN719)</f>
        <v/>
      </c>
      <c r="J729" s="167" t="str">
        <f>IF(ISBLANK(DaqBook_RAW_Data!AO719),"",DaqBook_RAW_Data!AO719)</f>
        <v/>
      </c>
      <c r="K729" s="167" t="str">
        <f>IF(ISBLANK(DaqBook_RAW_Data!AP719),"",DaqBook_RAW_Data!AP719)</f>
        <v/>
      </c>
      <c r="L729" s="167" t="str">
        <f>IF(ISBLANK(DaqBook_RAW_Data!AQ719),"",DaqBook_RAW_Data!AQ719)</f>
        <v/>
      </c>
      <c r="M729" s="167" t="str">
        <f>IF(ISBLANK(DaqBook_RAW_Data!AR719),"",DaqBook_RAW_Data!AR719)</f>
        <v/>
      </c>
      <c r="N729" s="167" t="str">
        <f>IF(ISBLANK(DaqBook_RAW_Data!AS719),"",DaqBook_RAW_Data!AS719)</f>
        <v/>
      </c>
      <c r="O729" s="44"/>
      <c r="P729" s="44"/>
    </row>
    <row r="730" spans="1:16" x14ac:dyDescent="0.2">
      <c r="A730" s="58" t="e">
        <f t="shared" si="11"/>
        <v>#VALUE!</v>
      </c>
      <c r="B730" s="144" t="str">
        <f>IF(ISBLANK(DaqBook_RAW_Data!AG720),IF(DaqBook_RAW_Data!A720="","",TIMEVALUE(DaqBook_RAW_Data!A720)),TIMEVALUE(DaqBook_RAW_Data!AG720))</f>
        <v/>
      </c>
      <c r="C730" s="167" t="str">
        <f>IF(ISBLANK(DaqBook_RAW_Data!AH720),"",DaqBook_RAW_Data!AH720)</f>
        <v/>
      </c>
      <c r="D730" s="167" t="str">
        <f>IF(ISBLANK(DaqBook_RAW_Data!AI720),"",DaqBook_RAW_Data!AI720)</f>
        <v/>
      </c>
      <c r="E730" s="167" t="str">
        <f>IF(ISBLANK(DaqBook_RAW_Data!AJ720),"",DaqBook_RAW_Data!AJ720)</f>
        <v/>
      </c>
      <c r="F730" s="167" t="str">
        <f>IF(ISBLANK(DaqBook_RAW_Data!AK720),"",DaqBook_RAW_Data!AK720)</f>
        <v/>
      </c>
      <c r="G730" s="167" t="str">
        <f>IF(ISBLANK(DaqBook_RAW_Data!AL720),"",DaqBook_RAW_Data!AL720)</f>
        <v/>
      </c>
      <c r="H730" s="167" t="str">
        <f>IF(ISBLANK(DaqBook_RAW_Data!AM720),"",DaqBook_RAW_Data!AM720)</f>
        <v/>
      </c>
      <c r="I730" s="167" t="str">
        <f>IF(ISBLANK(DaqBook_RAW_Data!AN720),"",DaqBook_RAW_Data!AN720)</f>
        <v/>
      </c>
      <c r="J730" s="167" t="str">
        <f>IF(ISBLANK(DaqBook_RAW_Data!AO720),"",DaqBook_RAW_Data!AO720)</f>
        <v/>
      </c>
      <c r="K730" s="167" t="str">
        <f>IF(ISBLANK(DaqBook_RAW_Data!AP720),"",DaqBook_RAW_Data!AP720)</f>
        <v/>
      </c>
      <c r="L730" s="167" t="str">
        <f>IF(ISBLANK(DaqBook_RAW_Data!AQ720),"",DaqBook_RAW_Data!AQ720)</f>
        <v/>
      </c>
      <c r="M730" s="167" t="str">
        <f>IF(ISBLANK(DaqBook_RAW_Data!AR720),"",DaqBook_RAW_Data!AR720)</f>
        <v/>
      </c>
      <c r="N730" s="167" t="str">
        <f>IF(ISBLANK(DaqBook_RAW_Data!AS720),"",DaqBook_RAW_Data!AS720)</f>
        <v/>
      </c>
      <c r="O730" s="44"/>
      <c r="P730" s="44"/>
    </row>
    <row r="731" spans="1:16" x14ac:dyDescent="0.2">
      <c r="A731" s="58" t="e">
        <f t="shared" si="11"/>
        <v>#VALUE!</v>
      </c>
      <c r="B731" s="144" t="str">
        <f>IF(ISBLANK(DaqBook_RAW_Data!AG721),IF(DaqBook_RAW_Data!A721="","",TIMEVALUE(DaqBook_RAW_Data!A721)),TIMEVALUE(DaqBook_RAW_Data!AG721))</f>
        <v/>
      </c>
      <c r="C731" s="167" t="str">
        <f>IF(ISBLANK(DaqBook_RAW_Data!AH721),"",DaqBook_RAW_Data!AH721)</f>
        <v/>
      </c>
      <c r="D731" s="167" t="str">
        <f>IF(ISBLANK(DaqBook_RAW_Data!AI721),"",DaqBook_RAW_Data!AI721)</f>
        <v/>
      </c>
      <c r="E731" s="167" t="str">
        <f>IF(ISBLANK(DaqBook_RAW_Data!AJ721),"",DaqBook_RAW_Data!AJ721)</f>
        <v/>
      </c>
      <c r="F731" s="167" t="str">
        <f>IF(ISBLANK(DaqBook_RAW_Data!AK721),"",DaqBook_RAW_Data!AK721)</f>
        <v/>
      </c>
      <c r="G731" s="167" t="str">
        <f>IF(ISBLANK(DaqBook_RAW_Data!AL721),"",DaqBook_RAW_Data!AL721)</f>
        <v/>
      </c>
      <c r="H731" s="167" t="str">
        <f>IF(ISBLANK(DaqBook_RAW_Data!AM721),"",DaqBook_RAW_Data!AM721)</f>
        <v/>
      </c>
      <c r="I731" s="167" t="str">
        <f>IF(ISBLANK(DaqBook_RAW_Data!AN721),"",DaqBook_RAW_Data!AN721)</f>
        <v/>
      </c>
      <c r="J731" s="167" t="str">
        <f>IF(ISBLANK(DaqBook_RAW_Data!AO721),"",DaqBook_RAW_Data!AO721)</f>
        <v/>
      </c>
      <c r="K731" s="167" t="str">
        <f>IF(ISBLANK(DaqBook_RAW_Data!AP721),"",DaqBook_RAW_Data!AP721)</f>
        <v/>
      </c>
      <c r="L731" s="167" t="str">
        <f>IF(ISBLANK(DaqBook_RAW_Data!AQ721),"",DaqBook_RAW_Data!AQ721)</f>
        <v/>
      </c>
      <c r="M731" s="167" t="str">
        <f>IF(ISBLANK(DaqBook_RAW_Data!AR721),"",DaqBook_RAW_Data!AR721)</f>
        <v/>
      </c>
      <c r="N731" s="167" t="str">
        <f>IF(ISBLANK(DaqBook_RAW_Data!AS721),"",DaqBook_RAW_Data!AS721)</f>
        <v/>
      </c>
      <c r="O731" s="44"/>
      <c r="P731" s="44"/>
    </row>
    <row r="732" spans="1:16" x14ac:dyDescent="0.2">
      <c r="A732" s="58" t="e">
        <f t="shared" si="11"/>
        <v>#VALUE!</v>
      </c>
      <c r="B732" s="144" t="str">
        <f>IF(ISBLANK(DaqBook_RAW_Data!AG722),IF(DaqBook_RAW_Data!A722="","",TIMEVALUE(DaqBook_RAW_Data!A722)),TIMEVALUE(DaqBook_RAW_Data!AG722))</f>
        <v/>
      </c>
      <c r="C732" s="167" t="str">
        <f>IF(ISBLANK(DaqBook_RAW_Data!AH722),"",DaqBook_RAW_Data!AH722)</f>
        <v/>
      </c>
      <c r="D732" s="167" t="str">
        <f>IF(ISBLANK(DaqBook_RAW_Data!AI722),"",DaqBook_RAW_Data!AI722)</f>
        <v/>
      </c>
      <c r="E732" s="167" t="str">
        <f>IF(ISBLANK(DaqBook_RAW_Data!AJ722),"",DaqBook_RAW_Data!AJ722)</f>
        <v/>
      </c>
      <c r="F732" s="167" t="str">
        <f>IF(ISBLANK(DaqBook_RAW_Data!AK722),"",DaqBook_RAW_Data!AK722)</f>
        <v/>
      </c>
      <c r="G732" s="167" t="str">
        <f>IF(ISBLANK(DaqBook_RAW_Data!AL722),"",DaqBook_RAW_Data!AL722)</f>
        <v/>
      </c>
      <c r="H732" s="167" t="str">
        <f>IF(ISBLANK(DaqBook_RAW_Data!AM722),"",DaqBook_RAW_Data!AM722)</f>
        <v/>
      </c>
      <c r="I732" s="167" t="str">
        <f>IF(ISBLANK(DaqBook_RAW_Data!AN722),"",DaqBook_RAW_Data!AN722)</f>
        <v/>
      </c>
      <c r="J732" s="167" t="str">
        <f>IF(ISBLANK(DaqBook_RAW_Data!AO722),"",DaqBook_RAW_Data!AO722)</f>
        <v/>
      </c>
      <c r="K732" s="167" t="str">
        <f>IF(ISBLANK(DaqBook_RAW_Data!AP722),"",DaqBook_RAW_Data!AP722)</f>
        <v/>
      </c>
      <c r="L732" s="167" t="str">
        <f>IF(ISBLANK(DaqBook_RAW_Data!AQ722),"",DaqBook_RAW_Data!AQ722)</f>
        <v/>
      </c>
      <c r="M732" s="167" t="str">
        <f>IF(ISBLANK(DaqBook_RAW_Data!AR722),"",DaqBook_RAW_Data!AR722)</f>
        <v/>
      </c>
      <c r="N732" s="167" t="str">
        <f>IF(ISBLANK(DaqBook_RAW_Data!AS722),"",DaqBook_RAW_Data!AS722)</f>
        <v/>
      </c>
      <c r="O732" s="44"/>
      <c r="P732" s="44"/>
    </row>
    <row r="733" spans="1:16" x14ac:dyDescent="0.2">
      <c r="A733" s="58" t="e">
        <f t="shared" si="11"/>
        <v>#VALUE!</v>
      </c>
      <c r="B733" s="144" t="str">
        <f>IF(ISBLANK(DaqBook_RAW_Data!AG723),IF(DaqBook_RAW_Data!A723="","",TIMEVALUE(DaqBook_RAW_Data!A723)),TIMEVALUE(DaqBook_RAW_Data!AG723))</f>
        <v/>
      </c>
      <c r="C733" s="167" t="str">
        <f>IF(ISBLANK(DaqBook_RAW_Data!AH723),"",DaqBook_RAW_Data!AH723)</f>
        <v/>
      </c>
      <c r="D733" s="167" t="str">
        <f>IF(ISBLANK(DaqBook_RAW_Data!AI723),"",DaqBook_RAW_Data!AI723)</f>
        <v/>
      </c>
      <c r="E733" s="167" t="str">
        <f>IF(ISBLANK(DaqBook_RAW_Data!AJ723),"",DaqBook_RAW_Data!AJ723)</f>
        <v/>
      </c>
      <c r="F733" s="167" t="str">
        <f>IF(ISBLANK(DaqBook_RAW_Data!AK723),"",DaqBook_RAW_Data!AK723)</f>
        <v/>
      </c>
      <c r="G733" s="167" t="str">
        <f>IF(ISBLANK(DaqBook_RAW_Data!AL723),"",DaqBook_RAW_Data!AL723)</f>
        <v/>
      </c>
      <c r="H733" s="167" t="str">
        <f>IF(ISBLANK(DaqBook_RAW_Data!AM723),"",DaqBook_RAW_Data!AM723)</f>
        <v/>
      </c>
      <c r="I733" s="167" t="str">
        <f>IF(ISBLANK(DaqBook_RAW_Data!AN723),"",DaqBook_RAW_Data!AN723)</f>
        <v/>
      </c>
      <c r="J733" s="167" t="str">
        <f>IF(ISBLANK(DaqBook_RAW_Data!AO723),"",DaqBook_RAW_Data!AO723)</f>
        <v/>
      </c>
      <c r="K733" s="167" t="str">
        <f>IF(ISBLANK(DaqBook_RAW_Data!AP723),"",DaqBook_RAW_Data!AP723)</f>
        <v/>
      </c>
      <c r="L733" s="167" t="str">
        <f>IF(ISBLANK(DaqBook_RAW_Data!AQ723),"",DaqBook_RAW_Data!AQ723)</f>
        <v/>
      </c>
      <c r="M733" s="167" t="str">
        <f>IF(ISBLANK(DaqBook_RAW_Data!AR723),"",DaqBook_RAW_Data!AR723)</f>
        <v/>
      </c>
      <c r="N733" s="167" t="str">
        <f>IF(ISBLANK(DaqBook_RAW_Data!AS723),"",DaqBook_RAW_Data!AS723)</f>
        <v/>
      </c>
      <c r="O733" s="44"/>
      <c r="P733" s="44"/>
    </row>
    <row r="734" spans="1:16" x14ac:dyDescent="0.2">
      <c r="A734" s="58" t="e">
        <f t="shared" si="11"/>
        <v>#VALUE!</v>
      </c>
      <c r="B734" s="144" t="str">
        <f>IF(ISBLANK(DaqBook_RAW_Data!AG724),IF(DaqBook_RAW_Data!A724="","",TIMEVALUE(DaqBook_RAW_Data!A724)),TIMEVALUE(DaqBook_RAW_Data!AG724))</f>
        <v/>
      </c>
      <c r="C734" s="167" t="str">
        <f>IF(ISBLANK(DaqBook_RAW_Data!AH724),"",DaqBook_RAW_Data!AH724)</f>
        <v/>
      </c>
      <c r="D734" s="167" t="str">
        <f>IF(ISBLANK(DaqBook_RAW_Data!AI724),"",DaqBook_RAW_Data!AI724)</f>
        <v/>
      </c>
      <c r="E734" s="167" t="str">
        <f>IF(ISBLANK(DaqBook_RAW_Data!AJ724),"",DaqBook_RAW_Data!AJ724)</f>
        <v/>
      </c>
      <c r="F734" s="167" t="str">
        <f>IF(ISBLANK(DaqBook_RAW_Data!AK724),"",DaqBook_RAW_Data!AK724)</f>
        <v/>
      </c>
      <c r="G734" s="167" t="str">
        <f>IF(ISBLANK(DaqBook_RAW_Data!AL724),"",DaqBook_RAW_Data!AL724)</f>
        <v/>
      </c>
      <c r="H734" s="167" t="str">
        <f>IF(ISBLANK(DaqBook_RAW_Data!AM724),"",DaqBook_RAW_Data!AM724)</f>
        <v/>
      </c>
      <c r="I734" s="167" t="str">
        <f>IF(ISBLANK(DaqBook_RAW_Data!AN724),"",DaqBook_RAW_Data!AN724)</f>
        <v/>
      </c>
      <c r="J734" s="167" t="str">
        <f>IF(ISBLANK(DaqBook_RAW_Data!AO724),"",DaqBook_RAW_Data!AO724)</f>
        <v/>
      </c>
      <c r="K734" s="167" t="str">
        <f>IF(ISBLANK(DaqBook_RAW_Data!AP724),"",DaqBook_RAW_Data!AP724)</f>
        <v/>
      </c>
      <c r="L734" s="167" t="str">
        <f>IF(ISBLANK(DaqBook_RAW_Data!AQ724),"",DaqBook_RAW_Data!AQ724)</f>
        <v/>
      </c>
      <c r="M734" s="167" t="str">
        <f>IF(ISBLANK(DaqBook_RAW_Data!AR724),"",DaqBook_RAW_Data!AR724)</f>
        <v/>
      </c>
      <c r="N734" s="167" t="str">
        <f>IF(ISBLANK(DaqBook_RAW_Data!AS724),"",DaqBook_RAW_Data!AS724)</f>
        <v/>
      </c>
      <c r="O734" s="44"/>
      <c r="P734" s="44"/>
    </row>
    <row r="735" spans="1:16" x14ac:dyDescent="0.2">
      <c r="A735" s="58" t="e">
        <f t="shared" si="11"/>
        <v>#VALUE!</v>
      </c>
      <c r="B735" s="144" t="str">
        <f>IF(ISBLANK(DaqBook_RAW_Data!AG725),IF(DaqBook_RAW_Data!A725="","",TIMEVALUE(DaqBook_RAW_Data!A725)),TIMEVALUE(DaqBook_RAW_Data!AG725))</f>
        <v/>
      </c>
      <c r="C735" s="167" t="str">
        <f>IF(ISBLANK(DaqBook_RAW_Data!AH725),"",DaqBook_RAW_Data!AH725)</f>
        <v/>
      </c>
      <c r="D735" s="167" t="str">
        <f>IF(ISBLANK(DaqBook_RAW_Data!AI725),"",DaqBook_RAW_Data!AI725)</f>
        <v/>
      </c>
      <c r="E735" s="167" t="str">
        <f>IF(ISBLANK(DaqBook_RAW_Data!AJ725),"",DaqBook_RAW_Data!AJ725)</f>
        <v/>
      </c>
      <c r="F735" s="167" t="str">
        <f>IF(ISBLANK(DaqBook_RAW_Data!AK725),"",DaqBook_RAW_Data!AK725)</f>
        <v/>
      </c>
      <c r="G735" s="167" t="str">
        <f>IF(ISBLANK(DaqBook_RAW_Data!AL725),"",DaqBook_RAW_Data!AL725)</f>
        <v/>
      </c>
      <c r="H735" s="167" t="str">
        <f>IF(ISBLANK(DaqBook_RAW_Data!AM725),"",DaqBook_RAW_Data!AM725)</f>
        <v/>
      </c>
      <c r="I735" s="167" t="str">
        <f>IF(ISBLANK(DaqBook_RAW_Data!AN725),"",DaqBook_RAW_Data!AN725)</f>
        <v/>
      </c>
      <c r="J735" s="167" t="str">
        <f>IF(ISBLANK(DaqBook_RAW_Data!AO725),"",DaqBook_RAW_Data!AO725)</f>
        <v/>
      </c>
      <c r="K735" s="167" t="str">
        <f>IF(ISBLANK(DaqBook_RAW_Data!AP725),"",DaqBook_RAW_Data!AP725)</f>
        <v/>
      </c>
      <c r="L735" s="167" t="str">
        <f>IF(ISBLANK(DaqBook_RAW_Data!AQ725),"",DaqBook_RAW_Data!AQ725)</f>
        <v/>
      </c>
      <c r="M735" s="167" t="str">
        <f>IF(ISBLANK(DaqBook_RAW_Data!AR725),"",DaqBook_RAW_Data!AR725)</f>
        <v/>
      </c>
      <c r="N735" s="167" t="str">
        <f>IF(ISBLANK(DaqBook_RAW_Data!AS725),"",DaqBook_RAW_Data!AS725)</f>
        <v/>
      </c>
      <c r="O735" s="44"/>
      <c r="P735" s="44"/>
    </row>
    <row r="736" spans="1:16" x14ac:dyDescent="0.2">
      <c r="A736" s="58" t="e">
        <f t="shared" si="11"/>
        <v>#VALUE!</v>
      </c>
      <c r="B736" s="144" t="str">
        <f>IF(ISBLANK(DaqBook_RAW_Data!AG726),IF(DaqBook_RAW_Data!A726="","",TIMEVALUE(DaqBook_RAW_Data!A726)),TIMEVALUE(DaqBook_RAW_Data!AG726))</f>
        <v/>
      </c>
      <c r="C736" s="167" t="str">
        <f>IF(ISBLANK(DaqBook_RAW_Data!AH726),"",DaqBook_RAW_Data!AH726)</f>
        <v/>
      </c>
      <c r="D736" s="167" t="str">
        <f>IF(ISBLANK(DaqBook_RAW_Data!AI726),"",DaqBook_RAW_Data!AI726)</f>
        <v/>
      </c>
      <c r="E736" s="167" t="str">
        <f>IF(ISBLANK(DaqBook_RAW_Data!AJ726),"",DaqBook_RAW_Data!AJ726)</f>
        <v/>
      </c>
      <c r="F736" s="167" t="str">
        <f>IF(ISBLANK(DaqBook_RAW_Data!AK726),"",DaqBook_RAW_Data!AK726)</f>
        <v/>
      </c>
      <c r="G736" s="167" t="str">
        <f>IF(ISBLANK(DaqBook_RAW_Data!AL726),"",DaqBook_RAW_Data!AL726)</f>
        <v/>
      </c>
      <c r="H736" s="167" t="str">
        <f>IF(ISBLANK(DaqBook_RAW_Data!AM726),"",DaqBook_RAW_Data!AM726)</f>
        <v/>
      </c>
      <c r="I736" s="167" t="str">
        <f>IF(ISBLANK(DaqBook_RAW_Data!AN726),"",DaqBook_RAW_Data!AN726)</f>
        <v/>
      </c>
      <c r="J736" s="167" t="str">
        <f>IF(ISBLANK(DaqBook_RAW_Data!AO726),"",DaqBook_RAW_Data!AO726)</f>
        <v/>
      </c>
      <c r="K736" s="167" t="str">
        <f>IF(ISBLANK(DaqBook_RAW_Data!AP726),"",DaqBook_RAW_Data!AP726)</f>
        <v/>
      </c>
      <c r="L736" s="167" t="str">
        <f>IF(ISBLANK(DaqBook_RAW_Data!AQ726),"",DaqBook_RAW_Data!AQ726)</f>
        <v/>
      </c>
      <c r="M736" s="167" t="str">
        <f>IF(ISBLANK(DaqBook_RAW_Data!AR726),"",DaqBook_RAW_Data!AR726)</f>
        <v/>
      </c>
      <c r="N736" s="167" t="str">
        <f>IF(ISBLANK(DaqBook_RAW_Data!AS726),"",DaqBook_RAW_Data!AS726)</f>
        <v/>
      </c>
      <c r="O736" s="44"/>
      <c r="P736" s="44"/>
    </row>
    <row r="737" spans="1:16" x14ac:dyDescent="0.2">
      <c r="A737" s="58" t="e">
        <f t="shared" si="11"/>
        <v>#VALUE!</v>
      </c>
      <c r="B737" s="144" t="str">
        <f>IF(ISBLANK(DaqBook_RAW_Data!AG727),IF(DaqBook_RAW_Data!A727="","",TIMEVALUE(DaqBook_RAW_Data!A727)),TIMEVALUE(DaqBook_RAW_Data!AG727))</f>
        <v/>
      </c>
      <c r="C737" s="167" t="str">
        <f>IF(ISBLANK(DaqBook_RAW_Data!AH727),"",DaqBook_RAW_Data!AH727)</f>
        <v/>
      </c>
      <c r="D737" s="167" t="str">
        <f>IF(ISBLANK(DaqBook_RAW_Data!AI727),"",DaqBook_RAW_Data!AI727)</f>
        <v/>
      </c>
      <c r="E737" s="167" t="str">
        <f>IF(ISBLANK(DaqBook_RAW_Data!AJ727),"",DaqBook_RAW_Data!AJ727)</f>
        <v/>
      </c>
      <c r="F737" s="167" t="str">
        <f>IF(ISBLANK(DaqBook_RAW_Data!AK727),"",DaqBook_RAW_Data!AK727)</f>
        <v/>
      </c>
      <c r="G737" s="167" t="str">
        <f>IF(ISBLANK(DaqBook_RAW_Data!AL727),"",DaqBook_RAW_Data!AL727)</f>
        <v/>
      </c>
      <c r="H737" s="167" t="str">
        <f>IF(ISBLANK(DaqBook_RAW_Data!AM727),"",DaqBook_RAW_Data!AM727)</f>
        <v/>
      </c>
      <c r="I737" s="167" t="str">
        <f>IF(ISBLANK(DaqBook_RAW_Data!AN727),"",DaqBook_RAW_Data!AN727)</f>
        <v/>
      </c>
      <c r="J737" s="167" t="str">
        <f>IF(ISBLANK(DaqBook_RAW_Data!AO727),"",DaqBook_RAW_Data!AO727)</f>
        <v/>
      </c>
      <c r="K737" s="167" t="str">
        <f>IF(ISBLANK(DaqBook_RAW_Data!AP727),"",DaqBook_RAW_Data!AP727)</f>
        <v/>
      </c>
      <c r="L737" s="167" t="str">
        <f>IF(ISBLANK(DaqBook_RAW_Data!AQ727),"",DaqBook_RAW_Data!AQ727)</f>
        <v/>
      </c>
      <c r="M737" s="167" t="str">
        <f>IF(ISBLANK(DaqBook_RAW_Data!AR727),"",DaqBook_RAW_Data!AR727)</f>
        <v/>
      </c>
      <c r="N737" s="167" t="str">
        <f>IF(ISBLANK(DaqBook_RAW_Data!AS727),"",DaqBook_RAW_Data!AS727)</f>
        <v/>
      </c>
      <c r="O737" s="44"/>
      <c r="P737" s="44"/>
    </row>
    <row r="738" spans="1:16" x14ac:dyDescent="0.2">
      <c r="A738" s="58" t="e">
        <f t="shared" si="11"/>
        <v>#VALUE!</v>
      </c>
      <c r="B738" s="144" t="str">
        <f>IF(ISBLANK(DaqBook_RAW_Data!AG728),IF(DaqBook_RAW_Data!A728="","",TIMEVALUE(DaqBook_RAW_Data!A728)),TIMEVALUE(DaqBook_RAW_Data!AG728))</f>
        <v/>
      </c>
      <c r="C738" s="167" t="str">
        <f>IF(ISBLANK(DaqBook_RAW_Data!AH728),"",DaqBook_RAW_Data!AH728)</f>
        <v/>
      </c>
      <c r="D738" s="167" t="str">
        <f>IF(ISBLANK(DaqBook_RAW_Data!AI728),"",DaqBook_RAW_Data!AI728)</f>
        <v/>
      </c>
      <c r="E738" s="167" t="str">
        <f>IF(ISBLANK(DaqBook_RAW_Data!AJ728),"",DaqBook_RAW_Data!AJ728)</f>
        <v/>
      </c>
      <c r="F738" s="167" t="str">
        <f>IF(ISBLANK(DaqBook_RAW_Data!AK728),"",DaqBook_RAW_Data!AK728)</f>
        <v/>
      </c>
      <c r="G738" s="167" t="str">
        <f>IF(ISBLANK(DaqBook_RAW_Data!AL728),"",DaqBook_RAW_Data!AL728)</f>
        <v/>
      </c>
      <c r="H738" s="167" t="str">
        <f>IF(ISBLANK(DaqBook_RAW_Data!AM728),"",DaqBook_RAW_Data!AM728)</f>
        <v/>
      </c>
      <c r="I738" s="167" t="str">
        <f>IF(ISBLANK(DaqBook_RAW_Data!AN728),"",DaqBook_RAW_Data!AN728)</f>
        <v/>
      </c>
      <c r="J738" s="167" t="str">
        <f>IF(ISBLANK(DaqBook_RAW_Data!AO728),"",DaqBook_RAW_Data!AO728)</f>
        <v/>
      </c>
      <c r="K738" s="167" t="str">
        <f>IF(ISBLANK(DaqBook_RAW_Data!AP728),"",DaqBook_RAW_Data!AP728)</f>
        <v/>
      </c>
      <c r="L738" s="167" t="str">
        <f>IF(ISBLANK(DaqBook_RAW_Data!AQ728),"",DaqBook_RAW_Data!AQ728)</f>
        <v/>
      </c>
      <c r="M738" s="167" t="str">
        <f>IF(ISBLANK(DaqBook_RAW_Data!AR728),"",DaqBook_RAW_Data!AR728)</f>
        <v/>
      </c>
      <c r="N738" s="167" t="str">
        <f>IF(ISBLANK(DaqBook_RAW_Data!AS728),"",DaqBook_RAW_Data!AS728)</f>
        <v/>
      </c>
      <c r="O738" s="44"/>
      <c r="P738" s="44"/>
    </row>
    <row r="739" spans="1:16" x14ac:dyDescent="0.2">
      <c r="A739" s="58" t="e">
        <f t="shared" si="11"/>
        <v>#VALUE!</v>
      </c>
      <c r="B739" s="144" t="str">
        <f>IF(ISBLANK(DaqBook_RAW_Data!AG729),IF(DaqBook_RAW_Data!A729="","",TIMEVALUE(DaqBook_RAW_Data!A729)),TIMEVALUE(DaqBook_RAW_Data!AG729))</f>
        <v/>
      </c>
      <c r="C739" s="167" t="str">
        <f>IF(ISBLANK(DaqBook_RAW_Data!AH729),"",DaqBook_RAW_Data!AH729)</f>
        <v/>
      </c>
      <c r="D739" s="167" t="str">
        <f>IF(ISBLANK(DaqBook_RAW_Data!AI729),"",DaqBook_RAW_Data!AI729)</f>
        <v/>
      </c>
      <c r="E739" s="167" t="str">
        <f>IF(ISBLANK(DaqBook_RAW_Data!AJ729),"",DaqBook_RAW_Data!AJ729)</f>
        <v/>
      </c>
      <c r="F739" s="167" t="str">
        <f>IF(ISBLANK(DaqBook_RAW_Data!AK729),"",DaqBook_RAW_Data!AK729)</f>
        <v/>
      </c>
      <c r="G739" s="167" t="str">
        <f>IF(ISBLANK(DaqBook_RAW_Data!AL729),"",DaqBook_RAW_Data!AL729)</f>
        <v/>
      </c>
      <c r="H739" s="167" t="str">
        <f>IF(ISBLANK(DaqBook_RAW_Data!AM729),"",DaqBook_RAW_Data!AM729)</f>
        <v/>
      </c>
      <c r="I739" s="167" t="str">
        <f>IF(ISBLANK(DaqBook_RAW_Data!AN729),"",DaqBook_RAW_Data!AN729)</f>
        <v/>
      </c>
      <c r="J739" s="167" t="str">
        <f>IF(ISBLANK(DaqBook_RAW_Data!AO729),"",DaqBook_RAW_Data!AO729)</f>
        <v/>
      </c>
      <c r="K739" s="167" t="str">
        <f>IF(ISBLANK(DaqBook_RAW_Data!AP729),"",DaqBook_RAW_Data!AP729)</f>
        <v/>
      </c>
      <c r="L739" s="167" t="str">
        <f>IF(ISBLANK(DaqBook_RAW_Data!AQ729),"",DaqBook_RAW_Data!AQ729)</f>
        <v/>
      </c>
      <c r="M739" s="167" t="str">
        <f>IF(ISBLANK(DaqBook_RAW_Data!AR729),"",DaqBook_RAW_Data!AR729)</f>
        <v/>
      </c>
      <c r="N739" s="167" t="str">
        <f>IF(ISBLANK(DaqBook_RAW_Data!AS729),"",DaqBook_RAW_Data!AS729)</f>
        <v/>
      </c>
      <c r="O739" s="44"/>
      <c r="P739" s="44"/>
    </row>
    <row r="740" spans="1:16" x14ac:dyDescent="0.2">
      <c r="A740" s="58" t="e">
        <f t="shared" si="11"/>
        <v>#VALUE!</v>
      </c>
      <c r="B740" s="144" t="str">
        <f>IF(ISBLANK(DaqBook_RAW_Data!AG730),IF(DaqBook_RAW_Data!A730="","",TIMEVALUE(DaqBook_RAW_Data!A730)),TIMEVALUE(DaqBook_RAW_Data!AG730))</f>
        <v/>
      </c>
      <c r="C740" s="167" t="str">
        <f>IF(ISBLANK(DaqBook_RAW_Data!AH730),"",DaqBook_RAW_Data!AH730)</f>
        <v/>
      </c>
      <c r="D740" s="167" t="str">
        <f>IF(ISBLANK(DaqBook_RAW_Data!AI730),"",DaqBook_RAW_Data!AI730)</f>
        <v/>
      </c>
      <c r="E740" s="167" t="str">
        <f>IF(ISBLANK(DaqBook_RAW_Data!AJ730),"",DaqBook_RAW_Data!AJ730)</f>
        <v/>
      </c>
      <c r="F740" s="167" t="str">
        <f>IF(ISBLANK(DaqBook_RAW_Data!AK730),"",DaqBook_RAW_Data!AK730)</f>
        <v/>
      </c>
      <c r="G740" s="167" t="str">
        <f>IF(ISBLANK(DaqBook_RAW_Data!AL730),"",DaqBook_RAW_Data!AL730)</f>
        <v/>
      </c>
      <c r="H740" s="167" t="str">
        <f>IF(ISBLANK(DaqBook_RAW_Data!AM730),"",DaqBook_RAW_Data!AM730)</f>
        <v/>
      </c>
      <c r="I740" s="167" t="str">
        <f>IF(ISBLANK(DaqBook_RAW_Data!AN730),"",DaqBook_RAW_Data!AN730)</f>
        <v/>
      </c>
      <c r="J740" s="167" t="str">
        <f>IF(ISBLANK(DaqBook_RAW_Data!AO730),"",DaqBook_RAW_Data!AO730)</f>
        <v/>
      </c>
      <c r="K740" s="167" t="str">
        <f>IF(ISBLANK(DaqBook_RAW_Data!AP730),"",DaqBook_RAW_Data!AP730)</f>
        <v/>
      </c>
      <c r="L740" s="167" t="str">
        <f>IF(ISBLANK(DaqBook_RAW_Data!AQ730),"",DaqBook_RAW_Data!AQ730)</f>
        <v/>
      </c>
      <c r="M740" s="167" t="str">
        <f>IF(ISBLANK(DaqBook_RAW_Data!AR730),"",DaqBook_RAW_Data!AR730)</f>
        <v/>
      </c>
      <c r="N740" s="167" t="str">
        <f>IF(ISBLANK(DaqBook_RAW_Data!AS730),"",DaqBook_RAW_Data!AS730)</f>
        <v/>
      </c>
      <c r="O740" s="44"/>
      <c r="P740" s="44"/>
    </row>
    <row r="741" spans="1:16" x14ac:dyDescent="0.2">
      <c r="A741" s="58" t="e">
        <f t="shared" si="11"/>
        <v>#VALUE!</v>
      </c>
      <c r="B741" s="144" t="str">
        <f>IF(ISBLANK(DaqBook_RAW_Data!AG731),IF(DaqBook_RAW_Data!A731="","",TIMEVALUE(DaqBook_RAW_Data!A731)),TIMEVALUE(DaqBook_RAW_Data!AG731))</f>
        <v/>
      </c>
      <c r="C741" s="167" t="str">
        <f>IF(ISBLANK(DaqBook_RAW_Data!AH731),"",DaqBook_RAW_Data!AH731)</f>
        <v/>
      </c>
      <c r="D741" s="167" t="str">
        <f>IF(ISBLANK(DaqBook_RAW_Data!AI731),"",DaqBook_RAW_Data!AI731)</f>
        <v/>
      </c>
      <c r="E741" s="167" t="str">
        <f>IF(ISBLANK(DaqBook_RAW_Data!AJ731),"",DaqBook_RAW_Data!AJ731)</f>
        <v/>
      </c>
      <c r="F741" s="167" t="str">
        <f>IF(ISBLANK(DaqBook_RAW_Data!AK731),"",DaqBook_RAW_Data!AK731)</f>
        <v/>
      </c>
      <c r="G741" s="167" t="str">
        <f>IF(ISBLANK(DaqBook_RAW_Data!AL731),"",DaqBook_RAW_Data!AL731)</f>
        <v/>
      </c>
      <c r="H741" s="167" t="str">
        <f>IF(ISBLANK(DaqBook_RAW_Data!AM731),"",DaqBook_RAW_Data!AM731)</f>
        <v/>
      </c>
      <c r="I741" s="167" t="str">
        <f>IF(ISBLANK(DaqBook_RAW_Data!AN731),"",DaqBook_RAW_Data!AN731)</f>
        <v/>
      </c>
      <c r="J741" s="167" t="str">
        <f>IF(ISBLANK(DaqBook_RAW_Data!AO731),"",DaqBook_RAW_Data!AO731)</f>
        <v/>
      </c>
      <c r="K741" s="167" t="str">
        <f>IF(ISBLANK(DaqBook_RAW_Data!AP731),"",DaqBook_RAW_Data!AP731)</f>
        <v/>
      </c>
      <c r="L741" s="167" t="str">
        <f>IF(ISBLANK(DaqBook_RAW_Data!AQ731),"",DaqBook_RAW_Data!AQ731)</f>
        <v/>
      </c>
      <c r="M741" s="167" t="str">
        <f>IF(ISBLANK(DaqBook_RAW_Data!AR731),"",DaqBook_RAW_Data!AR731)</f>
        <v/>
      </c>
      <c r="N741" s="167" t="str">
        <f>IF(ISBLANK(DaqBook_RAW_Data!AS731),"",DaqBook_RAW_Data!AS731)</f>
        <v/>
      </c>
      <c r="O741" s="44"/>
      <c r="P741" s="44"/>
    </row>
    <row r="742" spans="1:16" x14ac:dyDescent="0.2">
      <c r="A742" s="58" t="e">
        <f t="shared" si="11"/>
        <v>#VALUE!</v>
      </c>
      <c r="B742" s="144" t="str">
        <f>IF(ISBLANK(DaqBook_RAW_Data!AG732),IF(DaqBook_RAW_Data!A732="","",TIMEVALUE(DaqBook_RAW_Data!A732)),TIMEVALUE(DaqBook_RAW_Data!AG732))</f>
        <v/>
      </c>
      <c r="C742" s="167" t="str">
        <f>IF(ISBLANK(DaqBook_RAW_Data!AH732),"",DaqBook_RAW_Data!AH732)</f>
        <v/>
      </c>
      <c r="D742" s="167" t="str">
        <f>IF(ISBLANK(DaqBook_RAW_Data!AI732),"",DaqBook_RAW_Data!AI732)</f>
        <v/>
      </c>
      <c r="E742" s="167" t="str">
        <f>IF(ISBLANK(DaqBook_RAW_Data!AJ732),"",DaqBook_RAW_Data!AJ732)</f>
        <v/>
      </c>
      <c r="F742" s="167" t="str">
        <f>IF(ISBLANK(DaqBook_RAW_Data!AK732),"",DaqBook_RAW_Data!AK732)</f>
        <v/>
      </c>
      <c r="G742" s="167" t="str">
        <f>IF(ISBLANK(DaqBook_RAW_Data!AL732),"",DaqBook_RAW_Data!AL732)</f>
        <v/>
      </c>
      <c r="H742" s="167" t="str">
        <f>IF(ISBLANK(DaqBook_RAW_Data!AM732),"",DaqBook_RAW_Data!AM732)</f>
        <v/>
      </c>
      <c r="I742" s="167" t="str">
        <f>IF(ISBLANK(DaqBook_RAW_Data!AN732),"",DaqBook_RAW_Data!AN732)</f>
        <v/>
      </c>
      <c r="J742" s="167" t="str">
        <f>IF(ISBLANK(DaqBook_RAW_Data!AO732),"",DaqBook_RAW_Data!AO732)</f>
        <v/>
      </c>
      <c r="K742" s="167" t="str">
        <f>IF(ISBLANK(DaqBook_RAW_Data!AP732),"",DaqBook_RAW_Data!AP732)</f>
        <v/>
      </c>
      <c r="L742" s="167" t="str">
        <f>IF(ISBLANK(DaqBook_RAW_Data!AQ732),"",DaqBook_RAW_Data!AQ732)</f>
        <v/>
      </c>
      <c r="M742" s="167" t="str">
        <f>IF(ISBLANK(DaqBook_RAW_Data!AR732),"",DaqBook_RAW_Data!AR732)</f>
        <v/>
      </c>
      <c r="N742" s="167" t="str">
        <f>IF(ISBLANK(DaqBook_RAW_Data!AS732),"",DaqBook_RAW_Data!AS732)</f>
        <v/>
      </c>
      <c r="O742" s="44"/>
      <c r="P742" s="44"/>
    </row>
    <row r="743" spans="1:16" x14ac:dyDescent="0.2">
      <c r="A743" s="58" t="e">
        <f t="shared" si="11"/>
        <v>#VALUE!</v>
      </c>
      <c r="B743" s="144" t="str">
        <f>IF(ISBLANK(DaqBook_RAW_Data!AG733),IF(DaqBook_RAW_Data!A733="","",TIMEVALUE(DaqBook_RAW_Data!A733)),TIMEVALUE(DaqBook_RAW_Data!AG733))</f>
        <v/>
      </c>
      <c r="C743" s="167" t="str">
        <f>IF(ISBLANK(DaqBook_RAW_Data!AH733),"",DaqBook_RAW_Data!AH733)</f>
        <v/>
      </c>
      <c r="D743" s="167" t="str">
        <f>IF(ISBLANK(DaqBook_RAW_Data!AI733),"",DaqBook_RAW_Data!AI733)</f>
        <v/>
      </c>
      <c r="E743" s="167" t="str">
        <f>IF(ISBLANK(DaqBook_RAW_Data!AJ733),"",DaqBook_RAW_Data!AJ733)</f>
        <v/>
      </c>
      <c r="F743" s="167" t="str">
        <f>IF(ISBLANK(DaqBook_RAW_Data!AK733),"",DaqBook_RAW_Data!AK733)</f>
        <v/>
      </c>
      <c r="G743" s="167" t="str">
        <f>IF(ISBLANK(DaqBook_RAW_Data!AL733),"",DaqBook_RAW_Data!AL733)</f>
        <v/>
      </c>
      <c r="H743" s="167" t="str">
        <f>IF(ISBLANK(DaqBook_RAW_Data!AM733),"",DaqBook_RAW_Data!AM733)</f>
        <v/>
      </c>
      <c r="I743" s="167" t="str">
        <f>IF(ISBLANK(DaqBook_RAW_Data!AN733),"",DaqBook_RAW_Data!AN733)</f>
        <v/>
      </c>
      <c r="J743" s="167" t="str">
        <f>IF(ISBLANK(DaqBook_RAW_Data!AO733),"",DaqBook_RAW_Data!AO733)</f>
        <v/>
      </c>
      <c r="K743" s="167" t="str">
        <f>IF(ISBLANK(DaqBook_RAW_Data!AP733),"",DaqBook_RAW_Data!AP733)</f>
        <v/>
      </c>
      <c r="L743" s="167" t="str">
        <f>IF(ISBLANK(DaqBook_RAW_Data!AQ733),"",DaqBook_RAW_Data!AQ733)</f>
        <v/>
      </c>
      <c r="M743" s="167" t="str">
        <f>IF(ISBLANK(DaqBook_RAW_Data!AR733),"",DaqBook_RAW_Data!AR733)</f>
        <v/>
      </c>
      <c r="N743" s="167" t="str">
        <f>IF(ISBLANK(DaqBook_RAW_Data!AS733),"",DaqBook_RAW_Data!AS733)</f>
        <v/>
      </c>
      <c r="O743" s="44"/>
      <c r="P743" s="44"/>
    </row>
    <row r="744" spans="1:16" x14ac:dyDescent="0.2">
      <c r="A744" s="58" t="e">
        <f t="shared" si="11"/>
        <v>#VALUE!</v>
      </c>
      <c r="B744" s="144" t="str">
        <f>IF(ISBLANK(DaqBook_RAW_Data!AG734),IF(DaqBook_RAW_Data!A734="","",TIMEVALUE(DaqBook_RAW_Data!A734)),TIMEVALUE(DaqBook_RAW_Data!AG734))</f>
        <v/>
      </c>
      <c r="C744" s="167" t="str">
        <f>IF(ISBLANK(DaqBook_RAW_Data!AH734),"",DaqBook_RAW_Data!AH734)</f>
        <v/>
      </c>
      <c r="D744" s="167" t="str">
        <f>IF(ISBLANK(DaqBook_RAW_Data!AI734),"",DaqBook_RAW_Data!AI734)</f>
        <v/>
      </c>
      <c r="E744" s="167" t="str">
        <f>IF(ISBLANK(DaqBook_RAW_Data!AJ734),"",DaqBook_RAW_Data!AJ734)</f>
        <v/>
      </c>
      <c r="F744" s="167" t="str">
        <f>IF(ISBLANK(DaqBook_RAW_Data!AK734),"",DaqBook_RAW_Data!AK734)</f>
        <v/>
      </c>
      <c r="G744" s="167" t="str">
        <f>IF(ISBLANK(DaqBook_RAW_Data!AL734),"",DaqBook_RAW_Data!AL734)</f>
        <v/>
      </c>
      <c r="H744" s="167" t="str">
        <f>IF(ISBLANK(DaqBook_RAW_Data!AM734),"",DaqBook_RAW_Data!AM734)</f>
        <v/>
      </c>
      <c r="I744" s="167" t="str">
        <f>IF(ISBLANK(DaqBook_RAW_Data!AN734),"",DaqBook_RAW_Data!AN734)</f>
        <v/>
      </c>
      <c r="J744" s="167" t="str">
        <f>IF(ISBLANK(DaqBook_RAW_Data!AO734),"",DaqBook_RAW_Data!AO734)</f>
        <v/>
      </c>
      <c r="K744" s="167" t="str">
        <f>IF(ISBLANK(DaqBook_RAW_Data!AP734),"",DaqBook_RAW_Data!AP734)</f>
        <v/>
      </c>
      <c r="L744" s="167" t="str">
        <f>IF(ISBLANK(DaqBook_RAW_Data!AQ734),"",DaqBook_RAW_Data!AQ734)</f>
        <v/>
      </c>
      <c r="M744" s="167" t="str">
        <f>IF(ISBLANK(DaqBook_RAW_Data!AR734),"",DaqBook_RAW_Data!AR734)</f>
        <v/>
      </c>
      <c r="N744" s="167" t="str">
        <f>IF(ISBLANK(DaqBook_RAW_Data!AS734),"",DaqBook_RAW_Data!AS734)</f>
        <v/>
      </c>
      <c r="O744" s="44"/>
      <c r="P744" s="44"/>
    </row>
    <row r="745" spans="1:16" x14ac:dyDescent="0.2">
      <c r="A745" s="58" t="e">
        <f t="shared" si="11"/>
        <v>#VALUE!</v>
      </c>
      <c r="B745" s="144" t="str">
        <f>IF(ISBLANK(DaqBook_RAW_Data!AG735),IF(DaqBook_RAW_Data!A735="","",TIMEVALUE(DaqBook_RAW_Data!A735)),TIMEVALUE(DaqBook_RAW_Data!AG735))</f>
        <v/>
      </c>
      <c r="C745" s="167" t="str">
        <f>IF(ISBLANK(DaqBook_RAW_Data!AH735),"",DaqBook_RAW_Data!AH735)</f>
        <v/>
      </c>
      <c r="D745" s="167" t="str">
        <f>IF(ISBLANK(DaqBook_RAW_Data!AI735),"",DaqBook_RAW_Data!AI735)</f>
        <v/>
      </c>
      <c r="E745" s="167" t="str">
        <f>IF(ISBLANK(DaqBook_RAW_Data!AJ735),"",DaqBook_RAW_Data!AJ735)</f>
        <v/>
      </c>
      <c r="F745" s="167" t="str">
        <f>IF(ISBLANK(DaqBook_RAW_Data!AK735),"",DaqBook_RAW_Data!AK735)</f>
        <v/>
      </c>
      <c r="G745" s="167" t="str">
        <f>IF(ISBLANK(DaqBook_RAW_Data!AL735),"",DaqBook_RAW_Data!AL735)</f>
        <v/>
      </c>
      <c r="H745" s="167" t="str">
        <f>IF(ISBLANK(DaqBook_RAW_Data!AM735),"",DaqBook_RAW_Data!AM735)</f>
        <v/>
      </c>
      <c r="I745" s="167" t="str">
        <f>IF(ISBLANK(DaqBook_RAW_Data!AN735),"",DaqBook_RAW_Data!AN735)</f>
        <v/>
      </c>
      <c r="J745" s="167" t="str">
        <f>IF(ISBLANK(DaqBook_RAW_Data!AO735),"",DaqBook_RAW_Data!AO735)</f>
        <v/>
      </c>
      <c r="K745" s="167" t="str">
        <f>IF(ISBLANK(DaqBook_RAW_Data!AP735),"",DaqBook_RAW_Data!AP735)</f>
        <v/>
      </c>
      <c r="L745" s="167" t="str">
        <f>IF(ISBLANK(DaqBook_RAW_Data!AQ735),"",DaqBook_RAW_Data!AQ735)</f>
        <v/>
      </c>
      <c r="M745" s="167" t="str">
        <f>IF(ISBLANK(DaqBook_RAW_Data!AR735),"",DaqBook_RAW_Data!AR735)</f>
        <v/>
      </c>
      <c r="N745" s="167" t="str">
        <f>IF(ISBLANK(DaqBook_RAW_Data!AS735),"",DaqBook_RAW_Data!AS735)</f>
        <v/>
      </c>
      <c r="O745" s="44"/>
      <c r="P745" s="44"/>
    </row>
    <row r="746" spans="1:16" x14ac:dyDescent="0.2">
      <c r="A746" s="58" t="e">
        <f t="shared" si="11"/>
        <v>#VALUE!</v>
      </c>
      <c r="B746" s="144" t="str">
        <f>IF(ISBLANK(DaqBook_RAW_Data!AG736),IF(DaqBook_RAW_Data!A736="","",TIMEVALUE(DaqBook_RAW_Data!A736)),TIMEVALUE(DaqBook_RAW_Data!AG736))</f>
        <v/>
      </c>
      <c r="C746" s="167" t="str">
        <f>IF(ISBLANK(DaqBook_RAW_Data!AH736),"",DaqBook_RAW_Data!AH736)</f>
        <v/>
      </c>
      <c r="D746" s="167" t="str">
        <f>IF(ISBLANK(DaqBook_RAW_Data!AI736),"",DaqBook_RAW_Data!AI736)</f>
        <v/>
      </c>
      <c r="E746" s="167" t="str">
        <f>IF(ISBLANK(DaqBook_RAW_Data!AJ736),"",DaqBook_RAW_Data!AJ736)</f>
        <v/>
      </c>
      <c r="F746" s="167" t="str">
        <f>IF(ISBLANK(DaqBook_RAW_Data!AK736),"",DaqBook_RAW_Data!AK736)</f>
        <v/>
      </c>
      <c r="G746" s="167" t="str">
        <f>IF(ISBLANK(DaqBook_RAW_Data!AL736),"",DaqBook_RAW_Data!AL736)</f>
        <v/>
      </c>
      <c r="H746" s="167" t="str">
        <f>IF(ISBLANK(DaqBook_RAW_Data!AM736),"",DaqBook_RAW_Data!AM736)</f>
        <v/>
      </c>
      <c r="I746" s="167" t="str">
        <f>IF(ISBLANK(DaqBook_RAW_Data!AN736),"",DaqBook_RAW_Data!AN736)</f>
        <v/>
      </c>
      <c r="J746" s="167" t="str">
        <f>IF(ISBLANK(DaqBook_RAW_Data!AO736),"",DaqBook_RAW_Data!AO736)</f>
        <v/>
      </c>
      <c r="K746" s="167" t="str">
        <f>IF(ISBLANK(DaqBook_RAW_Data!AP736),"",DaqBook_RAW_Data!AP736)</f>
        <v/>
      </c>
      <c r="L746" s="167" t="str">
        <f>IF(ISBLANK(DaqBook_RAW_Data!AQ736),"",DaqBook_RAW_Data!AQ736)</f>
        <v/>
      </c>
      <c r="M746" s="167" t="str">
        <f>IF(ISBLANK(DaqBook_RAW_Data!AR736),"",DaqBook_RAW_Data!AR736)</f>
        <v/>
      </c>
      <c r="N746" s="167" t="str">
        <f>IF(ISBLANK(DaqBook_RAW_Data!AS736),"",DaqBook_RAW_Data!AS736)</f>
        <v/>
      </c>
      <c r="O746" s="44"/>
      <c r="P746" s="44"/>
    </row>
    <row r="747" spans="1:16" x14ac:dyDescent="0.2">
      <c r="A747" s="58" t="e">
        <f t="shared" si="11"/>
        <v>#VALUE!</v>
      </c>
      <c r="B747" s="144" t="str">
        <f>IF(ISBLANK(DaqBook_RAW_Data!AG737),IF(DaqBook_RAW_Data!A737="","",TIMEVALUE(DaqBook_RAW_Data!A737)),TIMEVALUE(DaqBook_RAW_Data!AG737))</f>
        <v/>
      </c>
      <c r="C747" s="167" t="str">
        <f>IF(ISBLANK(DaqBook_RAW_Data!AH737),"",DaqBook_RAW_Data!AH737)</f>
        <v/>
      </c>
      <c r="D747" s="167" t="str">
        <f>IF(ISBLANK(DaqBook_RAW_Data!AI737),"",DaqBook_RAW_Data!AI737)</f>
        <v/>
      </c>
      <c r="E747" s="167" t="str">
        <f>IF(ISBLANK(DaqBook_RAW_Data!AJ737),"",DaqBook_RAW_Data!AJ737)</f>
        <v/>
      </c>
      <c r="F747" s="167" t="str">
        <f>IF(ISBLANK(DaqBook_RAW_Data!AK737),"",DaqBook_RAW_Data!AK737)</f>
        <v/>
      </c>
      <c r="G747" s="167" t="str">
        <f>IF(ISBLANK(DaqBook_RAW_Data!AL737),"",DaqBook_RAW_Data!AL737)</f>
        <v/>
      </c>
      <c r="H747" s="167" t="str">
        <f>IF(ISBLANK(DaqBook_RAW_Data!AM737),"",DaqBook_RAW_Data!AM737)</f>
        <v/>
      </c>
      <c r="I747" s="167" t="str">
        <f>IF(ISBLANK(DaqBook_RAW_Data!AN737),"",DaqBook_RAW_Data!AN737)</f>
        <v/>
      </c>
      <c r="J747" s="167" t="str">
        <f>IF(ISBLANK(DaqBook_RAW_Data!AO737),"",DaqBook_RAW_Data!AO737)</f>
        <v/>
      </c>
      <c r="K747" s="167" t="str">
        <f>IF(ISBLANK(DaqBook_RAW_Data!AP737),"",DaqBook_RAW_Data!AP737)</f>
        <v/>
      </c>
      <c r="L747" s="167" t="str">
        <f>IF(ISBLANK(DaqBook_RAW_Data!AQ737),"",DaqBook_RAW_Data!AQ737)</f>
        <v/>
      </c>
      <c r="M747" s="167" t="str">
        <f>IF(ISBLANK(DaqBook_RAW_Data!AR737),"",DaqBook_RAW_Data!AR737)</f>
        <v/>
      </c>
      <c r="N747" s="167" t="str">
        <f>IF(ISBLANK(DaqBook_RAW_Data!AS737),"",DaqBook_RAW_Data!AS737)</f>
        <v/>
      </c>
      <c r="O747" s="44"/>
      <c r="P747" s="44"/>
    </row>
    <row r="748" spans="1:16" x14ac:dyDescent="0.2">
      <c r="A748" s="58" t="e">
        <f t="shared" si="11"/>
        <v>#VALUE!</v>
      </c>
      <c r="B748" s="144" t="str">
        <f>IF(ISBLANK(DaqBook_RAW_Data!AG738),IF(DaqBook_RAW_Data!A738="","",TIMEVALUE(DaqBook_RAW_Data!A738)),TIMEVALUE(DaqBook_RAW_Data!AG738))</f>
        <v/>
      </c>
      <c r="C748" s="167" t="str">
        <f>IF(ISBLANK(DaqBook_RAW_Data!AH738),"",DaqBook_RAW_Data!AH738)</f>
        <v/>
      </c>
      <c r="D748" s="167" t="str">
        <f>IF(ISBLANK(DaqBook_RAW_Data!AI738),"",DaqBook_RAW_Data!AI738)</f>
        <v/>
      </c>
      <c r="E748" s="167" t="str">
        <f>IF(ISBLANK(DaqBook_RAW_Data!AJ738),"",DaqBook_RAW_Data!AJ738)</f>
        <v/>
      </c>
      <c r="F748" s="167" t="str">
        <f>IF(ISBLANK(DaqBook_RAW_Data!AK738),"",DaqBook_RAW_Data!AK738)</f>
        <v/>
      </c>
      <c r="G748" s="167" t="str">
        <f>IF(ISBLANK(DaqBook_RAW_Data!AL738),"",DaqBook_RAW_Data!AL738)</f>
        <v/>
      </c>
      <c r="H748" s="167" t="str">
        <f>IF(ISBLANK(DaqBook_RAW_Data!AM738),"",DaqBook_RAW_Data!AM738)</f>
        <v/>
      </c>
      <c r="I748" s="167" t="str">
        <f>IF(ISBLANK(DaqBook_RAW_Data!AN738),"",DaqBook_RAW_Data!AN738)</f>
        <v/>
      </c>
      <c r="J748" s="167" t="str">
        <f>IF(ISBLANK(DaqBook_RAW_Data!AO738),"",DaqBook_RAW_Data!AO738)</f>
        <v/>
      </c>
      <c r="K748" s="167" t="str">
        <f>IF(ISBLANK(DaqBook_RAW_Data!AP738),"",DaqBook_RAW_Data!AP738)</f>
        <v/>
      </c>
      <c r="L748" s="167" t="str">
        <f>IF(ISBLANK(DaqBook_RAW_Data!AQ738),"",DaqBook_RAW_Data!AQ738)</f>
        <v/>
      </c>
      <c r="M748" s="167" t="str">
        <f>IF(ISBLANK(DaqBook_RAW_Data!AR738),"",DaqBook_RAW_Data!AR738)</f>
        <v/>
      </c>
      <c r="N748" s="167" t="str">
        <f>IF(ISBLANK(DaqBook_RAW_Data!AS738),"",DaqBook_RAW_Data!AS738)</f>
        <v/>
      </c>
      <c r="O748" s="44"/>
      <c r="P748" s="44"/>
    </row>
    <row r="749" spans="1:16" x14ac:dyDescent="0.2">
      <c r="A749" s="58" t="e">
        <f t="shared" si="11"/>
        <v>#VALUE!</v>
      </c>
      <c r="B749" s="144" t="str">
        <f>IF(ISBLANK(DaqBook_RAW_Data!AG739),IF(DaqBook_RAW_Data!A739="","",TIMEVALUE(DaqBook_RAW_Data!A739)),TIMEVALUE(DaqBook_RAW_Data!AG739))</f>
        <v/>
      </c>
      <c r="C749" s="167" t="str">
        <f>IF(ISBLANK(DaqBook_RAW_Data!AH739),"",DaqBook_RAW_Data!AH739)</f>
        <v/>
      </c>
      <c r="D749" s="167" t="str">
        <f>IF(ISBLANK(DaqBook_RAW_Data!AI739),"",DaqBook_RAW_Data!AI739)</f>
        <v/>
      </c>
      <c r="E749" s="167" t="str">
        <f>IF(ISBLANK(DaqBook_RAW_Data!AJ739),"",DaqBook_RAW_Data!AJ739)</f>
        <v/>
      </c>
      <c r="F749" s="167" t="str">
        <f>IF(ISBLANK(DaqBook_RAW_Data!AK739),"",DaqBook_RAW_Data!AK739)</f>
        <v/>
      </c>
      <c r="G749" s="167" t="str">
        <f>IF(ISBLANK(DaqBook_RAW_Data!AL739),"",DaqBook_RAW_Data!AL739)</f>
        <v/>
      </c>
      <c r="H749" s="167" t="str">
        <f>IF(ISBLANK(DaqBook_RAW_Data!AM739),"",DaqBook_RAW_Data!AM739)</f>
        <v/>
      </c>
      <c r="I749" s="167" t="str">
        <f>IF(ISBLANK(DaqBook_RAW_Data!AN739),"",DaqBook_RAW_Data!AN739)</f>
        <v/>
      </c>
      <c r="J749" s="167" t="str">
        <f>IF(ISBLANK(DaqBook_RAW_Data!AO739),"",DaqBook_RAW_Data!AO739)</f>
        <v/>
      </c>
      <c r="K749" s="167" t="str">
        <f>IF(ISBLANK(DaqBook_RAW_Data!AP739),"",DaqBook_RAW_Data!AP739)</f>
        <v/>
      </c>
      <c r="L749" s="167" t="str">
        <f>IF(ISBLANK(DaqBook_RAW_Data!AQ739),"",DaqBook_RAW_Data!AQ739)</f>
        <v/>
      </c>
      <c r="M749" s="167" t="str">
        <f>IF(ISBLANK(DaqBook_RAW_Data!AR739),"",DaqBook_RAW_Data!AR739)</f>
        <v/>
      </c>
      <c r="N749" s="167" t="str">
        <f>IF(ISBLANK(DaqBook_RAW_Data!AS739),"",DaqBook_RAW_Data!AS739)</f>
        <v/>
      </c>
      <c r="O749" s="44"/>
      <c r="P749" s="44"/>
    </row>
    <row r="750" spans="1:16" x14ac:dyDescent="0.2">
      <c r="A750" s="58" t="e">
        <f t="shared" si="11"/>
        <v>#VALUE!</v>
      </c>
      <c r="B750" s="144" t="str">
        <f>IF(ISBLANK(DaqBook_RAW_Data!AG740),IF(DaqBook_RAW_Data!A740="","",TIMEVALUE(DaqBook_RAW_Data!A740)),TIMEVALUE(DaqBook_RAW_Data!AG740))</f>
        <v/>
      </c>
      <c r="C750" s="167" t="str">
        <f>IF(ISBLANK(DaqBook_RAW_Data!AH740),"",DaqBook_RAW_Data!AH740)</f>
        <v/>
      </c>
      <c r="D750" s="167" t="str">
        <f>IF(ISBLANK(DaqBook_RAW_Data!AI740),"",DaqBook_RAW_Data!AI740)</f>
        <v/>
      </c>
      <c r="E750" s="167" t="str">
        <f>IF(ISBLANK(DaqBook_RAW_Data!AJ740),"",DaqBook_RAW_Data!AJ740)</f>
        <v/>
      </c>
      <c r="F750" s="167" t="str">
        <f>IF(ISBLANK(DaqBook_RAW_Data!AK740),"",DaqBook_RAW_Data!AK740)</f>
        <v/>
      </c>
      <c r="G750" s="167" t="str">
        <f>IF(ISBLANK(DaqBook_RAW_Data!AL740),"",DaqBook_RAW_Data!AL740)</f>
        <v/>
      </c>
      <c r="H750" s="167" t="str">
        <f>IF(ISBLANK(DaqBook_RAW_Data!AM740),"",DaqBook_RAW_Data!AM740)</f>
        <v/>
      </c>
      <c r="I750" s="167" t="str">
        <f>IF(ISBLANK(DaqBook_RAW_Data!AN740),"",DaqBook_RAW_Data!AN740)</f>
        <v/>
      </c>
      <c r="J750" s="167" t="str">
        <f>IF(ISBLANK(DaqBook_RAW_Data!AO740),"",DaqBook_RAW_Data!AO740)</f>
        <v/>
      </c>
      <c r="K750" s="167" t="str">
        <f>IF(ISBLANK(DaqBook_RAW_Data!AP740),"",DaqBook_RAW_Data!AP740)</f>
        <v/>
      </c>
      <c r="L750" s="167" t="str">
        <f>IF(ISBLANK(DaqBook_RAW_Data!AQ740),"",DaqBook_RAW_Data!AQ740)</f>
        <v/>
      </c>
      <c r="M750" s="167" t="str">
        <f>IF(ISBLANK(DaqBook_RAW_Data!AR740),"",DaqBook_RAW_Data!AR740)</f>
        <v/>
      </c>
      <c r="N750" s="167" t="str">
        <f>IF(ISBLANK(DaqBook_RAW_Data!AS740),"",DaqBook_RAW_Data!AS740)</f>
        <v/>
      </c>
      <c r="O750" s="44"/>
      <c r="P750" s="44"/>
    </row>
    <row r="751" spans="1:16" x14ac:dyDescent="0.2">
      <c r="A751" s="58" t="e">
        <f t="shared" si="11"/>
        <v>#VALUE!</v>
      </c>
      <c r="B751" s="144" t="str">
        <f>IF(ISBLANK(DaqBook_RAW_Data!AG741),IF(DaqBook_RAW_Data!A741="","",TIMEVALUE(DaqBook_RAW_Data!A741)),TIMEVALUE(DaqBook_RAW_Data!AG741))</f>
        <v/>
      </c>
      <c r="C751" s="167" t="str">
        <f>IF(ISBLANK(DaqBook_RAW_Data!AH741),"",DaqBook_RAW_Data!AH741)</f>
        <v/>
      </c>
      <c r="D751" s="167" t="str">
        <f>IF(ISBLANK(DaqBook_RAW_Data!AI741),"",DaqBook_RAW_Data!AI741)</f>
        <v/>
      </c>
      <c r="E751" s="167" t="str">
        <f>IF(ISBLANK(DaqBook_RAW_Data!AJ741),"",DaqBook_RAW_Data!AJ741)</f>
        <v/>
      </c>
      <c r="F751" s="167" t="str">
        <f>IF(ISBLANK(DaqBook_RAW_Data!AK741),"",DaqBook_RAW_Data!AK741)</f>
        <v/>
      </c>
      <c r="G751" s="167" t="str">
        <f>IF(ISBLANK(DaqBook_RAW_Data!AL741),"",DaqBook_RAW_Data!AL741)</f>
        <v/>
      </c>
      <c r="H751" s="167" t="str">
        <f>IF(ISBLANK(DaqBook_RAW_Data!AM741),"",DaqBook_RAW_Data!AM741)</f>
        <v/>
      </c>
      <c r="I751" s="167" t="str">
        <f>IF(ISBLANK(DaqBook_RAW_Data!AN741),"",DaqBook_RAW_Data!AN741)</f>
        <v/>
      </c>
      <c r="J751" s="167" t="str">
        <f>IF(ISBLANK(DaqBook_RAW_Data!AO741),"",DaqBook_RAW_Data!AO741)</f>
        <v/>
      </c>
      <c r="K751" s="167" t="str">
        <f>IF(ISBLANK(DaqBook_RAW_Data!AP741),"",DaqBook_RAW_Data!AP741)</f>
        <v/>
      </c>
      <c r="L751" s="167" t="str">
        <f>IF(ISBLANK(DaqBook_RAW_Data!AQ741),"",DaqBook_RAW_Data!AQ741)</f>
        <v/>
      </c>
      <c r="M751" s="167" t="str">
        <f>IF(ISBLANK(DaqBook_RAW_Data!AR741),"",DaqBook_RAW_Data!AR741)</f>
        <v/>
      </c>
      <c r="N751" s="167" t="str">
        <f>IF(ISBLANK(DaqBook_RAW_Data!AS741),"",DaqBook_RAW_Data!AS741)</f>
        <v/>
      </c>
      <c r="O751" s="44"/>
      <c r="P751" s="44"/>
    </row>
    <row r="752" spans="1:16" x14ac:dyDescent="0.2">
      <c r="A752" s="58" t="e">
        <f t="shared" si="11"/>
        <v>#VALUE!</v>
      </c>
      <c r="B752" s="144" t="str">
        <f>IF(ISBLANK(DaqBook_RAW_Data!AG742),IF(DaqBook_RAW_Data!A742="","",TIMEVALUE(DaqBook_RAW_Data!A742)),TIMEVALUE(DaqBook_RAW_Data!AG742))</f>
        <v/>
      </c>
      <c r="C752" s="167" t="str">
        <f>IF(ISBLANK(DaqBook_RAW_Data!AH742),"",DaqBook_RAW_Data!AH742)</f>
        <v/>
      </c>
      <c r="D752" s="167" t="str">
        <f>IF(ISBLANK(DaqBook_RAW_Data!AI742),"",DaqBook_RAW_Data!AI742)</f>
        <v/>
      </c>
      <c r="E752" s="167" t="str">
        <f>IF(ISBLANK(DaqBook_RAW_Data!AJ742),"",DaqBook_RAW_Data!AJ742)</f>
        <v/>
      </c>
      <c r="F752" s="167" t="str">
        <f>IF(ISBLANK(DaqBook_RAW_Data!AK742),"",DaqBook_RAW_Data!AK742)</f>
        <v/>
      </c>
      <c r="G752" s="167" t="str">
        <f>IF(ISBLANK(DaqBook_RAW_Data!AL742),"",DaqBook_RAW_Data!AL742)</f>
        <v/>
      </c>
      <c r="H752" s="167" t="str">
        <f>IF(ISBLANK(DaqBook_RAW_Data!AM742),"",DaqBook_RAW_Data!AM742)</f>
        <v/>
      </c>
      <c r="I752" s="167" t="str">
        <f>IF(ISBLANK(DaqBook_RAW_Data!AN742),"",DaqBook_RAW_Data!AN742)</f>
        <v/>
      </c>
      <c r="J752" s="167" t="str">
        <f>IF(ISBLANK(DaqBook_RAW_Data!AO742),"",DaqBook_RAW_Data!AO742)</f>
        <v/>
      </c>
      <c r="K752" s="167" t="str">
        <f>IF(ISBLANK(DaqBook_RAW_Data!AP742),"",DaqBook_RAW_Data!AP742)</f>
        <v/>
      </c>
      <c r="L752" s="167" t="str">
        <f>IF(ISBLANK(DaqBook_RAW_Data!AQ742),"",DaqBook_RAW_Data!AQ742)</f>
        <v/>
      </c>
      <c r="M752" s="167" t="str">
        <f>IF(ISBLANK(DaqBook_RAW_Data!AR742),"",DaqBook_RAW_Data!AR742)</f>
        <v/>
      </c>
      <c r="N752" s="167" t="str">
        <f>IF(ISBLANK(DaqBook_RAW_Data!AS742),"",DaqBook_RAW_Data!AS742)</f>
        <v/>
      </c>
      <c r="O752" s="44"/>
      <c r="P752" s="44"/>
    </row>
    <row r="753" spans="1:16" x14ac:dyDescent="0.2">
      <c r="A753" s="58" t="e">
        <f t="shared" si="11"/>
        <v>#VALUE!</v>
      </c>
      <c r="B753" s="144" t="str">
        <f>IF(ISBLANK(DaqBook_RAW_Data!AG743),IF(DaqBook_RAW_Data!A743="","",TIMEVALUE(DaqBook_RAW_Data!A743)),TIMEVALUE(DaqBook_RAW_Data!AG743))</f>
        <v/>
      </c>
      <c r="C753" s="167" t="str">
        <f>IF(ISBLANK(DaqBook_RAW_Data!AH743),"",DaqBook_RAW_Data!AH743)</f>
        <v/>
      </c>
      <c r="D753" s="167" t="str">
        <f>IF(ISBLANK(DaqBook_RAW_Data!AI743),"",DaqBook_RAW_Data!AI743)</f>
        <v/>
      </c>
      <c r="E753" s="167" t="str">
        <f>IF(ISBLANK(DaqBook_RAW_Data!AJ743),"",DaqBook_RAW_Data!AJ743)</f>
        <v/>
      </c>
      <c r="F753" s="167" t="str">
        <f>IF(ISBLANK(DaqBook_RAW_Data!AK743),"",DaqBook_RAW_Data!AK743)</f>
        <v/>
      </c>
      <c r="G753" s="167" t="str">
        <f>IF(ISBLANK(DaqBook_RAW_Data!AL743),"",DaqBook_RAW_Data!AL743)</f>
        <v/>
      </c>
      <c r="H753" s="167" t="str">
        <f>IF(ISBLANK(DaqBook_RAW_Data!AM743),"",DaqBook_RAW_Data!AM743)</f>
        <v/>
      </c>
      <c r="I753" s="167" t="str">
        <f>IF(ISBLANK(DaqBook_RAW_Data!AN743),"",DaqBook_RAW_Data!AN743)</f>
        <v/>
      </c>
      <c r="J753" s="167" t="str">
        <f>IF(ISBLANK(DaqBook_RAW_Data!AO743),"",DaqBook_RAW_Data!AO743)</f>
        <v/>
      </c>
      <c r="K753" s="167" t="str">
        <f>IF(ISBLANK(DaqBook_RAW_Data!AP743),"",DaqBook_RAW_Data!AP743)</f>
        <v/>
      </c>
      <c r="L753" s="167" t="str">
        <f>IF(ISBLANK(DaqBook_RAW_Data!AQ743),"",DaqBook_RAW_Data!AQ743)</f>
        <v/>
      </c>
      <c r="M753" s="167" t="str">
        <f>IF(ISBLANK(DaqBook_RAW_Data!AR743),"",DaqBook_RAW_Data!AR743)</f>
        <v/>
      </c>
      <c r="N753" s="167" t="str">
        <f>IF(ISBLANK(DaqBook_RAW_Data!AS743),"",DaqBook_RAW_Data!AS743)</f>
        <v/>
      </c>
      <c r="O753" s="44"/>
      <c r="P753" s="44"/>
    </row>
    <row r="754" spans="1:16" x14ac:dyDescent="0.2">
      <c r="A754" s="58" t="e">
        <f t="shared" si="11"/>
        <v>#VALUE!</v>
      </c>
      <c r="B754" s="144" t="str">
        <f>IF(ISBLANK(DaqBook_RAW_Data!AG744),IF(DaqBook_RAW_Data!A744="","",TIMEVALUE(DaqBook_RAW_Data!A744)),TIMEVALUE(DaqBook_RAW_Data!AG744))</f>
        <v/>
      </c>
      <c r="C754" s="167" t="str">
        <f>IF(ISBLANK(DaqBook_RAW_Data!AH744),"",DaqBook_RAW_Data!AH744)</f>
        <v/>
      </c>
      <c r="D754" s="167" t="str">
        <f>IF(ISBLANK(DaqBook_RAW_Data!AI744),"",DaqBook_RAW_Data!AI744)</f>
        <v/>
      </c>
      <c r="E754" s="167" t="str">
        <f>IF(ISBLANK(DaqBook_RAW_Data!AJ744),"",DaqBook_RAW_Data!AJ744)</f>
        <v/>
      </c>
      <c r="F754" s="167" t="str">
        <f>IF(ISBLANK(DaqBook_RAW_Data!AK744),"",DaqBook_RAW_Data!AK744)</f>
        <v/>
      </c>
      <c r="G754" s="167" t="str">
        <f>IF(ISBLANK(DaqBook_RAW_Data!AL744),"",DaqBook_RAW_Data!AL744)</f>
        <v/>
      </c>
      <c r="H754" s="167" t="str">
        <f>IF(ISBLANK(DaqBook_RAW_Data!AM744),"",DaqBook_RAW_Data!AM744)</f>
        <v/>
      </c>
      <c r="I754" s="167" t="str">
        <f>IF(ISBLANK(DaqBook_RAW_Data!AN744),"",DaqBook_RAW_Data!AN744)</f>
        <v/>
      </c>
      <c r="J754" s="167" t="str">
        <f>IF(ISBLANK(DaqBook_RAW_Data!AO744),"",DaqBook_RAW_Data!AO744)</f>
        <v/>
      </c>
      <c r="K754" s="167" t="str">
        <f>IF(ISBLANK(DaqBook_RAW_Data!AP744),"",DaqBook_RAW_Data!AP744)</f>
        <v/>
      </c>
      <c r="L754" s="167" t="str">
        <f>IF(ISBLANK(DaqBook_RAW_Data!AQ744),"",DaqBook_RAW_Data!AQ744)</f>
        <v/>
      </c>
      <c r="M754" s="167" t="str">
        <f>IF(ISBLANK(DaqBook_RAW_Data!AR744),"",DaqBook_RAW_Data!AR744)</f>
        <v/>
      </c>
      <c r="N754" s="167" t="str">
        <f>IF(ISBLANK(DaqBook_RAW_Data!AS744),"",DaqBook_RAW_Data!AS744)</f>
        <v/>
      </c>
      <c r="O754" s="44"/>
      <c r="P754" s="44"/>
    </row>
    <row r="755" spans="1:16" x14ac:dyDescent="0.2">
      <c r="A755" s="58" t="e">
        <f t="shared" si="11"/>
        <v>#VALUE!</v>
      </c>
      <c r="B755" s="144" t="str">
        <f>IF(ISBLANK(DaqBook_RAW_Data!AG745),IF(DaqBook_RAW_Data!A745="","",TIMEVALUE(DaqBook_RAW_Data!A745)),TIMEVALUE(DaqBook_RAW_Data!AG745))</f>
        <v/>
      </c>
      <c r="C755" s="167" t="str">
        <f>IF(ISBLANK(DaqBook_RAW_Data!AH745),"",DaqBook_RAW_Data!AH745)</f>
        <v/>
      </c>
      <c r="D755" s="167" t="str">
        <f>IF(ISBLANK(DaqBook_RAW_Data!AI745),"",DaqBook_RAW_Data!AI745)</f>
        <v/>
      </c>
      <c r="E755" s="167" t="str">
        <f>IF(ISBLANK(DaqBook_RAW_Data!AJ745),"",DaqBook_RAW_Data!AJ745)</f>
        <v/>
      </c>
      <c r="F755" s="167" t="str">
        <f>IF(ISBLANK(DaqBook_RAW_Data!AK745),"",DaqBook_RAW_Data!AK745)</f>
        <v/>
      </c>
      <c r="G755" s="167" t="str">
        <f>IF(ISBLANK(DaqBook_RAW_Data!AL745),"",DaqBook_RAW_Data!AL745)</f>
        <v/>
      </c>
      <c r="H755" s="167" t="str">
        <f>IF(ISBLANK(DaqBook_RAW_Data!AM745),"",DaqBook_RAW_Data!AM745)</f>
        <v/>
      </c>
      <c r="I755" s="167" t="str">
        <f>IF(ISBLANK(DaqBook_RAW_Data!AN745),"",DaqBook_RAW_Data!AN745)</f>
        <v/>
      </c>
      <c r="J755" s="167" t="str">
        <f>IF(ISBLANK(DaqBook_RAW_Data!AO745),"",DaqBook_RAW_Data!AO745)</f>
        <v/>
      </c>
      <c r="K755" s="167" t="str">
        <f>IF(ISBLANK(DaqBook_RAW_Data!AP745),"",DaqBook_RAW_Data!AP745)</f>
        <v/>
      </c>
      <c r="L755" s="167" t="str">
        <f>IF(ISBLANK(DaqBook_RAW_Data!AQ745),"",DaqBook_RAW_Data!AQ745)</f>
        <v/>
      </c>
      <c r="M755" s="167" t="str">
        <f>IF(ISBLANK(DaqBook_RAW_Data!AR745),"",DaqBook_RAW_Data!AR745)</f>
        <v/>
      </c>
      <c r="N755" s="167" t="str">
        <f>IF(ISBLANK(DaqBook_RAW_Data!AS745),"",DaqBook_RAW_Data!AS745)</f>
        <v/>
      </c>
      <c r="O755" s="44"/>
      <c r="P755" s="44"/>
    </row>
    <row r="756" spans="1:16" x14ac:dyDescent="0.2">
      <c r="A756" s="58" t="e">
        <f t="shared" si="11"/>
        <v>#VALUE!</v>
      </c>
      <c r="B756" s="144" t="str">
        <f>IF(ISBLANK(DaqBook_RAW_Data!AG746),IF(DaqBook_RAW_Data!A746="","",TIMEVALUE(DaqBook_RAW_Data!A746)),TIMEVALUE(DaqBook_RAW_Data!AG746))</f>
        <v/>
      </c>
      <c r="C756" s="167" t="str">
        <f>IF(ISBLANK(DaqBook_RAW_Data!AH746),"",DaqBook_RAW_Data!AH746)</f>
        <v/>
      </c>
      <c r="D756" s="167" t="str">
        <f>IF(ISBLANK(DaqBook_RAW_Data!AI746),"",DaqBook_RAW_Data!AI746)</f>
        <v/>
      </c>
      <c r="E756" s="167" t="str">
        <f>IF(ISBLANK(DaqBook_RAW_Data!AJ746),"",DaqBook_RAW_Data!AJ746)</f>
        <v/>
      </c>
      <c r="F756" s="167" t="str">
        <f>IF(ISBLANK(DaqBook_RAW_Data!AK746),"",DaqBook_RAW_Data!AK746)</f>
        <v/>
      </c>
      <c r="G756" s="167" t="str">
        <f>IF(ISBLANK(DaqBook_RAW_Data!AL746),"",DaqBook_RAW_Data!AL746)</f>
        <v/>
      </c>
      <c r="H756" s="167" t="str">
        <f>IF(ISBLANK(DaqBook_RAW_Data!AM746),"",DaqBook_RAW_Data!AM746)</f>
        <v/>
      </c>
      <c r="I756" s="167" t="str">
        <f>IF(ISBLANK(DaqBook_RAW_Data!AN746),"",DaqBook_RAW_Data!AN746)</f>
        <v/>
      </c>
      <c r="J756" s="167" t="str">
        <f>IF(ISBLANK(DaqBook_RAW_Data!AO746),"",DaqBook_RAW_Data!AO746)</f>
        <v/>
      </c>
      <c r="K756" s="167" t="str">
        <f>IF(ISBLANK(DaqBook_RAW_Data!AP746),"",DaqBook_RAW_Data!AP746)</f>
        <v/>
      </c>
      <c r="L756" s="167" t="str">
        <f>IF(ISBLANK(DaqBook_RAW_Data!AQ746),"",DaqBook_RAW_Data!AQ746)</f>
        <v/>
      </c>
      <c r="M756" s="167" t="str">
        <f>IF(ISBLANK(DaqBook_RAW_Data!AR746),"",DaqBook_RAW_Data!AR746)</f>
        <v/>
      </c>
      <c r="N756" s="167" t="str">
        <f>IF(ISBLANK(DaqBook_RAW_Data!AS746),"",DaqBook_RAW_Data!AS746)</f>
        <v/>
      </c>
      <c r="O756" s="44"/>
      <c r="P756" s="44"/>
    </row>
    <row r="757" spans="1:16" x14ac:dyDescent="0.2">
      <c r="A757" s="58" t="e">
        <f t="shared" si="11"/>
        <v>#VALUE!</v>
      </c>
      <c r="B757" s="144" t="str">
        <f>IF(ISBLANK(DaqBook_RAW_Data!AG747),IF(DaqBook_RAW_Data!A747="","",TIMEVALUE(DaqBook_RAW_Data!A747)),TIMEVALUE(DaqBook_RAW_Data!AG747))</f>
        <v/>
      </c>
      <c r="C757" s="167" t="str">
        <f>IF(ISBLANK(DaqBook_RAW_Data!AH747),"",DaqBook_RAW_Data!AH747)</f>
        <v/>
      </c>
      <c r="D757" s="167" t="str">
        <f>IF(ISBLANK(DaqBook_RAW_Data!AI747),"",DaqBook_RAW_Data!AI747)</f>
        <v/>
      </c>
      <c r="E757" s="167" t="str">
        <f>IF(ISBLANK(DaqBook_RAW_Data!AJ747),"",DaqBook_RAW_Data!AJ747)</f>
        <v/>
      </c>
      <c r="F757" s="167" t="str">
        <f>IF(ISBLANK(DaqBook_RAW_Data!AK747),"",DaqBook_RAW_Data!AK747)</f>
        <v/>
      </c>
      <c r="G757" s="167" t="str">
        <f>IF(ISBLANK(DaqBook_RAW_Data!AL747),"",DaqBook_RAW_Data!AL747)</f>
        <v/>
      </c>
      <c r="H757" s="167" t="str">
        <f>IF(ISBLANK(DaqBook_RAW_Data!AM747),"",DaqBook_RAW_Data!AM747)</f>
        <v/>
      </c>
      <c r="I757" s="167" t="str">
        <f>IF(ISBLANK(DaqBook_RAW_Data!AN747),"",DaqBook_RAW_Data!AN747)</f>
        <v/>
      </c>
      <c r="J757" s="167" t="str">
        <f>IF(ISBLANK(DaqBook_RAW_Data!AO747),"",DaqBook_RAW_Data!AO747)</f>
        <v/>
      </c>
      <c r="K757" s="167" t="str">
        <f>IF(ISBLANK(DaqBook_RAW_Data!AP747),"",DaqBook_RAW_Data!AP747)</f>
        <v/>
      </c>
      <c r="L757" s="167" t="str">
        <f>IF(ISBLANK(DaqBook_RAW_Data!AQ747),"",DaqBook_RAW_Data!AQ747)</f>
        <v/>
      </c>
      <c r="M757" s="167" t="str">
        <f>IF(ISBLANK(DaqBook_RAW_Data!AR747),"",DaqBook_RAW_Data!AR747)</f>
        <v/>
      </c>
      <c r="N757" s="167" t="str">
        <f>IF(ISBLANK(DaqBook_RAW_Data!AS747),"",DaqBook_RAW_Data!AS747)</f>
        <v/>
      </c>
      <c r="O757" s="44"/>
      <c r="P757" s="44"/>
    </row>
    <row r="758" spans="1:16" x14ac:dyDescent="0.2">
      <c r="A758" s="58" t="e">
        <f t="shared" si="11"/>
        <v>#VALUE!</v>
      </c>
      <c r="B758" s="144" t="str">
        <f>IF(ISBLANK(DaqBook_RAW_Data!AG748),IF(DaqBook_RAW_Data!A748="","",TIMEVALUE(DaqBook_RAW_Data!A748)),TIMEVALUE(DaqBook_RAW_Data!AG748))</f>
        <v/>
      </c>
      <c r="C758" s="167" t="str">
        <f>IF(ISBLANK(DaqBook_RAW_Data!AH748),"",DaqBook_RAW_Data!AH748)</f>
        <v/>
      </c>
      <c r="D758" s="167" t="str">
        <f>IF(ISBLANK(DaqBook_RAW_Data!AI748),"",DaqBook_RAW_Data!AI748)</f>
        <v/>
      </c>
      <c r="E758" s="167" t="str">
        <f>IF(ISBLANK(DaqBook_RAW_Data!AJ748),"",DaqBook_RAW_Data!AJ748)</f>
        <v/>
      </c>
      <c r="F758" s="167" t="str">
        <f>IF(ISBLANK(DaqBook_RAW_Data!AK748),"",DaqBook_RAW_Data!AK748)</f>
        <v/>
      </c>
      <c r="G758" s="167" t="str">
        <f>IF(ISBLANK(DaqBook_RAW_Data!AL748),"",DaqBook_RAW_Data!AL748)</f>
        <v/>
      </c>
      <c r="H758" s="167" t="str">
        <f>IF(ISBLANK(DaqBook_RAW_Data!AM748),"",DaqBook_RAW_Data!AM748)</f>
        <v/>
      </c>
      <c r="I758" s="167" t="str">
        <f>IF(ISBLANK(DaqBook_RAW_Data!AN748),"",DaqBook_RAW_Data!AN748)</f>
        <v/>
      </c>
      <c r="J758" s="167" t="str">
        <f>IF(ISBLANK(DaqBook_RAW_Data!AO748),"",DaqBook_RAW_Data!AO748)</f>
        <v/>
      </c>
      <c r="K758" s="167" t="str">
        <f>IF(ISBLANK(DaqBook_RAW_Data!AP748),"",DaqBook_RAW_Data!AP748)</f>
        <v/>
      </c>
      <c r="L758" s="167" t="str">
        <f>IF(ISBLANK(DaqBook_RAW_Data!AQ748),"",DaqBook_RAW_Data!AQ748)</f>
        <v/>
      </c>
      <c r="M758" s="167" t="str">
        <f>IF(ISBLANK(DaqBook_RAW_Data!AR748),"",DaqBook_RAW_Data!AR748)</f>
        <v/>
      </c>
      <c r="N758" s="167" t="str">
        <f>IF(ISBLANK(DaqBook_RAW_Data!AS748),"",DaqBook_RAW_Data!AS748)</f>
        <v/>
      </c>
      <c r="O758" s="44"/>
      <c r="P758" s="44"/>
    </row>
    <row r="759" spans="1:16" x14ac:dyDescent="0.2">
      <c r="A759" s="58" t="e">
        <f t="shared" si="11"/>
        <v>#VALUE!</v>
      </c>
      <c r="B759" s="144" t="str">
        <f>IF(ISBLANK(DaqBook_RAW_Data!AG749),IF(DaqBook_RAW_Data!A749="","",TIMEVALUE(DaqBook_RAW_Data!A749)),TIMEVALUE(DaqBook_RAW_Data!AG749))</f>
        <v/>
      </c>
      <c r="C759" s="167" t="str">
        <f>IF(ISBLANK(DaqBook_RAW_Data!AH749),"",DaqBook_RAW_Data!AH749)</f>
        <v/>
      </c>
      <c r="D759" s="167" t="str">
        <f>IF(ISBLANK(DaqBook_RAW_Data!AI749),"",DaqBook_RAW_Data!AI749)</f>
        <v/>
      </c>
      <c r="E759" s="167" t="str">
        <f>IF(ISBLANK(DaqBook_RAW_Data!AJ749),"",DaqBook_RAW_Data!AJ749)</f>
        <v/>
      </c>
      <c r="F759" s="167" t="str">
        <f>IF(ISBLANK(DaqBook_RAW_Data!AK749),"",DaqBook_RAW_Data!AK749)</f>
        <v/>
      </c>
      <c r="G759" s="167" t="str">
        <f>IF(ISBLANK(DaqBook_RAW_Data!AL749),"",DaqBook_RAW_Data!AL749)</f>
        <v/>
      </c>
      <c r="H759" s="167" t="str">
        <f>IF(ISBLANK(DaqBook_RAW_Data!AM749),"",DaqBook_RAW_Data!AM749)</f>
        <v/>
      </c>
      <c r="I759" s="167" t="str">
        <f>IF(ISBLANK(DaqBook_RAW_Data!AN749),"",DaqBook_RAW_Data!AN749)</f>
        <v/>
      </c>
      <c r="J759" s="167" t="str">
        <f>IF(ISBLANK(DaqBook_RAW_Data!AO749),"",DaqBook_RAW_Data!AO749)</f>
        <v/>
      </c>
      <c r="K759" s="167" t="str">
        <f>IF(ISBLANK(DaqBook_RAW_Data!AP749),"",DaqBook_RAW_Data!AP749)</f>
        <v/>
      </c>
      <c r="L759" s="167" t="str">
        <f>IF(ISBLANK(DaqBook_RAW_Data!AQ749),"",DaqBook_RAW_Data!AQ749)</f>
        <v/>
      </c>
      <c r="M759" s="167" t="str">
        <f>IF(ISBLANK(DaqBook_RAW_Data!AR749),"",DaqBook_RAW_Data!AR749)</f>
        <v/>
      </c>
      <c r="N759" s="167" t="str">
        <f>IF(ISBLANK(DaqBook_RAW_Data!AS749),"",DaqBook_RAW_Data!AS749)</f>
        <v/>
      </c>
      <c r="O759" s="44"/>
      <c r="P759" s="44"/>
    </row>
    <row r="760" spans="1:16" x14ac:dyDescent="0.2">
      <c r="A760" s="58" t="e">
        <f t="shared" si="11"/>
        <v>#VALUE!</v>
      </c>
      <c r="B760" s="144" t="str">
        <f>IF(ISBLANK(DaqBook_RAW_Data!AG750),IF(DaqBook_RAW_Data!A750="","",TIMEVALUE(DaqBook_RAW_Data!A750)),TIMEVALUE(DaqBook_RAW_Data!AG750))</f>
        <v/>
      </c>
      <c r="C760" s="167" t="str">
        <f>IF(ISBLANK(DaqBook_RAW_Data!AH750),"",DaqBook_RAW_Data!AH750)</f>
        <v/>
      </c>
      <c r="D760" s="167" t="str">
        <f>IF(ISBLANK(DaqBook_RAW_Data!AI750),"",DaqBook_RAW_Data!AI750)</f>
        <v/>
      </c>
      <c r="E760" s="167" t="str">
        <f>IF(ISBLANK(DaqBook_RAW_Data!AJ750),"",DaqBook_RAW_Data!AJ750)</f>
        <v/>
      </c>
      <c r="F760" s="167" t="str">
        <f>IF(ISBLANK(DaqBook_RAW_Data!AK750),"",DaqBook_RAW_Data!AK750)</f>
        <v/>
      </c>
      <c r="G760" s="167" t="str">
        <f>IF(ISBLANK(DaqBook_RAW_Data!AL750),"",DaqBook_RAW_Data!AL750)</f>
        <v/>
      </c>
      <c r="H760" s="167" t="str">
        <f>IF(ISBLANK(DaqBook_RAW_Data!AM750),"",DaqBook_RAW_Data!AM750)</f>
        <v/>
      </c>
      <c r="I760" s="167" t="str">
        <f>IF(ISBLANK(DaqBook_RAW_Data!AN750),"",DaqBook_RAW_Data!AN750)</f>
        <v/>
      </c>
      <c r="J760" s="167" t="str">
        <f>IF(ISBLANK(DaqBook_RAW_Data!AO750),"",DaqBook_RAW_Data!AO750)</f>
        <v/>
      </c>
      <c r="K760" s="167" t="str">
        <f>IF(ISBLANK(DaqBook_RAW_Data!AP750),"",DaqBook_RAW_Data!AP750)</f>
        <v/>
      </c>
      <c r="L760" s="167" t="str">
        <f>IF(ISBLANK(DaqBook_RAW_Data!AQ750),"",DaqBook_RAW_Data!AQ750)</f>
        <v/>
      </c>
      <c r="M760" s="167" t="str">
        <f>IF(ISBLANK(DaqBook_RAW_Data!AR750),"",DaqBook_RAW_Data!AR750)</f>
        <v/>
      </c>
      <c r="N760" s="167" t="str">
        <f>IF(ISBLANK(DaqBook_RAW_Data!AS750),"",DaqBook_RAW_Data!AS750)</f>
        <v/>
      </c>
      <c r="O760" s="44"/>
      <c r="P760" s="44"/>
    </row>
    <row r="761" spans="1:16" x14ac:dyDescent="0.2">
      <c r="A761" s="58" t="e">
        <f t="shared" si="11"/>
        <v>#VALUE!</v>
      </c>
      <c r="B761" s="144" t="str">
        <f>IF(ISBLANK(DaqBook_RAW_Data!AG751),IF(DaqBook_RAW_Data!A751="","",TIMEVALUE(DaqBook_RAW_Data!A751)),TIMEVALUE(DaqBook_RAW_Data!AG751))</f>
        <v/>
      </c>
      <c r="C761" s="167" t="str">
        <f>IF(ISBLANK(DaqBook_RAW_Data!AH751),"",DaqBook_RAW_Data!AH751)</f>
        <v/>
      </c>
      <c r="D761" s="167" t="str">
        <f>IF(ISBLANK(DaqBook_RAW_Data!AI751),"",DaqBook_RAW_Data!AI751)</f>
        <v/>
      </c>
      <c r="E761" s="167" t="str">
        <f>IF(ISBLANK(DaqBook_RAW_Data!AJ751),"",DaqBook_RAW_Data!AJ751)</f>
        <v/>
      </c>
      <c r="F761" s="167" t="str">
        <f>IF(ISBLANK(DaqBook_RAW_Data!AK751),"",DaqBook_RAW_Data!AK751)</f>
        <v/>
      </c>
      <c r="G761" s="167" t="str">
        <f>IF(ISBLANK(DaqBook_RAW_Data!AL751),"",DaqBook_RAW_Data!AL751)</f>
        <v/>
      </c>
      <c r="H761" s="167" t="str">
        <f>IF(ISBLANK(DaqBook_RAW_Data!AM751),"",DaqBook_RAW_Data!AM751)</f>
        <v/>
      </c>
      <c r="I761" s="167" t="str">
        <f>IF(ISBLANK(DaqBook_RAW_Data!AN751),"",DaqBook_RAW_Data!AN751)</f>
        <v/>
      </c>
      <c r="J761" s="167" t="str">
        <f>IF(ISBLANK(DaqBook_RAW_Data!AO751),"",DaqBook_RAW_Data!AO751)</f>
        <v/>
      </c>
      <c r="K761" s="167" t="str">
        <f>IF(ISBLANK(DaqBook_RAW_Data!AP751),"",DaqBook_RAW_Data!AP751)</f>
        <v/>
      </c>
      <c r="L761" s="167" t="str">
        <f>IF(ISBLANK(DaqBook_RAW_Data!AQ751),"",DaqBook_RAW_Data!AQ751)</f>
        <v/>
      </c>
      <c r="M761" s="167" t="str">
        <f>IF(ISBLANK(DaqBook_RAW_Data!AR751),"",DaqBook_RAW_Data!AR751)</f>
        <v/>
      </c>
      <c r="N761" s="167" t="str">
        <f>IF(ISBLANK(DaqBook_RAW_Data!AS751),"",DaqBook_RAW_Data!AS751)</f>
        <v/>
      </c>
      <c r="O761" s="44"/>
      <c r="P761" s="44"/>
    </row>
    <row r="762" spans="1:16" x14ac:dyDescent="0.2">
      <c r="A762" s="58" t="e">
        <f t="shared" si="11"/>
        <v>#VALUE!</v>
      </c>
      <c r="B762" s="144" t="str">
        <f>IF(ISBLANK(DaqBook_RAW_Data!AG752),IF(DaqBook_RAW_Data!A752="","",TIMEVALUE(DaqBook_RAW_Data!A752)),TIMEVALUE(DaqBook_RAW_Data!AG752))</f>
        <v/>
      </c>
      <c r="C762" s="167" t="str">
        <f>IF(ISBLANK(DaqBook_RAW_Data!AH752),"",DaqBook_RAW_Data!AH752)</f>
        <v/>
      </c>
      <c r="D762" s="167" t="str">
        <f>IF(ISBLANK(DaqBook_RAW_Data!AI752),"",DaqBook_RAW_Data!AI752)</f>
        <v/>
      </c>
      <c r="E762" s="167" t="str">
        <f>IF(ISBLANK(DaqBook_RAW_Data!AJ752),"",DaqBook_RAW_Data!AJ752)</f>
        <v/>
      </c>
      <c r="F762" s="167" t="str">
        <f>IF(ISBLANK(DaqBook_RAW_Data!AK752),"",DaqBook_RAW_Data!AK752)</f>
        <v/>
      </c>
      <c r="G762" s="167" t="str">
        <f>IF(ISBLANK(DaqBook_RAW_Data!AL752),"",DaqBook_RAW_Data!AL752)</f>
        <v/>
      </c>
      <c r="H762" s="167" t="str">
        <f>IF(ISBLANK(DaqBook_RAW_Data!AM752),"",DaqBook_RAW_Data!AM752)</f>
        <v/>
      </c>
      <c r="I762" s="167" t="str">
        <f>IF(ISBLANK(DaqBook_RAW_Data!AN752),"",DaqBook_RAW_Data!AN752)</f>
        <v/>
      </c>
      <c r="J762" s="167" t="str">
        <f>IF(ISBLANK(DaqBook_RAW_Data!AO752),"",DaqBook_RAW_Data!AO752)</f>
        <v/>
      </c>
      <c r="K762" s="167" t="str">
        <f>IF(ISBLANK(DaqBook_RAW_Data!AP752),"",DaqBook_RAW_Data!AP752)</f>
        <v/>
      </c>
      <c r="L762" s="167" t="str">
        <f>IF(ISBLANK(DaqBook_RAW_Data!AQ752),"",DaqBook_RAW_Data!AQ752)</f>
        <v/>
      </c>
      <c r="M762" s="167" t="str">
        <f>IF(ISBLANK(DaqBook_RAW_Data!AR752),"",DaqBook_RAW_Data!AR752)</f>
        <v/>
      </c>
      <c r="N762" s="167" t="str">
        <f>IF(ISBLANK(DaqBook_RAW_Data!AS752),"",DaqBook_RAW_Data!AS752)</f>
        <v/>
      </c>
      <c r="O762" s="44"/>
      <c r="P762" s="44"/>
    </row>
    <row r="763" spans="1:16" x14ac:dyDescent="0.2">
      <c r="A763" s="58" t="e">
        <f t="shared" si="11"/>
        <v>#VALUE!</v>
      </c>
      <c r="B763" s="144" t="str">
        <f>IF(ISBLANK(DaqBook_RAW_Data!AG753),IF(DaqBook_RAW_Data!A753="","",TIMEVALUE(DaqBook_RAW_Data!A753)),TIMEVALUE(DaqBook_RAW_Data!AG753))</f>
        <v/>
      </c>
      <c r="C763" s="167" t="str">
        <f>IF(ISBLANK(DaqBook_RAW_Data!AH753),"",DaqBook_RAW_Data!AH753)</f>
        <v/>
      </c>
      <c r="D763" s="167" t="str">
        <f>IF(ISBLANK(DaqBook_RAW_Data!AI753),"",DaqBook_RAW_Data!AI753)</f>
        <v/>
      </c>
      <c r="E763" s="167" t="str">
        <f>IF(ISBLANK(DaqBook_RAW_Data!AJ753),"",DaqBook_RAW_Data!AJ753)</f>
        <v/>
      </c>
      <c r="F763" s="167" t="str">
        <f>IF(ISBLANK(DaqBook_RAW_Data!AK753),"",DaqBook_RAW_Data!AK753)</f>
        <v/>
      </c>
      <c r="G763" s="167" t="str">
        <f>IF(ISBLANK(DaqBook_RAW_Data!AL753),"",DaqBook_RAW_Data!AL753)</f>
        <v/>
      </c>
      <c r="H763" s="167" t="str">
        <f>IF(ISBLANK(DaqBook_RAW_Data!AM753),"",DaqBook_RAW_Data!AM753)</f>
        <v/>
      </c>
      <c r="I763" s="167" t="str">
        <f>IF(ISBLANK(DaqBook_RAW_Data!AN753),"",DaqBook_RAW_Data!AN753)</f>
        <v/>
      </c>
      <c r="J763" s="167" t="str">
        <f>IF(ISBLANK(DaqBook_RAW_Data!AO753),"",DaqBook_RAW_Data!AO753)</f>
        <v/>
      </c>
      <c r="K763" s="167" t="str">
        <f>IF(ISBLANK(DaqBook_RAW_Data!AP753),"",DaqBook_RAW_Data!AP753)</f>
        <v/>
      </c>
      <c r="L763" s="167" t="str">
        <f>IF(ISBLANK(DaqBook_RAW_Data!AQ753),"",DaqBook_RAW_Data!AQ753)</f>
        <v/>
      </c>
      <c r="M763" s="167" t="str">
        <f>IF(ISBLANK(DaqBook_RAW_Data!AR753),"",DaqBook_RAW_Data!AR753)</f>
        <v/>
      </c>
      <c r="N763" s="167" t="str">
        <f>IF(ISBLANK(DaqBook_RAW_Data!AS753),"",DaqBook_RAW_Data!AS753)</f>
        <v/>
      </c>
      <c r="O763" s="44"/>
      <c r="P763" s="44"/>
    </row>
    <row r="764" spans="1:16" x14ac:dyDescent="0.2">
      <c r="A764" s="58" t="e">
        <f t="shared" si="11"/>
        <v>#VALUE!</v>
      </c>
      <c r="B764" s="144" t="str">
        <f>IF(ISBLANK(DaqBook_RAW_Data!AG754),IF(DaqBook_RAW_Data!A754="","",TIMEVALUE(DaqBook_RAW_Data!A754)),TIMEVALUE(DaqBook_RAW_Data!AG754))</f>
        <v/>
      </c>
      <c r="C764" s="167" t="str">
        <f>IF(ISBLANK(DaqBook_RAW_Data!AH754),"",DaqBook_RAW_Data!AH754)</f>
        <v/>
      </c>
      <c r="D764" s="167" t="str">
        <f>IF(ISBLANK(DaqBook_RAW_Data!AI754),"",DaqBook_RAW_Data!AI754)</f>
        <v/>
      </c>
      <c r="E764" s="167" t="str">
        <f>IF(ISBLANK(DaqBook_RAW_Data!AJ754),"",DaqBook_RAW_Data!AJ754)</f>
        <v/>
      </c>
      <c r="F764" s="167" t="str">
        <f>IF(ISBLANK(DaqBook_RAW_Data!AK754),"",DaqBook_RAW_Data!AK754)</f>
        <v/>
      </c>
      <c r="G764" s="167" t="str">
        <f>IF(ISBLANK(DaqBook_RAW_Data!AL754),"",DaqBook_RAW_Data!AL754)</f>
        <v/>
      </c>
      <c r="H764" s="167" t="str">
        <f>IF(ISBLANK(DaqBook_RAW_Data!AM754),"",DaqBook_RAW_Data!AM754)</f>
        <v/>
      </c>
      <c r="I764" s="167" t="str">
        <f>IF(ISBLANK(DaqBook_RAW_Data!AN754),"",DaqBook_RAW_Data!AN754)</f>
        <v/>
      </c>
      <c r="J764" s="167" t="str">
        <f>IF(ISBLANK(DaqBook_RAW_Data!AO754),"",DaqBook_RAW_Data!AO754)</f>
        <v/>
      </c>
      <c r="K764" s="167" t="str">
        <f>IF(ISBLANK(DaqBook_RAW_Data!AP754),"",DaqBook_RAW_Data!AP754)</f>
        <v/>
      </c>
      <c r="L764" s="167" t="str">
        <f>IF(ISBLANK(DaqBook_RAW_Data!AQ754),"",DaqBook_RAW_Data!AQ754)</f>
        <v/>
      </c>
      <c r="M764" s="167" t="str">
        <f>IF(ISBLANK(DaqBook_RAW_Data!AR754),"",DaqBook_RAW_Data!AR754)</f>
        <v/>
      </c>
      <c r="N764" s="167" t="str">
        <f>IF(ISBLANK(DaqBook_RAW_Data!AS754),"",DaqBook_RAW_Data!AS754)</f>
        <v/>
      </c>
      <c r="O764" s="44"/>
      <c r="P764" s="44"/>
    </row>
    <row r="765" spans="1:16" x14ac:dyDescent="0.2">
      <c r="A765" s="58" t="e">
        <f t="shared" si="11"/>
        <v>#VALUE!</v>
      </c>
      <c r="B765" s="144" t="str">
        <f>IF(ISBLANK(DaqBook_RAW_Data!AG755),IF(DaqBook_RAW_Data!A755="","",TIMEVALUE(DaqBook_RAW_Data!A755)),TIMEVALUE(DaqBook_RAW_Data!AG755))</f>
        <v/>
      </c>
      <c r="C765" s="167" t="str">
        <f>IF(ISBLANK(DaqBook_RAW_Data!AH755),"",DaqBook_RAW_Data!AH755)</f>
        <v/>
      </c>
      <c r="D765" s="167" t="str">
        <f>IF(ISBLANK(DaqBook_RAW_Data!AI755),"",DaqBook_RAW_Data!AI755)</f>
        <v/>
      </c>
      <c r="E765" s="167" t="str">
        <f>IF(ISBLANK(DaqBook_RAW_Data!AJ755),"",DaqBook_RAW_Data!AJ755)</f>
        <v/>
      </c>
      <c r="F765" s="167" t="str">
        <f>IF(ISBLANK(DaqBook_RAW_Data!AK755),"",DaqBook_RAW_Data!AK755)</f>
        <v/>
      </c>
      <c r="G765" s="167" t="str">
        <f>IF(ISBLANK(DaqBook_RAW_Data!AL755),"",DaqBook_RAW_Data!AL755)</f>
        <v/>
      </c>
      <c r="H765" s="167" t="str">
        <f>IF(ISBLANK(DaqBook_RAW_Data!AM755),"",DaqBook_RAW_Data!AM755)</f>
        <v/>
      </c>
      <c r="I765" s="167" t="str">
        <f>IF(ISBLANK(DaqBook_RAW_Data!AN755),"",DaqBook_RAW_Data!AN755)</f>
        <v/>
      </c>
      <c r="J765" s="167" t="str">
        <f>IF(ISBLANK(DaqBook_RAW_Data!AO755),"",DaqBook_RAW_Data!AO755)</f>
        <v/>
      </c>
      <c r="K765" s="167" t="str">
        <f>IF(ISBLANK(DaqBook_RAW_Data!AP755),"",DaqBook_RAW_Data!AP755)</f>
        <v/>
      </c>
      <c r="L765" s="167" t="str">
        <f>IF(ISBLANK(DaqBook_RAW_Data!AQ755),"",DaqBook_RAW_Data!AQ755)</f>
        <v/>
      </c>
      <c r="M765" s="167" t="str">
        <f>IF(ISBLANK(DaqBook_RAW_Data!AR755),"",DaqBook_RAW_Data!AR755)</f>
        <v/>
      </c>
      <c r="N765" s="167" t="str">
        <f>IF(ISBLANK(DaqBook_RAW_Data!AS755),"",DaqBook_RAW_Data!AS755)</f>
        <v/>
      </c>
      <c r="O765" s="44"/>
      <c r="P765" s="44"/>
    </row>
    <row r="766" spans="1:16" x14ac:dyDescent="0.2">
      <c r="A766" s="58" t="e">
        <f t="shared" si="11"/>
        <v>#VALUE!</v>
      </c>
      <c r="B766" s="144" t="str">
        <f>IF(ISBLANK(DaqBook_RAW_Data!AG756),IF(DaqBook_RAW_Data!A756="","",TIMEVALUE(DaqBook_RAW_Data!A756)),TIMEVALUE(DaqBook_RAW_Data!AG756))</f>
        <v/>
      </c>
      <c r="C766" s="167" t="str">
        <f>IF(ISBLANK(DaqBook_RAW_Data!AH756),"",DaqBook_RAW_Data!AH756)</f>
        <v/>
      </c>
      <c r="D766" s="167" t="str">
        <f>IF(ISBLANK(DaqBook_RAW_Data!AI756),"",DaqBook_RAW_Data!AI756)</f>
        <v/>
      </c>
      <c r="E766" s="167" t="str">
        <f>IF(ISBLANK(DaqBook_RAW_Data!AJ756),"",DaqBook_RAW_Data!AJ756)</f>
        <v/>
      </c>
      <c r="F766" s="167" t="str">
        <f>IF(ISBLANK(DaqBook_RAW_Data!AK756),"",DaqBook_RAW_Data!AK756)</f>
        <v/>
      </c>
      <c r="G766" s="167" t="str">
        <f>IF(ISBLANK(DaqBook_RAW_Data!AL756),"",DaqBook_RAW_Data!AL756)</f>
        <v/>
      </c>
      <c r="H766" s="167" t="str">
        <f>IF(ISBLANK(DaqBook_RAW_Data!AM756),"",DaqBook_RAW_Data!AM756)</f>
        <v/>
      </c>
      <c r="I766" s="167" t="str">
        <f>IF(ISBLANK(DaqBook_RAW_Data!AN756),"",DaqBook_RAW_Data!AN756)</f>
        <v/>
      </c>
      <c r="J766" s="167" t="str">
        <f>IF(ISBLANK(DaqBook_RAW_Data!AO756),"",DaqBook_RAW_Data!AO756)</f>
        <v/>
      </c>
      <c r="K766" s="167" t="str">
        <f>IF(ISBLANK(DaqBook_RAW_Data!AP756),"",DaqBook_RAW_Data!AP756)</f>
        <v/>
      </c>
      <c r="L766" s="167" t="str">
        <f>IF(ISBLANK(DaqBook_RAW_Data!AQ756),"",DaqBook_RAW_Data!AQ756)</f>
        <v/>
      </c>
      <c r="M766" s="167" t="str">
        <f>IF(ISBLANK(DaqBook_RAW_Data!AR756),"",DaqBook_RAW_Data!AR756)</f>
        <v/>
      </c>
      <c r="N766" s="167" t="str">
        <f>IF(ISBLANK(DaqBook_RAW_Data!AS756),"",DaqBook_RAW_Data!AS756)</f>
        <v/>
      </c>
      <c r="O766" s="44"/>
      <c r="P766" s="44"/>
    </row>
    <row r="767" spans="1:16" x14ac:dyDescent="0.2">
      <c r="A767" s="58" t="e">
        <f t="shared" si="11"/>
        <v>#VALUE!</v>
      </c>
      <c r="B767" s="144" t="str">
        <f>IF(ISBLANK(DaqBook_RAW_Data!AG757),IF(DaqBook_RAW_Data!A757="","",TIMEVALUE(DaqBook_RAW_Data!A757)),TIMEVALUE(DaqBook_RAW_Data!AG757))</f>
        <v/>
      </c>
      <c r="C767" s="167" t="str">
        <f>IF(ISBLANK(DaqBook_RAW_Data!AH757),"",DaqBook_RAW_Data!AH757)</f>
        <v/>
      </c>
      <c r="D767" s="167" t="str">
        <f>IF(ISBLANK(DaqBook_RAW_Data!AI757),"",DaqBook_RAW_Data!AI757)</f>
        <v/>
      </c>
      <c r="E767" s="167" t="str">
        <f>IF(ISBLANK(DaqBook_RAW_Data!AJ757),"",DaqBook_RAW_Data!AJ757)</f>
        <v/>
      </c>
      <c r="F767" s="167" t="str">
        <f>IF(ISBLANK(DaqBook_RAW_Data!AK757),"",DaqBook_RAW_Data!AK757)</f>
        <v/>
      </c>
      <c r="G767" s="167" t="str">
        <f>IF(ISBLANK(DaqBook_RAW_Data!AL757),"",DaqBook_RAW_Data!AL757)</f>
        <v/>
      </c>
      <c r="H767" s="167" t="str">
        <f>IF(ISBLANK(DaqBook_RAW_Data!AM757),"",DaqBook_RAW_Data!AM757)</f>
        <v/>
      </c>
      <c r="I767" s="167" t="str">
        <f>IF(ISBLANK(DaqBook_RAW_Data!AN757),"",DaqBook_RAW_Data!AN757)</f>
        <v/>
      </c>
      <c r="J767" s="167" t="str">
        <f>IF(ISBLANK(DaqBook_RAW_Data!AO757),"",DaqBook_RAW_Data!AO757)</f>
        <v/>
      </c>
      <c r="K767" s="167" t="str">
        <f>IF(ISBLANK(DaqBook_RAW_Data!AP757),"",DaqBook_RAW_Data!AP757)</f>
        <v/>
      </c>
      <c r="L767" s="167" t="str">
        <f>IF(ISBLANK(DaqBook_RAW_Data!AQ757),"",DaqBook_RAW_Data!AQ757)</f>
        <v/>
      </c>
      <c r="M767" s="167" t="str">
        <f>IF(ISBLANK(DaqBook_RAW_Data!AR757),"",DaqBook_RAW_Data!AR757)</f>
        <v/>
      </c>
      <c r="N767" s="167" t="str">
        <f>IF(ISBLANK(DaqBook_RAW_Data!AS757),"",DaqBook_RAW_Data!AS757)</f>
        <v/>
      </c>
      <c r="O767" s="44"/>
      <c r="P767" s="44"/>
    </row>
    <row r="768" spans="1:16" x14ac:dyDescent="0.2">
      <c r="A768" s="58" t="e">
        <f t="shared" si="11"/>
        <v>#VALUE!</v>
      </c>
      <c r="B768" s="144" t="str">
        <f>IF(ISBLANK(DaqBook_RAW_Data!AG758),IF(DaqBook_RAW_Data!A758="","",TIMEVALUE(DaqBook_RAW_Data!A758)),TIMEVALUE(DaqBook_RAW_Data!AG758))</f>
        <v/>
      </c>
      <c r="C768" s="167" t="str">
        <f>IF(ISBLANK(DaqBook_RAW_Data!AH758),"",DaqBook_RAW_Data!AH758)</f>
        <v/>
      </c>
      <c r="D768" s="167" t="str">
        <f>IF(ISBLANK(DaqBook_RAW_Data!AI758),"",DaqBook_RAW_Data!AI758)</f>
        <v/>
      </c>
      <c r="E768" s="167" t="str">
        <f>IF(ISBLANK(DaqBook_RAW_Data!AJ758),"",DaqBook_RAW_Data!AJ758)</f>
        <v/>
      </c>
      <c r="F768" s="167" t="str">
        <f>IF(ISBLANK(DaqBook_RAW_Data!AK758),"",DaqBook_RAW_Data!AK758)</f>
        <v/>
      </c>
      <c r="G768" s="167" t="str">
        <f>IF(ISBLANK(DaqBook_RAW_Data!AL758),"",DaqBook_RAW_Data!AL758)</f>
        <v/>
      </c>
      <c r="H768" s="167" t="str">
        <f>IF(ISBLANK(DaqBook_RAW_Data!AM758),"",DaqBook_RAW_Data!AM758)</f>
        <v/>
      </c>
      <c r="I768" s="167" t="str">
        <f>IF(ISBLANK(DaqBook_RAW_Data!AN758),"",DaqBook_RAW_Data!AN758)</f>
        <v/>
      </c>
      <c r="J768" s="167" t="str">
        <f>IF(ISBLANK(DaqBook_RAW_Data!AO758),"",DaqBook_RAW_Data!AO758)</f>
        <v/>
      </c>
      <c r="K768" s="167" t="str">
        <f>IF(ISBLANK(DaqBook_RAW_Data!AP758),"",DaqBook_RAW_Data!AP758)</f>
        <v/>
      </c>
      <c r="L768" s="167" t="str">
        <f>IF(ISBLANK(DaqBook_RAW_Data!AQ758),"",DaqBook_RAW_Data!AQ758)</f>
        <v/>
      </c>
      <c r="M768" s="167" t="str">
        <f>IF(ISBLANK(DaqBook_RAW_Data!AR758),"",DaqBook_RAW_Data!AR758)</f>
        <v/>
      </c>
      <c r="N768" s="167" t="str">
        <f>IF(ISBLANK(DaqBook_RAW_Data!AS758),"",DaqBook_RAW_Data!AS758)</f>
        <v/>
      </c>
      <c r="O768" s="44"/>
      <c r="P768" s="44"/>
    </row>
    <row r="769" spans="1:16" x14ac:dyDescent="0.2">
      <c r="A769" s="58" t="e">
        <f t="shared" si="11"/>
        <v>#VALUE!</v>
      </c>
      <c r="B769" s="144" t="str">
        <f>IF(ISBLANK(DaqBook_RAW_Data!AG759),IF(DaqBook_RAW_Data!A759="","",TIMEVALUE(DaqBook_RAW_Data!A759)),TIMEVALUE(DaqBook_RAW_Data!AG759))</f>
        <v/>
      </c>
      <c r="C769" s="167" t="str">
        <f>IF(ISBLANK(DaqBook_RAW_Data!AH759),"",DaqBook_RAW_Data!AH759)</f>
        <v/>
      </c>
      <c r="D769" s="167" t="str">
        <f>IF(ISBLANK(DaqBook_RAW_Data!AI759),"",DaqBook_RAW_Data!AI759)</f>
        <v/>
      </c>
      <c r="E769" s="167" t="str">
        <f>IF(ISBLANK(DaqBook_RAW_Data!AJ759),"",DaqBook_RAW_Data!AJ759)</f>
        <v/>
      </c>
      <c r="F769" s="167" t="str">
        <f>IF(ISBLANK(DaqBook_RAW_Data!AK759),"",DaqBook_RAW_Data!AK759)</f>
        <v/>
      </c>
      <c r="G769" s="167" t="str">
        <f>IF(ISBLANK(DaqBook_RAW_Data!AL759),"",DaqBook_RAW_Data!AL759)</f>
        <v/>
      </c>
      <c r="H769" s="167" t="str">
        <f>IF(ISBLANK(DaqBook_RAW_Data!AM759),"",DaqBook_RAW_Data!AM759)</f>
        <v/>
      </c>
      <c r="I769" s="167" t="str">
        <f>IF(ISBLANK(DaqBook_RAW_Data!AN759),"",DaqBook_RAW_Data!AN759)</f>
        <v/>
      </c>
      <c r="J769" s="167" t="str">
        <f>IF(ISBLANK(DaqBook_RAW_Data!AO759),"",DaqBook_RAW_Data!AO759)</f>
        <v/>
      </c>
      <c r="K769" s="167" t="str">
        <f>IF(ISBLANK(DaqBook_RAW_Data!AP759),"",DaqBook_RAW_Data!AP759)</f>
        <v/>
      </c>
      <c r="L769" s="167" t="str">
        <f>IF(ISBLANK(DaqBook_RAW_Data!AQ759),"",DaqBook_RAW_Data!AQ759)</f>
        <v/>
      </c>
      <c r="M769" s="167" t="str">
        <f>IF(ISBLANK(DaqBook_RAW_Data!AR759),"",DaqBook_RAW_Data!AR759)</f>
        <v/>
      </c>
      <c r="N769" s="167" t="str">
        <f>IF(ISBLANK(DaqBook_RAW_Data!AS759),"",DaqBook_RAW_Data!AS759)</f>
        <v/>
      </c>
      <c r="O769" s="44"/>
      <c r="P769" s="44"/>
    </row>
    <row r="770" spans="1:16" x14ac:dyDescent="0.2">
      <c r="A770" s="58" t="e">
        <f t="shared" si="11"/>
        <v>#VALUE!</v>
      </c>
      <c r="B770" s="144" t="str">
        <f>IF(ISBLANK(DaqBook_RAW_Data!AG760),IF(DaqBook_RAW_Data!A760="","",TIMEVALUE(DaqBook_RAW_Data!A760)),TIMEVALUE(DaqBook_RAW_Data!AG760))</f>
        <v/>
      </c>
      <c r="C770" s="167" t="str">
        <f>IF(ISBLANK(DaqBook_RAW_Data!AH760),"",DaqBook_RAW_Data!AH760)</f>
        <v/>
      </c>
      <c r="D770" s="167" t="str">
        <f>IF(ISBLANK(DaqBook_RAW_Data!AI760),"",DaqBook_RAW_Data!AI760)</f>
        <v/>
      </c>
      <c r="E770" s="167" t="str">
        <f>IF(ISBLANK(DaqBook_RAW_Data!AJ760),"",DaqBook_RAW_Data!AJ760)</f>
        <v/>
      </c>
      <c r="F770" s="167" t="str">
        <f>IF(ISBLANK(DaqBook_RAW_Data!AK760),"",DaqBook_RAW_Data!AK760)</f>
        <v/>
      </c>
      <c r="G770" s="167" t="str">
        <f>IF(ISBLANK(DaqBook_RAW_Data!AL760),"",DaqBook_RAW_Data!AL760)</f>
        <v/>
      </c>
      <c r="H770" s="167" t="str">
        <f>IF(ISBLANK(DaqBook_RAW_Data!AM760),"",DaqBook_RAW_Data!AM760)</f>
        <v/>
      </c>
      <c r="I770" s="167" t="str">
        <f>IF(ISBLANK(DaqBook_RAW_Data!AN760),"",DaqBook_RAW_Data!AN760)</f>
        <v/>
      </c>
      <c r="J770" s="167" t="str">
        <f>IF(ISBLANK(DaqBook_RAW_Data!AO760),"",DaqBook_RAW_Data!AO760)</f>
        <v/>
      </c>
      <c r="K770" s="167" t="str">
        <f>IF(ISBLANK(DaqBook_RAW_Data!AP760),"",DaqBook_RAW_Data!AP760)</f>
        <v/>
      </c>
      <c r="L770" s="167" t="str">
        <f>IF(ISBLANK(DaqBook_RAW_Data!AQ760),"",DaqBook_RAW_Data!AQ760)</f>
        <v/>
      </c>
      <c r="M770" s="167" t="str">
        <f>IF(ISBLANK(DaqBook_RAW_Data!AR760),"",DaqBook_RAW_Data!AR760)</f>
        <v/>
      </c>
      <c r="N770" s="167" t="str">
        <f>IF(ISBLANK(DaqBook_RAW_Data!AS760),"",DaqBook_RAW_Data!AS760)</f>
        <v/>
      </c>
      <c r="O770" s="44"/>
      <c r="P770" s="44"/>
    </row>
    <row r="771" spans="1:16" x14ac:dyDescent="0.2">
      <c r="A771" s="58" t="e">
        <f t="shared" si="11"/>
        <v>#VALUE!</v>
      </c>
      <c r="B771" s="144" t="str">
        <f>IF(ISBLANK(DaqBook_RAW_Data!AG761),IF(DaqBook_RAW_Data!A761="","",TIMEVALUE(DaqBook_RAW_Data!A761)),TIMEVALUE(DaqBook_RAW_Data!AG761))</f>
        <v/>
      </c>
      <c r="C771" s="167" t="str">
        <f>IF(ISBLANK(DaqBook_RAW_Data!AH761),"",DaqBook_RAW_Data!AH761)</f>
        <v/>
      </c>
      <c r="D771" s="167" t="str">
        <f>IF(ISBLANK(DaqBook_RAW_Data!AI761),"",DaqBook_RAW_Data!AI761)</f>
        <v/>
      </c>
      <c r="E771" s="167" t="str">
        <f>IF(ISBLANK(DaqBook_RAW_Data!AJ761),"",DaqBook_RAW_Data!AJ761)</f>
        <v/>
      </c>
      <c r="F771" s="167" t="str">
        <f>IF(ISBLANK(DaqBook_RAW_Data!AK761),"",DaqBook_RAW_Data!AK761)</f>
        <v/>
      </c>
      <c r="G771" s="167" t="str">
        <f>IF(ISBLANK(DaqBook_RAW_Data!AL761),"",DaqBook_RAW_Data!AL761)</f>
        <v/>
      </c>
      <c r="H771" s="167" t="str">
        <f>IF(ISBLANK(DaqBook_RAW_Data!AM761),"",DaqBook_RAW_Data!AM761)</f>
        <v/>
      </c>
      <c r="I771" s="167" t="str">
        <f>IF(ISBLANK(DaqBook_RAW_Data!AN761),"",DaqBook_RAW_Data!AN761)</f>
        <v/>
      </c>
      <c r="J771" s="167" t="str">
        <f>IF(ISBLANK(DaqBook_RAW_Data!AO761),"",DaqBook_RAW_Data!AO761)</f>
        <v/>
      </c>
      <c r="K771" s="167" t="str">
        <f>IF(ISBLANK(DaqBook_RAW_Data!AP761),"",DaqBook_RAW_Data!AP761)</f>
        <v/>
      </c>
      <c r="L771" s="167" t="str">
        <f>IF(ISBLANK(DaqBook_RAW_Data!AQ761),"",DaqBook_RAW_Data!AQ761)</f>
        <v/>
      </c>
      <c r="M771" s="167" t="str">
        <f>IF(ISBLANK(DaqBook_RAW_Data!AR761),"",DaqBook_RAW_Data!AR761)</f>
        <v/>
      </c>
      <c r="N771" s="167" t="str">
        <f>IF(ISBLANK(DaqBook_RAW_Data!AS761),"",DaqBook_RAW_Data!AS761)</f>
        <v/>
      </c>
      <c r="O771" s="44"/>
      <c r="P771" s="44"/>
    </row>
    <row r="772" spans="1:16" x14ac:dyDescent="0.2">
      <c r="A772" s="58" t="e">
        <f t="shared" si="11"/>
        <v>#VALUE!</v>
      </c>
      <c r="B772" s="144" t="str">
        <f>IF(ISBLANK(DaqBook_RAW_Data!AG762),IF(DaqBook_RAW_Data!A762="","",TIMEVALUE(DaqBook_RAW_Data!A762)),TIMEVALUE(DaqBook_RAW_Data!AG762))</f>
        <v/>
      </c>
      <c r="C772" s="167" t="str">
        <f>IF(ISBLANK(DaqBook_RAW_Data!AH762),"",DaqBook_RAW_Data!AH762)</f>
        <v/>
      </c>
      <c r="D772" s="167" t="str">
        <f>IF(ISBLANK(DaqBook_RAW_Data!AI762),"",DaqBook_RAW_Data!AI762)</f>
        <v/>
      </c>
      <c r="E772" s="167" t="str">
        <f>IF(ISBLANK(DaqBook_RAW_Data!AJ762),"",DaqBook_RAW_Data!AJ762)</f>
        <v/>
      </c>
      <c r="F772" s="167" t="str">
        <f>IF(ISBLANK(DaqBook_RAW_Data!AK762),"",DaqBook_RAW_Data!AK762)</f>
        <v/>
      </c>
      <c r="G772" s="167" t="str">
        <f>IF(ISBLANK(DaqBook_RAW_Data!AL762),"",DaqBook_RAW_Data!AL762)</f>
        <v/>
      </c>
      <c r="H772" s="167" t="str">
        <f>IF(ISBLANK(DaqBook_RAW_Data!AM762),"",DaqBook_RAW_Data!AM762)</f>
        <v/>
      </c>
      <c r="I772" s="167" t="str">
        <f>IF(ISBLANK(DaqBook_RAW_Data!AN762),"",DaqBook_RAW_Data!AN762)</f>
        <v/>
      </c>
      <c r="J772" s="167" t="str">
        <f>IF(ISBLANK(DaqBook_RAW_Data!AO762),"",DaqBook_RAW_Data!AO762)</f>
        <v/>
      </c>
      <c r="K772" s="167" t="str">
        <f>IF(ISBLANK(DaqBook_RAW_Data!AP762),"",DaqBook_RAW_Data!AP762)</f>
        <v/>
      </c>
      <c r="L772" s="167" t="str">
        <f>IF(ISBLANK(DaqBook_RAW_Data!AQ762),"",DaqBook_RAW_Data!AQ762)</f>
        <v/>
      </c>
      <c r="M772" s="167" t="str">
        <f>IF(ISBLANK(DaqBook_RAW_Data!AR762),"",DaqBook_RAW_Data!AR762)</f>
        <v/>
      </c>
      <c r="N772" s="167" t="str">
        <f>IF(ISBLANK(DaqBook_RAW_Data!AS762),"",DaqBook_RAW_Data!AS762)</f>
        <v/>
      </c>
      <c r="O772" s="44"/>
      <c r="P772" s="44"/>
    </row>
    <row r="773" spans="1:16" x14ac:dyDescent="0.2">
      <c r="A773" s="58" t="e">
        <f t="shared" si="11"/>
        <v>#VALUE!</v>
      </c>
      <c r="B773" s="144" t="str">
        <f>IF(ISBLANK(DaqBook_RAW_Data!AG763),IF(DaqBook_RAW_Data!A763="","",TIMEVALUE(DaqBook_RAW_Data!A763)),TIMEVALUE(DaqBook_RAW_Data!AG763))</f>
        <v/>
      </c>
      <c r="C773" s="167" t="str">
        <f>IF(ISBLANK(DaqBook_RAW_Data!AH763),"",DaqBook_RAW_Data!AH763)</f>
        <v/>
      </c>
      <c r="D773" s="167" t="str">
        <f>IF(ISBLANK(DaqBook_RAW_Data!AI763),"",DaqBook_RAW_Data!AI763)</f>
        <v/>
      </c>
      <c r="E773" s="167" t="str">
        <f>IF(ISBLANK(DaqBook_RAW_Data!AJ763),"",DaqBook_RAW_Data!AJ763)</f>
        <v/>
      </c>
      <c r="F773" s="167" t="str">
        <f>IF(ISBLANK(DaqBook_RAW_Data!AK763),"",DaqBook_RAW_Data!AK763)</f>
        <v/>
      </c>
      <c r="G773" s="167" t="str">
        <f>IF(ISBLANK(DaqBook_RAW_Data!AL763),"",DaqBook_RAW_Data!AL763)</f>
        <v/>
      </c>
      <c r="H773" s="167" t="str">
        <f>IF(ISBLANK(DaqBook_RAW_Data!AM763),"",DaqBook_RAW_Data!AM763)</f>
        <v/>
      </c>
      <c r="I773" s="167" t="str">
        <f>IF(ISBLANK(DaqBook_RAW_Data!AN763),"",DaqBook_RAW_Data!AN763)</f>
        <v/>
      </c>
      <c r="J773" s="167" t="str">
        <f>IF(ISBLANK(DaqBook_RAW_Data!AO763),"",DaqBook_RAW_Data!AO763)</f>
        <v/>
      </c>
      <c r="K773" s="167" t="str">
        <f>IF(ISBLANK(DaqBook_RAW_Data!AP763),"",DaqBook_RAW_Data!AP763)</f>
        <v/>
      </c>
      <c r="L773" s="167" t="str">
        <f>IF(ISBLANK(DaqBook_RAW_Data!AQ763),"",DaqBook_RAW_Data!AQ763)</f>
        <v/>
      </c>
      <c r="M773" s="167" t="str">
        <f>IF(ISBLANK(DaqBook_RAW_Data!AR763),"",DaqBook_RAW_Data!AR763)</f>
        <v/>
      </c>
      <c r="N773" s="167" t="str">
        <f>IF(ISBLANK(DaqBook_RAW_Data!AS763),"",DaqBook_RAW_Data!AS763)</f>
        <v/>
      </c>
      <c r="O773" s="44"/>
      <c r="P773" s="44"/>
    </row>
    <row r="774" spans="1:16" x14ac:dyDescent="0.2">
      <c r="A774" s="58" t="e">
        <f t="shared" si="11"/>
        <v>#VALUE!</v>
      </c>
      <c r="B774" s="144" t="str">
        <f>IF(ISBLANK(DaqBook_RAW_Data!AG764),IF(DaqBook_RAW_Data!A764="","",TIMEVALUE(DaqBook_RAW_Data!A764)),TIMEVALUE(DaqBook_RAW_Data!AG764))</f>
        <v/>
      </c>
      <c r="C774" s="167" t="str">
        <f>IF(ISBLANK(DaqBook_RAW_Data!AH764),"",DaqBook_RAW_Data!AH764)</f>
        <v/>
      </c>
      <c r="D774" s="167" t="str">
        <f>IF(ISBLANK(DaqBook_RAW_Data!AI764),"",DaqBook_RAW_Data!AI764)</f>
        <v/>
      </c>
      <c r="E774" s="167" t="str">
        <f>IF(ISBLANK(DaqBook_RAW_Data!AJ764),"",DaqBook_RAW_Data!AJ764)</f>
        <v/>
      </c>
      <c r="F774" s="167" t="str">
        <f>IF(ISBLANK(DaqBook_RAW_Data!AK764),"",DaqBook_RAW_Data!AK764)</f>
        <v/>
      </c>
      <c r="G774" s="167" t="str">
        <f>IF(ISBLANK(DaqBook_RAW_Data!AL764),"",DaqBook_RAW_Data!AL764)</f>
        <v/>
      </c>
      <c r="H774" s="167" t="str">
        <f>IF(ISBLANK(DaqBook_RAW_Data!AM764),"",DaqBook_RAW_Data!AM764)</f>
        <v/>
      </c>
      <c r="I774" s="167" t="str">
        <f>IF(ISBLANK(DaqBook_RAW_Data!AN764),"",DaqBook_RAW_Data!AN764)</f>
        <v/>
      </c>
      <c r="J774" s="167" t="str">
        <f>IF(ISBLANK(DaqBook_RAW_Data!AO764),"",DaqBook_RAW_Data!AO764)</f>
        <v/>
      </c>
      <c r="K774" s="167" t="str">
        <f>IF(ISBLANK(DaqBook_RAW_Data!AP764),"",DaqBook_RAW_Data!AP764)</f>
        <v/>
      </c>
      <c r="L774" s="167" t="str">
        <f>IF(ISBLANK(DaqBook_RAW_Data!AQ764),"",DaqBook_RAW_Data!AQ764)</f>
        <v/>
      </c>
      <c r="M774" s="167" t="str">
        <f>IF(ISBLANK(DaqBook_RAW_Data!AR764),"",DaqBook_RAW_Data!AR764)</f>
        <v/>
      </c>
      <c r="N774" s="167" t="str">
        <f>IF(ISBLANK(DaqBook_RAW_Data!AS764),"",DaqBook_RAW_Data!AS764)</f>
        <v/>
      </c>
      <c r="O774" s="44"/>
      <c r="P774" s="44"/>
    </row>
    <row r="775" spans="1:16" x14ac:dyDescent="0.2">
      <c r="A775" s="58" t="e">
        <f t="shared" si="11"/>
        <v>#VALUE!</v>
      </c>
      <c r="B775" s="144" t="str">
        <f>IF(ISBLANK(DaqBook_RAW_Data!AG765),IF(DaqBook_RAW_Data!A765="","",TIMEVALUE(DaqBook_RAW_Data!A765)),TIMEVALUE(DaqBook_RAW_Data!AG765))</f>
        <v/>
      </c>
      <c r="C775" s="167" t="str">
        <f>IF(ISBLANK(DaqBook_RAW_Data!AH765),"",DaqBook_RAW_Data!AH765)</f>
        <v/>
      </c>
      <c r="D775" s="167" t="str">
        <f>IF(ISBLANK(DaqBook_RAW_Data!AI765),"",DaqBook_RAW_Data!AI765)</f>
        <v/>
      </c>
      <c r="E775" s="167" t="str">
        <f>IF(ISBLANK(DaqBook_RAW_Data!AJ765),"",DaqBook_RAW_Data!AJ765)</f>
        <v/>
      </c>
      <c r="F775" s="167" t="str">
        <f>IF(ISBLANK(DaqBook_RAW_Data!AK765),"",DaqBook_RAW_Data!AK765)</f>
        <v/>
      </c>
      <c r="G775" s="167" t="str">
        <f>IF(ISBLANK(DaqBook_RAW_Data!AL765),"",DaqBook_RAW_Data!AL765)</f>
        <v/>
      </c>
      <c r="H775" s="167" t="str">
        <f>IF(ISBLANK(DaqBook_RAW_Data!AM765),"",DaqBook_RAW_Data!AM765)</f>
        <v/>
      </c>
      <c r="I775" s="167" t="str">
        <f>IF(ISBLANK(DaqBook_RAW_Data!AN765),"",DaqBook_RAW_Data!AN765)</f>
        <v/>
      </c>
      <c r="J775" s="167" t="str">
        <f>IF(ISBLANK(DaqBook_RAW_Data!AO765),"",DaqBook_RAW_Data!AO765)</f>
        <v/>
      </c>
      <c r="K775" s="167" t="str">
        <f>IF(ISBLANK(DaqBook_RAW_Data!AP765),"",DaqBook_RAW_Data!AP765)</f>
        <v/>
      </c>
      <c r="L775" s="167" t="str">
        <f>IF(ISBLANK(DaqBook_RAW_Data!AQ765),"",DaqBook_RAW_Data!AQ765)</f>
        <v/>
      </c>
      <c r="M775" s="167" t="str">
        <f>IF(ISBLANK(DaqBook_RAW_Data!AR765),"",DaqBook_RAW_Data!AR765)</f>
        <v/>
      </c>
      <c r="N775" s="167" t="str">
        <f>IF(ISBLANK(DaqBook_RAW_Data!AS765),"",DaqBook_RAW_Data!AS765)</f>
        <v/>
      </c>
      <c r="O775" s="44"/>
      <c r="P775" s="44"/>
    </row>
    <row r="776" spans="1:16" x14ac:dyDescent="0.2">
      <c r="A776" s="58" t="e">
        <f t="shared" si="11"/>
        <v>#VALUE!</v>
      </c>
      <c r="B776" s="144" t="str">
        <f>IF(ISBLANK(DaqBook_RAW_Data!AG766),IF(DaqBook_RAW_Data!A766="","",TIMEVALUE(DaqBook_RAW_Data!A766)),TIMEVALUE(DaqBook_RAW_Data!AG766))</f>
        <v/>
      </c>
      <c r="C776" s="167" t="str">
        <f>IF(ISBLANK(DaqBook_RAW_Data!AH766),"",DaqBook_RAW_Data!AH766)</f>
        <v/>
      </c>
      <c r="D776" s="167" t="str">
        <f>IF(ISBLANK(DaqBook_RAW_Data!AI766),"",DaqBook_RAW_Data!AI766)</f>
        <v/>
      </c>
      <c r="E776" s="167" t="str">
        <f>IF(ISBLANK(DaqBook_RAW_Data!AJ766),"",DaqBook_RAW_Data!AJ766)</f>
        <v/>
      </c>
      <c r="F776" s="167" t="str">
        <f>IF(ISBLANK(DaqBook_RAW_Data!AK766),"",DaqBook_RAW_Data!AK766)</f>
        <v/>
      </c>
      <c r="G776" s="167" t="str">
        <f>IF(ISBLANK(DaqBook_RAW_Data!AL766),"",DaqBook_RAW_Data!AL766)</f>
        <v/>
      </c>
      <c r="H776" s="167" t="str">
        <f>IF(ISBLANK(DaqBook_RAW_Data!AM766),"",DaqBook_RAW_Data!AM766)</f>
        <v/>
      </c>
      <c r="I776" s="167" t="str">
        <f>IF(ISBLANK(DaqBook_RAW_Data!AN766),"",DaqBook_RAW_Data!AN766)</f>
        <v/>
      </c>
      <c r="J776" s="167" t="str">
        <f>IF(ISBLANK(DaqBook_RAW_Data!AO766),"",DaqBook_RAW_Data!AO766)</f>
        <v/>
      </c>
      <c r="K776" s="167" t="str">
        <f>IF(ISBLANK(DaqBook_RAW_Data!AP766),"",DaqBook_RAW_Data!AP766)</f>
        <v/>
      </c>
      <c r="L776" s="167" t="str">
        <f>IF(ISBLANK(DaqBook_RAW_Data!AQ766),"",DaqBook_RAW_Data!AQ766)</f>
        <v/>
      </c>
      <c r="M776" s="167" t="str">
        <f>IF(ISBLANK(DaqBook_RAW_Data!AR766),"",DaqBook_RAW_Data!AR766)</f>
        <v/>
      </c>
      <c r="N776" s="167" t="str">
        <f>IF(ISBLANK(DaqBook_RAW_Data!AS766),"",DaqBook_RAW_Data!AS766)</f>
        <v/>
      </c>
      <c r="O776" s="44"/>
      <c r="P776" s="44"/>
    </row>
    <row r="777" spans="1:16" x14ac:dyDescent="0.2">
      <c r="A777" s="58" t="e">
        <f t="shared" si="11"/>
        <v>#VALUE!</v>
      </c>
      <c r="B777" s="144" t="str">
        <f>IF(ISBLANK(DaqBook_RAW_Data!AG767),IF(DaqBook_RAW_Data!A767="","",TIMEVALUE(DaqBook_RAW_Data!A767)),TIMEVALUE(DaqBook_RAW_Data!AG767))</f>
        <v/>
      </c>
      <c r="C777" s="167" t="str">
        <f>IF(ISBLANK(DaqBook_RAW_Data!AH767),"",DaqBook_RAW_Data!AH767)</f>
        <v/>
      </c>
      <c r="D777" s="167" t="str">
        <f>IF(ISBLANK(DaqBook_RAW_Data!AI767),"",DaqBook_RAW_Data!AI767)</f>
        <v/>
      </c>
      <c r="E777" s="167" t="str">
        <f>IF(ISBLANK(DaqBook_RAW_Data!AJ767),"",DaqBook_RAW_Data!AJ767)</f>
        <v/>
      </c>
      <c r="F777" s="167" t="str">
        <f>IF(ISBLANK(DaqBook_RAW_Data!AK767),"",DaqBook_RAW_Data!AK767)</f>
        <v/>
      </c>
      <c r="G777" s="167" t="str">
        <f>IF(ISBLANK(DaqBook_RAW_Data!AL767),"",DaqBook_RAW_Data!AL767)</f>
        <v/>
      </c>
      <c r="H777" s="167" t="str">
        <f>IF(ISBLANK(DaqBook_RAW_Data!AM767),"",DaqBook_RAW_Data!AM767)</f>
        <v/>
      </c>
      <c r="I777" s="167" t="str">
        <f>IF(ISBLANK(DaqBook_RAW_Data!AN767),"",DaqBook_RAW_Data!AN767)</f>
        <v/>
      </c>
      <c r="J777" s="167" t="str">
        <f>IF(ISBLANK(DaqBook_RAW_Data!AO767),"",DaqBook_RAW_Data!AO767)</f>
        <v/>
      </c>
      <c r="K777" s="167" t="str">
        <f>IF(ISBLANK(DaqBook_RAW_Data!AP767),"",DaqBook_RAW_Data!AP767)</f>
        <v/>
      </c>
      <c r="L777" s="167" t="str">
        <f>IF(ISBLANK(DaqBook_RAW_Data!AQ767),"",DaqBook_RAW_Data!AQ767)</f>
        <v/>
      </c>
      <c r="M777" s="167" t="str">
        <f>IF(ISBLANK(DaqBook_RAW_Data!AR767),"",DaqBook_RAW_Data!AR767)</f>
        <v/>
      </c>
      <c r="N777" s="167" t="str">
        <f>IF(ISBLANK(DaqBook_RAW_Data!AS767),"",DaqBook_RAW_Data!AS767)</f>
        <v/>
      </c>
      <c r="O777" s="44"/>
      <c r="P777" s="44"/>
    </row>
    <row r="778" spans="1:16" x14ac:dyDescent="0.2">
      <c r="A778" s="58" t="e">
        <f t="shared" si="11"/>
        <v>#VALUE!</v>
      </c>
      <c r="B778" s="144" t="str">
        <f>IF(ISBLANK(DaqBook_RAW_Data!AG768),IF(DaqBook_RAW_Data!A768="","",TIMEVALUE(DaqBook_RAW_Data!A768)),TIMEVALUE(DaqBook_RAW_Data!AG768))</f>
        <v/>
      </c>
      <c r="C778" s="167" t="str">
        <f>IF(ISBLANK(DaqBook_RAW_Data!AH768),"",DaqBook_RAW_Data!AH768)</f>
        <v/>
      </c>
      <c r="D778" s="167" t="str">
        <f>IF(ISBLANK(DaqBook_RAW_Data!AI768),"",DaqBook_RAW_Data!AI768)</f>
        <v/>
      </c>
      <c r="E778" s="167" t="str">
        <f>IF(ISBLANK(DaqBook_RAW_Data!AJ768),"",DaqBook_RAW_Data!AJ768)</f>
        <v/>
      </c>
      <c r="F778" s="167" t="str">
        <f>IF(ISBLANK(DaqBook_RAW_Data!AK768),"",DaqBook_RAW_Data!AK768)</f>
        <v/>
      </c>
      <c r="G778" s="167" t="str">
        <f>IF(ISBLANK(DaqBook_RAW_Data!AL768),"",DaqBook_RAW_Data!AL768)</f>
        <v/>
      </c>
      <c r="H778" s="167" t="str">
        <f>IF(ISBLANK(DaqBook_RAW_Data!AM768),"",DaqBook_RAW_Data!AM768)</f>
        <v/>
      </c>
      <c r="I778" s="167" t="str">
        <f>IF(ISBLANK(DaqBook_RAW_Data!AN768),"",DaqBook_RAW_Data!AN768)</f>
        <v/>
      </c>
      <c r="J778" s="167" t="str">
        <f>IF(ISBLANK(DaqBook_RAW_Data!AO768),"",DaqBook_RAW_Data!AO768)</f>
        <v/>
      </c>
      <c r="K778" s="167" t="str">
        <f>IF(ISBLANK(DaqBook_RAW_Data!AP768),"",DaqBook_RAW_Data!AP768)</f>
        <v/>
      </c>
      <c r="L778" s="167" t="str">
        <f>IF(ISBLANK(DaqBook_RAW_Data!AQ768),"",DaqBook_RAW_Data!AQ768)</f>
        <v/>
      </c>
      <c r="M778" s="167" t="str">
        <f>IF(ISBLANK(DaqBook_RAW_Data!AR768),"",DaqBook_RAW_Data!AR768)</f>
        <v/>
      </c>
      <c r="N778" s="167" t="str">
        <f>IF(ISBLANK(DaqBook_RAW_Data!AS768),"",DaqBook_RAW_Data!AS768)</f>
        <v/>
      </c>
      <c r="O778" s="44"/>
      <c r="P778" s="44"/>
    </row>
    <row r="779" spans="1:16" x14ac:dyDescent="0.2">
      <c r="A779" s="58" t="e">
        <f t="shared" si="11"/>
        <v>#VALUE!</v>
      </c>
      <c r="B779" s="144" t="str">
        <f>IF(ISBLANK(DaqBook_RAW_Data!AG769),IF(DaqBook_RAW_Data!A769="","",TIMEVALUE(DaqBook_RAW_Data!A769)),TIMEVALUE(DaqBook_RAW_Data!AG769))</f>
        <v/>
      </c>
      <c r="C779" s="167" t="str">
        <f>IF(ISBLANK(DaqBook_RAW_Data!AH769),"",DaqBook_RAW_Data!AH769)</f>
        <v/>
      </c>
      <c r="D779" s="167" t="str">
        <f>IF(ISBLANK(DaqBook_RAW_Data!AI769),"",DaqBook_RAW_Data!AI769)</f>
        <v/>
      </c>
      <c r="E779" s="167" t="str">
        <f>IF(ISBLANK(DaqBook_RAW_Data!AJ769),"",DaqBook_RAW_Data!AJ769)</f>
        <v/>
      </c>
      <c r="F779" s="167" t="str">
        <f>IF(ISBLANK(DaqBook_RAW_Data!AK769),"",DaqBook_RAW_Data!AK769)</f>
        <v/>
      </c>
      <c r="G779" s="167" t="str">
        <f>IF(ISBLANK(DaqBook_RAW_Data!AL769),"",DaqBook_RAW_Data!AL769)</f>
        <v/>
      </c>
      <c r="H779" s="167" t="str">
        <f>IF(ISBLANK(DaqBook_RAW_Data!AM769),"",DaqBook_RAW_Data!AM769)</f>
        <v/>
      </c>
      <c r="I779" s="167" t="str">
        <f>IF(ISBLANK(DaqBook_RAW_Data!AN769),"",DaqBook_RAW_Data!AN769)</f>
        <v/>
      </c>
      <c r="J779" s="167" t="str">
        <f>IF(ISBLANK(DaqBook_RAW_Data!AO769),"",DaqBook_RAW_Data!AO769)</f>
        <v/>
      </c>
      <c r="K779" s="167" t="str">
        <f>IF(ISBLANK(DaqBook_RAW_Data!AP769),"",DaqBook_RAW_Data!AP769)</f>
        <v/>
      </c>
      <c r="L779" s="167" t="str">
        <f>IF(ISBLANK(DaqBook_RAW_Data!AQ769),"",DaqBook_RAW_Data!AQ769)</f>
        <v/>
      </c>
      <c r="M779" s="167" t="str">
        <f>IF(ISBLANK(DaqBook_RAW_Data!AR769),"",DaqBook_RAW_Data!AR769)</f>
        <v/>
      </c>
      <c r="N779" s="167" t="str">
        <f>IF(ISBLANK(DaqBook_RAW_Data!AS769),"",DaqBook_RAW_Data!AS769)</f>
        <v/>
      </c>
      <c r="O779" s="44"/>
      <c r="P779" s="44"/>
    </row>
    <row r="780" spans="1:16" x14ac:dyDescent="0.2">
      <c r="A780" s="58" t="e">
        <f t="shared" si="11"/>
        <v>#VALUE!</v>
      </c>
      <c r="B780" s="144" t="str">
        <f>IF(ISBLANK(DaqBook_RAW_Data!AG770),IF(DaqBook_RAW_Data!A770="","",TIMEVALUE(DaqBook_RAW_Data!A770)),TIMEVALUE(DaqBook_RAW_Data!AG770))</f>
        <v/>
      </c>
      <c r="C780" s="167" t="str">
        <f>IF(ISBLANK(DaqBook_RAW_Data!AH770),"",DaqBook_RAW_Data!AH770)</f>
        <v/>
      </c>
      <c r="D780" s="167" t="str">
        <f>IF(ISBLANK(DaqBook_RAW_Data!AI770),"",DaqBook_RAW_Data!AI770)</f>
        <v/>
      </c>
      <c r="E780" s="167" t="str">
        <f>IF(ISBLANK(DaqBook_RAW_Data!AJ770),"",DaqBook_RAW_Data!AJ770)</f>
        <v/>
      </c>
      <c r="F780" s="167" t="str">
        <f>IF(ISBLANK(DaqBook_RAW_Data!AK770),"",DaqBook_RAW_Data!AK770)</f>
        <v/>
      </c>
      <c r="G780" s="167" t="str">
        <f>IF(ISBLANK(DaqBook_RAW_Data!AL770),"",DaqBook_RAW_Data!AL770)</f>
        <v/>
      </c>
      <c r="H780" s="167" t="str">
        <f>IF(ISBLANK(DaqBook_RAW_Data!AM770),"",DaqBook_RAW_Data!AM770)</f>
        <v/>
      </c>
      <c r="I780" s="167" t="str">
        <f>IF(ISBLANK(DaqBook_RAW_Data!AN770),"",DaqBook_RAW_Data!AN770)</f>
        <v/>
      </c>
      <c r="J780" s="167" t="str">
        <f>IF(ISBLANK(DaqBook_RAW_Data!AO770),"",DaqBook_RAW_Data!AO770)</f>
        <v/>
      </c>
      <c r="K780" s="167" t="str">
        <f>IF(ISBLANK(DaqBook_RAW_Data!AP770),"",DaqBook_RAW_Data!AP770)</f>
        <v/>
      </c>
      <c r="L780" s="167" t="str">
        <f>IF(ISBLANK(DaqBook_RAW_Data!AQ770),"",DaqBook_RAW_Data!AQ770)</f>
        <v/>
      </c>
      <c r="M780" s="167" t="str">
        <f>IF(ISBLANK(DaqBook_RAW_Data!AR770),"",DaqBook_RAW_Data!AR770)</f>
        <v/>
      </c>
      <c r="N780" s="167" t="str">
        <f>IF(ISBLANK(DaqBook_RAW_Data!AS770),"",DaqBook_RAW_Data!AS770)</f>
        <v/>
      </c>
      <c r="O780" s="44"/>
      <c r="P780" s="44"/>
    </row>
    <row r="781" spans="1:16" x14ac:dyDescent="0.2">
      <c r="A781" s="58" t="e">
        <f t="shared" si="11"/>
        <v>#VALUE!</v>
      </c>
      <c r="B781" s="144" t="str">
        <f>IF(ISBLANK(DaqBook_RAW_Data!AG771),IF(DaqBook_RAW_Data!A771="","",TIMEVALUE(DaqBook_RAW_Data!A771)),TIMEVALUE(DaqBook_RAW_Data!AG771))</f>
        <v/>
      </c>
      <c r="C781" s="167" t="str">
        <f>IF(ISBLANK(DaqBook_RAW_Data!AH771),"",DaqBook_RAW_Data!AH771)</f>
        <v/>
      </c>
      <c r="D781" s="167" t="str">
        <f>IF(ISBLANK(DaqBook_RAW_Data!AI771),"",DaqBook_RAW_Data!AI771)</f>
        <v/>
      </c>
      <c r="E781" s="167" t="str">
        <f>IF(ISBLANK(DaqBook_RAW_Data!AJ771),"",DaqBook_RAW_Data!AJ771)</f>
        <v/>
      </c>
      <c r="F781" s="167" t="str">
        <f>IF(ISBLANK(DaqBook_RAW_Data!AK771),"",DaqBook_RAW_Data!AK771)</f>
        <v/>
      </c>
      <c r="G781" s="167" t="str">
        <f>IF(ISBLANK(DaqBook_RAW_Data!AL771),"",DaqBook_RAW_Data!AL771)</f>
        <v/>
      </c>
      <c r="H781" s="167" t="str">
        <f>IF(ISBLANK(DaqBook_RAW_Data!AM771),"",DaqBook_RAW_Data!AM771)</f>
        <v/>
      </c>
      <c r="I781" s="167" t="str">
        <f>IF(ISBLANK(DaqBook_RAW_Data!AN771),"",DaqBook_RAW_Data!AN771)</f>
        <v/>
      </c>
      <c r="J781" s="167" t="str">
        <f>IF(ISBLANK(DaqBook_RAW_Data!AO771),"",DaqBook_RAW_Data!AO771)</f>
        <v/>
      </c>
      <c r="K781" s="167" t="str">
        <f>IF(ISBLANK(DaqBook_RAW_Data!AP771),"",DaqBook_RAW_Data!AP771)</f>
        <v/>
      </c>
      <c r="L781" s="167" t="str">
        <f>IF(ISBLANK(DaqBook_RAW_Data!AQ771),"",DaqBook_RAW_Data!AQ771)</f>
        <v/>
      </c>
      <c r="M781" s="167" t="str">
        <f>IF(ISBLANK(DaqBook_RAW_Data!AR771),"",DaqBook_RAW_Data!AR771)</f>
        <v/>
      </c>
      <c r="N781" s="167" t="str">
        <f>IF(ISBLANK(DaqBook_RAW_Data!AS771),"",DaqBook_RAW_Data!AS771)</f>
        <v/>
      </c>
      <c r="O781" s="44"/>
      <c r="P781" s="44"/>
    </row>
    <row r="782" spans="1:16" x14ac:dyDescent="0.2">
      <c r="A782" s="58" t="e">
        <f t="shared" si="11"/>
        <v>#VALUE!</v>
      </c>
      <c r="B782" s="144" t="str">
        <f>IF(ISBLANK(DaqBook_RAW_Data!AG772),IF(DaqBook_RAW_Data!A772="","",TIMEVALUE(DaqBook_RAW_Data!A772)),TIMEVALUE(DaqBook_RAW_Data!AG772))</f>
        <v/>
      </c>
      <c r="C782" s="167" t="str">
        <f>IF(ISBLANK(DaqBook_RAW_Data!AH772),"",DaqBook_RAW_Data!AH772)</f>
        <v/>
      </c>
      <c r="D782" s="167" t="str">
        <f>IF(ISBLANK(DaqBook_RAW_Data!AI772),"",DaqBook_RAW_Data!AI772)</f>
        <v/>
      </c>
      <c r="E782" s="167" t="str">
        <f>IF(ISBLANK(DaqBook_RAW_Data!AJ772),"",DaqBook_RAW_Data!AJ772)</f>
        <v/>
      </c>
      <c r="F782" s="167" t="str">
        <f>IF(ISBLANK(DaqBook_RAW_Data!AK772),"",DaqBook_RAW_Data!AK772)</f>
        <v/>
      </c>
      <c r="G782" s="167" t="str">
        <f>IF(ISBLANK(DaqBook_RAW_Data!AL772),"",DaqBook_RAW_Data!AL772)</f>
        <v/>
      </c>
      <c r="H782" s="167" t="str">
        <f>IF(ISBLANK(DaqBook_RAW_Data!AM772),"",DaqBook_RAW_Data!AM772)</f>
        <v/>
      </c>
      <c r="I782" s="167" t="str">
        <f>IF(ISBLANK(DaqBook_RAW_Data!AN772),"",DaqBook_RAW_Data!AN772)</f>
        <v/>
      </c>
      <c r="J782" s="167" t="str">
        <f>IF(ISBLANK(DaqBook_RAW_Data!AO772),"",DaqBook_RAW_Data!AO772)</f>
        <v/>
      </c>
      <c r="K782" s="167" t="str">
        <f>IF(ISBLANK(DaqBook_RAW_Data!AP772),"",DaqBook_RAW_Data!AP772)</f>
        <v/>
      </c>
      <c r="L782" s="167" t="str">
        <f>IF(ISBLANK(DaqBook_RAW_Data!AQ772),"",DaqBook_RAW_Data!AQ772)</f>
        <v/>
      </c>
      <c r="M782" s="167" t="str">
        <f>IF(ISBLANK(DaqBook_RAW_Data!AR772),"",DaqBook_RAW_Data!AR772)</f>
        <v/>
      </c>
      <c r="N782" s="167" t="str">
        <f>IF(ISBLANK(DaqBook_RAW_Data!AS772),"",DaqBook_RAW_Data!AS772)</f>
        <v/>
      </c>
      <c r="O782" s="44"/>
      <c r="P782" s="44"/>
    </row>
    <row r="783" spans="1:16" x14ac:dyDescent="0.2">
      <c r="A783" s="58" t="e">
        <f t="shared" ref="A783:A846" si="12">HOUR(B783)&amp;":"&amp;MINUTE(B783)</f>
        <v>#VALUE!</v>
      </c>
      <c r="B783" s="144" t="str">
        <f>IF(ISBLANK(DaqBook_RAW_Data!AG773),IF(DaqBook_RAW_Data!A773="","",TIMEVALUE(DaqBook_RAW_Data!A773)),TIMEVALUE(DaqBook_RAW_Data!AG773))</f>
        <v/>
      </c>
      <c r="C783" s="167" t="str">
        <f>IF(ISBLANK(DaqBook_RAW_Data!AH773),"",DaqBook_RAW_Data!AH773)</f>
        <v/>
      </c>
      <c r="D783" s="167" t="str">
        <f>IF(ISBLANK(DaqBook_RAW_Data!AI773),"",DaqBook_RAW_Data!AI773)</f>
        <v/>
      </c>
      <c r="E783" s="167" t="str">
        <f>IF(ISBLANK(DaqBook_RAW_Data!AJ773),"",DaqBook_RAW_Data!AJ773)</f>
        <v/>
      </c>
      <c r="F783" s="167" t="str">
        <f>IF(ISBLANK(DaqBook_RAW_Data!AK773),"",DaqBook_RAW_Data!AK773)</f>
        <v/>
      </c>
      <c r="G783" s="167" t="str">
        <f>IF(ISBLANK(DaqBook_RAW_Data!AL773),"",DaqBook_RAW_Data!AL773)</f>
        <v/>
      </c>
      <c r="H783" s="167" t="str">
        <f>IF(ISBLANK(DaqBook_RAW_Data!AM773),"",DaqBook_RAW_Data!AM773)</f>
        <v/>
      </c>
      <c r="I783" s="167" t="str">
        <f>IF(ISBLANK(DaqBook_RAW_Data!AN773),"",DaqBook_RAW_Data!AN773)</f>
        <v/>
      </c>
      <c r="J783" s="167" t="str">
        <f>IF(ISBLANK(DaqBook_RAW_Data!AO773),"",DaqBook_RAW_Data!AO773)</f>
        <v/>
      </c>
      <c r="K783" s="167" t="str">
        <f>IF(ISBLANK(DaqBook_RAW_Data!AP773),"",DaqBook_RAW_Data!AP773)</f>
        <v/>
      </c>
      <c r="L783" s="167" t="str">
        <f>IF(ISBLANK(DaqBook_RAW_Data!AQ773),"",DaqBook_RAW_Data!AQ773)</f>
        <v/>
      </c>
      <c r="M783" s="167" t="str">
        <f>IF(ISBLANK(DaqBook_RAW_Data!AR773),"",DaqBook_RAW_Data!AR773)</f>
        <v/>
      </c>
      <c r="N783" s="167" t="str">
        <f>IF(ISBLANK(DaqBook_RAW_Data!AS773),"",DaqBook_RAW_Data!AS773)</f>
        <v/>
      </c>
      <c r="O783" s="44"/>
      <c r="P783" s="44"/>
    </row>
    <row r="784" spans="1:16" x14ac:dyDescent="0.2">
      <c r="A784" s="58" t="e">
        <f t="shared" si="12"/>
        <v>#VALUE!</v>
      </c>
      <c r="B784" s="144" t="str">
        <f>IF(ISBLANK(DaqBook_RAW_Data!AG774),IF(DaqBook_RAW_Data!A774="","",TIMEVALUE(DaqBook_RAW_Data!A774)),TIMEVALUE(DaqBook_RAW_Data!AG774))</f>
        <v/>
      </c>
      <c r="C784" s="167" t="str">
        <f>IF(ISBLANK(DaqBook_RAW_Data!AH774),"",DaqBook_RAW_Data!AH774)</f>
        <v/>
      </c>
      <c r="D784" s="167" t="str">
        <f>IF(ISBLANK(DaqBook_RAW_Data!AI774),"",DaqBook_RAW_Data!AI774)</f>
        <v/>
      </c>
      <c r="E784" s="167" t="str">
        <f>IF(ISBLANK(DaqBook_RAW_Data!AJ774),"",DaqBook_RAW_Data!AJ774)</f>
        <v/>
      </c>
      <c r="F784" s="167" t="str">
        <f>IF(ISBLANK(DaqBook_RAW_Data!AK774),"",DaqBook_RAW_Data!AK774)</f>
        <v/>
      </c>
      <c r="G784" s="167" t="str">
        <f>IF(ISBLANK(DaqBook_RAW_Data!AL774),"",DaqBook_RAW_Data!AL774)</f>
        <v/>
      </c>
      <c r="H784" s="167" t="str">
        <f>IF(ISBLANK(DaqBook_RAW_Data!AM774),"",DaqBook_RAW_Data!AM774)</f>
        <v/>
      </c>
      <c r="I784" s="167" t="str">
        <f>IF(ISBLANK(DaqBook_RAW_Data!AN774),"",DaqBook_RAW_Data!AN774)</f>
        <v/>
      </c>
      <c r="J784" s="167" t="str">
        <f>IF(ISBLANK(DaqBook_RAW_Data!AO774),"",DaqBook_RAW_Data!AO774)</f>
        <v/>
      </c>
      <c r="K784" s="167" t="str">
        <f>IF(ISBLANK(DaqBook_RAW_Data!AP774),"",DaqBook_RAW_Data!AP774)</f>
        <v/>
      </c>
      <c r="L784" s="167" t="str">
        <f>IF(ISBLANK(DaqBook_RAW_Data!AQ774),"",DaqBook_RAW_Data!AQ774)</f>
        <v/>
      </c>
      <c r="M784" s="167" t="str">
        <f>IF(ISBLANK(DaqBook_RAW_Data!AR774),"",DaqBook_RAW_Data!AR774)</f>
        <v/>
      </c>
      <c r="N784" s="167" t="str">
        <f>IF(ISBLANK(DaqBook_RAW_Data!AS774),"",DaqBook_RAW_Data!AS774)</f>
        <v/>
      </c>
      <c r="O784" s="44"/>
      <c r="P784" s="44"/>
    </row>
    <row r="785" spans="1:16" x14ac:dyDescent="0.2">
      <c r="A785" s="58" t="e">
        <f t="shared" si="12"/>
        <v>#VALUE!</v>
      </c>
      <c r="B785" s="144" t="str">
        <f>IF(ISBLANK(DaqBook_RAW_Data!AG775),IF(DaqBook_RAW_Data!A775="","",TIMEVALUE(DaqBook_RAW_Data!A775)),TIMEVALUE(DaqBook_RAW_Data!AG775))</f>
        <v/>
      </c>
      <c r="C785" s="167" t="str">
        <f>IF(ISBLANK(DaqBook_RAW_Data!AH775),"",DaqBook_RAW_Data!AH775)</f>
        <v/>
      </c>
      <c r="D785" s="167" t="str">
        <f>IF(ISBLANK(DaqBook_RAW_Data!AI775),"",DaqBook_RAW_Data!AI775)</f>
        <v/>
      </c>
      <c r="E785" s="167" t="str">
        <f>IF(ISBLANK(DaqBook_RAW_Data!AJ775),"",DaqBook_RAW_Data!AJ775)</f>
        <v/>
      </c>
      <c r="F785" s="167" t="str">
        <f>IF(ISBLANK(DaqBook_RAW_Data!AK775),"",DaqBook_RAW_Data!AK775)</f>
        <v/>
      </c>
      <c r="G785" s="167" t="str">
        <f>IF(ISBLANK(DaqBook_RAW_Data!AL775),"",DaqBook_RAW_Data!AL775)</f>
        <v/>
      </c>
      <c r="H785" s="167" t="str">
        <f>IF(ISBLANK(DaqBook_RAW_Data!AM775),"",DaqBook_RAW_Data!AM775)</f>
        <v/>
      </c>
      <c r="I785" s="167" t="str">
        <f>IF(ISBLANK(DaqBook_RAW_Data!AN775),"",DaqBook_RAW_Data!AN775)</f>
        <v/>
      </c>
      <c r="J785" s="167" t="str">
        <f>IF(ISBLANK(DaqBook_RAW_Data!AO775),"",DaqBook_RAW_Data!AO775)</f>
        <v/>
      </c>
      <c r="K785" s="167" t="str">
        <f>IF(ISBLANK(DaqBook_RAW_Data!AP775),"",DaqBook_RAW_Data!AP775)</f>
        <v/>
      </c>
      <c r="L785" s="167" t="str">
        <f>IF(ISBLANK(DaqBook_RAW_Data!AQ775),"",DaqBook_RAW_Data!AQ775)</f>
        <v/>
      </c>
      <c r="M785" s="167" t="str">
        <f>IF(ISBLANK(DaqBook_RAW_Data!AR775),"",DaqBook_RAW_Data!AR775)</f>
        <v/>
      </c>
      <c r="N785" s="167" t="str">
        <f>IF(ISBLANK(DaqBook_RAW_Data!AS775),"",DaqBook_RAW_Data!AS775)</f>
        <v/>
      </c>
      <c r="O785" s="44"/>
      <c r="P785" s="44"/>
    </row>
    <row r="786" spans="1:16" x14ac:dyDescent="0.2">
      <c r="A786" s="58" t="e">
        <f t="shared" si="12"/>
        <v>#VALUE!</v>
      </c>
      <c r="B786" s="144" t="str">
        <f>IF(ISBLANK(DaqBook_RAW_Data!AG776),IF(DaqBook_RAW_Data!A776="","",TIMEVALUE(DaqBook_RAW_Data!A776)),TIMEVALUE(DaqBook_RAW_Data!AG776))</f>
        <v/>
      </c>
      <c r="C786" s="167" t="str">
        <f>IF(ISBLANK(DaqBook_RAW_Data!AH776),"",DaqBook_RAW_Data!AH776)</f>
        <v/>
      </c>
      <c r="D786" s="167" t="str">
        <f>IF(ISBLANK(DaqBook_RAW_Data!AI776),"",DaqBook_RAW_Data!AI776)</f>
        <v/>
      </c>
      <c r="E786" s="167" t="str">
        <f>IF(ISBLANK(DaqBook_RAW_Data!AJ776),"",DaqBook_RAW_Data!AJ776)</f>
        <v/>
      </c>
      <c r="F786" s="167" t="str">
        <f>IF(ISBLANK(DaqBook_RAW_Data!AK776),"",DaqBook_RAW_Data!AK776)</f>
        <v/>
      </c>
      <c r="G786" s="167" t="str">
        <f>IF(ISBLANK(DaqBook_RAW_Data!AL776),"",DaqBook_RAW_Data!AL776)</f>
        <v/>
      </c>
      <c r="H786" s="167" t="str">
        <f>IF(ISBLANK(DaqBook_RAW_Data!AM776),"",DaqBook_RAW_Data!AM776)</f>
        <v/>
      </c>
      <c r="I786" s="167" t="str">
        <f>IF(ISBLANK(DaqBook_RAW_Data!AN776),"",DaqBook_RAW_Data!AN776)</f>
        <v/>
      </c>
      <c r="J786" s="167" t="str">
        <f>IF(ISBLANK(DaqBook_RAW_Data!AO776),"",DaqBook_RAW_Data!AO776)</f>
        <v/>
      </c>
      <c r="K786" s="167" t="str">
        <f>IF(ISBLANK(DaqBook_RAW_Data!AP776),"",DaqBook_RAW_Data!AP776)</f>
        <v/>
      </c>
      <c r="L786" s="167" t="str">
        <f>IF(ISBLANK(DaqBook_RAW_Data!AQ776),"",DaqBook_RAW_Data!AQ776)</f>
        <v/>
      </c>
      <c r="M786" s="167" t="str">
        <f>IF(ISBLANK(DaqBook_RAW_Data!AR776),"",DaqBook_RAW_Data!AR776)</f>
        <v/>
      </c>
      <c r="N786" s="167" t="str">
        <f>IF(ISBLANK(DaqBook_RAW_Data!AS776),"",DaqBook_RAW_Data!AS776)</f>
        <v/>
      </c>
      <c r="O786" s="44"/>
      <c r="P786" s="44"/>
    </row>
    <row r="787" spans="1:16" x14ac:dyDescent="0.2">
      <c r="A787" s="58" t="e">
        <f t="shared" si="12"/>
        <v>#VALUE!</v>
      </c>
      <c r="B787" s="144" t="str">
        <f>IF(ISBLANK(DaqBook_RAW_Data!AG777),IF(DaqBook_RAW_Data!A777="","",TIMEVALUE(DaqBook_RAW_Data!A777)),TIMEVALUE(DaqBook_RAW_Data!AG777))</f>
        <v/>
      </c>
      <c r="C787" s="167" t="str">
        <f>IF(ISBLANK(DaqBook_RAW_Data!AH777),"",DaqBook_RAW_Data!AH777)</f>
        <v/>
      </c>
      <c r="D787" s="167" t="str">
        <f>IF(ISBLANK(DaqBook_RAW_Data!AI777),"",DaqBook_RAW_Data!AI777)</f>
        <v/>
      </c>
      <c r="E787" s="167" t="str">
        <f>IF(ISBLANK(DaqBook_RAW_Data!AJ777),"",DaqBook_RAW_Data!AJ777)</f>
        <v/>
      </c>
      <c r="F787" s="167" t="str">
        <f>IF(ISBLANK(DaqBook_RAW_Data!AK777),"",DaqBook_RAW_Data!AK777)</f>
        <v/>
      </c>
      <c r="G787" s="167" t="str">
        <f>IF(ISBLANK(DaqBook_RAW_Data!AL777),"",DaqBook_RAW_Data!AL777)</f>
        <v/>
      </c>
      <c r="H787" s="167" t="str">
        <f>IF(ISBLANK(DaqBook_RAW_Data!AM777),"",DaqBook_RAW_Data!AM777)</f>
        <v/>
      </c>
      <c r="I787" s="167" t="str">
        <f>IF(ISBLANK(DaqBook_RAW_Data!AN777),"",DaqBook_RAW_Data!AN777)</f>
        <v/>
      </c>
      <c r="J787" s="167" t="str">
        <f>IF(ISBLANK(DaqBook_RAW_Data!AO777),"",DaqBook_RAW_Data!AO777)</f>
        <v/>
      </c>
      <c r="K787" s="167" t="str">
        <f>IF(ISBLANK(DaqBook_RAW_Data!AP777),"",DaqBook_RAW_Data!AP777)</f>
        <v/>
      </c>
      <c r="L787" s="167" t="str">
        <f>IF(ISBLANK(DaqBook_RAW_Data!AQ777),"",DaqBook_RAW_Data!AQ777)</f>
        <v/>
      </c>
      <c r="M787" s="167" t="str">
        <f>IF(ISBLANK(DaqBook_RAW_Data!AR777),"",DaqBook_RAW_Data!AR777)</f>
        <v/>
      </c>
      <c r="N787" s="167" t="str">
        <f>IF(ISBLANK(DaqBook_RAW_Data!AS777),"",DaqBook_RAW_Data!AS777)</f>
        <v/>
      </c>
      <c r="O787" s="44"/>
      <c r="P787" s="44"/>
    </row>
    <row r="788" spans="1:16" x14ac:dyDescent="0.2">
      <c r="A788" s="58" t="e">
        <f t="shared" si="12"/>
        <v>#VALUE!</v>
      </c>
      <c r="B788" s="144" t="str">
        <f>IF(ISBLANK(DaqBook_RAW_Data!AG778),IF(DaqBook_RAW_Data!A778="","",TIMEVALUE(DaqBook_RAW_Data!A778)),TIMEVALUE(DaqBook_RAW_Data!AG778))</f>
        <v/>
      </c>
      <c r="C788" s="167" t="str">
        <f>IF(ISBLANK(DaqBook_RAW_Data!AH778),"",DaqBook_RAW_Data!AH778)</f>
        <v/>
      </c>
      <c r="D788" s="167" t="str">
        <f>IF(ISBLANK(DaqBook_RAW_Data!AI778),"",DaqBook_RAW_Data!AI778)</f>
        <v/>
      </c>
      <c r="E788" s="167" t="str">
        <f>IF(ISBLANK(DaqBook_RAW_Data!AJ778),"",DaqBook_RAW_Data!AJ778)</f>
        <v/>
      </c>
      <c r="F788" s="167" t="str">
        <f>IF(ISBLANK(DaqBook_RAW_Data!AK778),"",DaqBook_RAW_Data!AK778)</f>
        <v/>
      </c>
      <c r="G788" s="167" t="str">
        <f>IF(ISBLANK(DaqBook_RAW_Data!AL778),"",DaqBook_RAW_Data!AL778)</f>
        <v/>
      </c>
      <c r="H788" s="167" t="str">
        <f>IF(ISBLANK(DaqBook_RAW_Data!AM778),"",DaqBook_RAW_Data!AM778)</f>
        <v/>
      </c>
      <c r="I788" s="167" t="str">
        <f>IF(ISBLANK(DaqBook_RAW_Data!AN778),"",DaqBook_RAW_Data!AN778)</f>
        <v/>
      </c>
      <c r="J788" s="167" t="str">
        <f>IF(ISBLANK(DaqBook_RAW_Data!AO778),"",DaqBook_RAW_Data!AO778)</f>
        <v/>
      </c>
      <c r="K788" s="167" t="str">
        <f>IF(ISBLANK(DaqBook_RAW_Data!AP778),"",DaqBook_RAW_Data!AP778)</f>
        <v/>
      </c>
      <c r="L788" s="167" t="str">
        <f>IF(ISBLANK(DaqBook_RAW_Data!AQ778),"",DaqBook_RAW_Data!AQ778)</f>
        <v/>
      </c>
      <c r="M788" s="167" t="str">
        <f>IF(ISBLANK(DaqBook_RAW_Data!AR778),"",DaqBook_RAW_Data!AR778)</f>
        <v/>
      </c>
      <c r="N788" s="167" t="str">
        <f>IF(ISBLANK(DaqBook_RAW_Data!AS778),"",DaqBook_RAW_Data!AS778)</f>
        <v/>
      </c>
      <c r="O788" s="44"/>
      <c r="P788" s="44"/>
    </row>
    <row r="789" spans="1:16" x14ac:dyDescent="0.2">
      <c r="A789" s="58" t="e">
        <f t="shared" si="12"/>
        <v>#VALUE!</v>
      </c>
      <c r="B789" s="144" t="str">
        <f>IF(ISBLANK(DaqBook_RAW_Data!AG779),IF(DaqBook_RAW_Data!A779="","",TIMEVALUE(DaqBook_RAW_Data!A779)),TIMEVALUE(DaqBook_RAW_Data!AG779))</f>
        <v/>
      </c>
      <c r="C789" s="167" t="str">
        <f>IF(ISBLANK(DaqBook_RAW_Data!AH779),"",DaqBook_RAW_Data!AH779)</f>
        <v/>
      </c>
      <c r="D789" s="167" t="str">
        <f>IF(ISBLANK(DaqBook_RAW_Data!AI779),"",DaqBook_RAW_Data!AI779)</f>
        <v/>
      </c>
      <c r="E789" s="167" t="str">
        <f>IF(ISBLANK(DaqBook_RAW_Data!AJ779),"",DaqBook_RAW_Data!AJ779)</f>
        <v/>
      </c>
      <c r="F789" s="167" t="str">
        <f>IF(ISBLANK(DaqBook_RAW_Data!AK779),"",DaqBook_RAW_Data!AK779)</f>
        <v/>
      </c>
      <c r="G789" s="167" t="str">
        <f>IF(ISBLANK(DaqBook_RAW_Data!AL779),"",DaqBook_RAW_Data!AL779)</f>
        <v/>
      </c>
      <c r="H789" s="167" t="str">
        <f>IF(ISBLANK(DaqBook_RAW_Data!AM779),"",DaqBook_RAW_Data!AM779)</f>
        <v/>
      </c>
      <c r="I789" s="167" t="str">
        <f>IF(ISBLANK(DaqBook_RAW_Data!AN779),"",DaqBook_RAW_Data!AN779)</f>
        <v/>
      </c>
      <c r="J789" s="167" t="str">
        <f>IF(ISBLANK(DaqBook_RAW_Data!AO779),"",DaqBook_RAW_Data!AO779)</f>
        <v/>
      </c>
      <c r="K789" s="167" t="str">
        <f>IF(ISBLANK(DaqBook_RAW_Data!AP779),"",DaqBook_RAW_Data!AP779)</f>
        <v/>
      </c>
      <c r="L789" s="167" t="str">
        <f>IF(ISBLANK(DaqBook_RAW_Data!AQ779),"",DaqBook_RAW_Data!AQ779)</f>
        <v/>
      </c>
      <c r="M789" s="167" t="str">
        <f>IF(ISBLANK(DaqBook_RAW_Data!AR779),"",DaqBook_RAW_Data!AR779)</f>
        <v/>
      </c>
      <c r="N789" s="167" t="str">
        <f>IF(ISBLANK(DaqBook_RAW_Data!AS779),"",DaqBook_RAW_Data!AS779)</f>
        <v/>
      </c>
      <c r="O789" s="44"/>
      <c r="P789" s="44"/>
    </row>
    <row r="790" spans="1:16" x14ac:dyDescent="0.2">
      <c r="A790" s="58" t="e">
        <f t="shared" si="12"/>
        <v>#VALUE!</v>
      </c>
      <c r="B790" s="144" t="str">
        <f>IF(ISBLANK(DaqBook_RAW_Data!AG780),IF(DaqBook_RAW_Data!A780="","",TIMEVALUE(DaqBook_RAW_Data!A780)),TIMEVALUE(DaqBook_RAW_Data!AG780))</f>
        <v/>
      </c>
      <c r="C790" s="167" t="str">
        <f>IF(ISBLANK(DaqBook_RAW_Data!AH780),"",DaqBook_RAW_Data!AH780)</f>
        <v/>
      </c>
      <c r="D790" s="167" t="str">
        <f>IF(ISBLANK(DaqBook_RAW_Data!AI780),"",DaqBook_RAW_Data!AI780)</f>
        <v/>
      </c>
      <c r="E790" s="167" t="str">
        <f>IF(ISBLANK(DaqBook_RAW_Data!AJ780),"",DaqBook_RAW_Data!AJ780)</f>
        <v/>
      </c>
      <c r="F790" s="167" t="str">
        <f>IF(ISBLANK(DaqBook_RAW_Data!AK780),"",DaqBook_RAW_Data!AK780)</f>
        <v/>
      </c>
      <c r="G790" s="167" t="str">
        <f>IF(ISBLANK(DaqBook_RAW_Data!AL780),"",DaqBook_RAW_Data!AL780)</f>
        <v/>
      </c>
      <c r="H790" s="167" t="str">
        <f>IF(ISBLANK(DaqBook_RAW_Data!AM780),"",DaqBook_RAW_Data!AM780)</f>
        <v/>
      </c>
      <c r="I790" s="167" t="str">
        <f>IF(ISBLANK(DaqBook_RAW_Data!AN780),"",DaqBook_RAW_Data!AN780)</f>
        <v/>
      </c>
      <c r="J790" s="167" t="str">
        <f>IF(ISBLANK(DaqBook_RAW_Data!AO780),"",DaqBook_RAW_Data!AO780)</f>
        <v/>
      </c>
      <c r="K790" s="167" t="str">
        <f>IF(ISBLANK(DaqBook_RAW_Data!AP780),"",DaqBook_RAW_Data!AP780)</f>
        <v/>
      </c>
      <c r="L790" s="167" t="str">
        <f>IF(ISBLANK(DaqBook_RAW_Data!AQ780),"",DaqBook_RAW_Data!AQ780)</f>
        <v/>
      </c>
      <c r="M790" s="167" t="str">
        <f>IF(ISBLANK(DaqBook_RAW_Data!AR780),"",DaqBook_RAW_Data!AR780)</f>
        <v/>
      </c>
      <c r="N790" s="167" t="str">
        <f>IF(ISBLANK(DaqBook_RAW_Data!AS780),"",DaqBook_RAW_Data!AS780)</f>
        <v/>
      </c>
      <c r="O790" s="44"/>
      <c r="P790" s="44"/>
    </row>
    <row r="791" spans="1:16" x14ac:dyDescent="0.2">
      <c r="A791" s="58" t="e">
        <f t="shared" si="12"/>
        <v>#VALUE!</v>
      </c>
      <c r="B791" s="144" t="str">
        <f>IF(ISBLANK(DaqBook_RAW_Data!AG781),IF(DaqBook_RAW_Data!A781="","",TIMEVALUE(DaqBook_RAW_Data!A781)),TIMEVALUE(DaqBook_RAW_Data!AG781))</f>
        <v/>
      </c>
      <c r="C791" s="167" t="str">
        <f>IF(ISBLANK(DaqBook_RAW_Data!AH781),"",DaqBook_RAW_Data!AH781)</f>
        <v/>
      </c>
      <c r="D791" s="167" t="str">
        <f>IF(ISBLANK(DaqBook_RAW_Data!AI781),"",DaqBook_RAW_Data!AI781)</f>
        <v/>
      </c>
      <c r="E791" s="167" t="str">
        <f>IF(ISBLANK(DaqBook_RAW_Data!AJ781),"",DaqBook_RAW_Data!AJ781)</f>
        <v/>
      </c>
      <c r="F791" s="167" t="str">
        <f>IF(ISBLANK(DaqBook_RAW_Data!AK781),"",DaqBook_RAW_Data!AK781)</f>
        <v/>
      </c>
      <c r="G791" s="167" t="str">
        <f>IF(ISBLANK(DaqBook_RAW_Data!AL781),"",DaqBook_RAW_Data!AL781)</f>
        <v/>
      </c>
      <c r="H791" s="167" t="str">
        <f>IF(ISBLANK(DaqBook_RAW_Data!AM781),"",DaqBook_RAW_Data!AM781)</f>
        <v/>
      </c>
      <c r="I791" s="167" t="str">
        <f>IF(ISBLANK(DaqBook_RAW_Data!AN781),"",DaqBook_RAW_Data!AN781)</f>
        <v/>
      </c>
      <c r="J791" s="167" t="str">
        <f>IF(ISBLANK(DaqBook_RAW_Data!AO781),"",DaqBook_RAW_Data!AO781)</f>
        <v/>
      </c>
      <c r="K791" s="167" t="str">
        <f>IF(ISBLANK(DaqBook_RAW_Data!AP781),"",DaqBook_RAW_Data!AP781)</f>
        <v/>
      </c>
      <c r="L791" s="167" t="str">
        <f>IF(ISBLANK(DaqBook_RAW_Data!AQ781),"",DaqBook_RAW_Data!AQ781)</f>
        <v/>
      </c>
      <c r="M791" s="167" t="str">
        <f>IF(ISBLANK(DaqBook_RAW_Data!AR781),"",DaqBook_RAW_Data!AR781)</f>
        <v/>
      </c>
      <c r="N791" s="167" t="str">
        <f>IF(ISBLANK(DaqBook_RAW_Data!AS781),"",DaqBook_RAW_Data!AS781)</f>
        <v/>
      </c>
      <c r="O791" s="44"/>
      <c r="P791" s="44"/>
    </row>
    <row r="792" spans="1:16" x14ac:dyDescent="0.2">
      <c r="A792" s="58" t="e">
        <f t="shared" si="12"/>
        <v>#VALUE!</v>
      </c>
      <c r="B792" s="144" t="str">
        <f>IF(ISBLANK(DaqBook_RAW_Data!AG782),IF(DaqBook_RAW_Data!A782="","",TIMEVALUE(DaqBook_RAW_Data!A782)),TIMEVALUE(DaqBook_RAW_Data!AG782))</f>
        <v/>
      </c>
      <c r="C792" s="167" t="str">
        <f>IF(ISBLANK(DaqBook_RAW_Data!AH782),"",DaqBook_RAW_Data!AH782)</f>
        <v/>
      </c>
      <c r="D792" s="167" t="str">
        <f>IF(ISBLANK(DaqBook_RAW_Data!AI782),"",DaqBook_RAW_Data!AI782)</f>
        <v/>
      </c>
      <c r="E792" s="167" t="str">
        <f>IF(ISBLANK(DaqBook_RAW_Data!AJ782),"",DaqBook_RAW_Data!AJ782)</f>
        <v/>
      </c>
      <c r="F792" s="167" t="str">
        <f>IF(ISBLANK(DaqBook_RAW_Data!AK782),"",DaqBook_RAW_Data!AK782)</f>
        <v/>
      </c>
      <c r="G792" s="167" t="str">
        <f>IF(ISBLANK(DaqBook_RAW_Data!AL782),"",DaqBook_RAW_Data!AL782)</f>
        <v/>
      </c>
      <c r="H792" s="167" t="str">
        <f>IF(ISBLANK(DaqBook_RAW_Data!AM782),"",DaqBook_RAW_Data!AM782)</f>
        <v/>
      </c>
      <c r="I792" s="167" t="str">
        <f>IF(ISBLANK(DaqBook_RAW_Data!AN782),"",DaqBook_RAW_Data!AN782)</f>
        <v/>
      </c>
      <c r="J792" s="167" t="str">
        <f>IF(ISBLANK(DaqBook_RAW_Data!AO782),"",DaqBook_RAW_Data!AO782)</f>
        <v/>
      </c>
      <c r="K792" s="167" t="str">
        <f>IF(ISBLANK(DaqBook_RAW_Data!AP782),"",DaqBook_RAW_Data!AP782)</f>
        <v/>
      </c>
      <c r="L792" s="167" t="str">
        <f>IF(ISBLANK(DaqBook_RAW_Data!AQ782),"",DaqBook_RAW_Data!AQ782)</f>
        <v/>
      </c>
      <c r="M792" s="167" t="str">
        <f>IF(ISBLANK(DaqBook_RAW_Data!AR782),"",DaqBook_RAW_Data!AR782)</f>
        <v/>
      </c>
      <c r="N792" s="167" t="str">
        <f>IF(ISBLANK(DaqBook_RAW_Data!AS782),"",DaqBook_RAW_Data!AS782)</f>
        <v/>
      </c>
      <c r="O792" s="44"/>
      <c r="P792" s="44"/>
    </row>
    <row r="793" spans="1:16" x14ac:dyDescent="0.2">
      <c r="A793" s="58" t="e">
        <f t="shared" si="12"/>
        <v>#VALUE!</v>
      </c>
      <c r="B793" s="144" t="str">
        <f>IF(ISBLANK(DaqBook_RAW_Data!AG783),IF(DaqBook_RAW_Data!A783="","",TIMEVALUE(DaqBook_RAW_Data!A783)),TIMEVALUE(DaqBook_RAW_Data!AG783))</f>
        <v/>
      </c>
      <c r="C793" s="167" t="str">
        <f>IF(ISBLANK(DaqBook_RAW_Data!AH783),"",DaqBook_RAW_Data!AH783)</f>
        <v/>
      </c>
      <c r="D793" s="167" t="str">
        <f>IF(ISBLANK(DaqBook_RAW_Data!AI783),"",DaqBook_RAW_Data!AI783)</f>
        <v/>
      </c>
      <c r="E793" s="167" t="str">
        <f>IF(ISBLANK(DaqBook_RAW_Data!AJ783),"",DaqBook_RAW_Data!AJ783)</f>
        <v/>
      </c>
      <c r="F793" s="167" t="str">
        <f>IF(ISBLANK(DaqBook_RAW_Data!AK783),"",DaqBook_RAW_Data!AK783)</f>
        <v/>
      </c>
      <c r="G793" s="167" t="str">
        <f>IF(ISBLANK(DaqBook_RAW_Data!AL783),"",DaqBook_RAW_Data!AL783)</f>
        <v/>
      </c>
      <c r="H793" s="167" t="str">
        <f>IF(ISBLANK(DaqBook_RAW_Data!AM783),"",DaqBook_RAW_Data!AM783)</f>
        <v/>
      </c>
      <c r="I793" s="167" t="str">
        <f>IF(ISBLANK(DaqBook_RAW_Data!AN783),"",DaqBook_RAW_Data!AN783)</f>
        <v/>
      </c>
      <c r="J793" s="167" t="str">
        <f>IF(ISBLANK(DaqBook_RAW_Data!AO783),"",DaqBook_RAW_Data!AO783)</f>
        <v/>
      </c>
      <c r="K793" s="167" t="str">
        <f>IF(ISBLANK(DaqBook_RAW_Data!AP783),"",DaqBook_RAW_Data!AP783)</f>
        <v/>
      </c>
      <c r="L793" s="167" t="str">
        <f>IF(ISBLANK(DaqBook_RAW_Data!AQ783),"",DaqBook_RAW_Data!AQ783)</f>
        <v/>
      </c>
      <c r="M793" s="167" t="str">
        <f>IF(ISBLANK(DaqBook_RAW_Data!AR783),"",DaqBook_RAW_Data!AR783)</f>
        <v/>
      </c>
      <c r="N793" s="167" t="str">
        <f>IF(ISBLANK(DaqBook_RAW_Data!AS783),"",DaqBook_RAW_Data!AS783)</f>
        <v/>
      </c>
      <c r="O793" s="44"/>
      <c r="P793" s="44"/>
    </row>
    <row r="794" spans="1:16" x14ac:dyDescent="0.2">
      <c r="A794" s="58" t="e">
        <f t="shared" si="12"/>
        <v>#VALUE!</v>
      </c>
      <c r="B794" s="144" t="str">
        <f>IF(ISBLANK(DaqBook_RAW_Data!AG784),IF(DaqBook_RAW_Data!A784="","",TIMEVALUE(DaqBook_RAW_Data!A784)),TIMEVALUE(DaqBook_RAW_Data!AG784))</f>
        <v/>
      </c>
      <c r="C794" s="167" t="str">
        <f>IF(ISBLANK(DaqBook_RAW_Data!AH784),"",DaqBook_RAW_Data!AH784)</f>
        <v/>
      </c>
      <c r="D794" s="167" t="str">
        <f>IF(ISBLANK(DaqBook_RAW_Data!AI784),"",DaqBook_RAW_Data!AI784)</f>
        <v/>
      </c>
      <c r="E794" s="167" t="str">
        <f>IF(ISBLANK(DaqBook_RAW_Data!AJ784),"",DaqBook_RAW_Data!AJ784)</f>
        <v/>
      </c>
      <c r="F794" s="167" t="str">
        <f>IF(ISBLANK(DaqBook_RAW_Data!AK784),"",DaqBook_RAW_Data!AK784)</f>
        <v/>
      </c>
      <c r="G794" s="167" t="str">
        <f>IF(ISBLANK(DaqBook_RAW_Data!AL784),"",DaqBook_RAW_Data!AL784)</f>
        <v/>
      </c>
      <c r="H794" s="167" t="str">
        <f>IF(ISBLANK(DaqBook_RAW_Data!AM784),"",DaqBook_RAW_Data!AM784)</f>
        <v/>
      </c>
      <c r="I794" s="167" t="str">
        <f>IF(ISBLANK(DaqBook_RAW_Data!AN784),"",DaqBook_RAW_Data!AN784)</f>
        <v/>
      </c>
      <c r="J794" s="167" t="str">
        <f>IF(ISBLANK(DaqBook_RAW_Data!AO784),"",DaqBook_RAW_Data!AO784)</f>
        <v/>
      </c>
      <c r="K794" s="167" t="str">
        <f>IF(ISBLANK(DaqBook_RAW_Data!AP784),"",DaqBook_RAW_Data!AP784)</f>
        <v/>
      </c>
      <c r="L794" s="167" t="str">
        <f>IF(ISBLANK(DaqBook_RAW_Data!AQ784),"",DaqBook_RAW_Data!AQ784)</f>
        <v/>
      </c>
      <c r="M794" s="167" t="str">
        <f>IF(ISBLANK(DaqBook_RAW_Data!AR784),"",DaqBook_RAW_Data!AR784)</f>
        <v/>
      </c>
      <c r="N794" s="167" t="str">
        <f>IF(ISBLANK(DaqBook_RAW_Data!AS784),"",DaqBook_RAW_Data!AS784)</f>
        <v/>
      </c>
      <c r="O794" s="44"/>
      <c r="P794" s="44"/>
    </row>
    <row r="795" spans="1:16" x14ac:dyDescent="0.2">
      <c r="A795" s="58" t="e">
        <f t="shared" si="12"/>
        <v>#VALUE!</v>
      </c>
      <c r="B795" s="144" t="str">
        <f>IF(ISBLANK(DaqBook_RAW_Data!AG785),IF(DaqBook_RAW_Data!A785="","",TIMEVALUE(DaqBook_RAW_Data!A785)),TIMEVALUE(DaqBook_RAW_Data!AG785))</f>
        <v/>
      </c>
      <c r="C795" s="167" t="str">
        <f>IF(ISBLANK(DaqBook_RAW_Data!AH785),"",DaqBook_RAW_Data!AH785)</f>
        <v/>
      </c>
      <c r="D795" s="167" t="str">
        <f>IF(ISBLANK(DaqBook_RAW_Data!AI785),"",DaqBook_RAW_Data!AI785)</f>
        <v/>
      </c>
      <c r="E795" s="167" t="str">
        <f>IF(ISBLANK(DaqBook_RAW_Data!AJ785),"",DaqBook_RAW_Data!AJ785)</f>
        <v/>
      </c>
      <c r="F795" s="167" t="str">
        <f>IF(ISBLANK(DaqBook_RAW_Data!AK785),"",DaqBook_RAW_Data!AK785)</f>
        <v/>
      </c>
      <c r="G795" s="167" t="str">
        <f>IF(ISBLANK(DaqBook_RAW_Data!AL785),"",DaqBook_RAW_Data!AL785)</f>
        <v/>
      </c>
      <c r="H795" s="167" t="str">
        <f>IF(ISBLANK(DaqBook_RAW_Data!AM785),"",DaqBook_RAW_Data!AM785)</f>
        <v/>
      </c>
      <c r="I795" s="167" t="str">
        <f>IF(ISBLANK(DaqBook_RAW_Data!AN785),"",DaqBook_RAW_Data!AN785)</f>
        <v/>
      </c>
      <c r="J795" s="167" t="str">
        <f>IF(ISBLANK(DaqBook_RAW_Data!AO785),"",DaqBook_RAW_Data!AO785)</f>
        <v/>
      </c>
      <c r="K795" s="167" t="str">
        <f>IF(ISBLANK(DaqBook_RAW_Data!AP785),"",DaqBook_RAW_Data!AP785)</f>
        <v/>
      </c>
      <c r="L795" s="167" t="str">
        <f>IF(ISBLANK(DaqBook_RAW_Data!AQ785),"",DaqBook_RAW_Data!AQ785)</f>
        <v/>
      </c>
      <c r="M795" s="167" t="str">
        <f>IF(ISBLANK(DaqBook_RAW_Data!AR785),"",DaqBook_RAW_Data!AR785)</f>
        <v/>
      </c>
      <c r="N795" s="167" t="str">
        <f>IF(ISBLANK(DaqBook_RAW_Data!AS785),"",DaqBook_RAW_Data!AS785)</f>
        <v/>
      </c>
      <c r="O795" s="44"/>
      <c r="P795" s="44"/>
    </row>
    <row r="796" spans="1:16" x14ac:dyDescent="0.2">
      <c r="A796" s="58" t="e">
        <f t="shared" si="12"/>
        <v>#VALUE!</v>
      </c>
      <c r="B796" s="144" t="str">
        <f>IF(ISBLANK(DaqBook_RAW_Data!AG786),IF(DaqBook_RAW_Data!A786="","",TIMEVALUE(DaqBook_RAW_Data!A786)),TIMEVALUE(DaqBook_RAW_Data!AG786))</f>
        <v/>
      </c>
      <c r="C796" s="167" t="str">
        <f>IF(ISBLANK(DaqBook_RAW_Data!AH786),"",DaqBook_RAW_Data!AH786)</f>
        <v/>
      </c>
      <c r="D796" s="167" t="str">
        <f>IF(ISBLANK(DaqBook_RAW_Data!AI786),"",DaqBook_RAW_Data!AI786)</f>
        <v/>
      </c>
      <c r="E796" s="167" t="str">
        <f>IF(ISBLANK(DaqBook_RAW_Data!AJ786),"",DaqBook_RAW_Data!AJ786)</f>
        <v/>
      </c>
      <c r="F796" s="167" t="str">
        <f>IF(ISBLANK(DaqBook_RAW_Data!AK786),"",DaqBook_RAW_Data!AK786)</f>
        <v/>
      </c>
      <c r="G796" s="167" t="str">
        <f>IF(ISBLANK(DaqBook_RAW_Data!AL786),"",DaqBook_RAW_Data!AL786)</f>
        <v/>
      </c>
      <c r="H796" s="167" t="str">
        <f>IF(ISBLANK(DaqBook_RAW_Data!AM786),"",DaqBook_RAW_Data!AM786)</f>
        <v/>
      </c>
      <c r="I796" s="167" t="str">
        <f>IF(ISBLANK(DaqBook_RAW_Data!AN786),"",DaqBook_RAW_Data!AN786)</f>
        <v/>
      </c>
      <c r="J796" s="167" t="str">
        <f>IF(ISBLANK(DaqBook_RAW_Data!AO786),"",DaqBook_RAW_Data!AO786)</f>
        <v/>
      </c>
      <c r="K796" s="167" t="str">
        <f>IF(ISBLANK(DaqBook_RAW_Data!AP786),"",DaqBook_RAW_Data!AP786)</f>
        <v/>
      </c>
      <c r="L796" s="167" t="str">
        <f>IF(ISBLANK(DaqBook_RAW_Data!AQ786),"",DaqBook_RAW_Data!AQ786)</f>
        <v/>
      </c>
      <c r="M796" s="167" t="str">
        <f>IF(ISBLANK(DaqBook_RAW_Data!AR786),"",DaqBook_RAW_Data!AR786)</f>
        <v/>
      </c>
      <c r="N796" s="167" t="str">
        <f>IF(ISBLANK(DaqBook_RAW_Data!AS786),"",DaqBook_RAW_Data!AS786)</f>
        <v/>
      </c>
      <c r="O796" s="44"/>
      <c r="P796" s="44"/>
    </row>
    <row r="797" spans="1:16" x14ac:dyDescent="0.2">
      <c r="A797" s="58" t="e">
        <f t="shared" si="12"/>
        <v>#VALUE!</v>
      </c>
      <c r="B797" s="144" t="str">
        <f>IF(ISBLANK(DaqBook_RAW_Data!AG787),IF(DaqBook_RAW_Data!A787="","",TIMEVALUE(DaqBook_RAW_Data!A787)),TIMEVALUE(DaqBook_RAW_Data!AG787))</f>
        <v/>
      </c>
      <c r="C797" s="167" t="str">
        <f>IF(ISBLANK(DaqBook_RAW_Data!AH787),"",DaqBook_RAW_Data!AH787)</f>
        <v/>
      </c>
      <c r="D797" s="167" t="str">
        <f>IF(ISBLANK(DaqBook_RAW_Data!AI787),"",DaqBook_RAW_Data!AI787)</f>
        <v/>
      </c>
      <c r="E797" s="167" t="str">
        <f>IF(ISBLANK(DaqBook_RAW_Data!AJ787),"",DaqBook_RAW_Data!AJ787)</f>
        <v/>
      </c>
      <c r="F797" s="167" t="str">
        <f>IF(ISBLANK(DaqBook_RAW_Data!AK787),"",DaqBook_RAW_Data!AK787)</f>
        <v/>
      </c>
      <c r="G797" s="167" t="str">
        <f>IF(ISBLANK(DaqBook_RAW_Data!AL787),"",DaqBook_RAW_Data!AL787)</f>
        <v/>
      </c>
      <c r="H797" s="167" t="str">
        <f>IF(ISBLANK(DaqBook_RAW_Data!AM787),"",DaqBook_RAW_Data!AM787)</f>
        <v/>
      </c>
      <c r="I797" s="167" t="str">
        <f>IF(ISBLANK(DaqBook_RAW_Data!AN787),"",DaqBook_RAW_Data!AN787)</f>
        <v/>
      </c>
      <c r="J797" s="167" t="str">
        <f>IF(ISBLANK(DaqBook_RAW_Data!AO787),"",DaqBook_RAW_Data!AO787)</f>
        <v/>
      </c>
      <c r="K797" s="167" t="str">
        <f>IF(ISBLANK(DaqBook_RAW_Data!AP787),"",DaqBook_RAW_Data!AP787)</f>
        <v/>
      </c>
      <c r="L797" s="167" t="str">
        <f>IF(ISBLANK(DaqBook_RAW_Data!AQ787),"",DaqBook_RAW_Data!AQ787)</f>
        <v/>
      </c>
      <c r="M797" s="167" t="str">
        <f>IF(ISBLANK(DaqBook_RAW_Data!AR787),"",DaqBook_RAW_Data!AR787)</f>
        <v/>
      </c>
      <c r="N797" s="167" t="str">
        <f>IF(ISBLANK(DaqBook_RAW_Data!AS787),"",DaqBook_RAW_Data!AS787)</f>
        <v/>
      </c>
      <c r="O797" s="44"/>
      <c r="P797" s="44"/>
    </row>
    <row r="798" spans="1:16" x14ac:dyDescent="0.2">
      <c r="A798" s="58" t="e">
        <f t="shared" si="12"/>
        <v>#VALUE!</v>
      </c>
      <c r="B798" s="144" t="str">
        <f>IF(ISBLANK(DaqBook_RAW_Data!AG788),IF(DaqBook_RAW_Data!A788="","",TIMEVALUE(DaqBook_RAW_Data!A788)),TIMEVALUE(DaqBook_RAW_Data!AG788))</f>
        <v/>
      </c>
      <c r="C798" s="167" t="str">
        <f>IF(ISBLANK(DaqBook_RAW_Data!AH788),"",DaqBook_RAW_Data!AH788)</f>
        <v/>
      </c>
      <c r="D798" s="167" t="str">
        <f>IF(ISBLANK(DaqBook_RAW_Data!AI788),"",DaqBook_RAW_Data!AI788)</f>
        <v/>
      </c>
      <c r="E798" s="167" t="str">
        <f>IF(ISBLANK(DaqBook_RAW_Data!AJ788),"",DaqBook_RAW_Data!AJ788)</f>
        <v/>
      </c>
      <c r="F798" s="167" t="str">
        <f>IF(ISBLANK(DaqBook_RAW_Data!AK788),"",DaqBook_RAW_Data!AK788)</f>
        <v/>
      </c>
      <c r="G798" s="167" t="str">
        <f>IF(ISBLANK(DaqBook_RAW_Data!AL788),"",DaqBook_RAW_Data!AL788)</f>
        <v/>
      </c>
      <c r="H798" s="167" t="str">
        <f>IF(ISBLANK(DaqBook_RAW_Data!AM788),"",DaqBook_RAW_Data!AM788)</f>
        <v/>
      </c>
      <c r="I798" s="167" t="str">
        <f>IF(ISBLANK(DaqBook_RAW_Data!AN788),"",DaqBook_RAW_Data!AN788)</f>
        <v/>
      </c>
      <c r="J798" s="167" t="str">
        <f>IF(ISBLANK(DaqBook_RAW_Data!AO788),"",DaqBook_RAW_Data!AO788)</f>
        <v/>
      </c>
      <c r="K798" s="167" t="str">
        <f>IF(ISBLANK(DaqBook_RAW_Data!AP788),"",DaqBook_RAW_Data!AP788)</f>
        <v/>
      </c>
      <c r="L798" s="167" t="str">
        <f>IF(ISBLANK(DaqBook_RAW_Data!AQ788),"",DaqBook_RAW_Data!AQ788)</f>
        <v/>
      </c>
      <c r="M798" s="167" t="str">
        <f>IF(ISBLANK(DaqBook_RAW_Data!AR788),"",DaqBook_RAW_Data!AR788)</f>
        <v/>
      </c>
      <c r="N798" s="167" t="str">
        <f>IF(ISBLANK(DaqBook_RAW_Data!AS788),"",DaqBook_RAW_Data!AS788)</f>
        <v/>
      </c>
      <c r="O798" s="44"/>
      <c r="P798" s="44"/>
    </row>
    <row r="799" spans="1:16" x14ac:dyDescent="0.2">
      <c r="A799" s="58" t="e">
        <f t="shared" si="12"/>
        <v>#VALUE!</v>
      </c>
      <c r="B799" s="144" t="str">
        <f>IF(ISBLANK(DaqBook_RAW_Data!AG789),IF(DaqBook_RAW_Data!A789="","",TIMEVALUE(DaqBook_RAW_Data!A789)),TIMEVALUE(DaqBook_RAW_Data!AG789))</f>
        <v/>
      </c>
      <c r="C799" s="167" t="str">
        <f>IF(ISBLANK(DaqBook_RAW_Data!AH789),"",DaqBook_RAW_Data!AH789)</f>
        <v/>
      </c>
      <c r="D799" s="167" t="str">
        <f>IF(ISBLANK(DaqBook_RAW_Data!AI789),"",DaqBook_RAW_Data!AI789)</f>
        <v/>
      </c>
      <c r="E799" s="167" t="str">
        <f>IF(ISBLANK(DaqBook_RAW_Data!AJ789),"",DaqBook_RAW_Data!AJ789)</f>
        <v/>
      </c>
      <c r="F799" s="167" t="str">
        <f>IF(ISBLANK(DaqBook_RAW_Data!AK789),"",DaqBook_RAW_Data!AK789)</f>
        <v/>
      </c>
      <c r="G799" s="167" t="str">
        <f>IF(ISBLANK(DaqBook_RAW_Data!AL789),"",DaqBook_RAW_Data!AL789)</f>
        <v/>
      </c>
      <c r="H799" s="167" t="str">
        <f>IF(ISBLANK(DaqBook_RAW_Data!AM789),"",DaqBook_RAW_Data!AM789)</f>
        <v/>
      </c>
      <c r="I799" s="167" t="str">
        <f>IF(ISBLANK(DaqBook_RAW_Data!AN789),"",DaqBook_RAW_Data!AN789)</f>
        <v/>
      </c>
      <c r="J799" s="167" t="str">
        <f>IF(ISBLANK(DaqBook_RAW_Data!AO789),"",DaqBook_RAW_Data!AO789)</f>
        <v/>
      </c>
      <c r="K799" s="167" t="str">
        <f>IF(ISBLANK(DaqBook_RAW_Data!AP789),"",DaqBook_RAW_Data!AP789)</f>
        <v/>
      </c>
      <c r="L799" s="167" t="str">
        <f>IF(ISBLANK(DaqBook_RAW_Data!AQ789),"",DaqBook_RAW_Data!AQ789)</f>
        <v/>
      </c>
      <c r="M799" s="167" t="str">
        <f>IF(ISBLANK(DaqBook_RAW_Data!AR789),"",DaqBook_RAW_Data!AR789)</f>
        <v/>
      </c>
      <c r="N799" s="167" t="str">
        <f>IF(ISBLANK(DaqBook_RAW_Data!AS789),"",DaqBook_RAW_Data!AS789)</f>
        <v/>
      </c>
      <c r="O799" s="44"/>
      <c r="P799" s="44"/>
    </row>
    <row r="800" spans="1:16" x14ac:dyDescent="0.2">
      <c r="A800" s="58" t="e">
        <f t="shared" si="12"/>
        <v>#VALUE!</v>
      </c>
      <c r="B800" s="144" t="str">
        <f>IF(ISBLANK(DaqBook_RAW_Data!AG790),IF(DaqBook_RAW_Data!A790="","",TIMEVALUE(DaqBook_RAW_Data!A790)),TIMEVALUE(DaqBook_RAW_Data!AG790))</f>
        <v/>
      </c>
      <c r="C800" s="167" t="str">
        <f>IF(ISBLANK(DaqBook_RAW_Data!AH790),"",DaqBook_RAW_Data!AH790)</f>
        <v/>
      </c>
      <c r="D800" s="167" t="str">
        <f>IF(ISBLANK(DaqBook_RAW_Data!AI790),"",DaqBook_RAW_Data!AI790)</f>
        <v/>
      </c>
      <c r="E800" s="167" t="str">
        <f>IF(ISBLANK(DaqBook_RAW_Data!AJ790),"",DaqBook_RAW_Data!AJ790)</f>
        <v/>
      </c>
      <c r="F800" s="167" t="str">
        <f>IF(ISBLANK(DaqBook_RAW_Data!AK790),"",DaqBook_RAW_Data!AK790)</f>
        <v/>
      </c>
      <c r="G800" s="167" t="str">
        <f>IF(ISBLANK(DaqBook_RAW_Data!AL790),"",DaqBook_RAW_Data!AL790)</f>
        <v/>
      </c>
      <c r="H800" s="167" t="str">
        <f>IF(ISBLANK(DaqBook_RAW_Data!AM790),"",DaqBook_RAW_Data!AM790)</f>
        <v/>
      </c>
      <c r="I800" s="167" t="str">
        <f>IF(ISBLANK(DaqBook_RAW_Data!AN790),"",DaqBook_RAW_Data!AN790)</f>
        <v/>
      </c>
      <c r="J800" s="167" t="str">
        <f>IF(ISBLANK(DaqBook_RAW_Data!AO790),"",DaqBook_RAW_Data!AO790)</f>
        <v/>
      </c>
      <c r="K800" s="167" t="str">
        <f>IF(ISBLANK(DaqBook_RAW_Data!AP790),"",DaqBook_RAW_Data!AP790)</f>
        <v/>
      </c>
      <c r="L800" s="167" t="str">
        <f>IF(ISBLANK(DaqBook_RAW_Data!AQ790),"",DaqBook_RAW_Data!AQ790)</f>
        <v/>
      </c>
      <c r="M800" s="167" t="str">
        <f>IF(ISBLANK(DaqBook_RAW_Data!AR790),"",DaqBook_RAW_Data!AR790)</f>
        <v/>
      </c>
      <c r="N800" s="167" t="str">
        <f>IF(ISBLANK(DaqBook_RAW_Data!AS790),"",DaqBook_RAW_Data!AS790)</f>
        <v/>
      </c>
      <c r="O800" s="44"/>
      <c r="P800" s="44"/>
    </row>
    <row r="801" spans="1:16" x14ac:dyDescent="0.2">
      <c r="A801" s="58" t="e">
        <f t="shared" si="12"/>
        <v>#VALUE!</v>
      </c>
      <c r="B801" s="144" t="str">
        <f>IF(ISBLANK(DaqBook_RAW_Data!AG791),IF(DaqBook_RAW_Data!A791="","",TIMEVALUE(DaqBook_RAW_Data!A791)),TIMEVALUE(DaqBook_RAW_Data!AG791))</f>
        <v/>
      </c>
      <c r="C801" s="167" t="str">
        <f>IF(ISBLANK(DaqBook_RAW_Data!AH791),"",DaqBook_RAW_Data!AH791)</f>
        <v/>
      </c>
      <c r="D801" s="167" t="str">
        <f>IF(ISBLANK(DaqBook_RAW_Data!AI791),"",DaqBook_RAW_Data!AI791)</f>
        <v/>
      </c>
      <c r="E801" s="167" t="str">
        <f>IF(ISBLANK(DaqBook_RAW_Data!AJ791),"",DaqBook_RAW_Data!AJ791)</f>
        <v/>
      </c>
      <c r="F801" s="167" t="str">
        <f>IF(ISBLANK(DaqBook_RAW_Data!AK791),"",DaqBook_RAW_Data!AK791)</f>
        <v/>
      </c>
      <c r="G801" s="167" t="str">
        <f>IF(ISBLANK(DaqBook_RAW_Data!AL791),"",DaqBook_RAW_Data!AL791)</f>
        <v/>
      </c>
      <c r="H801" s="167" t="str">
        <f>IF(ISBLANK(DaqBook_RAW_Data!AM791),"",DaqBook_RAW_Data!AM791)</f>
        <v/>
      </c>
      <c r="I801" s="167" t="str">
        <f>IF(ISBLANK(DaqBook_RAW_Data!AN791),"",DaqBook_RAW_Data!AN791)</f>
        <v/>
      </c>
      <c r="J801" s="167" t="str">
        <f>IF(ISBLANK(DaqBook_RAW_Data!AO791),"",DaqBook_RAW_Data!AO791)</f>
        <v/>
      </c>
      <c r="K801" s="167" t="str">
        <f>IF(ISBLANK(DaqBook_RAW_Data!AP791),"",DaqBook_RAW_Data!AP791)</f>
        <v/>
      </c>
      <c r="L801" s="167" t="str">
        <f>IF(ISBLANK(DaqBook_RAW_Data!AQ791),"",DaqBook_RAW_Data!AQ791)</f>
        <v/>
      </c>
      <c r="M801" s="167" t="str">
        <f>IF(ISBLANK(DaqBook_RAW_Data!AR791),"",DaqBook_RAW_Data!AR791)</f>
        <v/>
      </c>
      <c r="N801" s="167" t="str">
        <f>IF(ISBLANK(DaqBook_RAW_Data!AS791),"",DaqBook_RAW_Data!AS791)</f>
        <v/>
      </c>
      <c r="O801" s="44"/>
      <c r="P801" s="44"/>
    </row>
    <row r="802" spans="1:16" x14ac:dyDescent="0.2">
      <c r="A802" s="58" t="e">
        <f t="shared" si="12"/>
        <v>#VALUE!</v>
      </c>
      <c r="B802" s="144" t="str">
        <f>IF(ISBLANK(DaqBook_RAW_Data!AG792),IF(DaqBook_RAW_Data!A792="","",TIMEVALUE(DaqBook_RAW_Data!A792)),TIMEVALUE(DaqBook_RAW_Data!AG792))</f>
        <v/>
      </c>
      <c r="C802" s="167" t="str">
        <f>IF(ISBLANK(DaqBook_RAW_Data!AH792),"",DaqBook_RAW_Data!AH792)</f>
        <v/>
      </c>
      <c r="D802" s="167" t="str">
        <f>IF(ISBLANK(DaqBook_RAW_Data!AI792),"",DaqBook_RAW_Data!AI792)</f>
        <v/>
      </c>
      <c r="E802" s="167" t="str">
        <f>IF(ISBLANK(DaqBook_RAW_Data!AJ792),"",DaqBook_RAW_Data!AJ792)</f>
        <v/>
      </c>
      <c r="F802" s="167" t="str">
        <f>IF(ISBLANK(DaqBook_RAW_Data!AK792),"",DaqBook_RAW_Data!AK792)</f>
        <v/>
      </c>
      <c r="G802" s="167" t="str">
        <f>IF(ISBLANK(DaqBook_RAW_Data!AL792),"",DaqBook_RAW_Data!AL792)</f>
        <v/>
      </c>
      <c r="H802" s="167" t="str">
        <f>IF(ISBLANK(DaqBook_RAW_Data!AM792),"",DaqBook_RAW_Data!AM792)</f>
        <v/>
      </c>
      <c r="I802" s="167" t="str">
        <f>IF(ISBLANK(DaqBook_RAW_Data!AN792),"",DaqBook_RAW_Data!AN792)</f>
        <v/>
      </c>
      <c r="J802" s="167" t="str">
        <f>IF(ISBLANK(DaqBook_RAW_Data!AO792),"",DaqBook_RAW_Data!AO792)</f>
        <v/>
      </c>
      <c r="K802" s="167" t="str">
        <f>IF(ISBLANK(DaqBook_RAW_Data!AP792),"",DaqBook_RAW_Data!AP792)</f>
        <v/>
      </c>
      <c r="L802" s="167" t="str">
        <f>IF(ISBLANK(DaqBook_RAW_Data!AQ792),"",DaqBook_RAW_Data!AQ792)</f>
        <v/>
      </c>
      <c r="M802" s="167" t="str">
        <f>IF(ISBLANK(DaqBook_RAW_Data!AR792),"",DaqBook_RAW_Data!AR792)</f>
        <v/>
      </c>
      <c r="N802" s="167" t="str">
        <f>IF(ISBLANK(DaqBook_RAW_Data!AS792),"",DaqBook_RAW_Data!AS792)</f>
        <v/>
      </c>
      <c r="O802" s="44"/>
      <c r="P802" s="44"/>
    </row>
    <row r="803" spans="1:16" x14ac:dyDescent="0.2">
      <c r="A803" s="58" t="e">
        <f t="shared" si="12"/>
        <v>#VALUE!</v>
      </c>
      <c r="B803" s="144" t="str">
        <f>IF(ISBLANK(DaqBook_RAW_Data!AG793),IF(DaqBook_RAW_Data!A793="","",TIMEVALUE(DaqBook_RAW_Data!A793)),TIMEVALUE(DaqBook_RAW_Data!AG793))</f>
        <v/>
      </c>
      <c r="C803" s="167" t="str">
        <f>IF(ISBLANK(DaqBook_RAW_Data!AH793),"",DaqBook_RAW_Data!AH793)</f>
        <v/>
      </c>
      <c r="D803" s="167" t="str">
        <f>IF(ISBLANK(DaqBook_RAW_Data!AI793),"",DaqBook_RAW_Data!AI793)</f>
        <v/>
      </c>
      <c r="E803" s="167" t="str">
        <f>IF(ISBLANK(DaqBook_RAW_Data!AJ793),"",DaqBook_RAW_Data!AJ793)</f>
        <v/>
      </c>
      <c r="F803" s="167" t="str">
        <f>IF(ISBLANK(DaqBook_RAW_Data!AK793),"",DaqBook_RAW_Data!AK793)</f>
        <v/>
      </c>
      <c r="G803" s="167" t="str">
        <f>IF(ISBLANK(DaqBook_RAW_Data!AL793),"",DaqBook_RAW_Data!AL793)</f>
        <v/>
      </c>
      <c r="H803" s="167" t="str">
        <f>IF(ISBLANK(DaqBook_RAW_Data!AM793),"",DaqBook_RAW_Data!AM793)</f>
        <v/>
      </c>
      <c r="I803" s="167" t="str">
        <f>IF(ISBLANK(DaqBook_RAW_Data!AN793),"",DaqBook_RAW_Data!AN793)</f>
        <v/>
      </c>
      <c r="J803" s="167" t="str">
        <f>IF(ISBLANK(DaqBook_RAW_Data!AO793),"",DaqBook_RAW_Data!AO793)</f>
        <v/>
      </c>
      <c r="K803" s="167" t="str">
        <f>IF(ISBLANK(DaqBook_RAW_Data!AP793),"",DaqBook_RAW_Data!AP793)</f>
        <v/>
      </c>
      <c r="L803" s="167" t="str">
        <f>IF(ISBLANK(DaqBook_RAW_Data!AQ793),"",DaqBook_RAW_Data!AQ793)</f>
        <v/>
      </c>
      <c r="M803" s="167" t="str">
        <f>IF(ISBLANK(DaqBook_RAW_Data!AR793),"",DaqBook_RAW_Data!AR793)</f>
        <v/>
      </c>
      <c r="N803" s="167" t="str">
        <f>IF(ISBLANK(DaqBook_RAW_Data!AS793),"",DaqBook_RAW_Data!AS793)</f>
        <v/>
      </c>
      <c r="O803" s="44"/>
      <c r="P803" s="44"/>
    </row>
    <row r="804" spans="1:16" x14ac:dyDescent="0.2">
      <c r="A804" s="58" t="e">
        <f t="shared" si="12"/>
        <v>#VALUE!</v>
      </c>
      <c r="B804" s="144" t="str">
        <f>IF(ISBLANK(DaqBook_RAW_Data!AG794),IF(DaqBook_RAW_Data!A794="","",TIMEVALUE(DaqBook_RAW_Data!A794)),TIMEVALUE(DaqBook_RAW_Data!AG794))</f>
        <v/>
      </c>
      <c r="C804" s="167" t="str">
        <f>IF(ISBLANK(DaqBook_RAW_Data!AH794),"",DaqBook_RAW_Data!AH794)</f>
        <v/>
      </c>
      <c r="D804" s="167" t="str">
        <f>IF(ISBLANK(DaqBook_RAW_Data!AI794),"",DaqBook_RAW_Data!AI794)</f>
        <v/>
      </c>
      <c r="E804" s="167" t="str">
        <f>IF(ISBLANK(DaqBook_RAW_Data!AJ794),"",DaqBook_RAW_Data!AJ794)</f>
        <v/>
      </c>
      <c r="F804" s="167" t="str">
        <f>IF(ISBLANK(DaqBook_RAW_Data!AK794),"",DaqBook_RAW_Data!AK794)</f>
        <v/>
      </c>
      <c r="G804" s="167" t="str">
        <f>IF(ISBLANK(DaqBook_RAW_Data!AL794),"",DaqBook_RAW_Data!AL794)</f>
        <v/>
      </c>
      <c r="H804" s="167" t="str">
        <f>IF(ISBLANK(DaqBook_RAW_Data!AM794),"",DaqBook_RAW_Data!AM794)</f>
        <v/>
      </c>
      <c r="I804" s="167" t="str">
        <f>IF(ISBLANK(DaqBook_RAW_Data!AN794),"",DaqBook_RAW_Data!AN794)</f>
        <v/>
      </c>
      <c r="J804" s="167" t="str">
        <f>IF(ISBLANK(DaqBook_RAW_Data!AO794),"",DaqBook_RAW_Data!AO794)</f>
        <v/>
      </c>
      <c r="K804" s="167" t="str">
        <f>IF(ISBLANK(DaqBook_RAW_Data!AP794),"",DaqBook_RAW_Data!AP794)</f>
        <v/>
      </c>
      <c r="L804" s="167" t="str">
        <f>IF(ISBLANK(DaqBook_RAW_Data!AQ794),"",DaqBook_RAW_Data!AQ794)</f>
        <v/>
      </c>
      <c r="M804" s="167" t="str">
        <f>IF(ISBLANK(DaqBook_RAW_Data!AR794),"",DaqBook_RAW_Data!AR794)</f>
        <v/>
      </c>
      <c r="N804" s="167" t="str">
        <f>IF(ISBLANK(DaqBook_RAW_Data!AS794),"",DaqBook_RAW_Data!AS794)</f>
        <v/>
      </c>
      <c r="O804" s="44"/>
      <c r="P804" s="44"/>
    </row>
    <row r="805" spans="1:16" x14ac:dyDescent="0.2">
      <c r="A805" s="58" t="e">
        <f t="shared" si="12"/>
        <v>#VALUE!</v>
      </c>
      <c r="B805" s="144" t="str">
        <f>IF(ISBLANK(DaqBook_RAW_Data!AG795),IF(DaqBook_RAW_Data!A795="","",TIMEVALUE(DaqBook_RAW_Data!A795)),TIMEVALUE(DaqBook_RAW_Data!AG795))</f>
        <v/>
      </c>
      <c r="C805" s="167" t="str">
        <f>IF(ISBLANK(DaqBook_RAW_Data!AH795),"",DaqBook_RAW_Data!AH795)</f>
        <v/>
      </c>
      <c r="D805" s="167" t="str">
        <f>IF(ISBLANK(DaqBook_RAW_Data!AI795),"",DaqBook_RAW_Data!AI795)</f>
        <v/>
      </c>
      <c r="E805" s="167" t="str">
        <f>IF(ISBLANK(DaqBook_RAW_Data!AJ795),"",DaqBook_RAW_Data!AJ795)</f>
        <v/>
      </c>
      <c r="F805" s="167" t="str">
        <f>IF(ISBLANK(DaqBook_RAW_Data!AK795),"",DaqBook_RAW_Data!AK795)</f>
        <v/>
      </c>
      <c r="G805" s="167" t="str">
        <f>IF(ISBLANK(DaqBook_RAW_Data!AL795),"",DaqBook_RAW_Data!AL795)</f>
        <v/>
      </c>
      <c r="H805" s="167" t="str">
        <f>IF(ISBLANK(DaqBook_RAW_Data!AM795),"",DaqBook_RAW_Data!AM795)</f>
        <v/>
      </c>
      <c r="I805" s="167" t="str">
        <f>IF(ISBLANK(DaqBook_RAW_Data!AN795),"",DaqBook_RAW_Data!AN795)</f>
        <v/>
      </c>
      <c r="J805" s="167" t="str">
        <f>IF(ISBLANK(DaqBook_RAW_Data!AO795),"",DaqBook_RAW_Data!AO795)</f>
        <v/>
      </c>
      <c r="K805" s="167" t="str">
        <f>IF(ISBLANK(DaqBook_RAW_Data!AP795),"",DaqBook_RAW_Data!AP795)</f>
        <v/>
      </c>
      <c r="L805" s="167" t="str">
        <f>IF(ISBLANK(DaqBook_RAW_Data!AQ795),"",DaqBook_RAW_Data!AQ795)</f>
        <v/>
      </c>
      <c r="M805" s="167" t="str">
        <f>IF(ISBLANK(DaqBook_RAW_Data!AR795),"",DaqBook_RAW_Data!AR795)</f>
        <v/>
      </c>
      <c r="N805" s="167" t="str">
        <f>IF(ISBLANK(DaqBook_RAW_Data!AS795),"",DaqBook_RAW_Data!AS795)</f>
        <v/>
      </c>
      <c r="O805" s="44"/>
      <c r="P805" s="44"/>
    </row>
    <row r="806" spans="1:16" x14ac:dyDescent="0.2">
      <c r="A806" s="58" t="e">
        <f t="shared" si="12"/>
        <v>#VALUE!</v>
      </c>
      <c r="B806" s="144" t="str">
        <f>IF(ISBLANK(DaqBook_RAW_Data!AG796),IF(DaqBook_RAW_Data!A796="","",TIMEVALUE(DaqBook_RAW_Data!A796)),TIMEVALUE(DaqBook_RAW_Data!AG796))</f>
        <v/>
      </c>
      <c r="C806" s="167" t="str">
        <f>IF(ISBLANK(DaqBook_RAW_Data!AH796),"",DaqBook_RAW_Data!AH796)</f>
        <v/>
      </c>
      <c r="D806" s="167" t="str">
        <f>IF(ISBLANK(DaqBook_RAW_Data!AI796),"",DaqBook_RAW_Data!AI796)</f>
        <v/>
      </c>
      <c r="E806" s="167" t="str">
        <f>IF(ISBLANK(DaqBook_RAW_Data!AJ796),"",DaqBook_RAW_Data!AJ796)</f>
        <v/>
      </c>
      <c r="F806" s="167" t="str">
        <f>IF(ISBLANK(DaqBook_RAW_Data!AK796),"",DaqBook_RAW_Data!AK796)</f>
        <v/>
      </c>
      <c r="G806" s="167" t="str">
        <f>IF(ISBLANK(DaqBook_RAW_Data!AL796),"",DaqBook_RAW_Data!AL796)</f>
        <v/>
      </c>
      <c r="H806" s="167" t="str">
        <f>IF(ISBLANK(DaqBook_RAW_Data!AM796),"",DaqBook_RAW_Data!AM796)</f>
        <v/>
      </c>
      <c r="I806" s="167" t="str">
        <f>IF(ISBLANK(DaqBook_RAW_Data!AN796),"",DaqBook_RAW_Data!AN796)</f>
        <v/>
      </c>
      <c r="J806" s="167" t="str">
        <f>IF(ISBLANK(DaqBook_RAW_Data!AO796),"",DaqBook_RAW_Data!AO796)</f>
        <v/>
      </c>
      <c r="K806" s="167" t="str">
        <f>IF(ISBLANK(DaqBook_RAW_Data!AP796),"",DaqBook_RAW_Data!AP796)</f>
        <v/>
      </c>
      <c r="L806" s="167" t="str">
        <f>IF(ISBLANK(DaqBook_RAW_Data!AQ796),"",DaqBook_RAW_Data!AQ796)</f>
        <v/>
      </c>
      <c r="M806" s="167" t="str">
        <f>IF(ISBLANK(DaqBook_RAW_Data!AR796),"",DaqBook_RAW_Data!AR796)</f>
        <v/>
      </c>
      <c r="N806" s="167" t="str">
        <f>IF(ISBLANK(DaqBook_RAW_Data!AS796),"",DaqBook_RAW_Data!AS796)</f>
        <v/>
      </c>
      <c r="O806" s="44"/>
      <c r="P806" s="44"/>
    </row>
    <row r="807" spans="1:16" x14ac:dyDescent="0.2">
      <c r="A807" s="58" t="e">
        <f t="shared" si="12"/>
        <v>#VALUE!</v>
      </c>
      <c r="B807" s="144" t="str">
        <f>IF(ISBLANK(DaqBook_RAW_Data!AG797),IF(DaqBook_RAW_Data!A797="","",TIMEVALUE(DaqBook_RAW_Data!A797)),TIMEVALUE(DaqBook_RAW_Data!AG797))</f>
        <v/>
      </c>
      <c r="C807" s="167" t="str">
        <f>IF(ISBLANK(DaqBook_RAW_Data!AH797),"",DaqBook_RAW_Data!AH797)</f>
        <v/>
      </c>
      <c r="D807" s="167" t="str">
        <f>IF(ISBLANK(DaqBook_RAW_Data!AI797),"",DaqBook_RAW_Data!AI797)</f>
        <v/>
      </c>
      <c r="E807" s="167" t="str">
        <f>IF(ISBLANK(DaqBook_RAW_Data!AJ797),"",DaqBook_RAW_Data!AJ797)</f>
        <v/>
      </c>
      <c r="F807" s="167" t="str">
        <f>IF(ISBLANK(DaqBook_RAW_Data!AK797),"",DaqBook_RAW_Data!AK797)</f>
        <v/>
      </c>
      <c r="G807" s="167" t="str">
        <f>IF(ISBLANK(DaqBook_RAW_Data!AL797),"",DaqBook_RAW_Data!AL797)</f>
        <v/>
      </c>
      <c r="H807" s="167" t="str">
        <f>IF(ISBLANK(DaqBook_RAW_Data!AM797),"",DaqBook_RAW_Data!AM797)</f>
        <v/>
      </c>
      <c r="I807" s="167" t="str">
        <f>IF(ISBLANK(DaqBook_RAW_Data!AN797),"",DaqBook_RAW_Data!AN797)</f>
        <v/>
      </c>
      <c r="J807" s="167" t="str">
        <f>IF(ISBLANK(DaqBook_RAW_Data!AO797),"",DaqBook_RAW_Data!AO797)</f>
        <v/>
      </c>
      <c r="K807" s="167" t="str">
        <f>IF(ISBLANK(DaqBook_RAW_Data!AP797),"",DaqBook_RAW_Data!AP797)</f>
        <v/>
      </c>
      <c r="L807" s="167" t="str">
        <f>IF(ISBLANK(DaqBook_RAW_Data!AQ797),"",DaqBook_RAW_Data!AQ797)</f>
        <v/>
      </c>
      <c r="M807" s="167" t="str">
        <f>IF(ISBLANK(DaqBook_RAW_Data!AR797),"",DaqBook_RAW_Data!AR797)</f>
        <v/>
      </c>
      <c r="N807" s="167" t="str">
        <f>IF(ISBLANK(DaqBook_RAW_Data!AS797),"",DaqBook_RAW_Data!AS797)</f>
        <v/>
      </c>
      <c r="O807" s="44"/>
      <c r="P807" s="44"/>
    </row>
    <row r="808" spans="1:16" x14ac:dyDescent="0.2">
      <c r="A808" s="58" t="e">
        <f t="shared" si="12"/>
        <v>#VALUE!</v>
      </c>
      <c r="B808" s="144" t="str">
        <f>IF(ISBLANK(DaqBook_RAW_Data!AG798),IF(DaqBook_RAW_Data!A798="","",TIMEVALUE(DaqBook_RAW_Data!A798)),TIMEVALUE(DaqBook_RAW_Data!AG798))</f>
        <v/>
      </c>
      <c r="C808" s="167" t="str">
        <f>IF(ISBLANK(DaqBook_RAW_Data!AH798),"",DaqBook_RAW_Data!AH798)</f>
        <v/>
      </c>
      <c r="D808" s="167" t="str">
        <f>IF(ISBLANK(DaqBook_RAW_Data!AI798),"",DaqBook_RAW_Data!AI798)</f>
        <v/>
      </c>
      <c r="E808" s="167" t="str">
        <f>IF(ISBLANK(DaqBook_RAW_Data!AJ798),"",DaqBook_RAW_Data!AJ798)</f>
        <v/>
      </c>
      <c r="F808" s="167" t="str">
        <f>IF(ISBLANK(DaqBook_RAW_Data!AK798),"",DaqBook_RAW_Data!AK798)</f>
        <v/>
      </c>
      <c r="G808" s="167" t="str">
        <f>IF(ISBLANK(DaqBook_RAW_Data!AL798),"",DaqBook_RAW_Data!AL798)</f>
        <v/>
      </c>
      <c r="H808" s="167" t="str">
        <f>IF(ISBLANK(DaqBook_RAW_Data!AM798),"",DaqBook_RAW_Data!AM798)</f>
        <v/>
      </c>
      <c r="I808" s="167" t="str">
        <f>IF(ISBLANK(DaqBook_RAW_Data!AN798),"",DaqBook_RAW_Data!AN798)</f>
        <v/>
      </c>
      <c r="J808" s="167" t="str">
        <f>IF(ISBLANK(DaqBook_RAW_Data!AO798),"",DaqBook_RAW_Data!AO798)</f>
        <v/>
      </c>
      <c r="K808" s="167" t="str">
        <f>IF(ISBLANK(DaqBook_RAW_Data!AP798),"",DaqBook_RAW_Data!AP798)</f>
        <v/>
      </c>
      <c r="L808" s="167" t="str">
        <f>IF(ISBLANK(DaqBook_RAW_Data!AQ798),"",DaqBook_RAW_Data!AQ798)</f>
        <v/>
      </c>
      <c r="M808" s="167" t="str">
        <f>IF(ISBLANK(DaqBook_RAW_Data!AR798),"",DaqBook_RAW_Data!AR798)</f>
        <v/>
      </c>
      <c r="N808" s="167" t="str">
        <f>IF(ISBLANK(DaqBook_RAW_Data!AS798),"",DaqBook_RAW_Data!AS798)</f>
        <v/>
      </c>
      <c r="O808" s="44"/>
      <c r="P808" s="44"/>
    </row>
    <row r="809" spans="1:16" x14ac:dyDescent="0.2">
      <c r="A809" s="58" t="e">
        <f t="shared" si="12"/>
        <v>#VALUE!</v>
      </c>
      <c r="B809" s="144" t="str">
        <f>IF(ISBLANK(DaqBook_RAW_Data!AG799),IF(DaqBook_RAW_Data!A799="","",TIMEVALUE(DaqBook_RAW_Data!A799)),TIMEVALUE(DaqBook_RAW_Data!AG799))</f>
        <v/>
      </c>
      <c r="C809" s="167" t="str">
        <f>IF(ISBLANK(DaqBook_RAW_Data!AH799),"",DaqBook_RAW_Data!AH799)</f>
        <v/>
      </c>
      <c r="D809" s="167" t="str">
        <f>IF(ISBLANK(DaqBook_RAW_Data!AI799),"",DaqBook_RAW_Data!AI799)</f>
        <v/>
      </c>
      <c r="E809" s="167" t="str">
        <f>IF(ISBLANK(DaqBook_RAW_Data!AJ799),"",DaqBook_RAW_Data!AJ799)</f>
        <v/>
      </c>
      <c r="F809" s="167" t="str">
        <f>IF(ISBLANK(DaqBook_RAW_Data!AK799),"",DaqBook_RAW_Data!AK799)</f>
        <v/>
      </c>
      <c r="G809" s="167" t="str">
        <f>IF(ISBLANK(DaqBook_RAW_Data!AL799),"",DaqBook_RAW_Data!AL799)</f>
        <v/>
      </c>
      <c r="H809" s="167" t="str">
        <f>IF(ISBLANK(DaqBook_RAW_Data!AM799),"",DaqBook_RAW_Data!AM799)</f>
        <v/>
      </c>
      <c r="I809" s="167" t="str">
        <f>IF(ISBLANK(DaqBook_RAW_Data!AN799),"",DaqBook_RAW_Data!AN799)</f>
        <v/>
      </c>
      <c r="J809" s="167" t="str">
        <f>IF(ISBLANK(DaqBook_RAW_Data!AO799),"",DaqBook_RAW_Data!AO799)</f>
        <v/>
      </c>
      <c r="K809" s="167" t="str">
        <f>IF(ISBLANK(DaqBook_RAW_Data!AP799),"",DaqBook_RAW_Data!AP799)</f>
        <v/>
      </c>
      <c r="L809" s="167" t="str">
        <f>IF(ISBLANK(DaqBook_RAW_Data!AQ799),"",DaqBook_RAW_Data!AQ799)</f>
        <v/>
      </c>
      <c r="M809" s="167" t="str">
        <f>IF(ISBLANK(DaqBook_RAW_Data!AR799),"",DaqBook_RAW_Data!AR799)</f>
        <v/>
      </c>
      <c r="N809" s="167" t="str">
        <f>IF(ISBLANK(DaqBook_RAW_Data!AS799),"",DaqBook_RAW_Data!AS799)</f>
        <v/>
      </c>
      <c r="O809" s="44"/>
      <c r="P809" s="44"/>
    </row>
    <row r="810" spans="1:16" x14ac:dyDescent="0.2">
      <c r="A810" s="58" t="e">
        <f t="shared" si="12"/>
        <v>#VALUE!</v>
      </c>
      <c r="B810" s="144" t="str">
        <f>IF(ISBLANK(DaqBook_RAW_Data!AG800),IF(DaqBook_RAW_Data!A800="","",TIMEVALUE(DaqBook_RAW_Data!A800)),TIMEVALUE(DaqBook_RAW_Data!AG800))</f>
        <v/>
      </c>
      <c r="C810" s="167" t="str">
        <f>IF(ISBLANK(DaqBook_RAW_Data!AH800),"",DaqBook_RAW_Data!AH800)</f>
        <v/>
      </c>
      <c r="D810" s="167" t="str">
        <f>IF(ISBLANK(DaqBook_RAW_Data!AI800),"",DaqBook_RAW_Data!AI800)</f>
        <v/>
      </c>
      <c r="E810" s="167" t="str">
        <f>IF(ISBLANK(DaqBook_RAW_Data!AJ800),"",DaqBook_RAW_Data!AJ800)</f>
        <v/>
      </c>
      <c r="F810" s="167" t="str">
        <f>IF(ISBLANK(DaqBook_RAW_Data!AK800),"",DaqBook_RAW_Data!AK800)</f>
        <v/>
      </c>
      <c r="G810" s="167" t="str">
        <f>IF(ISBLANK(DaqBook_RAW_Data!AL800),"",DaqBook_RAW_Data!AL800)</f>
        <v/>
      </c>
      <c r="H810" s="167" t="str">
        <f>IF(ISBLANK(DaqBook_RAW_Data!AM800),"",DaqBook_RAW_Data!AM800)</f>
        <v/>
      </c>
      <c r="I810" s="167" t="str">
        <f>IF(ISBLANK(DaqBook_RAW_Data!AN800),"",DaqBook_RAW_Data!AN800)</f>
        <v/>
      </c>
      <c r="J810" s="167" t="str">
        <f>IF(ISBLANK(DaqBook_RAW_Data!AO800),"",DaqBook_RAW_Data!AO800)</f>
        <v/>
      </c>
      <c r="K810" s="167" t="str">
        <f>IF(ISBLANK(DaqBook_RAW_Data!AP800),"",DaqBook_RAW_Data!AP800)</f>
        <v/>
      </c>
      <c r="L810" s="167" t="str">
        <f>IF(ISBLANK(DaqBook_RAW_Data!AQ800),"",DaqBook_RAW_Data!AQ800)</f>
        <v/>
      </c>
      <c r="M810" s="167" t="str">
        <f>IF(ISBLANK(DaqBook_RAW_Data!AR800),"",DaqBook_RAW_Data!AR800)</f>
        <v/>
      </c>
      <c r="N810" s="167" t="str">
        <f>IF(ISBLANK(DaqBook_RAW_Data!AS800),"",DaqBook_RAW_Data!AS800)</f>
        <v/>
      </c>
      <c r="O810" s="44"/>
      <c r="P810" s="44"/>
    </row>
    <row r="811" spans="1:16" x14ac:dyDescent="0.2">
      <c r="A811" s="58" t="e">
        <f t="shared" si="12"/>
        <v>#VALUE!</v>
      </c>
      <c r="B811" s="144" t="str">
        <f>IF(ISBLANK(DaqBook_RAW_Data!AG801),IF(DaqBook_RAW_Data!A801="","",TIMEVALUE(DaqBook_RAW_Data!A801)),TIMEVALUE(DaqBook_RAW_Data!AG801))</f>
        <v/>
      </c>
      <c r="C811" s="167" t="str">
        <f>IF(ISBLANK(DaqBook_RAW_Data!AH801),"",DaqBook_RAW_Data!AH801)</f>
        <v/>
      </c>
      <c r="D811" s="167" t="str">
        <f>IF(ISBLANK(DaqBook_RAW_Data!AI801),"",DaqBook_RAW_Data!AI801)</f>
        <v/>
      </c>
      <c r="E811" s="167" t="str">
        <f>IF(ISBLANK(DaqBook_RAW_Data!AJ801),"",DaqBook_RAW_Data!AJ801)</f>
        <v/>
      </c>
      <c r="F811" s="167" t="str">
        <f>IF(ISBLANK(DaqBook_RAW_Data!AK801),"",DaqBook_RAW_Data!AK801)</f>
        <v/>
      </c>
      <c r="G811" s="167" t="str">
        <f>IF(ISBLANK(DaqBook_RAW_Data!AL801),"",DaqBook_RAW_Data!AL801)</f>
        <v/>
      </c>
      <c r="H811" s="167" t="str">
        <f>IF(ISBLANK(DaqBook_RAW_Data!AM801),"",DaqBook_RAW_Data!AM801)</f>
        <v/>
      </c>
      <c r="I811" s="167" t="str">
        <f>IF(ISBLANK(DaqBook_RAW_Data!AN801),"",DaqBook_RAW_Data!AN801)</f>
        <v/>
      </c>
      <c r="J811" s="167" t="str">
        <f>IF(ISBLANK(DaqBook_RAW_Data!AO801),"",DaqBook_RAW_Data!AO801)</f>
        <v/>
      </c>
      <c r="K811" s="167" t="str">
        <f>IF(ISBLANK(DaqBook_RAW_Data!AP801),"",DaqBook_RAW_Data!AP801)</f>
        <v/>
      </c>
      <c r="L811" s="167" t="str">
        <f>IF(ISBLANK(DaqBook_RAW_Data!AQ801),"",DaqBook_RAW_Data!AQ801)</f>
        <v/>
      </c>
      <c r="M811" s="167" t="str">
        <f>IF(ISBLANK(DaqBook_RAW_Data!AR801),"",DaqBook_RAW_Data!AR801)</f>
        <v/>
      </c>
      <c r="N811" s="167" t="str">
        <f>IF(ISBLANK(DaqBook_RAW_Data!AS801),"",DaqBook_RAW_Data!AS801)</f>
        <v/>
      </c>
      <c r="O811" s="44"/>
      <c r="P811" s="44"/>
    </row>
    <row r="812" spans="1:16" x14ac:dyDescent="0.2">
      <c r="A812" s="58" t="e">
        <f t="shared" si="12"/>
        <v>#VALUE!</v>
      </c>
      <c r="B812" s="144" t="str">
        <f>IF(ISBLANK(DaqBook_RAW_Data!AG802),IF(DaqBook_RAW_Data!A802="","",TIMEVALUE(DaqBook_RAW_Data!A802)),TIMEVALUE(DaqBook_RAW_Data!AG802))</f>
        <v/>
      </c>
      <c r="C812" s="167" t="str">
        <f>IF(ISBLANK(DaqBook_RAW_Data!AH802),"",DaqBook_RAW_Data!AH802)</f>
        <v/>
      </c>
      <c r="D812" s="167" t="str">
        <f>IF(ISBLANK(DaqBook_RAW_Data!AI802),"",DaqBook_RAW_Data!AI802)</f>
        <v/>
      </c>
      <c r="E812" s="167" t="str">
        <f>IF(ISBLANK(DaqBook_RAW_Data!AJ802),"",DaqBook_RAW_Data!AJ802)</f>
        <v/>
      </c>
      <c r="F812" s="167" t="str">
        <f>IF(ISBLANK(DaqBook_RAW_Data!AK802),"",DaqBook_RAW_Data!AK802)</f>
        <v/>
      </c>
      <c r="G812" s="167" t="str">
        <f>IF(ISBLANK(DaqBook_RAW_Data!AL802),"",DaqBook_RAW_Data!AL802)</f>
        <v/>
      </c>
      <c r="H812" s="167" t="str">
        <f>IF(ISBLANK(DaqBook_RAW_Data!AM802),"",DaqBook_RAW_Data!AM802)</f>
        <v/>
      </c>
      <c r="I812" s="167" t="str">
        <f>IF(ISBLANK(DaqBook_RAW_Data!AN802),"",DaqBook_RAW_Data!AN802)</f>
        <v/>
      </c>
      <c r="J812" s="167" t="str">
        <f>IF(ISBLANK(DaqBook_RAW_Data!AO802),"",DaqBook_RAW_Data!AO802)</f>
        <v/>
      </c>
      <c r="K812" s="167" t="str">
        <f>IF(ISBLANK(DaqBook_RAW_Data!AP802),"",DaqBook_RAW_Data!AP802)</f>
        <v/>
      </c>
      <c r="L812" s="167" t="str">
        <f>IF(ISBLANK(DaqBook_RAW_Data!AQ802),"",DaqBook_RAW_Data!AQ802)</f>
        <v/>
      </c>
      <c r="M812" s="167" t="str">
        <f>IF(ISBLANK(DaqBook_RAW_Data!AR802),"",DaqBook_RAW_Data!AR802)</f>
        <v/>
      </c>
      <c r="N812" s="167" t="str">
        <f>IF(ISBLANK(DaqBook_RAW_Data!AS802),"",DaqBook_RAW_Data!AS802)</f>
        <v/>
      </c>
      <c r="O812" s="44"/>
      <c r="P812" s="44"/>
    </row>
    <row r="813" spans="1:16" x14ac:dyDescent="0.2">
      <c r="A813" s="58" t="e">
        <f t="shared" si="12"/>
        <v>#VALUE!</v>
      </c>
      <c r="B813" s="144" t="str">
        <f>IF(ISBLANK(DaqBook_RAW_Data!AG803),IF(DaqBook_RAW_Data!A803="","",TIMEVALUE(DaqBook_RAW_Data!A803)),TIMEVALUE(DaqBook_RAW_Data!AG803))</f>
        <v/>
      </c>
      <c r="C813" s="167" t="str">
        <f>IF(ISBLANK(DaqBook_RAW_Data!AH803),"",DaqBook_RAW_Data!AH803)</f>
        <v/>
      </c>
      <c r="D813" s="167" t="str">
        <f>IF(ISBLANK(DaqBook_RAW_Data!AI803),"",DaqBook_RAW_Data!AI803)</f>
        <v/>
      </c>
      <c r="E813" s="167" t="str">
        <f>IF(ISBLANK(DaqBook_RAW_Data!AJ803),"",DaqBook_RAW_Data!AJ803)</f>
        <v/>
      </c>
      <c r="F813" s="167" t="str">
        <f>IF(ISBLANK(DaqBook_RAW_Data!AK803),"",DaqBook_RAW_Data!AK803)</f>
        <v/>
      </c>
      <c r="G813" s="167" t="str">
        <f>IF(ISBLANK(DaqBook_RAW_Data!AL803),"",DaqBook_RAW_Data!AL803)</f>
        <v/>
      </c>
      <c r="H813" s="167" t="str">
        <f>IF(ISBLANK(DaqBook_RAW_Data!AM803),"",DaqBook_RAW_Data!AM803)</f>
        <v/>
      </c>
      <c r="I813" s="167" t="str">
        <f>IF(ISBLANK(DaqBook_RAW_Data!AN803),"",DaqBook_RAW_Data!AN803)</f>
        <v/>
      </c>
      <c r="J813" s="167" t="str">
        <f>IF(ISBLANK(DaqBook_RAW_Data!AO803),"",DaqBook_RAW_Data!AO803)</f>
        <v/>
      </c>
      <c r="K813" s="167" t="str">
        <f>IF(ISBLANK(DaqBook_RAW_Data!AP803),"",DaqBook_RAW_Data!AP803)</f>
        <v/>
      </c>
      <c r="L813" s="167" t="str">
        <f>IF(ISBLANK(DaqBook_RAW_Data!AQ803),"",DaqBook_RAW_Data!AQ803)</f>
        <v/>
      </c>
      <c r="M813" s="167" t="str">
        <f>IF(ISBLANK(DaqBook_RAW_Data!AR803),"",DaqBook_RAW_Data!AR803)</f>
        <v/>
      </c>
      <c r="N813" s="167" t="str">
        <f>IF(ISBLANK(DaqBook_RAW_Data!AS803),"",DaqBook_RAW_Data!AS803)</f>
        <v/>
      </c>
      <c r="O813" s="44"/>
      <c r="P813" s="44"/>
    </row>
    <row r="814" spans="1:16" x14ac:dyDescent="0.2">
      <c r="A814" s="58" t="e">
        <f t="shared" si="12"/>
        <v>#VALUE!</v>
      </c>
      <c r="B814" s="144" t="str">
        <f>IF(ISBLANK(DaqBook_RAW_Data!AG804),IF(DaqBook_RAW_Data!A804="","",TIMEVALUE(DaqBook_RAW_Data!A804)),TIMEVALUE(DaqBook_RAW_Data!AG804))</f>
        <v/>
      </c>
      <c r="C814" s="167" t="str">
        <f>IF(ISBLANK(DaqBook_RAW_Data!AH804),"",DaqBook_RAW_Data!AH804)</f>
        <v/>
      </c>
      <c r="D814" s="167" t="str">
        <f>IF(ISBLANK(DaqBook_RAW_Data!AI804),"",DaqBook_RAW_Data!AI804)</f>
        <v/>
      </c>
      <c r="E814" s="167" t="str">
        <f>IF(ISBLANK(DaqBook_RAW_Data!AJ804),"",DaqBook_RAW_Data!AJ804)</f>
        <v/>
      </c>
      <c r="F814" s="167" t="str">
        <f>IF(ISBLANK(DaqBook_RAW_Data!AK804),"",DaqBook_RAW_Data!AK804)</f>
        <v/>
      </c>
      <c r="G814" s="167" t="str">
        <f>IF(ISBLANK(DaqBook_RAW_Data!AL804),"",DaqBook_RAW_Data!AL804)</f>
        <v/>
      </c>
      <c r="H814" s="167" t="str">
        <f>IF(ISBLANK(DaqBook_RAW_Data!AM804),"",DaqBook_RAW_Data!AM804)</f>
        <v/>
      </c>
      <c r="I814" s="167" t="str">
        <f>IF(ISBLANK(DaqBook_RAW_Data!AN804),"",DaqBook_RAW_Data!AN804)</f>
        <v/>
      </c>
      <c r="J814" s="167" t="str">
        <f>IF(ISBLANK(DaqBook_RAW_Data!AO804),"",DaqBook_RAW_Data!AO804)</f>
        <v/>
      </c>
      <c r="K814" s="167" t="str">
        <f>IF(ISBLANK(DaqBook_RAW_Data!AP804),"",DaqBook_RAW_Data!AP804)</f>
        <v/>
      </c>
      <c r="L814" s="167" t="str">
        <f>IF(ISBLANK(DaqBook_RAW_Data!AQ804),"",DaqBook_RAW_Data!AQ804)</f>
        <v/>
      </c>
      <c r="M814" s="167" t="str">
        <f>IF(ISBLANK(DaqBook_RAW_Data!AR804),"",DaqBook_RAW_Data!AR804)</f>
        <v/>
      </c>
      <c r="N814" s="167" t="str">
        <f>IF(ISBLANK(DaqBook_RAW_Data!AS804),"",DaqBook_RAW_Data!AS804)</f>
        <v/>
      </c>
      <c r="O814" s="44"/>
      <c r="P814" s="44"/>
    </row>
    <row r="815" spans="1:16" x14ac:dyDescent="0.2">
      <c r="A815" s="58" t="e">
        <f t="shared" si="12"/>
        <v>#VALUE!</v>
      </c>
      <c r="B815" s="144" t="str">
        <f>IF(ISBLANK(DaqBook_RAW_Data!AG805),IF(DaqBook_RAW_Data!A805="","",TIMEVALUE(DaqBook_RAW_Data!A805)),TIMEVALUE(DaqBook_RAW_Data!AG805))</f>
        <v/>
      </c>
      <c r="C815" s="167" t="str">
        <f>IF(ISBLANK(DaqBook_RAW_Data!AH805),"",DaqBook_RAW_Data!AH805)</f>
        <v/>
      </c>
      <c r="D815" s="167" t="str">
        <f>IF(ISBLANK(DaqBook_RAW_Data!AI805),"",DaqBook_RAW_Data!AI805)</f>
        <v/>
      </c>
      <c r="E815" s="167" t="str">
        <f>IF(ISBLANK(DaqBook_RAW_Data!AJ805),"",DaqBook_RAW_Data!AJ805)</f>
        <v/>
      </c>
      <c r="F815" s="167" t="str">
        <f>IF(ISBLANK(DaqBook_RAW_Data!AK805),"",DaqBook_RAW_Data!AK805)</f>
        <v/>
      </c>
      <c r="G815" s="167" t="str">
        <f>IF(ISBLANK(DaqBook_RAW_Data!AL805),"",DaqBook_RAW_Data!AL805)</f>
        <v/>
      </c>
      <c r="H815" s="167" t="str">
        <f>IF(ISBLANK(DaqBook_RAW_Data!AM805),"",DaqBook_RAW_Data!AM805)</f>
        <v/>
      </c>
      <c r="I815" s="167" t="str">
        <f>IF(ISBLANK(DaqBook_RAW_Data!AN805),"",DaqBook_RAW_Data!AN805)</f>
        <v/>
      </c>
      <c r="J815" s="167" t="str">
        <f>IF(ISBLANK(DaqBook_RAW_Data!AO805),"",DaqBook_RAW_Data!AO805)</f>
        <v/>
      </c>
      <c r="K815" s="167" t="str">
        <f>IF(ISBLANK(DaqBook_RAW_Data!AP805),"",DaqBook_RAW_Data!AP805)</f>
        <v/>
      </c>
      <c r="L815" s="167" t="str">
        <f>IF(ISBLANK(DaqBook_RAW_Data!AQ805),"",DaqBook_RAW_Data!AQ805)</f>
        <v/>
      </c>
      <c r="M815" s="167" t="str">
        <f>IF(ISBLANK(DaqBook_RAW_Data!AR805),"",DaqBook_RAW_Data!AR805)</f>
        <v/>
      </c>
      <c r="N815" s="167" t="str">
        <f>IF(ISBLANK(DaqBook_RAW_Data!AS805),"",DaqBook_RAW_Data!AS805)</f>
        <v/>
      </c>
      <c r="O815" s="44"/>
      <c r="P815" s="44"/>
    </row>
    <row r="816" spans="1:16" x14ac:dyDescent="0.2">
      <c r="A816" s="58" t="e">
        <f t="shared" si="12"/>
        <v>#VALUE!</v>
      </c>
      <c r="B816" s="144" t="str">
        <f>IF(ISBLANK(DaqBook_RAW_Data!AG806),IF(DaqBook_RAW_Data!A806="","",TIMEVALUE(DaqBook_RAW_Data!A806)),TIMEVALUE(DaqBook_RAW_Data!AG806))</f>
        <v/>
      </c>
      <c r="C816" s="167" t="str">
        <f>IF(ISBLANK(DaqBook_RAW_Data!AH806),"",DaqBook_RAW_Data!AH806)</f>
        <v/>
      </c>
      <c r="D816" s="167" t="str">
        <f>IF(ISBLANK(DaqBook_RAW_Data!AI806),"",DaqBook_RAW_Data!AI806)</f>
        <v/>
      </c>
      <c r="E816" s="167" t="str">
        <f>IF(ISBLANK(DaqBook_RAW_Data!AJ806),"",DaqBook_RAW_Data!AJ806)</f>
        <v/>
      </c>
      <c r="F816" s="167" t="str">
        <f>IF(ISBLANK(DaqBook_RAW_Data!AK806),"",DaqBook_RAW_Data!AK806)</f>
        <v/>
      </c>
      <c r="G816" s="167" t="str">
        <f>IF(ISBLANK(DaqBook_RAW_Data!AL806),"",DaqBook_RAW_Data!AL806)</f>
        <v/>
      </c>
      <c r="H816" s="167" t="str">
        <f>IF(ISBLANK(DaqBook_RAW_Data!AM806),"",DaqBook_RAW_Data!AM806)</f>
        <v/>
      </c>
      <c r="I816" s="167" t="str">
        <f>IF(ISBLANK(DaqBook_RAW_Data!AN806),"",DaqBook_RAW_Data!AN806)</f>
        <v/>
      </c>
      <c r="J816" s="167" t="str">
        <f>IF(ISBLANK(DaqBook_RAW_Data!AO806),"",DaqBook_RAW_Data!AO806)</f>
        <v/>
      </c>
      <c r="K816" s="167" t="str">
        <f>IF(ISBLANK(DaqBook_RAW_Data!AP806),"",DaqBook_RAW_Data!AP806)</f>
        <v/>
      </c>
      <c r="L816" s="167" t="str">
        <f>IF(ISBLANK(DaqBook_RAW_Data!AQ806),"",DaqBook_RAW_Data!AQ806)</f>
        <v/>
      </c>
      <c r="M816" s="167" t="str">
        <f>IF(ISBLANK(DaqBook_RAW_Data!AR806),"",DaqBook_RAW_Data!AR806)</f>
        <v/>
      </c>
      <c r="N816" s="167" t="str">
        <f>IF(ISBLANK(DaqBook_RAW_Data!AS806),"",DaqBook_RAW_Data!AS806)</f>
        <v/>
      </c>
      <c r="O816" s="44"/>
      <c r="P816" s="44"/>
    </row>
    <row r="817" spans="1:16" x14ac:dyDescent="0.2">
      <c r="A817" s="58" t="e">
        <f t="shared" si="12"/>
        <v>#VALUE!</v>
      </c>
      <c r="B817" s="144" t="str">
        <f>IF(ISBLANK(DaqBook_RAW_Data!AG807),IF(DaqBook_RAW_Data!A807="","",TIMEVALUE(DaqBook_RAW_Data!A807)),TIMEVALUE(DaqBook_RAW_Data!AG807))</f>
        <v/>
      </c>
      <c r="C817" s="167" t="str">
        <f>IF(ISBLANK(DaqBook_RAW_Data!AH807),"",DaqBook_RAW_Data!AH807)</f>
        <v/>
      </c>
      <c r="D817" s="167" t="str">
        <f>IF(ISBLANK(DaqBook_RAW_Data!AI807),"",DaqBook_RAW_Data!AI807)</f>
        <v/>
      </c>
      <c r="E817" s="167" t="str">
        <f>IF(ISBLANK(DaqBook_RAW_Data!AJ807),"",DaqBook_RAW_Data!AJ807)</f>
        <v/>
      </c>
      <c r="F817" s="167" t="str">
        <f>IF(ISBLANK(DaqBook_RAW_Data!AK807),"",DaqBook_RAW_Data!AK807)</f>
        <v/>
      </c>
      <c r="G817" s="167" t="str">
        <f>IF(ISBLANK(DaqBook_RAW_Data!AL807),"",DaqBook_RAW_Data!AL807)</f>
        <v/>
      </c>
      <c r="H817" s="167" t="str">
        <f>IF(ISBLANK(DaqBook_RAW_Data!AM807),"",DaqBook_RAW_Data!AM807)</f>
        <v/>
      </c>
      <c r="I817" s="167" t="str">
        <f>IF(ISBLANK(DaqBook_RAW_Data!AN807),"",DaqBook_RAW_Data!AN807)</f>
        <v/>
      </c>
      <c r="J817" s="167" t="str">
        <f>IF(ISBLANK(DaqBook_RAW_Data!AO807),"",DaqBook_RAW_Data!AO807)</f>
        <v/>
      </c>
      <c r="K817" s="167" t="str">
        <f>IF(ISBLANK(DaqBook_RAW_Data!AP807),"",DaqBook_RAW_Data!AP807)</f>
        <v/>
      </c>
      <c r="L817" s="167" t="str">
        <f>IF(ISBLANK(DaqBook_RAW_Data!AQ807),"",DaqBook_RAW_Data!AQ807)</f>
        <v/>
      </c>
      <c r="M817" s="167" t="str">
        <f>IF(ISBLANK(DaqBook_RAW_Data!AR807),"",DaqBook_RAW_Data!AR807)</f>
        <v/>
      </c>
      <c r="N817" s="167" t="str">
        <f>IF(ISBLANK(DaqBook_RAW_Data!AS807),"",DaqBook_RAW_Data!AS807)</f>
        <v/>
      </c>
      <c r="O817" s="44"/>
      <c r="P817" s="44"/>
    </row>
    <row r="818" spans="1:16" x14ac:dyDescent="0.2">
      <c r="A818" s="58" t="e">
        <f t="shared" si="12"/>
        <v>#VALUE!</v>
      </c>
      <c r="B818" s="144" t="str">
        <f>IF(ISBLANK(DaqBook_RAW_Data!AG808),IF(DaqBook_RAW_Data!A808="","",TIMEVALUE(DaqBook_RAW_Data!A808)),TIMEVALUE(DaqBook_RAW_Data!AG808))</f>
        <v/>
      </c>
      <c r="C818" s="167" t="str">
        <f>IF(ISBLANK(DaqBook_RAW_Data!AH808),"",DaqBook_RAW_Data!AH808)</f>
        <v/>
      </c>
      <c r="D818" s="167" t="str">
        <f>IF(ISBLANK(DaqBook_RAW_Data!AI808),"",DaqBook_RAW_Data!AI808)</f>
        <v/>
      </c>
      <c r="E818" s="167" t="str">
        <f>IF(ISBLANK(DaqBook_RAW_Data!AJ808),"",DaqBook_RAW_Data!AJ808)</f>
        <v/>
      </c>
      <c r="F818" s="167" t="str">
        <f>IF(ISBLANK(DaqBook_RAW_Data!AK808),"",DaqBook_RAW_Data!AK808)</f>
        <v/>
      </c>
      <c r="G818" s="167" t="str">
        <f>IF(ISBLANK(DaqBook_RAW_Data!AL808),"",DaqBook_RAW_Data!AL808)</f>
        <v/>
      </c>
      <c r="H818" s="167" t="str">
        <f>IF(ISBLANK(DaqBook_RAW_Data!AM808),"",DaqBook_RAW_Data!AM808)</f>
        <v/>
      </c>
      <c r="I818" s="167" t="str">
        <f>IF(ISBLANK(DaqBook_RAW_Data!AN808),"",DaqBook_RAW_Data!AN808)</f>
        <v/>
      </c>
      <c r="J818" s="167" t="str">
        <f>IF(ISBLANK(DaqBook_RAW_Data!AO808),"",DaqBook_RAW_Data!AO808)</f>
        <v/>
      </c>
      <c r="K818" s="167" t="str">
        <f>IF(ISBLANK(DaqBook_RAW_Data!AP808),"",DaqBook_RAW_Data!AP808)</f>
        <v/>
      </c>
      <c r="L818" s="167" t="str">
        <f>IF(ISBLANK(DaqBook_RAW_Data!AQ808),"",DaqBook_RAW_Data!AQ808)</f>
        <v/>
      </c>
      <c r="M818" s="167" t="str">
        <f>IF(ISBLANK(DaqBook_RAW_Data!AR808),"",DaqBook_RAW_Data!AR808)</f>
        <v/>
      </c>
      <c r="N818" s="167" t="str">
        <f>IF(ISBLANK(DaqBook_RAW_Data!AS808),"",DaqBook_RAW_Data!AS808)</f>
        <v/>
      </c>
      <c r="O818" s="44"/>
      <c r="P818" s="44"/>
    </row>
    <row r="819" spans="1:16" x14ac:dyDescent="0.2">
      <c r="A819" s="58" t="e">
        <f t="shared" si="12"/>
        <v>#VALUE!</v>
      </c>
      <c r="B819" s="144" t="str">
        <f>IF(ISBLANK(DaqBook_RAW_Data!AG809),IF(DaqBook_RAW_Data!A809="","",TIMEVALUE(DaqBook_RAW_Data!A809)),TIMEVALUE(DaqBook_RAW_Data!AG809))</f>
        <v/>
      </c>
      <c r="C819" s="167" t="str">
        <f>IF(ISBLANK(DaqBook_RAW_Data!AH809),"",DaqBook_RAW_Data!AH809)</f>
        <v/>
      </c>
      <c r="D819" s="167" t="str">
        <f>IF(ISBLANK(DaqBook_RAW_Data!AI809),"",DaqBook_RAW_Data!AI809)</f>
        <v/>
      </c>
      <c r="E819" s="167" t="str">
        <f>IF(ISBLANK(DaqBook_RAW_Data!AJ809),"",DaqBook_RAW_Data!AJ809)</f>
        <v/>
      </c>
      <c r="F819" s="167" t="str">
        <f>IF(ISBLANK(DaqBook_RAW_Data!AK809),"",DaqBook_RAW_Data!AK809)</f>
        <v/>
      </c>
      <c r="G819" s="167" t="str">
        <f>IF(ISBLANK(DaqBook_RAW_Data!AL809),"",DaqBook_RAW_Data!AL809)</f>
        <v/>
      </c>
      <c r="H819" s="167" t="str">
        <f>IF(ISBLANK(DaqBook_RAW_Data!AM809),"",DaqBook_RAW_Data!AM809)</f>
        <v/>
      </c>
      <c r="I819" s="167" t="str">
        <f>IF(ISBLANK(DaqBook_RAW_Data!AN809),"",DaqBook_RAW_Data!AN809)</f>
        <v/>
      </c>
      <c r="J819" s="167" t="str">
        <f>IF(ISBLANK(DaqBook_RAW_Data!AO809),"",DaqBook_RAW_Data!AO809)</f>
        <v/>
      </c>
      <c r="K819" s="167" t="str">
        <f>IF(ISBLANK(DaqBook_RAW_Data!AP809),"",DaqBook_RAW_Data!AP809)</f>
        <v/>
      </c>
      <c r="L819" s="167" t="str">
        <f>IF(ISBLANK(DaqBook_RAW_Data!AQ809),"",DaqBook_RAW_Data!AQ809)</f>
        <v/>
      </c>
      <c r="M819" s="167" t="str">
        <f>IF(ISBLANK(DaqBook_RAW_Data!AR809),"",DaqBook_RAW_Data!AR809)</f>
        <v/>
      </c>
      <c r="N819" s="167" t="str">
        <f>IF(ISBLANK(DaqBook_RAW_Data!AS809),"",DaqBook_RAW_Data!AS809)</f>
        <v/>
      </c>
      <c r="O819" s="44"/>
      <c r="P819" s="44"/>
    </row>
    <row r="820" spans="1:16" x14ac:dyDescent="0.2">
      <c r="A820" s="58" t="e">
        <f t="shared" si="12"/>
        <v>#VALUE!</v>
      </c>
      <c r="B820" s="144" t="str">
        <f>IF(ISBLANK(DaqBook_RAW_Data!AG810),IF(DaqBook_RAW_Data!A810="","",TIMEVALUE(DaqBook_RAW_Data!A810)),TIMEVALUE(DaqBook_RAW_Data!AG810))</f>
        <v/>
      </c>
      <c r="C820" s="167" t="str">
        <f>IF(ISBLANK(DaqBook_RAW_Data!AH810),"",DaqBook_RAW_Data!AH810)</f>
        <v/>
      </c>
      <c r="D820" s="167" t="str">
        <f>IF(ISBLANK(DaqBook_RAW_Data!AI810),"",DaqBook_RAW_Data!AI810)</f>
        <v/>
      </c>
      <c r="E820" s="167" t="str">
        <f>IF(ISBLANK(DaqBook_RAW_Data!AJ810),"",DaqBook_RAW_Data!AJ810)</f>
        <v/>
      </c>
      <c r="F820" s="167" t="str">
        <f>IF(ISBLANK(DaqBook_RAW_Data!AK810),"",DaqBook_RAW_Data!AK810)</f>
        <v/>
      </c>
      <c r="G820" s="167" t="str">
        <f>IF(ISBLANK(DaqBook_RAW_Data!AL810),"",DaqBook_RAW_Data!AL810)</f>
        <v/>
      </c>
      <c r="H820" s="167" t="str">
        <f>IF(ISBLANK(DaqBook_RAW_Data!AM810),"",DaqBook_RAW_Data!AM810)</f>
        <v/>
      </c>
      <c r="I820" s="167" t="str">
        <f>IF(ISBLANK(DaqBook_RAW_Data!AN810),"",DaqBook_RAW_Data!AN810)</f>
        <v/>
      </c>
      <c r="J820" s="167" t="str">
        <f>IF(ISBLANK(DaqBook_RAW_Data!AO810),"",DaqBook_RAW_Data!AO810)</f>
        <v/>
      </c>
      <c r="K820" s="167" t="str">
        <f>IF(ISBLANK(DaqBook_RAW_Data!AP810),"",DaqBook_RAW_Data!AP810)</f>
        <v/>
      </c>
      <c r="L820" s="167" t="str">
        <f>IF(ISBLANK(DaqBook_RAW_Data!AQ810),"",DaqBook_RAW_Data!AQ810)</f>
        <v/>
      </c>
      <c r="M820" s="167" t="str">
        <f>IF(ISBLANK(DaqBook_RAW_Data!AR810),"",DaqBook_RAW_Data!AR810)</f>
        <v/>
      </c>
      <c r="N820" s="167" t="str">
        <f>IF(ISBLANK(DaqBook_RAW_Data!AS810),"",DaqBook_RAW_Data!AS810)</f>
        <v/>
      </c>
      <c r="O820" s="44"/>
      <c r="P820" s="44"/>
    </row>
    <row r="821" spans="1:16" x14ac:dyDescent="0.2">
      <c r="A821" s="58" t="e">
        <f t="shared" si="12"/>
        <v>#VALUE!</v>
      </c>
      <c r="B821" s="144" t="str">
        <f>IF(ISBLANK(DaqBook_RAW_Data!AG811),IF(DaqBook_RAW_Data!A811="","",TIMEVALUE(DaqBook_RAW_Data!A811)),TIMEVALUE(DaqBook_RAW_Data!AG811))</f>
        <v/>
      </c>
      <c r="C821" s="167" t="str">
        <f>IF(ISBLANK(DaqBook_RAW_Data!AH811),"",DaqBook_RAW_Data!AH811)</f>
        <v/>
      </c>
      <c r="D821" s="167" t="str">
        <f>IF(ISBLANK(DaqBook_RAW_Data!AI811),"",DaqBook_RAW_Data!AI811)</f>
        <v/>
      </c>
      <c r="E821" s="167" t="str">
        <f>IF(ISBLANK(DaqBook_RAW_Data!AJ811),"",DaqBook_RAW_Data!AJ811)</f>
        <v/>
      </c>
      <c r="F821" s="167" t="str">
        <f>IF(ISBLANK(DaqBook_RAW_Data!AK811),"",DaqBook_RAW_Data!AK811)</f>
        <v/>
      </c>
      <c r="G821" s="167" t="str">
        <f>IF(ISBLANK(DaqBook_RAW_Data!AL811),"",DaqBook_RAW_Data!AL811)</f>
        <v/>
      </c>
      <c r="H821" s="167" t="str">
        <f>IF(ISBLANK(DaqBook_RAW_Data!AM811),"",DaqBook_RAW_Data!AM811)</f>
        <v/>
      </c>
      <c r="I821" s="167" t="str">
        <f>IF(ISBLANK(DaqBook_RAW_Data!AN811),"",DaqBook_RAW_Data!AN811)</f>
        <v/>
      </c>
      <c r="J821" s="167" t="str">
        <f>IF(ISBLANK(DaqBook_RAW_Data!AO811),"",DaqBook_RAW_Data!AO811)</f>
        <v/>
      </c>
      <c r="K821" s="167" t="str">
        <f>IF(ISBLANK(DaqBook_RAW_Data!AP811),"",DaqBook_RAW_Data!AP811)</f>
        <v/>
      </c>
      <c r="L821" s="167" t="str">
        <f>IF(ISBLANK(DaqBook_RAW_Data!AQ811),"",DaqBook_RAW_Data!AQ811)</f>
        <v/>
      </c>
      <c r="M821" s="167" t="str">
        <f>IF(ISBLANK(DaqBook_RAW_Data!AR811),"",DaqBook_RAW_Data!AR811)</f>
        <v/>
      </c>
      <c r="N821" s="167" t="str">
        <f>IF(ISBLANK(DaqBook_RAW_Data!AS811),"",DaqBook_RAW_Data!AS811)</f>
        <v/>
      </c>
      <c r="O821" s="44"/>
      <c r="P821" s="44"/>
    </row>
    <row r="822" spans="1:16" x14ac:dyDescent="0.2">
      <c r="A822" s="58" t="e">
        <f t="shared" si="12"/>
        <v>#VALUE!</v>
      </c>
      <c r="B822" s="144" t="str">
        <f>IF(ISBLANK(DaqBook_RAW_Data!AG812),IF(DaqBook_RAW_Data!A812="","",TIMEVALUE(DaqBook_RAW_Data!A812)),TIMEVALUE(DaqBook_RAW_Data!AG812))</f>
        <v/>
      </c>
      <c r="C822" s="167" t="str">
        <f>IF(ISBLANK(DaqBook_RAW_Data!AH812),"",DaqBook_RAW_Data!AH812)</f>
        <v/>
      </c>
      <c r="D822" s="167" t="str">
        <f>IF(ISBLANK(DaqBook_RAW_Data!AI812),"",DaqBook_RAW_Data!AI812)</f>
        <v/>
      </c>
      <c r="E822" s="167" t="str">
        <f>IF(ISBLANK(DaqBook_RAW_Data!AJ812),"",DaqBook_RAW_Data!AJ812)</f>
        <v/>
      </c>
      <c r="F822" s="167" t="str">
        <f>IF(ISBLANK(DaqBook_RAW_Data!AK812),"",DaqBook_RAW_Data!AK812)</f>
        <v/>
      </c>
      <c r="G822" s="167" t="str">
        <f>IF(ISBLANK(DaqBook_RAW_Data!AL812),"",DaqBook_RAW_Data!AL812)</f>
        <v/>
      </c>
      <c r="H822" s="167" t="str">
        <f>IF(ISBLANK(DaqBook_RAW_Data!AM812),"",DaqBook_RAW_Data!AM812)</f>
        <v/>
      </c>
      <c r="I822" s="167" t="str">
        <f>IF(ISBLANK(DaqBook_RAW_Data!AN812),"",DaqBook_RAW_Data!AN812)</f>
        <v/>
      </c>
      <c r="J822" s="167" t="str">
        <f>IF(ISBLANK(DaqBook_RAW_Data!AO812),"",DaqBook_RAW_Data!AO812)</f>
        <v/>
      </c>
      <c r="K822" s="167" t="str">
        <f>IF(ISBLANK(DaqBook_RAW_Data!AP812),"",DaqBook_RAW_Data!AP812)</f>
        <v/>
      </c>
      <c r="L822" s="167" t="str">
        <f>IF(ISBLANK(DaqBook_RAW_Data!AQ812),"",DaqBook_RAW_Data!AQ812)</f>
        <v/>
      </c>
      <c r="M822" s="167" t="str">
        <f>IF(ISBLANK(DaqBook_RAW_Data!AR812),"",DaqBook_RAW_Data!AR812)</f>
        <v/>
      </c>
      <c r="N822" s="167" t="str">
        <f>IF(ISBLANK(DaqBook_RAW_Data!AS812),"",DaqBook_RAW_Data!AS812)</f>
        <v/>
      </c>
      <c r="O822" s="44"/>
      <c r="P822" s="44"/>
    </row>
    <row r="823" spans="1:16" x14ac:dyDescent="0.2">
      <c r="A823" s="58" t="e">
        <f t="shared" si="12"/>
        <v>#VALUE!</v>
      </c>
      <c r="B823" s="144" t="str">
        <f>IF(ISBLANK(DaqBook_RAW_Data!AG813),IF(DaqBook_RAW_Data!A813="","",TIMEVALUE(DaqBook_RAW_Data!A813)),TIMEVALUE(DaqBook_RAW_Data!AG813))</f>
        <v/>
      </c>
      <c r="C823" s="167" t="str">
        <f>IF(ISBLANK(DaqBook_RAW_Data!AH813),"",DaqBook_RAW_Data!AH813)</f>
        <v/>
      </c>
      <c r="D823" s="167" t="str">
        <f>IF(ISBLANK(DaqBook_RAW_Data!AI813),"",DaqBook_RAW_Data!AI813)</f>
        <v/>
      </c>
      <c r="E823" s="167" t="str">
        <f>IF(ISBLANK(DaqBook_RAW_Data!AJ813),"",DaqBook_RAW_Data!AJ813)</f>
        <v/>
      </c>
      <c r="F823" s="167" t="str">
        <f>IF(ISBLANK(DaqBook_RAW_Data!AK813),"",DaqBook_RAW_Data!AK813)</f>
        <v/>
      </c>
      <c r="G823" s="167" t="str">
        <f>IF(ISBLANK(DaqBook_RAW_Data!AL813),"",DaqBook_RAW_Data!AL813)</f>
        <v/>
      </c>
      <c r="H823" s="167" t="str">
        <f>IF(ISBLANK(DaqBook_RAW_Data!AM813),"",DaqBook_RAW_Data!AM813)</f>
        <v/>
      </c>
      <c r="I823" s="167" t="str">
        <f>IF(ISBLANK(DaqBook_RAW_Data!AN813),"",DaqBook_RAW_Data!AN813)</f>
        <v/>
      </c>
      <c r="J823" s="167" t="str">
        <f>IF(ISBLANK(DaqBook_RAW_Data!AO813),"",DaqBook_RAW_Data!AO813)</f>
        <v/>
      </c>
      <c r="K823" s="167" t="str">
        <f>IF(ISBLANK(DaqBook_RAW_Data!AP813),"",DaqBook_RAW_Data!AP813)</f>
        <v/>
      </c>
      <c r="L823" s="167" t="str">
        <f>IF(ISBLANK(DaqBook_RAW_Data!AQ813),"",DaqBook_RAW_Data!AQ813)</f>
        <v/>
      </c>
      <c r="M823" s="167" t="str">
        <f>IF(ISBLANK(DaqBook_RAW_Data!AR813),"",DaqBook_RAW_Data!AR813)</f>
        <v/>
      </c>
      <c r="N823" s="167" t="str">
        <f>IF(ISBLANK(DaqBook_RAW_Data!AS813),"",DaqBook_RAW_Data!AS813)</f>
        <v/>
      </c>
      <c r="O823" s="44"/>
      <c r="P823" s="44"/>
    </row>
    <row r="824" spans="1:16" x14ac:dyDescent="0.2">
      <c r="A824" s="58" t="e">
        <f t="shared" si="12"/>
        <v>#VALUE!</v>
      </c>
      <c r="B824" s="144" t="str">
        <f>IF(ISBLANK(DaqBook_RAW_Data!AG814),IF(DaqBook_RAW_Data!A814="","",TIMEVALUE(DaqBook_RAW_Data!A814)),TIMEVALUE(DaqBook_RAW_Data!AG814))</f>
        <v/>
      </c>
      <c r="C824" s="167" t="str">
        <f>IF(ISBLANK(DaqBook_RAW_Data!AH814),"",DaqBook_RAW_Data!AH814)</f>
        <v/>
      </c>
      <c r="D824" s="167" t="str">
        <f>IF(ISBLANK(DaqBook_RAW_Data!AI814),"",DaqBook_RAW_Data!AI814)</f>
        <v/>
      </c>
      <c r="E824" s="167" t="str">
        <f>IF(ISBLANK(DaqBook_RAW_Data!AJ814),"",DaqBook_RAW_Data!AJ814)</f>
        <v/>
      </c>
      <c r="F824" s="167" t="str">
        <f>IF(ISBLANK(DaqBook_RAW_Data!AK814),"",DaqBook_RAW_Data!AK814)</f>
        <v/>
      </c>
      <c r="G824" s="167" t="str">
        <f>IF(ISBLANK(DaqBook_RAW_Data!AL814),"",DaqBook_RAW_Data!AL814)</f>
        <v/>
      </c>
      <c r="H824" s="167" t="str">
        <f>IF(ISBLANK(DaqBook_RAW_Data!AM814),"",DaqBook_RAW_Data!AM814)</f>
        <v/>
      </c>
      <c r="I824" s="167" t="str">
        <f>IF(ISBLANK(DaqBook_RAW_Data!AN814),"",DaqBook_RAW_Data!AN814)</f>
        <v/>
      </c>
      <c r="J824" s="167" t="str">
        <f>IF(ISBLANK(DaqBook_RAW_Data!AO814),"",DaqBook_RAW_Data!AO814)</f>
        <v/>
      </c>
      <c r="K824" s="167" t="str">
        <f>IF(ISBLANK(DaqBook_RAW_Data!AP814),"",DaqBook_RAW_Data!AP814)</f>
        <v/>
      </c>
      <c r="L824" s="167" t="str">
        <f>IF(ISBLANK(DaqBook_RAW_Data!AQ814),"",DaqBook_RAW_Data!AQ814)</f>
        <v/>
      </c>
      <c r="M824" s="167" t="str">
        <f>IF(ISBLANK(DaqBook_RAW_Data!AR814),"",DaqBook_RAW_Data!AR814)</f>
        <v/>
      </c>
      <c r="N824" s="167" t="str">
        <f>IF(ISBLANK(DaqBook_RAW_Data!AS814),"",DaqBook_RAW_Data!AS814)</f>
        <v/>
      </c>
      <c r="O824" s="44"/>
      <c r="P824" s="44"/>
    </row>
    <row r="825" spans="1:16" x14ac:dyDescent="0.2">
      <c r="A825" s="58" t="e">
        <f t="shared" si="12"/>
        <v>#VALUE!</v>
      </c>
      <c r="B825" s="144" t="str">
        <f>IF(ISBLANK(DaqBook_RAW_Data!AG815),IF(DaqBook_RAW_Data!A815="","",TIMEVALUE(DaqBook_RAW_Data!A815)),TIMEVALUE(DaqBook_RAW_Data!AG815))</f>
        <v/>
      </c>
      <c r="C825" s="167" t="str">
        <f>IF(ISBLANK(DaqBook_RAW_Data!AH815),"",DaqBook_RAW_Data!AH815)</f>
        <v/>
      </c>
      <c r="D825" s="167" t="str">
        <f>IF(ISBLANK(DaqBook_RAW_Data!AI815),"",DaqBook_RAW_Data!AI815)</f>
        <v/>
      </c>
      <c r="E825" s="167" t="str">
        <f>IF(ISBLANK(DaqBook_RAW_Data!AJ815),"",DaqBook_RAW_Data!AJ815)</f>
        <v/>
      </c>
      <c r="F825" s="167" t="str">
        <f>IF(ISBLANK(DaqBook_RAW_Data!AK815),"",DaqBook_RAW_Data!AK815)</f>
        <v/>
      </c>
      <c r="G825" s="167" t="str">
        <f>IF(ISBLANK(DaqBook_RAW_Data!AL815),"",DaqBook_RAW_Data!AL815)</f>
        <v/>
      </c>
      <c r="H825" s="167" t="str">
        <f>IF(ISBLANK(DaqBook_RAW_Data!AM815),"",DaqBook_RAW_Data!AM815)</f>
        <v/>
      </c>
      <c r="I825" s="167" t="str">
        <f>IF(ISBLANK(DaqBook_RAW_Data!AN815),"",DaqBook_RAW_Data!AN815)</f>
        <v/>
      </c>
      <c r="J825" s="167" t="str">
        <f>IF(ISBLANK(DaqBook_RAW_Data!AO815),"",DaqBook_RAW_Data!AO815)</f>
        <v/>
      </c>
      <c r="K825" s="167" t="str">
        <f>IF(ISBLANK(DaqBook_RAW_Data!AP815),"",DaqBook_RAW_Data!AP815)</f>
        <v/>
      </c>
      <c r="L825" s="167" t="str">
        <f>IF(ISBLANK(DaqBook_RAW_Data!AQ815),"",DaqBook_RAW_Data!AQ815)</f>
        <v/>
      </c>
      <c r="M825" s="167" t="str">
        <f>IF(ISBLANK(DaqBook_RAW_Data!AR815),"",DaqBook_RAW_Data!AR815)</f>
        <v/>
      </c>
      <c r="N825" s="167" t="str">
        <f>IF(ISBLANK(DaqBook_RAW_Data!AS815),"",DaqBook_RAW_Data!AS815)</f>
        <v/>
      </c>
      <c r="O825" s="44"/>
      <c r="P825" s="44"/>
    </row>
    <row r="826" spans="1:16" x14ac:dyDescent="0.2">
      <c r="A826" s="58" t="e">
        <f t="shared" si="12"/>
        <v>#VALUE!</v>
      </c>
      <c r="B826" s="144" t="str">
        <f>IF(ISBLANK(DaqBook_RAW_Data!AG816),IF(DaqBook_RAW_Data!A816="","",TIMEVALUE(DaqBook_RAW_Data!A816)),TIMEVALUE(DaqBook_RAW_Data!AG816))</f>
        <v/>
      </c>
      <c r="C826" s="167" t="str">
        <f>IF(ISBLANK(DaqBook_RAW_Data!AH816),"",DaqBook_RAW_Data!AH816)</f>
        <v/>
      </c>
      <c r="D826" s="167" t="str">
        <f>IF(ISBLANK(DaqBook_RAW_Data!AI816),"",DaqBook_RAW_Data!AI816)</f>
        <v/>
      </c>
      <c r="E826" s="167" t="str">
        <f>IF(ISBLANK(DaqBook_RAW_Data!AJ816),"",DaqBook_RAW_Data!AJ816)</f>
        <v/>
      </c>
      <c r="F826" s="167" t="str">
        <f>IF(ISBLANK(DaqBook_RAW_Data!AK816),"",DaqBook_RAW_Data!AK816)</f>
        <v/>
      </c>
      <c r="G826" s="167" t="str">
        <f>IF(ISBLANK(DaqBook_RAW_Data!AL816),"",DaqBook_RAW_Data!AL816)</f>
        <v/>
      </c>
      <c r="H826" s="167" t="str">
        <f>IF(ISBLANK(DaqBook_RAW_Data!AM816),"",DaqBook_RAW_Data!AM816)</f>
        <v/>
      </c>
      <c r="I826" s="167" t="str">
        <f>IF(ISBLANK(DaqBook_RAW_Data!AN816),"",DaqBook_RAW_Data!AN816)</f>
        <v/>
      </c>
      <c r="J826" s="167" t="str">
        <f>IF(ISBLANK(DaqBook_RAW_Data!AO816),"",DaqBook_RAW_Data!AO816)</f>
        <v/>
      </c>
      <c r="K826" s="167" t="str">
        <f>IF(ISBLANK(DaqBook_RAW_Data!AP816),"",DaqBook_RAW_Data!AP816)</f>
        <v/>
      </c>
      <c r="L826" s="167" t="str">
        <f>IF(ISBLANK(DaqBook_RAW_Data!AQ816),"",DaqBook_RAW_Data!AQ816)</f>
        <v/>
      </c>
      <c r="M826" s="167" t="str">
        <f>IF(ISBLANK(DaqBook_RAW_Data!AR816),"",DaqBook_RAW_Data!AR816)</f>
        <v/>
      </c>
      <c r="N826" s="167" t="str">
        <f>IF(ISBLANK(DaqBook_RAW_Data!AS816),"",DaqBook_RAW_Data!AS816)</f>
        <v/>
      </c>
      <c r="O826" s="44"/>
      <c r="P826" s="44"/>
    </row>
    <row r="827" spans="1:16" x14ac:dyDescent="0.2">
      <c r="A827" s="58" t="e">
        <f t="shared" si="12"/>
        <v>#VALUE!</v>
      </c>
      <c r="B827" s="144" t="str">
        <f>IF(ISBLANK(DaqBook_RAW_Data!AG817),IF(DaqBook_RAW_Data!A817="","",TIMEVALUE(DaqBook_RAW_Data!A817)),TIMEVALUE(DaqBook_RAW_Data!AG817))</f>
        <v/>
      </c>
      <c r="C827" s="167" t="str">
        <f>IF(ISBLANK(DaqBook_RAW_Data!AH817),"",DaqBook_RAW_Data!AH817)</f>
        <v/>
      </c>
      <c r="D827" s="167" t="str">
        <f>IF(ISBLANK(DaqBook_RAW_Data!AI817),"",DaqBook_RAW_Data!AI817)</f>
        <v/>
      </c>
      <c r="E827" s="167" t="str">
        <f>IF(ISBLANK(DaqBook_RAW_Data!AJ817),"",DaqBook_RAW_Data!AJ817)</f>
        <v/>
      </c>
      <c r="F827" s="167" t="str">
        <f>IF(ISBLANK(DaqBook_RAW_Data!AK817),"",DaqBook_RAW_Data!AK817)</f>
        <v/>
      </c>
      <c r="G827" s="167" t="str">
        <f>IF(ISBLANK(DaqBook_RAW_Data!AL817),"",DaqBook_RAW_Data!AL817)</f>
        <v/>
      </c>
      <c r="H827" s="167" t="str">
        <f>IF(ISBLANK(DaqBook_RAW_Data!AM817),"",DaqBook_RAW_Data!AM817)</f>
        <v/>
      </c>
      <c r="I827" s="167" t="str">
        <f>IF(ISBLANK(DaqBook_RAW_Data!AN817),"",DaqBook_RAW_Data!AN817)</f>
        <v/>
      </c>
      <c r="J827" s="167" t="str">
        <f>IF(ISBLANK(DaqBook_RAW_Data!AO817),"",DaqBook_RAW_Data!AO817)</f>
        <v/>
      </c>
      <c r="K827" s="167" t="str">
        <f>IF(ISBLANK(DaqBook_RAW_Data!AP817),"",DaqBook_RAW_Data!AP817)</f>
        <v/>
      </c>
      <c r="L827" s="167" t="str">
        <f>IF(ISBLANK(DaqBook_RAW_Data!AQ817),"",DaqBook_RAW_Data!AQ817)</f>
        <v/>
      </c>
      <c r="M827" s="167" t="str">
        <f>IF(ISBLANK(DaqBook_RAW_Data!AR817),"",DaqBook_RAW_Data!AR817)</f>
        <v/>
      </c>
      <c r="N827" s="167" t="str">
        <f>IF(ISBLANK(DaqBook_RAW_Data!AS817),"",DaqBook_RAW_Data!AS817)</f>
        <v/>
      </c>
      <c r="O827" s="44"/>
      <c r="P827" s="44"/>
    </row>
    <row r="828" spans="1:16" x14ac:dyDescent="0.2">
      <c r="A828" s="58" t="e">
        <f t="shared" si="12"/>
        <v>#VALUE!</v>
      </c>
      <c r="B828" s="144" t="str">
        <f>IF(ISBLANK(DaqBook_RAW_Data!AG818),IF(DaqBook_RAW_Data!A818="","",TIMEVALUE(DaqBook_RAW_Data!A818)),TIMEVALUE(DaqBook_RAW_Data!AG818))</f>
        <v/>
      </c>
      <c r="C828" s="167" t="str">
        <f>IF(ISBLANK(DaqBook_RAW_Data!AH818),"",DaqBook_RAW_Data!AH818)</f>
        <v/>
      </c>
      <c r="D828" s="167" t="str">
        <f>IF(ISBLANK(DaqBook_RAW_Data!AI818),"",DaqBook_RAW_Data!AI818)</f>
        <v/>
      </c>
      <c r="E828" s="167" t="str">
        <f>IF(ISBLANK(DaqBook_RAW_Data!AJ818),"",DaqBook_RAW_Data!AJ818)</f>
        <v/>
      </c>
      <c r="F828" s="167" t="str">
        <f>IF(ISBLANK(DaqBook_RAW_Data!AK818),"",DaqBook_RAW_Data!AK818)</f>
        <v/>
      </c>
      <c r="G828" s="167" t="str">
        <f>IF(ISBLANK(DaqBook_RAW_Data!AL818),"",DaqBook_RAW_Data!AL818)</f>
        <v/>
      </c>
      <c r="H828" s="167" t="str">
        <f>IF(ISBLANK(DaqBook_RAW_Data!AM818),"",DaqBook_RAW_Data!AM818)</f>
        <v/>
      </c>
      <c r="I828" s="167" t="str">
        <f>IF(ISBLANK(DaqBook_RAW_Data!AN818),"",DaqBook_RAW_Data!AN818)</f>
        <v/>
      </c>
      <c r="J828" s="167" t="str">
        <f>IF(ISBLANK(DaqBook_RAW_Data!AO818),"",DaqBook_RAW_Data!AO818)</f>
        <v/>
      </c>
      <c r="K828" s="167" t="str">
        <f>IF(ISBLANK(DaqBook_RAW_Data!AP818),"",DaqBook_RAW_Data!AP818)</f>
        <v/>
      </c>
      <c r="L828" s="167" t="str">
        <f>IF(ISBLANK(DaqBook_RAW_Data!AQ818),"",DaqBook_RAW_Data!AQ818)</f>
        <v/>
      </c>
      <c r="M828" s="167" t="str">
        <f>IF(ISBLANK(DaqBook_RAW_Data!AR818),"",DaqBook_RAW_Data!AR818)</f>
        <v/>
      </c>
      <c r="N828" s="167" t="str">
        <f>IF(ISBLANK(DaqBook_RAW_Data!AS818),"",DaqBook_RAW_Data!AS818)</f>
        <v/>
      </c>
      <c r="O828" s="44"/>
      <c r="P828" s="44"/>
    </row>
    <row r="829" spans="1:16" x14ac:dyDescent="0.2">
      <c r="A829" s="58" t="e">
        <f t="shared" si="12"/>
        <v>#VALUE!</v>
      </c>
      <c r="B829" s="144" t="str">
        <f>IF(ISBLANK(DaqBook_RAW_Data!AG819),IF(DaqBook_RAW_Data!A819="","",TIMEVALUE(DaqBook_RAW_Data!A819)),TIMEVALUE(DaqBook_RAW_Data!AG819))</f>
        <v/>
      </c>
      <c r="C829" s="167" t="str">
        <f>IF(ISBLANK(DaqBook_RAW_Data!AH819),"",DaqBook_RAW_Data!AH819)</f>
        <v/>
      </c>
      <c r="D829" s="167" t="str">
        <f>IF(ISBLANK(DaqBook_RAW_Data!AI819),"",DaqBook_RAW_Data!AI819)</f>
        <v/>
      </c>
      <c r="E829" s="167" t="str">
        <f>IF(ISBLANK(DaqBook_RAW_Data!AJ819),"",DaqBook_RAW_Data!AJ819)</f>
        <v/>
      </c>
      <c r="F829" s="167" t="str">
        <f>IF(ISBLANK(DaqBook_RAW_Data!AK819),"",DaqBook_RAW_Data!AK819)</f>
        <v/>
      </c>
      <c r="G829" s="167" t="str">
        <f>IF(ISBLANK(DaqBook_RAW_Data!AL819),"",DaqBook_RAW_Data!AL819)</f>
        <v/>
      </c>
      <c r="H829" s="167" t="str">
        <f>IF(ISBLANK(DaqBook_RAW_Data!AM819),"",DaqBook_RAW_Data!AM819)</f>
        <v/>
      </c>
      <c r="I829" s="167" t="str">
        <f>IF(ISBLANK(DaqBook_RAW_Data!AN819),"",DaqBook_RAW_Data!AN819)</f>
        <v/>
      </c>
      <c r="J829" s="167" t="str">
        <f>IF(ISBLANK(DaqBook_RAW_Data!AO819),"",DaqBook_RAW_Data!AO819)</f>
        <v/>
      </c>
      <c r="K829" s="167" t="str">
        <f>IF(ISBLANK(DaqBook_RAW_Data!AP819),"",DaqBook_RAW_Data!AP819)</f>
        <v/>
      </c>
      <c r="L829" s="167" t="str">
        <f>IF(ISBLANK(DaqBook_RAW_Data!AQ819),"",DaqBook_RAW_Data!AQ819)</f>
        <v/>
      </c>
      <c r="M829" s="167" t="str">
        <f>IF(ISBLANK(DaqBook_RAW_Data!AR819),"",DaqBook_RAW_Data!AR819)</f>
        <v/>
      </c>
      <c r="N829" s="167" t="str">
        <f>IF(ISBLANK(DaqBook_RAW_Data!AS819),"",DaqBook_RAW_Data!AS819)</f>
        <v/>
      </c>
      <c r="O829" s="44"/>
      <c r="P829" s="44"/>
    </row>
    <row r="830" spans="1:16" x14ac:dyDescent="0.2">
      <c r="A830" s="58" t="e">
        <f t="shared" si="12"/>
        <v>#VALUE!</v>
      </c>
      <c r="B830" s="144" t="str">
        <f>IF(ISBLANK(DaqBook_RAW_Data!AG820),IF(DaqBook_RAW_Data!A820="","",TIMEVALUE(DaqBook_RAW_Data!A820)),TIMEVALUE(DaqBook_RAW_Data!AG820))</f>
        <v/>
      </c>
      <c r="C830" s="167" t="str">
        <f>IF(ISBLANK(DaqBook_RAW_Data!AH820),"",DaqBook_RAW_Data!AH820)</f>
        <v/>
      </c>
      <c r="D830" s="167" t="str">
        <f>IF(ISBLANK(DaqBook_RAW_Data!AI820),"",DaqBook_RAW_Data!AI820)</f>
        <v/>
      </c>
      <c r="E830" s="167" t="str">
        <f>IF(ISBLANK(DaqBook_RAW_Data!AJ820),"",DaqBook_RAW_Data!AJ820)</f>
        <v/>
      </c>
      <c r="F830" s="167" t="str">
        <f>IF(ISBLANK(DaqBook_RAW_Data!AK820),"",DaqBook_RAW_Data!AK820)</f>
        <v/>
      </c>
      <c r="G830" s="167" t="str">
        <f>IF(ISBLANK(DaqBook_RAW_Data!AL820),"",DaqBook_RAW_Data!AL820)</f>
        <v/>
      </c>
      <c r="H830" s="167" t="str">
        <f>IF(ISBLANK(DaqBook_RAW_Data!AM820),"",DaqBook_RAW_Data!AM820)</f>
        <v/>
      </c>
      <c r="I830" s="167" t="str">
        <f>IF(ISBLANK(DaqBook_RAW_Data!AN820),"",DaqBook_RAW_Data!AN820)</f>
        <v/>
      </c>
      <c r="J830" s="167" t="str">
        <f>IF(ISBLANK(DaqBook_RAW_Data!AO820),"",DaqBook_RAW_Data!AO820)</f>
        <v/>
      </c>
      <c r="K830" s="167" t="str">
        <f>IF(ISBLANK(DaqBook_RAW_Data!AP820),"",DaqBook_RAW_Data!AP820)</f>
        <v/>
      </c>
      <c r="L830" s="167" t="str">
        <f>IF(ISBLANK(DaqBook_RAW_Data!AQ820),"",DaqBook_RAW_Data!AQ820)</f>
        <v/>
      </c>
      <c r="M830" s="167" t="str">
        <f>IF(ISBLANK(DaqBook_RAW_Data!AR820),"",DaqBook_RAW_Data!AR820)</f>
        <v/>
      </c>
      <c r="N830" s="167" t="str">
        <f>IF(ISBLANK(DaqBook_RAW_Data!AS820),"",DaqBook_RAW_Data!AS820)</f>
        <v/>
      </c>
      <c r="O830" s="44"/>
      <c r="P830" s="44"/>
    </row>
    <row r="831" spans="1:16" x14ac:dyDescent="0.2">
      <c r="A831" s="58" t="e">
        <f t="shared" si="12"/>
        <v>#VALUE!</v>
      </c>
      <c r="B831" s="144" t="str">
        <f>IF(ISBLANK(DaqBook_RAW_Data!AG821),IF(DaqBook_RAW_Data!A821="","",TIMEVALUE(DaqBook_RAW_Data!A821)),TIMEVALUE(DaqBook_RAW_Data!AG821))</f>
        <v/>
      </c>
      <c r="C831" s="167" t="str">
        <f>IF(ISBLANK(DaqBook_RAW_Data!AH821),"",DaqBook_RAW_Data!AH821)</f>
        <v/>
      </c>
      <c r="D831" s="167" t="str">
        <f>IF(ISBLANK(DaqBook_RAW_Data!AI821),"",DaqBook_RAW_Data!AI821)</f>
        <v/>
      </c>
      <c r="E831" s="167" t="str">
        <f>IF(ISBLANK(DaqBook_RAW_Data!AJ821),"",DaqBook_RAW_Data!AJ821)</f>
        <v/>
      </c>
      <c r="F831" s="167" t="str">
        <f>IF(ISBLANK(DaqBook_RAW_Data!AK821),"",DaqBook_RAW_Data!AK821)</f>
        <v/>
      </c>
      <c r="G831" s="167" t="str">
        <f>IF(ISBLANK(DaqBook_RAW_Data!AL821),"",DaqBook_RAW_Data!AL821)</f>
        <v/>
      </c>
      <c r="H831" s="167" t="str">
        <f>IF(ISBLANK(DaqBook_RAW_Data!AM821),"",DaqBook_RAW_Data!AM821)</f>
        <v/>
      </c>
      <c r="I831" s="167" t="str">
        <f>IF(ISBLANK(DaqBook_RAW_Data!AN821),"",DaqBook_RAW_Data!AN821)</f>
        <v/>
      </c>
      <c r="J831" s="167" t="str">
        <f>IF(ISBLANK(DaqBook_RAW_Data!AO821),"",DaqBook_RAW_Data!AO821)</f>
        <v/>
      </c>
      <c r="K831" s="167" t="str">
        <f>IF(ISBLANK(DaqBook_RAW_Data!AP821),"",DaqBook_RAW_Data!AP821)</f>
        <v/>
      </c>
      <c r="L831" s="167" t="str">
        <f>IF(ISBLANK(DaqBook_RAW_Data!AQ821),"",DaqBook_RAW_Data!AQ821)</f>
        <v/>
      </c>
      <c r="M831" s="167" t="str">
        <f>IF(ISBLANK(DaqBook_RAW_Data!AR821),"",DaqBook_RAW_Data!AR821)</f>
        <v/>
      </c>
      <c r="N831" s="167" t="str">
        <f>IF(ISBLANK(DaqBook_RAW_Data!AS821),"",DaqBook_RAW_Data!AS821)</f>
        <v/>
      </c>
      <c r="O831" s="44"/>
      <c r="P831" s="44"/>
    </row>
    <row r="832" spans="1:16" x14ac:dyDescent="0.2">
      <c r="A832" s="58" t="e">
        <f t="shared" si="12"/>
        <v>#VALUE!</v>
      </c>
      <c r="B832" s="144" t="str">
        <f>IF(ISBLANK(DaqBook_RAW_Data!AG822),IF(DaqBook_RAW_Data!A822="","",TIMEVALUE(DaqBook_RAW_Data!A822)),TIMEVALUE(DaqBook_RAW_Data!AG822))</f>
        <v/>
      </c>
      <c r="C832" s="167" t="str">
        <f>IF(ISBLANK(DaqBook_RAW_Data!AH822),"",DaqBook_RAW_Data!AH822)</f>
        <v/>
      </c>
      <c r="D832" s="167" t="str">
        <f>IF(ISBLANK(DaqBook_RAW_Data!AI822),"",DaqBook_RAW_Data!AI822)</f>
        <v/>
      </c>
      <c r="E832" s="167" t="str">
        <f>IF(ISBLANK(DaqBook_RAW_Data!AJ822),"",DaqBook_RAW_Data!AJ822)</f>
        <v/>
      </c>
      <c r="F832" s="167" t="str">
        <f>IF(ISBLANK(DaqBook_RAW_Data!AK822),"",DaqBook_RAW_Data!AK822)</f>
        <v/>
      </c>
      <c r="G832" s="167" t="str">
        <f>IF(ISBLANK(DaqBook_RAW_Data!AL822),"",DaqBook_RAW_Data!AL822)</f>
        <v/>
      </c>
      <c r="H832" s="167" t="str">
        <f>IF(ISBLANK(DaqBook_RAW_Data!AM822),"",DaqBook_RAW_Data!AM822)</f>
        <v/>
      </c>
      <c r="I832" s="167" t="str">
        <f>IF(ISBLANK(DaqBook_RAW_Data!AN822),"",DaqBook_RAW_Data!AN822)</f>
        <v/>
      </c>
      <c r="J832" s="167" t="str">
        <f>IF(ISBLANK(DaqBook_RAW_Data!AO822),"",DaqBook_RAW_Data!AO822)</f>
        <v/>
      </c>
      <c r="K832" s="167" t="str">
        <f>IF(ISBLANK(DaqBook_RAW_Data!AP822),"",DaqBook_RAW_Data!AP822)</f>
        <v/>
      </c>
      <c r="L832" s="167" t="str">
        <f>IF(ISBLANK(DaqBook_RAW_Data!AQ822),"",DaqBook_RAW_Data!AQ822)</f>
        <v/>
      </c>
      <c r="M832" s="167" t="str">
        <f>IF(ISBLANK(DaqBook_RAW_Data!AR822),"",DaqBook_RAW_Data!AR822)</f>
        <v/>
      </c>
      <c r="N832" s="167" t="str">
        <f>IF(ISBLANK(DaqBook_RAW_Data!AS822),"",DaqBook_RAW_Data!AS822)</f>
        <v/>
      </c>
      <c r="O832" s="44"/>
      <c r="P832" s="44"/>
    </row>
    <row r="833" spans="1:16" x14ac:dyDescent="0.2">
      <c r="A833" s="58" t="e">
        <f t="shared" si="12"/>
        <v>#VALUE!</v>
      </c>
      <c r="B833" s="144" t="str">
        <f>IF(ISBLANK(DaqBook_RAW_Data!AG823),IF(DaqBook_RAW_Data!A823="","",TIMEVALUE(DaqBook_RAW_Data!A823)),TIMEVALUE(DaqBook_RAW_Data!AG823))</f>
        <v/>
      </c>
      <c r="C833" s="167" t="str">
        <f>IF(ISBLANK(DaqBook_RAW_Data!AH823),"",DaqBook_RAW_Data!AH823)</f>
        <v/>
      </c>
      <c r="D833" s="167" t="str">
        <f>IF(ISBLANK(DaqBook_RAW_Data!AI823),"",DaqBook_RAW_Data!AI823)</f>
        <v/>
      </c>
      <c r="E833" s="167" t="str">
        <f>IF(ISBLANK(DaqBook_RAW_Data!AJ823),"",DaqBook_RAW_Data!AJ823)</f>
        <v/>
      </c>
      <c r="F833" s="167" t="str">
        <f>IF(ISBLANK(DaqBook_RAW_Data!AK823),"",DaqBook_RAW_Data!AK823)</f>
        <v/>
      </c>
      <c r="G833" s="167" t="str">
        <f>IF(ISBLANK(DaqBook_RAW_Data!AL823),"",DaqBook_RAW_Data!AL823)</f>
        <v/>
      </c>
      <c r="H833" s="167" t="str">
        <f>IF(ISBLANK(DaqBook_RAW_Data!AM823),"",DaqBook_RAW_Data!AM823)</f>
        <v/>
      </c>
      <c r="I833" s="167" t="str">
        <f>IF(ISBLANK(DaqBook_RAW_Data!AN823),"",DaqBook_RAW_Data!AN823)</f>
        <v/>
      </c>
      <c r="J833" s="167" t="str">
        <f>IF(ISBLANK(DaqBook_RAW_Data!AO823),"",DaqBook_RAW_Data!AO823)</f>
        <v/>
      </c>
      <c r="K833" s="167" t="str">
        <f>IF(ISBLANK(DaqBook_RAW_Data!AP823),"",DaqBook_RAW_Data!AP823)</f>
        <v/>
      </c>
      <c r="L833" s="167" t="str">
        <f>IF(ISBLANK(DaqBook_RAW_Data!AQ823),"",DaqBook_RAW_Data!AQ823)</f>
        <v/>
      </c>
      <c r="M833" s="167" t="str">
        <f>IF(ISBLANK(DaqBook_RAW_Data!AR823),"",DaqBook_RAW_Data!AR823)</f>
        <v/>
      </c>
      <c r="N833" s="167" t="str">
        <f>IF(ISBLANK(DaqBook_RAW_Data!AS823),"",DaqBook_RAW_Data!AS823)</f>
        <v/>
      </c>
      <c r="O833" s="44"/>
      <c r="P833" s="44"/>
    </row>
    <row r="834" spans="1:16" x14ac:dyDescent="0.2">
      <c r="A834" s="58" t="e">
        <f t="shared" si="12"/>
        <v>#VALUE!</v>
      </c>
      <c r="B834" s="144" t="str">
        <f>IF(ISBLANK(DaqBook_RAW_Data!AG824),IF(DaqBook_RAW_Data!A824="","",TIMEVALUE(DaqBook_RAW_Data!A824)),TIMEVALUE(DaqBook_RAW_Data!AG824))</f>
        <v/>
      </c>
      <c r="C834" s="167" t="str">
        <f>IF(ISBLANK(DaqBook_RAW_Data!AH824),"",DaqBook_RAW_Data!AH824)</f>
        <v/>
      </c>
      <c r="D834" s="167" t="str">
        <f>IF(ISBLANK(DaqBook_RAW_Data!AI824),"",DaqBook_RAW_Data!AI824)</f>
        <v/>
      </c>
      <c r="E834" s="167" t="str">
        <f>IF(ISBLANK(DaqBook_RAW_Data!AJ824),"",DaqBook_RAW_Data!AJ824)</f>
        <v/>
      </c>
      <c r="F834" s="167" t="str">
        <f>IF(ISBLANK(DaqBook_RAW_Data!AK824),"",DaqBook_RAW_Data!AK824)</f>
        <v/>
      </c>
      <c r="G834" s="167" t="str">
        <f>IF(ISBLANK(DaqBook_RAW_Data!AL824),"",DaqBook_RAW_Data!AL824)</f>
        <v/>
      </c>
      <c r="H834" s="167" t="str">
        <f>IF(ISBLANK(DaqBook_RAW_Data!AM824),"",DaqBook_RAW_Data!AM824)</f>
        <v/>
      </c>
      <c r="I834" s="167" t="str">
        <f>IF(ISBLANK(DaqBook_RAW_Data!AN824),"",DaqBook_RAW_Data!AN824)</f>
        <v/>
      </c>
      <c r="J834" s="167" t="str">
        <f>IF(ISBLANK(DaqBook_RAW_Data!AO824),"",DaqBook_RAW_Data!AO824)</f>
        <v/>
      </c>
      <c r="K834" s="167" t="str">
        <f>IF(ISBLANK(DaqBook_RAW_Data!AP824),"",DaqBook_RAW_Data!AP824)</f>
        <v/>
      </c>
      <c r="L834" s="167" t="str">
        <f>IF(ISBLANK(DaqBook_RAW_Data!AQ824),"",DaqBook_RAW_Data!AQ824)</f>
        <v/>
      </c>
      <c r="M834" s="167" t="str">
        <f>IF(ISBLANK(DaqBook_RAW_Data!AR824),"",DaqBook_RAW_Data!AR824)</f>
        <v/>
      </c>
      <c r="N834" s="167" t="str">
        <f>IF(ISBLANK(DaqBook_RAW_Data!AS824),"",DaqBook_RAW_Data!AS824)</f>
        <v/>
      </c>
      <c r="O834" s="44"/>
      <c r="P834" s="44"/>
    </row>
    <row r="835" spans="1:16" x14ac:dyDescent="0.2">
      <c r="A835" s="58" t="e">
        <f t="shared" si="12"/>
        <v>#VALUE!</v>
      </c>
      <c r="B835" s="144" t="str">
        <f>IF(ISBLANK(DaqBook_RAW_Data!AG825),IF(DaqBook_RAW_Data!A825="","",TIMEVALUE(DaqBook_RAW_Data!A825)),TIMEVALUE(DaqBook_RAW_Data!AG825))</f>
        <v/>
      </c>
      <c r="C835" s="167" t="str">
        <f>IF(ISBLANK(DaqBook_RAW_Data!AH825),"",DaqBook_RAW_Data!AH825)</f>
        <v/>
      </c>
      <c r="D835" s="167" t="str">
        <f>IF(ISBLANK(DaqBook_RAW_Data!AI825),"",DaqBook_RAW_Data!AI825)</f>
        <v/>
      </c>
      <c r="E835" s="167" t="str">
        <f>IF(ISBLANK(DaqBook_RAW_Data!AJ825),"",DaqBook_RAW_Data!AJ825)</f>
        <v/>
      </c>
      <c r="F835" s="167" t="str">
        <f>IF(ISBLANK(DaqBook_RAW_Data!AK825),"",DaqBook_RAW_Data!AK825)</f>
        <v/>
      </c>
      <c r="G835" s="167" t="str">
        <f>IF(ISBLANK(DaqBook_RAW_Data!AL825),"",DaqBook_RAW_Data!AL825)</f>
        <v/>
      </c>
      <c r="H835" s="167" t="str">
        <f>IF(ISBLANK(DaqBook_RAW_Data!AM825),"",DaqBook_RAW_Data!AM825)</f>
        <v/>
      </c>
      <c r="I835" s="167" t="str">
        <f>IF(ISBLANK(DaqBook_RAW_Data!AN825),"",DaqBook_RAW_Data!AN825)</f>
        <v/>
      </c>
      <c r="J835" s="167" t="str">
        <f>IF(ISBLANK(DaqBook_RAW_Data!AO825),"",DaqBook_RAW_Data!AO825)</f>
        <v/>
      </c>
      <c r="K835" s="167" t="str">
        <f>IF(ISBLANK(DaqBook_RAW_Data!AP825),"",DaqBook_RAW_Data!AP825)</f>
        <v/>
      </c>
      <c r="L835" s="167" t="str">
        <f>IF(ISBLANK(DaqBook_RAW_Data!AQ825),"",DaqBook_RAW_Data!AQ825)</f>
        <v/>
      </c>
      <c r="M835" s="167" t="str">
        <f>IF(ISBLANK(DaqBook_RAW_Data!AR825),"",DaqBook_RAW_Data!AR825)</f>
        <v/>
      </c>
      <c r="N835" s="167" t="str">
        <f>IF(ISBLANK(DaqBook_RAW_Data!AS825),"",DaqBook_RAW_Data!AS825)</f>
        <v/>
      </c>
      <c r="O835" s="44"/>
      <c r="P835" s="44"/>
    </row>
    <row r="836" spans="1:16" x14ac:dyDescent="0.2">
      <c r="A836" s="58" t="e">
        <f t="shared" si="12"/>
        <v>#VALUE!</v>
      </c>
      <c r="B836" s="144" t="str">
        <f>IF(ISBLANK(DaqBook_RAW_Data!AG826),IF(DaqBook_RAW_Data!A826="","",TIMEVALUE(DaqBook_RAW_Data!A826)),TIMEVALUE(DaqBook_RAW_Data!AG826))</f>
        <v/>
      </c>
      <c r="C836" s="167" t="str">
        <f>IF(ISBLANK(DaqBook_RAW_Data!AH826),"",DaqBook_RAW_Data!AH826)</f>
        <v/>
      </c>
      <c r="D836" s="167" t="str">
        <f>IF(ISBLANK(DaqBook_RAW_Data!AI826),"",DaqBook_RAW_Data!AI826)</f>
        <v/>
      </c>
      <c r="E836" s="167" t="str">
        <f>IF(ISBLANK(DaqBook_RAW_Data!AJ826),"",DaqBook_RAW_Data!AJ826)</f>
        <v/>
      </c>
      <c r="F836" s="167" t="str">
        <f>IF(ISBLANK(DaqBook_RAW_Data!AK826),"",DaqBook_RAW_Data!AK826)</f>
        <v/>
      </c>
      <c r="G836" s="167" t="str">
        <f>IF(ISBLANK(DaqBook_RAW_Data!AL826),"",DaqBook_RAW_Data!AL826)</f>
        <v/>
      </c>
      <c r="H836" s="167" t="str">
        <f>IF(ISBLANK(DaqBook_RAW_Data!AM826),"",DaqBook_RAW_Data!AM826)</f>
        <v/>
      </c>
      <c r="I836" s="167" t="str">
        <f>IF(ISBLANK(DaqBook_RAW_Data!AN826),"",DaqBook_RAW_Data!AN826)</f>
        <v/>
      </c>
      <c r="J836" s="167" t="str">
        <f>IF(ISBLANK(DaqBook_RAW_Data!AO826),"",DaqBook_RAW_Data!AO826)</f>
        <v/>
      </c>
      <c r="K836" s="167" t="str">
        <f>IF(ISBLANK(DaqBook_RAW_Data!AP826),"",DaqBook_RAW_Data!AP826)</f>
        <v/>
      </c>
      <c r="L836" s="167" t="str">
        <f>IF(ISBLANK(DaqBook_RAW_Data!AQ826),"",DaqBook_RAW_Data!AQ826)</f>
        <v/>
      </c>
      <c r="M836" s="167" t="str">
        <f>IF(ISBLANK(DaqBook_RAW_Data!AR826),"",DaqBook_RAW_Data!AR826)</f>
        <v/>
      </c>
      <c r="N836" s="167" t="str">
        <f>IF(ISBLANK(DaqBook_RAW_Data!AS826),"",DaqBook_RAW_Data!AS826)</f>
        <v/>
      </c>
      <c r="O836" s="44"/>
      <c r="P836" s="44"/>
    </row>
    <row r="837" spans="1:16" x14ac:dyDescent="0.2">
      <c r="A837" s="58" t="e">
        <f t="shared" si="12"/>
        <v>#VALUE!</v>
      </c>
      <c r="B837" s="144" t="str">
        <f>IF(ISBLANK(DaqBook_RAW_Data!AG827),IF(DaqBook_RAW_Data!A827="","",TIMEVALUE(DaqBook_RAW_Data!A827)),TIMEVALUE(DaqBook_RAW_Data!AG827))</f>
        <v/>
      </c>
      <c r="C837" s="167" t="str">
        <f>IF(ISBLANK(DaqBook_RAW_Data!AH827),"",DaqBook_RAW_Data!AH827)</f>
        <v/>
      </c>
      <c r="D837" s="167" t="str">
        <f>IF(ISBLANK(DaqBook_RAW_Data!AI827),"",DaqBook_RAW_Data!AI827)</f>
        <v/>
      </c>
      <c r="E837" s="167" t="str">
        <f>IF(ISBLANK(DaqBook_RAW_Data!AJ827),"",DaqBook_RAW_Data!AJ827)</f>
        <v/>
      </c>
      <c r="F837" s="167" t="str">
        <f>IF(ISBLANK(DaqBook_RAW_Data!AK827),"",DaqBook_RAW_Data!AK827)</f>
        <v/>
      </c>
      <c r="G837" s="167" t="str">
        <f>IF(ISBLANK(DaqBook_RAW_Data!AL827),"",DaqBook_RAW_Data!AL827)</f>
        <v/>
      </c>
      <c r="H837" s="167" t="str">
        <f>IF(ISBLANK(DaqBook_RAW_Data!AM827),"",DaqBook_RAW_Data!AM827)</f>
        <v/>
      </c>
      <c r="I837" s="167" t="str">
        <f>IF(ISBLANK(DaqBook_RAW_Data!AN827),"",DaqBook_RAW_Data!AN827)</f>
        <v/>
      </c>
      <c r="J837" s="167" t="str">
        <f>IF(ISBLANK(DaqBook_RAW_Data!AO827),"",DaqBook_RAW_Data!AO827)</f>
        <v/>
      </c>
      <c r="K837" s="167" t="str">
        <f>IF(ISBLANK(DaqBook_RAW_Data!AP827),"",DaqBook_RAW_Data!AP827)</f>
        <v/>
      </c>
      <c r="L837" s="167" t="str">
        <f>IF(ISBLANK(DaqBook_RAW_Data!AQ827),"",DaqBook_RAW_Data!AQ827)</f>
        <v/>
      </c>
      <c r="M837" s="167" t="str">
        <f>IF(ISBLANK(DaqBook_RAW_Data!AR827),"",DaqBook_RAW_Data!AR827)</f>
        <v/>
      </c>
      <c r="N837" s="167" t="str">
        <f>IF(ISBLANK(DaqBook_RAW_Data!AS827),"",DaqBook_RAW_Data!AS827)</f>
        <v/>
      </c>
      <c r="O837" s="44"/>
      <c r="P837" s="44"/>
    </row>
    <row r="838" spans="1:16" x14ac:dyDescent="0.2">
      <c r="A838" s="58" t="e">
        <f t="shared" si="12"/>
        <v>#VALUE!</v>
      </c>
      <c r="B838" s="144" t="str">
        <f>IF(ISBLANK(DaqBook_RAW_Data!AG828),IF(DaqBook_RAW_Data!A828="","",TIMEVALUE(DaqBook_RAW_Data!A828)),TIMEVALUE(DaqBook_RAW_Data!AG828))</f>
        <v/>
      </c>
      <c r="C838" s="167" t="str">
        <f>IF(ISBLANK(DaqBook_RAW_Data!AH828),"",DaqBook_RAW_Data!AH828)</f>
        <v/>
      </c>
      <c r="D838" s="167" t="str">
        <f>IF(ISBLANK(DaqBook_RAW_Data!AI828),"",DaqBook_RAW_Data!AI828)</f>
        <v/>
      </c>
      <c r="E838" s="167" t="str">
        <f>IF(ISBLANK(DaqBook_RAW_Data!AJ828),"",DaqBook_RAW_Data!AJ828)</f>
        <v/>
      </c>
      <c r="F838" s="167" t="str">
        <f>IF(ISBLANK(DaqBook_RAW_Data!AK828),"",DaqBook_RAW_Data!AK828)</f>
        <v/>
      </c>
      <c r="G838" s="167" t="str">
        <f>IF(ISBLANK(DaqBook_RAW_Data!AL828),"",DaqBook_RAW_Data!AL828)</f>
        <v/>
      </c>
      <c r="H838" s="167" t="str">
        <f>IF(ISBLANK(DaqBook_RAW_Data!AM828),"",DaqBook_RAW_Data!AM828)</f>
        <v/>
      </c>
      <c r="I838" s="167" t="str">
        <f>IF(ISBLANK(DaqBook_RAW_Data!AN828),"",DaqBook_RAW_Data!AN828)</f>
        <v/>
      </c>
      <c r="J838" s="167" t="str">
        <f>IF(ISBLANK(DaqBook_RAW_Data!AO828),"",DaqBook_RAW_Data!AO828)</f>
        <v/>
      </c>
      <c r="K838" s="167" t="str">
        <f>IF(ISBLANK(DaqBook_RAW_Data!AP828),"",DaqBook_RAW_Data!AP828)</f>
        <v/>
      </c>
      <c r="L838" s="167" t="str">
        <f>IF(ISBLANK(DaqBook_RAW_Data!AQ828),"",DaqBook_RAW_Data!AQ828)</f>
        <v/>
      </c>
      <c r="M838" s="167" t="str">
        <f>IF(ISBLANK(DaqBook_RAW_Data!AR828),"",DaqBook_RAW_Data!AR828)</f>
        <v/>
      </c>
      <c r="N838" s="167" t="str">
        <f>IF(ISBLANK(DaqBook_RAW_Data!AS828),"",DaqBook_RAW_Data!AS828)</f>
        <v/>
      </c>
      <c r="O838" s="44"/>
      <c r="P838" s="44"/>
    </row>
    <row r="839" spans="1:16" x14ac:dyDescent="0.2">
      <c r="A839" s="58" t="e">
        <f t="shared" si="12"/>
        <v>#VALUE!</v>
      </c>
      <c r="B839" s="144" t="str">
        <f>IF(ISBLANK(DaqBook_RAW_Data!AG829),IF(DaqBook_RAW_Data!A829="","",TIMEVALUE(DaqBook_RAW_Data!A829)),TIMEVALUE(DaqBook_RAW_Data!AG829))</f>
        <v/>
      </c>
      <c r="C839" s="167" t="str">
        <f>IF(ISBLANK(DaqBook_RAW_Data!AH829),"",DaqBook_RAW_Data!AH829)</f>
        <v/>
      </c>
      <c r="D839" s="167" t="str">
        <f>IF(ISBLANK(DaqBook_RAW_Data!AI829),"",DaqBook_RAW_Data!AI829)</f>
        <v/>
      </c>
      <c r="E839" s="167" t="str">
        <f>IF(ISBLANK(DaqBook_RAW_Data!AJ829),"",DaqBook_RAW_Data!AJ829)</f>
        <v/>
      </c>
      <c r="F839" s="167" t="str">
        <f>IF(ISBLANK(DaqBook_RAW_Data!AK829),"",DaqBook_RAW_Data!AK829)</f>
        <v/>
      </c>
      <c r="G839" s="167" t="str">
        <f>IF(ISBLANK(DaqBook_RAW_Data!AL829),"",DaqBook_RAW_Data!AL829)</f>
        <v/>
      </c>
      <c r="H839" s="167" t="str">
        <f>IF(ISBLANK(DaqBook_RAW_Data!AM829),"",DaqBook_RAW_Data!AM829)</f>
        <v/>
      </c>
      <c r="I839" s="167" t="str">
        <f>IF(ISBLANK(DaqBook_RAW_Data!AN829),"",DaqBook_RAW_Data!AN829)</f>
        <v/>
      </c>
      <c r="J839" s="167" t="str">
        <f>IF(ISBLANK(DaqBook_RAW_Data!AO829),"",DaqBook_RAW_Data!AO829)</f>
        <v/>
      </c>
      <c r="K839" s="167" t="str">
        <f>IF(ISBLANK(DaqBook_RAW_Data!AP829),"",DaqBook_RAW_Data!AP829)</f>
        <v/>
      </c>
      <c r="L839" s="167" t="str">
        <f>IF(ISBLANK(DaqBook_RAW_Data!AQ829),"",DaqBook_RAW_Data!AQ829)</f>
        <v/>
      </c>
      <c r="M839" s="167" t="str">
        <f>IF(ISBLANK(DaqBook_RAW_Data!AR829),"",DaqBook_RAW_Data!AR829)</f>
        <v/>
      </c>
      <c r="N839" s="167" t="str">
        <f>IF(ISBLANK(DaqBook_RAW_Data!AS829),"",DaqBook_RAW_Data!AS829)</f>
        <v/>
      </c>
      <c r="O839" s="44"/>
      <c r="P839" s="44"/>
    </row>
    <row r="840" spans="1:16" x14ac:dyDescent="0.2">
      <c r="A840" s="58" t="e">
        <f t="shared" si="12"/>
        <v>#VALUE!</v>
      </c>
      <c r="B840" s="144" t="str">
        <f>IF(ISBLANK(DaqBook_RAW_Data!AG830),IF(DaqBook_RAW_Data!A830="","",TIMEVALUE(DaqBook_RAW_Data!A830)),TIMEVALUE(DaqBook_RAW_Data!AG830))</f>
        <v/>
      </c>
      <c r="C840" s="167" t="str">
        <f>IF(ISBLANK(DaqBook_RAW_Data!AH830),"",DaqBook_RAW_Data!AH830)</f>
        <v/>
      </c>
      <c r="D840" s="167" t="str">
        <f>IF(ISBLANK(DaqBook_RAW_Data!AI830),"",DaqBook_RAW_Data!AI830)</f>
        <v/>
      </c>
      <c r="E840" s="167" t="str">
        <f>IF(ISBLANK(DaqBook_RAW_Data!AJ830),"",DaqBook_RAW_Data!AJ830)</f>
        <v/>
      </c>
      <c r="F840" s="167" t="str">
        <f>IF(ISBLANK(DaqBook_RAW_Data!AK830),"",DaqBook_RAW_Data!AK830)</f>
        <v/>
      </c>
      <c r="G840" s="167" t="str">
        <f>IF(ISBLANK(DaqBook_RAW_Data!AL830),"",DaqBook_RAW_Data!AL830)</f>
        <v/>
      </c>
      <c r="H840" s="167" t="str">
        <f>IF(ISBLANK(DaqBook_RAW_Data!AM830),"",DaqBook_RAW_Data!AM830)</f>
        <v/>
      </c>
      <c r="I840" s="167" t="str">
        <f>IF(ISBLANK(DaqBook_RAW_Data!AN830),"",DaqBook_RAW_Data!AN830)</f>
        <v/>
      </c>
      <c r="J840" s="167" t="str">
        <f>IF(ISBLANK(DaqBook_RAW_Data!AO830),"",DaqBook_RAW_Data!AO830)</f>
        <v/>
      </c>
      <c r="K840" s="167" t="str">
        <f>IF(ISBLANK(DaqBook_RAW_Data!AP830),"",DaqBook_RAW_Data!AP830)</f>
        <v/>
      </c>
      <c r="L840" s="167" t="str">
        <f>IF(ISBLANK(DaqBook_RAW_Data!AQ830),"",DaqBook_RAW_Data!AQ830)</f>
        <v/>
      </c>
      <c r="M840" s="167" t="str">
        <f>IF(ISBLANK(DaqBook_RAW_Data!AR830),"",DaqBook_RAW_Data!AR830)</f>
        <v/>
      </c>
      <c r="N840" s="167" t="str">
        <f>IF(ISBLANK(DaqBook_RAW_Data!AS830),"",DaqBook_RAW_Data!AS830)</f>
        <v/>
      </c>
      <c r="O840" s="44"/>
      <c r="P840" s="44"/>
    </row>
    <row r="841" spans="1:16" x14ac:dyDescent="0.2">
      <c r="A841" s="58" t="e">
        <f t="shared" si="12"/>
        <v>#VALUE!</v>
      </c>
      <c r="B841" s="144" t="str">
        <f>IF(ISBLANK(DaqBook_RAW_Data!AG831),IF(DaqBook_RAW_Data!A831="","",TIMEVALUE(DaqBook_RAW_Data!A831)),TIMEVALUE(DaqBook_RAW_Data!AG831))</f>
        <v/>
      </c>
      <c r="C841" s="167" t="str">
        <f>IF(ISBLANK(DaqBook_RAW_Data!AH831),"",DaqBook_RAW_Data!AH831)</f>
        <v/>
      </c>
      <c r="D841" s="167" t="str">
        <f>IF(ISBLANK(DaqBook_RAW_Data!AI831),"",DaqBook_RAW_Data!AI831)</f>
        <v/>
      </c>
      <c r="E841" s="167" t="str">
        <f>IF(ISBLANK(DaqBook_RAW_Data!AJ831),"",DaqBook_RAW_Data!AJ831)</f>
        <v/>
      </c>
      <c r="F841" s="167" t="str">
        <f>IF(ISBLANK(DaqBook_RAW_Data!AK831),"",DaqBook_RAW_Data!AK831)</f>
        <v/>
      </c>
      <c r="G841" s="167" t="str">
        <f>IF(ISBLANK(DaqBook_RAW_Data!AL831),"",DaqBook_RAW_Data!AL831)</f>
        <v/>
      </c>
      <c r="H841" s="167" t="str">
        <f>IF(ISBLANK(DaqBook_RAW_Data!AM831),"",DaqBook_RAW_Data!AM831)</f>
        <v/>
      </c>
      <c r="I841" s="167" t="str">
        <f>IF(ISBLANK(DaqBook_RAW_Data!AN831),"",DaqBook_RAW_Data!AN831)</f>
        <v/>
      </c>
      <c r="J841" s="167" t="str">
        <f>IF(ISBLANK(DaqBook_RAW_Data!AO831),"",DaqBook_RAW_Data!AO831)</f>
        <v/>
      </c>
      <c r="K841" s="167" t="str">
        <f>IF(ISBLANK(DaqBook_RAW_Data!AP831),"",DaqBook_RAW_Data!AP831)</f>
        <v/>
      </c>
      <c r="L841" s="167" t="str">
        <f>IF(ISBLANK(DaqBook_RAW_Data!AQ831),"",DaqBook_RAW_Data!AQ831)</f>
        <v/>
      </c>
      <c r="M841" s="167" t="str">
        <f>IF(ISBLANK(DaqBook_RAW_Data!AR831),"",DaqBook_RAW_Data!AR831)</f>
        <v/>
      </c>
      <c r="N841" s="167" t="str">
        <f>IF(ISBLANK(DaqBook_RAW_Data!AS831),"",DaqBook_RAW_Data!AS831)</f>
        <v/>
      </c>
      <c r="O841" s="44"/>
      <c r="P841" s="44"/>
    </row>
    <row r="842" spans="1:16" x14ac:dyDescent="0.2">
      <c r="A842" s="58" t="e">
        <f t="shared" si="12"/>
        <v>#VALUE!</v>
      </c>
      <c r="B842" s="144" t="str">
        <f>IF(ISBLANK(DaqBook_RAW_Data!AG832),IF(DaqBook_RAW_Data!A832="","",TIMEVALUE(DaqBook_RAW_Data!A832)),TIMEVALUE(DaqBook_RAW_Data!AG832))</f>
        <v/>
      </c>
      <c r="C842" s="167" t="str">
        <f>IF(ISBLANK(DaqBook_RAW_Data!AH832),"",DaqBook_RAW_Data!AH832)</f>
        <v/>
      </c>
      <c r="D842" s="167" t="str">
        <f>IF(ISBLANK(DaqBook_RAW_Data!AI832),"",DaqBook_RAW_Data!AI832)</f>
        <v/>
      </c>
      <c r="E842" s="167" t="str">
        <f>IF(ISBLANK(DaqBook_RAW_Data!AJ832),"",DaqBook_RAW_Data!AJ832)</f>
        <v/>
      </c>
      <c r="F842" s="167" t="str">
        <f>IF(ISBLANK(DaqBook_RAW_Data!AK832),"",DaqBook_RAW_Data!AK832)</f>
        <v/>
      </c>
      <c r="G842" s="167" t="str">
        <f>IF(ISBLANK(DaqBook_RAW_Data!AL832),"",DaqBook_RAW_Data!AL832)</f>
        <v/>
      </c>
      <c r="H842" s="167" t="str">
        <f>IF(ISBLANK(DaqBook_RAW_Data!AM832),"",DaqBook_RAW_Data!AM832)</f>
        <v/>
      </c>
      <c r="I842" s="167" t="str">
        <f>IF(ISBLANK(DaqBook_RAW_Data!AN832),"",DaqBook_RAW_Data!AN832)</f>
        <v/>
      </c>
      <c r="J842" s="167" t="str">
        <f>IF(ISBLANK(DaqBook_RAW_Data!AO832),"",DaqBook_RAW_Data!AO832)</f>
        <v/>
      </c>
      <c r="K842" s="167" t="str">
        <f>IF(ISBLANK(DaqBook_RAW_Data!AP832),"",DaqBook_RAW_Data!AP832)</f>
        <v/>
      </c>
      <c r="L842" s="167" t="str">
        <f>IF(ISBLANK(DaqBook_RAW_Data!AQ832),"",DaqBook_RAW_Data!AQ832)</f>
        <v/>
      </c>
      <c r="M842" s="167" t="str">
        <f>IF(ISBLANK(DaqBook_RAW_Data!AR832),"",DaqBook_RAW_Data!AR832)</f>
        <v/>
      </c>
      <c r="N842" s="167" t="str">
        <f>IF(ISBLANK(DaqBook_RAW_Data!AS832),"",DaqBook_RAW_Data!AS832)</f>
        <v/>
      </c>
      <c r="O842" s="44"/>
      <c r="P842" s="44"/>
    </row>
    <row r="843" spans="1:16" x14ac:dyDescent="0.2">
      <c r="A843" s="58" t="e">
        <f t="shared" si="12"/>
        <v>#VALUE!</v>
      </c>
      <c r="B843" s="144" t="str">
        <f>IF(ISBLANK(DaqBook_RAW_Data!AG833),IF(DaqBook_RAW_Data!A833="","",TIMEVALUE(DaqBook_RAW_Data!A833)),TIMEVALUE(DaqBook_RAW_Data!AG833))</f>
        <v/>
      </c>
      <c r="C843" s="167" t="str">
        <f>IF(ISBLANK(DaqBook_RAW_Data!AH833),"",DaqBook_RAW_Data!AH833)</f>
        <v/>
      </c>
      <c r="D843" s="167" t="str">
        <f>IF(ISBLANK(DaqBook_RAW_Data!AI833),"",DaqBook_RAW_Data!AI833)</f>
        <v/>
      </c>
      <c r="E843" s="167" t="str">
        <f>IF(ISBLANK(DaqBook_RAW_Data!AJ833),"",DaqBook_RAW_Data!AJ833)</f>
        <v/>
      </c>
      <c r="F843" s="167" t="str">
        <f>IF(ISBLANK(DaqBook_RAW_Data!AK833),"",DaqBook_RAW_Data!AK833)</f>
        <v/>
      </c>
      <c r="G843" s="167" t="str">
        <f>IF(ISBLANK(DaqBook_RAW_Data!AL833),"",DaqBook_RAW_Data!AL833)</f>
        <v/>
      </c>
      <c r="H843" s="167" t="str">
        <f>IF(ISBLANK(DaqBook_RAW_Data!AM833),"",DaqBook_RAW_Data!AM833)</f>
        <v/>
      </c>
      <c r="I843" s="167" t="str">
        <f>IF(ISBLANK(DaqBook_RAW_Data!AN833),"",DaqBook_RAW_Data!AN833)</f>
        <v/>
      </c>
      <c r="J843" s="167" t="str">
        <f>IF(ISBLANK(DaqBook_RAW_Data!AO833),"",DaqBook_RAW_Data!AO833)</f>
        <v/>
      </c>
      <c r="K843" s="167" t="str">
        <f>IF(ISBLANK(DaqBook_RAW_Data!AP833),"",DaqBook_RAW_Data!AP833)</f>
        <v/>
      </c>
      <c r="L843" s="167" t="str">
        <f>IF(ISBLANK(DaqBook_RAW_Data!AQ833),"",DaqBook_RAW_Data!AQ833)</f>
        <v/>
      </c>
      <c r="M843" s="167" t="str">
        <f>IF(ISBLANK(DaqBook_RAW_Data!AR833),"",DaqBook_RAW_Data!AR833)</f>
        <v/>
      </c>
      <c r="N843" s="167" t="str">
        <f>IF(ISBLANK(DaqBook_RAW_Data!AS833),"",DaqBook_RAW_Data!AS833)</f>
        <v/>
      </c>
      <c r="O843" s="44"/>
      <c r="P843" s="44"/>
    </row>
    <row r="844" spans="1:16" x14ac:dyDescent="0.2">
      <c r="A844" s="58" t="e">
        <f t="shared" si="12"/>
        <v>#VALUE!</v>
      </c>
      <c r="B844" s="144" t="str">
        <f>IF(ISBLANK(DaqBook_RAW_Data!AG834),IF(DaqBook_RAW_Data!A834="","",TIMEVALUE(DaqBook_RAW_Data!A834)),TIMEVALUE(DaqBook_RAW_Data!AG834))</f>
        <v/>
      </c>
      <c r="C844" s="167" t="str">
        <f>IF(ISBLANK(DaqBook_RAW_Data!AH834),"",DaqBook_RAW_Data!AH834)</f>
        <v/>
      </c>
      <c r="D844" s="167" t="str">
        <f>IF(ISBLANK(DaqBook_RAW_Data!AI834),"",DaqBook_RAW_Data!AI834)</f>
        <v/>
      </c>
      <c r="E844" s="167" t="str">
        <f>IF(ISBLANK(DaqBook_RAW_Data!AJ834),"",DaqBook_RAW_Data!AJ834)</f>
        <v/>
      </c>
      <c r="F844" s="167" t="str">
        <f>IF(ISBLANK(DaqBook_RAW_Data!AK834),"",DaqBook_RAW_Data!AK834)</f>
        <v/>
      </c>
      <c r="G844" s="167" t="str">
        <f>IF(ISBLANK(DaqBook_RAW_Data!AL834),"",DaqBook_RAW_Data!AL834)</f>
        <v/>
      </c>
      <c r="H844" s="167" t="str">
        <f>IF(ISBLANK(DaqBook_RAW_Data!AM834),"",DaqBook_RAW_Data!AM834)</f>
        <v/>
      </c>
      <c r="I844" s="167" t="str">
        <f>IF(ISBLANK(DaqBook_RAW_Data!AN834),"",DaqBook_RAW_Data!AN834)</f>
        <v/>
      </c>
      <c r="J844" s="167" t="str">
        <f>IF(ISBLANK(DaqBook_RAW_Data!AO834),"",DaqBook_RAW_Data!AO834)</f>
        <v/>
      </c>
      <c r="K844" s="167" t="str">
        <f>IF(ISBLANK(DaqBook_RAW_Data!AP834),"",DaqBook_RAW_Data!AP834)</f>
        <v/>
      </c>
      <c r="L844" s="167" t="str">
        <f>IF(ISBLANK(DaqBook_RAW_Data!AQ834),"",DaqBook_RAW_Data!AQ834)</f>
        <v/>
      </c>
      <c r="M844" s="167" t="str">
        <f>IF(ISBLANK(DaqBook_RAW_Data!AR834),"",DaqBook_RAW_Data!AR834)</f>
        <v/>
      </c>
      <c r="N844" s="167" t="str">
        <f>IF(ISBLANK(DaqBook_RAW_Data!AS834),"",DaqBook_RAW_Data!AS834)</f>
        <v/>
      </c>
      <c r="O844" s="44"/>
      <c r="P844" s="44"/>
    </row>
    <row r="845" spans="1:16" x14ac:dyDescent="0.2">
      <c r="A845" s="58" t="e">
        <f t="shared" si="12"/>
        <v>#VALUE!</v>
      </c>
      <c r="B845" s="144" t="str">
        <f>IF(ISBLANK(DaqBook_RAW_Data!AG835),IF(DaqBook_RAW_Data!A835="","",TIMEVALUE(DaqBook_RAW_Data!A835)),TIMEVALUE(DaqBook_RAW_Data!AG835))</f>
        <v/>
      </c>
      <c r="C845" s="167" t="str">
        <f>IF(ISBLANK(DaqBook_RAW_Data!AH835),"",DaqBook_RAW_Data!AH835)</f>
        <v/>
      </c>
      <c r="D845" s="167" t="str">
        <f>IF(ISBLANK(DaqBook_RAW_Data!AI835),"",DaqBook_RAW_Data!AI835)</f>
        <v/>
      </c>
      <c r="E845" s="167" t="str">
        <f>IF(ISBLANK(DaqBook_RAW_Data!AJ835),"",DaqBook_RAW_Data!AJ835)</f>
        <v/>
      </c>
      <c r="F845" s="167" t="str">
        <f>IF(ISBLANK(DaqBook_RAW_Data!AK835),"",DaqBook_RAW_Data!AK835)</f>
        <v/>
      </c>
      <c r="G845" s="167" t="str">
        <f>IF(ISBLANK(DaqBook_RAW_Data!AL835),"",DaqBook_RAW_Data!AL835)</f>
        <v/>
      </c>
      <c r="H845" s="167" t="str">
        <f>IF(ISBLANK(DaqBook_RAW_Data!AM835),"",DaqBook_RAW_Data!AM835)</f>
        <v/>
      </c>
      <c r="I845" s="167" t="str">
        <f>IF(ISBLANK(DaqBook_RAW_Data!AN835),"",DaqBook_RAW_Data!AN835)</f>
        <v/>
      </c>
      <c r="J845" s="167" t="str">
        <f>IF(ISBLANK(DaqBook_RAW_Data!AO835),"",DaqBook_RAW_Data!AO835)</f>
        <v/>
      </c>
      <c r="K845" s="167" t="str">
        <f>IF(ISBLANK(DaqBook_RAW_Data!AP835),"",DaqBook_RAW_Data!AP835)</f>
        <v/>
      </c>
      <c r="L845" s="167" t="str">
        <f>IF(ISBLANK(DaqBook_RAW_Data!AQ835),"",DaqBook_RAW_Data!AQ835)</f>
        <v/>
      </c>
      <c r="M845" s="167" t="str">
        <f>IF(ISBLANK(DaqBook_RAW_Data!AR835),"",DaqBook_RAW_Data!AR835)</f>
        <v/>
      </c>
      <c r="N845" s="167" t="str">
        <f>IF(ISBLANK(DaqBook_RAW_Data!AS835),"",DaqBook_RAW_Data!AS835)</f>
        <v/>
      </c>
      <c r="O845" s="44"/>
      <c r="P845" s="44"/>
    </row>
    <row r="846" spans="1:16" x14ac:dyDescent="0.2">
      <c r="A846" s="58" t="e">
        <f t="shared" si="12"/>
        <v>#VALUE!</v>
      </c>
      <c r="B846" s="144" t="str">
        <f>IF(ISBLANK(DaqBook_RAW_Data!AG836),IF(DaqBook_RAW_Data!A836="","",TIMEVALUE(DaqBook_RAW_Data!A836)),TIMEVALUE(DaqBook_RAW_Data!AG836))</f>
        <v/>
      </c>
      <c r="C846" s="167" t="str">
        <f>IF(ISBLANK(DaqBook_RAW_Data!AH836),"",DaqBook_RAW_Data!AH836)</f>
        <v/>
      </c>
      <c r="D846" s="167" t="str">
        <f>IF(ISBLANK(DaqBook_RAW_Data!AI836),"",DaqBook_RAW_Data!AI836)</f>
        <v/>
      </c>
      <c r="E846" s="167" t="str">
        <f>IF(ISBLANK(DaqBook_RAW_Data!AJ836),"",DaqBook_RAW_Data!AJ836)</f>
        <v/>
      </c>
      <c r="F846" s="167" t="str">
        <f>IF(ISBLANK(DaqBook_RAW_Data!AK836),"",DaqBook_RAW_Data!AK836)</f>
        <v/>
      </c>
      <c r="G846" s="167" t="str">
        <f>IF(ISBLANK(DaqBook_RAW_Data!AL836),"",DaqBook_RAW_Data!AL836)</f>
        <v/>
      </c>
      <c r="H846" s="167" t="str">
        <f>IF(ISBLANK(DaqBook_RAW_Data!AM836),"",DaqBook_RAW_Data!AM836)</f>
        <v/>
      </c>
      <c r="I846" s="167" t="str">
        <f>IF(ISBLANK(DaqBook_RAW_Data!AN836),"",DaqBook_RAW_Data!AN836)</f>
        <v/>
      </c>
      <c r="J846" s="167" t="str">
        <f>IF(ISBLANK(DaqBook_RAW_Data!AO836),"",DaqBook_RAW_Data!AO836)</f>
        <v/>
      </c>
      <c r="K846" s="167" t="str">
        <f>IF(ISBLANK(DaqBook_RAW_Data!AP836),"",DaqBook_RAW_Data!AP836)</f>
        <v/>
      </c>
      <c r="L846" s="167" t="str">
        <f>IF(ISBLANK(DaqBook_RAW_Data!AQ836),"",DaqBook_RAW_Data!AQ836)</f>
        <v/>
      </c>
      <c r="M846" s="167" t="str">
        <f>IF(ISBLANK(DaqBook_RAW_Data!AR836),"",DaqBook_RAW_Data!AR836)</f>
        <v/>
      </c>
      <c r="N846" s="167" t="str">
        <f>IF(ISBLANK(DaqBook_RAW_Data!AS836),"",DaqBook_RAW_Data!AS836)</f>
        <v/>
      </c>
      <c r="O846" s="44"/>
      <c r="P846" s="44"/>
    </row>
    <row r="847" spans="1:16" x14ac:dyDescent="0.2">
      <c r="A847" s="58" t="e">
        <f t="shared" ref="A847:A903" si="13">HOUR(B847)&amp;":"&amp;MINUTE(B847)</f>
        <v>#VALUE!</v>
      </c>
      <c r="B847" s="144" t="str">
        <f>IF(ISBLANK(DaqBook_RAW_Data!AG837),IF(DaqBook_RAW_Data!A837="","",TIMEVALUE(DaqBook_RAW_Data!A837)),TIMEVALUE(DaqBook_RAW_Data!AG837))</f>
        <v/>
      </c>
      <c r="C847" s="167" t="str">
        <f>IF(ISBLANK(DaqBook_RAW_Data!AH837),"",DaqBook_RAW_Data!AH837)</f>
        <v/>
      </c>
      <c r="D847" s="167" t="str">
        <f>IF(ISBLANK(DaqBook_RAW_Data!AI837),"",DaqBook_RAW_Data!AI837)</f>
        <v/>
      </c>
      <c r="E847" s="167" t="str">
        <f>IF(ISBLANK(DaqBook_RAW_Data!AJ837),"",DaqBook_RAW_Data!AJ837)</f>
        <v/>
      </c>
      <c r="F847" s="167" t="str">
        <f>IF(ISBLANK(DaqBook_RAW_Data!AK837),"",DaqBook_RAW_Data!AK837)</f>
        <v/>
      </c>
      <c r="G847" s="167" t="str">
        <f>IF(ISBLANK(DaqBook_RAW_Data!AL837),"",DaqBook_RAW_Data!AL837)</f>
        <v/>
      </c>
      <c r="H847" s="167" t="str">
        <f>IF(ISBLANK(DaqBook_RAW_Data!AM837),"",DaqBook_RAW_Data!AM837)</f>
        <v/>
      </c>
      <c r="I847" s="167" t="str">
        <f>IF(ISBLANK(DaqBook_RAW_Data!AN837),"",DaqBook_RAW_Data!AN837)</f>
        <v/>
      </c>
      <c r="J847" s="167" t="str">
        <f>IF(ISBLANK(DaqBook_RAW_Data!AO837),"",DaqBook_RAW_Data!AO837)</f>
        <v/>
      </c>
      <c r="K847" s="167" t="str">
        <f>IF(ISBLANK(DaqBook_RAW_Data!AP837),"",DaqBook_RAW_Data!AP837)</f>
        <v/>
      </c>
      <c r="L847" s="167" t="str">
        <f>IF(ISBLANK(DaqBook_RAW_Data!AQ837),"",DaqBook_RAW_Data!AQ837)</f>
        <v/>
      </c>
      <c r="M847" s="167" t="str">
        <f>IF(ISBLANK(DaqBook_RAW_Data!AR837),"",DaqBook_RAW_Data!AR837)</f>
        <v/>
      </c>
      <c r="N847" s="167" t="str">
        <f>IF(ISBLANK(DaqBook_RAW_Data!AS837),"",DaqBook_RAW_Data!AS837)</f>
        <v/>
      </c>
      <c r="O847" s="44"/>
      <c r="P847" s="44"/>
    </row>
    <row r="848" spans="1:16" x14ac:dyDescent="0.2">
      <c r="A848" s="58" t="e">
        <f t="shared" si="13"/>
        <v>#VALUE!</v>
      </c>
      <c r="B848" s="144" t="str">
        <f>IF(ISBLANK(DaqBook_RAW_Data!AG838),IF(DaqBook_RAW_Data!A838="","",TIMEVALUE(DaqBook_RAW_Data!A838)),TIMEVALUE(DaqBook_RAW_Data!AG838))</f>
        <v/>
      </c>
      <c r="C848" s="167" t="str">
        <f>IF(ISBLANK(DaqBook_RAW_Data!AH838),"",DaqBook_RAW_Data!AH838)</f>
        <v/>
      </c>
      <c r="D848" s="167" t="str">
        <f>IF(ISBLANK(DaqBook_RAW_Data!AI838),"",DaqBook_RAW_Data!AI838)</f>
        <v/>
      </c>
      <c r="E848" s="167" t="str">
        <f>IF(ISBLANK(DaqBook_RAW_Data!AJ838),"",DaqBook_RAW_Data!AJ838)</f>
        <v/>
      </c>
      <c r="F848" s="167" t="str">
        <f>IF(ISBLANK(DaqBook_RAW_Data!AK838),"",DaqBook_RAW_Data!AK838)</f>
        <v/>
      </c>
      <c r="G848" s="167" t="str">
        <f>IF(ISBLANK(DaqBook_RAW_Data!AL838),"",DaqBook_RAW_Data!AL838)</f>
        <v/>
      </c>
      <c r="H848" s="167" t="str">
        <f>IF(ISBLANK(DaqBook_RAW_Data!AM838),"",DaqBook_RAW_Data!AM838)</f>
        <v/>
      </c>
      <c r="I848" s="167" t="str">
        <f>IF(ISBLANK(DaqBook_RAW_Data!AN838),"",DaqBook_RAW_Data!AN838)</f>
        <v/>
      </c>
      <c r="J848" s="167" t="str">
        <f>IF(ISBLANK(DaqBook_RAW_Data!AO838),"",DaqBook_RAW_Data!AO838)</f>
        <v/>
      </c>
      <c r="K848" s="167" t="str">
        <f>IF(ISBLANK(DaqBook_RAW_Data!AP838),"",DaqBook_RAW_Data!AP838)</f>
        <v/>
      </c>
      <c r="L848" s="167" t="str">
        <f>IF(ISBLANK(DaqBook_RAW_Data!AQ838),"",DaqBook_RAW_Data!AQ838)</f>
        <v/>
      </c>
      <c r="M848" s="167" t="str">
        <f>IF(ISBLANK(DaqBook_RAW_Data!AR838),"",DaqBook_RAW_Data!AR838)</f>
        <v/>
      </c>
      <c r="N848" s="167" t="str">
        <f>IF(ISBLANK(DaqBook_RAW_Data!AS838),"",DaqBook_RAW_Data!AS838)</f>
        <v/>
      </c>
      <c r="O848" s="44"/>
      <c r="P848" s="44"/>
    </row>
    <row r="849" spans="1:16" x14ac:dyDescent="0.2">
      <c r="A849" s="58" t="e">
        <f t="shared" si="13"/>
        <v>#VALUE!</v>
      </c>
      <c r="B849" s="144" t="str">
        <f>IF(ISBLANK(DaqBook_RAW_Data!AG839),IF(DaqBook_RAW_Data!A839="","",TIMEVALUE(DaqBook_RAW_Data!A839)),TIMEVALUE(DaqBook_RAW_Data!AG839))</f>
        <v/>
      </c>
      <c r="C849" s="167" t="str">
        <f>IF(ISBLANK(DaqBook_RAW_Data!AH839),"",DaqBook_RAW_Data!AH839)</f>
        <v/>
      </c>
      <c r="D849" s="167" t="str">
        <f>IF(ISBLANK(DaqBook_RAW_Data!AI839),"",DaqBook_RAW_Data!AI839)</f>
        <v/>
      </c>
      <c r="E849" s="167" t="str">
        <f>IF(ISBLANK(DaqBook_RAW_Data!AJ839),"",DaqBook_RAW_Data!AJ839)</f>
        <v/>
      </c>
      <c r="F849" s="167" t="str">
        <f>IF(ISBLANK(DaqBook_RAW_Data!AK839),"",DaqBook_RAW_Data!AK839)</f>
        <v/>
      </c>
      <c r="G849" s="167" t="str">
        <f>IF(ISBLANK(DaqBook_RAW_Data!AL839),"",DaqBook_RAW_Data!AL839)</f>
        <v/>
      </c>
      <c r="H849" s="167" t="str">
        <f>IF(ISBLANK(DaqBook_RAW_Data!AM839),"",DaqBook_RAW_Data!AM839)</f>
        <v/>
      </c>
      <c r="I849" s="167" t="str">
        <f>IF(ISBLANK(DaqBook_RAW_Data!AN839),"",DaqBook_RAW_Data!AN839)</f>
        <v/>
      </c>
      <c r="J849" s="167" t="str">
        <f>IF(ISBLANK(DaqBook_RAW_Data!AO839),"",DaqBook_RAW_Data!AO839)</f>
        <v/>
      </c>
      <c r="K849" s="167" t="str">
        <f>IF(ISBLANK(DaqBook_RAW_Data!AP839),"",DaqBook_RAW_Data!AP839)</f>
        <v/>
      </c>
      <c r="L849" s="167" t="str">
        <f>IF(ISBLANK(DaqBook_RAW_Data!AQ839),"",DaqBook_RAW_Data!AQ839)</f>
        <v/>
      </c>
      <c r="M849" s="167" t="str">
        <f>IF(ISBLANK(DaqBook_RAW_Data!AR839),"",DaqBook_RAW_Data!AR839)</f>
        <v/>
      </c>
      <c r="N849" s="167" t="str">
        <f>IF(ISBLANK(DaqBook_RAW_Data!AS839),"",DaqBook_RAW_Data!AS839)</f>
        <v/>
      </c>
      <c r="O849" s="44"/>
      <c r="P849" s="44"/>
    </row>
    <row r="850" spans="1:16" x14ac:dyDescent="0.2">
      <c r="A850" s="58" t="e">
        <f t="shared" si="13"/>
        <v>#VALUE!</v>
      </c>
      <c r="B850" s="144" t="str">
        <f>IF(ISBLANK(DaqBook_RAW_Data!AG840),IF(DaqBook_RAW_Data!A840="","",TIMEVALUE(DaqBook_RAW_Data!A840)),TIMEVALUE(DaqBook_RAW_Data!AG840))</f>
        <v/>
      </c>
      <c r="C850" s="167" t="str">
        <f>IF(ISBLANK(DaqBook_RAW_Data!AH840),"",DaqBook_RAW_Data!AH840)</f>
        <v/>
      </c>
      <c r="D850" s="167" t="str">
        <f>IF(ISBLANK(DaqBook_RAW_Data!AI840),"",DaqBook_RAW_Data!AI840)</f>
        <v/>
      </c>
      <c r="E850" s="167" t="str">
        <f>IF(ISBLANK(DaqBook_RAW_Data!AJ840),"",DaqBook_RAW_Data!AJ840)</f>
        <v/>
      </c>
      <c r="F850" s="167" t="str">
        <f>IF(ISBLANK(DaqBook_RAW_Data!AK840),"",DaqBook_RAW_Data!AK840)</f>
        <v/>
      </c>
      <c r="G850" s="167" t="str">
        <f>IF(ISBLANK(DaqBook_RAW_Data!AL840),"",DaqBook_RAW_Data!AL840)</f>
        <v/>
      </c>
      <c r="H850" s="167" t="str">
        <f>IF(ISBLANK(DaqBook_RAW_Data!AM840),"",DaqBook_RAW_Data!AM840)</f>
        <v/>
      </c>
      <c r="I850" s="167" t="str">
        <f>IF(ISBLANK(DaqBook_RAW_Data!AN840),"",DaqBook_RAW_Data!AN840)</f>
        <v/>
      </c>
      <c r="J850" s="167" t="str">
        <f>IF(ISBLANK(DaqBook_RAW_Data!AO840),"",DaqBook_RAW_Data!AO840)</f>
        <v/>
      </c>
      <c r="K850" s="167" t="str">
        <f>IF(ISBLANK(DaqBook_RAW_Data!AP840),"",DaqBook_RAW_Data!AP840)</f>
        <v/>
      </c>
      <c r="L850" s="167" t="str">
        <f>IF(ISBLANK(DaqBook_RAW_Data!AQ840),"",DaqBook_RAW_Data!AQ840)</f>
        <v/>
      </c>
      <c r="M850" s="167" t="str">
        <f>IF(ISBLANK(DaqBook_RAW_Data!AR840),"",DaqBook_RAW_Data!AR840)</f>
        <v/>
      </c>
      <c r="N850" s="167" t="str">
        <f>IF(ISBLANK(DaqBook_RAW_Data!AS840),"",DaqBook_RAW_Data!AS840)</f>
        <v/>
      </c>
      <c r="O850" s="44"/>
      <c r="P850" s="44"/>
    </row>
    <row r="851" spans="1:16" x14ac:dyDescent="0.2">
      <c r="A851" s="58" t="e">
        <f t="shared" si="13"/>
        <v>#VALUE!</v>
      </c>
      <c r="B851" s="144" t="str">
        <f>IF(ISBLANK(DaqBook_RAW_Data!AG841),IF(DaqBook_RAW_Data!A841="","",TIMEVALUE(DaqBook_RAW_Data!A841)),TIMEVALUE(DaqBook_RAW_Data!AG841))</f>
        <v/>
      </c>
      <c r="C851" s="167" t="str">
        <f>IF(ISBLANK(DaqBook_RAW_Data!AH841),"",DaqBook_RAW_Data!AH841)</f>
        <v/>
      </c>
      <c r="D851" s="167" t="str">
        <f>IF(ISBLANK(DaqBook_RAW_Data!AI841),"",DaqBook_RAW_Data!AI841)</f>
        <v/>
      </c>
      <c r="E851" s="167" t="str">
        <f>IF(ISBLANK(DaqBook_RAW_Data!AJ841),"",DaqBook_RAW_Data!AJ841)</f>
        <v/>
      </c>
      <c r="F851" s="167" t="str">
        <f>IF(ISBLANK(DaqBook_RAW_Data!AK841),"",DaqBook_RAW_Data!AK841)</f>
        <v/>
      </c>
      <c r="G851" s="167" t="str">
        <f>IF(ISBLANK(DaqBook_RAW_Data!AL841),"",DaqBook_RAW_Data!AL841)</f>
        <v/>
      </c>
      <c r="H851" s="167" t="str">
        <f>IF(ISBLANK(DaqBook_RAW_Data!AM841),"",DaqBook_RAW_Data!AM841)</f>
        <v/>
      </c>
      <c r="I851" s="167" t="str">
        <f>IF(ISBLANK(DaqBook_RAW_Data!AN841),"",DaqBook_RAW_Data!AN841)</f>
        <v/>
      </c>
      <c r="J851" s="167" t="str">
        <f>IF(ISBLANK(DaqBook_RAW_Data!AO841),"",DaqBook_RAW_Data!AO841)</f>
        <v/>
      </c>
      <c r="K851" s="167" t="str">
        <f>IF(ISBLANK(DaqBook_RAW_Data!AP841),"",DaqBook_RAW_Data!AP841)</f>
        <v/>
      </c>
      <c r="L851" s="167" t="str">
        <f>IF(ISBLANK(DaqBook_RAW_Data!AQ841),"",DaqBook_RAW_Data!AQ841)</f>
        <v/>
      </c>
      <c r="M851" s="167" t="str">
        <f>IF(ISBLANK(DaqBook_RAW_Data!AR841),"",DaqBook_RAW_Data!AR841)</f>
        <v/>
      </c>
      <c r="N851" s="167" t="str">
        <f>IF(ISBLANK(DaqBook_RAW_Data!AS841),"",DaqBook_RAW_Data!AS841)</f>
        <v/>
      </c>
      <c r="O851" s="44"/>
      <c r="P851" s="44"/>
    </row>
    <row r="852" spans="1:16" x14ac:dyDescent="0.2">
      <c r="A852" s="58" t="e">
        <f t="shared" si="13"/>
        <v>#VALUE!</v>
      </c>
      <c r="B852" s="144" t="str">
        <f>IF(ISBLANK(DaqBook_RAW_Data!AG842),IF(DaqBook_RAW_Data!A842="","",TIMEVALUE(DaqBook_RAW_Data!A842)),TIMEVALUE(DaqBook_RAW_Data!AG842))</f>
        <v/>
      </c>
      <c r="C852" s="167" t="str">
        <f>IF(ISBLANK(DaqBook_RAW_Data!AH842),"",DaqBook_RAW_Data!AH842)</f>
        <v/>
      </c>
      <c r="D852" s="167" t="str">
        <f>IF(ISBLANK(DaqBook_RAW_Data!AI842),"",DaqBook_RAW_Data!AI842)</f>
        <v/>
      </c>
      <c r="E852" s="167" t="str">
        <f>IF(ISBLANK(DaqBook_RAW_Data!AJ842),"",DaqBook_RAW_Data!AJ842)</f>
        <v/>
      </c>
      <c r="F852" s="167" t="str">
        <f>IF(ISBLANK(DaqBook_RAW_Data!AK842),"",DaqBook_RAW_Data!AK842)</f>
        <v/>
      </c>
      <c r="G852" s="167" t="str">
        <f>IF(ISBLANK(DaqBook_RAW_Data!AL842),"",DaqBook_RAW_Data!AL842)</f>
        <v/>
      </c>
      <c r="H852" s="167" t="str">
        <f>IF(ISBLANK(DaqBook_RAW_Data!AM842),"",DaqBook_RAW_Data!AM842)</f>
        <v/>
      </c>
      <c r="I852" s="167" t="str">
        <f>IF(ISBLANK(DaqBook_RAW_Data!AN842),"",DaqBook_RAW_Data!AN842)</f>
        <v/>
      </c>
      <c r="J852" s="167" t="str">
        <f>IF(ISBLANK(DaqBook_RAW_Data!AO842),"",DaqBook_RAW_Data!AO842)</f>
        <v/>
      </c>
      <c r="K852" s="167" t="str">
        <f>IF(ISBLANK(DaqBook_RAW_Data!AP842),"",DaqBook_RAW_Data!AP842)</f>
        <v/>
      </c>
      <c r="L852" s="167" t="str">
        <f>IF(ISBLANK(DaqBook_RAW_Data!AQ842),"",DaqBook_RAW_Data!AQ842)</f>
        <v/>
      </c>
      <c r="M852" s="167" t="str">
        <f>IF(ISBLANK(DaqBook_RAW_Data!AR842),"",DaqBook_RAW_Data!AR842)</f>
        <v/>
      </c>
      <c r="N852" s="167" t="str">
        <f>IF(ISBLANK(DaqBook_RAW_Data!AS842),"",DaqBook_RAW_Data!AS842)</f>
        <v/>
      </c>
      <c r="O852" s="44"/>
      <c r="P852" s="44"/>
    </row>
    <row r="853" spans="1:16" x14ac:dyDescent="0.2">
      <c r="A853" s="58" t="e">
        <f t="shared" si="13"/>
        <v>#VALUE!</v>
      </c>
      <c r="B853" s="144" t="str">
        <f>IF(ISBLANK(DaqBook_RAW_Data!AG843),IF(DaqBook_RAW_Data!A843="","",TIMEVALUE(DaqBook_RAW_Data!A843)),TIMEVALUE(DaqBook_RAW_Data!AG843))</f>
        <v/>
      </c>
      <c r="C853" s="167" t="str">
        <f>IF(ISBLANK(DaqBook_RAW_Data!AH843),"",DaqBook_RAW_Data!AH843)</f>
        <v/>
      </c>
      <c r="D853" s="167" t="str">
        <f>IF(ISBLANK(DaqBook_RAW_Data!AI843),"",DaqBook_RAW_Data!AI843)</f>
        <v/>
      </c>
      <c r="E853" s="167" t="str">
        <f>IF(ISBLANK(DaqBook_RAW_Data!AJ843),"",DaqBook_RAW_Data!AJ843)</f>
        <v/>
      </c>
      <c r="F853" s="167" t="str">
        <f>IF(ISBLANK(DaqBook_RAW_Data!AK843),"",DaqBook_RAW_Data!AK843)</f>
        <v/>
      </c>
      <c r="G853" s="167" t="str">
        <f>IF(ISBLANK(DaqBook_RAW_Data!AL843),"",DaqBook_RAW_Data!AL843)</f>
        <v/>
      </c>
      <c r="H853" s="167" t="str">
        <f>IF(ISBLANK(DaqBook_RAW_Data!AM843),"",DaqBook_RAW_Data!AM843)</f>
        <v/>
      </c>
      <c r="I853" s="167" t="str">
        <f>IF(ISBLANK(DaqBook_RAW_Data!AN843),"",DaqBook_RAW_Data!AN843)</f>
        <v/>
      </c>
      <c r="J853" s="167" t="str">
        <f>IF(ISBLANK(DaqBook_RAW_Data!AO843),"",DaqBook_RAW_Data!AO843)</f>
        <v/>
      </c>
      <c r="K853" s="167" t="str">
        <f>IF(ISBLANK(DaqBook_RAW_Data!AP843),"",DaqBook_RAW_Data!AP843)</f>
        <v/>
      </c>
      <c r="L853" s="167" t="str">
        <f>IF(ISBLANK(DaqBook_RAW_Data!AQ843),"",DaqBook_RAW_Data!AQ843)</f>
        <v/>
      </c>
      <c r="M853" s="167" t="str">
        <f>IF(ISBLANK(DaqBook_RAW_Data!AR843),"",DaqBook_RAW_Data!AR843)</f>
        <v/>
      </c>
      <c r="N853" s="167" t="str">
        <f>IF(ISBLANK(DaqBook_RAW_Data!AS843),"",DaqBook_RAW_Data!AS843)</f>
        <v/>
      </c>
      <c r="O853" s="44"/>
      <c r="P853" s="44"/>
    </row>
    <row r="854" spans="1:16" x14ac:dyDescent="0.2">
      <c r="A854" s="58" t="e">
        <f t="shared" si="13"/>
        <v>#VALUE!</v>
      </c>
      <c r="B854" s="144" t="str">
        <f>IF(ISBLANK(DaqBook_RAW_Data!AG844),IF(DaqBook_RAW_Data!A844="","",TIMEVALUE(DaqBook_RAW_Data!A844)),TIMEVALUE(DaqBook_RAW_Data!AG844))</f>
        <v/>
      </c>
      <c r="C854" s="167" t="str">
        <f>IF(ISBLANK(DaqBook_RAW_Data!AH844),"",DaqBook_RAW_Data!AH844)</f>
        <v/>
      </c>
      <c r="D854" s="167" t="str">
        <f>IF(ISBLANK(DaqBook_RAW_Data!AI844),"",DaqBook_RAW_Data!AI844)</f>
        <v/>
      </c>
      <c r="E854" s="167" t="str">
        <f>IF(ISBLANK(DaqBook_RAW_Data!AJ844),"",DaqBook_RAW_Data!AJ844)</f>
        <v/>
      </c>
      <c r="F854" s="167" t="str">
        <f>IF(ISBLANK(DaqBook_RAW_Data!AK844),"",DaqBook_RAW_Data!AK844)</f>
        <v/>
      </c>
      <c r="G854" s="167" t="str">
        <f>IF(ISBLANK(DaqBook_RAW_Data!AL844),"",DaqBook_RAW_Data!AL844)</f>
        <v/>
      </c>
      <c r="H854" s="167" t="str">
        <f>IF(ISBLANK(DaqBook_RAW_Data!AM844),"",DaqBook_RAW_Data!AM844)</f>
        <v/>
      </c>
      <c r="I854" s="167" t="str">
        <f>IF(ISBLANK(DaqBook_RAW_Data!AN844),"",DaqBook_RAW_Data!AN844)</f>
        <v/>
      </c>
      <c r="J854" s="167" t="str">
        <f>IF(ISBLANK(DaqBook_RAW_Data!AO844),"",DaqBook_RAW_Data!AO844)</f>
        <v/>
      </c>
      <c r="K854" s="167" t="str">
        <f>IF(ISBLANK(DaqBook_RAW_Data!AP844),"",DaqBook_RAW_Data!AP844)</f>
        <v/>
      </c>
      <c r="L854" s="167" t="str">
        <f>IF(ISBLANK(DaqBook_RAW_Data!AQ844),"",DaqBook_RAW_Data!AQ844)</f>
        <v/>
      </c>
      <c r="M854" s="167" t="str">
        <f>IF(ISBLANK(DaqBook_RAW_Data!AR844),"",DaqBook_RAW_Data!AR844)</f>
        <v/>
      </c>
      <c r="N854" s="167" t="str">
        <f>IF(ISBLANK(DaqBook_RAW_Data!AS844),"",DaqBook_RAW_Data!AS844)</f>
        <v/>
      </c>
      <c r="O854" s="44"/>
      <c r="P854" s="44"/>
    </row>
    <row r="855" spans="1:16" x14ac:dyDescent="0.2">
      <c r="A855" s="58" t="e">
        <f t="shared" si="13"/>
        <v>#VALUE!</v>
      </c>
      <c r="B855" s="144" t="str">
        <f>IF(ISBLANK(DaqBook_RAW_Data!AG845),IF(DaqBook_RAW_Data!A845="","",TIMEVALUE(DaqBook_RAW_Data!A845)),TIMEVALUE(DaqBook_RAW_Data!AG845))</f>
        <v/>
      </c>
      <c r="C855" s="167" t="str">
        <f>IF(ISBLANK(DaqBook_RAW_Data!AH845),"",DaqBook_RAW_Data!AH845)</f>
        <v/>
      </c>
      <c r="D855" s="167" t="str">
        <f>IF(ISBLANK(DaqBook_RAW_Data!AI845),"",DaqBook_RAW_Data!AI845)</f>
        <v/>
      </c>
      <c r="E855" s="167" t="str">
        <f>IF(ISBLANK(DaqBook_RAW_Data!AJ845),"",DaqBook_RAW_Data!AJ845)</f>
        <v/>
      </c>
      <c r="F855" s="167" t="str">
        <f>IF(ISBLANK(DaqBook_RAW_Data!AK845),"",DaqBook_RAW_Data!AK845)</f>
        <v/>
      </c>
      <c r="G855" s="167" t="str">
        <f>IF(ISBLANK(DaqBook_RAW_Data!AL845),"",DaqBook_RAW_Data!AL845)</f>
        <v/>
      </c>
      <c r="H855" s="167" t="str">
        <f>IF(ISBLANK(DaqBook_RAW_Data!AM845),"",DaqBook_RAW_Data!AM845)</f>
        <v/>
      </c>
      <c r="I855" s="167" t="str">
        <f>IF(ISBLANK(DaqBook_RAW_Data!AN845),"",DaqBook_RAW_Data!AN845)</f>
        <v/>
      </c>
      <c r="J855" s="167" t="str">
        <f>IF(ISBLANK(DaqBook_RAW_Data!AO845),"",DaqBook_RAW_Data!AO845)</f>
        <v/>
      </c>
      <c r="K855" s="167" t="str">
        <f>IF(ISBLANK(DaqBook_RAW_Data!AP845),"",DaqBook_RAW_Data!AP845)</f>
        <v/>
      </c>
      <c r="L855" s="167" t="str">
        <f>IF(ISBLANK(DaqBook_RAW_Data!AQ845),"",DaqBook_RAW_Data!AQ845)</f>
        <v/>
      </c>
      <c r="M855" s="167" t="str">
        <f>IF(ISBLANK(DaqBook_RAW_Data!AR845),"",DaqBook_RAW_Data!AR845)</f>
        <v/>
      </c>
      <c r="N855" s="167" t="str">
        <f>IF(ISBLANK(DaqBook_RAW_Data!AS845),"",DaqBook_RAW_Data!AS845)</f>
        <v/>
      </c>
      <c r="O855" s="44"/>
      <c r="P855" s="44"/>
    </row>
    <row r="856" spans="1:16" x14ac:dyDescent="0.2">
      <c r="A856" s="58" t="e">
        <f t="shared" si="13"/>
        <v>#VALUE!</v>
      </c>
      <c r="B856" s="144" t="str">
        <f>IF(ISBLANK(DaqBook_RAW_Data!AG846),IF(DaqBook_RAW_Data!A846="","",TIMEVALUE(DaqBook_RAW_Data!A846)),TIMEVALUE(DaqBook_RAW_Data!AG846))</f>
        <v/>
      </c>
      <c r="C856" s="167" t="str">
        <f>IF(ISBLANK(DaqBook_RAW_Data!AH846),"",DaqBook_RAW_Data!AH846)</f>
        <v/>
      </c>
      <c r="D856" s="167" t="str">
        <f>IF(ISBLANK(DaqBook_RAW_Data!AI846),"",DaqBook_RAW_Data!AI846)</f>
        <v/>
      </c>
      <c r="E856" s="167" t="str">
        <f>IF(ISBLANK(DaqBook_RAW_Data!AJ846),"",DaqBook_RAW_Data!AJ846)</f>
        <v/>
      </c>
      <c r="F856" s="167" t="str">
        <f>IF(ISBLANK(DaqBook_RAW_Data!AK846),"",DaqBook_RAW_Data!AK846)</f>
        <v/>
      </c>
      <c r="G856" s="167" t="str">
        <f>IF(ISBLANK(DaqBook_RAW_Data!AL846),"",DaqBook_RAW_Data!AL846)</f>
        <v/>
      </c>
      <c r="H856" s="167" t="str">
        <f>IF(ISBLANK(DaqBook_RAW_Data!AM846),"",DaqBook_RAW_Data!AM846)</f>
        <v/>
      </c>
      <c r="I856" s="167" t="str">
        <f>IF(ISBLANK(DaqBook_RAW_Data!AN846),"",DaqBook_RAW_Data!AN846)</f>
        <v/>
      </c>
      <c r="J856" s="167" t="str">
        <f>IF(ISBLANK(DaqBook_RAW_Data!AO846),"",DaqBook_RAW_Data!AO846)</f>
        <v/>
      </c>
      <c r="K856" s="167" t="str">
        <f>IF(ISBLANK(DaqBook_RAW_Data!AP846),"",DaqBook_RAW_Data!AP846)</f>
        <v/>
      </c>
      <c r="L856" s="167" t="str">
        <f>IF(ISBLANK(DaqBook_RAW_Data!AQ846),"",DaqBook_RAW_Data!AQ846)</f>
        <v/>
      </c>
      <c r="M856" s="167" t="str">
        <f>IF(ISBLANK(DaqBook_RAW_Data!AR846),"",DaqBook_RAW_Data!AR846)</f>
        <v/>
      </c>
      <c r="N856" s="167" t="str">
        <f>IF(ISBLANK(DaqBook_RAW_Data!AS846),"",DaqBook_RAW_Data!AS846)</f>
        <v/>
      </c>
      <c r="O856" s="44"/>
      <c r="P856" s="44"/>
    </row>
    <row r="857" spans="1:16" x14ac:dyDescent="0.2">
      <c r="A857" s="58" t="e">
        <f t="shared" si="13"/>
        <v>#VALUE!</v>
      </c>
      <c r="B857" s="144" t="str">
        <f>IF(ISBLANK(DaqBook_RAW_Data!AG847),IF(DaqBook_RAW_Data!A847="","",TIMEVALUE(DaqBook_RAW_Data!A847)),TIMEVALUE(DaqBook_RAW_Data!AG847))</f>
        <v/>
      </c>
      <c r="C857" s="167" t="str">
        <f>IF(ISBLANK(DaqBook_RAW_Data!AH847),"",DaqBook_RAW_Data!AH847)</f>
        <v/>
      </c>
      <c r="D857" s="167" t="str">
        <f>IF(ISBLANK(DaqBook_RAW_Data!AI847),"",DaqBook_RAW_Data!AI847)</f>
        <v/>
      </c>
      <c r="E857" s="167" t="str">
        <f>IF(ISBLANK(DaqBook_RAW_Data!AJ847),"",DaqBook_RAW_Data!AJ847)</f>
        <v/>
      </c>
      <c r="F857" s="167" t="str">
        <f>IF(ISBLANK(DaqBook_RAW_Data!AK847),"",DaqBook_RAW_Data!AK847)</f>
        <v/>
      </c>
      <c r="G857" s="167" t="str">
        <f>IF(ISBLANK(DaqBook_RAW_Data!AL847),"",DaqBook_RAW_Data!AL847)</f>
        <v/>
      </c>
      <c r="H857" s="167" t="str">
        <f>IF(ISBLANK(DaqBook_RAW_Data!AM847),"",DaqBook_RAW_Data!AM847)</f>
        <v/>
      </c>
      <c r="I857" s="167" t="str">
        <f>IF(ISBLANK(DaqBook_RAW_Data!AN847),"",DaqBook_RAW_Data!AN847)</f>
        <v/>
      </c>
      <c r="J857" s="167" t="str">
        <f>IF(ISBLANK(DaqBook_RAW_Data!AO847),"",DaqBook_RAW_Data!AO847)</f>
        <v/>
      </c>
      <c r="K857" s="167" t="str">
        <f>IF(ISBLANK(DaqBook_RAW_Data!AP847),"",DaqBook_RAW_Data!AP847)</f>
        <v/>
      </c>
      <c r="L857" s="167" t="str">
        <f>IF(ISBLANK(DaqBook_RAW_Data!AQ847),"",DaqBook_RAW_Data!AQ847)</f>
        <v/>
      </c>
      <c r="M857" s="167" t="str">
        <f>IF(ISBLANK(DaqBook_RAW_Data!AR847),"",DaqBook_RAW_Data!AR847)</f>
        <v/>
      </c>
      <c r="N857" s="167" t="str">
        <f>IF(ISBLANK(DaqBook_RAW_Data!AS847),"",DaqBook_RAW_Data!AS847)</f>
        <v/>
      </c>
      <c r="O857" s="44"/>
      <c r="P857" s="44"/>
    </row>
    <row r="858" spans="1:16" x14ac:dyDescent="0.2">
      <c r="A858" s="58" t="e">
        <f t="shared" si="13"/>
        <v>#VALUE!</v>
      </c>
      <c r="B858" s="144" t="str">
        <f>IF(ISBLANK(DaqBook_RAW_Data!AG848),IF(DaqBook_RAW_Data!A848="","",TIMEVALUE(DaqBook_RAW_Data!A848)),TIMEVALUE(DaqBook_RAW_Data!AG848))</f>
        <v/>
      </c>
      <c r="C858" s="167" t="str">
        <f>IF(ISBLANK(DaqBook_RAW_Data!AH848),"",DaqBook_RAW_Data!AH848)</f>
        <v/>
      </c>
      <c r="D858" s="167" t="str">
        <f>IF(ISBLANK(DaqBook_RAW_Data!AI848),"",DaqBook_RAW_Data!AI848)</f>
        <v/>
      </c>
      <c r="E858" s="167" t="str">
        <f>IF(ISBLANK(DaqBook_RAW_Data!AJ848),"",DaqBook_RAW_Data!AJ848)</f>
        <v/>
      </c>
      <c r="F858" s="167" t="str">
        <f>IF(ISBLANK(DaqBook_RAW_Data!AK848),"",DaqBook_RAW_Data!AK848)</f>
        <v/>
      </c>
      <c r="G858" s="167" t="str">
        <f>IF(ISBLANK(DaqBook_RAW_Data!AL848),"",DaqBook_RAW_Data!AL848)</f>
        <v/>
      </c>
      <c r="H858" s="167" t="str">
        <f>IF(ISBLANK(DaqBook_RAW_Data!AM848),"",DaqBook_RAW_Data!AM848)</f>
        <v/>
      </c>
      <c r="I858" s="167" t="str">
        <f>IF(ISBLANK(DaqBook_RAW_Data!AN848),"",DaqBook_RAW_Data!AN848)</f>
        <v/>
      </c>
      <c r="J858" s="167" t="str">
        <f>IF(ISBLANK(DaqBook_RAW_Data!AO848),"",DaqBook_RAW_Data!AO848)</f>
        <v/>
      </c>
      <c r="K858" s="167" t="str">
        <f>IF(ISBLANK(DaqBook_RAW_Data!AP848),"",DaqBook_RAW_Data!AP848)</f>
        <v/>
      </c>
      <c r="L858" s="167" t="str">
        <f>IF(ISBLANK(DaqBook_RAW_Data!AQ848),"",DaqBook_RAW_Data!AQ848)</f>
        <v/>
      </c>
      <c r="M858" s="167" t="str">
        <f>IF(ISBLANK(DaqBook_RAW_Data!AR848),"",DaqBook_RAW_Data!AR848)</f>
        <v/>
      </c>
      <c r="N858" s="167" t="str">
        <f>IF(ISBLANK(DaqBook_RAW_Data!AS848),"",DaqBook_RAW_Data!AS848)</f>
        <v/>
      </c>
      <c r="O858" s="44"/>
      <c r="P858" s="44"/>
    </row>
    <row r="859" spans="1:16" x14ac:dyDescent="0.2">
      <c r="A859" s="58" t="e">
        <f t="shared" si="13"/>
        <v>#VALUE!</v>
      </c>
      <c r="B859" s="144" t="str">
        <f>IF(ISBLANK(DaqBook_RAW_Data!AG849),IF(DaqBook_RAW_Data!A849="","",TIMEVALUE(DaqBook_RAW_Data!A849)),TIMEVALUE(DaqBook_RAW_Data!AG849))</f>
        <v/>
      </c>
      <c r="C859" s="167" t="str">
        <f>IF(ISBLANK(DaqBook_RAW_Data!AH849),"",DaqBook_RAW_Data!AH849)</f>
        <v/>
      </c>
      <c r="D859" s="167" t="str">
        <f>IF(ISBLANK(DaqBook_RAW_Data!AI849),"",DaqBook_RAW_Data!AI849)</f>
        <v/>
      </c>
      <c r="E859" s="167" t="str">
        <f>IF(ISBLANK(DaqBook_RAW_Data!AJ849),"",DaqBook_RAW_Data!AJ849)</f>
        <v/>
      </c>
      <c r="F859" s="167" t="str">
        <f>IF(ISBLANK(DaqBook_RAW_Data!AK849),"",DaqBook_RAW_Data!AK849)</f>
        <v/>
      </c>
      <c r="G859" s="167" t="str">
        <f>IF(ISBLANK(DaqBook_RAW_Data!AL849),"",DaqBook_RAW_Data!AL849)</f>
        <v/>
      </c>
      <c r="H859" s="167" t="str">
        <f>IF(ISBLANK(DaqBook_RAW_Data!AM849),"",DaqBook_RAW_Data!AM849)</f>
        <v/>
      </c>
      <c r="I859" s="167" t="str">
        <f>IF(ISBLANK(DaqBook_RAW_Data!AN849),"",DaqBook_RAW_Data!AN849)</f>
        <v/>
      </c>
      <c r="J859" s="167" t="str">
        <f>IF(ISBLANK(DaqBook_RAW_Data!AO849),"",DaqBook_RAW_Data!AO849)</f>
        <v/>
      </c>
      <c r="K859" s="167" t="str">
        <f>IF(ISBLANK(DaqBook_RAW_Data!AP849),"",DaqBook_RAW_Data!AP849)</f>
        <v/>
      </c>
      <c r="L859" s="167" t="str">
        <f>IF(ISBLANK(DaqBook_RAW_Data!AQ849),"",DaqBook_RAW_Data!AQ849)</f>
        <v/>
      </c>
      <c r="M859" s="167" t="str">
        <f>IF(ISBLANK(DaqBook_RAW_Data!AR849),"",DaqBook_RAW_Data!AR849)</f>
        <v/>
      </c>
      <c r="N859" s="167" t="str">
        <f>IF(ISBLANK(DaqBook_RAW_Data!AS849),"",DaqBook_RAW_Data!AS849)</f>
        <v/>
      </c>
      <c r="O859" s="44"/>
      <c r="P859" s="44"/>
    </row>
    <row r="860" spans="1:16" x14ac:dyDescent="0.2">
      <c r="A860" s="58" t="e">
        <f t="shared" si="13"/>
        <v>#VALUE!</v>
      </c>
      <c r="B860" s="144" t="str">
        <f>IF(ISBLANK(DaqBook_RAW_Data!AG850),IF(DaqBook_RAW_Data!A850="","",TIMEVALUE(DaqBook_RAW_Data!A850)),TIMEVALUE(DaqBook_RAW_Data!AG850))</f>
        <v/>
      </c>
      <c r="C860" s="167" t="str">
        <f>IF(ISBLANK(DaqBook_RAW_Data!AH850),"",DaqBook_RAW_Data!AH850)</f>
        <v/>
      </c>
      <c r="D860" s="167" t="str">
        <f>IF(ISBLANK(DaqBook_RAW_Data!AI850),"",DaqBook_RAW_Data!AI850)</f>
        <v/>
      </c>
      <c r="E860" s="167" t="str">
        <f>IF(ISBLANK(DaqBook_RAW_Data!AJ850),"",DaqBook_RAW_Data!AJ850)</f>
        <v/>
      </c>
      <c r="F860" s="167" t="str">
        <f>IF(ISBLANK(DaqBook_RAW_Data!AK850),"",DaqBook_RAW_Data!AK850)</f>
        <v/>
      </c>
      <c r="G860" s="167" t="str">
        <f>IF(ISBLANK(DaqBook_RAW_Data!AL850),"",DaqBook_RAW_Data!AL850)</f>
        <v/>
      </c>
      <c r="H860" s="167" t="str">
        <f>IF(ISBLANK(DaqBook_RAW_Data!AM850),"",DaqBook_RAW_Data!AM850)</f>
        <v/>
      </c>
      <c r="I860" s="167" t="str">
        <f>IF(ISBLANK(DaqBook_RAW_Data!AN850),"",DaqBook_RAW_Data!AN850)</f>
        <v/>
      </c>
      <c r="J860" s="167" t="str">
        <f>IF(ISBLANK(DaqBook_RAW_Data!AO850),"",DaqBook_RAW_Data!AO850)</f>
        <v/>
      </c>
      <c r="K860" s="167" t="str">
        <f>IF(ISBLANK(DaqBook_RAW_Data!AP850),"",DaqBook_RAW_Data!AP850)</f>
        <v/>
      </c>
      <c r="L860" s="167" t="str">
        <f>IF(ISBLANK(DaqBook_RAW_Data!AQ850),"",DaqBook_RAW_Data!AQ850)</f>
        <v/>
      </c>
      <c r="M860" s="167" t="str">
        <f>IF(ISBLANK(DaqBook_RAW_Data!AR850),"",DaqBook_RAW_Data!AR850)</f>
        <v/>
      </c>
      <c r="N860" s="167" t="str">
        <f>IF(ISBLANK(DaqBook_RAW_Data!AS850),"",DaqBook_RAW_Data!AS850)</f>
        <v/>
      </c>
      <c r="O860" s="44"/>
      <c r="P860" s="44"/>
    </row>
    <row r="861" spans="1:16" x14ac:dyDescent="0.2">
      <c r="A861" s="58" t="e">
        <f t="shared" si="13"/>
        <v>#VALUE!</v>
      </c>
      <c r="B861" s="144" t="str">
        <f>IF(ISBLANK(DaqBook_RAW_Data!AG851),IF(DaqBook_RAW_Data!A851="","",TIMEVALUE(DaqBook_RAW_Data!A851)),TIMEVALUE(DaqBook_RAW_Data!AG851))</f>
        <v/>
      </c>
      <c r="C861" s="167" t="str">
        <f>IF(ISBLANK(DaqBook_RAW_Data!AH851),"",DaqBook_RAW_Data!AH851)</f>
        <v/>
      </c>
      <c r="D861" s="167" t="str">
        <f>IF(ISBLANK(DaqBook_RAW_Data!AI851),"",DaqBook_RAW_Data!AI851)</f>
        <v/>
      </c>
      <c r="E861" s="167" t="str">
        <f>IF(ISBLANK(DaqBook_RAW_Data!AJ851),"",DaqBook_RAW_Data!AJ851)</f>
        <v/>
      </c>
      <c r="F861" s="167" t="str">
        <f>IF(ISBLANK(DaqBook_RAW_Data!AK851),"",DaqBook_RAW_Data!AK851)</f>
        <v/>
      </c>
      <c r="G861" s="167" t="str">
        <f>IF(ISBLANK(DaqBook_RAW_Data!AL851),"",DaqBook_RAW_Data!AL851)</f>
        <v/>
      </c>
      <c r="H861" s="167" t="str">
        <f>IF(ISBLANK(DaqBook_RAW_Data!AM851),"",DaqBook_RAW_Data!AM851)</f>
        <v/>
      </c>
      <c r="I861" s="167" t="str">
        <f>IF(ISBLANK(DaqBook_RAW_Data!AN851),"",DaqBook_RAW_Data!AN851)</f>
        <v/>
      </c>
      <c r="J861" s="167" t="str">
        <f>IF(ISBLANK(DaqBook_RAW_Data!AO851),"",DaqBook_RAW_Data!AO851)</f>
        <v/>
      </c>
      <c r="K861" s="167" t="str">
        <f>IF(ISBLANK(DaqBook_RAW_Data!AP851),"",DaqBook_RAW_Data!AP851)</f>
        <v/>
      </c>
      <c r="L861" s="167" t="str">
        <f>IF(ISBLANK(DaqBook_RAW_Data!AQ851),"",DaqBook_RAW_Data!AQ851)</f>
        <v/>
      </c>
      <c r="M861" s="167" t="str">
        <f>IF(ISBLANK(DaqBook_RAW_Data!AR851),"",DaqBook_RAW_Data!AR851)</f>
        <v/>
      </c>
      <c r="N861" s="167" t="str">
        <f>IF(ISBLANK(DaqBook_RAW_Data!AS851),"",DaqBook_RAW_Data!AS851)</f>
        <v/>
      </c>
      <c r="O861" s="44"/>
      <c r="P861" s="44"/>
    </row>
    <row r="862" spans="1:16" x14ac:dyDescent="0.2">
      <c r="A862" s="58" t="e">
        <f t="shared" si="13"/>
        <v>#VALUE!</v>
      </c>
      <c r="B862" s="144" t="str">
        <f>IF(ISBLANK(DaqBook_RAW_Data!AG852),IF(DaqBook_RAW_Data!A852="","",TIMEVALUE(DaqBook_RAW_Data!A852)),TIMEVALUE(DaqBook_RAW_Data!AG852))</f>
        <v/>
      </c>
      <c r="C862" s="167" t="str">
        <f>IF(ISBLANK(DaqBook_RAW_Data!AH852),"",DaqBook_RAW_Data!AH852)</f>
        <v/>
      </c>
      <c r="D862" s="167" t="str">
        <f>IF(ISBLANK(DaqBook_RAW_Data!AI852),"",DaqBook_RAW_Data!AI852)</f>
        <v/>
      </c>
      <c r="E862" s="167" t="str">
        <f>IF(ISBLANK(DaqBook_RAW_Data!AJ852),"",DaqBook_RAW_Data!AJ852)</f>
        <v/>
      </c>
      <c r="F862" s="167" t="str">
        <f>IF(ISBLANK(DaqBook_RAW_Data!AK852),"",DaqBook_RAW_Data!AK852)</f>
        <v/>
      </c>
      <c r="G862" s="167" t="str">
        <f>IF(ISBLANK(DaqBook_RAW_Data!AL852),"",DaqBook_RAW_Data!AL852)</f>
        <v/>
      </c>
      <c r="H862" s="167" t="str">
        <f>IF(ISBLANK(DaqBook_RAW_Data!AM852),"",DaqBook_RAW_Data!AM852)</f>
        <v/>
      </c>
      <c r="I862" s="167" t="str">
        <f>IF(ISBLANK(DaqBook_RAW_Data!AN852),"",DaqBook_RAW_Data!AN852)</f>
        <v/>
      </c>
      <c r="J862" s="167" t="str">
        <f>IF(ISBLANK(DaqBook_RAW_Data!AO852),"",DaqBook_RAW_Data!AO852)</f>
        <v/>
      </c>
      <c r="K862" s="167" t="str">
        <f>IF(ISBLANK(DaqBook_RAW_Data!AP852),"",DaqBook_RAW_Data!AP852)</f>
        <v/>
      </c>
      <c r="L862" s="167" t="str">
        <f>IF(ISBLANK(DaqBook_RAW_Data!AQ852),"",DaqBook_RAW_Data!AQ852)</f>
        <v/>
      </c>
      <c r="M862" s="167" t="str">
        <f>IF(ISBLANK(DaqBook_RAW_Data!AR852),"",DaqBook_RAW_Data!AR852)</f>
        <v/>
      </c>
      <c r="N862" s="167" t="str">
        <f>IF(ISBLANK(DaqBook_RAW_Data!AS852),"",DaqBook_RAW_Data!AS852)</f>
        <v/>
      </c>
      <c r="O862" s="44"/>
      <c r="P862" s="44"/>
    </row>
    <row r="863" spans="1:16" x14ac:dyDescent="0.2">
      <c r="A863" s="58" t="e">
        <f t="shared" si="13"/>
        <v>#VALUE!</v>
      </c>
      <c r="B863" s="144" t="str">
        <f>IF(ISBLANK(DaqBook_RAW_Data!AG853),IF(DaqBook_RAW_Data!A853="","",TIMEVALUE(DaqBook_RAW_Data!A853)),TIMEVALUE(DaqBook_RAW_Data!AG853))</f>
        <v/>
      </c>
      <c r="C863" s="167" t="str">
        <f>IF(ISBLANK(DaqBook_RAW_Data!AH853),"",DaqBook_RAW_Data!AH853)</f>
        <v/>
      </c>
      <c r="D863" s="167" t="str">
        <f>IF(ISBLANK(DaqBook_RAW_Data!AI853),"",DaqBook_RAW_Data!AI853)</f>
        <v/>
      </c>
      <c r="E863" s="167" t="str">
        <f>IF(ISBLANK(DaqBook_RAW_Data!AJ853),"",DaqBook_RAW_Data!AJ853)</f>
        <v/>
      </c>
      <c r="F863" s="167" t="str">
        <f>IF(ISBLANK(DaqBook_RAW_Data!AK853),"",DaqBook_RAW_Data!AK853)</f>
        <v/>
      </c>
      <c r="G863" s="167" t="str">
        <f>IF(ISBLANK(DaqBook_RAW_Data!AL853),"",DaqBook_RAW_Data!AL853)</f>
        <v/>
      </c>
      <c r="H863" s="167" t="str">
        <f>IF(ISBLANK(DaqBook_RAW_Data!AM853),"",DaqBook_RAW_Data!AM853)</f>
        <v/>
      </c>
      <c r="I863" s="167" t="str">
        <f>IF(ISBLANK(DaqBook_RAW_Data!AN853),"",DaqBook_RAW_Data!AN853)</f>
        <v/>
      </c>
      <c r="J863" s="167" t="str">
        <f>IF(ISBLANK(DaqBook_RAW_Data!AO853),"",DaqBook_RAW_Data!AO853)</f>
        <v/>
      </c>
      <c r="K863" s="167" t="str">
        <f>IF(ISBLANK(DaqBook_RAW_Data!AP853),"",DaqBook_RAW_Data!AP853)</f>
        <v/>
      </c>
      <c r="L863" s="167" t="str">
        <f>IF(ISBLANK(DaqBook_RAW_Data!AQ853),"",DaqBook_RAW_Data!AQ853)</f>
        <v/>
      </c>
      <c r="M863" s="167" t="str">
        <f>IF(ISBLANK(DaqBook_RAW_Data!AR853),"",DaqBook_RAW_Data!AR853)</f>
        <v/>
      </c>
      <c r="N863" s="167" t="str">
        <f>IF(ISBLANK(DaqBook_RAW_Data!AS853),"",DaqBook_RAW_Data!AS853)</f>
        <v/>
      </c>
      <c r="O863" s="44"/>
      <c r="P863" s="44"/>
    </row>
    <row r="864" spans="1:16" x14ac:dyDescent="0.2">
      <c r="A864" s="58" t="e">
        <f t="shared" si="13"/>
        <v>#VALUE!</v>
      </c>
      <c r="B864" s="144" t="str">
        <f>IF(ISBLANK(DaqBook_RAW_Data!AG854),IF(DaqBook_RAW_Data!A854="","",TIMEVALUE(DaqBook_RAW_Data!A854)),TIMEVALUE(DaqBook_RAW_Data!AG854))</f>
        <v/>
      </c>
      <c r="C864" s="167" t="str">
        <f>IF(ISBLANK(DaqBook_RAW_Data!AH854),"",DaqBook_RAW_Data!AH854)</f>
        <v/>
      </c>
      <c r="D864" s="167" t="str">
        <f>IF(ISBLANK(DaqBook_RAW_Data!AI854),"",DaqBook_RAW_Data!AI854)</f>
        <v/>
      </c>
      <c r="E864" s="167" t="str">
        <f>IF(ISBLANK(DaqBook_RAW_Data!AJ854),"",DaqBook_RAW_Data!AJ854)</f>
        <v/>
      </c>
      <c r="F864" s="167" t="str">
        <f>IF(ISBLANK(DaqBook_RAW_Data!AK854),"",DaqBook_RAW_Data!AK854)</f>
        <v/>
      </c>
      <c r="G864" s="167" t="str">
        <f>IF(ISBLANK(DaqBook_RAW_Data!AL854),"",DaqBook_RAW_Data!AL854)</f>
        <v/>
      </c>
      <c r="H864" s="167" t="str">
        <f>IF(ISBLANK(DaqBook_RAW_Data!AM854),"",DaqBook_RAW_Data!AM854)</f>
        <v/>
      </c>
      <c r="I864" s="167" t="str">
        <f>IF(ISBLANK(DaqBook_RAW_Data!AN854),"",DaqBook_RAW_Data!AN854)</f>
        <v/>
      </c>
      <c r="J864" s="167" t="str">
        <f>IF(ISBLANK(DaqBook_RAW_Data!AO854),"",DaqBook_RAW_Data!AO854)</f>
        <v/>
      </c>
      <c r="K864" s="167" t="str">
        <f>IF(ISBLANK(DaqBook_RAW_Data!AP854),"",DaqBook_RAW_Data!AP854)</f>
        <v/>
      </c>
      <c r="L864" s="167" t="str">
        <f>IF(ISBLANK(DaqBook_RAW_Data!AQ854),"",DaqBook_RAW_Data!AQ854)</f>
        <v/>
      </c>
      <c r="M864" s="167" t="str">
        <f>IF(ISBLANK(DaqBook_RAW_Data!AR854),"",DaqBook_RAW_Data!AR854)</f>
        <v/>
      </c>
      <c r="N864" s="167" t="str">
        <f>IF(ISBLANK(DaqBook_RAW_Data!AS854),"",DaqBook_RAW_Data!AS854)</f>
        <v/>
      </c>
      <c r="O864" s="44"/>
      <c r="P864" s="44"/>
    </row>
    <row r="865" spans="1:16" x14ac:dyDescent="0.2">
      <c r="A865" s="58" t="e">
        <f t="shared" si="13"/>
        <v>#VALUE!</v>
      </c>
      <c r="B865" s="144" t="str">
        <f>IF(ISBLANK(DaqBook_RAW_Data!AG855),IF(DaqBook_RAW_Data!A855="","",TIMEVALUE(DaqBook_RAW_Data!A855)),TIMEVALUE(DaqBook_RAW_Data!AG855))</f>
        <v/>
      </c>
      <c r="C865" s="167" t="str">
        <f>IF(ISBLANK(DaqBook_RAW_Data!AH855),"",DaqBook_RAW_Data!AH855)</f>
        <v/>
      </c>
      <c r="D865" s="167" t="str">
        <f>IF(ISBLANK(DaqBook_RAW_Data!AI855),"",DaqBook_RAW_Data!AI855)</f>
        <v/>
      </c>
      <c r="E865" s="167" t="str">
        <f>IF(ISBLANK(DaqBook_RAW_Data!AJ855),"",DaqBook_RAW_Data!AJ855)</f>
        <v/>
      </c>
      <c r="F865" s="167" t="str">
        <f>IF(ISBLANK(DaqBook_RAW_Data!AK855),"",DaqBook_RAW_Data!AK855)</f>
        <v/>
      </c>
      <c r="G865" s="167" t="str">
        <f>IF(ISBLANK(DaqBook_RAW_Data!AL855),"",DaqBook_RAW_Data!AL855)</f>
        <v/>
      </c>
      <c r="H865" s="167" t="str">
        <f>IF(ISBLANK(DaqBook_RAW_Data!AM855),"",DaqBook_RAW_Data!AM855)</f>
        <v/>
      </c>
      <c r="I865" s="167" t="str">
        <f>IF(ISBLANK(DaqBook_RAW_Data!AN855),"",DaqBook_RAW_Data!AN855)</f>
        <v/>
      </c>
      <c r="J865" s="167" t="str">
        <f>IF(ISBLANK(DaqBook_RAW_Data!AO855),"",DaqBook_RAW_Data!AO855)</f>
        <v/>
      </c>
      <c r="K865" s="167" t="str">
        <f>IF(ISBLANK(DaqBook_RAW_Data!AP855),"",DaqBook_RAW_Data!AP855)</f>
        <v/>
      </c>
      <c r="L865" s="167" t="str">
        <f>IF(ISBLANK(DaqBook_RAW_Data!AQ855),"",DaqBook_RAW_Data!AQ855)</f>
        <v/>
      </c>
      <c r="M865" s="167" t="str">
        <f>IF(ISBLANK(DaqBook_RAW_Data!AR855),"",DaqBook_RAW_Data!AR855)</f>
        <v/>
      </c>
      <c r="N865" s="167" t="str">
        <f>IF(ISBLANK(DaqBook_RAW_Data!AS855),"",DaqBook_RAW_Data!AS855)</f>
        <v/>
      </c>
      <c r="O865" s="44"/>
      <c r="P865" s="44"/>
    </row>
    <row r="866" spans="1:16" x14ac:dyDescent="0.2">
      <c r="A866" s="58" t="e">
        <f t="shared" si="13"/>
        <v>#VALUE!</v>
      </c>
      <c r="B866" s="144" t="str">
        <f>IF(ISBLANK(DaqBook_RAW_Data!AG856),IF(DaqBook_RAW_Data!A856="","",TIMEVALUE(DaqBook_RAW_Data!A856)),TIMEVALUE(DaqBook_RAW_Data!AG856))</f>
        <v/>
      </c>
      <c r="C866" s="167" t="str">
        <f>IF(ISBLANK(DaqBook_RAW_Data!AH856),"",DaqBook_RAW_Data!AH856)</f>
        <v/>
      </c>
      <c r="D866" s="167" t="str">
        <f>IF(ISBLANK(DaqBook_RAW_Data!AI856),"",DaqBook_RAW_Data!AI856)</f>
        <v/>
      </c>
      <c r="E866" s="167" t="str">
        <f>IF(ISBLANK(DaqBook_RAW_Data!AJ856),"",DaqBook_RAW_Data!AJ856)</f>
        <v/>
      </c>
      <c r="F866" s="167" t="str">
        <f>IF(ISBLANK(DaqBook_RAW_Data!AK856),"",DaqBook_RAW_Data!AK856)</f>
        <v/>
      </c>
      <c r="G866" s="167" t="str">
        <f>IF(ISBLANK(DaqBook_RAW_Data!AL856),"",DaqBook_RAW_Data!AL856)</f>
        <v/>
      </c>
      <c r="H866" s="167" t="str">
        <f>IF(ISBLANK(DaqBook_RAW_Data!AM856),"",DaqBook_RAW_Data!AM856)</f>
        <v/>
      </c>
      <c r="I866" s="167" t="str">
        <f>IF(ISBLANK(DaqBook_RAW_Data!AN856),"",DaqBook_RAW_Data!AN856)</f>
        <v/>
      </c>
      <c r="J866" s="167" t="str">
        <f>IF(ISBLANK(DaqBook_RAW_Data!AO856),"",DaqBook_RAW_Data!AO856)</f>
        <v/>
      </c>
      <c r="K866" s="167" t="str">
        <f>IF(ISBLANK(DaqBook_RAW_Data!AP856),"",DaqBook_RAW_Data!AP856)</f>
        <v/>
      </c>
      <c r="L866" s="167" t="str">
        <f>IF(ISBLANK(DaqBook_RAW_Data!AQ856),"",DaqBook_RAW_Data!AQ856)</f>
        <v/>
      </c>
      <c r="M866" s="167" t="str">
        <f>IF(ISBLANK(DaqBook_RAW_Data!AR856),"",DaqBook_RAW_Data!AR856)</f>
        <v/>
      </c>
      <c r="N866" s="167" t="str">
        <f>IF(ISBLANK(DaqBook_RAW_Data!AS856),"",DaqBook_RAW_Data!AS856)</f>
        <v/>
      </c>
      <c r="O866" s="44"/>
      <c r="P866" s="44"/>
    </row>
    <row r="867" spans="1:16" x14ac:dyDescent="0.2">
      <c r="A867" s="58" t="e">
        <f t="shared" si="13"/>
        <v>#VALUE!</v>
      </c>
      <c r="B867" s="144" t="str">
        <f>IF(ISBLANK(DaqBook_RAW_Data!AG857),IF(DaqBook_RAW_Data!A857="","",TIMEVALUE(DaqBook_RAW_Data!A857)),TIMEVALUE(DaqBook_RAW_Data!AG857))</f>
        <v/>
      </c>
      <c r="C867" s="167" t="str">
        <f>IF(ISBLANK(DaqBook_RAW_Data!AH857),"",DaqBook_RAW_Data!AH857)</f>
        <v/>
      </c>
      <c r="D867" s="167" t="str">
        <f>IF(ISBLANK(DaqBook_RAW_Data!AI857),"",DaqBook_RAW_Data!AI857)</f>
        <v/>
      </c>
      <c r="E867" s="167" t="str">
        <f>IF(ISBLANK(DaqBook_RAW_Data!AJ857),"",DaqBook_RAW_Data!AJ857)</f>
        <v/>
      </c>
      <c r="F867" s="167" t="str">
        <f>IF(ISBLANK(DaqBook_RAW_Data!AK857),"",DaqBook_RAW_Data!AK857)</f>
        <v/>
      </c>
      <c r="G867" s="167" t="str">
        <f>IF(ISBLANK(DaqBook_RAW_Data!AL857),"",DaqBook_RAW_Data!AL857)</f>
        <v/>
      </c>
      <c r="H867" s="167" t="str">
        <f>IF(ISBLANK(DaqBook_RAW_Data!AM857),"",DaqBook_RAW_Data!AM857)</f>
        <v/>
      </c>
      <c r="I867" s="167" t="str">
        <f>IF(ISBLANK(DaqBook_RAW_Data!AN857),"",DaqBook_RAW_Data!AN857)</f>
        <v/>
      </c>
      <c r="J867" s="167" t="str">
        <f>IF(ISBLANK(DaqBook_RAW_Data!AO857),"",DaqBook_RAW_Data!AO857)</f>
        <v/>
      </c>
      <c r="K867" s="167" t="str">
        <f>IF(ISBLANK(DaqBook_RAW_Data!AP857),"",DaqBook_RAW_Data!AP857)</f>
        <v/>
      </c>
      <c r="L867" s="167" t="str">
        <f>IF(ISBLANK(DaqBook_RAW_Data!AQ857),"",DaqBook_RAW_Data!AQ857)</f>
        <v/>
      </c>
      <c r="M867" s="167" t="str">
        <f>IF(ISBLANK(DaqBook_RAW_Data!AR857),"",DaqBook_RAW_Data!AR857)</f>
        <v/>
      </c>
      <c r="N867" s="167" t="str">
        <f>IF(ISBLANK(DaqBook_RAW_Data!AS857),"",DaqBook_RAW_Data!AS857)</f>
        <v/>
      </c>
      <c r="O867" s="44"/>
      <c r="P867" s="44"/>
    </row>
    <row r="868" spans="1:16" x14ac:dyDescent="0.2">
      <c r="A868" s="58" t="e">
        <f t="shared" si="13"/>
        <v>#VALUE!</v>
      </c>
      <c r="B868" s="144" t="str">
        <f>IF(ISBLANK(DaqBook_RAW_Data!AG858),IF(DaqBook_RAW_Data!A858="","",TIMEVALUE(DaqBook_RAW_Data!A858)),TIMEVALUE(DaqBook_RAW_Data!AG858))</f>
        <v/>
      </c>
      <c r="C868" s="167" t="str">
        <f>IF(ISBLANK(DaqBook_RAW_Data!AH858),"",DaqBook_RAW_Data!AH858)</f>
        <v/>
      </c>
      <c r="D868" s="167" t="str">
        <f>IF(ISBLANK(DaqBook_RAW_Data!AI858),"",DaqBook_RAW_Data!AI858)</f>
        <v/>
      </c>
      <c r="E868" s="167" t="str">
        <f>IF(ISBLANK(DaqBook_RAW_Data!AJ858),"",DaqBook_RAW_Data!AJ858)</f>
        <v/>
      </c>
      <c r="F868" s="167" t="str">
        <f>IF(ISBLANK(DaqBook_RAW_Data!AK858),"",DaqBook_RAW_Data!AK858)</f>
        <v/>
      </c>
      <c r="G868" s="167" t="str">
        <f>IF(ISBLANK(DaqBook_RAW_Data!AL858),"",DaqBook_RAW_Data!AL858)</f>
        <v/>
      </c>
      <c r="H868" s="167" t="str">
        <f>IF(ISBLANK(DaqBook_RAW_Data!AM858),"",DaqBook_RAW_Data!AM858)</f>
        <v/>
      </c>
      <c r="I868" s="167" t="str">
        <f>IF(ISBLANK(DaqBook_RAW_Data!AN858),"",DaqBook_RAW_Data!AN858)</f>
        <v/>
      </c>
      <c r="J868" s="167" t="str">
        <f>IF(ISBLANK(DaqBook_RAW_Data!AO858),"",DaqBook_RAW_Data!AO858)</f>
        <v/>
      </c>
      <c r="K868" s="167" t="str">
        <f>IF(ISBLANK(DaqBook_RAW_Data!AP858),"",DaqBook_RAW_Data!AP858)</f>
        <v/>
      </c>
      <c r="L868" s="167" t="str">
        <f>IF(ISBLANK(DaqBook_RAW_Data!AQ858),"",DaqBook_RAW_Data!AQ858)</f>
        <v/>
      </c>
      <c r="M868" s="167" t="str">
        <f>IF(ISBLANK(DaqBook_RAW_Data!AR858),"",DaqBook_RAW_Data!AR858)</f>
        <v/>
      </c>
      <c r="N868" s="167" t="str">
        <f>IF(ISBLANK(DaqBook_RAW_Data!AS858),"",DaqBook_RAW_Data!AS858)</f>
        <v/>
      </c>
      <c r="O868" s="44"/>
      <c r="P868" s="44"/>
    </row>
    <row r="869" spans="1:16" x14ac:dyDescent="0.2">
      <c r="A869" s="58" t="e">
        <f t="shared" si="13"/>
        <v>#VALUE!</v>
      </c>
      <c r="B869" s="144" t="str">
        <f>IF(ISBLANK(DaqBook_RAW_Data!AG859),IF(DaqBook_RAW_Data!A859="","",TIMEVALUE(DaqBook_RAW_Data!A859)),TIMEVALUE(DaqBook_RAW_Data!AG859))</f>
        <v/>
      </c>
      <c r="C869" s="167" t="str">
        <f>IF(ISBLANK(DaqBook_RAW_Data!AH859),"",DaqBook_RAW_Data!AH859)</f>
        <v/>
      </c>
      <c r="D869" s="167" t="str">
        <f>IF(ISBLANK(DaqBook_RAW_Data!AI859),"",DaqBook_RAW_Data!AI859)</f>
        <v/>
      </c>
      <c r="E869" s="167" t="str">
        <f>IF(ISBLANK(DaqBook_RAW_Data!AJ859),"",DaqBook_RAW_Data!AJ859)</f>
        <v/>
      </c>
      <c r="F869" s="167" t="str">
        <f>IF(ISBLANK(DaqBook_RAW_Data!AK859),"",DaqBook_RAW_Data!AK859)</f>
        <v/>
      </c>
      <c r="G869" s="167" t="str">
        <f>IF(ISBLANK(DaqBook_RAW_Data!AL859),"",DaqBook_RAW_Data!AL859)</f>
        <v/>
      </c>
      <c r="H869" s="167" t="str">
        <f>IF(ISBLANK(DaqBook_RAW_Data!AM859),"",DaqBook_RAW_Data!AM859)</f>
        <v/>
      </c>
      <c r="I869" s="167" t="str">
        <f>IF(ISBLANK(DaqBook_RAW_Data!AN859),"",DaqBook_RAW_Data!AN859)</f>
        <v/>
      </c>
      <c r="J869" s="167" t="str">
        <f>IF(ISBLANK(DaqBook_RAW_Data!AO859),"",DaqBook_RAW_Data!AO859)</f>
        <v/>
      </c>
      <c r="K869" s="167" t="str">
        <f>IF(ISBLANK(DaqBook_RAW_Data!AP859),"",DaqBook_RAW_Data!AP859)</f>
        <v/>
      </c>
      <c r="L869" s="167" t="str">
        <f>IF(ISBLANK(DaqBook_RAW_Data!AQ859),"",DaqBook_RAW_Data!AQ859)</f>
        <v/>
      </c>
      <c r="M869" s="167" t="str">
        <f>IF(ISBLANK(DaqBook_RAW_Data!AR859),"",DaqBook_RAW_Data!AR859)</f>
        <v/>
      </c>
      <c r="N869" s="167" t="str">
        <f>IF(ISBLANK(DaqBook_RAW_Data!AS859),"",DaqBook_RAW_Data!AS859)</f>
        <v/>
      </c>
      <c r="O869" s="44"/>
      <c r="P869" s="44"/>
    </row>
    <row r="870" spans="1:16" x14ac:dyDescent="0.2">
      <c r="A870" s="58" t="e">
        <f t="shared" si="13"/>
        <v>#VALUE!</v>
      </c>
      <c r="B870" s="144" t="str">
        <f>IF(ISBLANK(DaqBook_RAW_Data!AG860),IF(DaqBook_RAW_Data!A860="","",TIMEVALUE(DaqBook_RAW_Data!A860)),TIMEVALUE(DaqBook_RAW_Data!AG860))</f>
        <v/>
      </c>
      <c r="C870" s="167" t="str">
        <f>IF(ISBLANK(DaqBook_RAW_Data!AH860),"",DaqBook_RAW_Data!AH860)</f>
        <v/>
      </c>
      <c r="D870" s="167" t="str">
        <f>IF(ISBLANK(DaqBook_RAW_Data!AI860),"",DaqBook_RAW_Data!AI860)</f>
        <v/>
      </c>
      <c r="E870" s="167" t="str">
        <f>IF(ISBLANK(DaqBook_RAW_Data!AJ860),"",DaqBook_RAW_Data!AJ860)</f>
        <v/>
      </c>
      <c r="F870" s="167" t="str">
        <f>IF(ISBLANK(DaqBook_RAW_Data!AK860),"",DaqBook_RAW_Data!AK860)</f>
        <v/>
      </c>
      <c r="G870" s="167" t="str">
        <f>IF(ISBLANK(DaqBook_RAW_Data!AL860),"",DaqBook_RAW_Data!AL860)</f>
        <v/>
      </c>
      <c r="H870" s="167" t="str">
        <f>IF(ISBLANK(DaqBook_RAW_Data!AM860),"",DaqBook_RAW_Data!AM860)</f>
        <v/>
      </c>
      <c r="I870" s="167" t="str">
        <f>IF(ISBLANK(DaqBook_RAW_Data!AN860),"",DaqBook_RAW_Data!AN860)</f>
        <v/>
      </c>
      <c r="J870" s="167" t="str">
        <f>IF(ISBLANK(DaqBook_RAW_Data!AO860),"",DaqBook_RAW_Data!AO860)</f>
        <v/>
      </c>
      <c r="K870" s="167" t="str">
        <f>IF(ISBLANK(DaqBook_RAW_Data!AP860),"",DaqBook_RAW_Data!AP860)</f>
        <v/>
      </c>
      <c r="L870" s="167" t="str">
        <f>IF(ISBLANK(DaqBook_RAW_Data!AQ860),"",DaqBook_RAW_Data!AQ860)</f>
        <v/>
      </c>
      <c r="M870" s="167" t="str">
        <f>IF(ISBLANK(DaqBook_RAW_Data!AR860),"",DaqBook_RAW_Data!AR860)</f>
        <v/>
      </c>
      <c r="N870" s="167" t="str">
        <f>IF(ISBLANK(DaqBook_RAW_Data!AS860),"",DaqBook_RAW_Data!AS860)</f>
        <v/>
      </c>
      <c r="O870" s="44"/>
      <c r="P870" s="44"/>
    </row>
    <row r="871" spans="1:16" x14ac:dyDescent="0.2">
      <c r="A871" s="58" t="e">
        <f t="shared" si="13"/>
        <v>#VALUE!</v>
      </c>
      <c r="B871" s="144" t="str">
        <f>IF(ISBLANK(DaqBook_RAW_Data!AG861),IF(DaqBook_RAW_Data!A861="","",TIMEVALUE(DaqBook_RAW_Data!A861)),TIMEVALUE(DaqBook_RAW_Data!AG861))</f>
        <v/>
      </c>
      <c r="C871" s="167" t="str">
        <f>IF(ISBLANK(DaqBook_RAW_Data!AH861),"",DaqBook_RAW_Data!AH861)</f>
        <v/>
      </c>
      <c r="D871" s="167" t="str">
        <f>IF(ISBLANK(DaqBook_RAW_Data!AI861),"",DaqBook_RAW_Data!AI861)</f>
        <v/>
      </c>
      <c r="E871" s="167" t="str">
        <f>IF(ISBLANK(DaqBook_RAW_Data!AJ861),"",DaqBook_RAW_Data!AJ861)</f>
        <v/>
      </c>
      <c r="F871" s="167" t="str">
        <f>IF(ISBLANK(DaqBook_RAW_Data!AK861),"",DaqBook_RAW_Data!AK861)</f>
        <v/>
      </c>
      <c r="G871" s="167" t="str">
        <f>IF(ISBLANK(DaqBook_RAW_Data!AL861),"",DaqBook_RAW_Data!AL861)</f>
        <v/>
      </c>
      <c r="H871" s="167" t="str">
        <f>IF(ISBLANK(DaqBook_RAW_Data!AM861),"",DaqBook_RAW_Data!AM861)</f>
        <v/>
      </c>
      <c r="I871" s="167" t="str">
        <f>IF(ISBLANK(DaqBook_RAW_Data!AN861),"",DaqBook_RAW_Data!AN861)</f>
        <v/>
      </c>
      <c r="J871" s="167" t="str">
        <f>IF(ISBLANK(DaqBook_RAW_Data!AO861),"",DaqBook_RAW_Data!AO861)</f>
        <v/>
      </c>
      <c r="K871" s="167" t="str">
        <f>IF(ISBLANK(DaqBook_RAW_Data!AP861),"",DaqBook_RAW_Data!AP861)</f>
        <v/>
      </c>
      <c r="L871" s="167" t="str">
        <f>IF(ISBLANK(DaqBook_RAW_Data!AQ861),"",DaqBook_RAW_Data!AQ861)</f>
        <v/>
      </c>
      <c r="M871" s="167" t="str">
        <f>IF(ISBLANK(DaqBook_RAW_Data!AR861),"",DaqBook_RAW_Data!AR861)</f>
        <v/>
      </c>
      <c r="N871" s="167" t="str">
        <f>IF(ISBLANK(DaqBook_RAW_Data!AS861),"",DaqBook_RAW_Data!AS861)</f>
        <v/>
      </c>
      <c r="O871" s="44"/>
      <c r="P871" s="44"/>
    </row>
    <row r="872" spans="1:16" x14ac:dyDescent="0.2">
      <c r="A872" s="58" t="e">
        <f t="shared" si="13"/>
        <v>#VALUE!</v>
      </c>
      <c r="B872" s="144" t="str">
        <f>IF(ISBLANK(DaqBook_RAW_Data!AG862),IF(DaqBook_RAW_Data!A862="","",TIMEVALUE(DaqBook_RAW_Data!A862)),TIMEVALUE(DaqBook_RAW_Data!AG862))</f>
        <v/>
      </c>
      <c r="C872" s="167" t="str">
        <f>IF(ISBLANK(DaqBook_RAW_Data!AH862),"",DaqBook_RAW_Data!AH862)</f>
        <v/>
      </c>
      <c r="D872" s="167" t="str">
        <f>IF(ISBLANK(DaqBook_RAW_Data!AI862),"",DaqBook_RAW_Data!AI862)</f>
        <v/>
      </c>
      <c r="E872" s="167" t="str">
        <f>IF(ISBLANK(DaqBook_RAW_Data!AJ862),"",DaqBook_RAW_Data!AJ862)</f>
        <v/>
      </c>
      <c r="F872" s="167" t="str">
        <f>IF(ISBLANK(DaqBook_RAW_Data!AK862),"",DaqBook_RAW_Data!AK862)</f>
        <v/>
      </c>
      <c r="G872" s="167" t="str">
        <f>IF(ISBLANK(DaqBook_RAW_Data!AL862),"",DaqBook_RAW_Data!AL862)</f>
        <v/>
      </c>
      <c r="H872" s="167" t="str">
        <f>IF(ISBLANK(DaqBook_RAW_Data!AM862),"",DaqBook_RAW_Data!AM862)</f>
        <v/>
      </c>
      <c r="I872" s="167" t="str">
        <f>IF(ISBLANK(DaqBook_RAW_Data!AN862),"",DaqBook_RAW_Data!AN862)</f>
        <v/>
      </c>
      <c r="J872" s="167" t="str">
        <f>IF(ISBLANK(DaqBook_RAW_Data!AO862),"",DaqBook_RAW_Data!AO862)</f>
        <v/>
      </c>
      <c r="K872" s="167" t="str">
        <f>IF(ISBLANK(DaqBook_RAW_Data!AP862),"",DaqBook_RAW_Data!AP862)</f>
        <v/>
      </c>
      <c r="L872" s="167" t="str">
        <f>IF(ISBLANK(DaqBook_RAW_Data!AQ862),"",DaqBook_RAW_Data!AQ862)</f>
        <v/>
      </c>
      <c r="M872" s="167" t="str">
        <f>IF(ISBLANK(DaqBook_RAW_Data!AR862),"",DaqBook_RAW_Data!AR862)</f>
        <v/>
      </c>
      <c r="N872" s="167" t="str">
        <f>IF(ISBLANK(DaqBook_RAW_Data!AS862),"",DaqBook_RAW_Data!AS862)</f>
        <v/>
      </c>
      <c r="O872" s="44"/>
      <c r="P872" s="44"/>
    </row>
    <row r="873" spans="1:16" x14ac:dyDescent="0.2">
      <c r="A873" s="58" t="e">
        <f t="shared" si="13"/>
        <v>#VALUE!</v>
      </c>
      <c r="B873" s="144" t="str">
        <f>IF(ISBLANK(DaqBook_RAW_Data!AG863),IF(DaqBook_RAW_Data!A863="","",TIMEVALUE(DaqBook_RAW_Data!A863)),TIMEVALUE(DaqBook_RAW_Data!AG863))</f>
        <v/>
      </c>
      <c r="C873" s="167" t="str">
        <f>IF(ISBLANK(DaqBook_RAW_Data!AH863),"",DaqBook_RAW_Data!AH863)</f>
        <v/>
      </c>
      <c r="D873" s="167" t="str">
        <f>IF(ISBLANK(DaqBook_RAW_Data!AI863),"",DaqBook_RAW_Data!AI863)</f>
        <v/>
      </c>
      <c r="E873" s="167" t="str">
        <f>IF(ISBLANK(DaqBook_RAW_Data!AJ863),"",DaqBook_RAW_Data!AJ863)</f>
        <v/>
      </c>
      <c r="F873" s="167" t="str">
        <f>IF(ISBLANK(DaqBook_RAW_Data!AK863),"",DaqBook_RAW_Data!AK863)</f>
        <v/>
      </c>
      <c r="G873" s="167" t="str">
        <f>IF(ISBLANK(DaqBook_RAW_Data!AL863),"",DaqBook_RAW_Data!AL863)</f>
        <v/>
      </c>
      <c r="H873" s="167" t="str">
        <f>IF(ISBLANK(DaqBook_RAW_Data!AM863),"",DaqBook_RAW_Data!AM863)</f>
        <v/>
      </c>
      <c r="I873" s="167" t="str">
        <f>IF(ISBLANK(DaqBook_RAW_Data!AN863),"",DaqBook_RAW_Data!AN863)</f>
        <v/>
      </c>
      <c r="J873" s="167" t="str">
        <f>IF(ISBLANK(DaqBook_RAW_Data!AO863),"",DaqBook_RAW_Data!AO863)</f>
        <v/>
      </c>
      <c r="K873" s="167" t="str">
        <f>IF(ISBLANK(DaqBook_RAW_Data!AP863),"",DaqBook_RAW_Data!AP863)</f>
        <v/>
      </c>
      <c r="L873" s="167" t="str">
        <f>IF(ISBLANK(DaqBook_RAW_Data!AQ863),"",DaqBook_RAW_Data!AQ863)</f>
        <v/>
      </c>
      <c r="M873" s="167" t="str">
        <f>IF(ISBLANK(DaqBook_RAW_Data!AR863),"",DaqBook_RAW_Data!AR863)</f>
        <v/>
      </c>
      <c r="N873" s="167" t="str">
        <f>IF(ISBLANK(DaqBook_RAW_Data!AS863),"",DaqBook_RAW_Data!AS863)</f>
        <v/>
      </c>
      <c r="O873" s="44"/>
      <c r="P873" s="44"/>
    </row>
    <row r="874" spans="1:16" x14ac:dyDescent="0.2">
      <c r="A874" s="58" t="e">
        <f t="shared" si="13"/>
        <v>#VALUE!</v>
      </c>
      <c r="B874" s="144" t="str">
        <f>IF(ISBLANK(DaqBook_RAW_Data!AG864),IF(DaqBook_RAW_Data!A864="","",TIMEVALUE(DaqBook_RAW_Data!A864)),TIMEVALUE(DaqBook_RAW_Data!AG864))</f>
        <v/>
      </c>
      <c r="C874" s="167" t="str">
        <f>IF(ISBLANK(DaqBook_RAW_Data!AH864),"",DaqBook_RAW_Data!AH864)</f>
        <v/>
      </c>
      <c r="D874" s="167" t="str">
        <f>IF(ISBLANK(DaqBook_RAW_Data!AI864),"",DaqBook_RAW_Data!AI864)</f>
        <v/>
      </c>
      <c r="E874" s="167" t="str">
        <f>IF(ISBLANK(DaqBook_RAW_Data!AJ864),"",DaqBook_RAW_Data!AJ864)</f>
        <v/>
      </c>
      <c r="F874" s="167" t="str">
        <f>IF(ISBLANK(DaqBook_RAW_Data!AK864),"",DaqBook_RAW_Data!AK864)</f>
        <v/>
      </c>
      <c r="G874" s="167" t="str">
        <f>IF(ISBLANK(DaqBook_RAW_Data!AL864),"",DaqBook_RAW_Data!AL864)</f>
        <v/>
      </c>
      <c r="H874" s="167" t="str">
        <f>IF(ISBLANK(DaqBook_RAW_Data!AM864),"",DaqBook_RAW_Data!AM864)</f>
        <v/>
      </c>
      <c r="I874" s="167" t="str">
        <f>IF(ISBLANK(DaqBook_RAW_Data!AN864),"",DaqBook_RAW_Data!AN864)</f>
        <v/>
      </c>
      <c r="J874" s="167" t="str">
        <f>IF(ISBLANK(DaqBook_RAW_Data!AO864),"",DaqBook_RAW_Data!AO864)</f>
        <v/>
      </c>
      <c r="K874" s="167" t="str">
        <f>IF(ISBLANK(DaqBook_RAW_Data!AP864),"",DaqBook_RAW_Data!AP864)</f>
        <v/>
      </c>
      <c r="L874" s="167" t="str">
        <f>IF(ISBLANK(DaqBook_RAW_Data!AQ864),"",DaqBook_RAW_Data!AQ864)</f>
        <v/>
      </c>
      <c r="M874" s="167" t="str">
        <f>IF(ISBLANK(DaqBook_RAW_Data!AR864),"",DaqBook_RAW_Data!AR864)</f>
        <v/>
      </c>
      <c r="N874" s="167" t="str">
        <f>IF(ISBLANK(DaqBook_RAW_Data!AS864),"",DaqBook_RAW_Data!AS864)</f>
        <v/>
      </c>
      <c r="O874" s="44"/>
      <c r="P874" s="44"/>
    </row>
    <row r="875" spans="1:16" x14ac:dyDescent="0.2">
      <c r="A875" s="58" t="e">
        <f t="shared" si="13"/>
        <v>#VALUE!</v>
      </c>
      <c r="B875" s="144" t="str">
        <f>IF(ISBLANK(DaqBook_RAW_Data!AG865),IF(DaqBook_RAW_Data!A865="","",TIMEVALUE(DaqBook_RAW_Data!A865)),TIMEVALUE(DaqBook_RAW_Data!AG865))</f>
        <v/>
      </c>
      <c r="C875" s="167" t="str">
        <f>IF(ISBLANK(DaqBook_RAW_Data!AH865),"",DaqBook_RAW_Data!AH865)</f>
        <v/>
      </c>
      <c r="D875" s="167" t="str">
        <f>IF(ISBLANK(DaqBook_RAW_Data!AI865),"",DaqBook_RAW_Data!AI865)</f>
        <v/>
      </c>
      <c r="E875" s="167" t="str">
        <f>IF(ISBLANK(DaqBook_RAW_Data!AJ865),"",DaqBook_RAW_Data!AJ865)</f>
        <v/>
      </c>
      <c r="F875" s="167" t="str">
        <f>IF(ISBLANK(DaqBook_RAW_Data!AK865),"",DaqBook_RAW_Data!AK865)</f>
        <v/>
      </c>
      <c r="G875" s="167" t="str">
        <f>IF(ISBLANK(DaqBook_RAW_Data!AL865),"",DaqBook_RAW_Data!AL865)</f>
        <v/>
      </c>
      <c r="H875" s="167" t="str">
        <f>IF(ISBLANK(DaqBook_RAW_Data!AM865),"",DaqBook_RAW_Data!AM865)</f>
        <v/>
      </c>
      <c r="I875" s="167" t="str">
        <f>IF(ISBLANK(DaqBook_RAW_Data!AN865),"",DaqBook_RAW_Data!AN865)</f>
        <v/>
      </c>
      <c r="J875" s="167" t="str">
        <f>IF(ISBLANK(DaqBook_RAW_Data!AO865),"",DaqBook_RAW_Data!AO865)</f>
        <v/>
      </c>
      <c r="K875" s="167" t="str">
        <f>IF(ISBLANK(DaqBook_RAW_Data!AP865),"",DaqBook_RAW_Data!AP865)</f>
        <v/>
      </c>
      <c r="L875" s="167" t="str">
        <f>IF(ISBLANK(DaqBook_RAW_Data!AQ865),"",DaqBook_RAW_Data!AQ865)</f>
        <v/>
      </c>
      <c r="M875" s="167" t="str">
        <f>IF(ISBLANK(DaqBook_RAW_Data!AR865),"",DaqBook_RAW_Data!AR865)</f>
        <v/>
      </c>
      <c r="N875" s="167" t="str">
        <f>IF(ISBLANK(DaqBook_RAW_Data!AS865),"",DaqBook_RAW_Data!AS865)</f>
        <v/>
      </c>
      <c r="O875" s="44"/>
      <c r="P875" s="44"/>
    </row>
    <row r="876" spans="1:16" x14ac:dyDescent="0.2">
      <c r="A876" s="58" t="e">
        <f t="shared" si="13"/>
        <v>#VALUE!</v>
      </c>
      <c r="B876" s="144" t="str">
        <f>IF(ISBLANK(DaqBook_RAW_Data!AG866),IF(DaqBook_RAW_Data!A866="","",TIMEVALUE(DaqBook_RAW_Data!A866)),TIMEVALUE(DaqBook_RAW_Data!AG866))</f>
        <v/>
      </c>
      <c r="C876" s="167" t="str">
        <f>IF(ISBLANK(DaqBook_RAW_Data!AH866),"",DaqBook_RAW_Data!AH866)</f>
        <v/>
      </c>
      <c r="D876" s="167" t="str">
        <f>IF(ISBLANK(DaqBook_RAW_Data!AI866),"",DaqBook_RAW_Data!AI866)</f>
        <v/>
      </c>
      <c r="E876" s="167" t="str">
        <f>IF(ISBLANK(DaqBook_RAW_Data!AJ866),"",DaqBook_RAW_Data!AJ866)</f>
        <v/>
      </c>
      <c r="F876" s="167" t="str">
        <f>IF(ISBLANK(DaqBook_RAW_Data!AK866),"",DaqBook_RAW_Data!AK866)</f>
        <v/>
      </c>
      <c r="G876" s="167" t="str">
        <f>IF(ISBLANK(DaqBook_RAW_Data!AL866),"",DaqBook_RAW_Data!AL866)</f>
        <v/>
      </c>
      <c r="H876" s="167" t="str">
        <f>IF(ISBLANK(DaqBook_RAW_Data!AM866),"",DaqBook_RAW_Data!AM866)</f>
        <v/>
      </c>
      <c r="I876" s="167" t="str">
        <f>IF(ISBLANK(DaqBook_RAW_Data!AN866),"",DaqBook_RAW_Data!AN866)</f>
        <v/>
      </c>
      <c r="J876" s="167" t="str">
        <f>IF(ISBLANK(DaqBook_RAW_Data!AO866),"",DaqBook_RAW_Data!AO866)</f>
        <v/>
      </c>
      <c r="K876" s="167" t="str">
        <f>IF(ISBLANK(DaqBook_RAW_Data!AP866),"",DaqBook_RAW_Data!AP866)</f>
        <v/>
      </c>
      <c r="L876" s="167" t="str">
        <f>IF(ISBLANK(DaqBook_RAW_Data!AQ866),"",DaqBook_RAW_Data!AQ866)</f>
        <v/>
      </c>
      <c r="M876" s="167" t="str">
        <f>IF(ISBLANK(DaqBook_RAW_Data!AR866),"",DaqBook_RAW_Data!AR866)</f>
        <v/>
      </c>
      <c r="N876" s="167" t="str">
        <f>IF(ISBLANK(DaqBook_RAW_Data!AS866),"",DaqBook_RAW_Data!AS866)</f>
        <v/>
      </c>
      <c r="O876" s="44"/>
      <c r="P876" s="44"/>
    </row>
    <row r="877" spans="1:16" x14ac:dyDescent="0.2">
      <c r="A877" s="58" t="e">
        <f t="shared" si="13"/>
        <v>#VALUE!</v>
      </c>
      <c r="B877" s="144" t="str">
        <f>IF(ISBLANK(DaqBook_RAW_Data!AG867),IF(DaqBook_RAW_Data!A867="","",TIMEVALUE(DaqBook_RAW_Data!A867)),TIMEVALUE(DaqBook_RAW_Data!AG867))</f>
        <v/>
      </c>
      <c r="C877" s="167" t="str">
        <f>IF(ISBLANK(DaqBook_RAW_Data!AH867),"",DaqBook_RAW_Data!AH867)</f>
        <v/>
      </c>
      <c r="D877" s="167" t="str">
        <f>IF(ISBLANK(DaqBook_RAW_Data!AI867),"",DaqBook_RAW_Data!AI867)</f>
        <v/>
      </c>
      <c r="E877" s="167" t="str">
        <f>IF(ISBLANK(DaqBook_RAW_Data!AJ867),"",DaqBook_RAW_Data!AJ867)</f>
        <v/>
      </c>
      <c r="F877" s="167" t="str">
        <f>IF(ISBLANK(DaqBook_RAW_Data!AK867),"",DaqBook_RAW_Data!AK867)</f>
        <v/>
      </c>
      <c r="G877" s="167" t="str">
        <f>IF(ISBLANK(DaqBook_RAW_Data!AL867),"",DaqBook_RAW_Data!AL867)</f>
        <v/>
      </c>
      <c r="H877" s="167" t="str">
        <f>IF(ISBLANK(DaqBook_RAW_Data!AM867),"",DaqBook_RAW_Data!AM867)</f>
        <v/>
      </c>
      <c r="I877" s="167" t="str">
        <f>IF(ISBLANK(DaqBook_RAW_Data!AN867),"",DaqBook_RAW_Data!AN867)</f>
        <v/>
      </c>
      <c r="J877" s="167" t="str">
        <f>IF(ISBLANK(DaqBook_RAW_Data!AO867),"",DaqBook_RAW_Data!AO867)</f>
        <v/>
      </c>
      <c r="K877" s="167" t="str">
        <f>IF(ISBLANK(DaqBook_RAW_Data!AP867),"",DaqBook_RAW_Data!AP867)</f>
        <v/>
      </c>
      <c r="L877" s="167" t="str">
        <f>IF(ISBLANK(DaqBook_RAW_Data!AQ867),"",DaqBook_RAW_Data!AQ867)</f>
        <v/>
      </c>
      <c r="M877" s="167" t="str">
        <f>IF(ISBLANK(DaqBook_RAW_Data!AR867),"",DaqBook_RAW_Data!AR867)</f>
        <v/>
      </c>
      <c r="N877" s="167" t="str">
        <f>IF(ISBLANK(DaqBook_RAW_Data!AS867),"",DaqBook_RAW_Data!AS867)</f>
        <v/>
      </c>
      <c r="O877" s="44"/>
      <c r="P877" s="44"/>
    </row>
    <row r="878" spans="1:16" x14ac:dyDescent="0.2">
      <c r="A878" s="58" t="e">
        <f t="shared" si="13"/>
        <v>#VALUE!</v>
      </c>
      <c r="B878" s="144" t="str">
        <f>IF(ISBLANK(DaqBook_RAW_Data!AG868),IF(DaqBook_RAW_Data!A868="","",TIMEVALUE(DaqBook_RAW_Data!A868)),TIMEVALUE(DaqBook_RAW_Data!AG868))</f>
        <v/>
      </c>
      <c r="C878" s="167" t="str">
        <f>IF(ISBLANK(DaqBook_RAW_Data!AH868),"",DaqBook_RAW_Data!AH868)</f>
        <v/>
      </c>
      <c r="D878" s="167" t="str">
        <f>IF(ISBLANK(DaqBook_RAW_Data!AI868),"",DaqBook_RAW_Data!AI868)</f>
        <v/>
      </c>
      <c r="E878" s="167" t="str">
        <f>IF(ISBLANK(DaqBook_RAW_Data!AJ868),"",DaqBook_RAW_Data!AJ868)</f>
        <v/>
      </c>
      <c r="F878" s="167" t="str">
        <f>IF(ISBLANK(DaqBook_RAW_Data!AK868),"",DaqBook_RAW_Data!AK868)</f>
        <v/>
      </c>
      <c r="G878" s="167" t="str">
        <f>IF(ISBLANK(DaqBook_RAW_Data!AL868),"",DaqBook_RAW_Data!AL868)</f>
        <v/>
      </c>
      <c r="H878" s="167" t="str">
        <f>IF(ISBLANK(DaqBook_RAW_Data!AM868),"",DaqBook_RAW_Data!AM868)</f>
        <v/>
      </c>
      <c r="I878" s="167" t="str">
        <f>IF(ISBLANK(DaqBook_RAW_Data!AN868),"",DaqBook_RAW_Data!AN868)</f>
        <v/>
      </c>
      <c r="J878" s="167" t="str">
        <f>IF(ISBLANK(DaqBook_RAW_Data!AO868),"",DaqBook_RAW_Data!AO868)</f>
        <v/>
      </c>
      <c r="K878" s="167" t="str">
        <f>IF(ISBLANK(DaqBook_RAW_Data!AP868),"",DaqBook_RAW_Data!AP868)</f>
        <v/>
      </c>
      <c r="L878" s="167" t="str">
        <f>IF(ISBLANK(DaqBook_RAW_Data!AQ868),"",DaqBook_RAW_Data!AQ868)</f>
        <v/>
      </c>
      <c r="M878" s="167" t="str">
        <f>IF(ISBLANK(DaqBook_RAW_Data!AR868),"",DaqBook_RAW_Data!AR868)</f>
        <v/>
      </c>
      <c r="N878" s="167" t="str">
        <f>IF(ISBLANK(DaqBook_RAW_Data!AS868),"",DaqBook_RAW_Data!AS868)</f>
        <v/>
      </c>
      <c r="O878" s="44"/>
      <c r="P878" s="44"/>
    </row>
    <row r="879" spans="1:16" x14ac:dyDescent="0.2">
      <c r="A879" s="58" t="e">
        <f t="shared" si="13"/>
        <v>#VALUE!</v>
      </c>
      <c r="B879" s="144" t="str">
        <f>IF(ISBLANK(DaqBook_RAW_Data!AG869),IF(DaqBook_RAW_Data!A869="","",TIMEVALUE(DaqBook_RAW_Data!A869)),TIMEVALUE(DaqBook_RAW_Data!AG869))</f>
        <v/>
      </c>
      <c r="C879" s="167" t="str">
        <f>IF(ISBLANK(DaqBook_RAW_Data!AH869),"",DaqBook_RAW_Data!AH869)</f>
        <v/>
      </c>
      <c r="D879" s="167" t="str">
        <f>IF(ISBLANK(DaqBook_RAW_Data!AI869),"",DaqBook_RAW_Data!AI869)</f>
        <v/>
      </c>
      <c r="E879" s="167" t="str">
        <f>IF(ISBLANK(DaqBook_RAW_Data!AJ869),"",DaqBook_RAW_Data!AJ869)</f>
        <v/>
      </c>
      <c r="F879" s="167" t="str">
        <f>IF(ISBLANK(DaqBook_RAW_Data!AK869),"",DaqBook_RAW_Data!AK869)</f>
        <v/>
      </c>
      <c r="G879" s="167" t="str">
        <f>IF(ISBLANK(DaqBook_RAW_Data!AL869),"",DaqBook_RAW_Data!AL869)</f>
        <v/>
      </c>
      <c r="H879" s="167" t="str">
        <f>IF(ISBLANK(DaqBook_RAW_Data!AM869),"",DaqBook_RAW_Data!AM869)</f>
        <v/>
      </c>
      <c r="I879" s="167" t="str">
        <f>IF(ISBLANK(DaqBook_RAW_Data!AN869),"",DaqBook_RAW_Data!AN869)</f>
        <v/>
      </c>
      <c r="J879" s="167" t="str">
        <f>IF(ISBLANK(DaqBook_RAW_Data!AO869),"",DaqBook_RAW_Data!AO869)</f>
        <v/>
      </c>
      <c r="K879" s="167" t="str">
        <f>IF(ISBLANK(DaqBook_RAW_Data!AP869),"",DaqBook_RAW_Data!AP869)</f>
        <v/>
      </c>
      <c r="L879" s="167" t="str">
        <f>IF(ISBLANK(DaqBook_RAW_Data!AQ869),"",DaqBook_RAW_Data!AQ869)</f>
        <v/>
      </c>
      <c r="M879" s="167" t="str">
        <f>IF(ISBLANK(DaqBook_RAW_Data!AR869),"",DaqBook_RAW_Data!AR869)</f>
        <v/>
      </c>
      <c r="N879" s="167" t="str">
        <f>IF(ISBLANK(DaqBook_RAW_Data!AS869),"",DaqBook_RAW_Data!AS869)</f>
        <v/>
      </c>
      <c r="O879" s="44"/>
      <c r="P879" s="44"/>
    </row>
    <row r="880" spans="1:16" x14ac:dyDescent="0.2">
      <c r="A880" s="58" t="e">
        <f t="shared" si="13"/>
        <v>#VALUE!</v>
      </c>
      <c r="B880" s="144" t="str">
        <f>IF(ISBLANK(DaqBook_RAW_Data!AG870),IF(DaqBook_RAW_Data!A870="","",TIMEVALUE(DaqBook_RAW_Data!A870)),TIMEVALUE(DaqBook_RAW_Data!AG870))</f>
        <v/>
      </c>
      <c r="C880" s="167" t="str">
        <f>IF(ISBLANK(DaqBook_RAW_Data!AH870),"",DaqBook_RAW_Data!AH870)</f>
        <v/>
      </c>
      <c r="D880" s="167" t="str">
        <f>IF(ISBLANK(DaqBook_RAW_Data!AI870),"",DaqBook_RAW_Data!AI870)</f>
        <v/>
      </c>
      <c r="E880" s="167" t="str">
        <f>IF(ISBLANK(DaqBook_RAW_Data!AJ870),"",DaqBook_RAW_Data!AJ870)</f>
        <v/>
      </c>
      <c r="F880" s="167" t="str">
        <f>IF(ISBLANK(DaqBook_RAW_Data!AK870),"",DaqBook_RAW_Data!AK870)</f>
        <v/>
      </c>
      <c r="G880" s="167" t="str">
        <f>IF(ISBLANK(DaqBook_RAW_Data!AL870),"",DaqBook_RAW_Data!AL870)</f>
        <v/>
      </c>
      <c r="H880" s="167" t="str">
        <f>IF(ISBLANK(DaqBook_RAW_Data!AM870),"",DaqBook_RAW_Data!AM870)</f>
        <v/>
      </c>
      <c r="I880" s="167" t="str">
        <f>IF(ISBLANK(DaqBook_RAW_Data!AN870),"",DaqBook_RAW_Data!AN870)</f>
        <v/>
      </c>
      <c r="J880" s="167" t="str">
        <f>IF(ISBLANK(DaqBook_RAW_Data!AO870),"",DaqBook_RAW_Data!AO870)</f>
        <v/>
      </c>
      <c r="K880" s="167" t="str">
        <f>IF(ISBLANK(DaqBook_RAW_Data!AP870),"",DaqBook_RAW_Data!AP870)</f>
        <v/>
      </c>
      <c r="L880" s="167" t="str">
        <f>IF(ISBLANK(DaqBook_RAW_Data!AQ870),"",DaqBook_RAW_Data!AQ870)</f>
        <v/>
      </c>
      <c r="M880" s="167" t="str">
        <f>IF(ISBLANK(DaqBook_RAW_Data!AR870),"",DaqBook_RAW_Data!AR870)</f>
        <v/>
      </c>
      <c r="N880" s="167" t="str">
        <f>IF(ISBLANK(DaqBook_RAW_Data!AS870),"",DaqBook_RAW_Data!AS870)</f>
        <v/>
      </c>
      <c r="O880" s="44"/>
      <c r="P880" s="44"/>
    </row>
    <row r="881" spans="1:16" x14ac:dyDescent="0.2">
      <c r="A881" s="58" t="e">
        <f t="shared" si="13"/>
        <v>#VALUE!</v>
      </c>
      <c r="B881" s="144" t="str">
        <f>IF(ISBLANK(DaqBook_RAW_Data!AG871),IF(DaqBook_RAW_Data!A871="","",TIMEVALUE(DaqBook_RAW_Data!A871)),TIMEVALUE(DaqBook_RAW_Data!AG871))</f>
        <v/>
      </c>
      <c r="C881" s="167" t="str">
        <f>IF(ISBLANK(DaqBook_RAW_Data!AH871),"",DaqBook_RAW_Data!AH871)</f>
        <v/>
      </c>
      <c r="D881" s="167" t="str">
        <f>IF(ISBLANK(DaqBook_RAW_Data!AI871),"",DaqBook_RAW_Data!AI871)</f>
        <v/>
      </c>
      <c r="E881" s="167" t="str">
        <f>IF(ISBLANK(DaqBook_RAW_Data!AJ871),"",DaqBook_RAW_Data!AJ871)</f>
        <v/>
      </c>
      <c r="F881" s="167" t="str">
        <f>IF(ISBLANK(DaqBook_RAW_Data!AK871),"",DaqBook_RAW_Data!AK871)</f>
        <v/>
      </c>
      <c r="G881" s="167" t="str">
        <f>IF(ISBLANK(DaqBook_RAW_Data!AL871),"",DaqBook_RAW_Data!AL871)</f>
        <v/>
      </c>
      <c r="H881" s="167" t="str">
        <f>IF(ISBLANK(DaqBook_RAW_Data!AM871),"",DaqBook_RAW_Data!AM871)</f>
        <v/>
      </c>
      <c r="I881" s="167" t="str">
        <f>IF(ISBLANK(DaqBook_RAW_Data!AN871),"",DaqBook_RAW_Data!AN871)</f>
        <v/>
      </c>
      <c r="J881" s="167" t="str">
        <f>IF(ISBLANK(DaqBook_RAW_Data!AO871),"",DaqBook_RAW_Data!AO871)</f>
        <v/>
      </c>
      <c r="K881" s="167" t="str">
        <f>IF(ISBLANK(DaqBook_RAW_Data!AP871),"",DaqBook_RAW_Data!AP871)</f>
        <v/>
      </c>
      <c r="L881" s="167" t="str">
        <f>IF(ISBLANK(DaqBook_RAW_Data!AQ871),"",DaqBook_RAW_Data!AQ871)</f>
        <v/>
      </c>
      <c r="M881" s="167" t="str">
        <f>IF(ISBLANK(DaqBook_RAW_Data!AR871),"",DaqBook_RAW_Data!AR871)</f>
        <v/>
      </c>
      <c r="N881" s="167" t="str">
        <f>IF(ISBLANK(DaqBook_RAW_Data!AS871),"",DaqBook_RAW_Data!AS871)</f>
        <v/>
      </c>
      <c r="O881" s="44"/>
      <c r="P881" s="44"/>
    </row>
    <row r="882" spans="1:16" x14ac:dyDescent="0.2">
      <c r="A882" s="58" t="e">
        <f t="shared" si="13"/>
        <v>#VALUE!</v>
      </c>
      <c r="B882" s="144" t="str">
        <f>IF(ISBLANK(DaqBook_RAW_Data!AG872),IF(DaqBook_RAW_Data!A872="","",TIMEVALUE(DaqBook_RAW_Data!A872)),TIMEVALUE(DaqBook_RAW_Data!AG872))</f>
        <v/>
      </c>
      <c r="C882" s="167" t="str">
        <f>IF(ISBLANK(DaqBook_RAW_Data!AH872),"",DaqBook_RAW_Data!AH872)</f>
        <v/>
      </c>
      <c r="D882" s="167" t="str">
        <f>IF(ISBLANK(DaqBook_RAW_Data!AI872),"",DaqBook_RAW_Data!AI872)</f>
        <v/>
      </c>
      <c r="E882" s="167" t="str">
        <f>IF(ISBLANK(DaqBook_RAW_Data!AJ872),"",DaqBook_RAW_Data!AJ872)</f>
        <v/>
      </c>
      <c r="F882" s="167" t="str">
        <f>IF(ISBLANK(DaqBook_RAW_Data!AK872),"",DaqBook_RAW_Data!AK872)</f>
        <v/>
      </c>
      <c r="G882" s="167" t="str">
        <f>IF(ISBLANK(DaqBook_RAW_Data!AL872),"",DaqBook_RAW_Data!AL872)</f>
        <v/>
      </c>
      <c r="H882" s="167" t="str">
        <f>IF(ISBLANK(DaqBook_RAW_Data!AM872),"",DaqBook_RAW_Data!AM872)</f>
        <v/>
      </c>
      <c r="I882" s="167" t="str">
        <f>IF(ISBLANK(DaqBook_RAW_Data!AN872),"",DaqBook_RAW_Data!AN872)</f>
        <v/>
      </c>
      <c r="J882" s="167" t="str">
        <f>IF(ISBLANK(DaqBook_RAW_Data!AO872),"",DaqBook_RAW_Data!AO872)</f>
        <v/>
      </c>
      <c r="K882" s="167" t="str">
        <f>IF(ISBLANK(DaqBook_RAW_Data!AP872),"",DaqBook_RAW_Data!AP872)</f>
        <v/>
      </c>
      <c r="L882" s="167" t="str">
        <f>IF(ISBLANK(DaqBook_RAW_Data!AQ872),"",DaqBook_RAW_Data!AQ872)</f>
        <v/>
      </c>
      <c r="M882" s="167" t="str">
        <f>IF(ISBLANK(DaqBook_RAW_Data!AR872),"",DaqBook_RAW_Data!AR872)</f>
        <v/>
      </c>
      <c r="N882" s="167" t="str">
        <f>IF(ISBLANK(DaqBook_RAW_Data!AS872),"",DaqBook_RAW_Data!AS872)</f>
        <v/>
      </c>
      <c r="O882" s="44"/>
      <c r="P882" s="44"/>
    </row>
    <row r="883" spans="1:16" x14ac:dyDescent="0.2">
      <c r="A883" s="58" t="e">
        <f t="shared" si="13"/>
        <v>#VALUE!</v>
      </c>
      <c r="B883" s="144" t="str">
        <f>IF(ISBLANK(DaqBook_RAW_Data!AG873),IF(DaqBook_RAW_Data!A873="","",TIMEVALUE(DaqBook_RAW_Data!A873)),TIMEVALUE(DaqBook_RAW_Data!AG873))</f>
        <v/>
      </c>
      <c r="C883" s="167" t="str">
        <f>IF(ISBLANK(DaqBook_RAW_Data!AH873),"",DaqBook_RAW_Data!AH873)</f>
        <v/>
      </c>
      <c r="D883" s="167" t="str">
        <f>IF(ISBLANK(DaqBook_RAW_Data!AI873),"",DaqBook_RAW_Data!AI873)</f>
        <v/>
      </c>
      <c r="E883" s="167" t="str">
        <f>IF(ISBLANK(DaqBook_RAW_Data!AJ873),"",DaqBook_RAW_Data!AJ873)</f>
        <v/>
      </c>
      <c r="F883" s="167" t="str">
        <f>IF(ISBLANK(DaqBook_RAW_Data!AK873),"",DaqBook_RAW_Data!AK873)</f>
        <v/>
      </c>
      <c r="G883" s="167" t="str">
        <f>IF(ISBLANK(DaqBook_RAW_Data!AL873),"",DaqBook_RAW_Data!AL873)</f>
        <v/>
      </c>
      <c r="H883" s="167" t="str">
        <f>IF(ISBLANK(DaqBook_RAW_Data!AM873),"",DaqBook_RAW_Data!AM873)</f>
        <v/>
      </c>
      <c r="I883" s="167" t="str">
        <f>IF(ISBLANK(DaqBook_RAW_Data!AN873),"",DaqBook_RAW_Data!AN873)</f>
        <v/>
      </c>
      <c r="J883" s="167" t="str">
        <f>IF(ISBLANK(DaqBook_RAW_Data!AO873),"",DaqBook_RAW_Data!AO873)</f>
        <v/>
      </c>
      <c r="K883" s="167" t="str">
        <f>IF(ISBLANK(DaqBook_RAW_Data!AP873),"",DaqBook_RAW_Data!AP873)</f>
        <v/>
      </c>
      <c r="L883" s="167" t="str">
        <f>IF(ISBLANK(DaqBook_RAW_Data!AQ873),"",DaqBook_RAW_Data!AQ873)</f>
        <v/>
      </c>
      <c r="M883" s="167" t="str">
        <f>IF(ISBLANK(DaqBook_RAW_Data!AR873),"",DaqBook_RAW_Data!AR873)</f>
        <v/>
      </c>
      <c r="N883" s="167" t="str">
        <f>IF(ISBLANK(DaqBook_RAW_Data!AS873),"",DaqBook_RAW_Data!AS873)</f>
        <v/>
      </c>
      <c r="O883" s="44"/>
      <c r="P883" s="44"/>
    </row>
    <row r="884" spans="1:16" x14ac:dyDescent="0.2">
      <c r="A884" s="58" t="e">
        <f t="shared" si="13"/>
        <v>#VALUE!</v>
      </c>
      <c r="B884" s="144" t="str">
        <f>IF(ISBLANK(DaqBook_RAW_Data!AG874),IF(DaqBook_RAW_Data!A874="","",TIMEVALUE(DaqBook_RAW_Data!A874)),TIMEVALUE(DaqBook_RAW_Data!AG874))</f>
        <v/>
      </c>
      <c r="C884" s="167" t="str">
        <f>IF(ISBLANK(DaqBook_RAW_Data!AH874),"",DaqBook_RAW_Data!AH874)</f>
        <v/>
      </c>
      <c r="D884" s="167" t="str">
        <f>IF(ISBLANK(DaqBook_RAW_Data!AI874),"",DaqBook_RAW_Data!AI874)</f>
        <v/>
      </c>
      <c r="E884" s="167" t="str">
        <f>IF(ISBLANK(DaqBook_RAW_Data!AJ874),"",DaqBook_RAW_Data!AJ874)</f>
        <v/>
      </c>
      <c r="F884" s="167" t="str">
        <f>IF(ISBLANK(DaqBook_RAW_Data!AK874),"",DaqBook_RAW_Data!AK874)</f>
        <v/>
      </c>
      <c r="G884" s="167" t="str">
        <f>IF(ISBLANK(DaqBook_RAW_Data!AL874),"",DaqBook_RAW_Data!AL874)</f>
        <v/>
      </c>
      <c r="H884" s="167" t="str">
        <f>IF(ISBLANK(DaqBook_RAW_Data!AM874),"",DaqBook_RAW_Data!AM874)</f>
        <v/>
      </c>
      <c r="I884" s="167" t="str">
        <f>IF(ISBLANK(DaqBook_RAW_Data!AN874),"",DaqBook_RAW_Data!AN874)</f>
        <v/>
      </c>
      <c r="J884" s="167" t="str">
        <f>IF(ISBLANK(DaqBook_RAW_Data!AO874),"",DaqBook_RAW_Data!AO874)</f>
        <v/>
      </c>
      <c r="K884" s="167" t="str">
        <f>IF(ISBLANK(DaqBook_RAW_Data!AP874),"",DaqBook_RAW_Data!AP874)</f>
        <v/>
      </c>
      <c r="L884" s="167" t="str">
        <f>IF(ISBLANK(DaqBook_RAW_Data!AQ874),"",DaqBook_RAW_Data!AQ874)</f>
        <v/>
      </c>
      <c r="M884" s="167" t="str">
        <f>IF(ISBLANK(DaqBook_RAW_Data!AR874),"",DaqBook_RAW_Data!AR874)</f>
        <v/>
      </c>
      <c r="N884" s="167" t="str">
        <f>IF(ISBLANK(DaqBook_RAW_Data!AS874),"",DaqBook_RAW_Data!AS874)</f>
        <v/>
      </c>
      <c r="O884" s="44"/>
      <c r="P884" s="44"/>
    </row>
    <row r="885" spans="1:16" x14ac:dyDescent="0.2">
      <c r="A885" s="58" t="e">
        <f t="shared" si="13"/>
        <v>#VALUE!</v>
      </c>
      <c r="B885" s="144" t="str">
        <f>IF(ISBLANK(DaqBook_RAW_Data!AG875),IF(DaqBook_RAW_Data!A875="","",TIMEVALUE(DaqBook_RAW_Data!A875)),TIMEVALUE(DaqBook_RAW_Data!AG875))</f>
        <v/>
      </c>
      <c r="C885" s="167" t="str">
        <f>IF(ISBLANK(DaqBook_RAW_Data!AH875),"",DaqBook_RAW_Data!AH875)</f>
        <v/>
      </c>
      <c r="D885" s="167" t="str">
        <f>IF(ISBLANK(DaqBook_RAW_Data!AI875),"",DaqBook_RAW_Data!AI875)</f>
        <v/>
      </c>
      <c r="E885" s="167" t="str">
        <f>IF(ISBLANK(DaqBook_RAW_Data!AJ875),"",DaqBook_RAW_Data!AJ875)</f>
        <v/>
      </c>
      <c r="F885" s="167" t="str">
        <f>IF(ISBLANK(DaqBook_RAW_Data!AK875),"",DaqBook_RAW_Data!AK875)</f>
        <v/>
      </c>
      <c r="G885" s="167" t="str">
        <f>IF(ISBLANK(DaqBook_RAW_Data!AL875),"",DaqBook_RAW_Data!AL875)</f>
        <v/>
      </c>
      <c r="H885" s="167" t="str">
        <f>IF(ISBLANK(DaqBook_RAW_Data!AM875),"",DaqBook_RAW_Data!AM875)</f>
        <v/>
      </c>
      <c r="I885" s="167" t="str">
        <f>IF(ISBLANK(DaqBook_RAW_Data!AN875),"",DaqBook_RAW_Data!AN875)</f>
        <v/>
      </c>
      <c r="J885" s="167" t="str">
        <f>IF(ISBLANK(DaqBook_RAW_Data!AO875),"",DaqBook_RAW_Data!AO875)</f>
        <v/>
      </c>
      <c r="K885" s="167" t="str">
        <f>IF(ISBLANK(DaqBook_RAW_Data!AP875),"",DaqBook_RAW_Data!AP875)</f>
        <v/>
      </c>
      <c r="L885" s="167" t="str">
        <f>IF(ISBLANK(DaqBook_RAW_Data!AQ875),"",DaqBook_RAW_Data!AQ875)</f>
        <v/>
      </c>
      <c r="M885" s="167" t="str">
        <f>IF(ISBLANK(DaqBook_RAW_Data!AR875),"",DaqBook_RAW_Data!AR875)</f>
        <v/>
      </c>
      <c r="N885" s="167" t="str">
        <f>IF(ISBLANK(DaqBook_RAW_Data!AS875),"",DaqBook_RAW_Data!AS875)</f>
        <v/>
      </c>
      <c r="O885" s="44"/>
      <c r="P885" s="44"/>
    </row>
    <row r="886" spans="1:16" x14ac:dyDescent="0.2">
      <c r="A886" s="58" t="e">
        <f t="shared" si="13"/>
        <v>#VALUE!</v>
      </c>
      <c r="B886" s="144" t="str">
        <f>IF(ISBLANK(DaqBook_RAW_Data!AG876),IF(DaqBook_RAW_Data!A876="","",TIMEVALUE(DaqBook_RAW_Data!A876)),TIMEVALUE(DaqBook_RAW_Data!AG876))</f>
        <v/>
      </c>
      <c r="C886" s="167" t="str">
        <f>IF(ISBLANK(DaqBook_RAW_Data!AH876),"",DaqBook_RAW_Data!AH876)</f>
        <v/>
      </c>
      <c r="D886" s="167" t="str">
        <f>IF(ISBLANK(DaqBook_RAW_Data!AI876),"",DaqBook_RAW_Data!AI876)</f>
        <v/>
      </c>
      <c r="E886" s="167" t="str">
        <f>IF(ISBLANK(DaqBook_RAW_Data!AJ876),"",DaqBook_RAW_Data!AJ876)</f>
        <v/>
      </c>
      <c r="F886" s="167" t="str">
        <f>IF(ISBLANK(DaqBook_RAW_Data!AK876),"",DaqBook_RAW_Data!AK876)</f>
        <v/>
      </c>
      <c r="G886" s="167" t="str">
        <f>IF(ISBLANK(DaqBook_RAW_Data!AL876),"",DaqBook_RAW_Data!AL876)</f>
        <v/>
      </c>
      <c r="H886" s="167" t="str">
        <f>IF(ISBLANK(DaqBook_RAW_Data!AM876),"",DaqBook_RAW_Data!AM876)</f>
        <v/>
      </c>
      <c r="I886" s="167" t="str">
        <f>IF(ISBLANK(DaqBook_RAW_Data!AN876),"",DaqBook_RAW_Data!AN876)</f>
        <v/>
      </c>
      <c r="J886" s="167" t="str">
        <f>IF(ISBLANK(DaqBook_RAW_Data!AO876),"",DaqBook_RAW_Data!AO876)</f>
        <v/>
      </c>
      <c r="K886" s="167" t="str">
        <f>IF(ISBLANK(DaqBook_RAW_Data!AP876),"",DaqBook_RAW_Data!AP876)</f>
        <v/>
      </c>
      <c r="L886" s="167" t="str">
        <f>IF(ISBLANK(DaqBook_RAW_Data!AQ876),"",DaqBook_RAW_Data!AQ876)</f>
        <v/>
      </c>
      <c r="M886" s="167" t="str">
        <f>IF(ISBLANK(DaqBook_RAW_Data!AR876),"",DaqBook_RAW_Data!AR876)</f>
        <v/>
      </c>
      <c r="N886" s="167" t="str">
        <f>IF(ISBLANK(DaqBook_RAW_Data!AS876),"",DaqBook_RAW_Data!AS876)</f>
        <v/>
      </c>
      <c r="O886" s="44"/>
      <c r="P886" s="44"/>
    </row>
    <row r="887" spans="1:16" x14ac:dyDescent="0.2">
      <c r="A887" s="58" t="e">
        <f t="shared" si="13"/>
        <v>#VALUE!</v>
      </c>
      <c r="B887" s="144" t="str">
        <f>IF(ISBLANK(DaqBook_RAW_Data!AG877),IF(DaqBook_RAW_Data!A877="","",TIMEVALUE(DaqBook_RAW_Data!A877)),TIMEVALUE(DaqBook_RAW_Data!AG877))</f>
        <v/>
      </c>
      <c r="C887" s="167" t="str">
        <f>IF(ISBLANK(DaqBook_RAW_Data!AH877),"",DaqBook_RAW_Data!AH877)</f>
        <v/>
      </c>
      <c r="D887" s="167" t="str">
        <f>IF(ISBLANK(DaqBook_RAW_Data!AI877),"",DaqBook_RAW_Data!AI877)</f>
        <v/>
      </c>
      <c r="E887" s="167" t="str">
        <f>IF(ISBLANK(DaqBook_RAW_Data!AJ877),"",DaqBook_RAW_Data!AJ877)</f>
        <v/>
      </c>
      <c r="F887" s="167" t="str">
        <f>IF(ISBLANK(DaqBook_RAW_Data!AK877),"",DaqBook_RAW_Data!AK877)</f>
        <v/>
      </c>
      <c r="G887" s="167" t="str">
        <f>IF(ISBLANK(DaqBook_RAW_Data!AL877),"",DaqBook_RAW_Data!AL877)</f>
        <v/>
      </c>
      <c r="H887" s="167" t="str">
        <f>IF(ISBLANK(DaqBook_RAW_Data!AM877),"",DaqBook_RAW_Data!AM877)</f>
        <v/>
      </c>
      <c r="I887" s="167" t="str">
        <f>IF(ISBLANK(DaqBook_RAW_Data!AN877),"",DaqBook_RAW_Data!AN877)</f>
        <v/>
      </c>
      <c r="J887" s="167" t="str">
        <f>IF(ISBLANK(DaqBook_RAW_Data!AO877),"",DaqBook_RAW_Data!AO877)</f>
        <v/>
      </c>
      <c r="K887" s="167" t="str">
        <f>IF(ISBLANK(DaqBook_RAW_Data!AP877),"",DaqBook_RAW_Data!AP877)</f>
        <v/>
      </c>
      <c r="L887" s="167" t="str">
        <f>IF(ISBLANK(DaqBook_RAW_Data!AQ877),"",DaqBook_RAW_Data!AQ877)</f>
        <v/>
      </c>
      <c r="M887" s="167" t="str">
        <f>IF(ISBLANK(DaqBook_RAW_Data!AR877),"",DaqBook_RAW_Data!AR877)</f>
        <v/>
      </c>
      <c r="N887" s="167" t="str">
        <f>IF(ISBLANK(DaqBook_RAW_Data!AS877),"",DaqBook_RAW_Data!AS877)</f>
        <v/>
      </c>
      <c r="O887" s="44"/>
      <c r="P887" s="44"/>
    </row>
    <row r="888" spans="1:16" x14ac:dyDescent="0.2">
      <c r="A888" s="58" t="e">
        <f t="shared" si="13"/>
        <v>#VALUE!</v>
      </c>
      <c r="B888" s="144" t="str">
        <f>IF(ISBLANK(DaqBook_RAW_Data!AG878),IF(DaqBook_RAW_Data!A878="","",TIMEVALUE(DaqBook_RAW_Data!A878)),TIMEVALUE(DaqBook_RAW_Data!AG878))</f>
        <v/>
      </c>
      <c r="C888" s="167" t="str">
        <f>IF(ISBLANK(DaqBook_RAW_Data!AH878),"",DaqBook_RAW_Data!AH878)</f>
        <v/>
      </c>
      <c r="D888" s="167" t="str">
        <f>IF(ISBLANK(DaqBook_RAW_Data!AI878),"",DaqBook_RAW_Data!AI878)</f>
        <v/>
      </c>
      <c r="E888" s="167" t="str">
        <f>IF(ISBLANK(DaqBook_RAW_Data!AJ878),"",DaqBook_RAW_Data!AJ878)</f>
        <v/>
      </c>
      <c r="F888" s="167" t="str">
        <f>IF(ISBLANK(DaqBook_RAW_Data!AK878),"",DaqBook_RAW_Data!AK878)</f>
        <v/>
      </c>
      <c r="G888" s="167" t="str">
        <f>IF(ISBLANK(DaqBook_RAW_Data!AL878),"",DaqBook_RAW_Data!AL878)</f>
        <v/>
      </c>
      <c r="H888" s="167" t="str">
        <f>IF(ISBLANK(DaqBook_RAW_Data!AM878),"",DaqBook_RAW_Data!AM878)</f>
        <v/>
      </c>
      <c r="I888" s="167" t="str">
        <f>IF(ISBLANK(DaqBook_RAW_Data!AN878),"",DaqBook_RAW_Data!AN878)</f>
        <v/>
      </c>
      <c r="J888" s="167" t="str">
        <f>IF(ISBLANK(DaqBook_RAW_Data!AO878),"",DaqBook_RAW_Data!AO878)</f>
        <v/>
      </c>
      <c r="K888" s="167" t="str">
        <f>IF(ISBLANK(DaqBook_RAW_Data!AP878),"",DaqBook_RAW_Data!AP878)</f>
        <v/>
      </c>
      <c r="L888" s="167" t="str">
        <f>IF(ISBLANK(DaqBook_RAW_Data!AQ878),"",DaqBook_RAW_Data!AQ878)</f>
        <v/>
      </c>
      <c r="M888" s="167" t="str">
        <f>IF(ISBLANK(DaqBook_RAW_Data!AR878),"",DaqBook_RAW_Data!AR878)</f>
        <v/>
      </c>
      <c r="N888" s="167" t="str">
        <f>IF(ISBLANK(DaqBook_RAW_Data!AS878),"",DaqBook_RAW_Data!AS878)</f>
        <v/>
      </c>
      <c r="O888" s="44"/>
      <c r="P888" s="44"/>
    </row>
    <row r="889" spans="1:16" x14ac:dyDescent="0.2">
      <c r="A889" s="58" t="e">
        <f t="shared" si="13"/>
        <v>#VALUE!</v>
      </c>
      <c r="B889" s="144" t="str">
        <f>IF(ISBLANK(DaqBook_RAW_Data!AG879),IF(DaqBook_RAW_Data!A879="","",TIMEVALUE(DaqBook_RAW_Data!A879)),TIMEVALUE(DaqBook_RAW_Data!AG879))</f>
        <v/>
      </c>
      <c r="C889" s="167" t="str">
        <f>IF(ISBLANK(DaqBook_RAW_Data!AH879),"",DaqBook_RAW_Data!AH879)</f>
        <v/>
      </c>
      <c r="D889" s="167" t="str">
        <f>IF(ISBLANK(DaqBook_RAW_Data!AI879),"",DaqBook_RAW_Data!AI879)</f>
        <v/>
      </c>
      <c r="E889" s="167" t="str">
        <f>IF(ISBLANK(DaqBook_RAW_Data!AJ879),"",DaqBook_RAW_Data!AJ879)</f>
        <v/>
      </c>
      <c r="F889" s="167" t="str">
        <f>IF(ISBLANK(DaqBook_RAW_Data!AK879),"",DaqBook_RAW_Data!AK879)</f>
        <v/>
      </c>
      <c r="G889" s="167" t="str">
        <f>IF(ISBLANK(DaqBook_RAW_Data!AL879),"",DaqBook_RAW_Data!AL879)</f>
        <v/>
      </c>
      <c r="H889" s="167" t="str">
        <f>IF(ISBLANK(DaqBook_RAW_Data!AM879),"",DaqBook_RAW_Data!AM879)</f>
        <v/>
      </c>
      <c r="I889" s="167" t="str">
        <f>IF(ISBLANK(DaqBook_RAW_Data!AN879),"",DaqBook_RAW_Data!AN879)</f>
        <v/>
      </c>
      <c r="J889" s="167" t="str">
        <f>IF(ISBLANK(DaqBook_RAW_Data!AO879),"",DaqBook_RAW_Data!AO879)</f>
        <v/>
      </c>
      <c r="K889" s="167" t="str">
        <f>IF(ISBLANK(DaqBook_RAW_Data!AP879),"",DaqBook_RAW_Data!AP879)</f>
        <v/>
      </c>
      <c r="L889" s="167" t="str">
        <f>IF(ISBLANK(DaqBook_RAW_Data!AQ879),"",DaqBook_RAW_Data!AQ879)</f>
        <v/>
      </c>
      <c r="M889" s="167" t="str">
        <f>IF(ISBLANK(DaqBook_RAW_Data!AR879),"",DaqBook_RAW_Data!AR879)</f>
        <v/>
      </c>
      <c r="N889" s="167" t="str">
        <f>IF(ISBLANK(DaqBook_RAW_Data!AS879),"",DaqBook_RAW_Data!AS879)</f>
        <v/>
      </c>
      <c r="O889" s="44"/>
      <c r="P889" s="44"/>
    </row>
    <row r="890" spans="1:16" x14ac:dyDescent="0.2">
      <c r="A890" s="58" t="e">
        <f t="shared" si="13"/>
        <v>#VALUE!</v>
      </c>
      <c r="B890" s="144" t="str">
        <f>IF(ISBLANK(DaqBook_RAW_Data!AG880),IF(DaqBook_RAW_Data!A880="","",TIMEVALUE(DaqBook_RAW_Data!A880)),TIMEVALUE(DaqBook_RAW_Data!AG880))</f>
        <v/>
      </c>
      <c r="C890" s="167" t="str">
        <f>IF(ISBLANK(DaqBook_RAW_Data!AH880),"",DaqBook_RAW_Data!AH880)</f>
        <v/>
      </c>
      <c r="D890" s="167" t="str">
        <f>IF(ISBLANK(DaqBook_RAW_Data!AI880),"",DaqBook_RAW_Data!AI880)</f>
        <v/>
      </c>
      <c r="E890" s="167" t="str">
        <f>IF(ISBLANK(DaqBook_RAW_Data!AJ880),"",DaqBook_RAW_Data!AJ880)</f>
        <v/>
      </c>
      <c r="F890" s="167" t="str">
        <f>IF(ISBLANK(DaqBook_RAW_Data!AK880),"",DaqBook_RAW_Data!AK880)</f>
        <v/>
      </c>
      <c r="G890" s="167" t="str">
        <f>IF(ISBLANK(DaqBook_RAW_Data!AL880),"",DaqBook_RAW_Data!AL880)</f>
        <v/>
      </c>
      <c r="H890" s="167" t="str">
        <f>IF(ISBLANK(DaqBook_RAW_Data!AM880),"",DaqBook_RAW_Data!AM880)</f>
        <v/>
      </c>
      <c r="I890" s="167" t="str">
        <f>IF(ISBLANK(DaqBook_RAW_Data!AN880),"",DaqBook_RAW_Data!AN880)</f>
        <v/>
      </c>
      <c r="J890" s="167" t="str">
        <f>IF(ISBLANK(DaqBook_RAW_Data!AO880),"",DaqBook_RAW_Data!AO880)</f>
        <v/>
      </c>
      <c r="K890" s="167" t="str">
        <f>IF(ISBLANK(DaqBook_RAW_Data!AP880),"",DaqBook_RAW_Data!AP880)</f>
        <v/>
      </c>
      <c r="L890" s="167" t="str">
        <f>IF(ISBLANK(DaqBook_RAW_Data!AQ880),"",DaqBook_RAW_Data!AQ880)</f>
        <v/>
      </c>
      <c r="M890" s="167" t="str">
        <f>IF(ISBLANK(DaqBook_RAW_Data!AR880),"",DaqBook_RAW_Data!AR880)</f>
        <v/>
      </c>
      <c r="N890" s="167" t="str">
        <f>IF(ISBLANK(DaqBook_RAW_Data!AS880),"",DaqBook_RAW_Data!AS880)</f>
        <v/>
      </c>
      <c r="O890" s="44"/>
      <c r="P890" s="44"/>
    </row>
    <row r="891" spans="1:16" x14ac:dyDescent="0.2">
      <c r="A891" s="58" t="e">
        <f t="shared" si="13"/>
        <v>#VALUE!</v>
      </c>
      <c r="B891" s="144" t="str">
        <f>IF(ISBLANK(DaqBook_RAW_Data!AG881),IF(DaqBook_RAW_Data!A881="","",TIMEVALUE(DaqBook_RAW_Data!A881)),TIMEVALUE(DaqBook_RAW_Data!AG881))</f>
        <v/>
      </c>
      <c r="C891" s="167" t="str">
        <f>IF(ISBLANK(DaqBook_RAW_Data!AH881),"",DaqBook_RAW_Data!AH881)</f>
        <v/>
      </c>
      <c r="D891" s="167" t="str">
        <f>IF(ISBLANK(DaqBook_RAW_Data!AI881),"",DaqBook_RAW_Data!AI881)</f>
        <v/>
      </c>
      <c r="E891" s="167" t="str">
        <f>IF(ISBLANK(DaqBook_RAW_Data!AJ881),"",DaqBook_RAW_Data!AJ881)</f>
        <v/>
      </c>
      <c r="F891" s="167" t="str">
        <f>IF(ISBLANK(DaqBook_RAW_Data!AK881),"",DaqBook_RAW_Data!AK881)</f>
        <v/>
      </c>
      <c r="G891" s="167" t="str">
        <f>IF(ISBLANK(DaqBook_RAW_Data!AL881),"",DaqBook_RAW_Data!AL881)</f>
        <v/>
      </c>
      <c r="H891" s="167" t="str">
        <f>IF(ISBLANK(DaqBook_RAW_Data!AM881),"",DaqBook_RAW_Data!AM881)</f>
        <v/>
      </c>
      <c r="I891" s="167" t="str">
        <f>IF(ISBLANK(DaqBook_RAW_Data!AN881),"",DaqBook_RAW_Data!AN881)</f>
        <v/>
      </c>
      <c r="J891" s="167" t="str">
        <f>IF(ISBLANK(DaqBook_RAW_Data!AO881),"",DaqBook_RAW_Data!AO881)</f>
        <v/>
      </c>
      <c r="K891" s="167" t="str">
        <f>IF(ISBLANK(DaqBook_RAW_Data!AP881),"",DaqBook_RAW_Data!AP881)</f>
        <v/>
      </c>
      <c r="L891" s="167" t="str">
        <f>IF(ISBLANK(DaqBook_RAW_Data!AQ881),"",DaqBook_RAW_Data!AQ881)</f>
        <v/>
      </c>
      <c r="M891" s="167" t="str">
        <f>IF(ISBLANK(DaqBook_RAW_Data!AR881),"",DaqBook_RAW_Data!AR881)</f>
        <v/>
      </c>
      <c r="N891" s="167" t="str">
        <f>IF(ISBLANK(DaqBook_RAW_Data!AS881),"",DaqBook_RAW_Data!AS881)</f>
        <v/>
      </c>
      <c r="O891" s="44"/>
      <c r="P891" s="44"/>
    </row>
    <row r="892" spans="1:16" x14ac:dyDescent="0.2">
      <c r="A892" s="58" t="e">
        <f t="shared" si="13"/>
        <v>#VALUE!</v>
      </c>
      <c r="B892" s="144" t="str">
        <f>IF(ISBLANK(DaqBook_RAW_Data!AG882),IF(DaqBook_RAW_Data!A882="","",TIMEVALUE(DaqBook_RAW_Data!A882)),TIMEVALUE(DaqBook_RAW_Data!AG882))</f>
        <v/>
      </c>
      <c r="C892" s="167" t="str">
        <f>IF(ISBLANK(DaqBook_RAW_Data!AH882),"",DaqBook_RAW_Data!AH882)</f>
        <v/>
      </c>
      <c r="D892" s="167" t="str">
        <f>IF(ISBLANK(DaqBook_RAW_Data!AI882),"",DaqBook_RAW_Data!AI882)</f>
        <v/>
      </c>
      <c r="E892" s="167" t="str">
        <f>IF(ISBLANK(DaqBook_RAW_Data!AJ882),"",DaqBook_RAW_Data!AJ882)</f>
        <v/>
      </c>
      <c r="F892" s="167" t="str">
        <f>IF(ISBLANK(DaqBook_RAW_Data!AK882),"",DaqBook_RAW_Data!AK882)</f>
        <v/>
      </c>
      <c r="G892" s="167" t="str">
        <f>IF(ISBLANK(DaqBook_RAW_Data!AL882),"",DaqBook_RAW_Data!AL882)</f>
        <v/>
      </c>
      <c r="H892" s="167" t="str">
        <f>IF(ISBLANK(DaqBook_RAW_Data!AM882),"",DaqBook_RAW_Data!AM882)</f>
        <v/>
      </c>
      <c r="I892" s="167" t="str">
        <f>IF(ISBLANK(DaqBook_RAW_Data!AN882),"",DaqBook_RAW_Data!AN882)</f>
        <v/>
      </c>
      <c r="J892" s="167" t="str">
        <f>IF(ISBLANK(DaqBook_RAW_Data!AO882),"",DaqBook_RAW_Data!AO882)</f>
        <v/>
      </c>
      <c r="K892" s="167" t="str">
        <f>IF(ISBLANK(DaqBook_RAW_Data!AP882),"",DaqBook_RAW_Data!AP882)</f>
        <v/>
      </c>
      <c r="L892" s="167" t="str">
        <f>IF(ISBLANK(DaqBook_RAW_Data!AQ882),"",DaqBook_RAW_Data!AQ882)</f>
        <v/>
      </c>
      <c r="M892" s="167" t="str">
        <f>IF(ISBLANK(DaqBook_RAW_Data!AR882),"",DaqBook_RAW_Data!AR882)</f>
        <v/>
      </c>
      <c r="N892" s="167" t="str">
        <f>IF(ISBLANK(DaqBook_RAW_Data!AS882),"",DaqBook_RAW_Data!AS882)</f>
        <v/>
      </c>
      <c r="O892" s="44"/>
      <c r="P892" s="44"/>
    </row>
    <row r="893" spans="1:16" x14ac:dyDescent="0.2">
      <c r="A893" s="58" t="e">
        <f t="shared" si="13"/>
        <v>#VALUE!</v>
      </c>
      <c r="B893" s="144" t="str">
        <f>IF(ISBLANK(DaqBook_RAW_Data!AG883),IF(DaqBook_RAW_Data!A883="","",TIMEVALUE(DaqBook_RAW_Data!A883)),TIMEVALUE(DaqBook_RAW_Data!AG883))</f>
        <v/>
      </c>
      <c r="C893" s="167" t="str">
        <f>IF(ISBLANK(DaqBook_RAW_Data!AH883),"",DaqBook_RAW_Data!AH883)</f>
        <v/>
      </c>
      <c r="D893" s="167" t="str">
        <f>IF(ISBLANK(DaqBook_RAW_Data!AI883),"",DaqBook_RAW_Data!AI883)</f>
        <v/>
      </c>
      <c r="E893" s="167" t="str">
        <f>IF(ISBLANK(DaqBook_RAW_Data!AJ883),"",DaqBook_RAW_Data!AJ883)</f>
        <v/>
      </c>
      <c r="F893" s="167" t="str">
        <f>IF(ISBLANK(DaqBook_RAW_Data!AK883),"",DaqBook_RAW_Data!AK883)</f>
        <v/>
      </c>
      <c r="G893" s="167" t="str">
        <f>IF(ISBLANK(DaqBook_RAW_Data!AL883),"",DaqBook_RAW_Data!AL883)</f>
        <v/>
      </c>
      <c r="H893" s="167" t="str">
        <f>IF(ISBLANK(DaqBook_RAW_Data!AM883),"",DaqBook_RAW_Data!AM883)</f>
        <v/>
      </c>
      <c r="I893" s="167" t="str">
        <f>IF(ISBLANK(DaqBook_RAW_Data!AN883),"",DaqBook_RAW_Data!AN883)</f>
        <v/>
      </c>
      <c r="J893" s="167" t="str">
        <f>IF(ISBLANK(DaqBook_RAW_Data!AO883),"",DaqBook_RAW_Data!AO883)</f>
        <v/>
      </c>
      <c r="K893" s="167" t="str">
        <f>IF(ISBLANK(DaqBook_RAW_Data!AP883),"",DaqBook_RAW_Data!AP883)</f>
        <v/>
      </c>
      <c r="L893" s="167" t="str">
        <f>IF(ISBLANK(DaqBook_RAW_Data!AQ883),"",DaqBook_RAW_Data!AQ883)</f>
        <v/>
      </c>
      <c r="M893" s="167" t="str">
        <f>IF(ISBLANK(DaqBook_RAW_Data!AR883),"",DaqBook_RAW_Data!AR883)</f>
        <v/>
      </c>
      <c r="N893" s="167" t="str">
        <f>IF(ISBLANK(DaqBook_RAW_Data!AS883),"",DaqBook_RAW_Data!AS883)</f>
        <v/>
      </c>
      <c r="O893" s="44"/>
      <c r="P893" s="44"/>
    </row>
    <row r="894" spans="1:16" x14ac:dyDescent="0.2">
      <c r="A894" s="58" t="e">
        <f t="shared" si="13"/>
        <v>#VALUE!</v>
      </c>
      <c r="B894" s="144" t="str">
        <f>IF(ISBLANK(DaqBook_RAW_Data!AG884),IF(DaqBook_RAW_Data!A884="","",TIMEVALUE(DaqBook_RAW_Data!A884)),TIMEVALUE(DaqBook_RAW_Data!AG884))</f>
        <v/>
      </c>
      <c r="C894" s="167" t="str">
        <f>IF(ISBLANK(DaqBook_RAW_Data!AH884),"",DaqBook_RAW_Data!AH884)</f>
        <v/>
      </c>
      <c r="D894" s="167" t="str">
        <f>IF(ISBLANK(DaqBook_RAW_Data!AI884),"",DaqBook_RAW_Data!AI884)</f>
        <v/>
      </c>
      <c r="E894" s="167" t="str">
        <f>IF(ISBLANK(DaqBook_RAW_Data!AJ884),"",DaqBook_RAW_Data!AJ884)</f>
        <v/>
      </c>
      <c r="F894" s="167" t="str">
        <f>IF(ISBLANK(DaqBook_RAW_Data!AK884),"",DaqBook_RAW_Data!AK884)</f>
        <v/>
      </c>
      <c r="G894" s="167" t="str">
        <f>IF(ISBLANK(DaqBook_RAW_Data!AL884),"",DaqBook_RAW_Data!AL884)</f>
        <v/>
      </c>
      <c r="H894" s="167" t="str">
        <f>IF(ISBLANK(DaqBook_RAW_Data!AM884),"",DaqBook_RAW_Data!AM884)</f>
        <v/>
      </c>
      <c r="I894" s="167" t="str">
        <f>IF(ISBLANK(DaqBook_RAW_Data!AN884),"",DaqBook_RAW_Data!AN884)</f>
        <v/>
      </c>
      <c r="J894" s="167" t="str">
        <f>IF(ISBLANK(DaqBook_RAW_Data!AO884),"",DaqBook_RAW_Data!AO884)</f>
        <v/>
      </c>
      <c r="K894" s="167" t="str">
        <f>IF(ISBLANK(DaqBook_RAW_Data!AP884),"",DaqBook_RAW_Data!AP884)</f>
        <v/>
      </c>
      <c r="L894" s="167" t="str">
        <f>IF(ISBLANK(DaqBook_RAW_Data!AQ884),"",DaqBook_RAW_Data!AQ884)</f>
        <v/>
      </c>
      <c r="M894" s="167" t="str">
        <f>IF(ISBLANK(DaqBook_RAW_Data!AR884),"",DaqBook_RAW_Data!AR884)</f>
        <v/>
      </c>
      <c r="N894" s="167" t="str">
        <f>IF(ISBLANK(DaqBook_RAW_Data!AS884),"",DaqBook_RAW_Data!AS884)</f>
        <v/>
      </c>
      <c r="O894" s="44"/>
      <c r="P894" s="44"/>
    </row>
    <row r="895" spans="1:16" x14ac:dyDescent="0.2">
      <c r="A895" s="58" t="e">
        <f t="shared" si="13"/>
        <v>#VALUE!</v>
      </c>
      <c r="B895" s="144" t="str">
        <f>IF(ISBLANK(DaqBook_RAW_Data!AG885),IF(DaqBook_RAW_Data!A885="","",TIMEVALUE(DaqBook_RAW_Data!A885)),TIMEVALUE(DaqBook_RAW_Data!AG885))</f>
        <v/>
      </c>
      <c r="C895" s="167" t="str">
        <f>IF(ISBLANK(DaqBook_RAW_Data!AH885),"",DaqBook_RAW_Data!AH885)</f>
        <v/>
      </c>
      <c r="D895" s="167" t="str">
        <f>IF(ISBLANK(DaqBook_RAW_Data!AI885),"",DaqBook_RAW_Data!AI885)</f>
        <v/>
      </c>
      <c r="E895" s="167" t="str">
        <f>IF(ISBLANK(DaqBook_RAW_Data!AJ885),"",DaqBook_RAW_Data!AJ885)</f>
        <v/>
      </c>
      <c r="F895" s="167" t="str">
        <f>IF(ISBLANK(DaqBook_RAW_Data!AK885),"",DaqBook_RAW_Data!AK885)</f>
        <v/>
      </c>
      <c r="G895" s="167" t="str">
        <f>IF(ISBLANK(DaqBook_RAW_Data!AL885),"",DaqBook_RAW_Data!AL885)</f>
        <v/>
      </c>
      <c r="H895" s="167" t="str">
        <f>IF(ISBLANK(DaqBook_RAW_Data!AM885),"",DaqBook_RAW_Data!AM885)</f>
        <v/>
      </c>
      <c r="I895" s="167" t="str">
        <f>IF(ISBLANK(DaqBook_RAW_Data!AN885),"",DaqBook_RAW_Data!AN885)</f>
        <v/>
      </c>
      <c r="J895" s="167" t="str">
        <f>IF(ISBLANK(DaqBook_RAW_Data!AO885),"",DaqBook_RAW_Data!AO885)</f>
        <v/>
      </c>
      <c r="K895" s="167" t="str">
        <f>IF(ISBLANK(DaqBook_RAW_Data!AP885),"",DaqBook_RAW_Data!AP885)</f>
        <v/>
      </c>
      <c r="L895" s="167" t="str">
        <f>IF(ISBLANK(DaqBook_RAW_Data!AQ885),"",DaqBook_RAW_Data!AQ885)</f>
        <v/>
      </c>
      <c r="M895" s="167" t="str">
        <f>IF(ISBLANK(DaqBook_RAW_Data!AR885),"",DaqBook_RAW_Data!AR885)</f>
        <v/>
      </c>
      <c r="N895" s="167" t="str">
        <f>IF(ISBLANK(DaqBook_RAW_Data!AS885),"",DaqBook_RAW_Data!AS885)</f>
        <v/>
      </c>
      <c r="O895" s="44"/>
      <c r="P895" s="44"/>
    </row>
    <row r="896" spans="1:16" x14ac:dyDescent="0.2">
      <c r="A896" s="58" t="e">
        <f t="shared" si="13"/>
        <v>#VALUE!</v>
      </c>
      <c r="B896" s="144" t="str">
        <f>IF(ISBLANK(DaqBook_RAW_Data!AG886),IF(DaqBook_RAW_Data!A886="","",TIMEVALUE(DaqBook_RAW_Data!A886)),TIMEVALUE(DaqBook_RAW_Data!AG886))</f>
        <v/>
      </c>
      <c r="C896" s="167" t="str">
        <f>IF(ISBLANK(DaqBook_RAW_Data!AH886),"",DaqBook_RAW_Data!AH886)</f>
        <v/>
      </c>
      <c r="D896" s="167" t="str">
        <f>IF(ISBLANK(DaqBook_RAW_Data!AI886),"",DaqBook_RAW_Data!AI886)</f>
        <v/>
      </c>
      <c r="E896" s="167" t="str">
        <f>IF(ISBLANK(DaqBook_RAW_Data!AJ886),"",DaqBook_RAW_Data!AJ886)</f>
        <v/>
      </c>
      <c r="F896" s="167" t="str">
        <f>IF(ISBLANK(DaqBook_RAW_Data!AK886),"",DaqBook_RAW_Data!AK886)</f>
        <v/>
      </c>
      <c r="G896" s="167" t="str">
        <f>IF(ISBLANK(DaqBook_RAW_Data!AL886),"",DaqBook_RAW_Data!AL886)</f>
        <v/>
      </c>
      <c r="H896" s="167" t="str">
        <f>IF(ISBLANK(DaqBook_RAW_Data!AM886),"",DaqBook_RAW_Data!AM886)</f>
        <v/>
      </c>
      <c r="I896" s="167" t="str">
        <f>IF(ISBLANK(DaqBook_RAW_Data!AN886),"",DaqBook_RAW_Data!AN886)</f>
        <v/>
      </c>
      <c r="J896" s="167" t="str">
        <f>IF(ISBLANK(DaqBook_RAW_Data!AO886),"",DaqBook_RAW_Data!AO886)</f>
        <v/>
      </c>
      <c r="K896" s="167" t="str">
        <f>IF(ISBLANK(DaqBook_RAW_Data!AP886),"",DaqBook_RAW_Data!AP886)</f>
        <v/>
      </c>
      <c r="L896" s="167" t="str">
        <f>IF(ISBLANK(DaqBook_RAW_Data!AQ886),"",DaqBook_RAW_Data!AQ886)</f>
        <v/>
      </c>
      <c r="M896" s="167" t="str">
        <f>IF(ISBLANK(DaqBook_RAW_Data!AR886),"",DaqBook_RAW_Data!AR886)</f>
        <v/>
      </c>
      <c r="N896" s="167" t="str">
        <f>IF(ISBLANK(DaqBook_RAW_Data!AS886),"",DaqBook_RAW_Data!AS886)</f>
        <v/>
      </c>
      <c r="O896" s="44"/>
      <c r="P896" s="44"/>
    </row>
    <row r="897" spans="1:16" x14ac:dyDescent="0.2">
      <c r="A897" s="58" t="e">
        <f t="shared" si="13"/>
        <v>#VALUE!</v>
      </c>
      <c r="B897" s="144" t="str">
        <f>IF(ISBLANK(DaqBook_RAW_Data!AG887),IF(DaqBook_RAW_Data!A887="","",TIMEVALUE(DaqBook_RAW_Data!A887)),TIMEVALUE(DaqBook_RAW_Data!AG887))</f>
        <v/>
      </c>
      <c r="C897" s="167" t="str">
        <f>IF(ISBLANK(DaqBook_RAW_Data!AH887),"",DaqBook_RAW_Data!AH887)</f>
        <v/>
      </c>
      <c r="D897" s="167" t="str">
        <f>IF(ISBLANK(DaqBook_RAW_Data!AI887),"",DaqBook_RAW_Data!AI887)</f>
        <v/>
      </c>
      <c r="E897" s="167" t="str">
        <f>IF(ISBLANK(DaqBook_RAW_Data!AJ887),"",DaqBook_RAW_Data!AJ887)</f>
        <v/>
      </c>
      <c r="F897" s="167" t="str">
        <f>IF(ISBLANK(DaqBook_RAW_Data!AK887),"",DaqBook_RAW_Data!AK887)</f>
        <v/>
      </c>
      <c r="G897" s="167" t="str">
        <f>IF(ISBLANK(DaqBook_RAW_Data!AL887),"",DaqBook_RAW_Data!AL887)</f>
        <v/>
      </c>
      <c r="H897" s="167" t="str">
        <f>IF(ISBLANK(DaqBook_RAW_Data!AM887),"",DaqBook_RAW_Data!AM887)</f>
        <v/>
      </c>
      <c r="I897" s="167" t="str">
        <f>IF(ISBLANK(DaqBook_RAW_Data!AN887),"",DaqBook_RAW_Data!AN887)</f>
        <v/>
      </c>
      <c r="J897" s="167" t="str">
        <f>IF(ISBLANK(DaqBook_RAW_Data!AO887),"",DaqBook_RAW_Data!AO887)</f>
        <v/>
      </c>
      <c r="K897" s="167" t="str">
        <f>IF(ISBLANK(DaqBook_RAW_Data!AP887),"",DaqBook_RAW_Data!AP887)</f>
        <v/>
      </c>
      <c r="L897" s="167" t="str">
        <f>IF(ISBLANK(DaqBook_RAW_Data!AQ887),"",DaqBook_RAW_Data!AQ887)</f>
        <v/>
      </c>
      <c r="M897" s="167" t="str">
        <f>IF(ISBLANK(DaqBook_RAW_Data!AR887),"",DaqBook_RAW_Data!AR887)</f>
        <v/>
      </c>
      <c r="N897" s="167" t="str">
        <f>IF(ISBLANK(DaqBook_RAW_Data!AS887),"",DaqBook_RAW_Data!AS887)</f>
        <v/>
      </c>
      <c r="O897" s="44"/>
      <c r="P897" s="44"/>
    </row>
    <row r="898" spans="1:16" x14ac:dyDescent="0.2">
      <c r="A898" s="58" t="e">
        <f t="shared" si="13"/>
        <v>#VALUE!</v>
      </c>
      <c r="B898" s="144" t="str">
        <f>IF(ISBLANK(DaqBook_RAW_Data!AG888),IF(DaqBook_RAW_Data!A888="","",TIMEVALUE(DaqBook_RAW_Data!A888)),TIMEVALUE(DaqBook_RAW_Data!AG888))</f>
        <v/>
      </c>
      <c r="C898" s="167" t="str">
        <f>IF(ISBLANK(DaqBook_RAW_Data!AH888),"",DaqBook_RAW_Data!AH888)</f>
        <v/>
      </c>
      <c r="D898" s="167" t="str">
        <f>IF(ISBLANK(DaqBook_RAW_Data!AI888),"",DaqBook_RAW_Data!AI888)</f>
        <v/>
      </c>
      <c r="E898" s="167" t="str">
        <f>IF(ISBLANK(DaqBook_RAW_Data!AJ888),"",DaqBook_RAW_Data!AJ888)</f>
        <v/>
      </c>
      <c r="F898" s="167" t="str">
        <f>IF(ISBLANK(DaqBook_RAW_Data!AK888),"",DaqBook_RAW_Data!AK888)</f>
        <v/>
      </c>
      <c r="G898" s="167" t="str">
        <f>IF(ISBLANK(DaqBook_RAW_Data!AL888),"",DaqBook_RAW_Data!AL888)</f>
        <v/>
      </c>
      <c r="H898" s="167" t="str">
        <f>IF(ISBLANK(DaqBook_RAW_Data!AM888),"",DaqBook_RAW_Data!AM888)</f>
        <v/>
      </c>
      <c r="I898" s="167" t="str">
        <f>IF(ISBLANK(DaqBook_RAW_Data!AN888),"",DaqBook_RAW_Data!AN888)</f>
        <v/>
      </c>
      <c r="J898" s="167" t="str">
        <f>IF(ISBLANK(DaqBook_RAW_Data!AO888),"",DaqBook_RAW_Data!AO888)</f>
        <v/>
      </c>
      <c r="K898" s="167" t="str">
        <f>IF(ISBLANK(DaqBook_RAW_Data!AP888),"",DaqBook_RAW_Data!AP888)</f>
        <v/>
      </c>
      <c r="L898" s="167" t="str">
        <f>IF(ISBLANK(DaqBook_RAW_Data!AQ888),"",DaqBook_RAW_Data!AQ888)</f>
        <v/>
      </c>
      <c r="M898" s="167" t="str">
        <f>IF(ISBLANK(DaqBook_RAW_Data!AR888),"",DaqBook_RAW_Data!AR888)</f>
        <v/>
      </c>
      <c r="N898" s="167" t="str">
        <f>IF(ISBLANK(DaqBook_RAW_Data!AS888),"",DaqBook_RAW_Data!AS888)</f>
        <v/>
      </c>
      <c r="O898" s="44"/>
      <c r="P898" s="44"/>
    </row>
    <row r="899" spans="1:16" x14ac:dyDescent="0.2">
      <c r="A899" s="58" t="e">
        <f t="shared" si="13"/>
        <v>#VALUE!</v>
      </c>
      <c r="B899" s="144" t="str">
        <f>IF(ISBLANK(DaqBook_RAW_Data!AG889),IF(DaqBook_RAW_Data!A889="","",TIMEVALUE(DaqBook_RAW_Data!A889)),TIMEVALUE(DaqBook_RAW_Data!AG889))</f>
        <v/>
      </c>
      <c r="C899" s="167" t="str">
        <f>IF(ISBLANK(DaqBook_RAW_Data!AH889),"",DaqBook_RAW_Data!AH889)</f>
        <v/>
      </c>
      <c r="D899" s="167" t="str">
        <f>IF(ISBLANK(DaqBook_RAW_Data!AI889),"",DaqBook_RAW_Data!AI889)</f>
        <v/>
      </c>
      <c r="E899" s="167" t="str">
        <f>IF(ISBLANK(DaqBook_RAW_Data!AJ889),"",DaqBook_RAW_Data!AJ889)</f>
        <v/>
      </c>
      <c r="F899" s="167" t="str">
        <f>IF(ISBLANK(DaqBook_RAW_Data!AK889),"",DaqBook_RAW_Data!AK889)</f>
        <v/>
      </c>
      <c r="G899" s="167" t="str">
        <f>IF(ISBLANK(DaqBook_RAW_Data!AL889),"",DaqBook_RAW_Data!AL889)</f>
        <v/>
      </c>
      <c r="H899" s="167" t="str">
        <f>IF(ISBLANK(DaqBook_RAW_Data!AM889),"",DaqBook_RAW_Data!AM889)</f>
        <v/>
      </c>
      <c r="I899" s="167" t="str">
        <f>IF(ISBLANK(DaqBook_RAW_Data!AN889),"",DaqBook_RAW_Data!AN889)</f>
        <v/>
      </c>
      <c r="J899" s="167" t="str">
        <f>IF(ISBLANK(DaqBook_RAW_Data!AO889),"",DaqBook_RAW_Data!AO889)</f>
        <v/>
      </c>
      <c r="K899" s="167" t="str">
        <f>IF(ISBLANK(DaqBook_RAW_Data!AP889),"",DaqBook_RAW_Data!AP889)</f>
        <v/>
      </c>
      <c r="L899" s="167" t="str">
        <f>IF(ISBLANK(DaqBook_RAW_Data!AQ889),"",DaqBook_RAW_Data!AQ889)</f>
        <v/>
      </c>
      <c r="M899" s="167" t="str">
        <f>IF(ISBLANK(DaqBook_RAW_Data!AR889),"",DaqBook_RAW_Data!AR889)</f>
        <v/>
      </c>
      <c r="N899" s="167" t="str">
        <f>IF(ISBLANK(DaqBook_RAW_Data!AS889),"",DaqBook_RAW_Data!AS889)</f>
        <v/>
      </c>
      <c r="O899" s="44"/>
      <c r="P899" s="44"/>
    </row>
    <row r="900" spans="1:16" x14ac:dyDescent="0.2">
      <c r="A900" s="58" t="e">
        <f t="shared" si="13"/>
        <v>#VALUE!</v>
      </c>
      <c r="B900" s="144" t="str">
        <f>IF(ISBLANK(DaqBook_RAW_Data!AG890),IF(DaqBook_RAW_Data!A890="","",TIMEVALUE(DaqBook_RAW_Data!A890)),TIMEVALUE(DaqBook_RAW_Data!AG890))</f>
        <v/>
      </c>
      <c r="C900" s="167" t="str">
        <f>IF(ISBLANK(DaqBook_RAW_Data!AH890),"",DaqBook_RAW_Data!AH890)</f>
        <v/>
      </c>
      <c r="D900" s="167" t="str">
        <f>IF(ISBLANK(DaqBook_RAW_Data!AI890),"",DaqBook_RAW_Data!AI890)</f>
        <v/>
      </c>
      <c r="E900" s="167" t="str">
        <f>IF(ISBLANK(DaqBook_RAW_Data!AJ890),"",DaqBook_RAW_Data!AJ890)</f>
        <v/>
      </c>
      <c r="F900" s="167" t="str">
        <f>IF(ISBLANK(DaqBook_RAW_Data!AK890),"",DaqBook_RAW_Data!AK890)</f>
        <v/>
      </c>
      <c r="G900" s="167" t="str">
        <f>IF(ISBLANK(DaqBook_RAW_Data!AL890),"",DaqBook_RAW_Data!AL890)</f>
        <v/>
      </c>
      <c r="H900" s="167" t="str">
        <f>IF(ISBLANK(DaqBook_RAW_Data!AM890),"",DaqBook_RAW_Data!AM890)</f>
        <v/>
      </c>
      <c r="I900" s="167" t="str">
        <f>IF(ISBLANK(DaqBook_RAW_Data!AN890),"",DaqBook_RAW_Data!AN890)</f>
        <v/>
      </c>
      <c r="J900" s="167" t="str">
        <f>IF(ISBLANK(DaqBook_RAW_Data!AO890),"",DaqBook_RAW_Data!AO890)</f>
        <v/>
      </c>
      <c r="K900" s="167" t="str">
        <f>IF(ISBLANK(DaqBook_RAW_Data!AP890),"",DaqBook_RAW_Data!AP890)</f>
        <v/>
      </c>
      <c r="L900" s="167" t="str">
        <f>IF(ISBLANK(DaqBook_RAW_Data!AQ890),"",DaqBook_RAW_Data!AQ890)</f>
        <v/>
      </c>
      <c r="M900" s="167" t="str">
        <f>IF(ISBLANK(DaqBook_RAW_Data!AR890),"",DaqBook_RAW_Data!AR890)</f>
        <v/>
      </c>
      <c r="N900" s="167" t="str">
        <f>IF(ISBLANK(DaqBook_RAW_Data!AS890),"",DaqBook_RAW_Data!AS890)</f>
        <v/>
      </c>
      <c r="O900" s="44"/>
      <c r="P900" s="44"/>
    </row>
    <row r="901" spans="1:16" x14ac:dyDescent="0.2">
      <c r="A901" s="58" t="e">
        <f t="shared" si="13"/>
        <v>#VALUE!</v>
      </c>
      <c r="B901" s="144" t="str">
        <f>IF(ISBLANK(DaqBook_RAW_Data!AG891),IF(DaqBook_RAW_Data!A891="","",TIMEVALUE(DaqBook_RAW_Data!A891)),TIMEVALUE(DaqBook_RAW_Data!AG891))</f>
        <v/>
      </c>
      <c r="C901" s="167" t="str">
        <f>IF(ISBLANK(DaqBook_RAW_Data!AH891),"",DaqBook_RAW_Data!AH891)</f>
        <v/>
      </c>
      <c r="D901" s="167" t="str">
        <f>IF(ISBLANK(DaqBook_RAW_Data!AI891),"",DaqBook_RAW_Data!AI891)</f>
        <v/>
      </c>
      <c r="E901" s="167" t="str">
        <f>IF(ISBLANK(DaqBook_RAW_Data!AJ891),"",DaqBook_RAW_Data!AJ891)</f>
        <v/>
      </c>
      <c r="F901" s="167" t="str">
        <f>IF(ISBLANK(DaqBook_RAW_Data!AK891),"",DaqBook_RAW_Data!AK891)</f>
        <v/>
      </c>
      <c r="G901" s="167" t="str">
        <f>IF(ISBLANK(DaqBook_RAW_Data!AL891),"",DaqBook_RAW_Data!AL891)</f>
        <v/>
      </c>
      <c r="H901" s="167" t="str">
        <f>IF(ISBLANK(DaqBook_RAW_Data!AM891),"",DaqBook_RAW_Data!AM891)</f>
        <v/>
      </c>
      <c r="I901" s="167" t="str">
        <f>IF(ISBLANK(DaqBook_RAW_Data!AN891),"",DaqBook_RAW_Data!AN891)</f>
        <v/>
      </c>
      <c r="J901" s="167" t="str">
        <f>IF(ISBLANK(DaqBook_RAW_Data!AO891),"",DaqBook_RAW_Data!AO891)</f>
        <v/>
      </c>
      <c r="K901" s="167" t="str">
        <f>IF(ISBLANK(DaqBook_RAW_Data!AP891),"",DaqBook_RAW_Data!AP891)</f>
        <v/>
      </c>
      <c r="L901" s="167" t="str">
        <f>IF(ISBLANK(DaqBook_RAW_Data!AQ891),"",DaqBook_RAW_Data!AQ891)</f>
        <v/>
      </c>
      <c r="M901" s="167" t="str">
        <f>IF(ISBLANK(DaqBook_RAW_Data!AR891),"",DaqBook_RAW_Data!AR891)</f>
        <v/>
      </c>
      <c r="N901" s="167" t="str">
        <f>IF(ISBLANK(DaqBook_RAW_Data!AS891),"",DaqBook_RAW_Data!AS891)</f>
        <v/>
      </c>
      <c r="O901" s="44"/>
      <c r="P901" s="44"/>
    </row>
    <row r="902" spans="1:16" x14ac:dyDescent="0.2">
      <c r="A902" s="58" t="e">
        <f t="shared" si="13"/>
        <v>#VALUE!</v>
      </c>
      <c r="B902" s="144" t="str">
        <f>IF(ISBLANK(DaqBook_RAW_Data!AG892),IF(DaqBook_RAW_Data!A892="","",TIMEVALUE(DaqBook_RAW_Data!A892)),TIMEVALUE(DaqBook_RAW_Data!AG892))</f>
        <v/>
      </c>
      <c r="C902" s="167" t="str">
        <f>IF(ISBLANK(DaqBook_RAW_Data!AH892),"",DaqBook_RAW_Data!AH892)</f>
        <v/>
      </c>
      <c r="D902" s="167" t="str">
        <f>IF(ISBLANK(DaqBook_RAW_Data!AI892),"",DaqBook_RAW_Data!AI892)</f>
        <v/>
      </c>
      <c r="E902" s="167" t="str">
        <f>IF(ISBLANK(DaqBook_RAW_Data!AJ892),"",DaqBook_RAW_Data!AJ892)</f>
        <v/>
      </c>
      <c r="F902" s="167" t="str">
        <f>IF(ISBLANK(DaqBook_RAW_Data!AK892),"",DaqBook_RAW_Data!AK892)</f>
        <v/>
      </c>
      <c r="G902" s="167" t="str">
        <f>IF(ISBLANK(DaqBook_RAW_Data!AL892),"",DaqBook_RAW_Data!AL892)</f>
        <v/>
      </c>
      <c r="H902" s="167" t="str">
        <f>IF(ISBLANK(DaqBook_RAW_Data!AM892),"",DaqBook_RAW_Data!AM892)</f>
        <v/>
      </c>
      <c r="I902" s="167" t="str">
        <f>IF(ISBLANK(DaqBook_RAW_Data!AN892),"",DaqBook_RAW_Data!AN892)</f>
        <v/>
      </c>
      <c r="J902" s="167" t="str">
        <f>IF(ISBLANK(DaqBook_RAW_Data!AO892),"",DaqBook_RAW_Data!AO892)</f>
        <v/>
      </c>
      <c r="K902" s="167" t="str">
        <f>IF(ISBLANK(DaqBook_RAW_Data!AP892),"",DaqBook_RAW_Data!AP892)</f>
        <v/>
      </c>
      <c r="L902" s="167" t="str">
        <f>IF(ISBLANK(DaqBook_RAW_Data!AQ892),"",DaqBook_RAW_Data!AQ892)</f>
        <v/>
      </c>
      <c r="M902" s="167" t="str">
        <f>IF(ISBLANK(DaqBook_RAW_Data!AR892),"",DaqBook_RAW_Data!AR892)</f>
        <v/>
      </c>
      <c r="N902" s="167" t="str">
        <f>IF(ISBLANK(DaqBook_RAW_Data!AS892),"",DaqBook_RAW_Data!AS892)</f>
        <v/>
      </c>
      <c r="O902" s="44"/>
      <c r="P902" s="44"/>
    </row>
    <row r="903" spans="1:16" x14ac:dyDescent="0.2">
      <c r="A903" s="58" t="e">
        <f t="shared" si="13"/>
        <v>#VALUE!</v>
      </c>
      <c r="B903" s="144" t="str">
        <f>IF(ISBLANK(DaqBook_RAW_Data!AG893),IF(DaqBook_RAW_Data!A893="","",TIMEVALUE(DaqBook_RAW_Data!A893)),TIMEVALUE(DaqBook_RAW_Data!AG893))</f>
        <v/>
      </c>
      <c r="C903" s="167" t="str">
        <f>IF(ISBLANK(DaqBook_RAW_Data!AH893),"",DaqBook_RAW_Data!AH893)</f>
        <v/>
      </c>
      <c r="D903" s="167" t="str">
        <f>IF(ISBLANK(DaqBook_RAW_Data!AI893),"",DaqBook_RAW_Data!AI893)</f>
        <v/>
      </c>
      <c r="E903" s="167" t="str">
        <f>IF(ISBLANK(DaqBook_RAW_Data!AJ893),"",DaqBook_RAW_Data!AJ893)</f>
        <v/>
      </c>
      <c r="F903" s="167" t="str">
        <f>IF(ISBLANK(DaqBook_RAW_Data!AK893),"",DaqBook_RAW_Data!AK893)</f>
        <v/>
      </c>
      <c r="G903" s="167" t="str">
        <f>IF(ISBLANK(DaqBook_RAW_Data!AL893),"",DaqBook_RAW_Data!AL893)</f>
        <v/>
      </c>
      <c r="H903" s="167" t="str">
        <f>IF(ISBLANK(DaqBook_RAW_Data!AM893),"",DaqBook_RAW_Data!AM893)</f>
        <v/>
      </c>
      <c r="I903" s="167" t="str">
        <f>IF(ISBLANK(DaqBook_RAW_Data!AN893),"",DaqBook_RAW_Data!AN893)</f>
        <v/>
      </c>
      <c r="J903" s="167" t="str">
        <f>IF(ISBLANK(DaqBook_RAW_Data!AO893),"",DaqBook_RAW_Data!AO893)</f>
        <v/>
      </c>
      <c r="K903" s="167" t="str">
        <f>IF(ISBLANK(DaqBook_RAW_Data!AP893),"",DaqBook_RAW_Data!AP893)</f>
        <v/>
      </c>
      <c r="L903" s="167" t="str">
        <f>IF(ISBLANK(DaqBook_RAW_Data!AQ893),"",DaqBook_RAW_Data!AQ893)</f>
        <v/>
      </c>
      <c r="M903" s="167" t="str">
        <f>IF(ISBLANK(DaqBook_RAW_Data!AR893),"",DaqBook_RAW_Data!AR893)</f>
        <v/>
      </c>
      <c r="N903" s="167" t="str">
        <f>IF(ISBLANK(DaqBook_RAW_Data!AS893),"",DaqBook_RAW_Data!AS893)</f>
        <v/>
      </c>
      <c r="O903" s="44"/>
      <c r="P903" s="44"/>
    </row>
  </sheetData>
  <sheetProtection algorithmName="SHA-512" hashValue="TFVbgzfQSBREeSqX2En4flnqKHiLcWs8DQN4ZtkJ8tapWHz0uETM3Yz0tPJFiRhoU1KV0v2uBnfYecrcJHQnIQ==" saltValue="5Rj1fBUE3espFvB66KWG4A=="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C9" sqref="C9"/>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 ca="1">MAX(ABS(MAX(E22:E30)),ABS(MIN(E22:E30)))</f>
        <v>0</v>
      </c>
      <c r="U3" s="373">
        <f ca="1">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 ca="1">MAX(ABS(MAX(K22:K30)),ABS(MIN(K22:K30)))</f>
        <v>0</v>
      </c>
      <c r="U4" s="373">
        <f ca="1">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 ca="1">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 ca="1">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 ca="1">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 ca="1">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IF(ISERROR(HLOOKUP(A$8,Access_Data!$A$9:$BA$25,Comparison_Report!$S12,FALSE)),"",HLOOKUP(A$8,Access_Data!$A$9:$BA$25,Comparison_Report!$S12,FALSE))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IF(ISERROR(HLOOKUP(A$8,Access_Data!$A$9:$BA$25,Comparison_Report!$S13,FALSE)),"",HLOOKUP(A$8,Access_Data!$A$9:$BA$25,Comparison_Report!$S13,FALSE))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IF(ISERROR(HLOOKUP(A$8,Access_Data!$A$9:$BA$25,Comparison_Report!$S14,FALSE)),"",HLOOKUP(A$8,Access_Data!$A$9:$BA$25,Comparison_Report!$S14,FALSE))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IF(ISERROR(HLOOKUP(A$8,Access_Data!$A$9:$BA$25,Comparison_Report!$S15,FALSE)),"",HLOOKUP(A$8,Access_Data!$A$9:$BA$25,Comparison_Report!$S15,FALSE))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IF(ISERROR(HLOOKUP(A$8,Access_Data!$A$9:$BA$25,Comparison_Report!$S16,FALSE)),"",HLOOKUP(A$8,Access_Data!$A$9:$BA$25,Comparison_Report!$S16,FALSE))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IF(ISERROR(HLOOKUP(A$8,Access_Data!$A$9:$BA$25,Comparison_Report!$S17,FALSE)),"",HLOOKUP(A$8,Access_Data!$A$9:$BA$25,Comparison_Report!$S17,FALSE))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IF(ISERROR(HLOOKUP(A$8,Access_Data!$A$9:$BA$25,Comparison_Report!$S18,FALSE)),"",HLOOKUP(A$8,Access_Data!$A$9:$BA$25,Comparison_Report!$S18,FALSE))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IF(ISERROR(HLOOKUP(A$8,Access_Data!$A$9:$BA$25,Comparison_Report!$S19,FALSE)),"",HLOOKUP(A$8,Access_Data!$A$9:$BA$25,Comparison_Report!$S19,FALSE))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IF(ISERROR(HLOOKUP(A$8,Access_Data!$A$9:$BA$25,Comparison_Report!$S20,FALSE)),"",HLOOKUP(A$8,Access_Data!$A$9:$BA$25,Comparison_Report!$S20,FALSE))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 ca="1">IF(OR(ISERROR(HLOOKUP(A$8,Access_Data!$A$9:$BA$25,Comparison_Report!$S12,FALSE)),C$21=""),"",HLOOKUP(A$8,Access_Data!$A$9:$BA$25,Comparison_Report!$S12,FALSE))</f>
        <v/>
      </c>
      <c r="B22" s="21"/>
      <c r="C22" s="22" t="str">
        <f ca="1">IF(AND(C$21&lt;&gt;"",$A22&lt;&gt;""),HLOOKUP(C$21,Access_Data!$A$9:$BA$25,Comparison_Report!$S12,FALSE),"")</f>
        <v/>
      </c>
      <c r="D22" s="45" t="str">
        <f>IF(ISBLANK(Main!B41),"",Main!D41)</f>
        <v/>
      </c>
      <c r="E22" s="30" t="str">
        <f ca="1">IF(AND(C22&lt;&gt;"",D22&lt;&gt;""),D22-C22,"")</f>
        <v/>
      </c>
      <c r="F22" s="22" t="str">
        <f ca="1">IF(AND(F$21&lt;&gt;"",$A22&lt;&gt;""),HLOOKUP(F$21,Access_Data!$A$9:$BA$25,Comparison_Report!$S12,FALSE),"")</f>
        <v/>
      </c>
      <c r="G22" s="45" t="str">
        <f>IF(ISBLANK(Main!B42),"",Main!D42)</f>
        <v/>
      </c>
      <c r="H22" s="30" t="str">
        <f ca="1">IF(AND(F22&lt;&gt;"",G22&lt;&gt;""),G22-F22,"")</f>
        <v/>
      </c>
      <c r="I22" s="22" t="str">
        <f ca="1">IF(AND(I$21&lt;&gt;"",$A22&lt;&gt;""),HLOOKUP(I$21,Access_Data!$A$9:$BA$25,Comparison_Report!$S12,FALSE),"")</f>
        <v/>
      </c>
      <c r="J22" s="45" t="str">
        <f>IF(ISBLANK(Main!B43),"",Main!D43)</f>
        <v/>
      </c>
      <c r="K22" s="30" t="str">
        <f ca="1">IF(AND(I22&lt;&gt;"",J22&lt;&gt;""),J22-I22,"")</f>
        <v/>
      </c>
      <c r="L22" s="22" t="str">
        <f ca="1">IF(AND(L$21&lt;&gt;"",$A22&lt;&gt;""),HLOOKUP(L$21,Access_Data!$A$9:$BA$25,Comparison_Report!$S12,FALSE),"")</f>
        <v/>
      </c>
      <c r="M22" s="45" t="str">
        <f>IF(ISBLANK(Main!$B$44),"",Main!$D$44)</f>
        <v/>
      </c>
      <c r="N22" s="30" t="str">
        <f ca="1">IF(AND(L22&lt;&gt;"",M22&lt;&gt;""),M22-L22,"")</f>
        <v/>
      </c>
      <c r="O22" s="28" t="str">
        <f ca="1">IF(R5=1, D21 &amp;" IS OOT!!!","")</f>
        <v/>
      </c>
      <c r="S22" s="17" t="str">
        <f t="shared" si="4"/>
        <v/>
      </c>
      <c r="U22" s="17">
        <v>22</v>
      </c>
      <c r="V22" s="17" t="str">
        <f>""</f>
        <v/>
      </c>
    </row>
    <row r="23" spans="1:22" x14ac:dyDescent="0.25">
      <c r="A23" s="56" t="str">
        <f ca="1">IF(OR(ISERROR(HLOOKUP(A$8,Access_Data!$A$9:$BA$25,Comparison_Report!$S13,FALSE)),C$21=""),"",HLOOKUP(A$8,Access_Data!$A$9:$BA$25,Comparison_Report!$S13,FALSE))</f>
        <v/>
      </c>
      <c r="B23" s="21"/>
      <c r="C23" s="22" t="str">
        <f ca="1">IF(AND(C$21&lt;&gt;"",$A23&lt;&gt;""),HLOOKUP(C$21,Access_Data!$A$9:$BA$25,Comparison_Report!$S13,FALSE),"")</f>
        <v/>
      </c>
      <c r="D23" s="45" t="str">
        <f>IF(ISBLANK(Main!B41),"",Main!E41)</f>
        <v/>
      </c>
      <c r="E23" s="30" t="str">
        <f t="shared" ref="E23:E30" ca="1" si="5">IF(AND(C23&lt;&gt;"",D23&lt;&gt;""),D23-C23,"")</f>
        <v/>
      </c>
      <c r="F23" s="22" t="str">
        <f ca="1">IF(AND(F$21&lt;&gt;"",$A23&lt;&gt;""),HLOOKUP(F$21,Access_Data!$A$9:$BA$25,Comparison_Report!$S13,FALSE),"")</f>
        <v/>
      </c>
      <c r="G23" s="45" t="str">
        <f>IF(ISBLANK(Main!B42),"",Main!E42)</f>
        <v/>
      </c>
      <c r="H23" s="30" t="str">
        <f t="shared" ref="H23:H30" ca="1" si="6">IF(AND(F23&lt;&gt;"",G23&lt;&gt;""),G23-F23,"")</f>
        <v/>
      </c>
      <c r="I23" s="22" t="str">
        <f ca="1">IF(AND(I$21&lt;&gt;"",$A23&lt;&gt;""),HLOOKUP(I$21,Access_Data!$A$9:$BA$25,Comparison_Report!$S13,FALSE),"")</f>
        <v/>
      </c>
      <c r="J23" s="45" t="str">
        <f>IF(ISBLANK(Main!B43),"",Main!E43)</f>
        <v/>
      </c>
      <c r="K23" s="30" t="str">
        <f t="shared" ref="K23:K30" ca="1" si="7">IF(AND(I23&lt;&gt;"",J23&lt;&gt;""),J23-I23,"")</f>
        <v/>
      </c>
      <c r="L23" s="22" t="str">
        <f ca="1">IF(AND(L$21&lt;&gt;"",$A23&lt;&gt;""),HLOOKUP(L$21,Access_Data!$A$9:$BA$25,Comparison_Report!$S13,FALSE),"")</f>
        <v/>
      </c>
      <c r="M23" s="45" t="str">
        <f>IF(ISBLANK(Main!$B$44),"",Main!$E$44)</f>
        <v/>
      </c>
      <c r="N23" s="30" t="str">
        <f t="shared" ref="N23:N30" ca="1" si="8">IF(AND(L23&lt;&gt;"",M23&lt;&gt;""),M23-L23,"")</f>
        <v/>
      </c>
      <c r="O23" s="28" t="str">
        <f ca="1">IF(R6=1, G21 &amp;" IS OOT!!!","")</f>
        <v/>
      </c>
      <c r="R23" s="17" t="str">
        <f t="shared" ref="R23:R28" si="9">IF($K$5=4,T23,V17)</f>
        <v/>
      </c>
      <c r="T23" s="17" t="str">
        <f>""</f>
        <v/>
      </c>
      <c r="U23" s="17" t="str">
        <f>""</f>
        <v/>
      </c>
    </row>
    <row r="24" spans="1:22" x14ac:dyDescent="0.25">
      <c r="A24" s="56" t="str">
        <f ca="1">IF(OR(ISERROR(HLOOKUP(A$8,Access_Data!$A$9:$BA$25,Comparison_Report!$S14,FALSE)),C$21=""),"",HLOOKUP(A$8,Access_Data!$A$9:$BA$25,Comparison_Report!$S14,FALSE))</f>
        <v/>
      </c>
      <c r="B24" s="21"/>
      <c r="C24" s="22" t="str">
        <f ca="1">IF(AND(C$21&lt;&gt;"",$A24&lt;&gt;""),HLOOKUP(C$21,Access_Data!$A$9:$BA$25,Comparison_Report!$S14,FALSE),"")</f>
        <v/>
      </c>
      <c r="D24" s="45" t="str">
        <f>IF(ISBLANK(Main!B41),"",Main!F41)</f>
        <v/>
      </c>
      <c r="E24" s="30" t="str">
        <f t="shared" ca="1" si="5"/>
        <v/>
      </c>
      <c r="F24" s="22" t="str">
        <f ca="1">IF(AND(F$21&lt;&gt;"",$A24&lt;&gt;""),HLOOKUP(F$21,Access_Data!$A$9:$BA$25,Comparison_Report!$S14,FALSE),"")</f>
        <v/>
      </c>
      <c r="G24" s="45" t="str">
        <f>IF(ISBLANK(Main!B42),"",Main!F42)</f>
        <v/>
      </c>
      <c r="H24" s="30" t="str">
        <f t="shared" ca="1" si="6"/>
        <v/>
      </c>
      <c r="I24" s="22" t="str">
        <f ca="1">IF(AND(I$21&lt;&gt;"",$A24&lt;&gt;""),HLOOKUP(I$21,Access_Data!$A$9:$BA$25,Comparison_Report!$S14,FALSE),"")</f>
        <v/>
      </c>
      <c r="J24" s="45" t="str">
        <f>IF(ISBLANK(Main!B43),"",Main!F43)</f>
        <v/>
      </c>
      <c r="K24" s="30" t="str">
        <f t="shared" ca="1" si="7"/>
        <v/>
      </c>
      <c r="L24" s="22" t="str">
        <f ca="1">IF(AND(L$21&lt;&gt;"",$A24&lt;&gt;""),HLOOKUP(L$21,Access_Data!$A$9:$BA$25,Comparison_Report!$S14,FALSE),"")</f>
        <v/>
      </c>
      <c r="M24" s="45" t="str">
        <f>IF(ISBLANK(Main!$B$44),"",Main!$F$44)</f>
        <v/>
      </c>
      <c r="N24" s="30" t="str">
        <f t="shared" ca="1" si="8"/>
        <v/>
      </c>
      <c r="O24" s="28" t="str">
        <f ca="1">IF(R7=1, J21 &amp; " IS OOT!!!","")</f>
        <v/>
      </c>
      <c r="R24" s="17" t="str">
        <f t="shared" si="9"/>
        <v/>
      </c>
      <c r="S24" s="47" t="str">
        <f>TEXT(Main!D3,"mmddyy")</f>
        <v>010000</v>
      </c>
      <c r="T24" s="17" t="str">
        <f>""</f>
        <v/>
      </c>
      <c r="U24" s="17" t="str">
        <f>""</f>
        <v/>
      </c>
    </row>
    <row r="25" spans="1:22" x14ac:dyDescent="0.25">
      <c r="A25" s="56" t="str">
        <f ca="1">IF(OR(ISERROR(HLOOKUP(A$8,Access_Data!$A$9:$BA$25,Comparison_Report!$S15,FALSE)),C$21=""),"",HLOOKUP(A$8,Access_Data!$A$9:$BA$25,Comparison_Report!$S15,FALSE))</f>
        <v/>
      </c>
      <c r="B25" s="21"/>
      <c r="C25" s="22" t="str">
        <f ca="1">IF(AND(C$21&lt;&gt;"",$A25&lt;&gt;""),HLOOKUP(C$21,Access_Data!$A$9:$BA$25,Comparison_Report!$S15,FALSE),"")</f>
        <v/>
      </c>
      <c r="D25" s="45" t="str">
        <f>IF(ISBLANK(Main!B41),"",Main!G41)</f>
        <v/>
      </c>
      <c r="E25" s="30" t="str">
        <f t="shared" ca="1" si="5"/>
        <v/>
      </c>
      <c r="F25" s="22" t="str">
        <f ca="1">IF(AND(F$21&lt;&gt;"",$A25&lt;&gt;""),HLOOKUP(F$21,Access_Data!$A$9:$BA$25,Comparison_Report!$S15,FALSE),"")</f>
        <v/>
      </c>
      <c r="G25" s="45" t="str">
        <f>IF(ISBLANK(Main!B42),"",Main!G42)</f>
        <v/>
      </c>
      <c r="H25" s="30" t="str">
        <f t="shared" ca="1" si="6"/>
        <v/>
      </c>
      <c r="I25" s="22" t="str">
        <f ca="1">IF(AND(I$21&lt;&gt;"",$A25&lt;&gt;""),HLOOKUP(I$21,Access_Data!$A$9:$BA$25,Comparison_Report!$S15,FALSE),"")</f>
        <v/>
      </c>
      <c r="J25" s="45" t="str">
        <f>IF(ISBLANK(Main!B43),"",Main!G43)</f>
        <v/>
      </c>
      <c r="K25" s="30" t="str">
        <f t="shared" ca="1" si="7"/>
        <v/>
      </c>
      <c r="L25" s="22" t="str">
        <f ca="1">IF(AND(L$21&lt;&gt;"",$A25&lt;&gt;""),HLOOKUP(L$21,Access_Data!$A$9:$BA$25,Comparison_Report!$S15,FALSE),"")</f>
        <v/>
      </c>
      <c r="M25" s="45" t="str">
        <f>IF(ISBLANK(Main!$B$44),"",Main!$G$44)</f>
        <v/>
      </c>
      <c r="N25" s="30" t="str">
        <f t="shared" ca="1" si="8"/>
        <v/>
      </c>
      <c r="O25" s="28" t="str">
        <f ca="1">IF(R8=1, M21 &amp; " IS OOT!!!","")</f>
        <v/>
      </c>
      <c r="R25" s="17" t="str">
        <f t="shared" si="9"/>
        <v/>
      </c>
      <c r="S25" s="17">
        <v>4</v>
      </c>
      <c r="T25" s="17" t="str">
        <f>""</f>
        <v/>
      </c>
      <c r="U25" s="17" t="str">
        <f>""</f>
        <v/>
      </c>
    </row>
    <row r="26" spans="1:22" x14ac:dyDescent="0.25">
      <c r="A26" s="56" t="str">
        <f>IF(OR(ISERROR(HLOOKUP(A$8,Access_Data!$A$9:$BA$25,Comparison_Report!$S16,FALSE)),C$21=""),"",HLOOKUP(A$8,Access_Data!$A$9:$BA$25,Comparison_Report!$S16,FALSE))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IF(OR(ISERROR(HLOOKUP(A$8,Access_Data!$A$9:$BA$25,Comparison_Report!$S17,FALSE)),C$21=""),"",HLOOKUP(A$8,Access_Data!$A$9:$BA$25,Comparison_Report!$S17,FALSE))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IF(OR(ISERROR(HLOOKUP(A$8,Access_Data!$A$9:$BA$25,Comparison_Report!$S18,FALSE)),C$21=""),"",HLOOKUP(A$8,Access_Data!$A$9:$BA$25,Comparison_Report!$S18,FALSE))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IF(OR(ISERROR(HLOOKUP(A$8,Access_Data!$A$9:$BA$25,Comparison_Report!$S19,FALSE)),C$21=""),"",HLOOKUP(A$8,Access_Data!$A$9:$BA$25,Comparison_Report!$S19,FALSE))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IF(OR(ISERROR(HLOOKUP(A$8,Access_Data!$A$9:$BA$25,Comparison_Report!$S20,FALSE)),C$21=""),"",HLOOKUP(A$8,Access_Data!$A$9:$BA$25,Comparison_Report!$S20,FALSE))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algorithmName="SHA-512" hashValue="yigvb62HI3VjjedG+qLDocQbYShhGuSNZdnZb4SuRqEBE/mdEULK/MGTO+Ls3eaEOkpD+IPOWVGycmSiW4ppFA==" saltValue="GsTz/g75sQNfOmmueea9AA==" spinCount="100000" sheet="1" objects="1" scenarios="1"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701" t="s">
        <v>3922</v>
      </c>
      <c r="I28" s="701"/>
      <c r="J28" s="701"/>
      <c r="K28" s="701"/>
      <c r="L28" s="701"/>
      <c r="M28" s="701"/>
      <c r="N28" s="701"/>
      <c r="O28" s="701"/>
      <c r="P28" s="701"/>
      <c r="Q28" s="701"/>
      <c r="R28" s="701"/>
    </row>
    <row r="29" spans="1:20" x14ac:dyDescent="0.2">
      <c r="A29" s="690" t="s">
        <v>49</v>
      </c>
      <c r="B29" s="691"/>
      <c r="C29" s="65" t="str">
        <f>IF(Main!D48="","",Main!D48)</f>
        <v/>
      </c>
      <c r="D29" s="65" t="str">
        <f>IF(Main!E48="","",Main!E48)</f>
        <v/>
      </c>
      <c r="E29" s="65" t="str">
        <f>IF(Main!F48="","",Main!F48)</f>
        <v/>
      </c>
      <c r="F29" s="65" t="str">
        <f>IF(Main!G48="","",Main!G48)</f>
        <v/>
      </c>
      <c r="G29" s="537"/>
      <c r="H29" s="532" t="s">
        <v>3923</v>
      </c>
      <c r="I29" s="157" t="str">
        <f>IF(Main!N47="","",Main!N47)</f>
        <v>Periodic</v>
      </c>
      <c r="J29" s="709" t="s">
        <v>3924</v>
      </c>
      <c r="K29" s="710"/>
      <c r="L29" s="157" t="str">
        <f>IF(Main!R47="","",Main!R47)</f>
        <v>Air</v>
      </c>
    </row>
    <row r="30" spans="1:20" x14ac:dyDescent="0.2">
      <c r="A30" s="690" t="s">
        <v>50</v>
      </c>
      <c r="B30" s="691"/>
      <c r="C30" s="66" t="str">
        <f>IF(Main!D49="","",Main!D49)</f>
        <v/>
      </c>
      <c r="D30" s="66" t="str">
        <f>IF(Main!E49="","",Main!E49)</f>
        <v/>
      </c>
      <c r="E30" s="66" t="str">
        <f>IF(Main!F49="","",Main!F49)</f>
        <v/>
      </c>
      <c r="F30" s="66" t="str">
        <f>IF(Main!G49="","",Main!G49)</f>
        <v/>
      </c>
      <c r="G30" s="539"/>
      <c r="H30" s="702" t="s">
        <v>3910</v>
      </c>
      <c r="I30" s="702"/>
      <c r="J30" s="711" t="s">
        <v>5711</v>
      </c>
      <c r="K30" s="712"/>
      <c r="L30" s="713"/>
      <c r="M30" s="529"/>
      <c r="O30" s="703" t="s">
        <v>5714</v>
      </c>
      <c r="P30" s="704"/>
      <c r="Q30" s="705"/>
      <c r="T30" s="44"/>
    </row>
    <row r="31" spans="1:20" x14ac:dyDescent="0.2">
      <c r="A31" s="690" t="s">
        <v>51</v>
      </c>
      <c r="B31" s="691"/>
      <c r="C31" s="66" t="str">
        <f>IF(Main!D50="","",Main!D50)</f>
        <v/>
      </c>
      <c r="D31" s="66" t="str">
        <f>IF(Main!E50="","",Main!E50)</f>
        <v/>
      </c>
      <c r="E31" s="66" t="str">
        <f>IF(Main!F50="","",Main!F50)</f>
        <v/>
      </c>
      <c r="F31" s="66" t="str">
        <f>IF(Main!G50="","",Main!G50)</f>
        <v/>
      </c>
      <c r="G31" s="539"/>
      <c r="H31" s="445" t="s">
        <v>3925</v>
      </c>
      <c r="I31" s="472" t="e">
        <f>IF(Main!N49="","",Main!N49)</f>
        <v>#N/A</v>
      </c>
      <c r="J31" s="692" t="s">
        <v>5719</v>
      </c>
      <c r="K31" s="693"/>
      <c r="L31" s="694"/>
      <c r="M31" s="530" t="str">
        <f>IF(Main!S49="","",Main!S49)</f>
        <v/>
      </c>
      <c r="O31" s="706" t="s">
        <v>5721</v>
      </c>
      <c r="P31" s="707"/>
      <c r="Q31" s="708"/>
      <c r="R31" s="90" t="str">
        <f>IF(Main!X49="","",Main!X49)</f>
        <v/>
      </c>
      <c r="T31" s="44"/>
    </row>
    <row r="32" spans="1:20" ht="12.75" customHeight="1" x14ac:dyDescent="0.2">
      <c r="A32" s="690" t="s">
        <v>52</v>
      </c>
      <c r="B32" s="691"/>
      <c r="C32" s="65" t="str">
        <f>IF(Main!D51="","",Main!D51)</f>
        <v/>
      </c>
      <c r="D32" s="65" t="str">
        <f>IF(Main!E51="","",Main!E51)</f>
        <v/>
      </c>
      <c r="E32" s="65" t="str">
        <f>IF(Main!F51="","",Main!F51)</f>
        <v/>
      </c>
      <c r="F32" s="65" t="str">
        <f>IF(Main!G51="","",Main!G51)</f>
        <v/>
      </c>
      <c r="G32" s="537"/>
      <c r="H32" s="445" t="s">
        <v>4498</v>
      </c>
      <c r="I32" s="472" t="e">
        <f>IF(Main!N50="","",Main!N50)</f>
        <v>#N/A</v>
      </c>
      <c r="J32" s="695" t="s">
        <v>3913</v>
      </c>
      <c r="K32" s="696"/>
      <c r="L32" s="697"/>
      <c r="M32" s="512"/>
      <c r="O32" s="695" t="s">
        <v>3913</v>
      </c>
      <c r="P32" s="696"/>
      <c r="Q32" s="697"/>
      <c r="T32" s="44"/>
    </row>
    <row r="33" spans="1:20" ht="12.75" customHeight="1" x14ac:dyDescent="0.2">
      <c r="A33" s="690" t="s">
        <v>3926</v>
      </c>
      <c r="B33" s="691"/>
      <c r="C33" s="65" t="str">
        <f>IF(Main!D52="","",Main!D52)</f>
        <v/>
      </c>
      <c r="D33" s="65" t="str">
        <f>IF(Main!E52="","",Main!E52)</f>
        <v/>
      </c>
      <c r="E33" s="65" t="str">
        <f>IF(Main!F52="","",Main!F52)</f>
        <v/>
      </c>
      <c r="F33" s="65" t="str">
        <f>IF(Main!G52="","",Main!G52)</f>
        <v/>
      </c>
      <c r="G33" s="537"/>
      <c r="H33" s="445" t="s">
        <v>3927</v>
      </c>
      <c r="I33" s="472" t="e">
        <f>IF(Main!N51="","",Main!N51)</f>
        <v>#N/A</v>
      </c>
      <c r="J33" s="698" t="s">
        <v>5720</v>
      </c>
      <c r="K33" s="699"/>
      <c r="L33" s="700"/>
      <c r="M33" s="509" t="str">
        <f>IF(Main!S51="","",Main!S51)</f>
        <v/>
      </c>
      <c r="O33" s="698" t="s">
        <v>5722</v>
      </c>
      <c r="P33" s="699"/>
      <c r="Q33" s="700"/>
      <c r="R33" s="90" t="str">
        <f>IF(Main!X51="","",Main!X51)</f>
        <v/>
      </c>
      <c r="T33" s="44"/>
    </row>
    <row r="34" spans="1:20" ht="12.75" customHeight="1" x14ac:dyDescent="0.2">
      <c r="A34" s="690" t="s">
        <v>53</v>
      </c>
      <c r="B34" s="691"/>
      <c r="C34" s="67" t="str">
        <f>IF(Main!D53="","",Main!D53)</f>
        <v/>
      </c>
      <c r="D34" s="67" t="str">
        <f>IF(Main!E53="","",Main!E53)</f>
        <v/>
      </c>
      <c r="E34" s="67" t="str">
        <f>IF(Main!F53="","",Main!F53)</f>
        <v/>
      </c>
      <c r="F34" s="67" t="str">
        <f>IF(Main!G53="","",Main!G53)</f>
        <v/>
      </c>
      <c r="G34" s="540"/>
      <c r="H34" s="445" t="s">
        <v>3928</v>
      </c>
      <c r="I34" s="444" t="e">
        <f>IF(Main!N52="","",Main!N52)</f>
        <v>#N/A</v>
      </c>
      <c r="J34" s="695" t="s">
        <v>3913</v>
      </c>
      <c r="K34" s="696"/>
      <c r="L34" s="697"/>
      <c r="O34" s="695" t="s">
        <v>3913</v>
      </c>
      <c r="P34" s="696"/>
      <c r="Q34" s="697"/>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684" t="s">
        <v>5723</v>
      </c>
      <c r="K35" s="685"/>
      <c r="L35" s="686"/>
      <c r="M35" s="533" t="str">
        <f>IF(Main!S53="","",Main!S53)</f>
        <v/>
      </c>
      <c r="O35" s="684" t="s">
        <v>5724</v>
      </c>
      <c r="P35" s="685"/>
      <c r="Q35" s="686"/>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687"/>
      <c r="K36" s="688"/>
      <c r="L36" s="689"/>
      <c r="M36" s="528"/>
      <c r="O36" s="687"/>
      <c r="P36" s="688"/>
      <c r="Q36" s="689"/>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0" zoomScale="90" zoomScaleNormal="90" workbookViewId="0">
      <selection activeCell="J38" sqref="J38:J50"/>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str">
        <f ca="1">INDIRECT("Data_Sheet!B"&amp;10+$B$50)</f>
        <v/>
      </c>
      <c r="B10" s="49" t="str">
        <f ca="1">INDIRECT("Data_Sheet!c"&amp;10+$B$50)</f>
        <v/>
      </c>
      <c r="C10" s="49" t="str">
        <f ca="1">INDIRECT("Data_Sheet!D"&amp;10+$B$50)</f>
        <v/>
      </c>
      <c r="D10" s="49" t="str">
        <f ca="1">INDIRECT("Data_Sheet!E"&amp;10+$B$50)</f>
        <v/>
      </c>
      <c r="E10" s="49" t="str">
        <f ca="1">INDIRECT("Data_Sheet!F"&amp;10+$B$50)</f>
        <v/>
      </c>
      <c r="F10" s="49" t="str">
        <f ca="1">INDIRECT("Data_Sheet!G"&amp;10+$B$50)</f>
        <v/>
      </c>
      <c r="G10" s="49" t="str">
        <f ca="1">INDIRECT("Data_Sheet!H"&amp;10+$B$50)</f>
        <v/>
      </c>
      <c r="H10" s="49" t="str">
        <f ca="1">INDIRECT("Data_Sheet!I"&amp;10+$B$50)</f>
        <v/>
      </c>
      <c r="I10" s="49" t="str">
        <f ca="1">INDIRECT("Data_Sheet!J"&amp;10+$B$50)</f>
        <v/>
      </c>
      <c r="J10" s="49" t="str">
        <f ca="1">INDIRECT("Data_Sheet!K"&amp;10+$B$50)</f>
        <v/>
      </c>
      <c r="K10" s="49" t="str">
        <f ca="1">INDIRECT("Data_Sheet!L"&amp;10+$B$50)</f>
        <v/>
      </c>
      <c r="L10" s="49" t="str">
        <f ca="1">INDIRECT("Data_Sheet!M"&amp;10+$B$50)</f>
        <v/>
      </c>
      <c r="M10" s="49" t="str">
        <f ca="1">INDIRECT("Data_Sheet!N"&amp;10+$B$50)</f>
        <v/>
      </c>
      <c r="N10" s="49" t="str">
        <f ca="1">INDIRECT("Data_Sheet!O"&amp;10+$B$50)</f>
        <v/>
      </c>
      <c r="O10" s="49" t="str">
        <f ca="1">INDIRECT("Data_Sheet!P"&amp;10+$B$50)</f>
        <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str">
        <f ca="1">INDIRECT("Data_Sheet!B"&amp;11+$B$50)</f>
        <v/>
      </c>
      <c r="B11" s="49" t="str">
        <f ca="1">INDIRECT("Data_Sheet!c"&amp;11+$B$50)</f>
        <v/>
      </c>
      <c r="C11" s="49" t="str">
        <f ca="1">INDIRECT("Data_Sheet!D"&amp;11+$B$50)</f>
        <v/>
      </c>
      <c r="D11" s="49" t="str">
        <f ca="1">INDIRECT("Data_Sheet!E"&amp;11+$B$50)</f>
        <v/>
      </c>
      <c r="E11" s="49" t="str">
        <f ca="1">INDIRECT("Data_Sheet!F"&amp;11+$B$50)</f>
        <v/>
      </c>
      <c r="F11" s="49" t="str">
        <f ca="1">INDIRECT("Data_Sheet!G"&amp;11+$B$50)</f>
        <v/>
      </c>
      <c r="G11" s="49" t="str">
        <f ca="1">INDIRECT("Data_Sheet!H"&amp;11+$B$50)</f>
        <v/>
      </c>
      <c r="H11" s="49" t="str">
        <f ca="1">INDIRECT("Data_Sheet!I"&amp;11+$B$50)</f>
        <v/>
      </c>
      <c r="I11" s="49" t="str">
        <f ca="1">INDIRECT("Data_Sheet!J"&amp;11+$B$50)</f>
        <v/>
      </c>
      <c r="J11" s="49" t="str">
        <f ca="1">INDIRECT("Data_Sheet!K"&amp;11+$B$50)</f>
        <v/>
      </c>
      <c r="K11" s="49" t="str">
        <f ca="1">INDIRECT("Data_Sheet!L"&amp;11+$B$50)</f>
        <v/>
      </c>
      <c r="L11" s="49" t="str">
        <f ca="1">INDIRECT("Data_Sheet!M"&amp;11+$B$50)</f>
        <v/>
      </c>
      <c r="M11" s="49" t="str">
        <f ca="1">INDIRECT("Data_Sheet!N"&amp;11+$B$50)</f>
        <v/>
      </c>
      <c r="N11" s="49" t="str">
        <f ca="1">INDIRECT("Data_Sheet!O"&amp;11+$B$50)</f>
        <v/>
      </c>
      <c r="O11" s="49" t="str">
        <f ca="1">INDIRECT("Data_Sheet!P"&amp;11+$B$50)</f>
        <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str">
        <f ca="1">INDIRECT("Data_Sheet!B"&amp;12+$B$50)</f>
        <v/>
      </c>
      <c r="B12" s="49" t="str">
        <f ca="1">INDIRECT("Data_Sheet!c"&amp;12+$B$50)</f>
        <v/>
      </c>
      <c r="C12" s="49" t="str">
        <f ca="1">INDIRECT("Data_Sheet!D"&amp;12+$B$50)</f>
        <v/>
      </c>
      <c r="D12" s="49" t="str">
        <f ca="1">INDIRECT("Data_Sheet!E"&amp;12+$B$50)</f>
        <v/>
      </c>
      <c r="E12" s="49" t="str">
        <f ca="1">INDIRECT("Data_Sheet!F"&amp;12+$B$50)</f>
        <v/>
      </c>
      <c r="F12" s="49" t="str">
        <f ca="1">INDIRECT("Data_Sheet!G"&amp;12+$B$50)</f>
        <v/>
      </c>
      <c r="G12" s="49" t="str">
        <f ca="1">INDIRECT("Data_Sheet!H"&amp;12+$B$50)</f>
        <v/>
      </c>
      <c r="H12" s="49" t="str">
        <f ca="1">INDIRECT("Data_Sheet!I"&amp;12+$B$50)</f>
        <v/>
      </c>
      <c r="I12" s="49" t="str">
        <f ca="1">INDIRECT("Data_Sheet!J"&amp;12+$B$50)</f>
        <v/>
      </c>
      <c r="J12" s="49" t="str">
        <f ca="1">INDIRECT("Data_Sheet!K"&amp;12+$B$50)</f>
        <v/>
      </c>
      <c r="K12" s="49" t="str">
        <f ca="1">INDIRECT("Data_Sheet!L"&amp;12+$B$50)</f>
        <v/>
      </c>
      <c r="L12" s="49" t="str">
        <f ca="1">INDIRECT("Data_Sheet!M"&amp;12+$B$50)</f>
        <v/>
      </c>
      <c r="M12" s="49" t="str">
        <f ca="1">INDIRECT("Data_Sheet!N"&amp;12+$B$50)</f>
        <v/>
      </c>
      <c r="N12" s="49" t="str">
        <f ca="1">INDIRECT("Data_Sheet!O"&amp;12+$B$50)</f>
        <v/>
      </c>
      <c r="O12" s="49" t="str">
        <f ca="1">INDIRECT("Data_Sheet!P"&amp;12+$B$50)</f>
        <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str">
        <f ca="1">INDIRECT("Data_Sheet!B"&amp;13+$B$50)</f>
        <v/>
      </c>
      <c r="B13" s="49" t="str">
        <f ca="1">INDIRECT("Data_Sheet!C"&amp;13+$B$50)</f>
        <v/>
      </c>
      <c r="C13" s="49" t="str">
        <f ca="1">INDIRECT("Data_Sheet!D"&amp;13+$B$50)</f>
        <v/>
      </c>
      <c r="D13" s="49" t="str">
        <f ca="1">INDIRECT("Data_Sheet!E"&amp;13+$B$50)</f>
        <v/>
      </c>
      <c r="E13" s="49" t="str">
        <f ca="1">INDIRECT("Data_Sheet!F"&amp;13+$B$50)</f>
        <v/>
      </c>
      <c r="F13" s="49" t="str">
        <f ca="1">INDIRECT("Data_Sheet!G"&amp;13+$B$50)</f>
        <v/>
      </c>
      <c r="G13" s="49" t="str">
        <f ca="1">INDIRECT("Data_Sheet!H"&amp;13+$B$50)</f>
        <v/>
      </c>
      <c r="H13" s="49" t="str">
        <f ca="1">INDIRECT("Data_Sheet!I"&amp;13+$B$50)</f>
        <v/>
      </c>
      <c r="I13" s="49" t="str">
        <f ca="1">INDIRECT("Data_Sheet!J"&amp;13+$B$50)</f>
        <v/>
      </c>
      <c r="J13" s="49" t="str">
        <f ca="1">INDIRECT("Data_Sheet!K"&amp;13+$B$50)</f>
        <v/>
      </c>
      <c r="K13" s="49" t="str">
        <f ca="1">INDIRECT("Data_Sheet!L"&amp;13+$B$50)</f>
        <v/>
      </c>
      <c r="L13" s="49" t="str">
        <f ca="1">INDIRECT("Data_Sheet!M"&amp;13+$B$50)</f>
        <v/>
      </c>
      <c r="M13" s="49" t="str">
        <f ca="1">INDIRECT("Data_Sheet!N"&amp;13+$B$50)</f>
        <v/>
      </c>
      <c r="N13" s="49" t="str">
        <f ca="1">INDIRECT("Data_Sheet!O"&amp;13+$B$50)</f>
        <v/>
      </c>
      <c r="O13" s="49" t="str">
        <f ca="1">INDIRECT("Data_Sheet!P"&amp;13+$B$50)</f>
        <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str">
        <f ca="1">INDIRECT("Data_Sheet!B"&amp;14+$B$50)</f>
        <v/>
      </c>
      <c r="B14" s="49" t="str">
        <f ca="1">INDIRECT("Data_Sheet!C"&amp;14+$B$50)</f>
        <v/>
      </c>
      <c r="C14" s="49" t="str">
        <f ca="1">INDIRECT("Data_Sheet!D"&amp;14+$B$50)</f>
        <v/>
      </c>
      <c r="D14" s="49" t="str">
        <f ca="1">INDIRECT("Data_Sheet!E"&amp;14+$B$50)</f>
        <v/>
      </c>
      <c r="E14" s="49" t="str">
        <f ca="1">INDIRECT("Data_Sheet!F"&amp;14+$B$50)</f>
        <v/>
      </c>
      <c r="F14" s="49" t="str">
        <f ca="1">INDIRECT("Data_Sheet!G"&amp;14+$B$50)</f>
        <v/>
      </c>
      <c r="G14" s="49" t="str">
        <f ca="1">INDIRECT("Data_Sheet!H"&amp;14+$B$50)</f>
        <v/>
      </c>
      <c r="H14" s="49" t="str">
        <f ca="1">INDIRECT("Data_Sheet!I"&amp;14+$B$50)</f>
        <v/>
      </c>
      <c r="I14" s="49" t="str">
        <f ca="1">INDIRECT("Data_Sheet!J"&amp;14+$B$50)</f>
        <v/>
      </c>
      <c r="J14" s="49" t="str">
        <f ca="1">INDIRECT("Data_Sheet!K"&amp;14+$B$50)</f>
        <v/>
      </c>
      <c r="K14" s="49" t="str">
        <f ca="1">INDIRECT("Data_Sheet!L"&amp;14+$B$50)</f>
        <v/>
      </c>
      <c r="L14" s="49" t="str">
        <f ca="1">INDIRECT("Data_Sheet!M"&amp;14+$B$50)</f>
        <v/>
      </c>
      <c r="M14" s="49" t="str">
        <f ca="1">INDIRECT("Data_Sheet!N"&amp;14+$B$50)</f>
        <v/>
      </c>
      <c r="N14" s="49" t="str">
        <f ca="1">INDIRECT("Data_Sheet!O"&amp;14+$B$50)</f>
        <v/>
      </c>
      <c r="O14" s="49" t="str">
        <f ca="1">INDIRECT("Data_Sheet!P"&amp;14+$B$50)</f>
        <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str">
        <f ca="1">INDIRECT("Data_Sheet!B"&amp;15+$B$50)</f>
        <v/>
      </c>
      <c r="B15" s="49" t="str">
        <f ca="1">INDIRECT("Data_Sheet!C"&amp;15+$B$50)</f>
        <v/>
      </c>
      <c r="C15" s="49" t="str">
        <f ca="1">INDIRECT("Data_Sheet!D"&amp;15+$B$50)</f>
        <v/>
      </c>
      <c r="D15" s="49" t="str">
        <f ca="1">INDIRECT("Data_Sheet!E"&amp;15+$B$50)</f>
        <v/>
      </c>
      <c r="E15" s="49" t="str">
        <f ca="1">INDIRECT("Data_Sheet!F"&amp;15+$B$50)</f>
        <v/>
      </c>
      <c r="F15" s="49" t="str">
        <f ca="1">INDIRECT("Data_Sheet!G"&amp;15+$B$50)</f>
        <v/>
      </c>
      <c r="G15" s="49" t="str">
        <f ca="1">INDIRECT("Data_Sheet!H"&amp;15+$B$50)</f>
        <v/>
      </c>
      <c r="H15" s="49" t="str">
        <f ca="1">INDIRECT("Data_Sheet!I"&amp;15+$B$50)</f>
        <v/>
      </c>
      <c r="I15" s="49" t="str">
        <f ca="1">INDIRECT("Data_Sheet!J"&amp;15+$B$50)</f>
        <v/>
      </c>
      <c r="J15" s="49" t="str">
        <f ca="1">INDIRECT("Data_Sheet!K"&amp;15+$B$50)</f>
        <v/>
      </c>
      <c r="K15" s="49" t="str">
        <f ca="1">INDIRECT("Data_Sheet!L"&amp;15+$B$50)</f>
        <v/>
      </c>
      <c r="L15" s="49" t="str">
        <f ca="1">INDIRECT("Data_Sheet!M"&amp;15+$B$50)</f>
        <v/>
      </c>
      <c r="M15" s="49" t="str">
        <f ca="1">INDIRECT("Data_Sheet!N"&amp;15+$B$50)</f>
        <v/>
      </c>
      <c r="N15" s="49" t="str">
        <f ca="1">INDIRECT("Data_Sheet!O"&amp;15+$B$50)</f>
        <v/>
      </c>
      <c r="O15" s="49" t="str">
        <f ca="1">INDIRECT("Data_Sheet!P"&amp;15+$B$50)</f>
        <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str">
        <f ca="1">INDIRECT("Data_Sheet!B"&amp;16+$B$50)</f>
        <v/>
      </c>
      <c r="B16" s="49" t="str">
        <f ca="1">INDIRECT("Data_Sheet!C"&amp;16+$B$50)</f>
        <v/>
      </c>
      <c r="C16" s="49" t="str">
        <f ca="1">INDIRECT("Data_Sheet!D"&amp;16+$B$50)</f>
        <v/>
      </c>
      <c r="D16" s="49" t="str">
        <f ca="1">INDIRECT("Data_Sheet!E"&amp;16+$B$50)</f>
        <v/>
      </c>
      <c r="E16" s="49" t="str">
        <f ca="1">INDIRECT("Data_Sheet!F"&amp;16+$B$50)</f>
        <v/>
      </c>
      <c r="F16" s="49" t="str">
        <f ca="1">INDIRECT("Data_Sheet!G"&amp;16+$B$50)</f>
        <v/>
      </c>
      <c r="G16" s="49" t="str">
        <f ca="1">INDIRECT("Data_Sheet!H"&amp;16+$B$50)</f>
        <v/>
      </c>
      <c r="H16" s="49" t="str">
        <f ca="1">INDIRECT("Data_Sheet!I"&amp;16+$B$50)</f>
        <v/>
      </c>
      <c r="I16" s="49" t="str">
        <f ca="1">INDIRECT("Data_Sheet!J"&amp;16+$B$50)</f>
        <v/>
      </c>
      <c r="J16" s="49" t="str">
        <f ca="1">INDIRECT("Data_Sheet!K"&amp;16+$B$50)</f>
        <v/>
      </c>
      <c r="K16" s="49" t="str">
        <f ca="1">INDIRECT("Data_Sheet!L"&amp;16+$B$50)</f>
        <v/>
      </c>
      <c r="L16" s="49" t="str">
        <f ca="1">INDIRECT("Data_Sheet!M"&amp;16+$B$50)</f>
        <v/>
      </c>
      <c r="M16" s="49" t="str">
        <f ca="1">INDIRECT("Data_Sheet!N"&amp;16+$B$50)</f>
        <v/>
      </c>
      <c r="N16" s="49" t="str">
        <f ca="1">INDIRECT("Data_Sheet!O"&amp;16+$B$50)</f>
        <v/>
      </c>
      <c r="O16" s="49" t="str">
        <f ca="1">INDIRECT("Data_Sheet!P"&amp;16+$B$50)</f>
        <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str">
        <f ca="1">INDIRECT("Data_Sheet!B"&amp;17+$B$50)</f>
        <v/>
      </c>
      <c r="B17" s="49" t="str">
        <f ca="1">INDIRECT("Data_Sheet!C"&amp;17+$B$50)</f>
        <v/>
      </c>
      <c r="C17" s="49" t="str">
        <f ca="1">INDIRECT("Data_Sheet!D"&amp;17+$B$50)</f>
        <v/>
      </c>
      <c r="D17" s="49" t="str">
        <f ca="1">INDIRECT("Data_Sheet!E"&amp;17+$B$50)</f>
        <v/>
      </c>
      <c r="E17" s="49" t="str">
        <f ca="1">INDIRECT("Data_Sheet!F"&amp;17+$B$50)</f>
        <v/>
      </c>
      <c r="F17" s="49" t="str">
        <f ca="1">INDIRECT("Data_Sheet!G"&amp;17+$B$50)</f>
        <v/>
      </c>
      <c r="G17" s="49" t="str">
        <f ca="1">INDIRECT("Data_Sheet!H"&amp;17+$B$50)</f>
        <v/>
      </c>
      <c r="H17" s="49" t="str">
        <f ca="1">INDIRECT("Data_Sheet!I"&amp;17+$B$50)</f>
        <v/>
      </c>
      <c r="I17" s="49" t="str">
        <f ca="1">INDIRECT("Data_Sheet!J"&amp;17+$B$50)</f>
        <v/>
      </c>
      <c r="J17" s="49" t="str">
        <f ca="1">INDIRECT("Data_Sheet!K"&amp;17+$B$50)</f>
        <v/>
      </c>
      <c r="K17" s="49" t="str">
        <f ca="1">INDIRECT("Data_Sheet!L"&amp;17+$B$50)</f>
        <v/>
      </c>
      <c r="L17" s="49" t="str">
        <f ca="1">INDIRECT("Data_Sheet!M"&amp;17+$B$50)</f>
        <v/>
      </c>
      <c r="M17" s="49" t="str">
        <f ca="1">INDIRECT("Data_Sheet!N"&amp;17+$B$50)</f>
        <v/>
      </c>
      <c r="N17" s="49" t="str">
        <f ca="1">INDIRECT("Data_Sheet!O"&amp;17+$B$50)</f>
        <v/>
      </c>
      <c r="O17" s="49" t="str">
        <f ca="1">INDIRECT("Data_Sheet!P"&amp;17+$B$50)</f>
        <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str">
        <f ca="1">INDIRECT("Data_Sheet!B"&amp;18+$B$50)</f>
        <v/>
      </c>
      <c r="B18" s="49" t="str">
        <f ca="1">INDIRECT("Data_Sheet!C"&amp;18+$B$50)</f>
        <v/>
      </c>
      <c r="C18" s="49" t="str">
        <f ca="1">INDIRECT("Data_Sheet!D"&amp;18+$B$50)</f>
        <v/>
      </c>
      <c r="D18" s="49" t="str">
        <f ca="1">INDIRECT("Data_Sheet!E"&amp;18+$B$50)</f>
        <v/>
      </c>
      <c r="E18" s="49" t="str">
        <f ca="1">INDIRECT("Data_Sheet!F"&amp;18+$B$50)</f>
        <v/>
      </c>
      <c r="F18" s="49" t="str">
        <f ca="1">INDIRECT("Data_Sheet!G"&amp;18+$B$50)</f>
        <v/>
      </c>
      <c r="G18" s="49" t="str">
        <f ca="1">INDIRECT("Data_Sheet!H"&amp;18+$B$50)</f>
        <v/>
      </c>
      <c r="H18" s="49" t="str">
        <f ca="1">INDIRECT("Data_Sheet!I"&amp;18+$B$50)</f>
        <v/>
      </c>
      <c r="I18" s="49" t="str">
        <f ca="1">INDIRECT("Data_Sheet!J"&amp;18+$B$50)</f>
        <v/>
      </c>
      <c r="J18" s="49" t="str">
        <f ca="1">INDIRECT("Data_Sheet!K"&amp;18+$B$50)</f>
        <v/>
      </c>
      <c r="K18" s="49" t="str">
        <f ca="1">INDIRECT("Data_Sheet!L"&amp;18+$B$50)</f>
        <v/>
      </c>
      <c r="L18" s="49" t="str">
        <f ca="1">INDIRECT("Data_Sheet!M"&amp;18+$B$50)</f>
        <v/>
      </c>
      <c r="M18" s="49" t="str">
        <f ca="1">INDIRECT("Data_Sheet!N"&amp;18+$B$50)</f>
        <v/>
      </c>
      <c r="N18" s="49" t="str">
        <f ca="1">INDIRECT("Data_Sheet!O"&amp;18+$B$50)</f>
        <v/>
      </c>
      <c r="O18" s="49" t="str">
        <f ca="1">INDIRECT("Data_Sheet!P"&amp;18+$B$50)</f>
        <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str">
        <f ca="1">INDIRECT("Data_Sheet!B"&amp;19+$B$50)</f>
        <v/>
      </c>
      <c r="B19" s="49" t="str">
        <f ca="1">INDIRECT("Data_Sheet!C"&amp;19+$B$50)</f>
        <v/>
      </c>
      <c r="C19" s="49" t="str">
        <f ca="1">INDIRECT("Data_Sheet!D"&amp;19+$B$50)</f>
        <v/>
      </c>
      <c r="D19" s="49" t="str">
        <f ca="1">INDIRECT("Data_Sheet!E"&amp;19+$B$50)</f>
        <v/>
      </c>
      <c r="E19" s="49" t="str">
        <f ca="1">INDIRECT("Data_Sheet!F"&amp;19+$B$50)</f>
        <v/>
      </c>
      <c r="F19" s="49" t="str">
        <f ca="1">INDIRECT("Data_Sheet!G"&amp;19+$B$50)</f>
        <v/>
      </c>
      <c r="G19" s="49" t="str">
        <f ca="1">INDIRECT("Data_Sheet!H"&amp;19+$B$50)</f>
        <v/>
      </c>
      <c r="H19" s="49" t="str">
        <f ca="1">INDIRECT("Data_Sheet!I"&amp;19+$B$50)</f>
        <v/>
      </c>
      <c r="I19" s="49" t="str">
        <f ca="1">INDIRECT("Data_Sheet!J"&amp;19+$B$50)</f>
        <v/>
      </c>
      <c r="J19" s="49" t="str">
        <f ca="1">INDIRECT("Data_Sheet!K"&amp;19+$B$50)</f>
        <v/>
      </c>
      <c r="K19" s="49" t="str">
        <f ca="1">INDIRECT("Data_Sheet!L"&amp;19+$B$50)</f>
        <v/>
      </c>
      <c r="L19" s="49" t="str">
        <f ca="1">INDIRECT("Data_Sheet!M"&amp;19+$B$50)</f>
        <v/>
      </c>
      <c r="M19" s="49" t="str">
        <f ca="1">INDIRECT("Data_Sheet!N"&amp;19+$B$50)</f>
        <v/>
      </c>
      <c r="N19" s="49" t="str">
        <f ca="1">INDIRECT("Data_Sheet!O"&amp;19+$B$50)</f>
        <v/>
      </c>
      <c r="O19" s="49" t="str">
        <f ca="1">INDIRECT("Data_Sheet!P"&amp;19+$B$50)</f>
        <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str">
        <f ca="1">INDIRECT("Data_Sheet!B"&amp;20+$B$50)</f>
        <v/>
      </c>
      <c r="B20" s="49" t="str">
        <f ca="1">INDIRECT("Data_Sheet!C"&amp;20+$B$50)</f>
        <v/>
      </c>
      <c r="C20" s="49" t="str">
        <f ca="1">INDIRECT("Data_Sheet!D"&amp;20+$B$50)</f>
        <v/>
      </c>
      <c r="D20" s="49" t="str">
        <f ca="1">INDIRECT("Data_Sheet!E"&amp;20+$B$50)</f>
        <v/>
      </c>
      <c r="E20" s="49" t="str">
        <f ca="1">INDIRECT("Data_Sheet!F"&amp;20+$B$50)</f>
        <v/>
      </c>
      <c r="F20" s="49" t="str">
        <f ca="1">INDIRECT("Data_Sheet!G"&amp;20+$B$50)</f>
        <v/>
      </c>
      <c r="G20" s="49" t="str">
        <f ca="1">INDIRECT("Data_Sheet!H"&amp;20+$B$50)</f>
        <v/>
      </c>
      <c r="H20" s="49" t="str">
        <f ca="1">INDIRECT("Data_Sheet!I"&amp;20+$B$50)</f>
        <v/>
      </c>
      <c r="I20" s="49" t="str">
        <f ca="1">INDIRECT("Data_Sheet!J"&amp;20+$B$50)</f>
        <v/>
      </c>
      <c r="J20" s="49" t="str">
        <f ca="1">INDIRECT("Data_Sheet!K"&amp;20+$B$50)</f>
        <v/>
      </c>
      <c r="K20" s="49" t="str">
        <f ca="1">INDIRECT("Data_Sheet!L"&amp;20+$B$50)</f>
        <v/>
      </c>
      <c r="L20" s="49" t="str">
        <f ca="1">INDIRECT("Data_Sheet!M"&amp;20+$B$50)</f>
        <v/>
      </c>
      <c r="M20" s="49" t="str">
        <f ca="1">INDIRECT("Data_Sheet!N"&amp;20+$B$50)</f>
        <v/>
      </c>
      <c r="N20" s="49" t="str">
        <f ca="1">INDIRECT("Data_Sheet!O"&amp;20+$B$50)</f>
        <v/>
      </c>
      <c r="O20" s="49" t="str">
        <f ca="1">INDIRECT("Data_Sheet!P"&amp;20+$B$50)</f>
        <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str">
        <f ca="1">INDIRECT("Data_Sheet!B"&amp;21+$B$50)</f>
        <v/>
      </c>
      <c r="B21" s="49" t="str">
        <f ca="1">INDIRECT("Data_Sheet!C"&amp;21+$B$50)</f>
        <v/>
      </c>
      <c r="C21" s="49" t="str">
        <f ca="1">INDIRECT("Data_Sheet!D"&amp;21+$B$50)</f>
        <v/>
      </c>
      <c r="D21" s="49" t="str">
        <f ca="1">INDIRECT("Data_Sheet!E"&amp;21+$B$50)</f>
        <v/>
      </c>
      <c r="E21" s="49" t="str">
        <f ca="1">INDIRECT("Data_Sheet!F"&amp;21+$B$50)</f>
        <v/>
      </c>
      <c r="F21" s="49" t="str">
        <f ca="1">INDIRECT("Data_Sheet!G"&amp;21+$B$50)</f>
        <v/>
      </c>
      <c r="G21" s="49" t="str">
        <f ca="1">INDIRECT("Data_Sheet!H"&amp;21+$B$50)</f>
        <v/>
      </c>
      <c r="H21" s="49" t="str">
        <f ca="1">INDIRECT("Data_Sheet!I"&amp;21+$B$50)</f>
        <v/>
      </c>
      <c r="I21" s="49" t="str">
        <f ca="1">INDIRECT("Data_Sheet!J"&amp;21+$B$50)</f>
        <v/>
      </c>
      <c r="J21" s="49" t="str">
        <f ca="1">INDIRECT("Data_Sheet!K"&amp;21+$B$50)</f>
        <v/>
      </c>
      <c r="K21" s="49" t="str">
        <f ca="1">INDIRECT("Data_Sheet!L"&amp;21+$B$50)</f>
        <v/>
      </c>
      <c r="L21" s="49" t="str">
        <f ca="1">INDIRECT("Data_Sheet!M"&amp;21+$B$50)</f>
        <v/>
      </c>
      <c r="M21" s="49" t="str">
        <f ca="1">INDIRECT("Data_Sheet!N"&amp;21+$B$50)</f>
        <v/>
      </c>
      <c r="N21" s="49" t="str">
        <f ca="1">INDIRECT("Data_Sheet!O"&amp;21+$B$50)</f>
        <v/>
      </c>
      <c r="O21" s="49" t="str">
        <f ca="1">INDIRECT("Data_Sheet!P"&amp;21+$B$50)</f>
        <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str">
        <f ca="1">INDIRECT("Data_Sheet!B"&amp;22+$B$50)</f>
        <v/>
      </c>
      <c r="B22" s="49" t="str">
        <f ca="1">INDIRECT("Data_Sheet!C"&amp;22+$B$50)</f>
        <v/>
      </c>
      <c r="C22" s="49" t="str">
        <f ca="1">INDIRECT("Data_Sheet!D"&amp;22+$B$50)</f>
        <v/>
      </c>
      <c r="D22" s="49" t="str">
        <f ca="1">INDIRECT("Data_Sheet!E"&amp;22+$B$50)</f>
        <v/>
      </c>
      <c r="E22" s="49" t="str">
        <f ca="1">INDIRECT("Data_Sheet!F"&amp;22+$B$50)</f>
        <v/>
      </c>
      <c r="F22" s="49" t="str">
        <f ca="1">INDIRECT("Data_Sheet!G"&amp;22+$B$50)</f>
        <v/>
      </c>
      <c r="G22" s="49" t="str">
        <f ca="1">INDIRECT("Data_Sheet!H"&amp;22+$B$50)</f>
        <v/>
      </c>
      <c r="H22" s="49" t="str">
        <f ca="1">INDIRECT("Data_Sheet!I"&amp;22+$B$50)</f>
        <v/>
      </c>
      <c r="I22" s="49" t="str">
        <f ca="1">INDIRECT("Data_Sheet!J"&amp;22+$B$50)</f>
        <v/>
      </c>
      <c r="J22" s="49" t="str">
        <f ca="1">INDIRECT("Data_Sheet!K"&amp;22+$B$50)</f>
        <v/>
      </c>
      <c r="K22" s="49" t="str">
        <f ca="1">INDIRECT("Data_Sheet!L"&amp;22+$B$50)</f>
        <v/>
      </c>
      <c r="L22" s="49" t="str">
        <f ca="1">INDIRECT("Data_Sheet!M"&amp;22+$B$50)</f>
        <v/>
      </c>
      <c r="M22" s="49" t="str">
        <f ca="1">INDIRECT("Data_Sheet!N"&amp;22+$B$50)</f>
        <v/>
      </c>
      <c r="N22" s="49" t="str">
        <f ca="1">INDIRECT("Data_Sheet!O"&amp;22+$B$50)</f>
        <v/>
      </c>
      <c r="O22" s="49" t="str">
        <f ca="1">INDIRECT("Data_Sheet!P"&amp;22+$B$50)</f>
        <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str">
        <f ca="1">INDIRECT("Data_Sheet!B"&amp;23+$B$50)</f>
        <v/>
      </c>
      <c r="B23" s="49" t="str">
        <f ca="1">INDIRECT("Data_Sheet!C"&amp;23+$B$50)</f>
        <v/>
      </c>
      <c r="C23" s="49" t="str">
        <f ca="1">INDIRECT("Data_Sheet!D"&amp;23+$B$50)</f>
        <v/>
      </c>
      <c r="D23" s="49" t="str">
        <f ca="1">INDIRECT("Data_Sheet!E"&amp;23+$B$50)</f>
        <v/>
      </c>
      <c r="E23" s="49" t="str">
        <f ca="1">INDIRECT("Data_Sheet!F"&amp;23+$B$50)</f>
        <v/>
      </c>
      <c r="F23" s="49" t="str">
        <f ca="1">INDIRECT("Data_Sheet!G"&amp;23+$B$50)</f>
        <v/>
      </c>
      <c r="G23" s="49" t="str">
        <f ca="1">INDIRECT("Data_Sheet!H"&amp;23+$B$50)</f>
        <v/>
      </c>
      <c r="H23" s="49" t="str">
        <f ca="1">INDIRECT("Data_Sheet!I"&amp;23+$B$50)</f>
        <v/>
      </c>
      <c r="I23" s="49" t="str">
        <f ca="1">INDIRECT("Data_Sheet!J"&amp;23+$B$50)</f>
        <v/>
      </c>
      <c r="J23" s="49" t="str">
        <f ca="1">INDIRECT("Data_Sheet!K"&amp;23+$B$50)</f>
        <v/>
      </c>
      <c r="K23" s="49" t="str">
        <f ca="1">INDIRECT("Data_Sheet!L"&amp;23+$B$50)</f>
        <v/>
      </c>
      <c r="L23" s="49" t="str">
        <f ca="1">INDIRECT("Data_Sheet!M"&amp;23+$B$50)</f>
        <v/>
      </c>
      <c r="M23" s="49" t="str">
        <f ca="1">INDIRECT("Data_Sheet!N"&amp;23+$B$50)</f>
        <v/>
      </c>
      <c r="N23" s="49" t="str">
        <f ca="1">INDIRECT("Data_Sheet!O"&amp;23+$B$50)</f>
        <v/>
      </c>
      <c r="O23" s="49" t="str">
        <f ca="1">INDIRECT("Data_Sheet!P"&amp;23+$B$50)</f>
        <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str">
        <f ca="1">INDIRECT("Data_Sheet!B"&amp;24+$B$50)</f>
        <v/>
      </c>
      <c r="B24" s="49" t="str">
        <f ca="1">INDIRECT("Data_Sheet!C"&amp;24+$B$50)</f>
        <v/>
      </c>
      <c r="C24" s="49" t="str">
        <f ca="1">INDIRECT("Data_Sheet!D"&amp;24+$B$50)</f>
        <v/>
      </c>
      <c r="D24" s="49" t="str">
        <f ca="1">INDIRECT("Data_Sheet!E"&amp;24+$B$50)</f>
        <v/>
      </c>
      <c r="E24" s="49" t="str">
        <f ca="1">INDIRECT("Data_Sheet!F"&amp;24+$B$50)</f>
        <v/>
      </c>
      <c r="F24" s="49" t="str">
        <f ca="1">INDIRECT("Data_Sheet!G"&amp;24+$B$50)</f>
        <v/>
      </c>
      <c r="G24" s="49" t="str">
        <f ca="1">INDIRECT("Data_Sheet!H"&amp;24+$B$50)</f>
        <v/>
      </c>
      <c r="H24" s="49" t="str">
        <f ca="1">INDIRECT("Data_Sheet!I"&amp;24+$B$50)</f>
        <v/>
      </c>
      <c r="I24" s="49" t="str">
        <f ca="1">INDIRECT("Data_Sheet!J"&amp;24+$B$50)</f>
        <v/>
      </c>
      <c r="J24" s="49" t="str">
        <f ca="1">INDIRECT("Data_Sheet!K"&amp;24+$B$50)</f>
        <v/>
      </c>
      <c r="K24" s="49" t="str">
        <f ca="1">INDIRECT("Data_Sheet!L"&amp;24+$B$50)</f>
        <v/>
      </c>
      <c r="L24" s="49" t="str">
        <f ca="1">INDIRECT("Data_Sheet!M"&amp;24+$B$50)</f>
        <v/>
      </c>
      <c r="M24" s="49" t="str">
        <f ca="1">INDIRECT("Data_Sheet!N"&amp;24+$B$50)</f>
        <v/>
      </c>
      <c r="N24" s="49" t="str">
        <f ca="1">INDIRECT("Data_Sheet!O"&amp;24+$B$50)</f>
        <v/>
      </c>
      <c r="O24" s="49" t="str">
        <f ca="1">INDIRECT("Data_Sheet!P"&amp;24+$B$50)</f>
        <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str">
        <f ca="1">INDIRECT("Data_Sheet!B"&amp;25+$B$50)</f>
        <v/>
      </c>
      <c r="B25" s="49" t="str">
        <f ca="1">INDIRECT("Data_Sheet!C"&amp;25+$B$50)</f>
        <v/>
      </c>
      <c r="C25" s="49" t="str">
        <f ca="1">INDIRECT("Data_Sheet!D"&amp;25+$B$50)</f>
        <v/>
      </c>
      <c r="D25" s="49" t="str">
        <f ca="1">INDIRECT("Data_Sheet!E"&amp;25+$B$50)</f>
        <v/>
      </c>
      <c r="E25" s="49" t="str">
        <f ca="1">INDIRECT("Data_Sheet!F"&amp;25+$B$50)</f>
        <v/>
      </c>
      <c r="F25" s="49" t="str">
        <f ca="1">INDIRECT("Data_Sheet!G"&amp;25+$B$50)</f>
        <v/>
      </c>
      <c r="G25" s="49" t="str">
        <f ca="1">INDIRECT("Data_Sheet!H"&amp;25+$B$50)</f>
        <v/>
      </c>
      <c r="H25" s="49" t="str">
        <f ca="1">INDIRECT("Data_Sheet!I"&amp;25+$B$50)</f>
        <v/>
      </c>
      <c r="I25" s="49" t="str">
        <f ca="1">INDIRECT("Data_Sheet!J"&amp;25+$B$50)</f>
        <v/>
      </c>
      <c r="J25" s="49" t="str">
        <f ca="1">INDIRECT("Data_Sheet!K"&amp;25+$B$50)</f>
        <v/>
      </c>
      <c r="K25" s="49" t="str">
        <f ca="1">INDIRECT("Data_Sheet!L"&amp;25+$B$50)</f>
        <v/>
      </c>
      <c r="L25" s="49" t="str">
        <f ca="1">INDIRECT("Data_Sheet!M"&amp;25+$B$50)</f>
        <v/>
      </c>
      <c r="M25" s="49" t="str">
        <f ca="1">INDIRECT("Data_Sheet!N"&amp;25+$B$50)</f>
        <v/>
      </c>
      <c r="N25" s="49" t="str">
        <f ca="1">INDIRECT("Data_Sheet!O"&amp;25+$B$50)</f>
        <v/>
      </c>
      <c r="O25" s="49" t="str">
        <f ca="1">INDIRECT("Data_Sheet!P"&amp;25+$B$50)</f>
        <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str">
        <f t="shared" ref="B27:N27" ca="1" si="0">IF(OR(B30&gt;7,MIN(B10:B25)=0),"",MIN(B10:B25))</f>
        <v/>
      </c>
      <c r="C27" s="173" t="str">
        <f t="shared" ca="1" si="0"/>
        <v/>
      </c>
      <c r="D27" s="173" t="str">
        <f t="shared" ca="1" si="0"/>
        <v/>
      </c>
      <c r="E27" s="173" t="str">
        <f t="shared" ca="1" si="0"/>
        <v/>
      </c>
      <c r="F27" s="173" t="str">
        <f t="shared" ca="1" si="0"/>
        <v/>
      </c>
      <c r="G27" s="173" t="str">
        <f t="shared" ca="1" si="0"/>
        <v/>
      </c>
      <c r="H27" s="173" t="str">
        <f t="shared" ca="1" si="0"/>
        <v/>
      </c>
      <c r="I27" s="173" t="str">
        <f t="shared" ca="1" si="0"/>
        <v/>
      </c>
      <c r="J27" s="173" t="str">
        <f t="shared" ca="1" si="0"/>
        <v/>
      </c>
      <c r="K27" s="173" t="str">
        <f t="shared" ca="1" si="0"/>
        <v/>
      </c>
      <c r="L27" s="173" t="str">
        <f t="shared" ca="1" si="0"/>
        <v/>
      </c>
      <c r="M27" s="173" t="str">
        <f t="shared" ca="1" si="0"/>
        <v/>
      </c>
      <c r="N27" s="173" t="str">
        <f t="shared" ca="1" si="0"/>
        <v/>
      </c>
      <c r="O27" s="173" t="str">
        <f ca="1">IF(OR(O30&gt;7,MIN(O10:O25)=0),"",MIN(O10:O25))</f>
        <v/>
      </c>
      <c r="P27" s="6"/>
      <c r="Q27" s="6"/>
      <c r="U27" t="s">
        <v>1</v>
      </c>
      <c r="V27" s="173" t="e">
        <f ca="1">IF(OR(V30&gt;7,MIN(V10:V25)=0),"",MIN(V10:V25))</f>
        <v>#N/A</v>
      </c>
      <c r="W27" s="173" t="e">
        <f t="shared" ref="W27:AI27" ca="1" si="1">IF(OR(W30&gt;7,MIN(W10:W25)=0),"",MIN(W10:W25))</f>
        <v>#N/A</v>
      </c>
      <c r="X27" s="173" t="e">
        <f t="shared" ca="1" si="1"/>
        <v>#N/A</v>
      </c>
      <c r="Y27" s="173" t="e">
        <f t="shared" ca="1" si="1"/>
        <v>#N/A</v>
      </c>
      <c r="Z27" s="173" t="e">
        <f t="shared" ca="1" si="1"/>
        <v>#N/A</v>
      </c>
      <c r="AA27" s="173" t="e">
        <f t="shared" ca="1" si="1"/>
        <v>#N/A</v>
      </c>
      <c r="AB27" s="173" t="e">
        <f t="shared" ca="1" si="1"/>
        <v>#N/A</v>
      </c>
      <c r="AC27" s="173" t="e">
        <f t="shared" ca="1" si="1"/>
        <v>#N/A</v>
      </c>
      <c r="AD27" s="173" t="e">
        <f t="shared" ca="1" si="1"/>
        <v>#N/A</v>
      </c>
      <c r="AE27" s="173" t="e">
        <f t="shared" ca="1" si="1"/>
        <v>#N/A</v>
      </c>
      <c r="AF27" s="173" t="e">
        <f t="shared" ca="1" si="1"/>
        <v>#N/A</v>
      </c>
      <c r="AG27" s="173" t="e">
        <f t="shared" ca="1" si="1"/>
        <v>#N/A</v>
      </c>
      <c r="AH27" s="173" t="e">
        <f t="shared" ca="1" si="1"/>
        <v>#N/A</v>
      </c>
      <c r="AI27" s="173" t="e">
        <f t="shared" ca="1" si="1"/>
        <v>#N/A</v>
      </c>
      <c r="AO27" t="s">
        <v>1</v>
      </c>
      <c r="AP27" s="173" t="e">
        <f t="shared" ref="AP27:BA27" ca="1" si="2">IF(OR(AP30&gt;7,MIN(AP10:AP25)=0),"",MIN(AP10:AP25))</f>
        <v>#N/A</v>
      </c>
      <c r="AQ27" s="173" t="e">
        <f t="shared" ca="1" si="2"/>
        <v>#N/A</v>
      </c>
      <c r="AR27" s="173" t="e">
        <f t="shared" ca="1" si="2"/>
        <v>#N/A</v>
      </c>
      <c r="AS27" s="173" t="e">
        <f t="shared" ca="1" si="2"/>
        <v>#N/A</v>
      </c>
      <c r="AT27" s="173" t="e">
        <f t="shared" ca="1" si="2"/>
        <v>#N/A</v>
      </c>
      <c r="AU27" s="173" t="e">
        <f t="shared" ca="1" si="2"/>
        <v>#N/A</v>
      </c>
      <c r="AV27" s="173" t="e">
        <f t="shared" ca="1" si="2"/>
        <v>#N/A</v>
      </c>
      <c r="AW27" s="173" t="e">
        <f t="shared" ca="1" si="2"/>
        <v>#N/A</v>
      </c>
      <c r="AX27" s="173" t="e">
        <f t="shared" ca="1" si="2"/>
        <v>#N/A</v>
      </c>
      <c r="AY27" s="173" t="e">
        <f t="shared" ca="1" si="2"/>
        <v>#N/A</v>
      </c>
      <c r="AZ27" s="173" t="e">
        <f t="shared" ca="1" si="2"/>
        <v>#N/A</v>
      </c>
      <c r="BA27" s="173" t="e">
        <f t="shared" ca="1" si="2"/>
        <v>#N/A</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73" t="str">
        <f t="shared" ref="B29:N29" ca="1" si="6">IF(OR(B30&gt;7,B27=""),"",LARGE(B10:B25,B30))</f>
        <v/>
      </c>
      <c r="C29" s="173" t="str">
        <f t="shared" ca="1" si="6"/>
        <v/>
      </c>
      <c r="D29" s="173" t="str">
        <f t="shared" ca="1" si="6"/>
        <v/>
      </c>
      <c r="E29" s="173" t="str">
        <f t="shared" ca="1" si="6"/>
        <v/>
      </c>
      <c r="F29" s="173" t="str">
        <f t="shared" ca="1" si="6"/>
        <v/>
      </c>
      <c r="G29" s="173" t="str">
        <f t="shared" ca="1" si="6"/>
        <v/>
      </c>
      <c r="H29" s="173" t="str">
        <f t="shared" ca="1" si="6"/>
        <v/>
      </c>
      <c r="I29" s="173" t="str">
        <f t="shared" ca="1" si="6"/>
        <v/>
      </c>
      <c r="J29" s="173" t="str">
        <f t="shared" ca="1" si="6"/>
        <v/>
      </c>
      <c r="K29" s="173" t="str">
        <f t="shared" ca="1" si="6"/>
        <v/>
      </c>
      <c r="L29" s="173" t="str">
        <f t="shared" ca="1" si="6"/>
        <v/>
      </c>
      <c r="M29" s="173" t="str">
        <f t="shared" ca="1" si="6"/>
        <v/>
      </c>
      <c r="N29" s="173" t="str">
        <f t="shared" ca="1" si="6"/>
        <v/>
      </c>
      <c r="O29" s="173" t="str">
        <f ca="1">IF(OR(O30&gt;7,O27=""),"",LARGE(O10:O25,O30))</f>
        <v/>
      </c>
      <c r="P29" s="6"/>
      <c r="Q29" s="6"/>
      <c r="R29" s="163"/>
      <c r="U29" t="s">
        <v>2</v>
      </c>
      <c r="V29" s="173" t="e">
        <f ca="1">IF(OR(V30&gt;7,V27=""),"",LARGE(V10:V25,V30))</f>
        <v>#N/A</v>
      </c>
      <c r="W29" s="173" t="e">
        <f t="shared" ref="W29:AI29" ca="1" si="7">IF(OR(W30&gt;7,W27=""),"",LARGE(W10:W25,W30))</f>
        <v>#N/A</v>
      </c>
      <c r="X29" s="173" t="e">
        <f t="shared" ca="1" si="7"/>
        <v>#N/A</v>
      </c>
      <c r="Y29" s="173" t="e">
        <f t="shared" ca="1" si="7"/>
        <v>#N/A</v>
      </c>
      <c r="Z29" s="173" t="e">
        <f t="shared" ca="1" si="7"/>
        <v>#N/A</v>
      </c>
      <c r="AA29" s="173" t="e">
        <f t="shared" ca="1" si="7"/>
        <v>#N/A</v>
      </c>
      <c r="AB29" s="173" t="e">
        <f t="shared" ca="1" si="7"/>
        <v>#N/A</v>
      </c>
      <c r="AC29" s="173" t="e">
        <f t="shared" ca="1" si="7"/>
        <v>#N/A</v>
      </c>
      <c r="AD29" s="173" t="e">
        <f t="shared" ca="1" si="7"/>
        <v>#N/A</v>
      </c>
      <c r="AE29" s="173" t="e">
        <f t="shared" ca="1" si="7"/>
        <v>#N/A</v>
      </c>
      <c r="AF29" s="173" t="e">
        <f t="shared" ca="1" si="7"/>
        <v>#N/A</v>
      </c>
      <c r="AG29" s="173" t="e">
        <f t="shared" ca="1" si="7"/>
        <v>#N/A</v>
      </c>
      <c r="AH29" s="173" t="e">
        <f t="shared" ca="1" si="7"/>
        <v>#N/A</v>
      </c>
      <c r="AI29" s="173" t="e">
        <f t="shared" ca="1" si="7"/>
        <v>#N/A</v>
      </c>
      <c r="AO29" t="s">
        <v>2</v>
      </c>
      <c r="AP29" s="173" t="e">
        <f t="shared" ref="AP29" ca="1" si="8">IF(OR(AP30&gt;7,AP27=""),"",LARGE(AP10:AP25,AP30))</f>
        <v>#N/A</v>
      </c>
      <c r="AQ29" s="173" t="e">
        <f t="shared" ref="AQ29" ca="1" si="9">IF(OR(AQ30&gt;7,AQ27=""),"",LARGE(AQ10:AQ25,AQ30))</f>
        <v>#N/A</v>
      </c>
      <c r="AR29" s="173" t="e">
        <f t="shared" ref="AR29" ca="1" si="10">IF(OR(AR30&gt;7,AR27=""),"",LARGE(AR10:AR25,AR30))</f>
        <v>#N/A</v>
      </c>
      <c r="AS29" s="173" t="e">
        <f t="shared" ref="AS29" ca="1" si="11">IF(OR(AS30&gt;7,AS27=""),"",LARGE(AS10:AS25,AS30))</f>
        <v>#N/A</v>
      </c>
      <c r="AT29" s="173" t="e">
        <f t="shared" ref="AT29" ca="1" si="12">IF(OR(AT30&gt;7,AT27=""),"",LARGE(AT10:AT25,AT30))</f>
        <v>#N/A</v>
      </c>
      <c r="AU29" s="173" t="e">
        <f t="shared" ref="AU29" ca="1" si="13">IF(OR(AU30&gt;7,AU27=""),"",LARGE(AU10:AU25,AU30))</f>
        <v>#N/A</v>
      </c>
      <c r="AV29" s="173" t="e">
        <f t="shared" ref="AV29" ca="1" si="14">IF(OR(AV30&gt;7,AV27=""),"",LARGE(AV10:AV25,AV30))</f>
        <v>#N/A</v>
      </c>
      <c r="AW29" s="173" t="e">
        <f t="shared" ref="AW29" ca="1" si="15">IF(OR(AW30&gt;7,AW27=""),"",LARGE(AW10:AW25,AW30))</f>
        <v>#N/A</v>
      </c>
      <c r="AX29" s="173" t="e">
        <f t="shared" ref="AX29" ca="1" si="16">IF(OR(AX30&gt;7,AX27=""),"",LARGE(AX10:AX25,AX30))</f>
        <v>#N/A</v>
      </c>
      <c r="AY29" s="173" t="e">
        <f t="shared" ref="AY29" ca="1" si="17">IF(OR(AY30&gt;7,AY27=""),"",LARGE(AY10:AY25,AY30))</f>
        <v>#N/A</v>
      </c>
      <c r="AZ29" s="173" t="e">
        <f t="shared" ref="AZ29" ca="1" si="18">IF(OR(AZ30&gt;7,AZ27=""),"",LARGE(AZ10:AZ25,AZ30))</f>
        <v>#N/A</v>
      </c>
      <c r="BA29" s="173" t="e">
        <f t="shared" ref="BA29" ca="1" si="19">IF(OR(BA30&gt;7,BA27=""),"",LARGE(BA10:BA25,BA30))</f>
        <v>#N/A</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3" spans="1:41" x14ac:dyDescent="0.2">
      <c r="A33" s="175">
        <f ca="1">MAX(B29:O29)</f>
        <v>0</v>
      </c>
      <c r="B33" t="s">
        <v>4</v>
      </c>
      <c r="D33" s="6">
        <f ca="1">SUM(MAX(J37:J76),-A1)</f>
        <v>0</v>
      </c>
      <c r="F33" t="s">
        <v>5</v>
      </c>
      <c r="H33" s="6">
        <f ca="1">SUM(MIN(L37:L76),-A1)</f>
        <v>0</v>
      </c>
      <c r="J33" s="1" t="s">
        <v>14</v>
      </c>
      <c r="K33" s="2" t="e">
        <f ca="1">MAX(B40,B48)</f>
        <v>#VALUE!</v>
      </c>
      <c r="U33" s="175" t="e">
        <f ca="1">MAX(V29:AI29)</f>
        <v>#N/A</v>
      </c>
      <c r="AO33" s="50" t="e">
        <f ca="1">MAX(AP29:BA29)</f>
        <v>#N/A</v>
      </c>
    </row>
    <row r="34" spans="1:41" x14ac:dyDescent="0.2">
      <c r="A34" s="175">
        <f ca="1">MIN(B27:O27)</f>
        <v>0</v>
      </c>
      <c r="F34" s="175">
        <f ca="1">IF(SIGN(A1)=-1,MIN(A33,IF(ISERROR(U33),0,U33),IF(ISERROR(AO33),0,AO33)),MAX(A33,IF(ISERROR(U33),0,U33),IF(ISERROR(AO33),0,AO33)))</f>
        <v>0</v>
      </c>
      <c r="G34" s="156"/>
      <c r="H34" s="156"/>
      <c r="I34" s="156"/>
      <c r="J34" s="175" t="e">
        <f ca="1">MIN(A34,U34)</f>
        <v>#N/A</v>
      </c>
      <c r="K34" s="156" t="e">
        <f ca="1">MIN(A34,U34,AO34)</f>
        <v>#N/A</v>
      </c>
      <c r="L34" s="156"/>
      <c r="M34" s="156"/>
      <c r="N34" s="156"/>
      <c r="O34" s="156"/>
      <c r="P34" s="156"/>
      <c r="Q34" s="156"/>
      <c r="R34" s="156"/>
      <c r="S34" s="156"/>
      <c r="T34" s="156"/>
      <c r="U34" s="175" t="e">
        <f ca="1">MIN(V27:AI27)</f>
        <v>#N/A</v>
      </c>
      <c r="V34" s="156"/>
      <c r="AO34" s="50" t="e">
        <f ca="1">MIN(AP27:BA27)</f>
        <v>#N/A</v>
      </c>
    </row>
    <row r="35" spans="1:41" x14ac:dyDescent="0.2">
      <c r="H35" s="44" t="s">
        <v>5057</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2" t="s">
        <v>36</v>
      </c>
      <c r="L37" s="6" t="str" cm="1">
        <f t="array" aca="1" ref="L37:L50" ca="1">IFERROR(TRANSPOSE(B27:O27),"-")</f>
        <v/>
      </c>
      <c r="M37" s="64"/>
    </row>
    <row r="38" spans="1:41" x14ac:dyDescent="0.2">
      <c r="A38" s="44" t="s">
        <v>303</v>
      </c>
      <c r="B38" t="e">
        <f ca="1">F40</f>
        <v>#VALUE!</v>
      </c>
      <c r="E38" t="s">
        <v>300</v>
      </c>
      <c r="F38" t="e">
        <f ca="1">B37/SQRT(5)</f>
        <v>#VALUE!</v>
      </c>
      <c r="I38" s="6"/>
      <c r="J38" s="6" t="str">
        <f ca="1"/>
        <v/>
      </c>
      <c r="K38" s="102" t="s">
        <v>36</v>
      </c>
      <c r="L38" s="6" t="str">
        <f ca="1"/>
        <v/>
      </c>
      <c r="M38" s="64"/>
    </row>
    <row r="39" spans="1:41" x14ac:dyDescent="0.2">
      <c r="E39" t="s">
        <v>301</v>
      </c>
      <c r="F39">
        <f ca="1">IF(J35=1,6.9,IF(J35=2,6.9,IF(J35=3,2.27,IF(J35=4,1.66,1.43))))</f>
        <v>1.43</v>
      </c>
      <c r="I39" s="6"/>
      <c r="J39" s="6" t="str">
        <f ca="1"/>
        <v/>
      </c>
      <c r="K39" s="102" t="s">
        <v>36</v>
      </c>
      <c r="L39" s="6" t="str">
        <f ca="1"/>
        <v/>
      </c>
      <c r="M39" s="64"/>
    </row>
    <row r="40" spans="1:41" x14ac:dyDescent="0.2">
      <c r="A40" s="44" t="s">
        <v>17</v>
      </c>
      <c r="B40" s="1" t="e">
        <f ca="1">(SQRT(B45)*2)</f>
        <v>#VALUE!</v>
      </c>
      <c r="E40" s="44" t="s">
        <v>302</v>
      </c>
      <c r="F40" t="e">
        <f ca="1">(F38*F39)</f>
        <v>#VALUE!</v>
      </c>
      <c r="I40" s="6"/>
      <c r="J40" s="6" t="str">
        <f ca="1"/>
        <v/>
      </c>
      <c r="K40" s="102" t="s">
        <v>36</v>
      </c>
      <c r="L40" s="6" t="str">
        <f ca="1"/>
        <v/>
      </c>
      <c r="M40" s="64"/>
    </row>
    <row r="41" spans="1:41" x14ac:dyDescent="0.2">
      <c r="I41" s="6"/>
      <c r="J41" s="6" t="str">
        <f ca="1"/>
        <v/>
      </c>
      <c r="K41" s="102" t="s">
        <v>36</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2" t="s">
        <v>36</v>
      </c>
      <c r="L42" s="6" t="str">
        <f ca="1"/>
        <v/>
      </c>
      <c r="M42" s="64"/>
    </row>
    <row r="43" spans="1:41" x14ac:dyDescent="0.2">
      <c r="I43" s="6"/>
      <c r="J43" s="6" t="str">
        <f ca="1"/>
        <v/>
      </c>
      <c r="K43" s="102" t="s">
        <v>36</v>
      </c>
      <c r="L43" s="6" t="str">
        <f ca="1"/>
        <v/>
      </c>
      <c r="M43" s="64"/>
    </row>
    <row r="44" spans="1:41" x14ac:dyDescent="0.2">
      <c r="A44" t="s">
        <v>12</v>
      </c>
      <c r="B44">
        <f>C42/2</f>
        <v>0.309</v>
      </c>
      <c r="I44" s="6"/>
      <c r="J44" s="6" t="str">
        <f ca="1"/>
        <v/>
      </c>
      <c r="K44" s="102" t="s">
        <v>36</v>
      </c>
      <c r="L44" s="6" t="str">
        <f ca="1"/>
        <v/>
      </c>
      <c r="M44" s="64"/>
    </row>
    <row r="45" spans="1:41" x14ac:dyDescent="0.2">
      <c r="A45" t="s">
        <v>13</v>
      </c>
      <c r="B45" t="e">
        <f ca="1">(B38*B38)+(B44*B44)</f>
        <v>#VALUE!</v>
      </c>
      <c r="I45" s="6"/>
      <c r="J45" s="6" t="str">
        <f ca="1"/>
        <v/>
      </c>
      <c r="K45" s="102" t="s">
        <v>36</v>
      </c>
      <c r="L45" s="6" t="str">
        <f ca="1"/>
        <v/>
      </c>
      <c r="M45" s="64"/>
    </row>
    <row r="46" spans="1:41" x14ac:dyDescent="0.2">
      <c r="I46" s="6"/>
      <c r="J46" s="6" t="str">
        <f ca="1"/>
        <v/>
      </c>
      <c r="K46" s="102" t="s">
        <v>36</v>
      </c>
      <c r="L46" s="6" t="str">
        <f ca="1"/>
        <v/>
      </c>
      <c r="M46" s="64"/>
    </row>
    <row r="47" spans="1:41" x14ac:dyDescent="0.2">
      <c r="A47" s="44" t="s">
        <v>16</v>
      </c>
      <c r="B47" s="1">
        <f>IF($A$1&lt;392.1,1.4,IF($A$1&lt;752.1,3.1,IF($A$1&lt;1200.1,3.1,IF($A$1&lt;1800.1,3.7,IF($A$1&lt;2300.1,4.1)))))</f>
        <v>1.4</v>
      </c>
      <c r="I47" s="6"/>
      <c r="J47" s="6" t="str">
        <f ca="1"/>
        <v/>
      </c>
      <c r="K47" s="102" t="s">
        <v>36</v>
      </c>
      <c r="L47" s="6" t="str">
        <f ca="1"/>
        <v/>
      </c>
      <c r="M47" s="64"/>
    </row>
    <row r="48" spans="1:41" x14ac:dyDescent="0.2">
      <c r="B48">
        <f>VALUE(B47)</f>
        <v>1.4</v>
      </c>
      <c r="I48" s="6"/>
      <c r="J48" s="6" t="str">
        <f ca="1"/>
        <v/>
      </c>
      <c r="K48" s="102" t="s">
        <v>36</v>
      </c>
      <c r="L48" s="6" t="str">
        <f ca="1"/>
        <v/>
      </c>
      <c r="M48" s="64"/>
    </row>
    <row r="49" spans="1:13" x14ac:dyDescent="0.2">
      <c r="I49" s="6"/>
      <c r="J49" s="6" t="str">
        <f ca="1"/>
        <v/>
      </c>
      <c r="K49" s="102" t="s">
        <v>36</v>
      </c>
      <c r="L49" s="6" t="str">
        <f ca="1"/>
        <v/>
      </c>
      <c r="M49" s="64"/>
    </row>
    <row r="50" spans="1:13" x14ac:dyDescent="0.2">
      <c r="B50">
        <f>MATCH(Main!$E$30,Data_Sheet!$A$11:$A$900,0)</f>
        <v>4</v>
      </c>
      <c r="I50" s="6"/>
      <c r="J50" s="6" t="str">
        <f ca="1"/>
        <v/>
      </c>
      <c r="K50" s="102" t="s">
        <v>36</v>
      </c>
      <c r="L50" s="6" t="str">
        <f ca="1"/>
        <v/>
      </c>
      <c r="M50" s="64"/>
    </row>
    <row r="51" spans="1:13" x14ac:dyDescent="0.2">
      <c r="I51" s="6"/>
      <c r="J51" s="6" t="str" cm="1">
        <f t="array" aca="1" ref="J51:J64" ca="1">IFERROR(TRANSPOSE(V29:AI29),"-")</f>
        <v>-</v>
      </c>
      <c r="K51" s="102" t="s">
        <v>36</v>
      </c>
      <c r="L51" s="6" t="str" cm="1">
        <f t="array" aca="1" ref="L51:L64" ca="1">IFERROR(TRANSPOSE(V27:AI27),"-")</f>
        <v>-</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v>
      </c>
      <c r="K52" s="102" t="s">
        <v>36</v>
      </c>
      <c r="L52" s="6" t="str">
        <f ca="1"/>
        <v>-</v>
      </c>
      <c r="M52" s="64"/>
    </row>
    <row r="53" spans="1:13" x14ac:dyDescent="0.2">
      <c r="A53" s="53"/>
      <c r="I53" s="6"/>
      <c r="J53" s="6" t="str">
        <f ca="1"/>
        <v>-</v>
      </c>
      <c r="K53" s="102" t="s">
        <v>36</v>
      </c>
      <c r="L53" s="6" t="str">
        <f ca="1"/>
        <v>-</v>
      </c>
      <c r="M53" s="64"/>
    </row>
    <row r="54" spans="1:13" x14ac:dyDescent="0.2">
      <c r="I54" s="6"/>
      <c r="J54" s="6" t="str">
        <f ca="1"/>
        <v>-</v>
      </c>
      <c r="K54" s="102" t="s">
        <v>36</v>
      </c>
      <c r="L54" s="6" t="str">
        <f ca="1"/>
        <v>-</v>
      </c>
      <c r="M54" s="64"/>
    </row>
    <row r="55" spans="1:13" x14ac:dyDescent="0.2">
      <c r="I55" s="6"/>
      <c r="J55" s="6" t="str">
        <f ca="1"/>
        <v>-</v>
      </c>
      <c r="K55" s="102" t="s">
        <v>36</v>
      </c>
      <c r="L55" s="6" t="str">
        <f ca="1"/>
        <v>-</v>
      </c>
      <c r="M55" s="64"/>
    </row>
    <row r="56" spans="1:13" x14ac:dyDescent="0.2">
      <c r="I56" s="6"/>
      <c r="J56" s="6" t="str">
        <f ca="1"/>
        <v>-</v>
      </c>
      <c r="K56" s="102" t="s">
        <v>36</v>
      </c>
      <c r="L56" s="6" t="str">
        <f ca="1"/>
        <v>-</v>
      </c>
      <c r="M56" s="64"/>
    </row>
    <row r="57" spans="1:13" x14ac:dyDescent="0.2">
      <c r="I57" s="6"/>
      <c r="J57" s="6" t="str">
        <f ca="1"/>
        <v>-</v>
      </c>
      <c r="K57" s="102" t="s">
        <v>36</v>
      </c>
      <c r="L57" s="6" t="str">
        <f ca="1"/>
        <v>-</v>
      </c>
      <c r="M57" s="64"/>
    </row>
    <row r="58" spans="1:13" x14ac:dyDescent="0.2">
      <c r="I58" s="6"/>
      <c r="J58" s="6" t="str">
        <f ca="1"/>
        <v>-</v>
      </c>
      <c r="K58" s="102" t="s">
        <v>36</v>
      </c>
      <c r="L58" s="6" t="str">
        <f ca="1"/>
        <v>-</v>
      </c>
      <c r="M58" s="64"/>
    </row>
    <row r="59" spans="1:13" x14ac:dyDescent="0.2">
      <c r="I59" s="6"/>
      <c r="J59" s="6" t="str">
        <f ca="1"/>
        <v>-</v>
      </c>
      <c r="K59" s="102" t="s">
        <v>36</v>
      </c>
      <c r="L59" s="6" t="str">
        <f ca="1"/>
        <v>-</v>
      </c>
      <c r="M59" s="64"/>
    </row>
    <row r="60" spans="1:13" x14ac:dyDescent="0.2">
      <c r="I60" s="6"/>
      <c r="J60" s="6" t="str">
        <f ca="1"/>
        <v>-</v>
      </c>
      <c r="K60" s="102" t="s">
        <v>36</v>
      </c>
      <c r="L60" s="6" t="str">
        <f ca="1"/>
        <v>-</v>
      </c>
      <c r="M60" s="64"/>
    </row>
    <row r="61" spans="1:13" x14ac:dyDescent="0.2">
      <c r="I61" s="6"/>
      <c r="J61" s="6" t="str">
        <f ca="1"/>
        <v>-</v>
      </c>
      <c r="K61" s="102" t="s">
        <v>36</v>
      </c>
      <c r="L61" s="6" t="str">
        <f ca="1"/>
        <v>-</v>
      </c>
      <c r="M61" s="64"/>
    </row>
    <row r="62" spans="1:13" x14ac:dyDescent="0.2">
      <c r="I62" s="6"/>
      <c r="J62" s="6" t="str">
        <f ca="1"/>
        <v>-</v>
      </c>
      <c r="K62" s="102" t="s">
        <v>36</v>
      </c>
      <c r="L62" s="6" t="str">
        <f ca="1"/>
        <v>-</v>
      </c>
      <c r="M62" s="64"/>
    </row>
    <row r="63" spans="1:13" x14ac:dyDescent="0.2">
      <c r="I63" s="6"/>
      <c r="J63" s="6" t="str">
        <f ca="1"/>
        <v>-</v>
      </c>
      <c r="K63" s="102" t="s">
        <v>36</v>
      </c>
      <c r="L63" s="6" t="str">
        <f ca="1"/>
        <v>-</v>
      </c>
      <c r="M63" s="64"/>
    </row>
    <row r="64" spans="1:13" x14ac:dyDescent="0.2">
      <c r="I64" s="6"/>
      <c r="J64" s="6" t="str">
        <f ca="1"/>
        <v>-</v>
      </c>
      <c r="K64" s="102" t="s">
        <v>36</v>
      </c>
      <c r="L64" s="6" t="str">
        <f ca="1"/>
        <v>-</v>
      </c>
      <c r="M64" s="64"/>
    </row>
    <row r="65" spans="9:13" x14ac:dyDescent="0.2">
      <c r="I65" s="6"/>
      <c r="J65" s="6" t="str" cm="1">
        <f t="array" aca="1" ref="J65:J76" ca="1">IFERROR(TRANSPOSE(AP29:BA29),"-")</f>
        <v>-</v>
      </c>
      <c r="K65" s="102" t="s">
        <v>36</v>
      </c>
      <c r="L65" s="6" t="str" cm="1">
        <f t="array" aca="1" ref="L65:L76" ca="1">IFERROR(TRANSPOSE(AP27:BA27),"-")</f>
        <v>-</v>
      </c>
      <c r="M65" s="64"/>
    </row>
    <row r="66" spans="9:13" x14ac:dyDescent="0.2">
      <c r="I66" s="6"/>
      <c r="J66" s="6" t="str">
        <f ca="1"/>
        <v>-</v>
      </c>
      <c r="K66" s="102" t="s">
        <v>36</v>
      </c>
      <c r="L66" s="6" t="str">
        <f ca="1"/>
        <v>-</v>
      </c>
      <c r="M66" s="64"/>
    </row>
    <row r="67" spans="9:13" x14ac:dyDescent="0.2">
      <c r="I67" s="6"/>
      <c r="J67" s="6" t="str">
        <f ca="1"/>
        <v>-</v>
      </c>
      <c r="K67" s="102" t="s">
        <v>36</v>
      </c>
      <c r="L67" s="6" t="str">
        <f ca="1"/>
        <v>-</v>
      </c>
      <c r="M67" s="64"/>
    </row>
    <row r="68" spans="9:13" x14ac:dyDescent="0.2">
      <c r="I68" s="6"/>
      <c r="J68" s="6" t="str">
        <f ca="1"/>
        <v>-</v>
      </c>
      <c r="K68" s="102" t="s">
        <v>36</v>
      </c>
      <c r="L68" s="6" t="str">
        <f ca="1"/>
        <v>-</v>
      </c>
      <c r="M68" s="64"/>
    </row>
    <row r="69" spans="9:13" x14ac:dyDescent="0.2">
      <c r="I69" s="6"/>
      <c r="J69" s="6" t="str">
        <f ca="1"/>
        <v>-</v>
      </c>
      <c r="K69" s="102" t="s">
        <v>36</v>
      </c>
      <c r="L69" s="6" t="str">
        <f ca="1"/>
        <v>-</v>
      </c>
      <c r="M69" s="64"/>
    </row>
    <row r="70" spans="9:13" x14ac:dyDescent="0.2">
      <c r="I70" s="6"/>
      <c r="J70" s="6" t="str">
        <f ca="1"/>
        <v>-</v>
      </c>
      <c r="K70" s="102" t="s">
        <v>36</v>
      </c>
      <c r="L70" s="6" t="str">
        <f ca="1"/>
        <v>-</v>
      </c>
      <c r="M70" s="64"/>
    </row>
    <row r="71" spans="9:13" x14ac:dyDescent="0.2">
      <c r="I71" s="6"/>
      <c r="J71" s="6" t="str">
        <f ca="1"/>
        <v>-</v>
      </c>
      <c r="K71" s="102" t="s">
        <v>36</v>
      </c>
      <c r="L71" s="6" t="str">
        <f ca="1"/>
        <v>-</v>
      </c>
      <c r="M71" s="64"/>
    </row>
    <row r="72" spans="9:13" x14ac:dyDescent="0.2">
      <c r="I72" s="6"/>
      <c r="J72" s="6" t="str">
        <f ca="1"/>
        <v>-</v>
      </c>
      <c r="K72" s="102" t="s">
        <v>36</v>
      </c>
      <c r="L72" s="6" t="str">
        <f ca="1"/>
        <v>-</v>
      </c>
      <c r="M72" s="64"/>
    </row>
    <row r="73" spans="9:13" x14ac:dyDescent="0.2">
      <c r="I73" s="6"/>
      <c r="J73" s="6" t="str">
        <f ca="1"/>
        <v>-</v>
      </c>
      <c r="K73" s="102" t="s">
        <v>36</v>
      </c>
      <c r="L73" s="6" t="str">
        <f ca="1"/>
        <v>-</v>
      </c>
      <c r="M73" s="64"/>
    </row>
    <row r="74" spans="9:13" x14ac:dyDescent="0.2">
      <c r="I74" s="6"/>
      <c r="J74" s="6" t="str">
        <f ca="1"/>
        <v>-</v>
      </c>
      <c r="K74" s="102" t="s">
        <v>36</v>
      </c>
      <c r="L74" s="6" t="str">
        <f ca="1"/>
        <v>-</v>
      </c>
      <c r="M74" s="64"/>
    </row>
    <row r="75" spans="9:13" x14ac:dyDescent="0.2">
      <c r="I75" s="6"/>
      <c r="J75" s="6" t="str">
        <f ca="1"/>
        <v>-</v>
      </c>
      <c r="K75" s="102" t="s">
        <v>36</v>
      </c>
      <c r="L75" s="6" t="str">
        <f ca="1"/>
        <v>-</v>
      </c>
      <c r="M75" s="64"/>
    </row>
    <row r="76" spans="9:13" x14ac:dyDescent="0.2">
      <c r="I76" s="6"/>
      <c r="J76" s="6" t="str">
        <f ca="1"/>
        <v>-</v>
      </c>
      <c r="K76" s="102" t="s">
        <v>36</v>
      </c>
      <c r="L76" s="6" t="str">
        <f ca="1"/>
        <v>-</v>
      </c>
      <c r="M76" s="64"/>
    </row>
    <row r="77" spans="9:13" x14ac:dyDescent="0.2">
      <c r="I77" s="6"/>
      <c r="M77" s="53"/>
    </row>
  </sheetData>
  <sheetProtection algorithmName="SHA-512" hashValue="HJWRSvFKvC2/ERDUNPzHWIEaoQH2b2AVjEhg/eqYBlEHcF3taOypqmxgzqqpJ4L5I85u6bEQBD3Y3O4z3aJvLQ==" saltValue="daSMp9Cy4Jd9Bfb+szfLJA=="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B1" sqref="B1:AO999"/>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49"/>
      <c r="C1" s="649"/>
      <c r="D1" s="649"/>
      <c r="E1" s="40" t="s">
        <v>242</v>
      </c>
      <c r="G1" s="649" t="s">
        <v>92</v>
      </c>
      <c r="H1" s="649"/>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K4" sqref="K4"/>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workbookViewId="0">
      <selection activeCell="AA28" sqref="AA28"/>
    </sheetView>
  </sheetViews>
  <sheetFormatPr defaultRowHeight="12.75" x14ac:dyDescent="0.2"/>
  <cols>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workbookViewId="0">
      <selection activeCell="AD3" sqref="AD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e">
        <f ca="1">IF(Main!N86=0,"", ROUND(Main!N86,1))</f>
        <v>#N/A</v>
      </c>
      <c r="DI3" t="e">
        <f ca="1">IF(Main!O86=0,"", ROUND(Main!O86,1))</f>
        <v>#N/A</v>
      </c>
      <c r="DJ3" t="str">
        <f ca="1">IF(Main!P86=0,"", ROUND(Main!P86,1))</f>
        <v/>
      </c>
      <c r="DK3" t="str">
        <f>IF(ISBLANK(Main!O20),"",Main!N20)</f>
        <v/>
      </c>
      <c r="DL3" t="str">
        <f>IF(ISBLANK(Main!O20),"",Main!O20)</f>
        <v/>
      </c>
      <c r="DM3" t="e">
        <f ca="1">IF(Main!N87=0,"", ROUND(Main!N87,1))</f>
        <v>#N/A</v>
      </c>
      <c r="DN3" t="e">
        <f ca="1">IF(Main!O87=0,"", ROUND(Main!O87,1))</f>
        <v>#N/A</v>
      </c>
      <c r="DO3" t="str">
        <f ca="1">IF(Main!P87=0,"", ROUND(Main!P87,1))</f>
        <v/>
      </c>
      <c r="DP3" t="str">
        <f>IF(ISBLANK(Main!O21),"",Main!N21)</f>
        <v/>
      </c>
      <c r="DQ3" t="str">
        <f>IF(ISBLANK(Main!O21),"",Main!O21)</f>
        <v/>
      </c>
      <c r="DR3" t="e">
        <f ca="1">IF(Main!N88=0,"", ROUND(Main!N88,1))</f>
        <v>#N/A</v>
      </c>
      <c r="DS3" t="e">
        <f ca="1">IF(Main!O88=0,"", ROUND(Main!O88,1))</f>
        <v>#N/A</v>
      </c>
      <c r="DT3" t="str">
        <f ca="1">IF(Main!P88=0,"", ROUND(Main!P88,1))</f>
        <v/>
      </c>
      <c r="DU3" t="str">
        <f>IF(ISBLANK(Main!O22),"",Main!N22)</f>
        <v/>
      </c>
      <c r="DV3" t="str">
        <f>IF(ISBLANK(Main!O22),"",Main!O22)</f>
        <v/>
      </c>
      <c r="DW3" t="e">
        <f ca="1">IF(Main!N89=0,"", ROUND(Main!N89,1))</f>
        <v>#N/A</v>
      </c>
      <c r="DX3" t="e">
        <f ca="1">IF(Main!O89=0,"", ROUND(Main!O89,1))</f>
        <v>#N/A</v>
      </c>
      <c r="DY3" t="str">
        <f ca="1">IF(Main!P89=0,"", ROUND(Main!P89,1))</f>
        <v/>
      </c>
      <c r="DZ3" t="str">
        <f>IF(ISBLANK(Main!O23),"",Main!N23)</f>
        <v/>
      </c>
      <c r="EA3" t="str">
        <f>IF(ISBLANK(Main!O23),"",Main!O23)</f>
        <v/>
      </c>
      <c r="EB3" t="e">
        <f ca="1">IF(Main!N90=0,"", ROUND(Main!N90,1))</f>
        <v>#N/A</v>
      </c>
      <c r="EC3" t="e">
        <f ca="1">IF(Main!O90=0,"", ROUND(Main!O90,1))</f>
        <v>#N/A</v>
      </c>
      <c r="ED3" t="str">
        <f ca="1">IF(Main!P90=0,"", ROUND(Main!P90,1))</f>
        <v/>
      </c>
      <c r="EE3" t="str">
        <f>IF(ISBLANK(Main!O24),"",Main!N24)</f>
        <v/>
      </c>
      <c r="EF3" t="str">
        <f>IF(ISBLANK(Main!O24),"",Main!O24)</f>
        <v/>
      </c>
      <c r="EG3" t="e">
        <f ca="1">IF(Main!N91=0,"", ROUND(Main!N91,1))</f>
        <v>#N/A</v>
      </c>
      <c r="EH3" t="e">
        <f ca="1">IF(Main!O91=0,"", ROUND(Main!O91,1))</f>
        <v>#N/A</v>
      </c>
      <c r="EI3" t="str">
        <f ca="1">IF(Main!P91=0,"", ROUND(Main!P91,1))</f>
        <v/>
      </c>
      <c r="EJ3" t="str">
        <f>IF(ISBLANK(Main!O25),"",Main!N25)</f>
        <v/>
      </c>
      <c r="EK3" t="str">
        <f>IF(ISBLANK(Main!O25),"",Main!O25)</f>
        <v/>
      </c>
      <c r="EL3" t="e">
        <f ca="1">IF(Main!N92=0,"", ROUND(Main!N92,1))</f>
        <v>#N/A</v>
      </c>
      <c r="EM3" t="e">
        <f ca="1">IF(Main!O92=0,"", ROUND(Main!O92,1))</f>
        <v>#N/A</v>
      </c>
      <c r="EN3" t="str">
        <f ca="1">IF(Main!P92=0,"", ROUND(Main!P92,1))</f>
        <v/>
      </c>
      <c r="EO3" t="str">
        <f>IF(ISBLANK(Main!O26),"",Main!N26)</f>
        <v/>
      </c>
      <c r="EP3" t="str">
        <f>IF(ISBLANK(Main!O26),"",Main!O26)</f>
        <v/>
      </c>
      <c r="EQ3" t="e">
        <f ca="1">IF(Main!N93=0,"", ROUND(Main!N93,1))</f>
        <v>#N/A</v>
      </c>
      <c r="ER3" t="e">
        <f ca="1">IF(Main!O93=0,"", ROUND(Main!O93,1))</f>
        <v>#N/A</v>
      </c>
      <c r="ES3" t="str">
        <f ca="1">IF(Main!P93=0,"", ROUND(Main!P93,1))</f>
        <v/>
      </c>
      <c r="ET3" t="str">
        <f>IF(ISBLANK(Main!O27),"",Main!N27)</f>
        <v/>
      </c>
      <c r="EU3" t="str">
        <f>IF(ISBLANK(Main!O27),"",Main!O27)</f>
        <v/>
      </c>
      <c r="EV3" t="e">
        <f ca="1">IF(Main!N94=0,"", ROUND(Main!N94,1))</f>
        <v>#N/A</v>
      </c>
      <c r="EW3" t="e">
        <f ca="1">IF(Main!O94=0,"", ROUND(Main!O94,1))</f>
        <v>#N/A</v>
      </c>
      <c r="EX3" t="str">
        <f ca="1">IF(Main!P94=0,"", ROUND(Main!P94,1))</f>
        <v/>
      </c>
      <c r="EY3" t="str">
        <f>IF(ISBLANK(Main!O28),"",Main!N28)</f>
        <v/>
      </c>
      <c r="EZ3" t="str">
        <f>IF(ISBLANK(Main!O28),"",Main!O28)</f>
        <v/>
      </c>
      <c r="FA3" t="e">
        <f ca="1">IF(Main!N95=0,"", ROUND(Main!N95,1))</f>
        <v>#N/A</v>
      </c>
      <c r="FB3" t="e">
        <f ca="1">IF(Main!O95=0,"", ROUND(Main!O95,1))</f>
        <v>#N/A</v>
      </c>
      <c r="FC3" t="str">
        <f ca="1">IF(Main!P95=0,"", ROUND(Main!P95,1))</f>
        <v/>
      </c>
      <c r="FD3" t="str">
        <f>IF(ISBLANK(Main!O29),"",Main!N29)</f>
        <v/>
      </c>
      <c r="FE3" t="str">
        <f>IF(ISBLANK(Main!O29),"",Main!O29)</f>
        <v/>
      </c>
      <c r="FF3" t="e">
        <f ca="1">IF(Main!N96=0,"", ROUND(Main!N96,1))</f>
        <v>#N/A</v>
      </c>
      <c r="FG3" t="e">
        <f ca="1">IF(Main!O96=0,"", ROUND(Main!O96,1))</f>
        <v>#N/A</v>
      </c>
      <c r="FH3" t="str">
        <f ca="1">IF(Main!P96=0,"", ROUND(Main!P96,1))</f>
        <v/>
      </c>
      <c r="FI3" t="str">
        <f>IF(ISBLANK(Main!O30),"",Main!N30)</f>
        <v/>
      </c>
      <c r="FJ3" t="str">
        <f>IF(ISBLANK(Main!O30),"",Main!O30)</f>
        <v/>
      </c>
      <c r="FK3" t="e">
        <f ca="1">IF(Main!N97=0,"", ROUND(Main!N97,1))</f>
        <v>#N/A</v>
      </c>
      <c r="FL3" t="e">
        <f ca="1">IF(Main!O97=0,"", ROUND(Main!O97,1))</f>
        <v>#N/A</v>
      </c>
      <c r="FM3" t="str">
        <f ca="1">IF(Main!P97=0,"", ROUND(Main!P97,1))</f>
        <v/>
      </c>
      <c r="FN3" t="str">
        <f>IF(ISBLANK(Main!O31),"",Main!N31)</f>
        <v/>
      </c>
      <c r="FO3" t="str">
        <f>IF(ISBLANK(Main!O31),"",Main!O31)</f>
        <v/>
      </c>
      <c r="FP3" t="e">
        <f ca="1">IF(Main!N98=0,"", ROUND(Main!N98,1))</f>
        <v>#N/A</v>
      </c>
      <c r="FQ3" t="e">
        <f ca="1">IF(Main!O98=0,"", ROUND(Main!O98,1))</f>
        <v>#N/A</v>
      </c>
      <c r="FR3" t="str">
        <f ca="1">IF(Main!P98=0,"", ROUND(Main!P98,1))</f>
        <v/>
      </c>
      <c r="FS3" t="str">
        <f>IF(ISBLANK(Main!O32),"",Main!N32)</f>
        <v/>
      </c>
      <c r="FT3" t="str">
        <f>IF(ISBLANK(Main!O32),"",Main!O32)</f>
        <v/>
      </c>
      <c r="FU3" t="e">
        <f ca="1">IF(Main!N99=0,"", ROUND(Main!N99,1))</f>
        <v>#N/A</v>
      </c>
      <c r="FV3" t="e">
        <f ca="1">IF(Main!O99=0,"", ROUND(Main!O99,1))</f>
        <v>#N/A</v>
      </c>
      <c r="FW3" t="str">
        <f ca="1">IF(Main!P99=0,"", ROUND(Main!P99,1))</f>
        <v/>
      </c>
      <c r="FX3" t="str">
        <f>IF(ISBLANK(Main!O33),"",Main!N33)</f>
        <v/>
      </c>
      <c r="FY3" t="str">
        <f>IF(ISBLANK(Main!O33),"",Main!O33)</f>
        <v/>
      </c>
      <c r="FZ3" t="e">
        <f ca="1">IF(Main!N100=0,"", ROUND(Main!N100,1))</f>
        <v>#N/A</v>
      </c>
      <c r="GA3" t="e">
        <f ca="1">IF(Main!O100=0,"", ROUND(Main!O100,1))</f>
        <v>#N/A</v>
      </c>
      <c r="GB3" t="str">
        <f ca="1">IF(Main!P100=0,"", ROUND(Main!P100,1))</f>
        <v/>
      </c>
      <c r="GC3" t="str">
        <f>IF(ISBLANK(Main!O34),"",Main!N34)</f>
        <v/>
      </c>
      <c r="GD3" t="str">
        <f>IF(ISBLANK(Main!O34),"",Main!O34)</f>
        <v/>
      </c>
      <c r="GE3" t="e">
        <f ca="1">IF(Main!N101=0,"", ROUND(Main!N101,1))</f>
        <v>#N/A</v>
      </c>
      <c r="GF3" t="e">
        <f ca="1">IF(Main!O101=0,"", ROUND(Main!O101,1))</f>
        <v>#N/A</v>
      </c>
      <c r="GG3" t="str">
        <f ca="1">IF(Main!P101=0,"", ROUND(Main!P101,1))</f>
        <v/>
      </c>
      <c r="GH3" t="str">
        <f>IF(ISBLANK(Main!O35),"",Main!N35)</f>
        <v/>
      </c>
      <c r="GI3" t="str">
        <f>IF(ISBLANK(Main!O35),"",Main!O35)</f>
        <v/>
      </c>
      <c r="GJ3" t="e">
        <f ca="1">IF(Main!N102=0,"", ROUND(Main!N102,1))</f>
        <v>#N/A</v>
      </c>
      <c r="GK3" t="e">
        <f ca="1">IF(Main!O102=0,"", ROUND(Main!O102,1))</f>
        <v>#N/A</v>
      </c>
      <c r="GL3" t="str">
        <f ca="1">IF(Main!P102=0,"", ROUND(Main!P102,1))</f>
        <v/>
      </c>
      <c r="GM3" t="str">
        <f>IF(ISBLANK(Main!O36),"",Main!N36)</f>
        <v/>
      </c>
      <c r="GN3" t="str">
        <f>IF(ISBLANK(Main!O36),"",Main!O36)</f>
        <v/>
      </c>
      <c r="GO3" t="e">
        <f ca="1">IF(Main!N103=0,"", ROUND(Main!N103,1))</f>
        <v>#N/A</v>
      </c>
      <c r="GP3" t="e">
        <f ca="1">IF(Main!O103=0,"", ROUND(Main!O103,1))</f>
        <v>#N/A</v>
      </c>
      <c r="GQ3" t="str">
        <f ca="1">IF(Main!P103=0,"", ROUND(Main!P103,1))</f>
        <v/>
      </c>
      <c r="GR3" t="str">
        <f>IF(ISBLANK(Main!O37),"",Main!N37)</f>
        <v/>
      </c>
      <c r="GS3" t="str">
        <f>IF(ISBLANK(Main!O37),"",Main!O37)</f>
        <v/>
      </c>
      <c r="GT3" t="e">
        <f ca="1">IF(Main!N104=0,"", ROUND(Main!N104,1))</f>
        <v>#N/A</v>
      </c>
      <c r="GU3" t="e">
        <f ca="1">IF(Main!O104=0,"", ROUND(Main!O104,1))</f>
        <v>#N/A</v>
      </c>
      <c r="GV3" t="str">
        <f ca="1">IF(Main!P104=0,"", ROUND(Main!P104,1))</f>
        <v/>
      </c>
      <c r="GW3" t="str">
        <f>IF(ISBLANK(Main!O38),"",Main!N38)</f>
        <v/>
      </c>
      <c r="GX3" t="str">
        <f>IF(ISBLANK(Main!O38),"",Main!O38)</f>
        <v/>
      </c>
      <c r="GY3" t="e">
        <f ca="1">IF(Main!N105=0,"", ROUND(Main!N105,1))</f>
        <v>#N/A</v>
      </c>
      <c r="GZ3" t="e">
        <f ca="1">IF(Main!O105=0,"", ROUND(Main!O105,1))</f>
        <v>#N/A</v>
      </c>
      <c r="HA3" t="str">
        <f ca="1">IF(Main!P105=0,"", ROUND(Main!P105,1))</f>
        <v/>
      </c>
      <c r="HB3" t="str">
        <f>IF(ISBLANK(Main!O39),"",Main!N39)</f>
        <v/>
      </c>
      <c r="HC3" t="str">
        <f>IF(ISBLANK(Main!O39),"",Main!O39)</f>
        <v/>
      </c>
      <c r="HD3" t="e">
        <f ca="1">IF(Main!N106=0,"", ROUND(Main!N106,1))</f>
        <v>#N/A</v>
      </c>
      <c r="HE3" t="e">
        <f ca="1">IF(Main!O106=0,"", ROUND(Main!O106,1))</f>
        <v>#N/A</v>
      </c>
      <c r="HF3" t="str">
        <f ca="1">IF(Main!P106=0,"", ROUND(Main!P106,1))</f>
        <v/>
      </c>
      <c r="HG3" t="str">
        <f>IF(ISBLANK(Main!O40),"",Main!N40)</f>
        <v/>
      </c>
      <c r="HH3" t="str">
        <f>IF(ISBLANK(Main!O40),"",Main!O40)</f>
        <v/>
      </c>
      <c r="HI3" t="e">
        <f ca="1">IF(Main!N107=0,"", ROUND(Main!N107,1))</f>
        <v>#N/A</v>
      </c>
      <c r="HJ3" t="e">
        <f ca="1">IF(Main!O107=0,"", ROUND(Main!O107,1))</f>
        <v>#N/A</v>
      </c>
      <c r="HK3" t="str">
        <f ca="1">IF(Main!P107=0,"", ROUND(Main!P107,1))</f>
        <v/>
      </c>
      <c r="HL3" t="str">
        <f>IF(ISBLANK(Main!O41),"",Main!N41)</f>
        <v/>
      </c>
      <c r="HM3" t="str">
        <f>IF(ISBLANK(Main!O41),"",Main!O41)</f>
        <v/>
      </c>
      <c r="HN3" t="e">
        <f ca="1">IF(Main!N108=0,"", ROUND(Main!N108,1))</f>
        <v>#N/A</v>
      </c>
      <c r="HO3" t="e">
        <f ca="1">IF(Main!O108=0,"", ROUND(Main!O108,1))</f>
        <v>#N/A</v>
      </c>
      <c r="HP3" t="str">
        <f ca="1">IF(Main!P108=0,"", ROUND(Main!P108,1))</f>
        <v/>
      </c>
      <c r="HQ3" t="str">
        <f>IF(ISBLANK(Main!O42),"",Main!N42)</f>
        <v/>
      </c>
      <c r="HR3" t="str">
        <f>IF(ISBLANK(Main!O42),"",Main!O42)</f>
        <v/>
      </c>
      <c r="HS3" t="e">
        <f ca="1">IF(Main!N109=0,"", ROUND(Main!N109,1))</f>
        <v>#N/A</v>
      </c>
      <c r="HT3" t="e">
        <f ca="1">IF(Main!O109=0,"", ROUND(Main!O109,1))</f>
        <v>#N/A</v>
      </c>
      <c r="HU3" t="str">
        <f ca="1">IF(Main!P109=0,"", ROUND(Main!P109,1))</f>
        <v/>
      </c>
      <c r="HV3" t="str">
        <f>IF(ISBLANK(Main!O43),"",Main!N43)</f>
        <v/>
      </c>
      <c r="HW3" t="str">
        <f>IF(ISBLANK(Main!O43),"",Main!O43)</f>
        <v/>
      </c>
      <c r="HX3" t="e">
        <f ca="1">IF(Main!N110=0,"", ROUND(Main!N110,1))</f>
        <v>#N/A</v>
      </c>
      <c r="HY3" t="e">
        <f ca="1">IF(Main!O110=0,"", ROUND(Main!O110,1))</f>
        <v>#N/A</v>
      </c>
      <c r="HZ3" t="str">
        <f ca="1">IF(Main!P110=0,"", ROUND(Main!P110,1))</f>
        <v/>
      </c>
      <c r="IA3" t="str">
        <f>IF(ISBLANK(Main!O44),"",Main!N44)</f>
        <v/>
      </c>
      <c r="IB3" t="str">
        <f>IF(ISBLANK(Main!O44),"",Main!O44)</f>
        <v/>
      </c>
      <c r="IC3" t="e">
        <f ca="1">IF(Main!N111=0,"", ROUND(Main!N111,1))</f>
        <v>#N/A</v>
      </c>
      <c r="ID3" t="e">
        <f ca="1">IF(Main!O111=0,"", ROUND(Main!O111,1))</f>
        <v>#N/A</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C6" sqref="C6:D6"/>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G76" sqref="G76"/>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2025-03-29T04:49:05Z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