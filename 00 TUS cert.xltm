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tables/table8.xml" ContentType="application/vnd.openxmlformats-officedocument.spreadsheetml.table+xml"/>
  <Override PartName="/xl/queryTables/queryTable1.xml" ContentType="application/vnd.openxmlformats-officedocument.spreadsheetml.queryTable+xml"/>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C9166DAF-5D02-48A6-B926-1FA2B7999B86}"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Query___customers" localSheetId="18" hidden="1">'Customer Table'!$B$3:$E$1643</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2" i="1"/>
  <c r="B10" i="1"/>
  <c r="B11"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H14" i="1"/>
  <c r="J18" i="1"/>
  <c r="F24" i="1"/>
  <c r="K23" i="1"/>
  <c r="G15" i="1"/>
  <c r="B24" i="1"/>
  <c r="F20" i="1"/>
  <c r="M12" i="1"/>
  <c r="G11" i="1"/>
  <c r="K19" i="1"/>
  <c r="N22" i="1"/>
  <c r="I15" i="1"/>
  <c r="J24" i="1"/>
  <c r="B23" i="1"/>
  <c r="M16" i="1"/>
  <c r="H12" i="1"/>
  <c r="C23" i="1"/>
  <c r="G12" i="1"/>
  <c r="O11" i="1"/>
  <c r="H16" i="1"/>
  <c r="C10" i="1"/>
  <c r="I25" i="1"/>
  <c r="L22" i="1"/>
  <c r="L18" i="1"/>
  <c r="K22" i="1"/>
  <c r="M15" i="1"/>
  <c r="E22" i="1"/>
  <c r="N25" i="1"/>
  <c r="O17" i="1"/>
  <c r="K16" i="1"/>
  <c r="O14" i="1"/>
  <c r="O10" i="1"/>
  <c r="L10" i="1"/>
  <c r="G23" i="1"/>
  <c r="L19" i="1"/>
  <c r="L15" i="1"/>
  <c r="H11" i="1"/>
  <c r="L12" i="1"/>
  <c r="M21" i="1"/>
  <c r="O16" i="1"/>
  <c r="O25" i="1"/>
  <c r="I10" i="1"/>
  <c r="F18" i="1"/>
  <c r="B19" i="1"/>
  <c r="J12" i="1"/>
  <c r="D23" i="1"/>
  <c r="J11" i="1"/>
  <c r="M24" i="1"/>
  <c r="N16" i="1"/>
  <c r="A25" i="1"/>
  <c r="D11" i="1"/>
  <c r="L11" i="1"/>
  <c r="K13" i="1"/>
  <c r="A16" i="1"/>
  <c r="G24" i="1"/>
  <c r="J16" i="1"/>
  <c r="G16" i="1"/>
  <c r="H22" i="1"/>
  <c r="J22" i="1"/>
  <c r="D12" i="1"/>
  <c r="D19" i="1"/>
  <c r="M19" i="1"/>
  <c r="O12" i="1"/>
  <c r="E13" i="1"/>
  <c r="K11" i="1"/>
  <c r="E18" i="1"/>
  <c r="K20" i="1"/>
  <c r="F17" i="1"/>
  <c r="I19" i="1"/>
  <c r="I18" i="1"/>
  <c r="C14" i="1"/>
  <c r="C21" i="1"/>
  <c r="O13" i="1"/>
  <c r="I24" i="1"/>
  <c r="M18" i="1"/>
  <c r="D16" i="1"/>
  <c r="C13" i="1"/>
  <c r="J25" i="1"/>
  <c r="B13" i="1"/>
  <c r="O19" i="1"/>
  <c r="N14" i="1"/>
  <c r="F14" i="1"/>
  <c r="B20" i="1"/>
  <c r="B14" i="1"/>
  <c r="N19" i="1"/>
  <c r="N15" i="1"/>
  <c r="F19" i="1"/>
  <c r="M23" i="1"/>
  <c r="M11" i="1"/>
  <c r="E10" i="1"/>
  <c r="E23" i="1"/>
  <c r="N17" i="1"/>
  <c r="N12" i="1"/>
  <c r="G18" i="1"/>
  <c r="E24" i="1"/>
  <c r="K12" i="1"/>
  <c r="O21" i="1"/>
  <c r="K10" i="1"/>
  <c r="A19" i="1"/>
  <c r="I13" i="1"/>
  <c r="A13" i="1"/>
  <c r="E15" i="1"/>
  <c r="D24" i="1"/>
  <c r="A24" i="1"/>
  <c r="G14" i="1"/>
  <c r="B16" i="1"/>
  <c r="L14" i="1"/>
  <c r="E19" i="1"/>
  <c r="K18" i="1"/>
  <c r="E20" i="1"/>
  <c r="N23" i="1"/>
  <c r="G25" i="1"/>
  <c r="C15" i="1"/>
  <c r="A15" i="1"/>
  <c r="D14" i="1"/>
  <c r="O15" i="1"/>
  <c r="N11" i="1"/>
  <c r="L17" i="1"/>
  <c r="E16" i="1"/>
  <c r="O24" i="1"/>
  <c r="O18" i="1"/>
  <c r="A18" i="1"/>
  <c r="J13" i="1"/>
  <c r="M25" i="1"/>
  <c r="H20" i="1"/>
  <c r="E25" i="1"/>
  <c r="G13" i="1"/>
  <c r="F15" i="1"/>
  <c r="J23" i="1"/>
  <c r="I17" i="1"/>
  <c r="C16" i="1"/>
  <c r="L25" i="1"/>
  <c r="C24" i="1"/>
  <c r="H25" i="1"/>
  <c r="F16" i="1"/>
  <c r="F12" i="1"/>
  <c r="K24" i="1"/>
  <c r="L24" i="1"/>
  <c r="B18" i="1"/>
  <c r="H19" i="1"/>
  <c r="G21" i="1"/>
  <c r="D18" i="1"/>
  <c r="L13" i="1"/>
  <c r="D13" i="1"/>
  <c r="O20" i="1"/>
  <c r="C19" i="1"/>
  <c r="C11" i="1"/>
  <c r="G22" i="1"/>
  <c r="N10" i="1"/>
  <c r="L16" i="1"/>
  <c r="M17" i="1"/>
  <c r="M22" i="1"/>
  <c r="D17" i="1"/>
  <c r="A20" i="1"/>
  <c r="H10" i="1"/>
  <c r="D25" i="1"/>
  <c r="A10" i="1"/>
  <c r="D10" i="1"/>
  <c r="E12" i="1"/>
  <c r="J10" i="1"/>
  <c r="M13" i="1"/>
  <c r="I21" i="1"/>
  <c r="L20" i="1"/>
  <c r="H18" i="1"/>
  <c r="N18" i="1"/>
  <c r="B21" i="1"/>
  <c r="M20" i="1"/>
  <c r="O23" i="1"/>
  <c r="J21" i="1"/>
  <c r="O22" i="1"/>
  <c r="I11" i="1"/>
  <c r="K14" i="1"/>
  <c r="A17" i="1"/>
  <c r="F10" i="1"/>
  <c r="N20" i="1"/>
  <c r="D20" i="1"/>
  <c r="F23" i="1"/>
  <c r="J14" i="1"/>
  <c r="J20" i="1"/>
  <c r="K15" i="1"/>
  <c r="A14" i="1"/>
  <c r="C20" i="1"/>
  <c r="A23" i="1"/>
  <c r="C25" i="1"/>
  <c r="C17" i="1"/>
  <c r="M14" i="1"/>
  <c r="I23" i="1"/>
  <c r="F13" i="1"/>
  <c r="H13" i="1"/>
  <c r="C12" i="1"/>
  <c r="F21" i="1"/>
  <c r="D22" i="1"/>
  <c r="H15" i="1"/>
  <c r="I20" i="1"/>
  <c r="A22" i="1"/>
  <c r="I22" i="1"/>
  <c r="E21" i="1"/>
  <c r="H21" i="1"/>
  <c r="G10" i="1"/>
  <c r="G17" i="1"/>
  <c r="L21" i="1"/>
  <c r="F25" i="1"/>
  <c r="N13" i="1"/>
  <c r="K21" i="1"/>
  <c r="G20" i="1"/>
  <c r="E11" i="1"/>
  <c r="C18" i="1"/>
  <c r="J19" i="1"/>
  <c r="B15" i="1"/>
  <c r="N21" i="1"/>
  <c r="B22" i="1"/>
  <c r="A11" i="1"/>
  <c r="B25" i="1"/>
  <c r="H23" i="1"/>
  <c r="I14" i="1"/>
  <c r="F11" i="1"/>
  <c r="J17" i="1"/>
  <c r="D21" i="1"/>
  <c r="J15" i="1"/>
  <c r="K25" i="1"/>
  <c r="M10" i="1"/>
  <c r="C22" i="1"/>
  <c r="L23" i="1"/>
  <c r="N24" i="1"/>
  <c r="H24" i="1"/>
  <c r="F22" i="1"/>
  <c r="E17" i="1"/>
  <c r="H17" i="1"/>
  <c r="I16" i="1"/>
  <c r="I12" i="1"/>
  <c r="A12" i="1"/>
  <c r="E14" i="1"/>
  <c r="A21" i="1"/>
  <c r="B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W11" i="1"/>
  <c r="AR13" i="1"/>
  <c r="W12" i="1"/>
  <c r="AG14" i="1"/>
  <c r="AD16" i="1"/>
  <c r="X21" i="1"/>
  <c r="V22" i="1"/>
  <c r="AQ17" i="1"/>
  <c r="Y22" i="1"/>
  <c r="AV19" i="1"/>
  <c r="AV22" i="1"/>
  <c r="AS16" i="1"/>
  <c r="AH23" i="1"/>
  <c r="AB18" i="1"/>
  <c r="X11" i="1"/>
  <c r="AP20" i="1"/>
  <c r="AP11" i="1"/>
  <c r="AT11" i="1"/>
  <c r="AW20" i="1"/>
  <c r="AC11" i="1"/>
  <c r="AA16" i="1"/>
  <c r="U25" i="1"/>
  <c r="AW15" i="1"/>
  <c r="AX21" i="1"/>
  <c r="Z14" i="1"/>
  <c r="X14" i="1"/>
  <c r="U12" i="1"/>
  <c r="AZ12" i="1"/>
  <c r="AE10" i="1"/>
  <c r="AO16" i="1"/>
  <c r="X15" i="1"/>
  <c r="AB19" i="1"/>
  <c r="BA15" i="1"/>
  <c r="AQ20" i="1"/>
  <c r="AA12" i="1"/>
  <c r="AB24" i="1"/>
  <c r="U13" i="1"/>
  <c r="AA22" i="1"/>
  <c r="AO15" i="1"/>
  <c r="AI11" i="1"/>
  <c r="BA12" i="1"/>
  <c r="AU12" i="1"/>
  <c r="BA16" i="1"/>
  <c r="AA17" i="1"/>
  <c r="U18" i="1"/>
  <c r="AD21" i="1"/>
  <c r="AV16" i="1"/>
  <c r="AO25" i="1"/>
  <c r="AF21" i="1"/>
  <c r="V11" i="1"/>
  <c r="U23" i="1"/>
  <c r="AY18" i="1"/>
  <c r="AV12" i="1"/>
  <c r="AI17" i="1"/>
  <c r="AY20" i="1"/>
  <c r="AO21" i="1"/>
  <c r="AI12" i="1"/>
  <c r="AY24" i="1"/>
  <c r="AY21" i="1"/>
  <c r="AY16" i="1"/>
  <c r="AX18" i="1"/>
  <c r="Y20" i="1"/>
  <c r="AF11" i="1"/>
  <c r="U15" i="1"/>
  <c r="AX13" i="1"/>
  <c r="U17" i="1"/>
  <c r="Z16" i="1"/>
  <c r="AB13" i="1"/>
  <c r="AA13" i="1"/>
  <c r="AV15" i="1"/>
  <c r="AB17" i="1"/>
  <c r="AO13" i="1"/>
  <c r="AF20" i="1"/>
  <c r="AO22" i="1"/>
  <c r="AX14" i="1"/>
  <c r="AD19" i="1"/>
  <c r="AW17" i="1"/>
  <c r="AA10" i="1"/>
  <c r="AZ18" i="1"/>
  <c r="AE21" i="1"/>
  <c r="AS23" i="1"/>
  <c r="AS20" i="1"/>
  <c r="BA23" i="1"/>
  <c r="AE23" i="1"/>
  <c r="Y12" i="1"/>
  <c r="W25" i="1"/>
  <c r="V25" i="1"/>
  <c r="AZ20" i="1"/>
  <c r="AC22" i="1"/>
  <c r="AI16" i="1"/>
  <c r="AQ15" i="1"/>
  <c r="W17" i="1"/>
  <c r="AT14" i="1"/>
  <c r="AW16" i="1"/>
  <c r="AC20" i="1"/>
  <c r="AQ11" i="1"/>
  <c r="AQ14" i="1"/>
  <c r="AG15" i="1"/>
  <c r="AP12" i="1"/>
  <c r="AV23" i="1"/>
  <c r="AA18" i="1"/>
  <c r="AC14" i="1"/>
  <c r="AG17" i="1"/>
  <c r="AZ13" i="1"/>
  <c r="AE15" i="1"/>
  <c r="AQ22" i="1"/>
  <c r="AW13" i="1"/>
  <c r="AG20" i="1"/>
  <c r="Z20" i="1"/>
  <c r="AW19" i="1"/>
  <c r="AR15" i="1"/>
  <c r="AO12" i="1"/>
  <c r="AI21" i="1"/>
  <c r="AY10" i="1"/>
  <c r="AR19" i="1"/>
  <c r="Z17" i="1"/>
  <c r="AG12" i="1"/>
  <c r="AX20" i="1"/>
  <c r="AR14" i="1"/>
  <c r="AC23" i="1"/>
  <c r="AX16" i="1"/>
  <c r="AY13" i="1"/>
  <c r="AT25" i="1"/>
  <c r="AY15" i="1"/>
  <c r="AV24" i="1"/>
  <c r="AZ19" i="1"/>
  <c r="AT18" i="1"/>
  <c r="AF23" i="1"/>
  <c r="AV17" i="1"/>
  <c r="AX24" i="1"/>
  <c r="AW14" i="1"/>
  <c r="AI24" i="1"/>
  <c r="AR16" i="1"/>
  <c r="AZ15" i="1"/>
  <c r="AB23" i="1"/>
  <c r="X25" i="1"/>
  <c r="AE19" i="1"/>
  <c r="AA21" i="1"/>
  <c r="AW23" i="1"/>
  <c r="AR11" i="1"/>
  <c r="V16" i="1"/>
  <c r="AT21" i="1"/>
  <c r="AU18" i="1"/>
  <c r="AU23" i="1"/>
  <c r="Y10" i="1"/>
  <c r="AH12" i="1"/>
  <c r="AZ16" i="1"/>
  <c r="U16" i="1"/>
  <c r="V15" i="1"/>
  <c r="AC19" i="1"/>
  <c r="AC15" i="1"/>
  <c r="AP25" i="1"/>
  <c r="AT20" i="1"/>
  <c r="AP13" i="1"/>
  <c r="X17" i="1"/>
  <c r="AD12" i="1"/>
  <c r="V18" i="1"/>
  <c r="AR12" i="1"/>
  <c r="V10" i="1"/>
  <c r="AE13" i="1"/>
  <c r="AX17" i="1"/>
  <c r="AS17" i="1"/>
  <c r="BA17" i="1"/>
  <c r="AW12" i="1"/>
  <c r="AG23" i="1"/>
  <c r="AD10" i="1"/>
  <c r="AR21" i="1"/>
  <c r="AX23" i="1"/>
  <c r="AQ21" i="1"/>
  <c r="AU15" i="1"/>
  <c r="Y15" i="1"/>
  <c r="AY14" i="1"/>
  <c r="AA23" i="1"/>
  <c r="AD15" i="1"/>
  <c r="AX19" i="1"/>
  <c r="AP15" i="1"/>
  <c r="X13" i="1"/>
  <c r="AH17" i="1"/>
  <c r="AB12" i="1"/>
  <c r="X16" i="1"/>
  <c r="V17" i="1"/>
  <c r="AO10" i="1"/>
  <c r="AQ19" i="1"/>
  <c r="AV20" i="1"/>
  <c r="U24" i="1"/>
  <c r="AR17" i="1"/>
  <c r="AF14" i="1"/>
  <c r="Y24" i="1"/>
  <c r="AU13" i="1"/>
  <c r="AB10" i="1"/>
  <c r="AI10" i="1"/>
  <c r="BA19" i="1"/>
  <c r="AX22" i="1"/>
  <c r="AR20" i="1"/>
  <c r="AA24" i="1"/>
  <c r="AD23" i="1"/>
  <c r="W14" i="1"/>
  <c r="W20" i="1"/>
  <c r="AR18" i="1"/>
  <c r="AI25" i="1"/>
  <c r="AD25" i="1"/>
  <c r="AT15" i="1"/>
  <c r="AP22" i="1"/>
  <c r="AH18" i="1"/>
  <c r="W22" i="1"/>
  <c r="AE16" i="1"/>
  <c r="AU11" i="1"/>
  <c r="Y16" i="1"/>
  <c r="U20" i="1"/>
  <c r="AY17" i="1"/>
  <c r="AC24" i="1"/>
  <c r="Y21" i="1"/>
  <c r="Z12" i="1"/>
  <c r="AI22" i="1"/>
  <c r="AO18" i="1"/>
  <c r="AS22" i="1"/>
  <c r="BA22" i="1"/>
  <c r="BA25" i="1"/>
  <c r="AS11" i="1"/>
  <c r="AO20" i="1"/>
  <c r="AF24" i="1"/>
  <c r="Z24" i="1"/>
  <c r="U10" i="1"/>
  <c r="AO19" i="1"/>
  <c r="AW10" i="1"/>
  <c r="V24" i="1"/>
  <c r="AW24" i="1"/>
  <c r="AG10" i="1"/>
  <c r="AQ18" i="1"/>
  <c r="V21" i="1"/>
  <c r="AT16" i="1"/>
  <c r="AW21" i="1"/>
  <c r="AS10" i="1"/>
  <c r="AE12" i="1"/>
  <c r="AZ17" i="1"/>
  <c r="AB21" i="1"/>
  <c r="U22" i="1"/>
  <c r="Y11" i="1"/>
  <c r="AC10" i="1"/>
  <c r="W24" i="1"/>
  <c r="Z22" i="1"/>
  <c r="AQ12" i="1"/>
  <c r="AA19" i="1"/>
  <c r="AZ23" i="1"/>
  <c r="AV14" i="1"/>
  <c r="Z25" i="1"/>
  <c r="Y14" i="1"/>
  <c r="AA11" i="1"/>
  <c r="AP24" i="1"/>
  <c r="AG22" i="1"/>
  <c r="Y23" i="1"/>
  <c r="AX15" i="1"/>
  <c r="AI19" i="1"/>
  <c r="V20" i="1"/>
  <c r="AP10" i="1"/>
  <c r="U11" i="1"/>
  <c r="AD24" i="1"/>
  <c r="Z13" i="1"/>
  <c r="AD17" i="1"/>
  <c r="AS19" i="1"/>
  <c r="AR24" i="1"/>
  <c r="AH22" i="1"/>
  <c r="AH14" i="1"/>
  <c r="AP14" i="1"/>
  <c r="AT19" i="1"/>
  <c r="X24" i="1"/>
  <c r="AV25" i="1"/>
  <c r="AG25" i="1"/>
  <c r="AT22" i="1"/>
  <c r="X12" i="1"/>
  <c r="AB20" i="1"/>
  <c r="AX11" i="1"/>
  <c r="AQ23" i="1"/>
  <c r="AI13" i="1"/>
  <c r="BA20" i="1"/>
  <c r="AQ24" i="1"/>
  <c r="AY19" i="1"/>
  <c r="AG18" i="1"/>
  <c r="AI15" i="1"/>
  <c r="AI14" i="1"/>
  <c r="AX12" i="1"/>
  <c r="AH25" i="1"/>
  <c r="AF15" i="1"/>
  <c r="Y13" i="1"/>
  <c r="W21" i="1"/>
  <c r="W23" i="1"/>
  <c r="W15" i="1"/>
  <c r="Z11" i="1"/>
  <c r="AO11" i="1"/>
  <c r="AF13" i="1"/>
  <c r="AT13" i="1"/>
  <c r="X23" i="1"/>
  <c r="V13" i="1"/>
  <c r="AP21" i="1"/>
  <c r="W19" i="1"/>
  <c r="AU25" i="1"/>
  <c r="Y17" i="1"/>
  <c r="AU17" i="1"/>
  <c r="AE24" i="1"/>
  <c r="AC12" i="1"/>
  <c r="Z21" i="1"/>
  <c r="AD20" i="1"/>
  <c r="Z23" i="1"/>
  <c r="AF22" i="1"/>
  <c r="Y18" i="1"/>
  <c r="X18" i="1"/>
  <c r="AT23" i="1"/>
  <c r="W13" i="1"/>
  <c r="AH16" i="1"/>
  <c r="AF17" i="1"/>
  <c r="AB16" i="1"/>
  <c r="AQ16" i="1"/>
  <c r="AR25" i="1"/>
  <c r="AW11" i="1"/>
  <c r="AB11" i="1"/>
  <c r="BA11" i="1"/>
  <c r="AF25" i="1"/>
  <c r="AU22" i="1"/>
  <c r="AO23" i="1"/>
  <c r="W16" i="1"/>
  <c r="AE11" i="1"/>
  <c r="AS21" i="1"/>
  <c r="AS18" i="1"/>
  <c r="BA13" i="1"/>
  <c r="AO17" i="1"/>
  <c r="AZ10" i="1"/>
  <c r="AB15" i="1"/>
  <c r="AZ22" i="1"/>
  <c r="AT12" i="1"/>
  <c r="AY22" i="1"/>
  <c r="AU19" i="1"/>
  <c r="BA14" i="1"/>
  <c r="Z19" i="1"/>
  <c r="AG21" i="1"/>
  <c r="AF19" i="1"/>
  <c r="AE14" i="1"/>
  <c r="AE22" i="1"/>
  <c r="AF10" i="1"/>
  <c r="AT10" i="1"/>
  <c r="AS25" i="1"/>
  <c r="AF18" i="1"/>
  <c r="AY12" i="1"/>
  <c r="AP18" i="1"/>
  <c r="X10" i="1"/>
  <c r="BA10" i="1"/>
  <c r="AV13" i="1"/>
  <c r="AB22" i="1"/>
  <c r="AB14" i="1"/>
  <c r="AQ25" i="1"/>
  <c r="AZ24" i="1"/>
  <c r="AS15" i="1"/>
  <c r="X22" i="1"/>
  <c r="AE25" i="1"/>
  <c r="AP16" i="1"/>
  <c r="AC17" i="1"/>
  <c r="AZ21" i="1"/>
  <c r="AQ13" i="1"/>
  <c r="AC18" i="1"/>
  <c r="AD11" i="1"/>
  <c r="AT24" i="1"/>
  <c r="AA15" i="1"/>
  <c r="AU16" i="1"/>
  <c r="V14" i="1"/>
  <c r="U21" i="1"/>
  <c r="AZ11" i="1"/>
  <c r="AH11" i="1"/>
  <c r="AH24" i="1"/>
  <c r="AA25" i="1"/>
  <c r="AI20" i="1"/>
  <c r="AT17" i="1"/>
  <c r="AR10" i="1"/>
  <c r="V12" i="1"/>
  <c r="AS12" i="1"/>
  <c r="AZ25" i="1"/>
  <c r="AC16" i="1"/>
  <c r="AV11" i="1"/>
  <c r="AG16" i="1"/>
  <c r="AB25" i="1"/>
  <c r="BA18" i="1"/>
  <c r="AR22" i="1"/>
  <c r="AU20" i="1"/>
  <c r="AH13" i="1"/>
  <c r="AD22" i="1"/>
  <c r="AD13" i="1"/>
  <c r="AS24" i="1"/>
  <c r="AU14" i="1"/>
  <c r="AG11" i="1"/>
  <c r="W10" i="1"/>
  <c r="AH21" i="1"/>
  <c r="AG19" i="1"/>
  <c r="W18" i="1"/>
  <c r="AQ10" i="1"/>
  <c r="Z10" i="1"/>
  <c r="AF16" i="1"/>
  <c r="BA21" i="1"/>
  <c r="AX10" i="1"/>
  <c r="AH15" i="1"/>
  <c r="AG24" i="1"/>
  <c r="AE20" i="1"/>
  <c r="AU24" i="1"/>
  <c r="AD18" i="1"/>
  <c r="AD14" i="1"/>
  <c r="AS14" i="1"/>
  <c r="AG13" i="1"/>
  <c r="AZ14" i="1"/>
  <c r="AW22" i="1"/>
  <c r="AV21" i="1"/>
  <c r="AX25" i="1"/>
  <c r="AA14" i="1"/>
  <c r="AA20" i="1"/>
  <c r="AC21" i="1"/>
  <c r="AY25" i="1"/>
  <c r="U19" i="1"/>
  <c r="AE17" i="1"/>
  <c r="AW25" i="1"/>
  <c r="AI23" i="1"/>
  <c r="AO24" i="1"/>
  <c r="V19" i="1"/>
  <c r="Y25" i="1"/>
  <c r="Z18" i="1"/>
  <c r="AV10" i="1"/>
  <c r="AS13" i="1"/>
  <c r="AC25" i="1"/>
  <c r="AH10" i="1"/>
  <c r="AH20" i="1"/>
  <c r="AU10" i="1"/>
  <c r="AW18" i="1"/>
  <c r="X19" i="1"/>
  <c r="AE18" i="1"/>
  <c r="AY11" i="1"/>
  <c r="U14" i="1"/>
  <c r="AP17" i="1"/>
  <c r="Z15" i="1"/>
  <c r="AP19" i="1"/>
  <c r="AR23" i="1"/>
  <c r="BA24" i="1"/>
  <c r="AC13" i="1"/>
  <c r="AF12" i="1"/>
  <c r="AO14" i="1"/>
  <c r="Y19" i="1"/>
  <c r="AV18" i="1"/>
  <c r="V23" i="1"/>
  <c r="AY23" i="1"/>
  <c r="AU21" i="1"/>
  <c r="X20" i="1"/>
  <c r="AH19" i="1"/>
  <c r="AP23"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<sst xmlns="http://schemas.openxmlformats.org/spreadsheetml/2006/main" count="28345" uniqueCount="9579">
  <si>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</si>
  <si>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</si>
  <si>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</si>
  <si>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</si>
  <si>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</si>
  <si>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</si>
  <si>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</si>
  <si>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</si>
  <si>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</si>
  <si>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</si>
  <si>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</si>
  <si>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</si>
  <si>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</si>
  <si>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</si>
  <si>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</si>
  <si>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</si>
  <si>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</si>
  <si>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</si>
  <si>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</si>
  <si>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</si>
  <si>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</si>
  <si>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</si>
  <si>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</si>
  <si>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</si>
  <si>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</si>
  <si>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</si>
  <si>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</si>
  <si>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</si>
  <si>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</si>
  <si>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</si>
  <si>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</si>
  <si>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</si>
  <si>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</si>
  <si>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</si>
  <si>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</si>
  <si>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</si>
  <si>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</si>
  <si>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</si>
  <si>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</si>
  <si>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</si>
  <si>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</si>
  <si>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</si>
  <si>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</si>
  <si>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</si>
  <si>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</si>
  <si>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</si>
  <si>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</si>
  <si>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</si>
  <si>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</si>
  <si>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</si>
  <si>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</si>
  <si>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</si>
  <si>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</si>
  <si>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</si>
  <si>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</si>
  <si>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</si>
  <si>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</si>
  <si>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</si>
  <si>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</si>
  <si>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</si>
  <si>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</si>
  <si>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</si>
  <si>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</si>
  <si>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</si>
  <si>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</si>
  <si>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</si>
  <si>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</si>
  <si>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</si>
  <si>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</si>
  <si>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</si>
  <si>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</si>
  <si>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</si>
  <si>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</si>
  <si>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</si>
  <si>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</si>
  <si>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</si>
  <si>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</si>
  <si>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</si>
  <si>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</si>
  <si>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</si>
  <si>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</si>
  <si>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</si>
  <si>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</si>
  <si>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</si>
  <si>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</si>
  <si>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</si>
  <si>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</si>
  <si>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</si>
  <si>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</si>
  <si>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</si>
  <si>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</si>
  <si>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</si>
  <si>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</si>
  <si>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</si>
  <si>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</si>
  <si>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</si>
  <si>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</si>
  <si>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</si>
  <si>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</si>
  <si>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</si>
  <si>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</si>
  <si>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</si>
  <si>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</si>
  <si>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</si>
  <si>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</si>
  <si>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</si>
  <si>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</si>
  <si>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</si>
  <si>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</si>
  <si>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</si>
  <si>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</si>
  <si>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</si>
  <si>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</si>
  <si>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</si>
  <si>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</si>
  <si>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</si>
  <si>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</si>
  <si>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</si>
  <si>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</si>
  <si>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</si>
  <si>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</si>
  <si>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</si>
  <si>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</si>
  <si>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</si>
  <si>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</si>
  <si>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</si>
  <si>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</si>
  <si>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</si>
  <si>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</si>
  <si>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</si>
  <si>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</si>
  <si>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</si>
  <si>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</si>
  <si>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</si>
  <si>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</si>
  <si>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</si>
  <si>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</si>
  <si>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</si>
  <si>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</si>
  <si>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</si>
  <si>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</si>
  <si>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</si>
  <si>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</si>
  <si>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</si>
  <si>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</si>
  <si>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</si>
  <si>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</si>
  <si>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</si>
  <si>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</si>
  <si>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</si>
  <si>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</si>
  <si>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</si>
  <si>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</si>
  <si>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</si>
  <si>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</si>
  <si>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</si>
  <si>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</si>
  <si>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</si>
  <si>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</si>
  <si>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</si>
  <si>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</si>
  <si>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</si>
  <si>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</si>
  <si>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</si>
  <si>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</si>
  <si>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</si>
  <si>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</si>
  <si>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</si>
  <si>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</si>
  <si>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</si>
  <si>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</si>
  <si>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</si>
  <si>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</si>
  <si>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</si>
  <si>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</si>
  <si>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</si>
  <si>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</si>
  <si>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</si>
  <si>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</si>
  <si>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</si>
  <si>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</si>
  <si>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</si>
  <si>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</si>
  <si>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</si>
  <si>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</si>
  <si>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</si>
  <si>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</si>
  <si>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</si>
  <si>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</si>
  <si>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</si>
  <si>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</si>
  <si>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</si>
  <si>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</si>
  <si>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</si>
  <si>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</si>
  <si>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</si>
  <si>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</si>
  <si>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</si>
  <si>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</si>
  <si>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</si>
  <si>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</si>
  <si>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</si>
  <si>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</si>
  <si>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</si>
  <si>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</si>
  <si>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</si>
  <si>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</si>
  <si>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</si>
  <si>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</si>
  <si>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</si>
  <si>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</si>
  <si>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</si>
  <si>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</si>
  <si>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</si>
  <si>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</si>
  <si>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</si>
  <si>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</si>
  <si>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</si>
  <si>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</si>
  <si>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</si>
  <si>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</si>
  <si>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</si>
  <si>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</si>
  <si>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</si>
  <si>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</si>
  <si>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</si>
  <si>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</si>
  <si>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</si>
  <si>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</si>
  <si>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</si>
  <si>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</si>
  <si>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</si>
  <si>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</si>
  <si>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</si>
  <si>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</si>
  <si>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</si>
  <si>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</si>
  <si>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</si>
  <si>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</si>
  <si>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</si>
  <si>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</si>
  <si>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</si>
  <si>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</si>
  <si>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</si>
  <si>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</si>
  <si>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</si>
  <si>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</si>
  <si>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</si>
  <si>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</si>
  <si>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</si>
  <si>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</si>
  <si>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</si>
  <si>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</si>
  <si>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</si>
  <si>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</si>
  <si>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</si>
  <si>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</si>
  <si>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</si>
  <si>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</si>
  <si>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</si>
  <si>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</si>
  <si>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</si>
  <si>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</si>
  <si>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</si>
  <si>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</si>
  <si>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</si>
  <si>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</si>
  <si>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</si>
  <si>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</si>
  <si>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</si>
  <si>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</si>
  <si>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</si>
  <si>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</si>
  <si>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</si>
  <si>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</si>
  <si>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</si>
  <si>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</si>
  <si>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</si>
  <si>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</si>
  <si>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</si>
  <si>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</si>
  <si>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</si>
  <si>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</si>
  <si>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</si>
  <si>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</si>
  <si>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</si>
  <si>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</si>
  <si>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</si>
  <si>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</si>
  <si>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</si>
  <si>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</si>
  <si>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</si>
  <si>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</si>
  <si>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</si>
  <si>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</si>
  <si>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</si>
  <si>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</si>
  <si>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</si>
  <si>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</si>
  <si>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</si>
  <si>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</si>
  <si>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</si>
  <si>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</si>
  <si>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</si>
  <si>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</si>
  <si>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</si>
  <si>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</si>
  <si>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</si>
  <si>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</si>
  <si>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</si>
  <si>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</si>
  <si>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</si>
  <si>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</si>
  <si>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</si>
  <si>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</si>
  <si>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</si>
  <si>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</si>
  <si>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</si>
  <si>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</si>
  <si>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</si>
  <si>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</si>
  <si>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</si>
  <si>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</si>
  <si>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</si>
  <si>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</si>
  <si>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</si>
  <si>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</si>
  <si>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</si>
  <si>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</si>
  <si>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</si>
  <si>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</si>
  <si>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</si>
  <si>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</si>
  <si>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</si>
  <si>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</si>
  <si>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</si>
  <si>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</si>
  <si>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</si>
  <si>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</si>
  <si>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</si>
  <si>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</si>
  <si>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</si>
  <si>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</si>
  <si>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</si>
  <si>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</si>
  <si>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</si>
  <si>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</si>
  <si>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</si>
  <si>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</si>
  <si>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</si>
  <si>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</si>
  <si>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</si>
  <si>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</si>
  <si>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</si>
  <si>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</si>
  <si>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</si>
  <si>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</si>
  <si>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</si>
  <si>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</si>
  <si>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</si>
  <si>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</si>
  <si>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</si>
  <si>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</si>
  <si>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</si>
  <si>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</si>
  <si>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</si>
  <si>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</si>
  <si>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</si>
  <si>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</si>
  <si>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</si>
  <si>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</si>
  <si>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</si>
  <si>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</si>
  <si>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</si>
  <si>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</si>
  <si>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</si>
  <si>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</si>
  <si>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</si>
  <si>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</si>
  <si>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</si>
  <si>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</si>
  <si>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</si>
  <si>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</si>
  <si>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</si>
  <si>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</si>
  <si>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</si>
  <si>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</si>
  <si>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</si>
  <si>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</si>
  <si>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</si>
  <si>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</si>
  <si>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</si>
  <si>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</si>
  <si>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</si>
  <si>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</si>
  <si>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</si>
  <si>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</si>
  <si>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</si>
  <si>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</si>
  <si>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</si>
  <si>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</si>
  <si>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</si>
  <si>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</si>
  <si>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</si>
  <si>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</si>
  <si>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</si>
  <si>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</si>
  <si>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</si>
  <si>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</si>
  <si>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</si>
  <si>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</si>
  <si>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</si>
  <si>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</si>
  <si>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</si>
  <si>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</si>
  <si>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</si>
  <si>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</si>
  <si>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</si>
  <si>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</si>
  <si>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</si>
  <si>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</si>
  <si>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</si>
  <si>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</si>
  <si>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</si>
  <si>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</si>
  <si>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</si>
  <si>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</si>
  <si>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</si>
  <si>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</si>
  <si>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</si>
  <si>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</si>
  <si>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</si>
  <si>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</si>
  <si>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</si>
  <si>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</si>
  <si>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</si>
  <si>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</si>
  <si>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</si>
  <si>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</si>
  <si>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</si>
  <si>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</si>
  <si>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</si>
  <si>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</si>
  <si>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</si>
  <si>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</si>
  <si>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</si>
  <si>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</si>
  <si>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</si>
  <si>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</si>
  <si>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</si>
  <si>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</si>
  <si>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</si>
  <si>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</si>
  <si>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</si>
  <si>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</si>
  <si>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</si>
  <si>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</si>
  <si>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</si>
  <si>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</si>
  <si>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</si>
  <si>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</si>
  <si>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</si>
  <si>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</si>
  <si>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</si>
  <si>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</si>
  <si>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</si>
  <si>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</si>
  <si>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</si>
  <si>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</si>
  <si>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</si>
  <si>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</si>
  <si>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</si>
  <si>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</si>
  <si>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</si>
  <si>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</si>
  <si>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</si>
  <si>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</si>
  <si>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</si>
  <si>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</si>
  <si>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</si>
  <si>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</si>
  <si>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</si>
  <si>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</si>
  <si>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</si>
  <si>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</si>
  <si>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</si>
  <si>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</si>
  <si>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</si>
  <si>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</si>
  <si>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</si>
  <si>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</si>
  <si>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</si>
  <si>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</si>
  <si>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</si>
  <si>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</si>
  <si>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</si>
  <si>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</si>
  <si>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</si>
  <si>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</si>
  <si>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</si>
  <si>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</si>
  <si>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</si>
  <si>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</si>
  <si>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</si>
  <si>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</si>
  <si>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</si>
  <si>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</si>
  <si>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</si>
  <si>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</si>
  <si>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</si>
  <si>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</si>
  <si>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</si>
  <si>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</si>
  <si>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</si>
  <si>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</si>
  <si>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</si>
  <si>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</si>
  <si>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</si>
  <si>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</si>
  <si>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</si>
  <si>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</si>
  <si>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</si>
  <si>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</si>
  <si>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</si>
  <si>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</si>
  <si>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</si>
  <si>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</si>
  <si>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</si>
  <si>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</si>
  <si>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</si>
  <si>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</si>
  <si>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</si>
  <si>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</si>
  <si>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</si>
  <si>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</si>
  <si>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</si>
  <si>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</si>
  <si>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</si>
  <si>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</si>
  <si>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</si>
  <si>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</si>
  <si>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</si>
  <si>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</si>
  <si>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</si>
  <si>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</si>
  <si>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</si>
  <si>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</si>
  <si>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</si>
  <si>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</si>
  <si>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</si>
  <si>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</si>
  <si>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</si>
  <si>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</si>
  <si>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</si>
  <si>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</si>
  <si>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</si>
  <si>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</si>
  <si>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</si>
  <si>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</si>
  <si>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</si>
  <si>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</si>
  <si>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</si>
  <si>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</si>
  <si>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</si>
  <si>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</si>
  <si>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</si>
  <si>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</si>
  <si>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</si>
  <si>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</si>
  <si>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</si>
  <si>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</si>
  <si>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</si>
  <si>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</si>
  <si>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</si>
  <si>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</si>
  <si>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</si>
  <si>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</si>
  <si>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</si>
  <si>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</si>
  <si>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</si>
  <si>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</si>
  <si>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</si>
  <si>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</si>
  <si>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</si>
  <si>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</si>
  <si>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</si>
  <si>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</si>
  <si>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</si>
  <si>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</si>
  <si>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</si>
  <si>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</si>
  <si>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</si>
  <si>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</si>
  <si>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</si>
  <si>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</si>
  <si>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</si>
  <si>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</si>
  <si>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</si>
  <si>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</si>
  <si>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</si>
  <si>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</si>
  <si>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</si>
  <si>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</si>
  <si>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</si>
  <si>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</si>
  <si>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</si>
  <si>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</si>
  <si>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</si>
  <si>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</si>
  <si>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</si>
  <si>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</si>
  <si>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</si>
  <si>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</si>
  <si>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</si>
  <si>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</si>
  <si>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</si>
  <si>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</si>
  <si>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</si>
  <si>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</si>
  <si>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</si>
  <si>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</si>
  <si>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</si>
  <si>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</si>
  <si>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</si>
  <si>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</si>
  <si>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</si>
  <si>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</si>
  <si>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</si>
  <si>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</si>
  <si>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</si>
  <si>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</si>
  <si>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</si>
  <si>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</si>
  <si>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</si>
  <si>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</si>
  <si>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</si>
  <si>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</si>
  <si>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</si>
  <si>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</si>
  <si>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</si>
  <si>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</si>
  <si>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</si>
  <si>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</si>
  <si>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</si>
  <si>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</si>
  <si>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</si>
  <si>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</si>
  <si>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</si>
  <si>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</si>
  <si>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</si>
  <si>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</si>
  <si>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</si>
  <si>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</si>
  <si>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</si>
  <si>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</si>
  <si>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</si>
  <si>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</si>
  <si>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</si>
  <si>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</si>
  <si>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</si>
  <si>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</si>
  <si>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</si>
  <si>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</si>
  <si>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</si>
  <si>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</si>
  <si>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</si>
  <si>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</si>
  <si>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</si>
  <si>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</si>
  <si>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</si>
  <si>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</si>
  <si>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</si>
  <si>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</si>
  <si>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</si>
  <si>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</si>
  <si>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</si>
  <si>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</si>
  <si>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</si>
  <si>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</si>
  <si>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</si>
  <si>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</si>
  <si>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</si>
  <si>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</si>
  <si>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</si>
  <si>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</si>
  <si>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</si>
  <si>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</si>
  <si>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</si>
  <si>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</si>
  <si>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</si>
  <si>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</si>
  <si>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</si>
  <si>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</si>
  <si>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</si>
  <si>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</si>
  <si>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</si>
  <si>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</si>
  <si>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</si>
  <si>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</si>
  <si>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</si>
  <si>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</si>
  <si>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</si>
  <si>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</si>
  <si>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</si>
  <si>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</si>
  <si>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</si>
  <si>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</si>
  <si>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</si>
  <si>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</si>
  <si>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</si>
  <si>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</si>
  <si>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</si>
  <si>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</si>
  <si>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</si>
  <si>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</si>
  <si>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</si>
  <si>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</si>
  <si>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</si>
  <si>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</si>
  <si>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</si>
  <si>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</si>
  <si>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</si>
  <si>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</si>
  <si>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</si>
  <si>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</si>
  <si>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</si>
  <si>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</si>
  <si>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</si>
  <si>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</si>
  <si>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</si>
  <si>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</si>
  <si>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</si>
  <si>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</si>
  <si>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</si>
  <si>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</si>
  <si>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</si>
  <si>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</si>
  <si>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</si>
  <si>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</si>
  <si>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</si>
  <si>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</si>
  <si>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</si>
  <si>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</si>
  <si>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</si>
  <si>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</si>
  <si>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</si>
  <si>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</si>
  <si>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</si>
  <si>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</si>
  <si>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</si>
  <si>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</si>
  <si>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</si>
  <si>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</si>
  <si>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</si>
  <si>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</si>
  <si>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</si>
  <si>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</si>
  <si>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</si>
  <si>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</si>
  <si>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</si>
  <si>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</si>
  <si>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</si>
  <si>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</si>
  <si>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</si>
  <si>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</si>
  <si>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</si>
  <si>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</si>
  <si>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</si>
  <si>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</si>
  <si>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</si>
  <si>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</si>
  <si>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</si>
  <si>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</si>
  <si>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</si>
  <si>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</si>
  <si>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</si>
  <si>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</si>
  <si>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</si>
  <si>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</si>
  <si>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</si>
  <si>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</si>
  <si>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</si>
  <si>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</si>
  <si>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</si>
  <si>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</si>
  <si>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</si>
  <si>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</si>
  <si>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</si>
  <si>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</si>
  <si>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</si>
  <si>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</si>
  <si>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</si>
  <si>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</si>
  <si>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</si>
  <si>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</si>
  <si>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</si>
  <si>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</si>
  <si>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</si>
  <si>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</si>
  <si>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</si>
  <si>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</si>
  <si>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</si>
  <si>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</si>
  <si>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</si>
  <si>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</si>
  <si>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</si>
  <si>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</si>
  <si>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</si>
  <si>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</si>
  <si>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</si>
  <si>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</si>
  <si>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</si>
  <si>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</si>
  <si>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</si>
  <si>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</si>
  <si>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</si>
  <si>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</si>
  <si>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</si>
  <si>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</si>
  <si>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</si>
  <si>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</si>
  <si>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</si>
  <si>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</si>
  <si>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</si>
  <si>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</si>
  <si>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</si>
  <si>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</si>
  <si>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</si>
  <si>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</si>
  <si>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</si>
  <si>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</si>
  <si>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</si>
  <si>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</si>
  <si>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</si>
  <si>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</si>
  <si>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</si>
  <si>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</si>
  <si>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</si>
  <si>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</si>
  <si>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</si>
  <si>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</si>
  <si>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</si>
  <si>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</si>
  <si>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</si>
  <si>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</si>
  <si>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</si>
  <si>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</si>
  <si>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</si>
  <si>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</si>
  <si>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</si>
  <si>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</si>
  <si>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</si>
  <si>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</si>
  <si>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</si>
  <si>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</si>
  <si>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</si>
  <si>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</si>
  <si>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</si>
  <si>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</si>
  <si>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</si>
  <si>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</si>
  <si>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</si>
  <si>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</si>
  <si>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</si>
  <si>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</si>
  <si>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</si>
  <si>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</si>
  <si>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</si>
  <si>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</si>
  <si>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</si>
  <si>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</si>
  <si>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</si>
  <si>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</si>
  <si>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</si>
  <si>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</si>
  <si>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</si>
  <si>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</si>
  <si>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</si>
  <si>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</si>
  <si>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</si>
  <si>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</si>
  <si>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</si>
  <si>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</si>
  <si>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</si>
  <si>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</si>
  <si>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</si>
  <si>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</si>
  <si>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</si>
  <si>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</si>
  <si>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</si>
  <si>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</si>
  <si>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</si>
  <si>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</si>
  <si>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</si>
  <si>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</si>
  <si>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</si>
  <si>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</si>
  <si>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</si>
  <si>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</si>
  <si>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</si>
  <si>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</si>
  <si>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</si>
  <si>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</si>
  <si>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</si>
  <si>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</si>
  <si>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</si>
  <si>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</si>
  <si>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</si>
  <si>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</si>
  <si>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</si>
  <si>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</si>
  <si>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</si>
  <si>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</si>
  <si>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</si>
  <si>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</si>
  <si>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</si>
  <si>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</si>
  <si>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</si>
  <si>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</si>
  <si>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</si>
  <si>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</si>
  <si>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</si>
  <si>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</si>
  <si>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</si>
  <si>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</si>
  <si>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</si>
  <si>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</si>
  <si>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</si>
  <si>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</si>
  <si>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</si>
  <si>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</si>
  <si>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</si>
  <si>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</si>
  <si>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</si>
  <si>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</si>
  <si>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</si>
  <si>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</si>
  <si>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</si>
  <si>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</si>
  <si>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</si>
  <si>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</si>
  <si>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</si>
  <si>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</si>
  <si>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</si>
  <si>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</si>
  <si>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</si>
  <si>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</si>
  <si>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</si>
  <si>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</si>
  <si>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</si>
  <si>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</si>
  <si>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</si>
  <si>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</si>
  <si>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</si>
  <si>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</si>
  <si>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</si>
  <si>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</si>
  <si>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</si>
  <si>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</si>
  <si>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</si>
  <si>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</si>
  <si>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</si>
  <si>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</si>
  <si>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</si>
  <si>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</si>
  <si>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</si>
  <si>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</si>
  <si>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</si>
  <si>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</si>
  <si>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</si>
  <si>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</si>
  <si>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</si>
  <si>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</si>
  <si>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</si>
  <si>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</si>
  <si>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</si>
  <si>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</si>
  <si>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</si>
  <si>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</si>
  <si>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</si>
  <si>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</si>
  <si>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</si>
  <si>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</si>
  <si>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</si>
  <si>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</si>
  <si>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</si>
  <si>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</si>
  <si>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</si>
  <si>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</si>
  <si>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</si>
  <si>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</si>
  <si>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</si>
  <si>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</si>
  <si>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</si>
  <si>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</si>
  <si>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</si>
  <si>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</si>
  <si>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</si>
  <si>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</si>
  <si>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</si>
  <si>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</si>
  <si>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</si>
  <si>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</si>
  <si>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</si>
  <si>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</si>
  <si>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</si>
  <si>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</si>
  <si>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</si>
  <si>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</si>
  <si>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</si>
  <si>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</si>
  <si>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</si>
  <si>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</si>
  <si>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</si>
  <si>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</si>
  <si>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</si>
  <si>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</si>
  <si>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</si>
  <si>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</si>
  <si>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</si>
  <si>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</si>
  <si>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</si>
  <si>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</si>
  <si>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</si>
  <si>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</si>
  <si>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</si>
  <si>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</si>
  <si>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</si>
  <si>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</si>
  <si>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</si>
  <si>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</si>
  <si>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</si>
  <si>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</si>
  <si>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</si>
  <si>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</si>
  <si>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</si>
  <si>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</si>
  <si>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</si>
  <si>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</si>
  <si>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</si>
  <si>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</si>
  <si>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</si>
  <si>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</si>
  <si>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</si>
  <si>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</si>
  <si>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</si>
  <si>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</si>
  <si>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</si>
  <si>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</si>
  <si>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</si>
  <si>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</si>
  <si>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</si>
  <si>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</si>
  <si>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</si>
  <si>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</si>
  <si>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</si>
  <si>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</si>
  <si>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</si>
  <si>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</si>
  <si>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</si>
  <si>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</si>
  <si>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</si>
  <si>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</si>
  <si>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</si>
  <si>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</si>
  <si>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</si>
  <si>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</si>
  <si>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</si>
  <si>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</si>
  <si>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</si>
  <si>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</si>
  <si>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</si>
  <si>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</si>
  <si>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</si>
  <si>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</si>
  <si>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</si>
  <si>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</si>
  <si>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</si>
  <si>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</si>
  <si>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</si>
  <si>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</si>
  <si>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</si>
  <si>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</si>
  <si>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</si>
  <si>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</si>
  <si>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</si>
  <si>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</si>
  <si>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</si>
  <si>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</si>
  <si>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</si>
  <si>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</si>
  <si>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</si>
  <si>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</si>
  <si>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</si>
  <si>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</si>
  <si>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</si>
  <si>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</si>
  <si>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</si>
  <si>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</si>
  <si>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</si>
  <si>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</si>
  <si>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</si>
  <si>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</si>
  <si>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</si>
  <si>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</si>
  <si>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</si>
  <si>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</si>
  <si>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</si>
  <si>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</si>
  <si>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</si>
  <si>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</si>
  <si>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</si>
  <si>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</si>
  <si>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</si>
  <si>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</si>
  <si>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</si>
  <si>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</si>
  <si>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</si>
  <si>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</si>
  <si>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</si>
  <si>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</si>
  <si>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</si>
  <si>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</si>
  <si>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</si>
  <si>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</si>
  <si>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</si>
  <si>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</si>
  <si>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</si>
  <si>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</si>
  <si>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</si>
  <si>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</si>
  <si>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</si>
  <si>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</si>
  <si>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</si>
  <si>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</si>
  <si>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</si>
  <si>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</si>
  <si>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</si>
  <si>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</si>
  <si>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</si>
  <si>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</si>
  <si>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</si>
  <si>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</si>
  <si>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</si>
  <si>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</si>
  <si>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</si>
  <si>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</si>
  <si>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</si>
  <si>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</si>
  <si>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</si>
  <si>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</si>
  <si>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</si>
  <si>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</si>
  <si>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</si>
  <si>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</si>
  <si>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</si>
  <si>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</si>
  <si>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</si>
  <si>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</si>
  <si>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</si>
  <si>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</si>
  <si>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</si>
  <si>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</si>
  <si>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</si>
  <si>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</si>
  <si>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</si>
  <si>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</si>
  <si>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</si>
  <si>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</si>
  <si>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</si>
  <si>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</si>
  <si>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</si>
  <si>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</si>
  <si>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</si>
  <si>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</si>
  <si>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</si>
  <si>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</si>
  <si>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</si>
  <si>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</si>
  <si>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</si>
  <si>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</si>
  <si>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</si>
  <si>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</si>
  <si>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</si>
  <si>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</si>
  <si>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</si>
  <si>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</si>
  <si>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</si>
  <si>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</si>
  <si>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</si>
  <si>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</si>
  <si>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</si>
  <si>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</si>
  <si>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</si>
  <si>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</si>
  <si>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</si>
  <si>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</si>
  <si>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</si>
  <si>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</si>
  <si>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</si>
  <si>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</si>
  <si>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</si>
  <si>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</si>
  <si>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</si>
  <si>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</si>
  <si>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</si>
  <si>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</si>
  <si>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</si>
  <si>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</si>
  <si>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</si>
  <si>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</si>
  <si>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</si>
  <si>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</si>
  <si>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</si>
  <si>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</si>
  <si>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</si>
  <si>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</si>
  <si>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</si>
  <si>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</si>
  <si>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</si>
  <si>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</si>
  <si>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</si>
  <si>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</si>
  <si>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</si>
  <si>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</si>
  <si>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</si>
  <si>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</si>
  <si>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</si>
  <si>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</si>
  <si>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</si>
  <si>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</si>
  <si>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</si>
  <si>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</si>
  <si>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</si>
  <si>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</si>
  <si>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</si>
  <si>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</si>
  <si>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</si>
  <si>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</si>
  <si>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</si>
  <si>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</si>
  <si>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</si>
  <si>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</si>
  <si>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</si>
  <si>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</si>
  <si>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</si>
  <si>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</si>
  <si>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</si>
  <si>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</si>
  <si>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</si>
  <si>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</si>
  <si>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</si>
  <si>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</si>
  <si>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</si>
  <si>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</si>
  <si>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</si>
  <si>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</si>
  <si>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</si>
  <si>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</si>
  <si>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</si>
  <si>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</si>
  <si>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</si>
  <si>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</si>
  <si>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</si>
  <si>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</si>
  <si>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</si>
  <si>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</si>
  <si>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</si>
  <si>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</si>
  <si>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</si>
  <si>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</si>
  <si>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</si>
  <si>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</si>
  <si>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</si>
  <si>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</si>
  <si>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</si>
  <si>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</si>
  <si>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</si>
  <si>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</si>
  <si>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</si>
  <si>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</si>
  <si>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</si>
  <si>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</si>
  <si>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</si>
  <si>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</si>
  <si>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</si>
  <si>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</si>
  <si>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</si>
  <si>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</si>
  <si>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</si>
  <si>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</si>
  <si>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</si>
  <si>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</si>
  <si>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</si>
  <si>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</si>
  <si>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</si>
  <si>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</si>
  <si>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</si>
  <si>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</si>
  <si>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</si>
  <si>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</si>
  <si>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</si>
  <si>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</si>
  <si>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</si>
  <si>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</si>
  <si>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</si>
  <si>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</si>
  <si>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</si>
  <si>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</si>
  <si>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</si>
  <si>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</si>
  <si>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</si>
  <si>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</si>
  <si>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</si>
  <si>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</si>
  <si>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</si>
  <si>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</si>
  <si>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</si>
  <si>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</si>
  <si>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</si>
  <si>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</si>
  <si>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</si>
  <si>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</si>
  <si>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</si>
  <si>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</si>
  <si>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</si>
  <si>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</si>
  <si>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</si>
  <si>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</si>
  <si>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</si>
  <si>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</si>
  <si>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</si>
  <si>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</si>
  <si>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</si>
  <si>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</si>
  <si>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</si>
  <si>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</si>
  <si>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</si>
  <si>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</si>
  <si>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</si>
  <si>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</si>
  <si>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</si>
  <si>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</si>
  <si>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</si>
  <si>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</si>
  <si>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</si>
  <si>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</si>
  <si>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</si>
  <si>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</si>
  <si>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</si>
  <si>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</si>
  <si>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</si>
  <si>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</si>
  <si>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</si>
  <si>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</si>
  <si>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</si>
  <si>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</si>
  <si>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</si>
  <si>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</si>
  <si>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</si>
  <si>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</si>
  <si>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</si>
  <si>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</si>
  <si>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</si>
  <si>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</si>
  <si>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</si>
  <si>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</si>
  <si>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</si>
  <si>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</si>
  <si>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</si>
  <si>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</si>
  <si>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</si>
  <si>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</si>
  <si>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</si>
  <si>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</si>
  <si>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</si>
  <si>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</si>
  <si>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</si>
  <si>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</si>
  <si>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</si>
  <si>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</si>
  <si>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</si>
  <si>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</si>
  <si>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</si>
  <si>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</si>
  <si>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</si>
  <si>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</si>
  <si>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</si>
  <si>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</si>
  <si>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</si>
  <si>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</si>
  <si>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</si>
  <si>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</si>
  <si>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</si>
  <si>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</si>
  <si>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</si>
  <si>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</si>
  <si>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</si>
  <si>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</si>
  <si>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</si>
  <si>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</si>
  <si>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</si>
  <si>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</si>
  <si>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</si>
  <si>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</si>
  <si>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</si>
  <si>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</si>
  <si>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</si>
  <si>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</si>
  <si>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</si>
  <si>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</si>
  <si>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</si>
  <si>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</si>
  <si>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</si>
  <si>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</si>
  <si>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</si>
  <si>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</si>
  <si>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</si>
  <si>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</si>
  <si>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</si>
  <si>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</si>
  <si>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</si>
  <si>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</si>
  <si>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</si>
  <si>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</si>
  <si>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</si>
  <si>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</si>
  <si>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</si>
  <si>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</si>
  <si>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</si>
  <si>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</si>
  <si>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</si>
  <si>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</si>
  <si>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</si>
  <si>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</si>
  <si>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</si>
  <si>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</si>
  <si>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</si>
  <si>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</si>
  <si>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</si>
  <si>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</si>
  <si>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</si>
  <si>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</si>
  <si>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</si>
  <si>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</si>
  <si>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</si>
  <si>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</si>
  <si>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</si>
  <si>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</si>
  <si>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</si>
  <si>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</si>
  <si>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</si>
  <si>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</si>
  <si>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</si>
  <si>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</si>
  <si>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</si>
  <si>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</si>
  <si>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</si>
  <si>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</si>
  <si>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</si>
  <si>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</si>
  <si>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</si>
  <si>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</si>
  <si>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</si>
  <si>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</si>
  <si>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</si>
  <si>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</si>
  <si>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</si>
  <si>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</si>
  <si>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</si>
  <si>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</si>
  <si>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</si>
  <si>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</si>
  <si>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</si>
  <si>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</si>
  <si>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</si>
  <si>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</si>
  <si>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</si>
  <si>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</si>
  <si>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</si>
  <si>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</si>
  <si>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</si>
  <si>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</si>
  <si>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</si>
  <si>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</si>
  <si>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</si>
  <si>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</si>
  <si>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</si>
  <si>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</si>
  <si>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</si>
  <si>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</si>
  <si>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</si>
  <si>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</si>
  <si>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</si>
  <si>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</si>
  <si>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</si>
  <si>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</si>
  <si>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</si>
  <si>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</si>
  <si>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</si>
  <si>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</si>
  <si>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</si>
  <si>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</si>
  <si>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</si>
  <si>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</si>
  <si>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</si>
  <si>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</si>
  <si>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</si>
  <si>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</si>
  <si>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</si>
  <si>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</si>
  <si>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</si>
  <si>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</si>
  <si>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</si>
  <si>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</si>
  <si>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</si>
  <si>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</si>
  <si>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</si>
  <si>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</si>
  <si>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</si>
  <si>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</si>
  <si>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</si>
  <si>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</si>
  <si>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</si>
  <si>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</si>
  <si>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</si>
  <si>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</si>
  <si>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</si>
  <si>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</si>
  <si>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</si>
  <si>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</si>
  <si>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</si>
  <si>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</si>
  <si>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</si>
  <si>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</si>
  <si>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</si>
  <si>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</si>
  <si>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</si>
  <si>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</si>
  <si>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</si>
  <si>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</si>
  <si>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</si>
  <si>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</si>
  <si>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</si>
  <si>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</si>
  <si>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</si>
  <si>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</si>
  <si>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</si>
  <si>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</si>
  <si>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</si>
  <si>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</si>
  <si>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</si>
  <si>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</si>
  <si>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</si>
  <si>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</si>
  <si>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</si>
  <si>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</si>
  <si>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</si>
  <si>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</si>
  <si>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</si>
  <si>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</si>
  <si>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</si>
  <si>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</si>
  <si>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</si>
  <si>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</si>
  <si>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</si>
  <si>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</si>
  <si>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</si>
  <si>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</si>
  <si>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</si>
  <si>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</si>
  <si>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</si>
  <si>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</si>
  <si>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</si>
  <si>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</si>
  <si>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</si>
  <si>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</si>
  <si>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</si>
  <si>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</si>
  <si>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</si>
  <si>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</si>
  <si>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</si>
  <si>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</si>
  <si>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</si>
  <si>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</si>
  <si>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</si>
  <si>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</si>
  <si>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</si>
  <si>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</si>
  <si>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</si>
  <si>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</si>
  <si>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</si>
  <si>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</si>
  <si>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</si>
  <si>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</si>
  <si>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</si>
  <si>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</si>
  <si>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</si>
  <si>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</si>
  <si>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</si>
  <si>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</si>
  <si>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</si>
  <si>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</si>
  <si>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</si>
  <si>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</si>
  <si>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</si>
  <si>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</si>
  <si>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</si>
  <si>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</si>
  <si>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</si>
  <si>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</si>
  <si>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</si>
  <si>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</si>
  <si>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</si>
  <si>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</si>
  <si>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</si>
  <si>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</si>
  <si>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</si>
  <si>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</si>
  <si>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</si>
  <si>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</si>
  <si>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</si>
  <si>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</si>
  <si>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</si>
  <si>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</si>
  <si>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</si>
  <si>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</si>
  <si>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</si>
  <si>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</si>
  <si>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</si>
  <si>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</si>
  <si>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</si>
  <si>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</si>
  <si>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</si>
  <si>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</si>
  <si>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</si>
  <si>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</si>
  <si>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</si>
  <si>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</si>
  <si>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</si>
  <si>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</si>
  <si>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</si>
  <si>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</si>
  <si>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</si>
  <si>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</si>
  <si>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</si>
  <si>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</si>
  <si>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</si>
  <si>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</si>
  <si>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</si>
  <si>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</si>
  <si>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</si>
  <si>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</si>
  <si>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</si>
  <si>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</si>
  <si>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</si>
  <si>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</si>
  <si>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</si>
  <si>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</si>
  <si>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</si>
  <si>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</si>
  <si>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</si>
  <si>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</si>
  <si>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</si>
  <si>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</si>
  <si>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</si>
  <si>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</si>
  <si>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</si>
  <si>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</si>
  <si>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</si>
  <si>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</si>
  <si>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</si>
  <si>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</si>
  <si>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</si>
  <si>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</si>
  <si>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</si>
  <si>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</si>
  <si>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</si>
  <si>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</si>
  <si>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</si>
  <si>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</si>
  <si>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</si>
  <si>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</si>
  <si>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</si>
  <si>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</si>
  <si>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</si>
  <si>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</si>
  <si>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</si>
  <si>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</si>
  <si>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</si>
  <si>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</si>
  <si>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</si>
  <si>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</si>
  <si>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</si>
  <si>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</si>
  <si>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</si>
  <si>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</si>
  <si>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</si>
  <si>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</si>
  <si>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</si>
  <si>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</si>
  <si>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</si>
  <si>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</si>
  <si>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</si>
  <si>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</si>
  <si>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</si>
  <si>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</si>
  <si>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</si>
  <si>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</si>
  <si>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</si>
  <si>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</si>
  <si>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</si>
  <si>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</si>
  <si>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</si>
  <si>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</si>
  <si>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</si>
  <si>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</si>
  <si>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</si>
  <si>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</si>
  <si>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</si>
  <si>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</si>
  <si>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</si>
  <si>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</si>
  <si>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</si>
  <si>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</si>
  <si>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</si>
  <si>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</si>
  <si>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</si>
  <si>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</si>
  <si>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</si>
  <si>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</si>
  <si>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</si>
  <si>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</si>
  <si>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</si>
  <si>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</si>
  <si>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</si>
  <si>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</si>
  <si>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</si>
  <si>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</si>
  <si>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</si>
  <si>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</si>
  <si>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</si>
  <si>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</si>
  <si>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</si>
  <si>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</si>
  <si>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</si>
  <si>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</si>
  <si>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</si>
  <si>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</si>
  <si>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</si>
  <si>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</si>
  <si>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</si>
  <si>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</si>
  <si>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</si>
  <si>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</si>
  <si>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</si>
  <si>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</si>
  <si>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</si>
  <si>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</si>
  <si>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</si>
  <si>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</si>
  <si>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</si>
  <si>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</si>
  <si>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</si>
  <si>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</si>
  <si>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</si>
  <si>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</si>
  <si>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</si>
  <si>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</si>
  <si>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</si>
  <si>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</si>
  <si>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</si>
  <si>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</si>
  <si>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</si>
  <si>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</si>
  <si>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</si>
  <si>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</si>
  <si>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</si>
  <si>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</si>
  <si>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</si>
  <si>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</si>
  <si>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</si>
  <si>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</si>
  <si>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</si>
  <si>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</si>
  <si>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</si>
  <si>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</si>
  <si>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</si>
  <si>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</si>
  <si>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</si>
  <si>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</si>
  <si>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</si>
  <si>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</si>
  <si>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</si>
  <si>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</si>
  <si>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</si>
  <si>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</si>
  <si>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</si>
  <si>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</si>
  <si>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</si>
  <si>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</si>
  <si>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</si>
  <si>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</si>
  <si>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</si>
  <si>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</si>
  <si>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</si>
  <si>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</si>
  <si>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</si>
  <si>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</si>
  <si>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</si>
  <si>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</si>
  <si>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</si>
  <si>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</si>
  <si>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</si>
  <si>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</si>
  <si>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</si>
  <si>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</si>
  <si>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</si>
  <si>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</si>
  <si>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</si>
  <si>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</si>
  <si>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</si>
  <si>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</si>
  <si>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</si>
  <si>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</si>
  <si>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</si>
  <si>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</si>
  <si>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</si>
  <si>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</si>
  <si>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</si>
  <si>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</si>
  <si>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</si>
  <si>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</si>
  <si>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</si>
  <si>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</si>
  <si>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</si>
  <si>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</si>
  <si>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</si>
  <si>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</si>
  <si>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</si>
  <si>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</si>
  <si>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</si>
  <si>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</si>
  <si>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</si>
  <si>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</si>
  <si>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</si>
  <si>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</si>
  <si>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</si>
  <si>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</si>
  <si>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</si>
  <si>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</si>
  <si>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</si>
  <si>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</si>
  <si>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</si>
  <si>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</si>
  <si>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</si>
  <si>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</si>
  <si>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</si>
  <si>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</si>
  <si>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</si>
  <si>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</si>
  <si>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</si>
  <si>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</si>
  <si>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</si>
  <si>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</si>
  <si>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</si>
  <si>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</si>
  <si>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</si>
  <si>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</si>
  <si>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</si>
  <si>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</si>
  <si>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</si>
  <si>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</si>
  <si>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</si>
  <si>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</si>
  <si>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</si>
  <si>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</si>
  <si>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</si>
  <si>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</si>
  <si>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</si>
  <si>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</si>
  <si>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</si>
  <si>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</si>
  <si>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</si>
  <si>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</si>
  <si>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</si>
  <si>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</si>
  <si>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</si>
  <si>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</si>
  <si>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</si>
  <si>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</si>
  <si>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</si>
  <si>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</si>
  <si>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</si>
  <si>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</si>
  <si>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</si>
  <si>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</si>
  <si>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</si>
  <si>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</si>
  <si>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</si>
  <si>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</si>
  <si>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</si>
  <si>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</si>
  <si>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</si>
  <si>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</si>
  <si>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</si>
  <si>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</si>
  <si>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</si>
  <si>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</si>
  <si>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</si>
  <si>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</si>
  <si>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</si>
  <si>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</si>
  <si>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</si>
  <si>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</si>
  <si>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</si>
  <si>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</si>
  <si>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</si>
  <si>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</si>
  <si>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</si>
  <si>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</si>
  <si>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</si>
  <si>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</si>
  <si>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</si>
  <si>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</si>
  <si>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</si>
  <si>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</si>
  <si>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</si>
  <si>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</si>
  <si>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</si>
  <si>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</si>
  <si>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</si>
  <si>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</si>
  <si>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</si>
  <si>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</si>
  <si>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</si>
  <si>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</si>
  <si>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</si>
  <si>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</si>
  <si>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</si>
  <si>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</si>
  <si>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</si>
  <si>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</si>
  <si>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</si>
  <si>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</si>
  <si>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</si>
  <si>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</si>
  <si>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</si>
  <si>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</si>
  <si>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</si>
  <si>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</si>
  <si>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</si>
  <si>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</si>
  <si>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</si>
  <si>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</si>
  <si>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</si>
  <si>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</si>
  <si>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</si>
  <si>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</si>
  <si>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</si>
  <si>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</si>
  <si>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</si>
  <si>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</si>
  <si>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</si>
  <si>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</si>
  <si>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</si>
  <si>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</si>
  <si>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</si>
  <si>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</si>
  <si>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</si>
  <si>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</si>
  <si>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</si>
  <si>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</si>
  <si>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</si>
  <si>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</si>
  <si>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</si>
  <si>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</si>
  <si>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</si>
  <si>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</si>
  <si>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</si>
  <si>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</si>
  <si>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</si>
  <si>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</si>
  <si>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</si>
  <si>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</si>
  <si>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</si>
  <si>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</si>
  <si>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</si>
  <si>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</si>
  <si>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</si>
  <si>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</si>
  <si>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</si>
  <si>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</si>
  <si>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</si>
  <si>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</si>
  <si>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</si>
  <si>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</si>
  <si>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</si>
  <si>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</si>
  <si>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</si>
  <si>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</si>
  <si>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</si>
  <si>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</si>
  <si>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</si>
  <si>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</si>
  <si>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</si>
  <si>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</si>
  <si>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</si>
  <si>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</si>
  <si>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</si>
  <si>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</si>
  <si>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</si>
  <si>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</si>
  <si>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</si>
  <si>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</si>
  <si>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</si>
  <si>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</si>
  <si>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</si>
  <si>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</si>
  <si>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</si>
  <si>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</si>
  <si>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</si>
  <si>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</si>
  <si>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</si>
  <si>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</si>
  <si>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</si>
  <si>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</si>
  <si>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</si>
  <si>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</si>
  <si>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</si>
  <si>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</si>
  <si>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</si>
  <si>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</si>
  <si>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</si>
  <si>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</si>
  <si>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</si>
  <si>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</si>
  <si>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</si>
  <si>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</si>
  <si>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</si>
  <si>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</si>
  <si>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</si>
  <si>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</si>
  <si>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</si>
  <si>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</si>
  <si>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</si>
  <si>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</si>
  <si>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</si>
  <si>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</si>
  <si>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</si>
  <si>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</si>
  <si>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</si>
  <si>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</si>
  <si>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</si>
  <si>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</si>
  <si>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</si>
  <si>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</si>
  <si>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</si>
  <si>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</si>
  <si>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</si>
  <si>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</si>
  <si>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</si>
  <si>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</si>
  <si>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</si>
  <si>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</si>
  <si>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</si>
  <si>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</si>
  <si>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</si>
  <si>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</si>
  <si>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</si>
  <si>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</si>
  <si>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</si>
  <si>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</si>
  <si>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</si>
  <si>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</si>
  <si>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</si>
  <si>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</si>
  <si>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</si>
  <si>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</si>
  <si>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</si>
  <si>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</si>
  <si>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</si>
  <si>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</si>
  <si>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</si>
  <si>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</si>
  <si>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</si>
  <si>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</si>
  <si>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</si>
  <si>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</si>
  <si>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</si>
  <si>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</si>
  <si>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</si>
  <si>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</si>
  <si>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</si>
  <si>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</si>
  <si>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</si>
  <si>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</si>
  <si>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</si>
  <si>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</si>
  <si>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</si>
  <si>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</si>
  <si>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</si>
  <si>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</si>
  <si>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</si>
  <si>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</si>
  <si>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</si>
  <si>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</si>
  <si>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</si>
  <si>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</si>
  <si>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</si>
  <si>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</si>
  <si>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</si>
  <si>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</si>
  <si>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</si>
  <si>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</si>
  <si>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</si>
  <si>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</si>
  <si>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</si>
  <si>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</si>
  <si>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</si>
  <si>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</si>
  <si>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</si>
  <si>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</si>
  <si>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</si>
  <si>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</si>
  <si>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</si>
  <si>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</si>
  <si>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</si>
  <si>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</si>
  <si>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</si>
  <si>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</si>
  <si>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</si>
  <si>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</si>
  <si>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</si>
  <si>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</si>
  <si>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</si>
  <si>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</si>
  <si>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</si>
  <si>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</si>
  <si>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</si>
  <si>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</si>
  <si>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</si>
  <si>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</si>
  <si>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</si>
  <si>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</si>
  <si>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</si>
  <si>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</si>
  <si>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</si>
  <si>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</si>
  <si>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</si>
  <si>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</si>
  <si>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</si>
  <si>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</si>
  <si>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</si>
  <si>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</si>
  <si>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</si>
  <si>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</si>
  <si>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</si>
  <si>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</si>
  <si>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</si>
  <si>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</si>
  <si>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</si>
  <si>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</si>
  <si>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</si>
  <si>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</si>
  <si>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</si>
  <si>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</si>
  <si>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</si>
  <si>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</si>
  <si>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</si>
  <si>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</si>
  <si>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</si>
  <si>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</si>
  <si>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</si>
  <si>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</si>
  <si>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</si>
  <si>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</si>
  <si>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</si>
  <si>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</si>
  <si>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</si>
  <si>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</si>
  <si>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</si>
  <si>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</si>
  <si>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</si>
  <si>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</si>
  <si>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</si>
  <si>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</si>
  <si>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</si>
  <si>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</si>
  <si>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</si>
  <si>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</si>
  <si>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</si>
  <si>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</si>
  <si>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</si>
  <si>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</si>
  <si>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</si>
  <si>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</si>
  <si>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</si>
  <si>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</si>
  <si>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</si>
  <si>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</si>
  <si>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</si>
  <si>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</si>
  <si>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</si>
  <si>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</si>
  <si>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</si>
  <si>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</si>
  <si>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</si>
  <si>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</si>
  <si>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</si>
  <si>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</si>
  <si>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</si>
  <si>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</si>
  <si>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</si>
  <si>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</si>
  <si>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</si>
  <si>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</si>
  <si>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</si>
  <si>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</si>
  <si>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</si>
  <si>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</si>
  <si>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</si>
  <si>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</si>
  <si>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</si>
  <si>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</si>
  <si>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</si>
  <si>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</si>
  <si>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</si>
  <si>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</si>
  <si>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</si>
  <si>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</si>
  <si>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</si>
  <si>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</si>
  <si>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</si>
  <si>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</si>
  <si>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</si>
  <si>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</si>
  <si>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</si>
  <si>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</si>
  <si>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</si>
  <si>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</si>
  <si>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</si>
  <si>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</si>
  <si>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</si>
  <si>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</si>
  <si>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</si>
  <si>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</si>
  <si>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</si>
  <si>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</si>
  <si>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</si>
  <si>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</si>
  <si>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</si>
  <si>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</si>
  <si>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</si>
  <si>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</si>
  <si>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</si>
  <si>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</si>
  <si>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</si>
  <si>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</si>
  <si>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</si>
  <si>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</si>
  <si>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</si>
  <si>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</si>
  <si>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</si>
  <si>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</si>
  <si>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</si>
  <si>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</si>
  <si>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</si>
  <si>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</si>
  <si>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</si>
  <si>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</si>
  <si>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</si>
  <si>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</si>
  <si>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</si>
  <si>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</si>
  <si>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</si>
  <si>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</si>
  <si>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</si>
  <si>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</si>
  <si>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</si>
  <si>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</si>
  <si>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</si>
  <si>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</si>
  <si>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</si>
  <si>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</si>
  <si>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</si>
  <si>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</si>
  <si>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</si>
  <si>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</si>
  <si>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</si>
  <si>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</si>
  <si>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</si>
  <si>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</si>
  <si>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</si>
  <si>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</si>
  <si>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</si>
  <si>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</si>
  <si>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</si>
  <si>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</si>
  <si>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</si>
  <si>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</si>
  <si>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</si>
  <si>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</si>
  <si>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</si>
  <si>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</si>
  <si>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</si>
  <si>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</si>
  <si>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</si>
  <si>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</si>
  <si>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</si>
  <si>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</si>
  <si>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</si>
  <si>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</si>
  <si>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</si>
  <si>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</si>
  <si>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</si>
  <si>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</si>
  <si>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</si>
  <si>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</si>
  <si>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</si>
  <si>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</si>
  <si>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</si>
  <si>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</si>
  <si>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</si>
  <si>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</si>
  <si>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</si>
  <si>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</si>
  <si>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</si>
  <si>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</si>
  <si>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</si>
  <si>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</si>
  <si>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</si>
  <si>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</si>
  <si>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</si>
  <si>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</si>
  <si>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</si>
  <si>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</si>
  <si>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</si>
  <si>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</si>
  <si>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</si>
  <si>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</si>
  <si>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</si>
  <si>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</si>
  <si>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</si>
  <si>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</si>
  <si>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</si>
  <si>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</si>
  <si>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</si>
  <si>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</si>
  <si>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</si>
  <si>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</si>
  <si>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</si>
  <si>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</si>
  <si>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</si>
  <si>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</si>
  <si>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</si>
  <si>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</si>
  <si>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</si>
  <si>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</si>
  <si>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</si>
  <si>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</si>
  <si>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</si>
  <si>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</si>
  <si>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</si>
  <si>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</si>
  <si>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</si>
  <si>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</si>
  <si>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</si>
  <si>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</si>
  <si>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</si>
  <si>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</si>
  <si>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</si>
  <si>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</si>
  <si>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</si>
  <si>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</si>
  <si>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</si>
  <si>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</si>
  <si>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</si>
  <si>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</si>
  <si>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</si>
  <si>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</si>
  <si>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</si>
  <si>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</si>
  <si>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</si>
  <si>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</si>
  <si>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</si>
  <si>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</si>
  <si>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</si>
  <si>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</si>
  <si>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</si>
  <si>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</si>
  <si>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</si>
  <si>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</si>
  <si>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</si>
  <si>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</si>
  <si>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</si>
  <si>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</si>
  <si>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</si>
  <si>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</si>
  <si>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</si>
  <si>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</si>
  <si>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</si>
  <si>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</si>
  <si>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</si>
  <si>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</si>
  <si>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</si>
  <si>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</si>
  <si>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</si>
  <si>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</si>
  <si>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</si>
  <si>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</si>
  <si>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</si>
  <si>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</si>
  <si>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</si>
  <si>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</si>
  <si>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</si>
  <si>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</si>
  <si>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</si>
  <si>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</si>
  <si>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</si>
  <si>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</si>
  <si>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</si>
  <si>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</si>
  <si>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</si>
  <si>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</si>
  <si>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</si>
  <si>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</si>
  <si>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</si>
  <si>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</si>
  <si>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</si>
  <si>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</si>
  <si>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</si>
  <si>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</si>
  <si>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</si>
  <si>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</si>
  <si>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</si>
  <si>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</si>
  <si>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</si>
  <si>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</si>
  <si>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</si>
  <si>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</si>
  <si>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</si>
  <si>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</si>
  <si>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</si>
  <si>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</si>
  <si>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</si>
  <si>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</si>
  <si>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</si>
  <si>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</si>
  <si>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</si>
  <si>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</si>
  <si>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</si>
  <si>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</si>
  <si>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</si>
  <si>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</si>
  <si>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</si>
  <si>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</si>
  <si>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</si>
  <si>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</si>
  <si>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</si>
  <si>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</si>
  <si>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</si>
  <si>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</si>
  <si>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</si>
  <si>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</si>
  <si>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</si>
  <si>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</si>
  <si>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</si>
  <si>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</si>
  <si>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</si>
  <si>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</si>
  <si>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</si>
  <si>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</si>
  <si>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</si>
  <si>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</si>
  <si>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</si>
  <si>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</si>
  <si>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</si>
  <si>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</si>
  <si>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</si>
  <si>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</si>
  <si>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</si>
  <si>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</si>
  <si>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</si>
  <si>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</si>
  <si>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</si>
  <si>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</si>
  <si>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</si>
  <si>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</si>
  <si>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</si>
  <si>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</si>
  <si>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</si>
  <si>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</si>
  <si>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</si>
  <si>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</si>
  <si>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</si>
  <si>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</si>
  <si>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</si>
  <si>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</si>
  <si>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</si>
  <si>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</si>
  <si>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</si>
  <si>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</si>
  <si>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</si>
  <si>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</si>
  <si>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</si>
  <si>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</si>
  <si>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</si>
  <si>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</si>
  <si>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</si>
  <si>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</si>
  <si>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</si>
  <si>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</si>
  <si>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</si>
  <si>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</si>
  <si>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</si>
  <si>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</si>
  <si>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</si>
  <si>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</si>
  <si>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</si>
  <si>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</si>
  <si>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</si>
  <si>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</si>
  <si>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</si>
  <si>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</si>
  <si>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</si>
  <si>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</si>
  <si>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</si>
  <si>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</si>
  <si>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</si>
  <si>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</si>
  <si>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</si>
  <si>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</si>
  <si>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</si>
  <si>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</si>
  <si>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</si>
  <si>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</si>
  <si>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</si>
  <si>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</si>
  <si>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</si>
  <si>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</si>
  <si>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</si>
  <si>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</si>
  <si>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</si>
  <si>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</si>
  <si>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</si>
  <si>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</si>
  <si>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</si>
  <si>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</si>
  <si>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</si>
  <si>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</si>
  <si>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</si>
  <si>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</si>
  <si>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</si>
  <si>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</si>
  <si>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</si>
  <si>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</si>
  <si>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</si>
  <si>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</si>
  <si>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</si>
  <si>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</si>
  <si>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</si>
  <si>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</si>
  <si>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</si>
  <si>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</si>
  <si>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</si>
  <si>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</si>
  <si>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</si>
  <si>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</si>
  <si>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</si>
  <si>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</si>
  <si>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</si>
  <si>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</si>
  <si>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</si>
  <si>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</si>
  <si>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</si>
  <si>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</si>
  <si>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</si>
  <si>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</si>
  <si>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</si>
  <si>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</si>
  <si>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</si>
  <si>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</si>
  <si>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</si>
  <si>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</si>
  <si>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</si>
  <si>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</si>
  <si>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</si>
  <si>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</si>
  <si>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</si>
  <si>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</si>
  <si>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</si>
  <si>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</si>
  <si>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</si>
  <si>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</si>
  <si>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</si>
  <si>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</si>
  <si>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</si>
  <si>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</si>
  <si>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</si>
  <si>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</si>
  <si>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</si>
  <si>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</si>
  <si>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</si>
  <si>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</si>
  <si>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</si>
  <si>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</si>
  <si>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</si>
  <si>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</si>
  <si>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</si>
  <si>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</si>
  <si>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</si>
  <si>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</si>
  <si>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</si>
  <si>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</si>
  <si>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</si>
  <si>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</si>
  <si>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</si>
  <si>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</si>
  <si>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</si>
  <si>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</si>
  <si>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</si>
  <si>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</si>
  <si>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</si>
  <si>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</si>
  <si>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</si>
  <si>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</si>
  <si>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</si>
  <si>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</si>
  <si>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</si>
  <si>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</si>
  <si>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</si>
  <si>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</si>
  <si>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</si>
  <si>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</si>
  <si>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</si>
  <si>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</si>
  <si>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</si>
  <si>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</si>
  <si>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</si>
  <si>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</si>
  <si>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</si>
  <si>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</si>
  <si>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</si>
  <si>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</si>
  <si>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</si>
  <si>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</si>
  <si>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</si>
  <si>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</si>
  <si>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</si>
  <si>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</si>
  <si>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</si>
  <si>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</si>
  <si>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</si>
  <si>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</si>
  <si>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</si>
  <si>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</si>
  <si>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</si>
  <si>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</si>
  <si>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</si>
  <si>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</si>
  <si>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</si>
  <si>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</si>
  <si>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</si>
  <si>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</si>
  <si>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</si>
  <si>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</si>
  <si>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</si>
  <si>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</si>
  <si>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</si>
  <si>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</si>
  <si>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</si>
  <si>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</si>
  <si>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</si>
  <si>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</si>
  <si>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</si>
  <si>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</si>
  <si>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</si>
  <si>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</si>
  <si>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</si>
  <si>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</si>
  <si>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</si>
  <si>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</si>
  <si>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</si>
  <si>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</si>
  <si>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</si>
  <si>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</si>
  <si>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</si>
  <si>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</si>
  <si>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</si>
  <si>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</si>
  <si>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</si>
  <si>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</si>
  <si>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</si>
  <si>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</si>
  <si>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</si>
  <si>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</si>
  <si>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</si>
  <si>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</si>
  <si>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</si>
  <si>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</si>
  <si>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</si>
  <si>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</si>
  <si>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</si>
  <si>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</si>
  <si>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</si>
  <si>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</si>
  <si>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</si>
  <si>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</si>
  <si>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</si>
  <si>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</si>
  <si>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</si>
  <si>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</si>
  <si>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</si>
  <si>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</si>
  <si>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</si>
  <si>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</si>
  <si>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</si>
  <si>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</si>
  <si>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</si>
  <si>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</si>
  <si>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</si>
  <si>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</si>
  <si>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</si>
  <si>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</si>
  <si>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</si>
  <si>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</si>
  <si>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</si>
  <si>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</si>
  <si>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</si>
  <si>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</si>
  <si>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</si>
  <si>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</si>
  <si>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</si>
  <si>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</si>
  <si>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</si>
  <si>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</si>
  <si>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</si>
  <si>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</si>
  <si>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</si>
  <si>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</si>
  <si>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</si>
  <si>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</si>
  <si>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</si>
  <si>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</si>
  <si>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</si>
  <si>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</si>
  <si>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</si>
  <si>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</si>
  <si>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</si>
  <si>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</si>
  <si>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</si>
  <si>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</si>
  <si>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</si>
  <si>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</si>
  <si>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</si>
  <si>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</si>
  <si>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</si>
  <si>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</si>
  <si>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</si>
  <si>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</si>
  <si>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</si>
  <si>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</si>
  <si>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</si>
  <si>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</si>
  <si>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</si>
  <si>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</si>
  <si>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</si>
  <si>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</si>
  <si>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</si>
  <si>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</si>
  <si>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</si>
  <si>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</si>
  <si>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</si>
  <si>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</si>
  <si>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</si>
  <si>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</si>
  <si>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</si>
  <si>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</si>
  <si>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</si>
  <si>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</si>
  <si>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</si>
  <si>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</si>
  <si>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</si>
  <si>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</si>
  <si>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</si>
  <si>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</si>
  <si>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</si>
  <si>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</si>
  <si>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</si>
  <si>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</si>
  <si>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</si>
  <si>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</si>
  <si>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</si>
  <si>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</si>
  <si>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</si>
  <si>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</si>
  <si>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</si>
  <si>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</si>
  <si>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</si>
  <si>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</si>
  <si>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</si>
  <si>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</si>
  <si>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</si>
  <si>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</si>
  <si>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</si>
  <si>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</si>
  <si>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</si>
  <si>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</si>
  <si>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</si>
  <si>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</si>
  <si>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</si>
  <si>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</si>
  <si>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</si>
  <si>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</si>
  <si>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</si>
  <si>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</si>
  <si>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</si>
  <si>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</si>
  <si>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</si>
  <si>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</si>
  <si>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</si>
  <si>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</si>
  <si>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</si>
  <si>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</si>
  <si>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</si>
  <si>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</si>
  <si>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</si>
  <si>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</si>
  <si>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</si>
  <si>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</si>
  <si>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</si>
  <si>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</si>
  <si>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</si>
  <si>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</si>
  <si>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</si>
  <si>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</si>
  <si>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</si>
  <si>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</si>
  <si>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</si>
  <si>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</si>
  <si>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</si>
  <si>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</si>
  <si>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</si>
  <si>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</si>
  <si>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</si>
  <si>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</si>
  <si>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</si>
  <si>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</si>
  <si>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</si>
  <si>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</si>
  <si>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</si>
  <si>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</si>
  <si>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</si>
  <si>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</si>
  <si>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</si>
  <si>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</si>
  <si>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</si>
  <si>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</si>
  <si>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</si>
  <si>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</si>
  <si>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</si>
  <si>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</si>
  <si>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</si>
  <si>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</si>
  <si>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</si>
  <si>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</si>
  <si>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</si>
  <si>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</si>
  <si>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</si>
  <si>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</si>
  <si>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</si>
  <si>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</si>
  <si>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</si>
  <si>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</si>
  <si>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</si>
  <si>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</si>
  <si>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</si>
  <si>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</si>
  <si>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</si>
  <si>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</si>
  <si>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</si>
  <si>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</si>
  <si>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</si>
  <si>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</si>
  <si>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</si>
  <si>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</si>
  <si>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</si>
  <si>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</si>
  <si>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</si>
  <si>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</si>
  <si>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</si>
  <si>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</si>
  <si>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</si>
  <si>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</si>
  <si>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</si>
  <si>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</si>
  <si>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</si>
  <si>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</si>
  <si>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</si>
  <si>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</si>
  <si>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</si>
  <si>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</si>
  <si>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</si>
  <si>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</si>
  <si>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</si>
  <si>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</si>
  <si>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</si>
  <si>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</si>
  <si>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</si>
  <si>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</si>
  <si>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</si>
  <si>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</si>
  <si>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</si>
  <si>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</si>
  <si>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</si>
  <si>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</si>
  <si>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</si>
  <si>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</si>
  <si>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</si>
  <si>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</si>
  <si>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</si>
  <si>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</si>
  <si>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</si>
  <si>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</si>
  <si>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</si>
  <si>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</si>
  <si>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</si>
  <si>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</si>
  <si>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</si>
  <si>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</si>
  <si>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</si>
  <si>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</si>
  <si>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</si>
  <si>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</si>
  <si>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</si>
  <si>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</si>
  <si>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</si>
  <si>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</si>
  <si>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</si>
  <si>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</si>
  <si>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</si>
  <si>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</si>
  <si>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</si>
  <si>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</si>
  <si>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</si>
  <si>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</si>
  <si>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</si>
  <si>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</si>
  <si>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</si>
  <si>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</si>
  <si>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</si>
  <si>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</si>
  <si>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</si>
  <si>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</si>
  <si>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</si>
  <si>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</si>
  <si>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</si>
  <si>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</si>
  <si>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</si>
  <si>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</si>
  <si>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</si>
  <si>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</si>
  <si>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</si>
  <si>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</si>
  <si>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</si>
  <si>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</si>
  <si>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</si>
  <si>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</si>
  <si>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</si>
  <si>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</si>
  <si>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</si>
  <si>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</si>
  <si>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</si>
  <si>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</si>
  <si>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</si>
  <si>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</si>
  <si>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</si>
  <si>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</si>
  <si>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</si>
  <si>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</si>
  <si>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</si>
  <si>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</si>
  <si>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</si>
  <si>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</si>
  <si>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</si>
  <si>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</si>
  <si>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</si>
  <si>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</si>
  <si>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</si>
  <si>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</si>
  <si>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</si>
  <si>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</si>
  <si>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</si>
  <si>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</si>
  <si>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</si>
  <si>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</si>
  <si>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</si>
  <si>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</si>
  <si>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</si>
  <si>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</si>
  <si>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</si>
  <si>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</si>
  <si>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</si>
  <si>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</si>
  <si>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</si>
  <si>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</si>
  <si>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</si>
  <si>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</si>
  <si>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</si>
  <si>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</si>
  <si>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</si>
  <si>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</si>
  <si>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</si>
  <si>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</si>
  <si>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</si>
  <si>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</si>
  <si>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</si>
  <si>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</si>
  <si>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</si>
  <si>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</si>
  <si>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</si>
  <si>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</si>
  <si>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</si>
  <si>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</si>
  <si>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</si>
  <si>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</si>
  <si>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</si>
  <si>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</si>
  <si>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</si>
  <si>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</si>
  <si>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</si>
  <si>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</si>
  <si>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</si>
  <si>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</si>
  <si>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</si>
  <si>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</si>
  <si>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</si>
  <si>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</si>
  <si>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</si>
  <si>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</si>
  <si>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</si>
  <si>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</si>
  <si>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</si>
  <si>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</si>
  <si>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</si>
  <si>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</si>
  <si>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</si>
  <si>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</si>
  <si>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</si>
  <si>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</si>
  <si>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</si>
  <si>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</si>
  <si>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</si>
  <si>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</si>
  <si>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</si>
  <si>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</si>
  <si>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</si>
  <si>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</si>
  <si>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</si>
  <si>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</si>
  <si>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</si>
  <si>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</si>
  <si>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</si>
  <si>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</si>
  <si>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</si>
  <si>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</si>
  <si>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</si>
  <si>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</si>
  <si>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</si>
  <si>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</si>
  <si>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</si>
  <si>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</si>
  <si>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</si>
  <si>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</si>
  <si>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</si>
  <si>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</si>
  <si>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</si>
  <si>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</si>
  <si>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</si>
  <si>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</si>
  <si>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</si>
  <si>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</si>
  <si>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</si>
  <si>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</si>
  <si>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</si>
  <si>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</si>
  <si>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</si>
  <si>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</si>
  <si>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</si>
  <si>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</si>
  <si>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</si>
  <si>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</si>
  <si>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</si>
  <si>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</si>
  <si>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</si>
  <si>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</si>
  <si>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</si>
  <si>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</si>
  <si>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</si>
  <si>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</si>
  <si>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</si>
  <si>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</si>
  <si>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</si>
  <si>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</si>
  <si>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</si>
  <si>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</si>
  <si>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</si>
  <si>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</si>
  <si>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</si>
  <si>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</si>
  <si>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</si>
  <si>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</si>
  <si>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</si>
  <si>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</si>
  <si>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</si>
  <si>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</si>
  <si>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</si>
  <si>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</si>
  <si>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</si>
  <si>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</si>
  <si>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</si>
  <si>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</si>
  <si>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</si>
  <si>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</si>
  <si>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</si>
  <si>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</si>
  <si>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</si>
  <si>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</si>
  <si>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</si>
  <si>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</si>
  <si>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</si>
  <si>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</si>
  <si>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</si>
  <si>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</si>
  <si>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</si>
  <si>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</si>
  <si>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</si>
  <si>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</si>
  <si>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</si>
  <si>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</si>
  <si>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</si>
  <si>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</si>
  <si>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</si>
  <si>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</si>
  <si>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</si>
  <si>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</si>
  <si>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</si>
  <si>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</si>
  <si>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</si>
  <si>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</si>
  <si>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</si>
  <si>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</si>
  <si>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</si>
  <si>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</si>
  <si>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</si>
  <si>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</si>
  <si>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</si>
  <si>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</si>
  <si>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</si>
  <si>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</si>
  <si>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</si>
  <si>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</si>
  <si>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</si>
  <si>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</si>
  <si>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</si>
  <si>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</si>
  <si>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</si>
  <si>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</si>
  <si>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</si>
  <si>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</si>
  <si>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</si>
  <si>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</si>
  <si>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</si>
  <si>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</si>
  <si>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</si>
  <si>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</si>
  <si>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</si>
  <si>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</si>
  <si>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</si>
  <si>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</si>
  <si>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</si>
  <si>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</si>
  <si>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</si>
  <si>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</si>
  <si>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</si>
  <si>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</si>
  <si>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</si>
  <si>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</si>
  <si>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</si>
  <si>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</si>
  <si>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</si>
  <si>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</si>
  <si>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</si>
  <si>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</si>
  <si>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</si>
  <si>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</si>
  <si>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</si>
  <si>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</si>
  <si>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</si>
  <si>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</si>
  <si>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</si>
  <si>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</si>
  <si>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</si>
  <si>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</si>
  <si>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</si>
  <si>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</si>
  <si>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</si>
  <si>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</si>
  <si>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</si>
  <si>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</si>
  <si>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</si>
  <si>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</si>
  <si>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</si>
  <si>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</si>
  <si>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</si>
  <si>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</si>
  <si>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</si>
  <si>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</si>
  <si>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</si>
  <si>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</si>
  <si>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</si>
  <si>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</si>
  <si>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</si>
  <si>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</si>
  <si>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</si>
  <si>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</si>
  <si>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</si>
  <si>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</si>
  <si>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</si>
  <si>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</si>
  <si>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</si>
  <si>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</si>
  <si>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</si>
  <si>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</si>
  <si>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</si>
  <si>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</si>
  <si>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</si>
  <si>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</si>
  <si>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</si>
  <si>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</si>
  <si>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</si>
  <si>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</si>
  <si>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</si>
  <si>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</si>
  <si>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</si>
  <si>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</si>
  <si>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</si>
  <si>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</si>
  <si>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</si>
  <si>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</si>
  <si>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</si>
  <si>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</si>
  <si>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</si>
  <si>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</si>
  <si>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</si>
  <si>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</si>
  <si>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</si>
  <si>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</si>
  <si>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</si>
  <si>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</si>
  <si>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</si>
  <si>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</si>
  <si>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</si>
  <si>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</si>
  <si>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</si>
  <si>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</si>
  <si>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</si>
  <si>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</si>
  <si>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</si>
  <si>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</si>
  <si>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</si>
  <si>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</si>
  <si>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</si>
  <si>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</si>
  <si>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</si>
  <si>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</si>
  <si>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</si>
  <si>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</si>
  <si>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</si>
  <si>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</si>
  <si>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</si>
  <si>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</si>
  <si>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</si>
  <si>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</si>
  <si>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</si>
  <si>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</si>
  <si>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</si>
  <si>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</si>
  <si>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</si>
  <si>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</si>
  <si>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</si>
  <si>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</si>
  <si>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</si>
  <si>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</si>
  <si>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</si>
  <si>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</si>
  <si>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</si>
  <si>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</si>
  <si>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</si>
  <si>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</si>
  <si>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</si>
  <si>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</si>
  <si>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</si>
  <si>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</si>
  <si>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</si>
  <si>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</si>
  <si>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</si>
  <si>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</si>
  <si>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</si>
  <si>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</si>
  <si>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</si>
  <si>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</si>
  <si>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</si>
  <si>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</si>
  <si>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</si>
  <si>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</si>
  <si>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</si>
  <si>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</si>
  <si>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</si>
  <si>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</si>
  <si>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</si>
  <si>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</si>
  <si>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</si>
  <si>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</si>
  <si>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</si>
  <si>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</si>
  <si>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</si>
  <si>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</si>
  <si>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</si>
  <si>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</si>
  <si>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</si>
  <si>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</si>
  <si>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</si>
  <si>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</si>
  <si>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</si>
  <si>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</si>
  <si>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</si>
  <si>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</si>
  <si>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</si>
  <si>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</si>
  <si>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</si>
  <si>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</si>
  <si>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</si>
  <si>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</si>
  <si>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</si>
  <si>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</si>
  <si>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</si>
  <si>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</si>
  <si>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</si>
  <si>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</si>
  <si>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</si>
  <si>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</si>
  <si>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</si>
  <si>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</si>
  <si>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</si>
  <si>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</si>
  <si>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</si>
  <si>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</si>
  <si>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</si>
  <si>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</si>
  <si>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</si>
  <si>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</si>
  <si>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</si>
  <si>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</si>
  <si>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</si>
  <si>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</si>
  <si>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</si>
  <si>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</si>
  <si>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</si>
  <si>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</si>
  <si>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</si>
  <si>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</si>
  <si>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</si>
  <si>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</si>
  <si>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</si>
  <si>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</si>
  <si>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</si>
  <si>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</si>
  <si>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</si>
  <si>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</si>
  <si>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</si>
  <si>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</si>
  <si>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</si>
  <si>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</si>
  <si>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</si>
  <si>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</si>
  <si>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</si>
  <si>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</si>
  <si>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</si>
  <si>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</si>
  <si>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</si>
  <si>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</si>
  <si>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</si>
  <si>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</si>
  <si>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</si>
  <si>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</si>
  <si>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</si>
  <si>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</si>
  <si>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</si>
  <si>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</si>
  <si>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</si>
  <si>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</si>
  <si>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</si>
  <si>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</si>
  <si>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</si>
  <si>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</si>
  <si>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</si>
  <si>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</si>
  <si>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</si>
  <si>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</si>
  <si>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</si>
  <si>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</si>
  <si>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</si>
  <si>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</si>
  <si>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</si>
  <si>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</si>
  <si>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</si>
  <si>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</si>
  <si>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</si>
  <si>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</si>
  <si>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</si>
  <si>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</si>
  <si>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</si>
  <si>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</si>
  <si>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</si>
  <si>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</si>
  <si>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</si>
  <si>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</si>
  <si>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</si>
  <si>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</si>
  <si>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</si>
  <si>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</si>
  <si>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</si>
  <si>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</si>
  <si>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</si>
  <si>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</si>
  <si>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</si>
  <si>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</si>
  <si>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</si>
  <si>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</si>
  <si>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</si>
  <si>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</si>
  <si>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</si>
  <si>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</si>
  <si>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</si>
  <si>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</si>
  <si>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</si>
  <si>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</si>
  <si>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</si>
  <si>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</si>
  <si>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</si>
  <si>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</si>
  <si>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</si>
  <si>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</si>
  <si>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</si>
  <si>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</si>
  <si>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</si>
  <si>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</si>
  <si>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</si>
  <si>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</si>
  <si>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</si>
  <si>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</si>
  <si>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</si>
  <si>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</si>
  <si>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</si>
  <si>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</si>
  <si>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</si>
  <si>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</si>
  <si>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</si>
  <si>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</si>
  <si>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</si>
  <si>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</si>
  <si>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</si>
  <si>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</si>
  <si>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</si>
  <si>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</si>
  <si>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</si>
  <si>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</si>
  <si>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</si>
  <si>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</si>
  <si>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</si>
  <si>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</si>
  <si>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</si>
  <si>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</si>
  <si>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</si>
  <si>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</si>
  <si>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</si>
  <si>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</si>
  <si>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</si>
  <si>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</si>
  <si>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</si>
  <si>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</si>
  <si>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</si>
  <si>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</si>
  <si>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</si>
  <si>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</si>
  <si>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</si>
  <si>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</si>
  <si>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</si>
  <si>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</si>
  <si>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</si>
  <si>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</si>
  <si>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</si>
  <si>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</si>
  <si>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</si>
  <si>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</si>
  <si>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</si>
  <si>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</si>
  <si>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</si>
  <si>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</si>
  <si>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</si>
  <si>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</si>
  <si>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</si>
  <si>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</si>
  <si>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</si>
  <si>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</si>
  <si>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</si>
  <si>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</si>
  <si>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</si>
  <si>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</si>
  <si>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</si>
  <si>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</si>
  <si>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</si>
  <si>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</si>
  <si>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</si>
  <si>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</si>
  <si>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</si>
  <si>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</si>
  <si>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</si>
  <si>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</si>
  <si>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</si>
  <si>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</si>
  <si>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</si>
  <si>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</si>
  <si>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</si>
  <si>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</si>
  <si>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</si>
  <si>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</si>
  <si>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</si>
  <si>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</si>
  <si>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</si>
  <si>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</si>
  <si>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</si>
  <si>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</si>
  <si>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</si>
  <si>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</si>
  <si>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</si>
  <si>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</si>
  <si>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</si>
  <si>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</si>
  <si>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</si>
  <si>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</si>
  <si>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</si>
  <si>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</si>
  <si>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</si>
  <si>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</si>
  <si>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</si>
  <si>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</si>
  <si>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</si>
  <si>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</si>
  <si>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</si>
  <si>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</si>
  <si>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</si>
  <si>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</si>
  <si>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</si>
  <si>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</si>
  <si>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</si>
  <si>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</si>
  <si>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</si>
  <si>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</si>
  <si>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</si>
  <si>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</si>
  <si>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</si>
  <si>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</si>
  <si>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</si>
  <si>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</si>
  <si>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</si>
  <si>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</si>
  <si>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</si>
  <si>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</si>
  <si>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</si>
  <si>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</si>
  <si>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</si>
  <si>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</si>
  <si>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</si>
  <si>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</si>
  <si>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</si>
  <si>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</si>
  <si>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</si>
  <si>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</si>
  <si>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</si>
  <si>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</si>
  <si>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</si>
  <si>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</si>
  <si>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</si>
  <si>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</si>
  <si>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</si>
  <si>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</si>
  <si>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</si>
  <si>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</si>
  <si>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</si>
  <si>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</si>
  <si>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</si>
  <si>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</si>
  <si>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</si>
  <si>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</si>
  <si>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</si>
  <si>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</si>
  <si>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</si>
  <si>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</si>
  <si>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</si>
  <si>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</si>
  <si>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</si>
  <si>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</si>
  <si>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</si>
  <si>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</si>
  <si>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</si>
  <si>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</si>
  <si>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</si>
  <si>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</si>
  <si>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</si>
  <si>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</si>
  <si>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</si>
  <si>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</si>
  <si>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</si>
  <si>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</si>
  <si>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</si>
  <si>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</si>
  <si>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</si>
  <si>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</si>
  <si>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</si>
  <si>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</si>
  <si>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</si>
  <si>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</si>
  <si>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</si>
  <si>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</si>
  <si>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</si>
  <si>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</si>
  <si>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</si>
  <si>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</si>
  <si>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</si>
  <si>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</si>
  <si>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</si>
  <si>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</si>
  <si>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</si>
  <si>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</si>
  <si>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</si>
  <si>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</si>
  <si>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</si>
  <si>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</si>
  <si>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</si>
  <si>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</si>
  <si>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</si>
  <si>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</si>
  <si>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</si>
  <si>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</si>
  <si>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</si>
  <si>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</si>
  <si>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</si>
  <si>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</si>
  <si>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</si>
  <si>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</si>
  <si>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</si>
  <si>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</si>
  <si>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</si>
  <si>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</si>
  <si>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</si>
  <si>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</si>
  <si>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</si>
  <si>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</si>
  <si>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</si>
  <si>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</si>
  <si>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</si>
  <si>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</si>
  <si>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</si>
  <si>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</si>
  <si>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</si>
  <si>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</si>
  <si>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</si>
  <si>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</si>
  <si>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</si>
  <si>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</si>
  <si>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</si>
  <si>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</si>
  <si>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</si>
  <si>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</si>
  <si>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</si>
  <si>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</si>
  <si>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</si>
  <si>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</si>
  <si>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</si>
  <si>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</si>
  <si>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</si>
  <si>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</si>
  <si>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</si>
  <si>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</si>
  <si>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</si>
  <si>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</si>
  <si>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</si>
  <si>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</si>
  <si>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</si>
  <si>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</si>
  <si>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</si>
  <si>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</si>
  <si>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</si>
  <si>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</si>
  <si>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</si>
  <si>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</si>
  <si>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</si>
  <si>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</si>
  <si>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</si>
  <si>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</si>
  <si>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</si>
  <si>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</si>
  <si>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</si>
  <si>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</si>
  <si>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</si>
  <si>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</si>
  <si>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</si>
  <si>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</si>
  <si>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</si>
  <si>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</si>
  <si>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</si>
  <si>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</si>
  <si>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</si>
  <si>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</si>
  <si>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</si>
  <si>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</si>
  <si>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</si>
  <si>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</si>
  <si>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</si>
  <si>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</si>
  <si>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</si>
  <si>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</si>
  <si>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</si>
  <si>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</si>
  <si>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</si>
  <si>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</si>
  <si>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</si>
  <si>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</si>
  <si>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</si>
  <si>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</si>
  <si>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</si>
  <si>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</si>
  <si>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</si>
  <si>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</si>
  <si>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</si>
  <si>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</si>
  <si>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</si>
  <si>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</si>
  <si>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</si>
  <si>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</si>
  <si>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</si>
  <si>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</si>
  <si>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</si>
  <si>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</si>
  <si>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</si>
  <si>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</si>
  <si>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</si>
  <si>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</si>
  <si>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</si>
  <si>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</si>
  <si>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</si>
  <si>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</si>
  <si>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</si>
  <si>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</si>
  <si>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</si>
  <si>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</si>
  <si>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</si>
  <si>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</si>
  <si>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</si>
  <si>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</si>
  <si>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</si>
  <si>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</si>
  <si>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</si>
  <si>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</si>
  <si>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</si>
  <si>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</si>
  <si>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</si>
  <si>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</si>
  <si>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</si>
  <si>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</si>
  <si>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</si>
  <si>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</si>
  <si>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</si>
  <si>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</si>
  <si>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</si>
  <si>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</si>
  <si>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</si>
  <si>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</si>
  <si>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</si>
  <si>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</si>
  <si>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</si>
  <si>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</si>
  <si>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</si>
  <si>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</si>
  <si>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</si>
  <si>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</si>
  <si>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</si>
  <si>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</si>
  <si>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</si>
  <si>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</si>
  <si>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</si>
  <si>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</si>
  <si>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</si>
  <si>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</si>
  <si>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</si>
  <si>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</si>
  <si>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</si>
  <si>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</si>
  <si>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</si>
  <si>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</si>
  <si>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</si>
  <si>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</si>
  <si>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</si>
  <si>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</si>
  <si>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</si>
  <si>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</si>
  <si>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</si>
  <si>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</si>
  <si>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</si>
  <si>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</si>
  <si>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</si>
  <si>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</si>
  <si>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</si>
  <si>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</si>
  <si>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</si>
  <si>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</si>
  <si>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</si>
  <si>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</si>
  <si>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</si>
  <si>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</si>
  <si>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</si>
  <si>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</si>
  <si>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</si>
  <si>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</si>
  <si>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</si>
  <si>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</si>
  <si>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</si>
  <si>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</si>
  <si>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</si>
  <si>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</si>
  <si>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</si>
  <si>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</si>
  <si>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</si>
  <si>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</si>
  <si>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</si>
  <si>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</si>
  <si>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</si>
  <si>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</si>
  <si>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</si>
  <si>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</si>
  <si>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</si>
  <si>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</si>
  <si>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</si>
  <si>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</si>
  <si>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</si>
  <si>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</si>
  <si>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</si>
  <si>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</si>
  <si>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</si>
  <si>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</si>
  <si>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</si>
  <si>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</si>
  <si>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</si>
  <si>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</si>
  <si>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</si>
  <si>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</si>
  <si>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</si>
  <si>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</si>
  <si>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</si>
  <si>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</si>
  <si>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</si>
  <si>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</si>
  <si>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</si>
  <si>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</si>
  <si>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</si>
  <si>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</si>
  <si>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</si>
  <si>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</si>
  <si>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</si>
  <si>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</si>
  <si>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</si>
  <si>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</si>
  <si>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</si>
  <si>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</si>
  <si>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</si>
  <si>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</si>
  <si>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</si>
  <si>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</si>
  <si>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</si>
  <si>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</si>
  <si>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</si>
  <si>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</si>
  <si>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</si>
  <si>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</si>
  <si>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</si>
  <si>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</si>
  <si>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</si>
  <si>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</si>
  <si>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</si>
  <si>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</si>
  <si>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</si>
  <si>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</si>
  <si>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</si>
  <si>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</si>
  <si>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</si>
  <si>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</si>
  <si>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</si>
  <si>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</si>
  <si>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</si>
  <si>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</si>
  <si>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</si>
  <si>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</si>
  <si>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</si>
  <si>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</si>
  <si>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</si>
  <si>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</si>
  <si>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</si>
  <si>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</si>
  <si>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</si>
  <si>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</si>
  <si>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</si>
  <si>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</si>
  <si>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</si>
  <si>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</si>
  <si>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</si>
  <si>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</si>
  <si>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</si>
  <si>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</si>
  <si>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</si>
  <si>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</si>
  <si>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</si>
  <si>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</si>
  <si>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</si>
  <si>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</si>
  <si>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</si>
  <si>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</si>
  <si>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</si>
  <si>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</si>
  <si>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</si>
  <si>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</si>
  <si>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</si>
  <si>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</si>
  <si>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</si>
  <si>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</si>
  <si>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</si>
  <si>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</si>
  <si>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</si>
  <si>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</si>
  <si>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</si>
  <si>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</si>
  <si>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</si>
  <si>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</si>
  <si>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</si>
  <si>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</si>
  <si>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</si>
  <si>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</si>
  <si>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</si>
  <si>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</si>
  <si>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</si>
  <si>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</si>
  <si>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</si>
  <si>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</si>
  <si>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</si>
  <si>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</si>
  <si>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</si>
  <si>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</si>
  <si>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</si>
  <si>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</si>
  <si>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</si>
  <si>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</si>
  <si>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</si>
  <si>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</si>
  <si>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</si>
  <si>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</si>
  <si>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</si>
  <si>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</si>
  <si>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</si>
  <si>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</si>
  <si>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</si>
  <si>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</si>
  <si>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</si>
  <si>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</si>
  <si>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</si>
  <si>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</si>
  <si>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</si>
  <si>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</si>
  <si>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</si>
  <si>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</si>
  <si>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</si>
  <si>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</si>
  <si>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</si>
  <si>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</si>
  <si>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</si>
  <si>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</si>
  <si>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</si>
  <si>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</si>
  <si>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</si>
  <si>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</si>
  <si>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</si>
  <si>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</si>
  <si>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</si>
  <si>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</si>
  <si>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</si>
  <si>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</si>
  <si>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</si>
  <si>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</si>
  <si>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</si>
  <si>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</si>
  <si>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</si>
  <si>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</si>
  <si>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</si>
  <si>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</si>
  <si>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</si>
  <si>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</si>
  <si>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</si>
  <si>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</si>
  <si>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</si>
  <si>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</si>
  <si>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</si>
  <si>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</si>
  <si>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</si>
  <si>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</si>
  <si>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</si>
  <si>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</si>
  <si>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</si>
  <si>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</si>
  <si>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</si>
  <si>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</si>
  <si>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</si>
  <si>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</si>
  <si>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</si>
  <si>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</si>
  <si>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</si>
  <si>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</si>
  <si>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</si>
  <si>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</si>
  <si>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</si>
  <si>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</si>
  <si>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</si>
  <si>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</si>
  <si>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</si>
  <si>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</si>
  <si>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</si>
  <si>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</si>
  <si>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</si>
  <si>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</si>
  <si>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</si>
  <si>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</si>
  <si>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</si>
  <si>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</si>
  <si>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</si>
  <si>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</si>
  <si>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</si>
  <si>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</si>
  <si>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</si>
  <si>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</si>
  <si>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</si>
  <si>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</si>
  <si>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</si>
  <si>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</si>
  <si>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</si>
  <si>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</si>
  <si>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</si>
  <si>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</si>
  <si>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</si>
  <si>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</si>
  <si>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</si>
  <si>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</si>
  <si>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</si>
  <si>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</si>
  <si>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</si>
  <si>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</si>
  <si>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</si>
  <si>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</si>
  <si>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</si>
  <si>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</si>
  <si>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</si>
  <si>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</si>
  <si>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</si>
  <si>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</si>
  <si>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</si>
  <si>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</si>
  <si>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</si>
  <si>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</si>
  <si>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</si>
  <si>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</si>
  <si>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</si>
  <si>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</si>
  <si>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</si>
  <si>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</si>
  <si>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</si>
  <si>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</si>
  <si>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</si>
  <si>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</si>
  <si>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</si>
  <si>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</si>
  <si>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</si>
  <si>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</si>
  <si>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</si>
  <si>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</si>
  <si>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</si>
  <si>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</si>
  <si>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</si>
  <si>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</si>
  <si>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</si>
  <si>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</si>
  <si>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</si>
  <si>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</si>
  <si>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</si>
  <si>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</si>
  <si>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</si>
  <si>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</si>
  <si>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</si>
  <si>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</si>
  <si>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</si>
  <si>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</si>
  <si>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</si>
  <si>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</si>
  <si>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</si>
  <si>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</si>
  <si>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</si>
  <si>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</si>
  <si>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</si>
  <si>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</si>
  <si>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</si>
  <si>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</si>
  <si>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</si>
  <si>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</si>
  <si>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</si>
  <si>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</si>
  <si>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</si>
  <si>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</si>
  <si>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</si>
  <si>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</si>
  <si>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</si>
  <si>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</si>
  <si>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</si>
  <si>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</si>
  <si>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</si>
  <si>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</si>
  <si>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</si>
  <si>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</si>
  <si>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</si>
  <si>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</si>
  <si>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</si>
  <si>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</si>
  <si>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</si>
  <si>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</si>
  <si>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</si>
  <si>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</si>
  <si>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</si>
  <si>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</si>
  <si>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</si>
  <si>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</si>
  <si>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</si>
  <si>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</si>
  <si>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</si>
  <si>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</si>
  <si>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</si>
  <si>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</si>
  <si>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</si>
  <si>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</si>
  <si>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</si>
  <si>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</si>
  <si>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</si>
  <si>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</si>
  <si>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</si>
  <si>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</si>
  <si>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</si>
  <si>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</si>
  <si>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</si>
  <si>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</si>
  <si>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</si>
  <si>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</si>
  <si>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</si>
  <si>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</si>
  <si>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</si>
  <si>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</si>
  <si>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</si>
  <si>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</si>
  <si>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</si>
  <si>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</si>
  <si>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</si>
  <si>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</si>
  <si>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</si>
  <si>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</si>
  <si>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</si>
  <si>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</si>
  <si>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</si>
  <si>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</si>
  <si>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</si>
  <si>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</si>
  <si>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</si>
  <si>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</si>
  <si>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</si>
  <si>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</si>
  <si>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</si>
  <si>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</si>
  <si>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</si>
  <si>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</si>
  <si>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</si>
  <si>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</si>
  <si>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</si>
  <si>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</si>
  <si>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</si>
  <si>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</si>
  <si>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</si>
  <si>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</si>
  <si>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</si>
  <si>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</si>
  <si>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</si>
  <si>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</si>
  <si>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</si>
  <si>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</si>
  <si>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</si>
  <si>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</si>
  <si>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</si>
  <si>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</si>
  <si>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</si>
  <si>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</si>
  <si>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</si>
  <si>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</si>
  <si>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</si>
  <si>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</si>
  <si>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</si>
  <si>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</si>
  <si>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</si>
  <si>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</si>
  <si>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</si>
  <si>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</si>
  <si>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</si>
  <si>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</si>
  <si>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</si>
  <si>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</si>
  <si>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</si>
  <si>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</si>
  <si>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</si>
  <si>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</si>
  <si>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</si>
  <si>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</si>
  <si>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</si>
  <si>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</si>
  <si>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</si>
  <si>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</si>
  <si>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</si>
  <si>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</si>
  <si>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</si>
  <si>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</si>
  <si>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</si>
  <si>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</si>
  <si>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</si>
  <si>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</si>
  <si>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</si>
  <si>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</si>
  <si>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</si>
  <si>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</si>
  <si>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</si>
  <si>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</si>
  <si>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</si>
  <si>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</si>
  <si>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</si>
  <si>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</si>
  <si>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</si>
  <si>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</si>
  <si>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</si>
  <si>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</si>
  <si>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</si>
  <si>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</si>
  <si>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</si>
  <si>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</si>
  <si>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</si>
  <si>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</si>
  <si>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</si>
  <si>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</si>
  <si>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</si>
  <si>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</si>
  <si>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</si>
  <si>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</si>
  <si>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</si>
  <si>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</si>
  <si>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</si>
  <si>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</si>
  <si>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</si>
  <si>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</si>
  <si>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</si>
  <si>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</si>
  <si>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</si>
  <si>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</si>
  <si>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</si>
  <si>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</si>
  <si>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</si>
  <si>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</si>
  <si>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</si>
  <si>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</si>
  <si>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</si>
  <si>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</si>
  <si>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</si>
  <si>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</si>
  <si>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</si>
  <si>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</si>
  <si>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</si>
  <si>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</si>
  <si>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</si>
  <si>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</si>
  <si>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</si>
  <si>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</si>
  <si>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</si>
  <si>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</si>
  <si>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</si>
  <si>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</si>
  <si>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</si>
  <si>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</si>
  <si>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</si>
  <si>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</si>
  <si>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</si>
  <si>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</si>
  <si>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</si>
  <si>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</si>
  <si>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</si>
  <si>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</si>
  <si>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</si>
  <si>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</si>
  <si>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</si>
  <si>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</si>
  <si>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</si>
  <si>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</si>
  <si>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</si>
  <si>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</si>
  <si>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</si>
  <si>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</si>
  <si>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</si>
  <si>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</si>
  <si>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</si>
  <si>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</si>
  <si>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</si>
  <si>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</si>
  <si>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</si>
  <si>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</si>
  <si>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</si>
  <si>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</si>
  <si>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</si>
  <si>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</si>
  <si>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</si>
  <si>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</si>
  <si>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</si>
  <si>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</si>
  <si>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</si>
  <si>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</si>
  <si>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</si>
  <si>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</si>
  <si>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</si>
  <si>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</si>
  <si>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</si>
  <si>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</si>
  <si>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</si>
  <si>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</si>
  <si>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</si>
  <si>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</si>
  <si>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</si>
  <si>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</si>
  <si>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</si>
  <si>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</si>
  <si>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</si>
  <si>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</si>
  <si>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</si>
  <si>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</si>
  <si>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</si>
  <si>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</si>
  <si>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</si>
  <si>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</si>
  <si>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</si>
  <si>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</si>
  <si>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</si>
  <si>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</si>
  <si>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</si>
  <si>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</si>
  <si>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</si>
  <si>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</si>
  <si>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</si>
  <si>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</si>
  <si>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</si>
  <si>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</si>
  <si>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</si>
  <si>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</si>
  <si>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</si>
  <si>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</si>
  <si>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</si>
  <si>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</si>
  <si>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</si>
  <si>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</si>
  <si>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</si>
  <si>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</si>
  <si>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</si>
  <si>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</si>
  <si>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</si>
  <si>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</si>
  <si>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</si>
  <si>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</si>
  <si>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</si>
  <si>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</si>
  <si>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</si>
  <si>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</si>
  <si>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</si>
  <si>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</si>
  <si>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</si>
  <si>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</si>
  <si>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</si>
  <si>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</si>
  <si>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</si>
  <si>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</si>
  <si>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</si>
  <si>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</si>
  <si>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</si>
  <si>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</si>
  <si>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</si>
  <si>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</si>
  <si>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</si>
  <si>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</si>
  <si>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</si>
  <si>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</si>
  <si>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</si>
  <si>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</si>
  <si>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</si>
  <si>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</si>
  <si>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</si>
  <si>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</si>
  <si>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</si>
  <si>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</si>
  <si>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</si>
  <si>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</si>
  <si>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</si>
  <si>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</si>
  <si>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</si>
  <si>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</si>
  <si>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</si>
  <si>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</si>
  <si>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</si>
  <si>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</si>
  <si>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</si>
  <si>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</si>
  <si>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</si>
  <si>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</si>
  <si>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</si>
  <si>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</si>
  <si>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</si>
  <si>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</si>
  <si>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</si>
  <si>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</si>
  <si>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</si>
  <si>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</si>
  <si>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</si>
  <si>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</si>
  <si>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</si>
  <si>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</si>
  <si>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</si>
  <si>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</si>
  <si>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</si>
  <si>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</si>
  <si>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</si>
  <si>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</si>
  <si>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</si>
  <si>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</si>
  <si>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</si>
  <si>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</si>
  <si>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</si>
  <si>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</si>
  <si>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</si>
  <si>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</si>
  <si>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</si>
  <si>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</si>
  <si>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</si>
  <si>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</si>
  <si>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</si>
  <si>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</si>
  <si>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</si>
  <si>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</si>
  <si>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</si>
  <si>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</si>
  <si>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</si>
  <si>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</si>
  <si>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</si>
  <si>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</si>
  <si>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</si>
  <si>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</si>
  <si>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</si>
  <si>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</si>
  <si>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</si>
  <si>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</si>
  <si>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</si>
  <si>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</si>
  <si>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</si>
  <si>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</si>
  <si>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</si>
  <si>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</si>
  <si>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</si>
  <si>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</si>
  <si>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</si>
  <si>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</si>
  <si>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</si>
  <si>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</si>
  <si>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</si>
  <si>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</si>
  <si>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</si>
  <si>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</si>
  <si>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</si>
  <si>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</si>
  <si>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</si>
  <si>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</si>
  <si>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</si>
  <si>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</si>
  <si>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</si>
  <si>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</si>
  <si>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</si>
  <si>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</si>
  <si>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</si>
  <si>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</si>
  <si>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</si>
  <si>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</si>
  <si>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</si>
  <si>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</si>
  <si>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</si>
  <si>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</si>
  <si>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</si>
  <si>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</si>
  <si>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</si>
  <si>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</si>
  <si>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</si>
  <si>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</si>
  <si>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</si>
  <si>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</si>
  <si>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</si>
  <si>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</si>
  <si>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</si>
  <si>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</si>
  <si>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</si>
  <si>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</si>
  <si>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</si>
  <si>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</si>
  <si>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</si>
  <si>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</si>
  <si>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</si>
  <si>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</si>
  <si>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</si>
  <si>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</si>
  <si>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</si>
  <si>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</si>
  <si>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</si>
  <si>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</si>
  <si>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</si>
  <si>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</si>
  <si>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</si>
  <si>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</si>
  <si>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</si>
  <si>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</si>
  <si>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</si>
  <si>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</si>
  <si>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</si>
  <si>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</si>
  <si>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</si>
  <si>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</si>
  <si>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</si>
  <si>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</si>
  <si>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</si>
  <si>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</si>
  <si>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</si>
  <si>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</si>
  <si>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</si>
  <si>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</si>
  <si>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</si>
  <si>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</si>
  <si>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</si>
  <si>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</si>
  <si>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</si>
  <si>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</si>
  <si>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</si>
  <si>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</si>
  <si>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</si>
  <si>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</si>
  <si>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</si>
  <si>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</si>
  <si>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</si>
  <si>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</si>
  <si>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</si>
  <si>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</si>
  <si>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</si>
  <si>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</si>
  <si>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</si>
  <si>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</si>
  <si>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</si>
  <si>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</si>
  <si>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</si>
  <si>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</si>
  <si>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</si>
  <si>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</si>
  <si>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</si>
  <si>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</si>
  <si>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</si>
  <si>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</si>
  <si>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</si>
  <si>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</si>
  <si>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</si>
  <si>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</si>
  <si>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</si>
  <si>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</si>
  <si>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</si>
  <si>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</si>
  <si>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</si>
  <si>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</si>
  <si>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</si>
  <si>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</si>
  <si>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</si>
  <si>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</si>
  <si>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</si>
  <si>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</si>
  <si>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</si>
  <si>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</si>
  <si>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</si>
  <si>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</si>
  <si>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</si>
  <si>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</si>
  <si>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</si>
  <si>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</si>
  <si>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</si>
  <si>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</si>
  <si>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</si>
  <si>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</si>
  <si>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</si>
  <si>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</si>
  <si>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</si>
  <si>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</si>
  <si>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</si>
  <si>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</si>
  <si>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</si>
  <si>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</si>
  <si>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</si>
  <si>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</si>
  <si>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</si>
  <si>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</si>
  <si>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</si>
  <si>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</si>
  <si>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</si>
  <si>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</si>
  <si>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</si>
  <si>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</si>
  <si>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</si>
  <si>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</si>
  <si>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</si>
  <si>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</si>
  <si>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</si>
  <si>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</si>
  <si>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</si>
  <si>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</si>
  <si>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</si>
  <si>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</si>
  <si>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</si>
  <si>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</si>
  <si>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</si>
  <si>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</si>
  <si>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</si>
  <si>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</si>
  <si>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</si>
  <si>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</si>
  <si>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</si>
  <si>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</si>
  <si>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</si>
  <si>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</si>
  <si>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</si>
  <si>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</si>
  <si>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</si>
  <si>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</si>
  <si>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</si>
  <si>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</si>
  <si>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</si>
  <si>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</si>
  <si>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</si>
  <si>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</si>
  <si>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</si>
  <si>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</si>
  <si>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</si>
  <si>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</si>
  <si>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</si>
  <si>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</si>
  <si>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</si>
  <si>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</si>
  <si>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</si>
  <si>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</si>
  <si>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</si>
  <si>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</si>
  <si>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</si>
  <si>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</si>
  <si>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</si>
  <si>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</si>
  <si>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</si>
  <si>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</si>
  <si>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</si>
  <si>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</si>
  <si>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</si>
  <si>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</si>
  <si>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</si>
  <si>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</si>
  <si>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</si>
  <si>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</si>
  <si>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</si>
  <si>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</si>
  <si>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</si>
  <si>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</si>
  <si>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</si>
  <si>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</si>
  <si>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</si>
  <si>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</si>
  <si>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</si>
  <si>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</si>
  <si>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</si>
  <si>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</si>
  <si>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</si>
  <si>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</si>
  <si>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</si>
  <si>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</si>
  <si>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</si>
  <si>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</si>
  <si>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</si>
  <si>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</si>
  <si>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</si>
  <si>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</si>
  <si>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</si>
  <si>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</si>
  <si>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</si>
  <si>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</si>
  <si>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</si>
  <si>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</si>
  <si>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</si>
  <si>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</si>
  <si>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</si>
  <si>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</si>
  <si>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</si>
  <si>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</si>
  <si>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</si>
  <si>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</si>
  <si>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</si>
  <si>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</si>
  <si>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</si>
  <si>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</si>
  <si>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</si>
  <si>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</si>
  <si>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</si>
  <si>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</si>
  <si>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</si>
  <si>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</si>
  <si>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</si>
  <si>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</si>
  <si>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</si>
  <si>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</si>
  <si>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</si>
  <si>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</si>
  <si>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</si>
  <si>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</si>
  <si>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</si>
  <si>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</si>
  <si>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</si>
  <si>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</si>
  <si>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</si>
  <si>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</si>
  <si>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</si>
  <si>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</si>
  <si>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</si>
  <si>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</si>
  <si>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</si>
  <si>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</si>
  <si>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</si>
  <si>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</si>
  <si>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</si>
  <si>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</si>
  <si>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</si>
  <si>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</si>
  <si>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</si>
  <si>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</si>
  <si>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</si>
  <si>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</si>
  <si>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</si>
  <si>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</si>
  <si>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</si>
  <si>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</si>
  <si>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</si>
  <si>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</si>
  <si>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</si>
  <si>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</si>
  <si>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</si>
  <si>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</si>
  <si>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</si>
  <si>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</si>
  <si>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</si>
  <si>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</si>
  <si>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</si>
  <si>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</si>
  <si>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</si>
  <si>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</si>
  <si>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</si>
  <si>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</si>
  <si>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</si>
  <si>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</si>
  <si>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</si>
  <si>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</si>
  <si>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</si>
  <si>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</si>
  <si>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</si>
  <si>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</si>
  <si>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</si>
  <si>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</si>
  <si>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</si>
  <si>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</si>
  <si>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</si>
  <si>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</si>
  <si>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</si>
  <si>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</si>
  <si>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</si>
  <si>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</si>
  <si>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</si>
  <si>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</si>
  <si>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</si>
  <si>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</si>
  <si>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</si>
  <si>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</si>
  <si>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</si>
  <si>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</si>
  <si>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</si>
  <si>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</si>
  <si>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</si>
  <si>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</si>
  <si>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</si>
  <si>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</si>
  <si>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</si>
  <si>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</si>
  <si>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</si>
  <si>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</si>
  <si>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</si>
  <si>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</si>
  <si>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</si>
  <si>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</si>
  <si>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</si>
  <si>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</si>
  <si>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</si>
  <si>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</si>
  <si>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</si>
  <si>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</si>
  <si>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</si>
  <si>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</si>
  <si>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</si>
  <si>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</si>
  <si>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</si>
  <si>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</si>
  <si>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</si>
  <si>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</si>
  <si>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</si>
  <si>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</si>
  <si>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</si>
  <si>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</si>
  <si>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</si>
  <si>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</si>
  <si>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</si>
  <si>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</si>
  <si>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</si>
  <si>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</si>
  <si>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</si>
  <si>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</si>
  <si>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</si>
  <si>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</si>
  <si>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</si>
  <si>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</si>
  <si>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</si>
  <si>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</si>
  <si>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</si>
  <si>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</si>
  <si>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</si>
  <si>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</si>
  <si>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</si>
  <si>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</si>
  <si>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</si>
  <si>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</si>
  <si>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</si>
  <si>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</si>
  <si>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</si>
  <si>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</si>
  <si>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</si>
  <si>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</si>
  <si>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</si>
  <si>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</si>
  <si>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</si>
  <si>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</si>
  <si>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</si>
  <si>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</si>
  <si>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</si>
  <si>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</si>
  <si>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</si>
  <si>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</si>
  <si>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</si>
  <si>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</si>
  <si>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</si>
  <si>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</si>
  <si>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</si>
  <si>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</si>
  <si>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</si>
  <si>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</si>
  <si>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</si>
  <si>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</si>
  <si>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</si>
  <si>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</si>
  <si>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</si>
  <si>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</si>
  <si>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</si>
  <si>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</si>
  <si>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</si>
  <si>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</si>
  <si>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</si>
  <si>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</si>
  <si>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</si>
  <si>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</si>
  <si>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</si>
  <si>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</si>
  <si>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</si>
  <si>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</si>
  <si>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</si>
  <si>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</si>
  <si>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</si>
  <si>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</si>
  <si>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</si>
  <si>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</si>
  <si>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</si>
  <si>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</si>
  <si>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</si>
  <si>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</si>
  <si>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</si>
  <si>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</si>
  <si>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</si>
  <si>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</si>
  <si>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</si>
  <si>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</si>
  <si>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</si>
  <si>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</si>
  <si>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</si>
  <si>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</si>
  <si>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</si>
  <si>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</si>
  <si>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</si>
  <si>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</si>
  <si>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</si>
  <si>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</si>
  <si>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</si>
  <si>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</si>
  <si>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</si>
  <si>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</si>
  <si>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</si>
  <si>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</si>
  <si>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</si>
  <si>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</si>
  <si>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</si>
  <si>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</si>
  <si>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</si>
  <si>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</si>
  <si>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</si>
  <si>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</si>
  <si>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</si>
  <si>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</si>
  <si>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</si>
  <si>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</si>
  <si>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</si>
  <si>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</si>
  <si>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</si>
  <si>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</si>
  <si>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</si>
  <si>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</si>
  <si>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</si>
  <si>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</si>
  <si>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</si>
  <si>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</si>
  <si>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</si>
  <si>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</si>
  <si>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</si>
  <si>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</si>
  <si>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</si>
  <si>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</si>
  <si>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</si>
  <si>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</si>
  <si>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</si>
  <si>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</si>
  <si>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</si>
  <si>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</si>
  <si>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</si>
  <si>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</si>
  <si>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</si>
  <si>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</si>
  <si>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</si>
  <si>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</si>
  <si>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</si>
  <si>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</si>
  <si>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</si>
  <si>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</si>
  <si>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</si>
  <si>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</si>
  <si>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</si>
  <si>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</si>
  <si>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</si>
  <si>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</si>
  <si>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</si>
  <si>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</si>
  <si>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</si>
  <si>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</si>
  <si>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</si>
  <si>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</si>
  <si>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</si>
  <si>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</si>
  <si>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</si>
  <si>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</si>
  <si>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</si>
  <si>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</si>
  <si>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</si>
  <si>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</si>
  <si>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</si>
  <si>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</si>
  <si>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</si>
  <si>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</si>
  <si>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</si>
  <si>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</si>
  <si>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</si>
  <si>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</si>
  <si>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</si>
  <si>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</si>
  <si>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</si>
  <si>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</si>
  <si>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</si>
  <si>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</si>
  <si>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</si>
  <si>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</si>
  <si>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</si>
  <si>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</si>
  <si>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</si>
  <si>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</si>
  <si>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</si>
  <si>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</si>
  <si>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</si>
  <si>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</si>
  <si>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</si>
  <si>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</si>
  <si>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</si>
  <si>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</si>
  <si>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</si>
  <si>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</si>
  <si>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</si>
  <si>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</si>
  <si>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</si>
  <si>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</si>
  <si>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</si>
  <si>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</si>
  <si>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</si>
  <si>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</si>
  <si>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</si>
  <si>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</si>
  <si>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</si>
  <si>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</si>
  <si>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</si>
  <si>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</si>
  <si>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</si>
  <si>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</si>
  <si>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</si>
  <si>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</si>
  <si>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</si>
  <si>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</si>
  <si>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</si>
  <si>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</si>
  <si>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</si>
  <si>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</si>
  <si>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</si>
  <si>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</si>
  <si>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</si>
  <si>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</si>
  <si>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</si>
  <si>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</si>
  <si>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</si>
  <si>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</si>
  <si>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</si>
  <si>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</si>
  <si>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</si>
  <si>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</si>
  <si>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</si>
  <si>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</si>
  <si>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</si>
  <si>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</si>
  <si>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</si>
  <si>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</si>
  <si>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</si>
  <si>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</si>
  <si>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</si>
  <si>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</si>
  <si>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</si>
  <si>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</si>
  <si>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</si>
  <si>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</si>
  <si>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</si>
  <si>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</si>
  <si>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</si>
  <si>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</si>
  <si>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</si>
  <si>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</si>
  <si>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</si>
  <si>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</si>
  <si>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</si>
  <si>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</si>
  <si>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</si>
  <si>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</si>
  <si>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</si>
  <si>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</si>
  <si>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</si>
  <si>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</si>
  <si>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</si>
  <si>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</si>
  <si>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</si>
  <si>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</si>
  <si>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</si>
  <si>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</si>
  <si>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</si>
  <si>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</si>
  <si>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</si>
  <si>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</si>
  <si>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</si>
  <si>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</si>
  <si>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</si>
  <si>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</si>
  <si>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</si>
  <si>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</si>
  <si>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</si>
  <si>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</si>
  <si>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</si>
  <si>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</si>
  <si>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</si>
  <si>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</si>
  <si>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</si>
  <si>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</si>
  <si>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</si>
  <si>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</si>
  <si>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</si>
  <si>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</si>
  <si>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</si>
  <si>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</si>
  <si>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</si>
  <si>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</si>
  <si>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</si>
  <si>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</si>
  <si>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</si>
  <si>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</si>
  <si>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</si>
  <si>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</si>
  <si>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</si>
  <si>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</si>
  <si>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</si>
  <si>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</si>
  <si>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</si>
  <si>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</si>
  <si>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</si>
  <si>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</si>
  <si>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</si>
  <si>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</si>
  <si>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</si>
  <si>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</si>
  <si>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</si>
  <si>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</si>
  <si>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</si>
  <si>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</si>
  <si>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</si>
  <si>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</si>
  <si>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</si>
  <si>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</si>
  <si>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</si>
  <si>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</si>
  <si>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</si>
  <si>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</si>
  <si>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</si>
  <si>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</si>
  <si>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</si>
  <si>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</si>
  <si>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</si>
  <si>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</si>
  <si>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</si>
  <si>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</si>
  <si>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</si>
  <si>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</si>
  <si>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</si>
  <si>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</si>
  <si>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</si>
  <si>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</si>
  <si>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</si>
  <si>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</si>
  <si>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</si>
  <si>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</si>
  <si>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</si>
  <si>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</si>
  <si>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</si>
  <si>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</si>
  <si>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</si>
  <si>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</si>
  <si>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</si>
  <si>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</si>
  <si>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</si>
  <si>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</si>
  <si>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</si>
  <si>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</si>
  <si>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</si>
  <si>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</si>
  <si>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</si>
  <si>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</si>
  <si>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</si>
  <si>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</si>
  <si>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</si>
  <si>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</si>
  <si>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</si>
  <si>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</si>
  <si>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</si>
  <si>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</si>
  <si>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</si>
  <si>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</si>
  <si>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</si>
  <si>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</si>
  <si>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</si>
  <si>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</si>
  <si>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</si>
  <si>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</si>
  <si>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</si>
  <si>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</si>
  <si>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</si>
  <si>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</si>
  <si>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</si>
  <si>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</si>
  <si>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</si>
  <si>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</si>
  <si>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</si>
  <si>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</si>
  <si>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</si>
  <si>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</si>
  <si>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</si>
  <si>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</si>
  <si>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</si>
  <si>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</si>
  <si>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</si>
  <si>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</si>
  <si>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</si>
  <si>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</si>
  <si>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</si>
  <si>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</si>
  <si>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</si>
  <si>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</si>
  <si>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</si>
  <si>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</si>
  <si>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</si>
  <si>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</si>
  <si>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</si>
  <si>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</si>
  <si>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</si>
  <si>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</si>
  <si>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</si>
  <si>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</si>
  <si>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</si>
  <si>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</si>
  <si>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</si>
  <si>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</si>
  <si>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</si>
  <si>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</si>
  <si>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</si>
  <si>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</si>
  <si>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</si>
  <si>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</si>
  <si>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</si>
  <si>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</si>
  <si>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</si>
  <si>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</si>
  <si>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</si>
  <si>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</si>
  <si>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</si>
  <si>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</si>
  <si>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</si>
  <si>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</si>
  <si>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</si>
  <si>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</si>
  <si>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</si>
  <si>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</si>
  <si>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</si>
  <si>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</si>
  <si>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</si>
  <si>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</si>
  <si>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</si>
  <si>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</si>
  <si>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</si>
  <si>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</si>
  <si>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</si>
  <si>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</si>
  <si>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</si>
  <si>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</si>
  <si>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</si>
  <si>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</si>
  <si>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</si>
  <si>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</si>
  <si>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</si>
  <si>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</si>
  <si>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</si>
  <si>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</si>
  <si>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</si>
  <si>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</si>
  <si>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</si>
  <si>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</si>
  <si>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</si>
  <si>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</si>
  <si>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</si>
  <si>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</si>
  <si>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</si>
  <si>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</si>
  <si>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</si>
  <si>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</si>
  <si>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</si>
  <si>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</si>
  <si>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</si>
  <si>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</si>
  <si>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</si>
  <si>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</si>
  <si>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</si>
  <si>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</si>
  <si>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</si>
  <si>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</si>
  <si>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</si>
  <si>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</si>
  <si>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</si>
  <si>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</si>
  <si>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</si>
  <si>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</si>
  <si>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</si>
  <si>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</si>
  <si>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</si>
  <si>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</si>
  <si>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</si>
  <si>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</si>
  <si>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</si>
  <si>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</si>
  <si>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</si>
  <si>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</si>
  <si>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</si>
  <si>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</si>
  <si>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</si>
  <si>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</si>
  <si>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</si>
  <si>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</si>
  <si>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</si>
  <si>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</si>
  <si>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</si>
  <si>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</si>
  <si>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</si>
  <si>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</si>
  <si>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</si>
  <si>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</si>
  <si>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</si>
  <si>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</si>
  <si>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</si>
  <si>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</si>
  <si>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</si>
  <si>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</si>
  <si>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</si>
  <si>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</si>
  <si>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</si>
  <si>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</si>
  <si>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</si>
  <si>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</si>
  <si>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</si>
  <si>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</si>
  <si>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</si>
  <si>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</si>
  <si>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</si>
  <si>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</si>
  <si>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</si>
  <si>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</si>
  <si>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</si>
  <si>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</si>
  <si>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</si>
  <si>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</si>
  <si>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</si>
  <si>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</si>
  <si>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</si>
  <si>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</si>
  <si>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</si>
  <si>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</si>
  <si>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</si>
  <si>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</si>
  <si>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</si>
  <si>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</si>
  <si>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</si>
  <si>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</si>
  <si>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</si>
  <si>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</si>
  <si>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</si>
  <si>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</si>
  <si>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</si>
  <si>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</si>
  <si>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</si>
  <si>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</si>
  <si>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</si>
  <si>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</si>
  <si>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</si>
  <si>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</si>
  <si>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</si>
  <si>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</si>
  <si>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</si>
  <si>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</si>
  <si>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</si>
  <si>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</si>
  <si>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</si>
  <si>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</si>
  <si>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</si>
  <si>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</si>
  <si>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</si>
  <si>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</si>
  <si>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</si>
  <si>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</si>
  <si>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</si>
  <si>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</si>
  <si>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</si>
  <si>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</si>
  <si>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</si>
  <si>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</si>
  <si>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</si>
  <si>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</si>
  <si>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</si>
  <si>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</si>
  <si>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</si>
  <si>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</si>
  <si>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</si>
  <si>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</si>
  <si>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</si>
  <si>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</si>
  <si>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</si>
  <si>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</si>
  <si>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</si>
  <si>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</si>
  <si>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</si>
  <si>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</si>
  <si>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</si>
  <si>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</si>
  <si>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</si>
  <si>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</si>
  <si>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</si>
  <si>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</si>
  <si>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</si>
  <si>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</si>
  <si>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</si>
  <si>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</si>
  <si>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</si>
  <si>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</si>
  <si>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</si>
  <si>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</si>
  <si>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</si>
  <si>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</si>
  <si>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</si>
  <si>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</si>
  <si>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</si>
  <si>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</si>
  <si>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</si>
  <si>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</si>
  <si>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</si>
  <si>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</si>
  <si>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</si>
  <si>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</si>
  <si>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</si>
  <si>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</si>
  <si>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</si>
  <si>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</si>
  <si>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</si>
  <si>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</si>
  <si>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</si>
  <si>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</si>
  <si>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</si>
  <si>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</si>
  <si>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</si>
  <si>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</si>
  <si>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</si>
  <si>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</si>
  <si>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</si>
  <si>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</si>
  <si>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</si>
  <si>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</si>
  <si>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</si>
  <si>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</si>
  <si>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</si>
  <si>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</si>
  <si>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</si>
  <si>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</si>
  <si>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</si>
  <si>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</si>
  <si>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</si>
  <si>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</si>
  <si>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</si>
  <si>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</si>
  <si>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</si>
  <si>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</si>
  <si>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</si>
  <si>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</si>
  <si>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</si>
  <si>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</si>
  <si>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</si>
  <si>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</si>
  <si>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</si>
  <si>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</si>
  <si>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</si>
  <si>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</si>
  <si>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</si>
  <si>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</si>
  <si>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</si>
  <si>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</si>
  <si>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</si>
  <si>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</si>
  <si>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</si>
  <si>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</si>
  <si>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</si>
  <si>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</si>
  <si>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</si>
  <si>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</si>
  <si>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</si>
  <si>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</si>
  <si>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</si>
  <si>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</si>
  <si>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</si>
  <si>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</si>
  <si>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</si>
  <si>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</si>
  <si>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</si>
  <si>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</si>
  <si>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</si>
  <si>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</si>
  <si>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</si>
  <si>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</si>
  <si>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</si>
  <si>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</si>
  <si>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</si>
  <si>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</si>
  <si>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</si>
  <si>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</si>
  <si>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</si>
  <si>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</si>
  <si>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</si>
  <si>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</si>
  <si>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</si>
  <si>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</si>
  <si>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</si>
  <si>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</si>
  <si>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</si>
  <si>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</si>
  <si>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</si>
  <si>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</si>
  <si>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</si>
  <si>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</si>
  <si>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</si>
  <si>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</si>
  <si>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</si>
  <si>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</si>
  <si>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</si>
  <si>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</si>
  <si>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</si>
  <si>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</si>
  <si>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</si>
  <si>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</si>
  <si>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</si>
  <si>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</si>
  <si>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</si>
  <si>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</si>
  <si>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</si>
  <si>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</si>
  <si>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</si>
  <si>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</si>
  <si>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</si>
  <si>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</si>
  <si>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</si>
  <si>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</si>
  <si>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</si>
  <si>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</si>
  <si>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</si>
  <si>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</si>
  <si>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</si>
  <si>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</si>
  <si>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</si>
  <si>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</si>
  <si>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</si>
  <si>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</si>
  <si>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</si>
  <si>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</si>
  <si>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</si>
  <si>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</si>
  <si>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</si>
  <si>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</si>
  <si>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</si>
  <si>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</si>
  <si>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</si>
  <si>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</si>
  <si>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</si>
  <si>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</si>
  <si>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</si>
  <si>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</si>
  <si>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</si>
  <si>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</si>
  <si>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</si>
  <si>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</si>
  <si>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</si>
  <si>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</si>
  <si>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</si>
  <si>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</si>
  <si>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</si>
  <si>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</si>
  <si>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</si>
  <si>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</si>
  <si>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</si>
  <si>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</si>
  <si>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</si>
  <si>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</si>
  <si>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</si>
  <si>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</si>
  <si>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</si>
  <si>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</si>
  <si>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</si>
  <si>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</si>
  <si>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</si>
  <si>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</si>
  <si>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</si>
  <si>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</si>
  <si>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</si>
  <si>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</si>
  <si>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</si>
  <si>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</si>
  <si>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</si>
  <si>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</si>
  <si>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</si>
  <si>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</si>
  <si>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</si>
  <si>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</si>
  <si>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</si>
  <si>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</si>
  <si>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</si>
  <si>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</si>
  <si>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</si>
  <si>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</si>
  <si>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</si>
  <si>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</si>
  <si>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</si>
  <si>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</si>
  <si>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</si>
  <si>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</si>
  <si>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</si>
  <si>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</si>
  <si>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</si>
  <si>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</si>
  <si>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</si>
  <si>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</si>
  <si>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</si>
  <si>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</si>
  <si>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</si>
  <si>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</si>
  <si>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</si>
  <si>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</si>
  <si>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</si>
  <si>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</si>
  <si>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</si>
  <si>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</si>
  <si>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</si>
  <si>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</si>
  <si>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</si>
  <si>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</si>
  <si>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</si>
  <si>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</si>
  <si>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</si>
  <si>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</si>
  <si>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</si>
  <si>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</si>
  <si>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</si>
  <si>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</si>
  <si>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</si>
  <si>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</si>
  <si>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</si>
  <si>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</si>
  <si>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</si>
  <si>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</si>
  <si>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</si>
  <si>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</si>
  <si>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</si>
  <si>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</si>
  <si>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</si>
  <si>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</si>
  <si>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</si>
  <si>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</si>
  <si>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</si>
  <si>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</si>
  <si>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</si>
  <si>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</si>
  <si>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</si>
  <si>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</si>
  <si>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</si>
  <si>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</si>
  <si>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</si>
  <si>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</si>
  <si>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</si>
  <si>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</si>
  <si>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</si>
  <si>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</si>
  <si>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</si>
  <si>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</si>
  <si>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</si>
  <si>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</si>
  <si>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</si>
  <si>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</si>
  <si>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</si>
  <si>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</si>
  <si>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</si>
  <si>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</si>
  <si>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</si>
  <si>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</si>
  <si>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</si>
  <si>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</si>
  <si>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</si>
  <si>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</si>
  <si>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</si>
  <si>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</si>
  <si>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</si>
  <si>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</si>
  <si>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</si>
  <si>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</si>
  <si>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</si>
  <si>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</si>
  <si>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</si>
  <si>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</si>
  <si>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</si>
  <si>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</si>
  <si>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</si>
  <si>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</si>
  <si>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</si>
  <si>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</si>
  <si>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</si>
  <si>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</si>
  <si>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</si>
  <si>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</si>
  <si>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</si>
  <si>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</si>
  <si>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</si>
  <si>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</si>
  <si>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</si>
  <si>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</si>
  <si>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</si>
  <si>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</si>
  <si>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</si>
  <si>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</si>
  <si>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</si>
  <si>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</si>
  <si>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</si>
  <si>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</si>
  <si>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</si>
  <si>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</si>
  <si>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</si>
  <si>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</si>
  <si>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</si>
  <si>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</si>
  <si>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</si>
  <si>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</si>
  <si>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</si>
  <si>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</si>
  <si>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</si>
  <si>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</si>
  <si>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</si>
  <si>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</si>
  <si>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</si>
  <si>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</si>
  <si>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</si>
  <si>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</si>
  <si>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</si>
  <si>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</si>
  <si>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</si>
  <si>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</si>
  <si>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</si>
  <si>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</si>
  <si>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</si>
  <si>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</si>
  <si>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</si>
  <si>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</si>
  <si>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</si>
  <si>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</si>
  <si>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</si>
  <si>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</si>
  <si>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</si>
  <si>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</si>
  <si>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</si>
  <si>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</si>
  <si>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</si>
  <si>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</si>
  <si>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</si>
  <si>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</si>
  <si>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</si>
  <si>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</si>
  <si>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</si>
  <si>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</si>
  <si>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</si>
  <si>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</si>
  <si>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</si>
  <si>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</si>
  <si>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</si>
  <si>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</si>
  <si>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</si>
  <si>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</si>
  <si>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</si>
  <si>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</si>
  <si>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</si>
  <si>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</si>
  <si>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</si>
  <si>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</si>
  <si>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</si>
  <si>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</si>
  <si>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</si>
  <si>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</si>
  <si>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</si>
  <si>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</si>
  <si>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</si>
  <si>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</si>
  <si>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</si>
  <si>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</si>
  <si>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</si>
  <si>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</si>
  <si>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</si>
  <si>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</si>
  <si>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</si>
  <si>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</si>
  <si>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</si>
  <si>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</si>
  <si>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</si>
  <si>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</si>
  <si>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</si>
  <si>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</si>
  <si>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</si>
  <si>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</si>
  <si>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</si>
  <si>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</si>
  <si>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</si>
  <si>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</si>
  <si>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</si>
  <si>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CompanyName</t>
  </si>
  <si>
    <t>1 VISION AVIATION</t>
  </si>
  <si>
    <t>AMI METALS, INC.</t>
  </si>
  <si>
    <t>AMI METALS - EUROPE DIVISION</t>
  </si>
  <si>
    <t>AMETEK B &amp; S AIRCRAFT PARTS &amp; ACC., INC.</t>
  </si>
  <si>
    <t>AMETEK ADVANCED INDUSTRIES, INC.</t>
  </si>
  <si>
    <t>AMERITECH DIE &amp; MOLD SOUTH, INC.</t>
  </si>
  <si>
    <t>AMERICUS CORP.</t>
  </si>
  <si>
    <t>AMERICOLD LOGISTICS</t>
  </si>
  <si>
    <t>AMERICAN STRUCTURAL SYSTEMS</t>
  </si>
  <si>
    <t>AMERICAN PRECISION MACHINING LLC</t>
  </si>
  <si>
    <t>AMERICAN METAL WICHITA</t>
  </si>
  <si>
    <t>AMERICAN METAL FABRICATION - WELLINGTON</t>
  </si>
  <si>
    <t>AMERICAN MEATS PROCESSORS L.L.C.</t>
  </si>
  <si>
    <t>AMERICAN CONTROL &amp; ENGINEERING SERVICE</t>
  </si>
  <si>
    <t>ALOFT AEROARCHITECTS</t>
  </si>
  <si>
    <t>ALM TECHNOLOGIES, INC.</t>
  </si>
  <si>
    <t>ALLTITE - NORTH DAKOTA</t>
  </si>
  <si>
    <t>ALLTITE</t>
  </si>
  <si>
    <t>Allied Motion/Emoteq</t>
  </si>
  <si>
    <t>ALLFAST FASTENING SYSTEMS, INC.</t>
  </si>
  <si>
    <t>ALJO-GEFA PRECISION MFG.,LLC</t>
  </si>
  <si>
    <t>ALBERTSON &amp; HEIN, INC.</t>
  </si>
  <si>
    <t>AMI METALS, INC. - CA DIVISION</t>
  </si>
  <si>
    <t>AMI METALS, INC. - TX DIVISION</t>
  </si>
  <si>
    <t>AMI METALS, INC. - WICHITA DIVISION</t>
  </si>
  <si>
    <t>AUSTIN MACHINE, INC.</t>
  </si>
  <si>
    <t>ATTICA ENGINEERING L.L.C.</t>
  </si>
  <si>
    <t>ATLAS SPRING &amp; AXLE CO. INC.</t>
  </si>
  <si>
    <t>ATEC, INC.</t>
  </si>
  <si>
    <t>ASCO AEROSPACE USA LLC</t>
  </si>
  <si>
    <t>ARK VALLEY AERO</t>
  </si>
  <si>
    <t>AREMAC HEAT TREATING - EAST LLC.</t>
  </si>
  <si>
    <t>ARCONIC AEROSPACE CENTER</t>
  </si>
  <si>
    <t>ARCHROCK, INC.</t>
  </si>
  <si>
    <t>ARCHROCK SERVICES, L.P.</t>
  </si>
  <si>
    <t>APSCO INC.</t>
  </si>
  <si>
    <t>API SERVICES</t>
  </si>
  <si>
    <t>API METLAB</t>
  </si>
  <si>
    <t>APAX WICHITA</t>
  </si>
  <si>
    <t>AO AVIATION LLC</t>
  </si>
  <si>
    <t>AMI METALS, INC. NJ DIVISION</t>
  </si>
  <si>
    <t>AMI METALS, INC. MO DIVISION</t>
  </si>
  <si>
    <t>AMI METALS, INC. - WA DIVISION</t>
  </si>
  <si>
    <t>AIT CANADA</t>
  </si>
  <si>
    <t>AIRTECH SUPPLY</t>
  </si>
  <si>
    <t>AIRCRAFT PARTS CORP. Moved to CA 2013</t>
  </si>
  <si>
    <t>AEQUS AERO MACHINE, INC.</t>
  </si>
  <si>
    <t>ADVANCED WELDING TECHNOLOGIES</t>
  </si>
  <si>
    <t>ADVANCED MANUFACTURING TECHNOLOGIES</t>
  </si>
  <si>
    <t>ADVANCED MACHINE, INC.</t>
  </si>
  <si>
    <t>ADVANCED INTEGRATION TECHNOLOGY</t>
  </si>
  <si>
    <t>ADEX MACHINING TECHNOLOGIES</t>
  </si>
  <si>
    <t>ADAMS ELECTRIC, INC.</t>
  </si>
  <si>
    <t>ACME FOUNDRY, INC.</t>
  </si>
  <si>
    <t>ACME COMPANY</t>
  </si>
  <si>
    <t>ACCURUS AEROSPACE WICHITA, LLC</t>
  </si>
  <si>
    <t>ACCURUS AEROSPACE TULSA, LLC</t>
  </si>
  <si>
    <t>ACCUREASY METROLOGIA ABSOLUTE S. DE R.L.</t>
  </si>
  <si>
    <t>ACCURATE SOLUTIONS</t>
  </si>
  <si>
    <t>ACCURATE HOLDINGS LLC</t>
  </si>
  <si>
    <t>ABSOLUTE CAL &amp; CONSULTING SERVICES LLC</t>
  </si>
  <si>
    <t>ABBOTT ALUMINUM, INC.</t>
  </si>
  <si>
    <t>AAT AERO, INC.</t>
  </si>
  <si>
    <t>AAA AIR SUPPORT</t>
  </si>
  <si>
    <t>A.W. BRUEGGEMANN CO., INC.</t>
  </si>
  <si>
    <t>AERO COMPONENTS INC.</t>
  </si>
  <si>
    <t>AERO INSTRUMENTS</t>
  </si>
  <si>
    <t>AERO SPACE CONTROLS CORP.</t>
  </si>
  <si>
    <t>AIRCRAFT INTERIOR PRODUCTS</t>
  </si>
  <si>
    <t>AIRCO SERVICES, LLC</t>
  </si>
  <si>
    <t>AIR SERVICE BASEL AG</t>
  </si>
  <si>
    <t>AIR PLAINS SERVICES CORP</t>
  </si>
  <si>
    <t>AIR CAPITOL DIAL</t>
  </si>
  <si>
    <t>AIR CAPITAL FLIGHT LINE</t>
  </si>
  <si>
    <t>AGCO CORPORATION</t>
  </si>
  <si>
    <t>AUTH-FLORENCE MANUFACTURING</t>
  </si>
  <si>
    <t>AFG ACQUISITION GROUP, LLC</t>
  </si>
  <si>
    <t>AEROSYNC ENGINEERING &amp; HELI-STRUCT. SUPP.</t>
  </si>
  <si>
    <t>AEROSYNC</t>
  </si>
  <si>
    <t>AEROSPACE TURBINE ROTABLES, INC.</t>
  </si>
  <si>
    <t>AEROSPACE TECHNOLOGIES, INC.</t>
  </si>
  <si>
    <t>AEROSPACE SYSTEMS &amp; COMPONENTS</t>
  </si>
  <si>
    <t>AERO-MACH LABS, INC.</t>
  </si>
  <si>
    <t>AEROCAP PRODUCTS</t>
  </si>
  <si>
    <t>AEROBIND INC.</t>
  </si>
  <si>
    <t>AERO TRANS. PROD. - KEYSTONE GAGE DIV.</t>
  </si>
  <si>
    <t>AERO-TECH ENGINEERING, INC.</t>
  </si>
  <si>
    <t>AUTOMATION-PLUS, INC</t>
  </si>
  <si>
    <t>AVCON INDUSTRIES, INC.</t>
  </si>
  <si>
    <t>BUDDE ENTERPRISES INC.</t>
  </si>
  <si>
    <t>BUCKLEY INDUSTRIES, INC.</t>
  </si>
  <si>
    <t>BTCO INC.</t>
  </si>
  <si>
    <t>BT MACHINE, INC.</t>
  </si>
  <si>
    <t>BRYTAM MANUFACTURING</t>
  </si>
  <si>
    <t>BRUNSON INSTRUMENT CO.</t>
  </si>
  <si>
    <t>BROGDON MACHINE</t>
  </si>
  <si>
    <t>BROADWAY HOME MEDICAL</t>
  </si>
  <si>
    <t>BREK MANUFACTURING CO.</t>
  </si>
  <si>
    <t>BRIJ SYSTEMS, LLC</t>
  </si>
  <si>
    <t>BRIERTON ENGINEERING INC.</t>
  </si>
  <si>
    <t>BRENNER AEROSTRUCTURES</t>
  </si>
  <si>
    <t>BRALCO METALS</t>
  </si>
  <si>
    <t>BRADLEY MACHINE, INC.</t>
  </si>
  <si>
    <t>BRADDOCK METALLURGICAL-DAYTONA</t>
  </si>
  <si>
    <t>BRADDOCK METALLURGICAL, INC. - BOYNTON</t>
  </si>
  <si>
    <t>BRADDOCK METALLURGICAL - JACKSONVILLE</t>
  </si>
  <si>
    <t>BRAD DAVIS</t>
  </si>
  <si>
    <t>BOSCH SECURITY SYSTEMS</t>
  </si>
  <si>
    <t>BOMBARDIER AEROSPACE MEXICO S.A. DE C.V.</t>
  </si>
  <si>
    <t>BUFFCO ENGINEERING</t>
  </si>
  <si>
    <t>BOEING, WINNIPEG DIVISION</t>
  </si>
  <si>
    <t>BUNTING-NEWTON</t>
  </si>
  <si>
    <t>BURKHOLDER MACHINE</t>
  </si>
  <si>
    <t>CARLSON COMPANY, INC.</t>
  </si>
  <si>
    <t>CARGOTEC SOLUTIONS, LLC</t>
  </si>
  <si>
    <t>CARGILL INCORPORATED</t>
  </si>
  <si>
    <t>CARGILL GRAIN AND OILSEED NA (CRUSH)</t>
  </si>
  <si>
    <t>CARGILL DRESSING SAUCES AND OILS</t>
  </si>
  <si>
    <t>CARDEN MACHINE SHOP</t>
  </si>
  <si>
    <t>CAPSTONE CALIBRATION</t>
  </si>
  <si>
    <t>CAMERON SURFACE SYSTEMS - IOLA PLANT</t>
  </si>
  <si>
    <t>CALIBRATION LABORATORY, LLC</t>
  </si>
  <si>
    <t>C.A. PICARD INT.</t>
  </si>
  <si>
    <t>C&amp;M MACHINE HOLDING INC</t>
  </si>
  <si>
    <t>C &amp; M MACHINING, LLC</t>
  </si>
  <si>
    <t>C &amp; C GROUP</t>
  </si>
  <si>
    <t>C &amp; B EQUIPMENT, INC.</t>
  </si>
  <si>
    <t>BYIS MFG LLC</t>
  </si>
  <si>
    <t>BUTLER COUNTY HEALTH DEPARTMENT</t>
  </si>
  <si>
    <t>BURTON MEDICAL LLC</t>
  </si>
  <si>
    <t>BURTON BOILERS</t>
  </si>
  <si>
    <t>BURGER &amp; BROWN ENGINEERING, INC.</t>
  </si>
  <si>
    <t>BOEING DISTRIBUTION SERVICES</t>
  </si>
  <si>
    <t>BODYCOTE THERMAL PROCESSING, INC.-TULSA</t>
  </si>
  <si>
    <t>BD</t>
  </si>
  <si>
    <t>BAVIUS TECHNOLOGIE, INC.</t>
  </si>
  <si>
    <t>BAUMANN SPRINGS USA INC.</t>
  </si>
  <si>
    <t>BATTENFELD-CINCINNATI</t>
  </si>
  <si>
    <t>BARCOR, INC.</t>
  </si>
  <si>
    <t>BALLARD AVIATION, INC.</t>
  </si>
  <si>
    <t>BALCO, INC.</t>
  </si>
  <si>
    <t>BAKER HUGHES</t>
  </si>
  <si>
    <t>BAE SYSTEMS</t>
  </si>
  <si>
    <t>B.W.I. OF KS INC.</t>
  </si>
  <si>
    <t>B&amp;W TRAILER HITCHES</t>
  </si>
  <si>
    <t>B&amp;T MANUFACTURING</t>
  </si>
  <si>
    <t>B&amp;T INDUSTRIES, LLC.</t>
  </si>
  <si>
    <t>B &amp; S SAW &amp; TOOL SERVICE</t>
  </si>
  <si>
    <t>B &amp; G PLATING</t>
  </si>
  <si>
    <t>B &amp; C SPECIALTY PRODUCTS</t>
  </si>
  <si>
    <t>B &amp; B AIRPARTS, INC.</t>
  </si>
  <si>
    <t>AXIOM ENGINEERING INC.</t>
  </si>
  <si>
    <t>AVIATION CONSULTING &amp; ENGINEERING SOL</t>
  </si>
  <si>
    <t>AVIAN PRECISION LLC</t>
  </si>
  <si>
    <t>AVFLIGHT</t>
  </si>
  <si>
    <t>BEHLEN MFG. CO.</t>
  </si>
  <si>
    <t>BELL WELDING &amp; MACHINE</t>
  </si>
  <si>
    <t>BEN J. MIRES</t>
  </si>
  <si>
    <t>BENECOR, INC.</t>
  </si>
  <si>
    <t>BODYCOTE THERMAL PROCESSING, INC.-IDA</t>
  </si>
  <si>
    <t>BODYCOTE THERMAL PROCESSING, INC-PINE ST</t>
  </si>
  <si>
    <t>BODYCOTE - WESTMINSTER</t>
  </si>
  <si>
    <t>BODYCOTE - OKLAHOMA CITY</t>
  </si>
  <si>
    <t>BODYCOTE - FT WORTH AD&amp;E</t>
  </si>
  <si>
    <t>BOB MCCORKLE</t>
  </si>
  <si>
    <t>BOARDMAN</t>
  </si>
  <si>
    <t>BLUE SUN MANUFACTURING</t>
  </si>
  <si>
    <t>OREGON TOOL</t>
  </si>
  <si>
    <t>VOLLRATH COMPANY</t>
  </si>
  <si>
    <t>BLOSSOM MACHINE &amp; MFG., INC.</t>
  </si>
  <si>
    <t>BLANCHARD METALS PROCESSING CO.</t>
  </si>
  <si>
    <t>BLACKHAWK INDUSTRIAL - OMAHA</t>
  </si>
  <si>
    <t>BISHOP AVIATION, INC.</t>
  </si>
  <si>
    <t>BILL MATZEK</t>
  </si>
  <si>
    <t>BIG DOG MOTORCYCLES, LLC</t>
  </si>
  <si>
    <t>BG PRODUCTS, INC. - DERBY</t>
  </si>
  <si>
    <t>BG PRODUCTS, INC - EL DORADO</t>
  </si>
  <si>
    <t>BG PRODUCTS, INC</t>
  </si>
  <si>
    <t>BE-TECHNOLOGIES, LTD</t>
  </si>
  <si>
    <t>BENTON AIRPARK</t>
  </si>
  <si>
    <t>CASCADE ENGINEERING SERVICES, INC.</t>
  </si>
  <si>
    <t>CASCO PACKAWAY</t>
  </si>
  <si>
    <t>CNH AMERICA L.L.C. - CALIBRATION LAB</t>
  </si>
  <si>
    <t>CNC SPECIALTIES</t>
  </si>
  <si>
    <t>CMW INTERNATIONAL INC.</t>
  </si>
  <si>
    <t>CMTSE PRODUCT SPECIALIST</t>
  </si>
  <si>
    <t>CMJ MANUFACTURING</t>
  </si>
  <si>
    <t>CLEARWATER ENGINEERING</t>
  </si>
  <si>
    <t>CLAUDE MANN &amp; ASSOCIATES</t>
  </si>
  <si>
    <t>CLARK MANUFACTURING</t>
  </si>
  <si>
    <t>CIH EQUIPMENT COMPANY, INC.</t>
  </si>
  <si>
    <t>CHROME PLUS INTERNATIONAL - CUSTER CPF</t>
  </si>
  <si>
    <t>CHROME PLUS INT'L - WICHITA</t>
  </si>
  <si>
    <t>CHROME PLUS INTERNATIONAL - MCPHERSON</t>
  </si>
  <si>
    <t>CHROME PLUS INTERNATIONAL - CUSTER</t>
  </si>
  <si>
    <t>CHEYENNE MANUFACTURING INC.</t>
  </si>
  <si>
    <t>CHEROKEE NATION RED WING, LLC</t>
  </si>
  <si>
    <t>CHEROKEE NATION METAL WORKS</t>
  </si>
  <si>
    <t>CHARLES P. OWEN</t>
  </si>
  <si>
    <t>CHANCE OPERATIONS</t>
  </si>
  <si>
    <t>CHAMPIONS MACHINE TOOL SALES</t>
  </si>
  <si>
    <t>CHAMPION INDUSTRIES, INC.</t>
  </si>
  <si>
    <t>CNH AMERICA L.L.C. - ENG. TEST LAB</t>
  </si>
  <si>
    <t>Cessna General Account</t>
  </si>
  <si>
    <t>COBHAM AvCOMM</t>
  </si>
  <si>
    <t>COGENT-LEE MATHEWS</t>
  </si>
  <si>
    <t>COX MACHINE, INC - HARPER DIV</t>
  </si>
  <si>
    <t>COX AIRPARTS, LLC</t>
  </si>
  <si>
    <t>PACCOR</t>
  </si>
  <si>
    <t>COTTONWOOD PEDIATRICS</t>
  </si>
  <si>
    <t>CORNEJO &amp; SONS, INC.</t>
  </si>
  <si>
    <t>CORMER GROUP INDUSTRIES INC.</t>
  </si>
  <si>
    <t>COPERION K-TRON SALINA, INC.</t>
  </si>
  <si>
    <t>TURBOCHARGER SOLUTIONS</t>
  </si>
  <si>
    <t>CONTECH</t>
  </si>
  <si>
    <t>CONSTAR PLASTICS</t>
  </si>
  <si>
    <t>CONSOLIDATED MANUFACTURING, INC.</t>
  </si>
  <si>
    <t>CONCORDIA TECHNOLOGIES</t>
  </si>
  <si>
    <t>COMPLEXX MACHINING</t>
  </si>
  <si>
    <t>COMMUNICATIONS TEST DESIGN, INC.</t>
  </si>
  <si>
    <t>COMMERCIAL AIRCRAFT PRODUCTS, LLC</t>
  </si>
  <si>
    <t>COLWICH GRADE SCHOOL PHYS. ED. DEPT.</t>
  </si>
  <si>
    <t>COLORADO METALLURGICAL SERVICES</t>
  </si>
  <si>
    <t>COLLINS BUS CORPORATION</t>
  </si>
  <si>
    <t>COLLEGE HILL PEDIATRICS</t>
  </si>
  <si>
    <t>COLEMAN COMPANY</t>
  </si>
  <si>
    <t>COLEMAN BEACON PLANT</t>
  </si>
  <si>
    <t>COFFEYVILLE SEKTAM, INC.</t>
  </si>
  <si>
    <t>CESSNA DEPT.713</t>
  </si>
  <si>
    <t>CESSNA DEPT 179</t>
  </si>
  <si>
    <t>CESSNA DEPT 074</t>
  </si>
  <si>
    <t>CENTRAL TEXAS HEAT TREATING</t>
  </si>
  <si>
    <t>CENTRAL POWER SYSTEMS &amp; SERVICES, LLC</t>
  </si>
  <si>
    <t>CENTRAL AIR CONDITIONING COMPANY, INC.</t>
  </si>
  <si>
    <t>CENTERLINE, INC.</t>
  </si>
  <si>
    <t>CEMEX</t>
  </si>
  <si>
    <t>CECO, INC.</t>
  </si>
  <si>
    <t>CECO PIPELINE SERVICES</t>
  </si>
  <si>
    <t>CE MACHINE CO.</t>
  </si>
  <si>
    <t>CDS ENGINEERING</t>
  </si>
  <si>
    <t>CDH INCORPORATED</t>
  </si>
  <si>
    <t>CD CUSTOM ENTERPRISES LLC</t>
  </si>
  <si>
    <t>CAV AEROSPACE</t>
  </si>
  <si>
    <t>CATALYTIC INDUSTRIAL GROUP</t>
  </si>
  <si>
    <t>CASTLE METALS AEROSPACE</t>
  </si>
  <si>
    <t>CASTLE METALS AERO. - ALL HALLOWS CLOSED</t>
  </si>
  <si>
    <t>CASTLE METALS AERO. - 31ST ST DIV.</t>
  </si>
  <si>
    <t>CASTLE METALS</t>
  </si>
  <si>
    <t>Cash</t>
  </si>
  <si>
    <t>CASEY INDUSTRIAL, INC.</t>
  </si>
  <si>
    <t>CENTURION MANUFACTURING</t>
  </si>
  <si>
    <t>CENTURY PLASTICS</t>
  </si>
  <si>
    <t>CERTAINTEED CORP.</t>
  </si>
  <si>
    <t>SOLAR ATMOSPHERES</t>
  </si>
  <si>
    <t>CESSNA AIRCRAFT DEPT. 636</t>
  </si>
  <si>
    <t>CESSNA AIRCRAFT DEPT. 093</t>
  </si>
  <si>
    <t>CESSNA AIRCRAFT DEPT 702 HOSE SHOP</t>
  </si>
  <si>
    <t>CESSNA AIRCRAFT CO., SINGLE ENGINE DIV.</t>
  </si>
  <si>
    <t>CESSNA AIRCRAFT CO.,DEPT 579</t>
  </si>
  <si>
    <t>CESSNA AIRCRAFT CO., SERVICE CENTER</t>
  </si>
  <si>
    <t>CESSNA AIRCRAFT CO., MID-CONTINENT</t>
  </si>
  <si>
    <t>CESSNA AIRCRAFT CO., DEPT. 824</t>
  </si>
  <si>
    <t>CESSNA AIRCRAFT CO., DEPT. 410</t>
  </si>
  <si>
    <t>CESSNA AIRCRAFT CO., DEPT. 352 M/S 1</t>
  </si>
  <si>
    <t>COX MACHINE, INC - WICHITA DIV</t>
  </si>
  <si>
    <t>CESSNA AIRCRAFT CO., DEPT. 352</t>
  </si>
  <si>
    <t>CESSNA AIRCRAFT CO., DEPT. 160 Component Tooling</t>
  </si>
  <si>
    <t>CESSNA AIRCRAFT CO., DEPT. 160</t>
  </si>
  <si>
    <t>CESSNA AIRCRAFT CO., DEPT. 137</t>
  </si>
  <si>
    <t>CESSNA AIRCRAFT CO., DEPT. 134</t>
  </si>
  <si>
    <t>CESSNA AIRCRAFT CO., DEPT. 10</t>
  </si>
  <si>
    <t>CESSNA AIRCRAFT CO., DEPT. 032</t>
  </si>
  <si>
    <t>CESSNA AIRCRAFT CO., DEPT. 031</t>
  </si>
  <si>
    <t>CESSNA AIRCRAFT CO. WCSC, DEPT 573</t>
  </si>
  <si>
    <t>CESSNA AIRCRAFT CO. DEPT 053</t>
  </si>
  <si>
    <t>CESSNA 163 MID-CONTINENT</t>
  </si>
  <si>
    <t>CESSNA AIRCRAFT CO., DEPT. 163P</t>
  </si>
  <si>
    <t>COX MACHINE, INC. - SHEET METAL DIVISION</t>
  </si>
  <si>
    <t>CRAWFORD COUNTY HEALTH DEPARTMENT</t>
  </si>
  <si>
    <t>ENTZ AERODYNE COMPANY</t>
  </si>
  <si>
    <t>ENERSYS DELAWARE INC.</t>
  </si>
  <si>
    <t>ENDURALOCK</t>
  </si>
  <si>
    <t>EMOTEQ CORPORATION</t>
  </si>
  <si>
    <t>EMMERT WELDING AND MANUFACTURING</t>
  </si>
  <si>
    <t>EMINENCE MANUFACTURING, INC.</t>
  </si>
  <si>
    <t>ELKHORN VALLEY PACKING</t>
  </si>
  <si>
    <t>ELEMENT MATERIALS TECHNOLOGY DALEVILLE</t>
  </si>
  <si>
    <t>ELECTRO-METHODS, INC.</t>
  </si>
  <si>
    <t>EL PASO TEST EQUIPMENT LLC</t>
  </si>
  <si>
    <t>EL DORADO CLINIC</t>
  </si>
  <si>
    <t>EDWARD COATS</t>
  </si>
  <si>
    <t>ECK &amp; ECK MACHINE CO.</t>
  </si>
  <si>
    <t>EBSCO SPRING CO., INC.</t>
  </si>
  <si>
    <t>EATON CORPORATION</t>
  </si>
  <si>
    <t>EAS CORPORATION</t>
  </si>
  <si>
    <t>EARL BAKER CO.</t>
  </si>
  <si>
    <t>EAGLEMED LLC</t>
  </si>
  <si>
    <t>EAGLE ENTERPRISES, INC.</t>
  </si>
  <si>
    <t>DYTECH SOLUTIONS INTERNATIONAL, INC.</t>
  </si>
  <si>
    <t>ENVISION INDUSTRIES, INC.</t>
  </si>
  <si>
    <t>DYNAMIC SOLUTIONS</t>
  </si>
  <si>
    <t>EPM</t>
  </si>
  <si>
    <t>ERNEST - SPENCER METALS, INC.</t>
  </si>
  <si>
    <t>FAIRMOUNT TECHNOLOGIES LLC</t>
  </si>
  <si>
    <t>FAGRON STERILE SERVICES</t>
  </si>
  <si>
    <t>FACCSI</t>
  </si>
  <si>
    <t>F &amp; M MACHINE SHOP</t>
  </si>
  <si>
    <t>EXTRU-TECH, INC.</t>
  </si>
  <si>
    <t>EXTECH INC.</t>
  </si>
  <si>
    <t>EXOTIC METALS FORMING COMPANY LLC</t>
  </si>
  <si>
    <t>EXLINE, INC.</t>
  </si>
  <si>
    <t>EXECUTIVE JET MANAGEMENT</t>
  </si>
  <si>
    <t>EXCEL TOOL &amp; MANUFACTURING</t>
  </si>
  <si>
    <t>EXCEL INDUSTRIES</t>
  </si>
  <si>
    <t>EXACT FLOW</t>
  </si>
  <si>
    <t>EVONIK</t>
  </si>
  <si>
    <t>EVANS/EVCO</t>
  </si>
  <si>
    <t>EUROTEC VERTICAL FLIGHT SOLUTIONS, LLC</t>
  </si>
  <si>
    <t>EULESS AERO COMPONENTS, INC.</t>
  </si>
  <si>
    <t>ETEZAZI INDUSTRIES</t>
  </si>
  <si>
    <t>ETCO SPECIALTY PRODUCTS</t>
  </si>
  <si>
    <t>ESSNER MANUFACTURING, L.P.</t>
  </si>
  <si>
    <t>ERI SOLUTIONS, INC.</t>
  </si>
  <si>
    <t>DYNAMIC PAINT SOLUTIONS</t>
  </si>
  <si>
    <t>DYNAMIC N/C L.L.C.</t>
  </si>
  <si>
    <t>ADDENG TECHNOLOGIES</t>
  </si>
  <si>
    <t>DCD SERVICES LLC</t>
  </si>
  <si>
    <t>DBC CONSTRUCTION</t>
  </si>
  <si>
    <t>DAYTON-GRANGER, INC.</t>
  </si>
  <si>
    <t>DAWSON BROTHERS</t>
  </si>
  <si>
    <t>DARWIN THOMPSON</t>
  </si>
  <si>
    <t>DAN SELF</t>
  </si>
  <si>
    <t>D.L. WALLER MACHINE SHOP</t>
  </si>
  <si>
    <t>D.E. RICE</t>
  </si>
  <si>
    <t>D &amp; S MANUFACTURING</t>
  </si>
  <si>
    <t>D &amp; H MACHINE, INC</t>
  </si>
  <si>
    <t>D &amp; D MACHINE, INC.</t>
  </si>
  <si>
    <t>CURTISS-WRIGHT CONTROLS, INC.</t>
  </si>
  <si>
    <t>CURTIS MACHINE COMPANY, INC.</t>
  </si>
  <si>
    <t>CTDI COMMUNICATIONS use Communication Test Design</t>
  </si>
  <si>
    <t>CROSS MFG., INC. LEWIS DIVISION</t>
  </si>
  <si>
    <t>CROSS MFG - PRATT DIVISION</t>
  </si>
  <si>
    <t>CROSS MANUFACTURING - HAYS DIVISION</t>
  </si>
  <si>
    <t>CRISS OPTICAL MANUFACTURING</t>
  </si>
  <si>
    <t>CRESCENT GAGE &amp; TOOL SALES</t>
  </si>
  <si>
    <t>CREATIVE COMPOSITES</t>
  </si>
  <si>
    <t>BUHLER LOGISTICS</t>
  </si>
  <si>
    <t>DECKER ELECTRIC</t>
  </si>
  <si>
    <t>DECO TOOL SUPPLY</t>
  </si>
  <si>
    <t>DECO TOOL SUPPLY COMPANY</t>
  </si>
  <si>
    <t>DELTA MACHINE CO.</t>
  </si>
  <si>
    <t>DYNAMIC INTERNATIONAL</t>
  </si>
  <si>
    <t>DÜRR SYSTEMS GMBH</t>
  </si>
  <si>
    <t>DUFIEUX INDUSTRIE CANADA</t>
  </si>
  <si>
    <t>DUCOMMUN LABARGE TECHNOLOGIES</t>
  </si>
  <si>
    <t>DUCOMMUN AEROSTRUCTURES - COXSACKIE</t>
  </si>
  <si>
    <t>DRAPER INDUSTRIES LLC</t>
  </si>
  <si>
    <t>DRAKA CABLETEQ/USA</t>
  </si>
  <si>
    <t>DOUGLAS WATT</t>
  </si>
  <si>
    <t>DMG MORI</t>
  </si>
  <si>
    <t>FAMILY CARE CENTER</t>
  </si>
  <si>
    <t>DME ELECTRONICS</t>
  </si>
  <si>
    <t>DIVERSIFIED SERVICES, INC. - NORTH</t>
  </si>
  <si>
    <t>DEREK SHRIVER</t>
  </si>
  <si>
    <t>DERBY TRAILER TECH</t>
  </si>
  <si>
    <t>DERBY STEEL TECHNOLOGIES, LLC</t>
  </si>
  <si>
    <t>DER ASSOCIATES</t>
  </si>
  <si>
    <t>Demo Customer Account</t>
  </si>
  <si>
    <t>DL DYNAMIC LLC</t>
  </si>
  <si>
    <t>FARRAR CORPORATION - MANHATTAN DIVISION</t>
  </si>
  <si>
    <t>FARRAR CORPORATION - NORWICH DIVISION</t>
  </si>
  <si>
    <t>GREDE FOUNDRIES INC.</t>
  </si>
  <si>
    <t>GRAY MACHINE &amp; ENGINEERING</t>
  </si>
  <si>
    <t>GRANT COUNTY HEALTH DEPARTMENT</t>
  </si>
  <si>
    <t>GRACOROBERTS</t>
  </si>
  <si>
    <t>GOODRICH CABIN SYSTEMS-PCI</t>
  </si>
  <si>
    <t>GODDARD MACHINE</t>
  </si>
  <si>
    <t>GLOBAL PARTS, INC.</t>
  </si>
  <si>
    <t>GLOBAL PARTS AERO STRUCTURES - BETHANY</t>
  </si>
  <si>
    <t>VSE AVIATION SERVICES, CO</t>
  </si>
  <si>
    <t>GLOBAL PARTS AERO MANUFACTURING, INC.</t>
  </si>
  <si>
    <t>GLOBAL ENGINEERING &amp; TECHNOLOGY HUTCH DIV</t>
  </si>
  <si>
    <t>GLOBAL ENGINEERING &amp; TECHNOLOGY</t>
  </si>
  <si>
    <t>GLOBAL ENG. &amp; TECH. - SOUTH IRVING</t>
  </si>
  <si>
    <t>GLOBAL CNC CORPORATION</t>
  </si>
  <si>
    <t>GLOBAL AVIATION TECH LLC</t>
  </si>
  <si>
    <t>GLENN E. SESSIONS &amp; SONS</t>
  </si>
  <si>
    <t>GKN AEROSPACE-SOUTH CAROLINA</t>
  </si>
  <si>
    <t>GREENWOOD COUNTY HEALTH DEPARTMENT</t>
  </si>
  <si>
    <t>GKN AEROSPACE-CT PLANT</t>
  </si>
  <si>
    <t>GREG CHITWOOD</t>
  </si>
  <si>
    <t>GT MIDWEST</t>
  </si>
  <si>
    <t>HEALTH MINISTRIES CLINIC - HALSTEAD</t>
  </si>
  <si>
    <t>HAYS AIRCRAFT LLC</t>
  </si>
  <si>
    <t>HAWKE USA</t>
  </si>
  <si>
    <t>HAVEN STEEL PRODUCTS, INC.</t>
  </si>
  <si>
    <t>HASTINGS IRRIGATION PIPE CO.</t>
  </si>
  <si>
    <t>HARVEST TECHNOLOGIES, INC.</t>
  </si>
  <si>
    <t>HARTWIG</t>
  </si>
  <si>
    <t>HARPER TRUCKS, INC.</t>
  </si>
  <si>
    <t>HARPER COUNTY HEALTH DEPT</t>
  </si>
  <si>
    <t>HARDWOOD MFG.</t>
  </si>
  <si>
    <t>HALL INDUSTRIAL SERVICES, INC</t>
  </si>
  <si>
    <t>HAECO</t>
  </si>
  <si>
    <t>H.M. DUNN AEROSPACE</t>
  </si>
  <si>
    <t>H &amp; R PARTS CO., INC.</t>
  </si>
  <si>
    <t>H &amp; N MACHINE, INC.</t>
  </si>
  <si>
    <t>H &amp; L MACHINES</t>
  </si>
  <si>
    <t>GULFSTREAM</t>
  </si>
  <si>
    <t>GT MIDWEST - KC DIVISION</t>
  </si>
  <si>
    <t>GSI ENGINEERING</t>
  </si>
  <si>
    <t>GKN AEROSPACE - ST. LOUIS</t>
  </si>
  <si>
    <t>GKN AEROSPACE - CA</t>
  </si>
  <si>
    <t>GERLING PRECISION LAYOUT</t>
  </si>
  <si>
    <t>FOAM DESIGN, INC</t>
  </si>
  <si>
    <t>FMW INC.</t>
  </si>
  <si>
    <t>WICHITA AEROSPACE SPARES, INC. (FMI)</t>
  </si>
  <si>
    <t>FLY MANUFACTURING, LLC</t>
  </si>
  <si>
    <t>IMI FLUID KINETICS</t>
  </si>
  <si>
    <t>NEWELL MACHINE</t>
  </si>
  <si>
    <t>FLEXFAB LLC</t>
  </si>
  <si>
    <t>FLAME SPRAY REPAIR BY BONES</t>
  </si>
  <si>
    <t>FISHER MANUFACTURING SERVICES</t>
  </si>
  <si>
    <t>FIRST GLOBAL MFG., INC.</t>
  </si>
  <si>
    <t>FIRST CAB</t>
  </si>
  <si>
    <t>FIBERGLASS AND COMPOSITES TECHNOLOGY</t>
  </si>
  <si>
    <t>FIBER DYNAMICS</t>
  </si>
  <si>
    <t>FHR ANALYTICAL SERVICES</t>
  </si>
  <si>
    <t>FERROLOY, INC.</t>
  </si>
  <si>
    <t>FERROLOY FOUNDRY, INC.</t>
  </si>
  <si>
    <t>FERRA AEROSPACE INC</t>
  </si>
  <si>
    <t>FEDERAL AVIATION ADMIN. HUTCHINSON DIV</t>
  </si>
  <si>
    <t>FASTENAL</t>
  </si>
  <si>
    <t>FASTENAIR, LLC</t>
  </si>
  <si>
    <t>FOLEY EQUIPMENT COMPANY</t>
  </si>
  <si>
    <t>FOLEY EQUIPMENT COMPANY - WICHITA</t>
  </si>
  <si>
    <t>FORMING SPECIALISTS, INC.</t>
  </si>
  <si>
    <t>FORTE PRODUCTS</t>
  </si>
  <si>
    <t>GERDING ENTERPRISES INC.</t>
  </si>
  <si>
    <t>GERALD WASSER</t>
  </si>
  <si>
    <t>GENERAL DYNAMICS LAND SYSTEMS</t>
  </si>
  <si>
    <t>GE ENGINE SERVICES, LLC</t>
  </si>
  <si>
    <t>GCA, INC.</t>
  </si>
  <si>
    <t>GAME COMPOSITES, LLC</t>
  </si>
  <si>
    <t>GALAXY TOOL CORPORATION</t>
  </si>
  <si>
    <t>G.T. MICHELLI CO. INC. (This is a duplicate - Please remove)</t>
  </si>
  <si>
    <t>G.L. HUYETT INC.</t>
  </si>
  <si>
    <t>G &amp; D METALS INC</t>
  </si>
  <si>
    <t>HEALTH MINISTRIES CLINIC - NEWTON</t>
  </si>
  <si>
    <t>FURMANITE AMERICA</t>
  </si>
  <si>
    <t>FULL VISION, INC.</t>
  </si>
  <si>
    <t>FREEDOM WORKS MFG. INC</t>
  </si>
  <si>
    <t>FREEDOM &amp; ASSOCIATES ELECTRIC</t>
  </si>
  <si>
    <t>FOUR Z MANUFACTURING</t>
  </si>
  <si>
    <t>FOUR STATE INDUSTRIAL SUPPLY - TX</t>
  </si>
  <si>
    <t>PT SOLUTIONS</t>
  </si>
  <si>
    <t>FOUR STATE IND. SUPPLY - OK DIV</t>
  </si>
  <si>
    <t>FORUM VALVE SOLUTIONS</t>
  </si>
  <si>
    <t>FULLER BRUSH CO.</t>
  </si>
  <si>
    <t>HEDLUND ELECTRIC INC.</t>
  </si>
  <si>
    <t>JIM PALMER CO.</t>
  </si>
  <si>
    <t>JIM MEYER</t>
  </si>
  <si>
    <t>JET SERVICE ENTERPRISES INC.</t>
  </si>
  <si>
    <t>JET AIRWERKS LLC</t>
  </si>
  <si>
    <t>JCI INDUSTRIES, INC.-DODGE CITY</t>
  </si>
  <si>
    <t>JCI INDUSTRIES</t>
  </si>
  <si>
    <t>JCB LAB</t>
  </si>
  <si>
    <t>JB AVIATION, LLC</t>
  </si>
  <si>
    <t>JAVIN MACHINE</t>
  </si>
  <si>
    <t>JANEWAY MACHINE</t>
  </si>
  <si>
    <t>JAMES L. DOTY</t>
  </si>
  <si>
    <t>JACOBS INSTRUMENT SERVICE</t>
  </si>
  <si>
    <t>J.T.'S TRANSPORT, INC.</t>
  </si>
  <si>
    <t>J.R. CUSTOM METAL PRODUCTS, LLC</t>
  </si>
  <si>
    <t>J.P. PIPELINE</t>
  </si>
  <si>
    <t>J. K. MACHINING</t>
  </si>
  <si>
    <t>CROSS PRECISION MEASUREMENT</t>
  </si>
  <si>
    <t>J&amp;J MACHINING, LLC</t>
  </si>
  <si>
    <t>J &amp; H MACHINE</t>
  </si>
  <si>
    <t>ISODYNE INC.</t>
  </si>
  <si>
    <t>IR - LCN CLOSERS</t>
  </si>
  <si>
    <t>JIM WALLIN</t>
  </si>
  <si>
    <t>IPECO, INC. WICHITA</t>
  </si>
  <si>
    <t>JMG MANUFACTURING</t>
  </si>
  <si>
    <t>JOEL ELDER</t>
  </si>
  <si>
    <t>KANSAS GUN DRILLING, INC.</t>
  </si>
  <si>
    <t>KANSAS GAS SERVICE - OK</t>
  </si>
  <si>
    <t>KANSAS GAS SERVICE</t>
  </si>
  <si>
    <t>KANSAS DRY STRIPPING</t>
  </si>
  <si>
    <t>KANSAS COIL SPRING CO., INC.</t>
  </si>
  <si>
    <t>KANAMAK HYDRAULICS INC</t>
  </si>
  <si>
    <t>VECCO - WICHITA, INC.</t>
  </si>
  <si>
    <t>KAMAN AEROSPACE CORPORATION, FLORIDA</t>
  </si>
  <si>
    <t>K &amp; M TOOL AND MACHINE</t>
  </si>
  <si>
    <t>JWE MACHINE REPAIR LLC</t>
  </si>
  <si>
    <t>JUNCTION CITY WIRE HARNESS LLC</t>
  </si>
  <si>
    <t>JONES ENGINEERING &amp; MANUFACTURING</t>
  </si>
  <si>
    <t>JONES ENG. &amp; MFG., INC.</t>
  </si>
  <si>
    <t>JOMAX PIPELINE CONSTRUCTION</t>
  </si>
  <si>
    <t>JOHNSTON COMPANIES</t>
  </si>
  <si>
    <t>JOHNSON COUNTY SHERIFF'S OFFICE</t>
  </si>
  <si>
    <t>JOHNSON CONTROLS-YORK</t>
  </si>
  <si>
    <t>JOHNSON CONTROLS</t>
  </si>
  <si>
    <t>JOHN SNODGRASS</t>
  </si>
  <si>
    <t>JOHN F. PETERSEN</t>
  </si>
  <si>
    <t>JMT INDUSTRIES, INC.</t>
  </si>
  <si>
    <t>KANSAS PLATING</t>
  </si>
  <si>
    <t>INVENA CORPORATION</t>
  </si>
  <si>
    <t>HOWARD'S INC.</t>
  </si>
  <si>
    <t>HORNET PRODUCTS LLC</t>
  </si>
  <si>
    <t>HORNET CUTTING SYSTEMS</t>
  </si>
  <si>
    <t>HOMEYER PRECISION MANUFACTURING</t>
  </si>
  <si>
    <t>HOLTON COMMUNITY HOSPITAL</t>
  </si>
  <si>
    <t>HOLLYFRONTIER</t>
  </si>
  <si>
    <t>HOLLY ENERGY PARTNERS</t>
  </si>
  <si>
    <t>HOC INDUSTRIES</t>
  </si>
  <si>
    <t>HITEK INC.</t>
  </si>
  <si>
    <t>HILLER, INC.</t>
  </si>
  <si>
    <t>HILLARY MACHINERY</t>
  </si>
  <si>
    <t>HIGH TECH SOLUTIONS</t>
  </si>
  <si>
    <t>HIGH TECH LASER &amp; POLISHING</t>
  </si>
  <si>
    <t>HF RUBBER MACHINERY, INC.</t>
  </si>
  <si>
    <t>HESS SERVICES, INC.</t>
  </si>
  <si>
    <t>HENNING MACHINE TOOL REPAIR</t>
  </si>
  <si>
    <t>HELICOMB INTERNATIONAL, INC</t>
  </si>
  <si>
    <t>HEIZER AEROSPACE INC.</t>
  </si>
  <si>
    <t>HEHR INTERNATIONAL, INC. INDIANA</t>
  </si>
  <si>
    <t>HEHR INTERNATIONAL, INC.</t>
  </si>
  <si>
    <t>HOWE MACHINE &amp; TOOL CORP.</t>
  </si>
  <si>
    <t>INTERNATIONAL MACHINE, INC</t>
  </si>
  <si>
    <t>HRAD GROUP, LLC</t>
  </si>
  <si>
    <t>HUMPHREY PRODUCTS</t>
  </si>
  <si>
    <t>INTER-FIRST COMPANY LLC</t>
  </si>
  <si>
    <t>INTEGRATED COMPONENTS, INC.</t>
  </si>
  <si>
    <t>INTEGRATED AEROSPACE SERVICES</t>
  </si>
  <si>
    <t>INTEGRA TECHNOLOGIES, LLC</t>
  </si>
  <si>
    <t>INNOVATIVE MEASURING SYSTEMS</t>
  </si>
  <si>
    <t>INGERSOLL MACHINE TOOLS, INC.</t>
  </si>
  <si>
    <t>INFINITY METALWORKS, INC.</t>
  </si>
  <si>
    <t>INDUSTRIAL SERVICE CORPORATION</t>
  </si>
  <si>
    <t>INDUSTRIAL GASKET, INC.</t>
  </si>
  <si>
    <t>INDUSTRIAL CALIBRATION AND SERVICE COMPANY, INC.</t>
  </si>
  <si>
    <t>INDUSTRIAL &amp; MANUFACTURING ENGINEERING</t>
  </si>
  <si>
    <t>INDIANA FURNITURE INDUSTRIES</t>
  </si>
  <si>
    <t>INDEPENDENT ELECTRIC MACHINERY</t>
  </si>
  <si>
    <t>IMPRESA AEROSPACE</t>
  </si>
  <si>
    <t>I-CON SOLUTIONS, INC.</t>
  </si>
  <si>
    <t>ICM, INC.</t>
  </si>
  <si>
    <t>HYSPECO, INC.</t>
  </si>
  <si>
    <t>HYPOWER INC.</t>
  </si>
  <si>
    <t>HYDROMAT, INC.</t>
  </si>
  <si>
    <t>HUSQVARNA FORESTRY PRODUCTS</t>
  </si>
  <si>
    <t>HURST CONSTRUCTION AND FABRICATION, LLC</t>
  </si>
  <si>
    <t>HSP, INC.</t>
  </si>
  <si>
    <t>KANSAS STATE UNIVERSITY AT SALINA</t>
  </si>
  <si>
    <t>KANSAS SURGERY &amp; RECOVERY CENTER</t>
  </si>
  <si>
    <t>LMI AEROSPACE COTTONWOOD FALLS</t>
  </si>
  <si>
    <t>LMI AEROSPACE / IVEMSA-LMI</t>
  </si>
  <si>
    <t>LMI AEROSPACE - ST. CHARLES</t>
  </si>
  <si>
    <t>LMI AEROSPACE - LENEXA DIVISION</t>
  </si>
  <si>
    <t>INTEGRATED TECHNOLOGIES, INC.</t>
  </si>
  <si>
    <t>LIVINGSTON TOOL &amp; MFG CO.</t>
  </si>
  <si>
    <t>LINDBERG HEAT TREATING TULSA DIVISION</t>
  </si>
  <si>
    <t>LINCOLN TOOL &amp; DESIGN</t>
  </si>
  <si>
    <t>LINCOLN STRUCTURAL SOLUTIONS</t>
  </si>
  <si>
    <t>LIGHTNING AEROSPACE LLC</t>
  </si>
  <si>
    <t>LIFESAVE TRANSPORT</t>
  </si>
  <si>
    <t>LEONARD'S METAL, INC. - WICHITA</t>
  </si>
  <si>
    <t>LEONARD'S METAL INC. - MO</t>
  </si>
  <si>
    <t>CONTITECH USA, LLC</t>
  </si>
  <si>
    <t>LEE PRODUCTS ENGINEERING SERVICES, INC.</t>
  </si>
  <si>
    <t>LEE AIR, INC.</t>
  </si>
  <si>
    <t>LEDFORD GAGE LAB, INC</t>
  </si>
  <si>
    <t>LEADING EDGE AEROSPACE</t>
  </si>
  <si>
    <t>LATHROM MANUFACTURING</t>
  </si>
  <si>
    <t>LMI AEROSPACE OKLAHOMA</t>
  </si>
  <si>
    <t>MACHINING SPECIALISTS, INC.</t>
  </si>
  <si>
    <t>MACHINE TOOL SPECIALTIES</t>
  </si>
  <si>
    <t>MACHINE DESIGN SERVICES, INC</t>
  </si>
  <si>
    <t>MACH 1 MACHINING</t>
  </si>
  <si>
    <t>MAC TOOL &amp; MACHINE LLC</t>
  </si>
  <si>
    <t>M &amp; R MACHINE</t>
  </si>
  <si>
    <t>M &amp; M PRECISION COMPONENTS, LLC</t>
  </si>
  <si>
    <t>LYONS MANUFACTURING</t>
  </si>
  <si>
    <t>LUMINOUS NEON INC.</t>
  </si>
  <si>
    <t>LUFTHANSA TECHNIK</t>
  </si>
  <si>
    <t>LUBY EQUIPMENT SERVICES</t>
  </si>
  <si>
    <t>LUBRICATION ENGINEERS</t>
  </si>
  <si>
    <t>LORAC CO., INC.</t>
  </si>
  <si>
    <t>LMV AUTOMOTIVE SYSTEMS</t>
  </si>
  <si>
    <t>LMT, INC.</t>
  </si>
  <si>
    <t>LMI AEROSPACE-WASHINGTON</t>
  </si>
  <si>
    <t>LMI AEROSPACE-TULSA</t>
  </si>
  <si>
    <t>LMI AEROSPACE-SAVANNAH</t>
  </si>
  <si>
    <t>LMI AEROSPACE ST. LOUIS</t>
  </si>
  <si>
    <t>LASTICKS AEROSPACE, INC.</t>
  </si>
  <si>
    <t>LAPEER INDUSTRIES, INC.</t>
  </si>
  <si>
    <t>LANDWEHR MACHINE</t>
  </si>
  <si>
    <t>KIM PFANNENSTIEL</t>
  </si>
  <si>
    <t>KICE INDUSTRIES, INC.</t>
  </si>
  <si>
    <t>KG MOATS &amp; SONS</t>
  </si>
  <si>
    <t>KEMCO MANUFACTURING</t>
  </si>
  <si>
    <t>KEJR, INC.</t>
  </si>
  <si>
    <t>KEARNY COUNTY HEALTH DEPARTMENT</t>
  </si>
  <si>
    <t>K-DOLL KOATING</t>
  </si>
  <si>
    <t>KBR</t>
  </si>
  <si>
    <t>KBK INDUSTRIES</t>
  </si>
  <si>
    <t>KBI - TOPEKA FIREARMS</t>
  </si>
  <si>
    <t>KBI - TOPEKA</t>
  </si>
  <si>
    <t>KBI - PITTSBURG</t>
  </si>
  <si>
    <t>KBI - KANSAS CITY</t>
  </si>
  <si>
    <t>KBI - GREAT BEND</t>
  </si>
  <si>
    <t>KASKASKIA TOOL &amp; MACHINE</t>
  </si>
  <si>
    <t>KASA INDUSTRIAL CONTROLS, INC.</t>
  </si>
  <si>
    <t>KARATZIS-USA, LLC</t>
  </si>
  <si>
    <t>KAN-TECH, INC.</t>
  </si>
  <si>
    <t>KANSAS OKLAHOMA MACHINE TOOLS, INC.</t>
  </si>
  <si>
    <t>KANSAS TRUCK EQUIPMENT COMPANY</t>
  </si>
  <si>
    <t>KANSAS TRANE</t>
  </si>
  <si>
    <t>KIMBALL ELECTRONIC LABORATORY, INC.</t>
  </si>
  <si>
    <t>KIMBALL HOSPITALITY</t>
  </si>
  <si>
    <t>KIMBALL INTERNATIONAL</t>
  </si>
  <si>
    <t>KIMBALL INTERNATIONAL, R&amp;D TEST LAB</t>
  </si>
  <si>
    <t>LAKE AVIATION CENTER</t>
  </si>
  <si>
    <t>L.H. THOMSON COMPANY INC.</t>
  </si>
  <si>
    <t>L S INDUSTRIES</t>
  </si>
  <si>
    <t>L &amp; T MACHINING</t>
  </si>
  <si>
    <t>KYODO YUSHI MANUFACTURING AMERICAS, LLC</t>
  </si>
  <si>
    <t>KUBOTA NORTH AMERICAN DIST CTR KS</t>
  </si>
  <si>
    <t>KUBETECH</t>
  </si>
  <si>
    <t>KOMO INNOVATIVE CNC SOLUTIONS</t>
  </si>
  <si>
    <t>KOCH-GLITSCH LP</t>
  </si>
  <si>
    <t>KOCH AVIATION</t>
  </si>
  <si>
    <t>MAGELLAN AEROSPACE</t>
  </si>
  <si>
    <t>KMT WATERJET SYSTEMS, INC.</t>
  </si>
  <si>
    <t>KMI, INC.</t>
  </si>
  <si>
    <t>KMG TOOL &amp; MACHINE</t>
  </si>
  <si>
    <t>TRAILER SALES AND SERVICES OF KANSAS</t>
  </si>
  <si>
    <t>KISER MANUFACTURING CO., INC.</t>
  </si>
  <si>
    <t>KINDER MACHINE LLC</t>
  </si>
  <si>
    <t>KIMBALL UPHOLSTRY PRODUCTS</t>
  </si>
  <si>
    <t>KIMBALL OFFICE SALEM</t>
  </si>
  <si>
    <t>KIMBALL OFFICE FURNITURE</t>
  </si>
  <si>
    <t>KIMBALL OFFICE CHERRY STREET</t>
  </si>
  <si>
    <t>KIMBALL INT'L, R&amp;D TEST LAB-FORDSVILLE</t>
  </si>
  <si>
    <t>KMK MACHINE</t>
  </si>
  <si>
    <t>MAGELLAN MIDSTREAM PARTNERS</t>
  </si>
  <si>
    <t>MAGELLAN MIDSTREAM PARTNERS, VC</t>
  </si>
  <si>
    <t>MISSOURI METALS</t>
  </si>
  <si>
    <t>MINUTEMEN PRECISION MACHINE &amp; TOOL CORP.</t>
  </si>
  <si>
    <t>MIN-MAX MACHINE LTD.</t>
  </si>
  <si>
    <t>MINI-MAC</t>
  </si>
  <si>
    <t>MILTECH MACHINE</t>
  </si>
  <si>
    <t>MILLING PRECISION TOOL</t>
  </si>
  <si>
    <t>MILLENNIUM MACHINE &amp; TOOL INC.</t>
  </si>
  <si>
    <t>MIKE CARPENTER</t>
  </si>
  <si>
    <t>MIDWEST PLASTICS SUPPLY, INC.</t>
  </si>
  <si>
    <t>MIDWEST MACHINE</t>
  </si>
  <si>
    <t>MIDWEST CORPORATE AVIATION</t>
  </si>
  <si>
    <t>MIDWAY MANUFACTURING, INC.</t>
  </si>
  <si>
    <t>MID-CONTINENT INSTRUMENTS AND AVIONICS</t>
  </si>
  <si>
    <t>MID-CONTINENT AVIATION SERVICES, INC.</t>
  </si>
  <si>
    <t>MIDCO MACHINE CO., INC.</t>
  </si>
  <si>
    <t>MID KANSAS MACHINE INC</t>
  </si>
  <si>
    <t>MID CONTINENT CONTROLS INC.</t>
  </si>
  <si>
    <t>MICO MACHINE COMPANY</t>
  </si>
  <si>
    <t>MICHELS POWER</t>
  </si>
  <si>
    <t>MICHELS PIPELINE CONSTRUCTION</t>
  </si>
  <si>
    <t>M-M MACHINE</t>
  </si>
  <si>
    <t>MG MACHINE INCORPORATED</t>
  </si>
  <si>
    <t>MOCKRY &amp; SONS MACHINE</t>
  </si>
  <si>
    <t>MORIDGE MANUFACTURING, INC.</t>
  </si>
  <si>
    <t>NCEE LABS</t>
  </si>
  <si>
    <t>NATM</t>
  </si>
  <si>
    <t>ELEMENT WICHITA</t>
  </si>
  <si>
    <t>NATIONAL OFFICE FURNITURE, JASPER 11TH</t>
  </si>
  <si>
    <t>NATIONAL OFFICE FURNITURE</t>
  </si>
  <si>
    <t>NANCE MANUFACTURING, INC.</t>
  </si>
  <si>
    <t>NABHOLZ INDUSTRIAL SERVICES</t>
  </si>
  <si>
    <t>MURDOCK COMPANIES, INC.</t>
  </si>
  <si>
    <t>MUNDO-TECH, INC.</t>
  </si>
  <si>
    <t>M-T-S PRECISION TOOL</t>
  </si>
  <si>
    <t>MT. IDA MACHINING, INC.</t>
  </si>
  <si>
    <t>MT STATE CRIME LAB</t>
  </si>
  <si>
    <t>MSI-VIKING GAGE, LLC</t>
  </si>
  <si>
    <t>MSC INDUSTRIAL SUPPLY CO.-CHARLESTON</t>
  </si>
  <si>
    <t>MPM, INC.</t>
  </si>
  <si>
    <t>MOYER AVIATION</t>
  </si>
  <si>
    <t>MOTIVEPOWER A WABTEC COMPANY</t>
  </si>
  <si>
    <t>MOTION INDUSTRIES-HOSE DIVISION</t>
  </si>
  <si>
    <t>MOTION INDUSTRIES - HUB SUPPLY</t>
  </si>
  <si>
    <t>MOTION INDUSTRIES</t>
  </si>
  <si>
    <t>MONSTER RACE PRODUCTS</t>
  </si>
  <si>
    <t>MFCO HEAT TREAT - HARRY LOCATION</t>
  </si>
  <si>
    <t>MFCO-Aluminum Heat Treatment- Murdock</t>
  </si>
  <si>
    <t>METPRO MACHINE</t>
  </si>
  <si>
    <t>MAY TECHNOLOGY &amp; MANUFACTURING, INC.</t>
  </si>
  <si>
    <t>MAXIMA PRECISION</t>
  </si>
  <si>
    <t>MAX WILLIAMS</t>
  </si>
  <si>
    <t>MATFIELD MACHINING INC.</t>
  </si>
  <si>
    <t>MATCOR METAL FABRICATION</t>
  </si>
  <si>
    <t>MASTER SWAGING, INC.</t>
  </si>
  <si>
    <t>MARUKA U.S.A., INC.</t>
  </si>
  <si>
    <t>MARUKA U.S.A. INC. WICHITA DIV.</t>
  </si>
  <si>
    <t>MARTIN MACHINE &amp; WELDING, INC.</t>
  </si>
  <si>
    <t>MARTIN INTERCONNECT SERVICES</t>
  </si>
  <si>
    <t>MARLEN INTERNATIONAL</t>
  </si>
  <si>
    <t>MARION DIE &amp; FIXTURE</t>
  </si>
  <si>
    <t>MANUFACTURING SOLUTIONS</t>
  </si>
  <si>
    <t>MANUFACTURER'S SUPPLY CO.</t>
  </si>
  <si>
    <t>MANES MACHINE AND ENGINEERING</t>
  </si>
  <si>
    <t>MALONE'S CNC MACHINING INC.</t>
  </si>
  <si>
    <t>MAIER LANDSCAPE AND IRRIGATION</t>
  </si>
  <si>
    <t>MAGIC CIRCLE MANUFACTURING COMPANY</t>
  </si>
  <si>
    <t>MAGELLAN MIDSTREAM PARTNERS-GREAT BEND</t>
  </si>
  <si>
    <t>MAYNARD INC. - WICHITA DIV.</t>
  </si>
  <si>
    <t>MAYTAG AIRCRAFT</t>
  </si>
  <si>
    <t>McCONNELL AIR FORCE BASE</t>
  </si>
  <si>
    <t>METER ENGINEERS, INC.</t>
  </si>
  <si>
    <t>METALFORM INDUSTRIES, INC.</t>
  </si>
  <si>
    <t>METAL-FAB, INC.</t>
  </si>
  <si>
    <t>METALCRAFT TECHNOLOGIES, INC.</t>
  </si>
  <si>
    <t>METALCRAFT INDUSTRIES</t>
  </si>
  <si>
    <t>METAL FORMING INC.</t>
  </si>
  <si>
    <t>METAL FINISHING CUU NICOLAS GOGOL 11332</t>
  </si>
  <si>
    <t>METAL FINISHING, CUU DIV.</t>
  </si>
  <si>
    <t>METAL FINISHING CO. -McLean</t>
  </si>
  <si>
    <t>NCRI</t>
  </si>
  <si>
    <t>METAL ARTS MACHINE CO. LLC</t>
  </si>
  <si>
    <t>MERRITT PREFERRED COMPONENTS, INC.</t>
  </si>
  <si>
    <t>MERCURY FUELS, INC.</t>
  </si>
  <si>
    <t>MEGGITT CUSTOMER SERVICE &amp; SUPPORT</t>
  </si>
  <si>
    <t>MEGGITT AIRCRAFT</t>
  </si>
  <si>
    <t>MEGA MFG., INC. PIRANHA DIV.</t>
  </si>
  <si>
    <t>MED-TRANS</t>
  </si>
  <si>
    <t>MED-FLITE OF MID-AMERICA</t>
  </si>
  <si>
    <t>McNEIL MANUFACTURING, L.L.C.</t>
  </si>
  <si>
    <t>McGINTY MACHINE CO., INC.</t>
  </si>
  <si>
    <t>MCFARLAND RESEARCH &amp; DEVELOPMENT</t>
  </si>
  <si>
    <t>METAL ARTS LLC</t>
  </si>
  <si>
    <t>NEAL CHANCE RACING CONVERTERS</t>
  </si>
  <si>
    <t>NEBRASKA STATE PATROL CRIME LAB</t>
  </si>
  <si>
    <t>POST ENTERPRISES, INC.</t>
  </si>
  <si>
    <t>PLATINUM MACHINE, LLC</t>
  </si>
  <si>
    <t>PLATINUM AEROSTRUCTURES</t>
  </si>
  <si>
    <t>VANTAGE PLANE PLASTICS LTD.</t>
  </si>
  <si>
    <t>PK TECHNOLOGY, LLC</t>
  </si>
  <si>
    <t>PK INDUSTRIAL, LLC</t>
  </si>
  <si>
    <t>PETERSON MANUFACTURING COMPANY</t>
  </si>
  <si>
    <t>PETE PACIFIC MACHINE</t>
  </si>
  <si>
    <t>PERSONAL PRESS INC.</t>
  </si>
  <si>
    <t>PENN TOOL</t>
  </si>
  <si>
    <t>PCI - PERFORMANCE CONTRACTING, INC.</t>
  </si>
  <si>
    <t>PATTERSON MOLD AND TOOL</t>
  </si>
  <si>
    <t>PATTERSON DENTAL</t>
  </si>
  <si>
    <t>PATRIOT MANUFACTURING, LLC</t>
  </si>
  <si>
    <t>PATRIOT MACHINE, INC.</t>
  </si>
  <si>
    <t>PARAGON SERVICES, INC. - SHERIDAN</t>
  </si>
  <si>
    <t>PANASONIC AUTOMOTIVE SYS. CO. OF AMERICA</t>
  </si>
  <si>
    <t>POTUCEK MACHINE TOOL REPAIR</t>
  </si>
  <si>
    <t>PACE ANALYTICAL SERVICES - LENEXA</t>
  </si>
  <si>
    <t>POWDER TECH LLC</t>
  </si>
  <si>
    <t>PRATT COUNTY HEALTH DEPT.</t>
  </si>
  <si>
    <t>PROFESSIONAL MACHINE &amp; TOOL</t>
  </si>
  <si>
    <t>PROFESSIONAL ENGINEERING CONSULTANTS, PA</t>
  </si>
  <si>
    <t>PRO-FAB INC.</t>
  </si>
  <si>
    <t>PRODUCT MANUFACTURING CORPORATION MURDOCK</t>
  </si>
  <si>
    <t>ProCOATERS, INC.</t>
  </si>
  <si>
    <t>PROBATA METROLOGY &amp; CALIBRATION SERVICES</t>
  </si>
  <si>
    <t>PRIMUS AEROSPACE</t>
  </si>
  <si>
    <t>PRIME ELECTRIC, INC.</t>
  </si>
  <si>
    <t>PRIDE PLATING INC.</t>
  </si>
  <si>
    <t>PRESSURE TECHNOLOGIES &amp; AVIONICS</t>
  </si>
  <si>
    <t>PRECISIONFORM INC.</t>
  </si>
  <si>
    <t>PRECISION WIRE &amp; MFG.</t>
  </si>
  <si>
    <t>PRECISION TOOL IMPROVEMENTS CO.</t>
  </si>
  <si>
    <t>PRECISION PRODUCTS</t>
  </si>
  <si>
    <t>PRECISION PATTERN - TEXAS</t>
  </si>
  <si>
    <t>PRECISION METALS, LLC</t>
  </si>
  <si>
    <t>PRECISION GEAR WORKS</t>
  </si>
  <si>
    <t>PRECISION COMPONENTS</t>
  </si>
  <si>
    <t>PRECISION CALIBRATIONS</t>
  </si>
  <si>
    <t>PRAIRIE ROLLERS, LLC</t>
  </si>
  <si>
    <t>PACE ANALYTICAL SERVICES - FRONTENAC</t>
  </si>
  <si>
    <t>P1 GROUP, INC. - LENEXA</t>
  </si>
  <si>
    <t>P1 GROUP, INC.</t>
  </si>
  <si>
    <t>NORDAM INTERIORS &amp; STRUCTURES DIV</t>
  </si>
  <si>
    <t>NORDAM GROUP - REPAIR DIVISION</t>
  </si>
  <si>
    <t>NORDAM GROUP - MANUFACTURING DIVISION</t>
  </si>
  <si>
    <t>NOF METAL COATINGS NORTH AMERICA INC.</t>
  </si>
  <si>
    <t>NICOL SCALES &amp; MEASUREMENT</t>
  </si>
  <si>
    <t>NICKERSON CNC SERVICE</t>
  </si>
  <si>
    <t>NIAR WALTER H. BEECH WIND TUNNEL</t>
  </si>
  <si>
    <t>NIAR METROLOGY LAB-HANSEN</t>
  </si>
  <si>
    <t>NIAR COMPOSITE LAB, RM-118</t>
  </si>
  <si>
    <t>NIAR - ENVIRONMENTAL TEST LAB</t>
  </si>
  <si>
    <t>NIAR - ADVANCED COATINGS LAB</t>
  </si>
  <si>
    <t>NEX-TECH AEROSPACE, MEXICALI DIV.</t>
  </si>
  <si>
    <t>NEX-TECH AEROSPACE - AIM DIVISION</t>
  </si>
  <si>
    <t>NEXT LEVEL MACHINE AND TOOL</t>
  </si>
  <si>
    <t>NEWERA MANUFACTURING</t>
  </si>
  <si>
    <t>NEW MEDICAL HEALTH CARE</t>
  </si>
  <si>
    <t>NETAPP, INC.</t>
  </si>
  <si>
    <t>NEOSHO COUNTY HEALTH DEPARTMENT</t>
  </si>
  <si>
    <t>NEODESHA QUALITY MACHINING</t>
  </si>
  <si>
    <t>NORDAM TULSA DIV.</t>
  </si>
  <si>
    <t>NORDAM WICHITA DIVISION</t>
  </si>
  <si>
    <t>NORTH AMERICAN AVIATION, INC. CLOSED</t>
  </si>
  <si>
    <t>WESTLAKE PIPE &amp; FITTINGS</t>
  </si>
  <si>
    <t>OZ MACHINING L.L.C.</t>
  </si>
  <si>
    <t>OSBORNE INDUSTRIES, INC.</t>
  </si>
  <si>
    <t>ORIZON AEROSTRUCTURES-OLATHE</t>
  </si>
  <si>
    <t>ORIZON AEROSTRUCTURES-GROVE, INC.</t>
  </si>
  <si>
    <t>OPTIMUZ MANUFACTURING</t>
  </si>
  <si>
    <t>ONE SOURCE MANUFACTURING</t>
  </si>
  <si>
    <t>ONA EDM USA, INC.</t>
  </si>
  <si>
    <t>PROFESSIONAL PLASTICS, INC.</t>
  </si>
  <si>
    <t>OMNI AEROSPACE - WICHITA DIVISION</t>
  </si>
  <si>
    <t>O2 CORPORATION</t>
  </si>
  <si>
    <t>O &amp; F MACHINE PRODUCTS INC.</t>
  </si>
  <si>
    <t>NWI WICHITA LLC</t>
  </si>
  <si>
    <t>NUSTAR PL OPERATING PARTIN, LP</t>
  </si>
  <si>
    <t>Sunoco</t>
  </si>
  <si>
    <t>NUMERICAL CONTROL SUPPORT, INC.</t>
  </si>
  <si>
    <t>NORTHWESTERN INDUSTRIES INC.</t>
  </si>
  <si>
    <t>NPL CONSTRUCTION CO</t>
  </si>
  <si>
    <t>CROSSROADS TRAILER</t>
  </si>
  <si>
    <t>OCCIDENTAL CHEMICAL CORP</t>
  </si>
  <si>
    <t>PROFESSIONAL SALES SERVICES, INC.</t>
  </si>
  <si>
    <t>PRO-MILL CO., INC.</t>
  </si>
  <si>
    <t>SCHILLING AVIATION SERVICES, LLC</t>
  </si>
  <si>
    <t>SCHENCK PROCESS, LLC</t>
  </si>
  <si>
    <t>SAPA, INC.</t>
  </si>
  <si>
    <t>SANDIFER ENGINEERING &amp; CONTROLS</t>
  </si>
  <si>
    <t>SALINA VORTEX CORPORATION</t>
  </si>
  <si>
    <t>SALINA REGIONAL HEALTH CARE</t>
  </si>
  <si>
    <t>SAINT-GOBAIN PERFORMANCE PLASTICS</t>
  </si>
  <si>
    <t>SAFRAN ELECTRICAL AND POWER LITTLE ROCK</t>
  </si>
  <si>
    <t>SAFRAN ELECTRICAL &amp; POWER USA, LLC</t>
  </si>
  <si>
    <t>SAFRAN ELECTRICAL &amp; POWER - BEECH DIV</t>
  </si>
  <si>
    <t>SAFARIK TOOL COMPANY, INC.</t>
  </si>
  <si>
    <t>S&amp;S MANUFACTURING, INC</t>
  </si>
  <si>
    <t>S AND Y INDUSTRIES</t>
  </si>
  <si>
    <t>AIRXCEL</t>
  </si>
  <si>
    <t>RUHRPUMPEN, INC.</t>
  </si>
  <si>
    <t>RUCKLE MANUFACTURING CO.</t>
  </si>
  <si>
    <t>RUBBERMAID</t>
  </si>
  <si>
    <t>ROYAL ENGINEERED COMPOSITES</t>
  </si>
  <si>
    <t>ROTRONICS, INC.</t>
  </si>
  <si>
    <t>ROTOR QUALITY L.L.C.</t>
  </si>
  <si>
    <t>ROTEK SERVICES</t>
  </si>
  <si>
    <t>SCHWAN'S SHARED SERVICES, LLC</t>
  </si>
  <si>
    <t>Ron Flores</t>
  </si>
  <si>
    <t>SEDGWICK COUNTY HEALTH DEPARTMENT</t>
  </si>
  <si>
    <t>SEDGWICK COUNTY REG. FORENSIC SCIENCE CTR</t>
  </si>
  <si>
    <t>SIGNATURE FLIGHT SUPPORT</t>
  </si>
  <si>
    <t>SIGMA-TEK, INC.</t>
  </si>
  <si>
    <t>SIEMENS WIND POWER, INC.</t>
  </si>
  <si>
    <t>SIEMENS ENERGY, INC. - E R WP SCM MF1 2</t>
  </si>
  <si>
    <t>SIEMENS ENERGY &amp; AUTOMATION</t>
  </si>
  <si>
    <t>SIEMENS - WICHITA TOOLING CENTER</t>
  </si>
  <si>
    <t>SHUTTLE AEROSPACE, INC.</t>
  </si>
  <si>
    <t>SHORES - SENTRY, LLC</t>
  </si>
  <si>
    <t>SHIELD INDUSTRIES INC.</t>
  </si>
  <si>
    <t>SHERWIN-WILLIAMS</t>
  </si>
  <si>
    <t>SHERWIN WILLIAMS - AUTO FINISHES</t>
  </si>
  <si>
    <t>SHERPA UNLIMITED</t>
  </si>
  <si>
    <t>SHARPLINE CONVERTING, INC.</t>
  </si>
  <si>
    <t>ORIZON ENGINEERING</t>
  </si>
  <si>
    <t>SEYER INDUSTRIES, INC.</t>
  </si>
  <si>
    <t>SERENITY FARM</t>
  </si>
  <si>
    <t>SENIOR AEROSPACE MEXICO</t>
  </si>
  <si>
    <t>SELCHERT PRECISION WELDING, INC.</t>
  </si>
  <si>
    <t>SEKTAM OF INDEPENDENCE, INC.</t>
  </si>
  <si>
    <t>SEILER INSTRUMENT &amp; MFG. COMPANY INC.</t>
  </si>
  <si>
    <t>SEDGWICK COUNTY MABCD</t>
  </si>
  <si>
    <t>RODNEY J. MERTENS</t>
  </si>
  <si>
    <t>ROCKWELL COLLINS</t>
  </si>
  <si>
    <t>ROCK CREEK MACHINING</t>
  </si>
  <si>
    <t>RAM COMPANY</t>
  </si>
  <si>
    <t>RADIUS AEROSPACE-SHELBYVILLE</t>
  </si>
  <si>
    <t>RADIUS AEROSPACE-ARKANSAS</t>
  </si>
  <si>
    <t>RADIATRONICS NDT INC</t>
  </si>
  <si>
    <t>R &amp; S MACHINING</t>
  </si>
  <si>
    <t>R &amp; R SPRING MANUFACTURING</t>
  </si>
  <si>
    <t>R &amp; R AEROSPACE</t>
  </si>
  <si>
    <t>R &amp; D</t>
  </si>
  <si>
    <t>QUIK TEK MACHINING LLC</t>
  </si>
  <si>
    <t>QUARTZ MOUNTAIN AEROSPACE</t>
  </si>
  <si>
    <t>QUALITY TOOL SERVICE, INC.</t>
  </si>
  <si>
    <t>QUALITY TECH METALS</t>
  </si>
  <si>
    <t>QTAB, INC.</t>
  </si>
  <si>
    <t>QMI AEROSPACE</t>
  </si>
  <si>
    <t>Q CORPORATION</t>
  </si>
  <si>
    <t>PUMPHREY MACHINE CO INC.</t>
  </si>
  <si>
    <t>PT (CENTRAL MACHINE &amp; TOOLING)</t>
  </si>
  <si>
    <t>PST GROUP</t>
  </si>
  <si>
    <t>PRYER AEROSPACE - CLAREMORE</t>
  </si>
  <si>
    <t>PRYER AEROSPACE</t>
  </si>
  <si>
    <t>PRO-TECH</t>
  </si>
  <si>
    <t>RANGER PLANT CONSTRUCTIONAL CO</t>
  </si>
  <si>
    <t>RAPID PRECISION MANUFACTURING, INC.</t>
  </si>
  <si>
    <t>GOENGINEER</t>
  </si>
  <si>
    <t>RAPTOR MANUFACTURING, LLC</t>
  </si>
  <si>
    <t>ROBBY SONES</t>
  </si>
  <si>
    <t>ROB CARROLL'S SANDBLASTING &amp; PAINTING</t>
  </si>
  <si>
    <t>RIMROCK MIDSTREAM LLC</t>
  </si>
  <si>
    <t>RILEY MACHINE WORKS</t>
  </si>
  <si>
    <t>RILEY COUNTY HEALTH DEPARTMENT</t>
  </si>
  <si>
    <t>RICKS CUSTOM SANDBLASTING</t>
  </si>
  <si>
    <t>RICKMAN MACHINE CO.</t>
  </si>
  <si>
    <t>RICHARD J. BAGAN, INC.</t>
  </si>
  <si>
    <t>RICHARD GUTIERREZ</t>
  </si>
  <si>
    <t>RICE COUNTY HEALTH DEPARTMENT</t>
  </si>
  <si>
    <t>SILVERSTONE, INC.</t>
  </si>
  <si>
    <t>REPAIRMAN JACK</t>
  </si>
  <si>
    <t>REILOY USA</t>
  </si>
  <si>
    <t>REGASA AEROSPACE, INC.</t>
  </si>
  <si>
    <t>REGAL PLASTIC</t>
  </si>
  <si>
    <t>REDGUARD</t>
  </si>
  <si>
    <t>REB TECHNOLOGIES INC.</t>
  </si>
  <si>
    <t>REATA ENGINEERING &amp; MACHINE WORKS, INC.</t>
  </si>
  <si>
    <t>RDS MANUFACTURING, INC.</t>
  </si>
  <si>
    <t>RDK MACHINE</t>
  </si>
  <si>
    <t>RAY PARKER</t>
  </si>
  <si>
    <t>RAUDEL SILVA</t>
  </si>
  <si>
    <t>REL INC.</t>
  </si>
  <si>
    <t>SIMCO ELECTRONICS</t>
  </si>
  <si>
    <t>SIMON J MACHINE TOOL LLC</t>
  </si>
  <si>
    <t>TENNECO INC</t>
  </si>
  <si>
    <t>TEMPCO ENGINEERING, INC.</t>
  </si>
  <si>
    <t>TEKTRONIX, INC.</t>
  </si>
  <si>
    <t>TEKTRONIX SERVICE SOLUTIONS CAL LAB</t>
  </si>
  <si>
    <t>TEKTRONIX - CA DIVISION</t>
  </si>
  <si>
    <t>TECT POWER/TURNING DIVISION</t>
  </si>
  <si>
    <t>TECT AEROSPACE WELLINGTON</t>
  </si>
  <si>
    <t>NWI PARK CITY Closed Account</t>
  </si>
  <si>
    <t>TECHNIFORM METAL CURVING OF TEXAS INC.</t>
  </si>
  <si>
    <t>TECHNICS 2000 INC.</t>
  </si>
  <si>
    <t>TECHMER PM, LLC</t>
  </si>
  <si>
    <t>TECHMACHINERY, LLC</t>
  </si>
  <si>
    <t>TECH-AIRE INSTRUMENTS</t>
  </si>
  <si>
    <t>TECH MANUFACTURING</t>
  </si>
  <si>
    <t>TD AEROSPACE, LLC</t>
  </si>
  <si>
    <t>TBM HEAT TREATING, INC.</t>
  </si>
  <si>
    <t>TAYLOR COMMUNICATIONS, INC.</t>
  </si>
  <si>
    <t>TATON MACHINE</t>
  </si>
  <si>
    <t>TANK CONNECTION</t>
  </si>
  <si>
    <t>TALLGRASS ENERGY PARTNERS, LP - BOGUE</t>
  </si>
  <si>
    <t>TALLGRASS ENERGY PARTNERS, LP</t>
  </si>
  <si>
    <t>TERRACON</t>
  </si>
  <si>
    <t>TALLGRASS ENERGY - TESCOTT</t>
  </si>
  <si>
    <t>TEST &amp; MEASUREMENT</t>
  </si>
  <si>
    <t>THREE WAY PATTERN INC</t>
  </si>
  <si>
    <t>THOMSON AEROSPACE &amp; DEFENSE</t>
  </si>
  <si>
    <t>THERMOFORMED PLASTIC PRODUCTS</t>
  </si>
  <si>
    <t>THERMAL ENGINEERING INTERNATIONAL</t>
  </si>
  <si>
    <t>THE YARD</t>
  </si>
  <si>
    <t>THE WICHITA EAGLE</t>
  </si>
  <si>
    <t>THE TORQUE SHOP</t>
  </si>
  <si>
    <t>THE PRINT SOURCE, INC.</t>
  </si>
  <si>
    <t>THE GROUNDS GUYS</t>
  </si>
  <si>
    <t>THE GATES RUBBER-IOLA</t>
  </si>
  <si>
    <t>BOEING COMPANY</t>
  </si>
  <si>
    <t>THE BERND GROUP</t>
  </si>
  <si>
    <t>THE AMES COMPANIES INC.</t>
  </si>
  <si>
    <t>TEXTRON FINANCE SHARED SERVICES CENTER</t>
  </si>
  <si>
    <t>TEXTRON AVIATION-FLIGHT OPERATIONS</t>
  </si>
  <si>
    <t>TEXTRON AVIATION., PAWNEE</t>
  </si>
  <si>
    <t>TEXTRON AVIATION, INC.- INDEPENDENCE</t>
  </si>
  <si>
    <t>TEXTRON AVIATION INC.</t>
  </si>
  <si>
    <t>TEXTRON AVIATION INC - SW BLVD</t>
  </si>
  <si>
    <t>TEXTRON AVIATION DEPT. 705</t>
  </si>
  <si>
    <t>TALLGRASS ENERGY - OK DIVISION</t>
  </si>
  <si>
    <t>TALLGRASS ENERGY - MCPHERSON</t>
  </si>
  <si>
    <t>TAKAKO AMERICA CO., INC</t>
  </si>
  <si>
    <t>SRS AVIATION LLC</t>
  </si>
  <si>
    <t>SPIRIT AEROSYSTEMS - TULSA DIVISION</t>
  </si>
  <si>
    <t>SPIRIT AEROSYSTEMS - TULSA/MINGO RD</t>
  </si>
  <si>
    <t>SPIRIT AEROSYSTEMS</t>
  </si>
  <si>
    <t>SPECIALTY PATTERNS</t>
  </si>
  <si>
    <t>SPECIALTY FABRICATION, INC.</t>
  </si>
  <si>
    <t>SPEC PLATING CORPORATION</t>
  </si>
  <si>
    <t>SOUTHWIND GLOBAL AVIATION</t>
  </si>
  <si>
    <t>SOUTHWEST UNITED INDUSTRIES</t>
  </si>
  <si>
    <t>SOUTHWEST PRECISION MANUFACTURING, INC.</t>
  </si>
  <si>
    <t>SOUTHERN STAR CENTRAL GAS PIPELINE</t>
  </si>
  <si>
    <t>SOUTHERN PRECISION MACHINING, LLC</t>
  </si>
  <si>
    <t>SORBET TECHNOLOGIES</t>
  </si>
  <si>
    <t>SNK AMERICA, INC.</t>
  </si>
  <si>
    <t>SMITH &amp; SMITH AIRCRAFT INT'L-MISSISSIPPI</t>
  </si>
  <si>
    <t>SMITH &amp; SMITH AIRCRAFT CO. - WICHITA DIV</t>
  </si>
  <si>
    <t>SMITH &amp; NEPHEW</t>
  </si>
  <si>
    <t>SLPT GLOBAL PUMP GROUP</t>
  </si>
  <si>
    <t>SKY AEROSPACE LLC</t>
  </si>
  <si>
    <t>SIOUX CHIEF MANUFACTURING</t>
  </si>
  <si>
    <t>SINCLAIR &amp; SONS CUSTOM WELDING &amp; MACH.</t>
  </si>
  <si>
    <t>STANDRIDGE COLOR CORPORATION</t>
  </si>
  <si>
    <t>STARK AEROSPACE INC.</t>
  </si>
  <si>
    <t>STEARMAN-See Professional Machine</t>
  </si>
  <si>
    <t>STEELVILLE MANUFACTURING COMPANY</t>
  </si>
  <si>
    <t>TABER EXTRUSIONS, LLC</t>
  </si>
  <si>
    <t>T&amp;H MACHINE</t>
  </si>
  <si>
    <t>SYT USA, INC.</t>
  </si>
  <si>
    <t>SYMMETRY MACHINING SERVICES</t>
  </si>
  <si>
    <t>SWEETWATER FARMS LLC</t>
  </si>
  <si>
    <t>SWAN INDUSTRIES, INC</t>
  </si>
  <si>
    <t>SVS INDUSTRIES</t>
  </si>
  <si>
    <t>SUPPLYCORE INC.</t>
  </si>
  <si>
    <t>SUPPLY TECHNOLOGIES LLC</t>
  </si>
  <si>
    <t>SUPERIOR PRODUCTS</t>
  </si>
  <si>
    <t>THRUSH AIRCRAFT, MFG. DIV.</t>
  </si>
  <si>
    <t>SUPERIOR INDUSTRIES</t>
  </si>
  <si>
    <t>SUPERIOR HOLDING, INC DBA</t>
  </si>
  <si>
    <t>SUNSHINE METALS, INC.</t>
  </si>
  <si>
    <t>SUMMIT AERONAUTICS GROUP</t>
  </si>
  <si>
    <t>SULLIVAN PRECISION METAL FINISHING</t>
  </si>
  <si>
    <t>STUTZMON REFUSE DISPOSAL INC.</t>
  </si>
  <si>
    <t>STROCO MANUFACTURING, INC.</t>
  </si>
  <si>
    <t>STOREROOM SOLUTIONS, INC.</t>
  </si>
  <si>
    <t>STEVE TITUS</t>
  </si>
  <si>
    <t>STEVE NOLAND</t>
  </si>
  <si>
    <t>STEVE JASO</t>
  </si>
  <si>
    <t>SUPERIOR COMPANIES, INC.</t>
  </si>
  <si>
    <t>THUNDERBOLT/AERO COMM</t>
  </si>
  <si>
    <t>THYSSENKRUPP AEROSPACE</t>
  </si>
  <si>
    <t>WELCH MACHINE, INC.</t>
  </si>
  <si>
    <t>WECKWORTH MANUFACTURING, INC.</t>
  </si>
  <si>
    <t>WEBSTER COMBUSTION TECHNOLOGY LLC</t>
  </si>
  <si>
    <t>WEBER METALS INC.</t>
  </si>
  <si>
    <t>WEAVER MANUFACTURING, INC.</t>
  </si>
  <si>
    <t>WEAR TECHNOLOGY</t>
  </si>
  <si>
    <t>WATC - AVIATION TECH CENTER</t>
  </si>
  <si>
    <t>WALDEN'S MACHINE, LLC</t>
  </si>
  <si>
    <t>WALDEN'S MACHINE - WICHITA</t>
  </si>
  <si>
    <t>WAKO</t>
  </si>
  <si>
    <t>W.D. DISTRIBUTING, INC.</t>
  </si>
  <si>
    <t>VX AEROSPACE CORP.</t>
  </si>
  <si>
    <t>VORNADO AIR, LLC</t>
  </si>
  <si>
    <t>VOESTALPINE NORTRAK INC.</t>
  </si>
  <si>
    <t>VIEGA LLC</t>
  </si>
  <si>
    <t>VICTORY AEROSPACE</t>
  </si>
  <si>
    <t>VICTOR L. PHILLIPS CO.</t>
  </si>
  <si>
    <t>VIA CHRISTI - ST JOSEPH</t>
  </si>
  <si>
    <t>VIA CHRISTI - ST FRANCIS</t>
  </si>
  <si>
    <t>VEGAS FASTENER MANUFACTURING</t>
  </si>
  <si>
    <t>WELCO SERVICES, INC.</t>
  </si>
  <si>
    <t>VECTOR TOOLING TECHNOLOGIES</t>
  </si>
  <si>
    <t>WERCO MFG., INC.</t>
  </si>
  <si>
    <t>WESCO DISTRIBUTION</t>
  </si>
  <si>
    <t>WILLIES SERVICES</t>
  </si>
  <si>
    <t>WILLIAMS INTERNATIONAL</t>
  </si>
  <si>
    <t>WILLIAM MARVIN JOHNSON, LLC</t>
  </si>
  <si>
    <t>WILLIAM F. HURST CO.</t>
  </si>
  <si>
    <t>WILLCOTT BREWING COMPANY</t>
  </si>
  <si>
    <t>WILDE TOOL CO., INC.</t>
  </si>
  <si>
    <t>WILDCAT CONSTRUCTION</t>
  </si>
  <si>
    <t>WICHITA TRACTOR CO.</t>
  </si>
  <si>
    <t>WICHITA STEEL FABRICATORS</t>
  </si>
  <si>
    <t>WICHITA MACHINE PRODUCTS</t>
  </si>
  <si>
    <t>WICHITA ELECTRIC</t>
  </si>
  <si>
    <t>WICHITA BRASS &amp; ALUMINUM FOUNDRY, INC.</t>
  </si>
  <si>
    <t>WHITELINE PRODUCTS LLC</t>
  </si>
  <si>
    <t>SIZEWISE MANUFACTURING</t>
  </si>
  <si>
    <t>WESTERN VALVE, INC.</t>
  </si>
  <si>
    <t>WESTERN INDUSTRIES</t>
  </si>
  <si>
    <t>WESCON PLASTICS</t>
  </si>
  <si>
    <t>WESCON CONTROLS</t>
  </si>
  <si>
    <t>WESCO INTEGRATED SUPPLY</t>
  </si>
  <si>
    <t>WESCO AIRCRAFT - ELECTRONIC PRODUCTS</t>
  </si>
  <si>
    <t>VECTOR TOOL &amp; DIE</t>
  </si>
  <si>
    <t>VAN GIESON CUSTOM MACHINING, INC.</t>
  </si>
  <si>
    <t>VANAM TOOL &amp; ENGINEERING</t>
  </si>
  <si>
    <t>TSI TECHNOLOGIES LLC</t>
  </si>
  <si>
    <t>TRU-PRECISION INC.</t>
  </si>
  <si>
    <t>TRIUMPH AIRBORNE STRUCTURES, INC.</t>
  </si>
  <si>
    <t>AAR COMPONENT SERVICES - WELLINGTON</t>
  </si>
  <si>
    <t>TRIO MACHINE, INC.</t>
  </si>
  <si>
    <t>TRINITY PRECISION INC.</t>
  </si>
  <si>
    <t>TRIMI MACHINE CORP</t>
  </si>
  <si>
    <t>TRIMETRIC ENGINEERING, LLC</t>
  </si>
  <si>
    <t>TRIMET LLC</t>
  </si>
  <si>
    <t>TRIMET GROUP</t>
  </si>
  <si>
    <t>TRESCAL</t>
  </si>
  <si>
    <t>TRANSTECS CORPORATION</t>
  </si>
  <si>
    <t>TRAN AEROSPACE</t>
  </si>
  <si>
    <t>TOYODA AMERICAS CORPORATION</t>
  </si>
  <si>
    <t>P&amp;E</t>
  </si>
  <si>
    <t>TOPEKA FOUNDRY AND IRON WORKS</t>
  </si>
  <si>
    <t>TOK OILFIELD SERVICES LLC</t>
  </si>
  <si>
    <t>TIGHITCO, INC.</t>
  </si>
  <si>
    <t>THYSSENKRUPP AEROSPACE-TX</t>
  </si>
  <si>
    <t>THYSSENKRUPP AEROSPACE - TMX</t>
  </si>
  <si>
    <t>TUBETRONICS, INC.</t>
  </si>
  <si>
    <t>TW METALS, LLC - DALLAS DIVISION</t>
  </si>
  <si>
    <t>TW METALS, LLC - HOUSTON DIVISION</t>
  </si>
  <si>
    <t>TW METALS, LLC - KANSAS DIVISION</t>
  </si>
  <si>
    <t>VALMONT INDUSTRIES</t>
  </si>
  <si>
    <t>VALLEN DISTRIBUTION</t>
  </si>
  <si>
    <t>VAERUS AVIATION</t>
  </si>
  <si>
    <t>UTECHTT AERO</t>
  </si>
  <si>
    <t>USD 418</t>
  </si>
  <si>
    <t>US TOWER CORPORATION</t>
  </si>
  <si>
    <t>UNRUH FAB, INC.</t>
  </si>
  <si>
    <t>UNIVERSAL TECHNOLOGIES, INC.</t>
  </si>
  <si>
    <t>UNIVERSAL PRODUCTS</t>
  </si>
  <si>
    <t>WILSON'S MACHINE PRODUCTS INC.</t>
  </si>
  <si>
    <t>UNIVERSAL MACHINING &amp; SHEET METAL</t>
  </si>
  <si>
    <t>UNIVERSAL ALLOY CORPORATION</t>
  </si>
  <si>
    <t>UNITED STATES AVIATION MUSEUM</t>
  </si>
  <si>
    <t>UNITED MACHINE COMPANY</t>
  </si>
  <si>
    <t>UNITED INSTRUMENTS, INC</t>
  </si>
  <si>
    <t>UNITED DYNAMICS, INC</t>
  </si>
  <si>
    <t>ULTRA-TECH AEROSPACE, INC.</t>
  </si>
  <si>
    <t>ULTRA ELECTRONICS ICE INC.</t>
  </si>
  <si>
    <t>ULTIMATE TRANSPORTATION N. AMERICA, LLC.</t>
  </si>
  <si>
    <t>U.S. ARMY CORPS OF ENGINEERS</t>
  </si>
  <si>
    <t>TWIN OAKS INDUSTRIES, INC.</t>
  </si>
  <si>
    <t>UNIVERSAL HELICOPTERS AT K-STATE</t>
  </si>
  <si>
    <t>WINDING SPECIALISTS CO., INC.</t>
  </si>
  <si>
    <t>WINGLET TECHNOLOGY, LLC</t>
  </si>
  <si>
    <t>WINONA VAN NORMAN</t>
  </si>
  <si>
    <t>WINSOR MANUFACTURING</t>
  </si>
  <si>
    <t>WOODWARD IODINE CORPORATION</t>
  </si>
  <si>
    <t>WORLD WIND &amp; SOLAR CENTRAL</t>
  </si>
  <si>
    <t>WORLD WIND SERVICES</t>
  </si>
  <si>
    <t>WTG HUGOTON L.P.</t>
  </si>
  <si>
    <t>XLT INC.</t>
  </si>
  <si>
    <t>YINGLING AVIATION</t>
  </si>
  <si>
    <t>YINGLING AVIATION PROP SHOP</t>
  </si>
  <si>
    <t>YORK UNITARY GROUP</t>
  </si>
  <si>
    <t>YOUNG ELECTRIC, INC.</t>
  </si>
  <si>
    <t>YOUNGERS &amp; SONS MFG. CO., INC.</t>
  </si>
  <si>
    <t>ZIMMERMANN, INC.</t>
  </si>
  <si>
    <t>ZYXAXIS INC.</t>
  </si>
  <si>
    <t>ADVANCED TURNING &amp; MFG.</t>
  </si>
  <si>
    <t>CALMAR, INC.</t>
  </si>
  <si>
    <t>BLAKE CLOTIA  LLC</t>
  </si>
  <si>
    <t>BELL MIRROR AND GLASS INC</t>
  </si>
  <si>
    <t>ARVOS INC.</t>
  </si>
  <si>
    <t>ARMOR EXPRESS</t>
  </si>
  <si>
    <t>ARCUS PROCESSING LLC</t>
  </si>
  <si>
    <t>AMERICA JET AT SLN DIV. OF JRM ENTERPRISES, INC.</t>
  </si>
  <si>
    <t>ALSTOM POWER, INC. AIR PREHEATER CO.</t>
  </si>
  <si>
    <t>AIR CAPITOL PLATING</t>
  </si>
  <si>
    <t>AIR CAPITAL MACHINE &amp; TOOLING INC.</t>
  </si>
  <si>
    <t>ZTM, INC.</t>
  </si>
  <si>
    <t>WABTEC GLOBAL SERVICES</t>
  </si>
  <si>
    <t>PRECISION MACHINED PARTS, INC.</t>
  </si>
  <si>
    <t>MIRES MACHINE CO.</t>
  </si>
  <si>
    <t>KOLBECK INDUSTRIES, LLC</t>
  </si>
  <si>
    <t>GE OIL &amp; GAS</t>
  </si>
  <si>
    <t>DERBY MACHINE</t>
  </si>
  <si>
    <t>CHS PIPELINE</t>
  </si>
  <si>
    <t>AIRCRAFT INSTRUMENTS &amp; RADIO SERVICES</t>
  </si>
  <si>
    <t>TRIUMPH STRUCTURES - WICHITA PLANT 1</t>
  </si>
  <si>
    <t>TRIUMPH STRUCTURES - KANSAS CITY</t>
  </si>
  <si>
    <t>CASTLE METALS AEROSPACE - SHANGHAI</t>
  </si>
  <si>
    <t>TRIUMPH STRUCTURES - EAST TEXAS, INC.</t>
  </si>
  <si>
    <t>CESSNA AIRCRAFT CO.,  DEPT. 064</t>
  </si>
  <si>
    <t>COMPOSITE MOLDING AND ASSEMBLY, LLC.</t>
  </si>
  <si>
    <t>TERRY MOORE</t>
  </si>
  <si>
    <t>TAD CUSTOMER REPAIRS</t>
  </si>
  <si>
    <t>PRECISION METALCRAFT</t>
  </si>
  <si>
    <t>PARADIGM MACHINE INC.</t>
  </si>
  <si>
    <t>NCRA</t>
  </si>
  <si>
    <t>MAC PROCESS LLC</t>
  </si>
  <si>
    <t>L &amp; M ENTERPRISES</t>
  </si>
  <si>
    <t>KENNETH KIEFER</t>
  </si>
  <si>
    <t>KANSAS BUREAU OF INVESTIGATION</t>
  </si>
  <si>
    <t>JADE SWINGLE</t>
  </si>
  <si>
    <t>HUB SUPPLY</t>
  </si>
  <si>
    <t>HI-SPEED PRECISION, INC.</t>
  </si>
  <si>
    <t>HAWKER BEECHCRAFT</t>
  </si>
  <si>
    <t>HA DANH</t>
  </si>
  <si>
    <t>FRANK VOSEL</t>
  </si>
  <si>
    <t>DEAN SNELLING</t>
  </si>
  <si>
    <t>DEAN BROADAWAY</t>
  </si>
  <si>
    <t>DALE BOLLINGER</t>
  </si>
  <si>
    <t>DALE BENDER</t>
  </si>
  <si>
    <t>CSP PRECISION MANUFACTURING, INC.</t>
  </si>
  <si>
    <t>CESSNA AIRCRAFT CO., PAWNEE</t>
  </si>
  <si>
    <t>CESSNA AIRCRAFT CO., INDEPENDENCE</t>
  </si>
  <si>
    <t>LABINAL SERVICES</t>
  </si>
  <si>
    <t>LTC INC. - SOUTH</t>
  </si>
  <si>
    <t>MODINE-JOPLIN</t>
  </si>
  <si>
    <t>Mike Ostroski</t>
  </si>
  <si>
    <t>MID IOWA TOOLS, INC.</t>
  </si>
  <si>
    <t>MID CENTRAL</t>
  </si>
  <si>
    <t>METAL IMPROVEMENT COMPANY</t>
  </si>
  <si>
    <t>Metal Goods Mfg Co.</t>
  </si>
  <si>
    <t>KIMBALL OFFICE - JASPER 15TH STREET</t>
  </si>
  <si>
    <t>HONEYWELL AEROSPACE - OLATHE</t>
  </si>
  <si>
    <t>GATES RUBBER-IOLA</t>
  </si>
  <si>
    <t>FMC TECHNOLOGIES</t>
  </si>
  <si>
    <t>FMC TECH</t>
  </si>
  <si>
    <t>FMC CORPORATION</t>
  </si>
  <si>
    <t>NTS</t>
  </si>
  <si>
    <t>DUAL DYNAMICS, INC.</t>
  </si>
  <si>
    <t>CTP CORP</t>
  </si>
  <si>
    <t>COMET RAIL PRODUCTS</t>
  </si>
  <si>
    <t>CHARLES CHALKING, SA.</t>
  </si>
  <si>
    <t>BNSF RAILWAY</t>
  </si>
  <si>
    <t>BLUESCOPE BUILDINGS NORTH AMERICA, INC.</t>
  </si>
  <si>
    <t>AIRWAY MFG.</t>
  </si>
  <si>
    <t>AIRMD/LIFETEAM</t>
  </si>
  <si>
    <t>NATIONAL OFFICE FURNITURE FORDSVILLE</t>
  </si>
  <si>
    <t>NATIONAL SANTA CLAUS</t>
  </si>
  <si>
    <t>NEAPCO COMPONENTS</t>
  </si>
  <si>
    <t>PENTAIR FLOW TECHNOLOGIES</t>
  </si>
  <si>
    <t>NIAR COMPOSITE LAB, RM-110</t>
  </si>
  <si>
    <t>Zyklus Heat Transfer</t>
  </si>
  <si>
    <t>WINKLER MANUFACTURING</t>
  </si>
  <si>
    <t>WESTROCK DISPENSING SYSTEMS INC.</t>
  </si>
  <si>
    <t>WEIR VALVES &amp; CONTROLS USA</t>
  </si>
  <si>
    <t>VESUVIUS</t>
  </si>
  <si>
    <t>UNIREX, INC.</t>
  </si>
  <si>
    <t>TORUS AMERICAS INC</t>
  </si>
  <si>
    <t>TIMKEN SMO, LLC</t>
  </si>
  <si>
    <t>THERMO KING CORPORATION</t>
  </si>
  <si>
    <t>TEXTRON AVIATION-CESSNA</t>
  </si>
  <si>
    <t>TEXTRON AVIATION, INC. - Do Not Use!</t>
  </si>
  <si>
    <t>TECHNIP FMC</t>
  </si>
  <si>
    <t>Specialty Medical Systems</t>
  </si>
  <si>
    <t>SILGAN DISPENSING SYSTEMS CORPORATION</t>
  </si>
  <si>
    <t>SILGAN DISPENSING SYSTEM, INC.</t>
  </si>
  <si>
    <t>Schlumberger Technology Corp.</t>
  </si>
  <si>
    <t>SBS INDUSTRIES, LLC</t>
  </si>
  <si>
    <t>RM INDUSTRIES</t>
  </si>
  <si>
    <t>PIONEER BALLOON COMPANY</t>
  </si>
  <si>
    <t>PHOENIX RISING AVIATION, INC.</t>
  </si>
  <si>
    <t>PHILLIPS 66 PIPELINE</t>
  </si>
  <si>
    <t>TEXTRON AVIATION DEFENSE LLC</t>
  </si>
  <si>
    <t>VALERO MCKEE REFINERY</t>
  </si>
  <si>
    <t>INTERCON CONSTRUCTION, INC.</t>
  </si>
  <si>
    <t>TEST COMPANY</t>
  </si>
  <si>
    <t>Michelli Weighing &amp; Measurement</t>
  </si>
  <si>
    <t>PREMIER TOOL AND DESIGN INC.</t>
  </si>
  <si>
    <t>GABRIEL NATOLITANO</t>
  </si>
  <si>
    <t>FORE AERO COMPANY</t>
  </si>
  <si>
    <t xml:space="preserve">KYODO YUSHI MFG. </t>
  </si>
  <si>
    <t>ThermoKonnect</t>
  </si>
  <si>
    <t>HUBBELL/KILLARK</t>
  </si>
  <si>
    <t>FIBER GLASS SYSTEMS</t>
  </si>
  <si>
    <t>CM MANUFACTURING, INC.</t>
  </si>
  <si>
    <t>COX FLEET SERVICES</t>
  </si>
  <si>
    <t>OMADA INTERNATIONAL</t>
  </si>
  <si>
    <t>CLARCOR INDUSTRIAL AIR</t>
  </si>
  <si>
    <t>RED BRICK ELECTRIC</t>
  </si>
  <si>
    <t>ROTOTRONICS INC.</t>
  </si>
  <si>
    <t>MINGO AEROSPACE</t>
  </si>
  <si>
    <t>CITY OF WICHITA</t>
  </si>
  <si>
    <t>CLEMENS AVIATION</t>
  </si>
  <si>
    <t>STERLING MACHINERY</t>
  </si>
  <si>
    <t>ORIZON AEROSTRUCTURES - ST. LOUIS</t>
  </si>
  <si>
    <t>DUNCAN AVIATION</t>
  </si>
  <si>
    <t>J.A. King</t>
  </si>
  <si>
    <t>CMT INC</t>
  </si>
  <si>
    <t>AEROSPACE FABRICATIONS OF GEORGIA, INC.</t>
  </si>
  <si>
    <t>JM TEST SYSTEMS</t>
  </si>
  <si>
    <t>KANSAS GAS SERVICE-GREAT BEND</t>
  </si>
  <si>
    <t>Buchanans Tube Bending Co</t>
  </si>
  <si>
    <t>WELLS WOOD WORKS</t>
  </si>
  <si>
    <t>GKN ARMSTRONG WHEELS</t>
  </si>
  <si>
    <t>ERNIE WINTER</t>
  </si>
  <si>
    <t>ARROW LAB</t>
  </si>
  <si>
    <t>KANSAS GAS SERVICE-PRATT</t>
  </si>
  <si>
    <t>VESUVIUS USA</t>
  </si>
  <si>
    <t>THE CUBBISON COMPANY</t>
  </si>
  <si>
    <t>Gases Technology, Inc.</t>
  </si>
  <si>
    <t>GREAT BEND INDUSTRIES</t>
  </si>
  <si>
    <t>PLASTICS EXTRUSION MACHINERY</t>
  </si>
  <si>
    <t>SBS INDUSTRIES</t>
  </si>
  <si>
    <t>TEC SYSTEMS GROUP</t>
  </si>
  <si>
    <t>Wichita Water Partners Northwest Water Treatment Facility</t>
  </si>
  <si>
    <t>WEATHERLY AIRCRAFT COMPANY</t>
  </si>
  <si>
    <t>RAPID MACHINE SHOP LLC</t>
  </si>
  <si>
    <t>HYDRO ALUMINUM METALS</t>
  </si>
  <si>
    <t>NIAR WERX MRO</t>
  </si>
  <si>
    <t>JW MACHINE</t>
  </si>
  <si>
    <t>GENESYS INDUSTRIAL CORP.</t>
  </si>
  <si>
    <t>HUSTON-DEPUE CALIBRATION LABORATORIES</t>
  </si>
  <si>
    <t>KBI-KANSAS CITY</t>
  </si>
  <si>
    <t>J &amp; J CONSULTING</t>
  </si>
  <si>
    <t>ARROW LABORATORY, INC.</t>
  </si>
  <si>
    <t>EVERIDGE/ICS</t>
  </si>
  <si>
    <t>RMB PRODUCTS, INC.</t>
  </si>
  <si>
    <t>THIMESCH ENTERPRISES LLC</t>
  </si>
  <si>
    <t>FIVE STAR MECHANICAL</t>
  </si>
  <si>
    <t>JAYHAWK MANUFACTURING COMPANY</t>
  </si>
  <si>
    <t>FOUR STAR TOOL &amp; DIE</t>
  </si>
  <si>
    <t>PLANET PLASTICS</t>
  </si>
  <si>
    <t>MURAKAMI AMERICA, INC.</t>
  </si>
  <si>
    <t>PTMW, INC.</t>
  </si>
  <si>
    <t>MAGELLAN AEROSPACE PROCESSING</t>
  </si>
  <si>
    <t>VENA INDUSTRIES</t>
  </si>
  <si>
    <t>KANSAS MANUFACTURING CO.</t>
  </si>
  <si>
    <t>RELCO, WABTEC-STRATOSPHERE QUALITY</t>
  </si>
  <si>
    <t>TJ MACHINE &amp; TOOL, LTD</t>
  </si>
  <si>
    <t>ROBB PRECISION TOOL SERVICES, INC.</t>
  </si>
  <si>
    <t>R &amp; D LEVERAGE</t>
  </si>
  <si>
    <t>CONRAD MACHINE AND RAIL</t>
  </si>
  <si>
    <t>RCC</t>
  </si>
  <si>
    <t>HITEK, INC</t>
  </si>
  <si>
    <t>OWENS MACHINE AND TOOL COMPANY</t>
  </si>
  <si>
    <t>TEKTRONIX SERVICE SOLUTIONS</t>
  </si>
  <si>
    <t>Medtronic/ Simco Electronics</t>
  </si>
  <si>
    <t>Worthington Industries</t>
  </si>
  <si>
    <t>ACE CLEARWATER ENTERPRISES</t>
  </si>
  <si>
    <t>Quality Supply</t>
  </si>
  <si>
    <t>JIFFY AIR TOOL, INC.</t>
  </si>
  <si>
    <t>ALLIED MATERIALS AND EQUIPMENT</t>
  </si>
  <si>
    <t>TIME OFF</t>
  </si>
  <si>
    <t>DYNAMIC MACHINE &amp; TOOL</t>
  </si>
  <si>
    <t>QUICKSILVER AEROSPACE</t>
  </si>
  <si>
    <t>WEBAIR</t>
  </si>
  <si>
    <t>McFarland Research &amp; Development, Inc.</t>
  </si>
  <si>
    <t>GRACE PRECISION PRODUCTS</t>
  </si>
  <si>
    <t>Electrex Inc</t>
  </si>
  <si>
    <t>Linde, Inc.</t>
  </si>
  <si>
    <t>AEsir Technologies, Inc.</t>
  </si>
  <si>
    <t>METAL GOODS MANUFACTURING CO</t>
  </si>
  <si>
    <t>SEAT KING</t>
  </si>
  <si>
    <t>DNC MACHINING, INC.</t>
  </si>
  <si>
    <t>ENJET AERO ADVANCED MANUFACTUING</t>
  </si>
  <si>
    <t>MARTINREA RIVERSIDE, LLC</t>
  </si>
  <si>
    <t>PHOENIX LASER</t>
  </si>
  <si>
    <t>Tool Testing Lab, Inc.</t>
  </si>
  <si>
    <t>VAN BECELAERE MACHINE WORKS</t>
  </si>
  <si>
    <t>CAMSO MANUFACTURING USA</t>
  </si>
  <si>
    <t>RBC AEROSTRUCTURES</t>
  </si>
  <si>
    <t>AERONAUTIX LLC</t>
  </si>
  <si>
    <t>SAFETYTEC SOLUTIONS</t>
  </si>
  <si>
    <t>NIAR - EMERGING TECHNOLOGIES</t>
  </si>
  <si>
    <t>INCERTEC</t>
  </si>
  <si>
    <t>CAMSO MANUFACTURING</t>
  </si>
  <si>
    <t>BROWN INDUSTRIES</t>
  </si>
  <si>
    <t>Precision Measurements, Inc.</t>
  </si>
  <si>
    <t>SUPPLY TECHNOLOGIES-Lenexa</t>
  </si>
  <si>
    <t>SONACA BRASIL</t>
  </si>
  <si>
    <t>HARRIS COUNTY TX</t>
  </si>
  <si>
    <t>RAN-TECH ENG. &amp; AEROSPACE</t>
  </si>
  <si>
    <t>KANSAS-OKLAHOMA MACHINE TOOLS, INC</t>
  </si>
  <si>
    <t>SOUTHERN STAR CENTRAL GAS PIPELINE-Montezuma</t>
  </si>
  <si>
    <t>GARMIN</t>
  </si>
  <si>
    <t>FINEST CUT MILLING</t>
  </si>
  <si>
    <t>MODIG MACHINE TOOL US INC.</t>
  </si>
  <si>
    <t>Praxair, Inc.</t>
  </si>
  <si>
    <t>WESTERN STATES CALIBRATION</t>
  </si>
  <si>
    <t>SippTech LLC</t>
  </si>
  <si>
    <t>Advanced Technical Skills Inst</t>
  </si>
  <si>
    <t>MCMT LLC</t>
  </si>
  <si>
    <t>NIAR EMERGING TECHNOLOGIES</t>
  </si>
  <si>
    <t>Rod Hoctor</t>
  </si>
  <si>
    <t>CANCER CENTER OF KANSAS</t>
  </si>
  <si>
    <t>KRIS CALLIER</t>
  </si>
  <si>
    <t>ELEC-TRON, INC.</t>
  </si>
  <si>
    <t>PRAY AVIATION</t>
  </si>
  <si>
    <t>True Cut EDM</t>
  </si>
  <si>
    <t>APAC Kansas Inc., Shears Division</t>
  </si>
  <si>
    <t>CAE-USA</t>
  </si>
  <si>
    <t>BBB Industries</t>
  </si>
  <si>
    <t>BEYOND MACHINING</t>
  </si>
  <si>
    <t>Sheet Metal Workers Local 29 Joint Apprenticeship</t>
  </si>
  <si>
    <t>Lockheed Martin Corp</t>
  </si>
  <si>
    <t>PRECISION SHEET METAL PRODUCTS INC.</t>
  </si>
  <si>
    <t>UCI</t>
  </si>
  <si>
    <t>AMERICAN HEAT TREATING - ALABAMA, LLC</t>
  </si>
  <si>
    <t>ADVANCED THERMOPLASTIC COMPOSITES</t>
  </si>
  <si>
    <t>BEV-HUB</t>
  </si>
  <si>
    <t>PRIME AXIS MACHINE</t>
  </si>
  <si>
    <t>BEV-HUB WICHITA</t>
  </si>
  <si>
    <t>CAE USA</t>
  </si>
  <si>
    <t>PLUG POWER</t>
  </si>
  <si>
    <t>Doug Ward</t>
  </si>
  <si>
    <t>TRANSCAT</t>
  </si>
  <si>
    <t>LOWEN CORPORATION</t>
  </si>
  <si>
    <t>Shelton Industrial Pattern</t>
  </si>
  <si>
    <t>DXP / SUPPLY CHAIN SERVICES</t>
  </si>
  <si>
    <t>PMX INDUSTRIES, INC.</t>
  </si>
  <si>
    <t>Moser Aviation</t>
  </si>
  <si>
    <t>EAGLEPICHER TECHNOLOGIES, LLC</t>
  </si>
  <si>
    <t>EAGLEPICHER TECHNOLOGIES, LLC - C STREET</t>
  </si>
  <si>
    <t>EAGLEPICHER TECHNOLOGIES, LLC - PITTSBURG</t>
  </si>
  <si>
    <t>EAGLEPICHER TECHNOLOGIES, LLC - SENECA</t>
  </si>
  <si>
    <t>CIS</t>
  </si>
  <si>
    <t>A &amp; J CLEANING</t>
  </si>
  <si>
    <t>Pinnacle Fire &amp; Automation</t>
  </si>
  <si>
    <t>METROPOLITAN COMMUNITY COLLEGE</t>
  </si>
  <si>
    <t>Carlson Hydraulics</t>
  </si>
  <si>
    <t>INTEGRATED POWER SERVICES (IPS)</t>
  </si>
  <si>
    <t>KING MACHINE</t>
  </si>
  <si>
    <t>Southwest and Associates, Inc.</t>
  </si>
  <si>
    <t>CAM-TECH INDUSTRIES, INC.</t>
  </si>
  <si>
    <t>EW7 Products LLC</t>
  </si>
  <si>
    <t>BROWN &amp; JAMES LAW FIRM</t>
  </si>
  <si>
    <t>KELVION INC. / THERMAL SOLUTIONS</t>
  </si>
  <si>
    <t>Utility Helpnet</t>
  </si>
  <si>
    <t>Tallgrass Energy</t>
  </si>
  <si>
    <t>Bison Rail Systems</t>
  </si>
  <si>
    <t>JW MODEL AND ENGINEERING</t>
  </si>
  <si>
    <t>LAUNCH Technical Workforce Solutions</t>
  </si>
  <si>
    <t>MARSHALL ENGINES, INC</t>
  </si>
  <si>
    <t>KANSAS OKLAHOMA MACHINE TOOLS</t>
  </si>
  <si>
    <t>Murphy Tractor and Equipment Company</t>
  </si>
  <si>
    <t>V. A. Medical Center</t>
  </si>
  <si>
    <t>Anderson &amp; Forrester</t>
  </si>
  <si>
    <t>HONEYWELL FMT, LLC</t>
  </si>
  <si>
    <t>PRO-CON</t>
  </si>
  <si>
    <t>NETWORKS INTERNATIONAL CORPORATION</t>
  </si>
  <si>
    <t>KING AEROSPACE</t>
  </si>
  <si>
    <t>TEXTRON AVIATION-CA</t>
  </si>
  <si>
    <t>HIGH TECH TOOL</t>
  </si>
  <si>
    <t>YOUNGS WELDING, INC.</t>
  </si>
  <si>
    <t>Siemens Gamesa Renewable Energy</t>
  </si>
  <si>
    <t>PLUMBERS &amp; PIPEFITTERS APPRNT TRNG OF KS</t>
  </si>
  <si>
    <t>Brek Manufacturing-CA</t>
  </si>
  <si>
    <t>SUNFLOWER ELECTRIC POWER SUPPLY</t>
  </si>
  <si>
    <t>TEXAS MCI</t>
  </si>
  <si>
    <t>COREY VIAR WELDFIT</t>
  </si>
  <si>
    <t>UNKEL IRRIGATION</t>
  </si>
  <si>
    <t>COASTAL ELECTRONICS, LLC</t>
  </si>
  <si>
    <t>NATOMA MANUFACTURING, LLC</t>
  </si>
  <si>
    <t>IRRIGATION BY DESIGN</t>
  </si>
  <si>
    <t>SOUTHERN STAR</t>
  </si>
  <si>
    <t>ADVANCED MECHANICAL SOLUTIONS</t>
  </si>
  <si>
    <t>SUPERIOR BOILER</t>
  </si>
  <si>
    <t>Beavers Plumbing LLC</t>
  </si>
  <si>
    <t>Michael Moore</t>
  </si>
  <si>
    <t>JONES SPEED SHOP</t>
  </si>
  <si>
    <t>South Central Commercial Mechanical</t>
  </si>
  <si>
    <t>Kansas Turnpike Authority</t>
  </si>
  <si>
    <t>USPS</t>
  </si>
  <si>
    <t>KANSAS LANDSCAPING &amp; IRRIGATION</t>
  </si>
  <si>
    <t>River City Mechanical</t>
  </si>
  <si>
    <t>SONACA NORTH AMERICA</t>
  </si>
  <si>
    <t>THE WATER WORKS</t>
  </si>
  <si>
    <t>Champion Lawn Care</t>
  </si>
  <si>
    <t>MUNDS ENERGY</t>
  </si>
  <si>
    <t>Superior Procurement</t>
  </si>
  <si>
    <t>REASONABLE SPRINKLERS</t>
  </si>
  <si>
    <t>CREW CUT LANDSCAPES</t>
  </si>
  <si>
    <t>CURTISS-WRIGHT SURFACE TECHNOLOGIES</t>
  </si>
  <si>
    <t>BROTHERS SPRINKLER</t>
  </si>
  <si>
    <t>AMAZING GREEN</t>
  </si>
  <si>
    <t>Jason Buresh</t>
  </si>
  <si>
    <t>HIGH CALIBER LANDSCAPE</t>
  </si>
  <si>
    <t>E.J.G Irrigation</t>
  </si>
  <si>
    <t>Klean Kut Inc</t>
  </si>
  <si>
    <t>V3 Landscape Consultants, INC</t>
  </si>
  <si>
    <t>WU Lawncare &amp; Landscape</t>
  </si>
  <si>
    <t>HAWK TECH MACHINING LLC</t>
  </si>
  <si>
    <t>Eck Services</t>
  </si>
  <si>
    <t>Midwest Fire Protection</t>
  </si>
  <si>
    <t>KAIROS POWER</t>
  </si>
  <si>
    <t>Professional Landscaping Services</t>
  </si>
  <si>
    <t>OP LANDSCAPE</t>
  </si>
  <si>
    <t>All Around Lawn Care, LLC</t>
  </si>
  <si>
    <t>D &amp; N MACHINING</t>
  </si>
  <si>
    <t>MATTA AVIATION SERVICES</t>
  </si>
  <si>
    <t>PKE MACHINE WORKS LLC</t>
  </si>
  <si>
    <t>Cantrell Lawn &amp; Irrigation</t>
  </si>
  <si>
    <t>NexusCAL, LLC</t>
  </si>
  <si>
    <t>Hogan Sprinkler</t>
  </si>
  <si>
    <t>Fast Planes LLC</t>
  </si>
  <si>
    <t>Barton Solvents, Inc</t>
  </si>
  <si>
    <t>Florence Corporation</t>
  </si>
  <si>
    <t>CUMBERLAND ADDITIVE</t>
  </si>
  <si>
    <t>BUTLER AVIONICS, INC.</t>
  </si>
  <si>
    <t>Simply Plumbing Inc</t>
  </si>
  <si>
    <t>Patrick Trollman</t>
  </si>
  <si>
    <t>STRAIGHTLINE HDD</t>
  </si>
  <si>
    <t>Kruse Corporation</t>
  </si>
  <si>
    <t>Two Lawn Rangers</t>
  </si>
  <si>
    <t>APPLIED TECHNICAL SERVICES, LLC</t>
  </si>
  <si>
    <t>Wichita Lawn Sprinkler Service Inc</t>
  </si>
  <si>
    <t>PlumberDog LLC</t>
  </si>
  <si>
    <t>NUTS &amp; BOLTS, INC.</t>
  </si>
  <si>
    <t>Prime Irrigation</t>
  </si>
  <si>
    <t>Premier Landscape</t>
  </si>
  <si>
    <t>A Plus Lawn Sprinklers</t>
  </si>
  <si>
    <t>Case</t>
  </si>
  <si>
    <t>Commercial Lawn Management</t>
  </si>
  <si>
    <t>Michael's Lawn Sprinkler Service</t>
  </si>
  <si>
    <t>Harris Lawn Care</t>
  </si>
  <si>
    <t>Sedgwick County Rural Water Department #3</t>
  </si>
  <si>
    <t>Comfort Systems</t>
  </si>
  <si>
    <t>NATIONAL CALIBRATION, INC</t>
  </si>
  <si>
    <t>Jeremy Calvert</t>
  </si>
  <si>
    <t>Don Voughn Inc</t>
  </si>
  <si>
    <t>AEROSPACE INDUSTRIAL DEVELOPMENT CORPORATION</t>
  </si>
  <si>
    <t>University of Nebraska</t>
  </si>
  <si>
    <t>L.A. Plumbing Inc.</t>
  </si>
  <si>
    <t>Eddy's Body Shop</t>
  </si>
  <si>
    <t>HBD Industries Inc.</t>
  </si>
  <si>
    <t>RD INDUSTRIES</t>
  </si>
  <si>
    <t>WILDCAT POWERGEN</t>
  </si>
  <si>
    <t>IPMI MANUFACTURING &amp; ENGINEERING</t>
  </si>
  <si>
    <t>Wichita Metal Fab</t>
  </si>
  <si>
    <t>MCS Services LLC</t>
  </si>
  <si>
    <t>Wichita Aerospace</t>
  </si>
  <si>
    <t>WICHITA AEROSPACE LLC</t>
  </si>
  <si>
    <t>Centex Lab</t>
  </si>
  <si>
    <t>PRECISION MANIFOLD SYSTEMS, INC.</t>
  </si>
  <si>
    <t>KINETIC ENGINE SYSTEMS</t>
  </si>
  <si>
    <t>Valley Heat Treat Company</t>
  </si>
  <si>
    <t>RURAL WATER DISTRICT #5 COWLEY CO.</t>
  </si>
  <si>
    <t>Mike Fatkin</t>
  </si>
  <si>
    <t>M2 Global Technology, Ltd.</t>
  </si>
  <si>
    <t>TMS Metalizing Systems</t>
  </si>
  <si>
    <t>FRANKLIN'S INDUSTRIES OF TEXAS, LLC</t>
  </si>
  <si>
    <t>Medxcel</t>
  </si>
  <si>
    <t>MOUNT IDA MACHINING</t>
  </si>
  <si>
    <t>BASKINS MACHINED PRODUCTS, LLC</t>
  </si>
  <si>
    <t>Valley Technologies</t>
  </si>
  <si>
    <t>Jake's Fireworks</t>
  </si>
  <si>
    <t>Karbon Manufacturing</t>
  </si>
  <si>
    <t>GENIUS INNOVATION</t>
  </si>
  <si>
    <t>Aero Precision Services</t>
  </si>
  <si>
    <t>Kansas Protein Foods</t>
  </si>
  <si>
    <t>Callacore</t>
  </si>
  <si>
    <t>Central Consolidated</t>
  </si>
  <si>
    <t>Ward Welding LLC</t>
  </si>
  <si>
    <t>Tom Butherus</t>
  </si>
  <si>
    <t>Emerald City Cargo</t>
  </si>
  <si>
    <t>PINNACLE AEROSPACE</t>
  </si>
  <si>
    <t>HILLCO CONTRACTING</t>
  </si>
  <si>
    <t>Dibbs Manufacturing LLC</t>
  </si>
  <si>
    <t>Creekmore Plumbing</t>
  </si>
  <si>
    <t>Apex Lawn Irrigation</t>
  </si>
  <si>
    <t>INDUSTRIAL MACHINE &amp; ENGINEERING CO</t>
  </si>
  <si>
    <t>Primus Sterilizer Co. LLC</t>
  </si>
  <si>
    <t>WESTERN INDUSTRIES PLASTIC PRODUCTS, LLC</t>
  </si>
  <si>
    <t>Pepsi Co</t>
  </si>
  <si>
    <t>City of McPherson</t>
  </si>
  <si>
    <t>Scott Holle</t>
  </si>
  <si>
    <t>Alpha HVAC &amp; Plumbing</t>
  </si>
  <si>
    <t>T &amp; J Lawncare</t>
  </si>
  <si>
    <t>SLM Inc</t>
  </si>
  <si>
    <t>JLL</t>
  </si>
  <si>
    <t>Federal Aviation Administration Wichita</t>
  </si>
  <si>
    <t>Chad Parrott</t>
  </si>
  <si>
    <t>Evergreen Landscape and Sprinkler Service</t>
  </si>
  <si>
    <t>LEDFORD ENGINEERING</t>
  </si>
  <si>
    <t>Hajoca Corporation</t>
  </si>
  <si>
    <t>Cardinal Colwich, LLC</t>
  </si>
  <si>
    <t>Trouble Control LLC</t>
  </si>
  <si>
    <t>Address1</t>
  </si>
  <si>
    <t>Address2</t>
  </si>
  <si>
    <t>Merged</t>
  </si>
  <si>
    <t>2044 Scanlan Ave Hangar 959</t>
  </si>
  <si>
    <t>Salina, KS, 67401</t>
  </si>
  <si>
    <t>1702 S. Knight</t>
  </si>
  <si>
    <t>Wichita, KS, 67213</t>
  </si>
  <si>
    <t>1738 General George Patton Dr</t>
  </si>
  <si>
    <t>Brentwood, TN, 37027</t>
  </si>
  <si>
    <t>Rue Louis Bleriot 23</t>
  </si>
  <si>
    <t>Gosselies, KS, 6041</t>
  </si>
  <si>
    <t>1414 S. Mosley</t>
  </si>
  <si>
    <t>Wichita, KS, 67211-3387</t>
  </si>
  <si>
    <t>4550 Southeast Boulevard</t>
  </si>
  <si>
    <t>Wichita, KS, 67216</t>
  </si>
  <si>
    <t>1 East Tower Circle</t>
  </si>
  <si>
    <t>Ormond Beach, FL, 32174</t>
  </si>
  <si>
    <t>414 Chamber Loop Drive</t>
  </si>
  <si>
    <t>Ada, OK, 74821-1484</t>
  </si>
  <si>
    <t>2707 N. Mead</t>
  </si>
  <si>
    <t>Wichita, KS, 67219</t>
  </si>
  <si>
    <t>208 S. Laura Suite 1</t>
  </si>
  <si>
    <t>Wichita, KS, 67211</t>
  </si>
  <si>
    <t>19503 E 6Th St</t>
  </si>
  <si>
    <t>Tulsa, OK, 74108</t>
  </si>
  <si>
    <t>2000 N. Vandenburgh</t>
  </si>
  <si>
    <t>Wellington, KS, 67152</t>
  </si>
  <si>
    <t>1200 N. Mosley</t>
  </si>
  <si>
    <t>Wichita, KS, 67214</t>
  </si>
  <si>
    <t>15047 Prairie Creek</t>
  </si>
  <si>
    <t>Rose Hill, KS, 67133</t>
  </si>
  <si>
    <t>21652 Nanticoke Avenue</t>
  </si>
  <si>
    <t>Georgetown, DE, 19947</t>
  </si>
  <si>
    <t>850816 Us Hwy 17</t>
  </si>
  <si>
    <t>Yulee, FL, 32097</t>
  </si>
  <si>
    <t>1910 50Th St W Ste B</t>
  </si>
  <si>
    <t>Williston, ND, 58801</t>
  </si>
  <si>
    <t>1600 E. Murdock St.</t>
  </si>
  <si>
    <t>11607 E 43Rd St North</t>
  </si>
  <si>
    <t>Tulsa, OK, 74116</t>
  </si>
  <si>
    <t>15200 Don Julian Road</t>
  </si>
  <si>
    <t>City Of Industry, CA, 91745</t>
  </si>
  <si>
    <t>205 Sweet Hollow Road</t>
  </si>
  <si>
    <t>Old Bethpage, NY, 11804</t>
  </si>
  <si>
    <t>3617 Walker</t>
  </si>
  <si>
    <t>10606 Commerce Way</t>
  </si>
  <si>
    <t>Fontana, CA, 92337</t>
  </si>
  <si>
    <t>38628 W. 15Th St.</t>
  </si>
  <si>
    <t>Cheney, KS, 67025</t>
  </si>
  <si>
    <t>586 N. Beach St.</t>
  </si>
  <si>
    <t>Fort Worth, TX, 76111</t>
  </si>
  <si>
    <t>2300 S. Hoover</t>
  </si>
  <si>
    <t>Wichita, KS, 67209</t>
  </si>
  <si>
    <t>804 Texas Court</t>
  </si>
  <si>
    <t>O'Fallon, MO, 63366</t>
  </si>
  <si>
    <t>201 N. Main</t>
  </si>
  <si>
    <t>Attica, KS, 67009</t>
  </si>
  <si>
    <t>4500 W. Irving</t>
  </si>
  <si>
    <t>12600 Executive Dr.</t>
  </si>
  <si>
    <t>Stafford, TX, 77477</t>
  </si>
  <si>
    <t>225 Wabash</t>
  </si>
  <si>
    <t>3003 N Perkins Rd</t>
  </si>
  <si>
    <t>Stillwater, OK, 74075</t>
  </si>
  <si>
    <t>1940 E Diedrich</t>
  </si>
  <si>
    <t>Haysville, KS, 67060</t>
  </si>
  <si>
    <t>240 Airport Road</t>
  </si>
  <si>
    <t>Eastman, GA, 31023</t>
  </si>
  <si>
    <t>1501 N. Airport Road</t>
  </si>
  <si>
    <t>Hutchinson, KS, 67501</t>
  </si>
  <si>
    <t>16666 Northchase Dr</t>
  </si>
  <si>
    <t>Houston, TX, 77060</t>
  </si>
  <si>
    <t>1404 Mohawk Road</t>
  </si>
  <si>
    <t>Mcpherson, KS, 67460</t>
  </si>
  <si>
    <t>8178 E. 44Th Street</t>
  </si>
  <si>
    <t>Tulsa, OK, 74145</t>
  </si>
  <si>
    <t>1445 S Sierra Dr</t>
  </si>
  <si>
    <t>Wichita, KS, 67209-2933</t>
  </si>
  <si>
    <t>709 Middle Ground</t>
  </si>
  <si>
    <t>Suite B-105</t>
  </si>
  <si>
    <t>Newport News, VA, 23606</t>
  </si>
  <si>
    <t>18501 East Admiral Place</t>
  </si>
  <si>
    <t>Catoosa, OK, 74015</t>
  </si>
  <si>
    <t>1804 West 2Nd Street</t>
  </si>
  <si>
    <t>Wichita, KS, 67203-5703</t>
  </si>
  <si>
    <t>414 Chamber Loop</t>
  </si>
  <si>
    <t>Ada, OK, 74821</t>
  </si>
  <si>
    <t>3525 W. 30 Th Street South</t>
  </si>
  <si>
    <t>Wichita, KS, 67052</t>
  </si>
  <si>
    <t>Po Box 12812</t>
  </si>
  <si>
    <t>1640 S Airport Rd</t>
  </si>
  <si>
    <t>Wichita, KS, 67277</t>
  </si>
  <si>
    <t>100 Berkeley Dr Suite C</t>
  </si>
  <si>
    <t>Swedesboro, NJ, 08085</t>
  </si>
  <si>
    <t>3651 New Town Blvd</t>
  </si>
  <si>
    <t>St. Charles, MO, 63301</t>
  </si>
  <si>
    <t>301 N Haven St.</t>
  </si>
  <si>
    <t>Spokane, WA, 99202</t>
  </si>
  <si>
    <t>26977 56Th Avenue</t>
  </si>
  <si>
    <t>Langley, BC, V4W 3X2</t>
  </si>
  <si>
    <t>3058 Highway 290</t>
  </si>
  <si>
    <t>Hot Springs, AR, 71913</t>
  </si>
  <si>
    <t>4611 W. Harry</t>
  </si>
  <si>
    <t>2220 Park</t>
  </si>
  <si>
    <t>Paris, TX, 75461</t>
  </si>
  <si>
    <t>2020 W. 2Nd St.</t>
  </si>
  <si>
    <t>Wichita, KS, 67203</t>
  </si>
  <si>
    <t>3310 W. Central</t>
  </si>
  <si>
    <t>1741 S. Leonine</t>
  </si>
  <si>
    <t>2805 E. Plano Parkway Suite 300</t>
  </si>
  <si>
    <t>Plano, TX, 75074-7374</t>
  </si>
  <si>
    <t>260 Feaster Road</t>
  </si>
  <si>
    <t>Greenville, SC, 29615</t>
  </si>
  <si>
    <t>707 N. Main</t>
  </si>
  <si>
    <t>Pratt, KS, 67124</t>
  </si>
  <si>
    <t>1502 Spruce St.</t>
  </si>
  <si>
    <t>Coffeyville, KS, 67337</t>
  </si>
  <si>
    <t>301 Prairie Village Dr.</t>
  </si>
  <si>
    <t>New Century, KS, 66031</t>
  </si>
  <si>
    <t>4011 E. 31 St. South</t>
  </si>
  <si>
    <t>Wichita, KS, 67210</t>
  </si>
  <si>
    <t>12716 E Pine St</t>
  </si>
  <si>
    <t>Av. Don Bosco</t>
  </si>
  <si>
    <t>No 41 Int. 31</t>
  </si>
  <si>
    <t>Corregidora, MX - QE, CP76900</t>
  </si>
  <si>
    <t>2000 E Randol Mill Rd Ste 608</t>
  </si>
  <si>
    <t>Arlington, TX, 76011</t>
  </si>
  <si>
    <t>5936 W 21St St N</t>
  </si>
  <si>
    <t>Wichita, KS, 67205</t>
  </si>
  <si>
    <t>1970 S West St, Suite 385</t>
  </si>
  <si>
    <t>11403 W Delano St</t>
  </si>
  <si>
    <t>Wichita, KS, 67212</t>
  </si>
  <si>
    <t>430 Mccall Road</t>
  </si>
  <si>
    <t>Manhattan, KS, 66502</t>
  </si>
  <si>
    <t>946 W 53Rd St N</t>
  </si>
  <si>
    <t>Wichita, KS, 67204</t>
  </si>
  <si>
    <t>1350 Westpark Way</t>
  </si>
  <si>
    <t>Euless, TX, 76040</t>
  </si>
  <si>
    <t>205 Pirner</t>
  </si>
  <si>
    <t>410B N Independence</t>
  </si>
  <si>
    <t>Enid, OK, 73701</t>
  </si>
  <si>
    <t>5124 Kaltenbrun Rd</t>
  </si>
  <si>
    <t>Fort Worth, TX, 76119</t>
  </si>
  <si>
    <t>1500 Brown Trail, Ste 150</t>
  </si>
  <si>
    <t>Bedford, TX, 76022</t>
  </si>
  <si>
    <t>2649 Esthner Court</t>
  </si>
  <si>
    <t>1050 N. Mosley</t>
  </si>
  <si>
    <t>535 S. Emerson</t>
  </si>
  <si>
    <t>800 N River</t>
  </si>
  <si>
    <t>Derby, KS, 67037</t>
  </si>
  <si>
    <t>1851 S. Eisenhower</t>
  </si>
  <si>
    <t>South West Maintenance Area Zone 6</t>
  </si>
  <si>
    <t>Basel Airport, KS, CH-4030</t>
  </si>
  <si>
    <t>439 Nw Rd</t>
  </si>
  <si>
    <t>220 N. Vine</t>
  </si>
  <si>
    <t>4015 W May St</t>
  </si>
  <si>
    <t>9424 E 37Th St N Ste 300</t>
  </si>
  <si>
    <t>Wichita, KS, 67226</t>
  </si>
  <si>
    <t>4174 S. Oliver</t>
  </si>
  <si>
    <t>420 West Lincoln Blvd</t>
  </si>
  <si>
    <t>Hesston, KS, 67062</t>
  </si>
  <si>
    <t>5935 Corporate Drive</t>
  </si>
  <si>
    <t>Manhattan, KS, 66503</t>
  </si>
  <si>
    <t>612 South 45Th Street East</t>
  </si>
  <si>
    <t>Muskogee, OK, 74403</t>
  </si>
  <si>
    <t>2946 S. Hydraulic</t>
  </si>
  <si>
    <t>1830 E. Industrial</t>
  </si>
  <si>
    <t>1919 E Northern St</t>
  </si>
  <si>
    <t>1827 Atchison Drive</t>
  </si>
  <si>
    <t>Norman, OK, 73069</t>
  </si>
  <si>
    <t>7445 E. Lancaster</t>
  </si>
  <si>
    <t>Fort Worth, TX, 76112</t>
  </si>
  <si>
    <t>5201 E. 36Th St. N.</t>
  </si>
  <si>
    <t>Wichita, KS, 67220-3206</t>
  </si>
  <si>
    <t>7707 E. Funston</t>
  </si>
  <si>
    <t>Wichita, KS, 67207</t>
  </si>
  <si>
    <t>316 N Washington Ave</t>
  </si>
  <si>
    <t>3979 N. Woodlawn Ct Ste 2</t>
  </si>
  <si>
    <t>Belaire, KS, 67220</t>
  </si>
  <si>
    <t>1330 N. 81 Bypass</t>
  </si>
  <si>
    <t>5555 N. 119Th St. W.</t>
  </si>
  <si>
    <t>Maize, KS, 67101</t>
  </si>
  <si>
    <t>3409 W Harry</t>
  </si>
  <si>
    <t>714 N. Oliver Rd</t>
  </si>
  <si>
    <t>Newton, KS, 67114</t>
  </si>
  <si>
    <t>4504 Ne 36Th St</t>
  </si>
  <si>
    <t>1850 E. 53Rd St. North</t>
  </si>
  <si>
    <t>5111 E 21St St N</t>
  </si>
  <si>
    <t>Wichita, KS, 67208</t>
  </si>
  <si>
    <t>16210 E Marshall</t>
  </si>
  <si>
    <t>229 S. Water St.</t>
  </si>
  <si>
    <t>Derby, KS, 67037-1514</t>
  </si>
  <si>
    <t>8000 E 23Rd Street</t>
  </si>
  <si>
    <t>Kansas City, MO, 64129</t>
  </si>
  <si>
    <t>305 Nw 11Th</t>
  </si>
  <si>
    <t>Blue Springs, MO, 64015</t>
  </si>
  <si>
    <t>808 S Hillside</t>
  </si>
  <si>
    <t>2601 S Sheridan</t>
  </si>
  <si>
    <t>Wichita, KS, 67215</t>
  </si>
  <si>
    <t>700 E. 10Th St. N.</t>
  </si>
  <si>
    <t>1200 S. Buckeye</t>
  </si>
  <si>
    <t xml:space="preserve">Abilene, KS, </t>
  </si>
  <si>
    <t>450-3 Winks Lane</t>
  </si>
  <si>
    <t>Bensalem, PA, 19020</t>
  </si>
  <si>
    <t>2750 S. Rock Road</t>
  </si>
  <si>
    <t>Wichita, KS, 67210-1824</t>
  </si>
  <si>
    <t>1621 W. First</t>
  </si>
  <si>
    <t>400 Fentress Blvd</t>
  </si>
  <si>
    <t>Daytona Beach, FL, 32114</t>
  </si>
  <si>
    <t>507 Industrial Way</t>
  </si>
  <si>
    <t>Boynton Beach, FL, 33426</t>
  </si>
  <si>
    <t>14600-1 Duval Place West</t>
  </si>
  <si>
    <t>Jacksonville, FL, 32218</t>
  </si>
  <si>
    <t>3334 N. Woodland</t>
  </si>
  <si>
    <t>8601 E. Cornhusker Hwy.</t>
  </si>
  <si>
    <t>Lincoln, NE, 68507</t>
  </si>
  <si>
    <t>Pque. Ind El Marques</t>
  </si>
  <si>
    <t>Retorno El Marques #4F</t>
  </si>
  <si>
    <t>El Marques, MX - QE, 76246</t>
  </si>
  <si>
    <t>One Learjet Way</t>
  </si>
  <si>
    <t>200 Industrial Drive</t>
  </si>
  <si>
    <t>Mulvane, KS, 67110-9203</t>
  </si>
  <si>
    <t xml:space="preserve">, KS, </t>
  </si>
  <si>
    <t>500 S. Spencer Road</t>
  </si>
  <si>
    <t>8059 N. Hillside</t>
  </si>
  <si>
    <t>Valley Center, KS, 67147</t>
  </si>
  <si>
    <t>6045 N. Broadway</t>
  </si>
  <si>
    <t>415 E Dundee</t>
  </si>
  <si>
    <t>Ottawa, KS, 66067</t>
  </si>
  <si>
    <t>115 S Euclid Ave</t>
  </si>
  <si>
    <t>Bloomington, IL, 61701-4785</t>
  </si>
  <si>
    <t>1408 N. Barwise</t>
  </si>
  <si>
    <t>1417 N Barwise</t>
  </si>
  <si>
    <t>975 N. Service Road, West</t>
  </si>
  <si>
    <t>Sullivan, MO, 63080</t>
  </si>
  <si>
    <t>7016 Baker Blvd</t>
  </si>
  <si>
    <t>Richland Hills, TX, 76118</t>
  </si>
  <si>
    <t>2120 S. Custer</t>
  </si>
  <si>
    <t>2121 S. Edwards</t>
  </si>
  <si>
    <t>25 West Miller Rd</t>
  </si>
  <si>
    <t>Iola, KS, 66749</t>
  </si>
  <si>
    <t>3330 E. 83Rd Place</t>
  </si>
  <si>
    <t>Merrillville, IN, 46410</t>
  </si>
  <si>
    <t>537 28Th Street</t>
  </si>
  <si>
    <t>Belleville, KS, 66935</t>
  </si>
  <si>
    <t>207 Buttry Rd</t>
  </si>
  <si>
    <t>Rogers, AR, 72756</t>
  </si>
  <si>
    <t>905 W Broadway</t>
  </si>
  <si>
    <t>Webb City, MO, 64870</t>
  </si>
  <si>
    <t>1701 South Hoover Rd</t>
  </si>
  <si>
    <t>3717 N Ridgewood</t>
  </si>
  <si>
    <t>Wichita, KS, 67220</t>
  </si>
  <si>
    <t>8116 E Hwy 166</t>
  </si>
  <si>
    <t>Arkansas City, KS, 67005</t>
  </si>
  <si>
    <t>206 N Griffith St Ste B</t>
  </si>
  <si>
    <t>El Dorado, KS, 67042</t>
  </si>
  <si>
    <t>2300 W Windsor Court, Suite C</t>
  </si>
  <si>
    <t>Addison, IL, 60101</t>
  </si>
  <si>
    <t>1802 W. Mccormick</t>
  </si>
  <si>
    <t>6262 W. 34Th Street South</t>
  </si>
  <si>
    <t>4500 E. 142Nd St</t>
  </si>
  <si>
    <t>Grandview, MO, 64030</t>
  </si>
  <si>
    <t>10900 E. 26Th St. N.</t>
  </si>
  <si>
    <t>1009 S West Street</t>
  </si>
  <si>
    <t>4208 S. 74Th East Avenue</t>
  </si>
  <si>
    <t>400 East Foster Road</t>
  </si>
  <si>
    <t>Mannford, OK, 74044</t>
  </si>
  <si>
    <t>205 Prairie Lake Road, Unit B</t>
  </si>
  <si>
    <t>East Dundee, IL, 60118</t>
  </si>
  <si>
    <t>823 S. 81 Bypass</t>
  </si>
  <si>
    <t>1510 N Old Deerfield Rd, Unit 206</t>
  </si>
  <si>
    <t>Highland Park, IL, 60035</t>
  </si>
  <si>
    <t>1720 North Oliver</t>
  </si>
  <si>
    <t>2626 S. Sheridan</t>
  </si>
  <si>
    <t>Wichita, KS, 67217-0249</t>
  </si>
  <si>
    <t>1927 Ne 40Th Ave.</t>
  </si>
  <si>
    <t>Hudson, KS, 67545</t>
  </si>
  <si>
    <t>1810 Caroline Ave. F206</t>
  </si>
  <si>
    <t>Junction City, KS, 66441</t>
  </si>
  <si>
    <t>6919 E Harry St</t>
  </si>
  <si>
    <t>1216 Hwy 224</t>
  </si>
  <si>
    <t>Humboldt, KS, 66748</t>
  </si>
  <si>
    <t>311 Cain Drive #5</t>
  </si>
  <si>
    <t>Haysville, KS, 67146</t>
  </si>
  <si>
    <t>433 N Rock Island St</t>
  </si>
  <si>
    <t>Wichita, KS, 67202</t>
  </si>
  <si>
    <t>1835 Dover Dr.</t>
  </si>
  <si>
    <t>Salina, KS, 67047</t>
  </si>
  <si>
    <t>4420 W. 29Th Cir. S.</t>
  </si>
  <si>
    <t>123 E. 4Th</t>
  </si>
  <si>
    <t>1831 S. Hoover Ct.</t>
  </si>
  <si>
    <t>901 S. West Street</t>
  </si>
  <si>
    <t>7718 W 53Rd N</t>
  </si>
  <si>
    <t>2300 N Nelson Dr, Unit #12</t>
  </si>
  <si>
    <t>2035 Beechcraft Rd</t>
  </si>
  <si>
    <t>4025 E. 23Rd Street</t>
  </si>
  <si>
    <t>Columbus, NE, 68601-0569</t>
  </si>
  <si>
    <t>343 Ellis</t>
  </si>
  <si>
    <t>4224 Esthner</t>
  </si>
  <si>
    <t>8250 E. Marion, Suite 100</t>
  </si>
  <si>
    <t>1019 S Mclean Blvd</t>
  </si>
  <si>
    <t>1019 Mclean Blvd South</t>
  </si>
  <si>
    <t>1520 N. 170Th East Avenue</t>
  </si>
  <si>
    <t>7474 Garden Grove Blvd</t>
  </si>
  <si>
    <t>Houston, CA, 92683</t>
  </si>
  <si>
    <t>6924 S Eastern Ave</t>
  </si>
  <si>
    <t>Oklahoma City, OK, 73149</t>
  </si>
  <si>
    <t>2005 Montgomery St</t>
  </si>
  <si>
    <t>Ft Worth, TX, 76107</t>
  </si>
  <si>
    <t>1639 N. Brunswick</t>
  </si>
  <si>
    <t>3400 N Broadway</t>
  </si>
  <si>
    <t>1475 West Stone Field Way</t>
  </si>
  <si>
    <t>Pleasant View, UT, 84404</t>
  </si>
  <si>
    <t>4840 E 12Th St</t>
  </si>
  <si>
    <t>Kansas City, MO, 64127</t>
  </si>
  <si>
    <t>4601 N. Tyler</t>
  </si>
  <si>
    <t>121 Front Street</t>
  </si>
  <si>
    <t>Blossom, TX, 75416</t>
  </si>
  <si>
    <t>1115 So. Pioneer Rd.</t>
  </si>
  <si>
    <t>Salt Lake City, UT, 84104</t>
  </si>
  <si>
    <t>5401 F Street</t>
  </si>
  <si>
    <t>Omaha, NE, 68117</t>
  </si>
  <si>
    <t>506 Jack Mountain Road</t>
  </si>
  <si>
    <t>5252 E. 36Th Street North</t>
  </si>
  <si>
    <t>1520 E. Douglas</t>
  </si>
  <si>
    <t>300 N. River</t>
  </si>
  <si>
    <t>1210 N. Haverhill Rd.</t>
  </si>
  <si>
    <t>740 S. Wichita Street</t>
  </si>
  <si>
    <t>1305 W Belt Line Rd</t>
  </si>
  <si>
    <t>Suite 301 &amp; 311</t>
  </si>
  <si>
    <t>Carrollton, TX, 75006</t>
  </si>
  <si>
    <t>14918 Sw 35Th St</t>
  </si>
  <si>
    <t>Benton, KS, 67017</t>
  </si>
  <si>
    <t>3323 Maple</t>
  </si>
  <si>
    <t>Wichita, KS, 67277-2290</t>
  </si>
  <si>
    <t>6640 185Th Ave Ne</t>
  </si>
  <si>
    <t>Redmond, WA, 98052</t>
  </si>
  <si>
    <t>38215 West 15Th St. South</t>
  </si>
  <si>
    <t>3301 S. Hoover Road</t>
  </si>
  <si>
    <t>8215 E. 39 South</t>
  </si>
  <si>
    <t>70 South Gray Street</t>
  </si>
  <si>
    <t>Indianapolis, IN, 46201</t>
  </si>
  <si>
    <t>1151 E. Cypresswood Drive</t>
  </si>
  <si>
    <t>Spring, TX, 77373</t>
  </si>
  <si>
    <t>242 Industrial Drive</t>
  </si>
  <si>
    <t>Mulvane, KS, 67110</t>
  </si>
  <si>
    <t>301 N. River Road</t>
  </si>
  <si>
    <t>1720 East Morris, Suite 113</t>
  </si>
  <si>
    <t>1936 North A</t>
  </si>
  <si>
    <t>1806 S Highland Avenue</t>
  </si>
  <si>
    <t>Clearwater, FL, 33756</t>
  </si>
  <si>
    <t>3939 W 29Th St S</t>
  </si>
  <si>
    <t>Wichita, KS, 67217</t>
  </si>
  <si>
    <t>1015 W. Woodside</t>
  </si>
  <si>
    <t>3713 W. 30Th St. S.</t>
  </si>
  <si>
    <t>2777 Hwy 69A, Dock 5</t>
  </si>
  <si>
    <t>Pryor, OK, 74361</t>
  </si>
  <si>
    <t>2777 Hwy 69A</t>
  </si>
  <si>
    <t>2845 Cr 1900</t>
  </si>
  <si>
    <t>Havana, KS, 67347</t>
  </si>
  <si>
    <t>10400 S. 119Th St. West</t>
  </si>
  <si>
    <t>Clearwater, KS, 67026</t>
  </si>
  <si>
    <t>4219 Irving</t>
  </si>
  <si>
    <t>1151 E. Cypresswood</t>
  </si>
  <si>
    <t>2332 S. Brown St.</t>
  </si>
  <si>
    <t>10200 W. York St.</t>
  </si>
  <si>
    <t>2535 S. Leonine</t>
  </si>
  <si>
    <t>949 N. Highway 14</t>
  </si>
  <si>
    <t>Harper, KS, 67058</t>
  </si>
  <si>
    <t>3707 W 30Th St S</t>
  </si>
  <si>
    <t>1701 Johnson Industrial Dr.</t>
  </si>
  <si>
    <t>Excelsior Springs, MO, 64024</t>
  </si>
  <si>
    <t>700 Medical Center Drive Ste. 150</t>
  </si>
  <si>
    <t>2060 E. Tulsa</t>
  </si>
  <si>
    <t>33 Bentall Street</t>
  </si>
  <si>
    <t>Winnipeg, MB, R2X 2Z7</t>
  </si>
  <si>
    <t>606 North Front Street</t>
  </si>
  <si>
    <t>1648 W. Magnolia Rd.</t>
  </si>
  <si>
    <t>1756 S. 151St Street West</t>
  </si>
  <si>
    <t>Goddard, KS, 67052</t>
  </si>
  <si>
    <t>845 Armourdale Parkway</t>
  </si>
  <si>
    <t>Kansas City, KS, 66105-2103</t>
  </si>
  <si>
    <t>1600 N. Halstead</t>
  </si>
  <si>
    <t>Hutchinson, KS, 67504-1800</t>
  </si>
  <si>
    <t>1830 E. Sixth St.</t>
  </si>
  <si>
    <t>Concordia, KS, 66901</t>
  </si>
  <si>
    <t>3525 W Esthner</t>
  </si>
  <si>
    <t>3434 N. Comotara</t>
  </si>
  <si>
    <t>2311 S. Edwards</t>
  </si>
  <si>
    <t>401 S. Marion</t>
  </si>
  <si>
    <t>Colwich, KS, 67030</t>
  </si>
  <si>
    <t>4900 East 39Th Avenue</t>
  </si>
  <si>
    <t>Denver, CO, 80207-1012</t>
  </si>
  <si>
    <t>415 W 6Th Ave</t>
  </si>
  <si>
    <t>South Hutchinson, KS, 67505</t>
  </si>
  <si>
    <t>315 N Hillside, Ste A</t>
  </si>
  <si>
    <t>3600 N. Hydraulic</t>
  </si>
  <si>
    <t>5605 N. 119Th West</t>
  </si>
  <si>
    <t>509 N. Cline Rd.</t>
  </si>
  <si>
    <t>7121 Southwest Blvd</t>
  </si>
  <si>
    <t>3737 Midco</t>
  </si>
  <si>
    <t>5800 E. Pawnee</t>
  </si>
  <si>
    <t>Wichita, KS, 67218</t>
  </si>
  <si>
    <t>5801 Denton Highway</t>
  </si>
  <si>
    <t>Fort Worth, TX, 76148-3758</t>
  </si>
  <si>
    <t>625 E 10Th St</t>
  </si>
  <si>
    <t>Great Bend, KS, 67530</t>
  </si>
  <si>
    <t>3435 W. Harry</t>
  </si>
  <si>
    <t>2110 N. Ash</t>
  </si>
  <si>
    <t>Ponca City, OK, 74601</t>
  </si>
  <si>
    <t>2505 S. Custer</t>
  </si>
  <si>
    <t>Wichita, KS, 67217-0364</t>
  </si>
  <si>
    <t>16100 Dilllard Drive</t>
  </si>
  <si>
    <t>Jersey Village, TX, 77040</t>
  </si>
  <si>
    <t>103 N. Lawrence</t>
  </si>
  <si>
    <t>Anthony, KS, 67003</t>
  </si>
  <si>
    <t>4125 W. Pawnee</t>
  </si>
  <si>
    <t>5440 Alder</t>
  </si>
  <si>
    <t>Houston, TX, 77081</t>
  </si>
  <si>
    <t>1741 S. Hoover Ct</t>
  </si>
  <si>
    <t>6013-A Techni Center Drive</t>
  </si>
  <si>
    <t>Austin, TX, 78721</t>
  </si>
  <si>
    <t>2510 W 6Th Ave</t>
  </si>
  <si>
    <t>1800 S.E. 9Th St</t>
  </si>
  <si>
    <t>2734 Arnold Court</t>
  </si>
  <si>
    <t>713 N. 20Th Street</t>
  </si>
  <si>
    <t>Independence, KS, 67301</t>
  </si>
  <si>
    <t>2602 Pinewood Dr</t>
  </si>
  <si>
    <t>Grand Prairie, TX, 75051-3515</t>
  </si>
  <si>
    <t>2950 South All Hallows</t>
  </si>
  <si>
    <t>4611 E 31St South</t>
  </si>
  <si>
    <t>3050 S. Hydraulic</t>
  </si>
  <si>
    <t>1713 230Th Ave.</t>
  </si>
  <si>
    <t>Hays, KS, 67601</t>
  </si>
  <si>
    <t>701A N Main St</t>
  </si>
  <si>
    <t>101 W. Olive</t>
  </si>
  <si>
    <t>500 West First</t>
  </si>
  <si>
    <t>877 Vernon Way</t>
  </si>
  <si>
    <t>El Cajon, CA, 92020</t>
  </si>
  <si>
    <t>2617 S. Hoover Rd</t>
  </si>
  <si>
    <t>1 Cessna Blvd</t>
  </si>
  <si>
    <t>2617 S. Hoover</t>
  </si>
  <si>
    <t>14115 Russ Meyer Blvd</t>
  </si>
  <si>
    <t xml:space="preserve">Independence, KS, </t>
  </si>
  <si>
    <t>2617 S Hoover Rd</t>
  </si>
  <si>
    <t>Wichita, KS, 67215-1424</t>
  </si>
  <si>
    <t>5338 W. 21St N., Suite 100</t>
  </si>
  <si>
    <t>Po Box 12917</t>
  </si>
  <si>
    <t>2605 S. Hoover</t>
  </si>
  <si>
    <t>2121 S. Hoover Rd.</t>
  </si>
  <si>
    <t>One Cessna Blvd. Bldg. W21,De</t>
  </si>
  <si>
    <t>410 E. Atkinson Suite A</t>
  </si>
  <si>
    <t>Pittsburg, KS, 66762</t>
  </si>
  <si>
    <t>1206 N. Oliver Rd</t>
  </si>
  <si>
    <t>One Enersys Rd.</t>
  </si>
  <si>
    <t>8575 W 110Th St. Ste 205</t>
  </si>
  <si>
    <t>Overland Park, KS, 66210</t>
  </si>
  <si>
    <t>10002 E 43Rd St S</t>
  </si>
  <si>
    <t>Tulsa, OK, 74146</t>
  </si>
  <si>
    <t>23500 E Mo-78 Hwy</t>
  </si>
  <si>
    <t>Independence, MO, 64056</t>
  </si>
  <si>
    <t>1000 Factory Street</t>
  </si>
  <si>
    <t>Eminence, MO, 65466</t>
  </si>
  <si>
    <t>101 N. Central</t>
  </si>
  <si>
    <t>9301 Innovation Dr., Suite 103</t>
  </si>
  <si>
    <t>Daleville, IN, 47334</t>
  </si>
  <si>
    <t>330 Governors Highway</t>
  </si>
  <si>
    <t>South Windsor, CT, 06074</t>
  </si>
  <si>
    <t>2600 South Custer</t>
  </si>
  <si>
    <t>Wichita, KS, 67217-9960</t>
  </si>
  <si>
    <t>306 East Paisano Dr</t>
  </si>
  <si>
    <t>Pmb 784</t>
  </si>
  <si>
    <t>El Paso, TX, 79901</t>
  </si>
  <si>
    <t>700 W. Central, Ste. 205</t>
  </si>
  <si>
    <t>1101 Wilbur Ln</t>
  </si>
  <si>
    <t>4606 W Harry</t>
  </si>
  <si>
    <t>4949 S 83Rd E Ave</t>
  </si>
  <si>
    <t>Tulsa, OK, 74145-6919</t>
  </si>
  <si>
    <t>3401 E 4Th St.</t>
  </si>
  <si>
    <t>15111 W. Lynndale</t>
  </si>
  <si>
    <t>Wichita, KS, 67235</t>
  </si>
  <si>
    <t>4738 W. 31St St. South</t>
  </si>
  <si>
    <t>6601 W Pueblo Dr.</t>
  </si>
  <si>
    <t>2610 S Sheridan</t>
  </si>
  <si>
    <t>7411 Hines Place Suite 126</t>
  </si>
  <si>
    <t>Dallas, TX, 75235-4023</t>
  </si>
  <si>
    <t>2301 S. Water</t>
  </si>
  <si>
    <t>Wichita, KS, 67213-4819</t>
  </si>
  <si>
    <t>5 Corporate Parkway</t>
  </si>
  <si>
    <t>Goose Creek, SC, 29445</t>
  </si>
  <si>
    <t>8200 E. Irving</t>
  </si>
  <si>
    <t>3323 E 82Nd St</t>
  </si>
  <si>
    <t>Meriden, KS, 66512</t>
  </si>
  <si>
    <t>455 N Water St</t>
  </si>
  <si>
    <t>8710 E. 34Th St North</t>
  </si>
  <si>
    <t>800 E 37Th St N</t>
  </si>
  <si>
    <t>1935 S. Mead</t>
  </si>
  <si>
    <t>100 Airport Road</t>
  </si>
  <si>
    <t>Sabetha, KS, 66534</t>
  </si>
  <si>
    <t>510 N. Oliver Rd.</t>
  </si>
  <si>
    <t>21902 64Th Ave. S</t>
  </si>
  <si>
    <t>Kent, WA, 98032-4842</t>
  </si>
  <si>
    <t>3256 E. Country Club Rd.</t>
  </si>
  <si>
    <t>4556 Airport Rd</t>
  </si>
  <si>
    <t>Cincinnati, OH, 45226</t>
  </si>
  <si>
    <t>14344 W. 96Th Terrace</t>
  </si>
  <si>
    <t>Lenexa, KS, 66215</t>
  </si>
  <si>
    <t>200 S Ridge Rd</t>
  </si>
  <si>
    <t>4261 S West Street</t>
  </si>
  <si>
    <t>Wichita, KS, 67217-3813</t>
  </si>
  <si>
    <t>Wichita, KS, 67209-2730</t>
  </si>
  <si>
    <t>15555 North 79Th Place</t>
  </si>
  <si>
    <t>Scottsdale, AZ, 85260</t>
  </si>
  <si>
    <t>6601 S. Ridge</t>
  </si>
  <si>
    <t>3901 N Kimball Drive</t>
  </si>
  <si>
    <t>Kansas City, MO, 64161-9480</t>
  </si>
  <si>
    <t>1040 Ocl Parkway</t>
  </si>
  <si>
    <t>Eudora, KS, 66025</t>
  </si>
  <si>
    <t>1100 S Pipeline Road</t>
  </si>
  <si>
    <t>Euless, TX, 76039</t>
  </si>
  <si>
    <t>2952 N. Arkansas Ave</t>
  </si>
  <si>
    <t>621 W St John</t>
  </si>
  <si>
    <t>Girard, KS, 66743</t>
  </si>
  <si>
    <t>6651 Will Rogers Blvd.</t>
  </si>
  <si>
    <t>Fort Worth, TX, 76140</t>
  </si>
  <si>
    <t>2210 S. Edwards</t>
  </si>
  <si>
    <t>415 Airport Rd</t>
  </si>
  <si>
    <t>16531 Southwest 190Th Road</t>
  </si>
  <si>
    <t>202 W 11Th St N</t>
  </si>
  <si>
    <t>1107 S. West St # E10267</t>
  </si>
  <si>
    <t>1330 E. 37Th St. N.</t>
  </si>
  <si>
    <t>3299 Sw 9Th Avenue</t>
  </si>
  <si>
    <t>Ft. Lauderdale, FL, 33315-3000</t>
  </si>
  <si>
    <t>1845 S Sheridan</t>
  </si>
  <si>
    <t>2129 E 98 North</t>
  </si>
  <si>
    <t>3833 N. Watercross</t>
  </si>
  <si>
    <t>209 E. Young St.</t>
  </si>
  <si>
    <t>3300 South Ceader</t>
  </si>
  <si>
    <t>Borger, TX, 79007</t>
  </si>
  <si>
    <t>319 S. Oak St.</t>
  </si>
  <si>
    <t>1408 S Osage</t>
  </si>
  <si>
    <t>1714 S Baehr</t>
  </si>
  <si>
    <t>201 Old Boiling Springs Road</t>
  </si>
  <si>
    <t>Shelby, NC, 28152-8008</t>
  </si>
  <si>
    <t>4209 Jayhawk Dr</t>
  </si>
  <si>
    <t>Dodge City, KS, 67801</t>
  </si>
  <si>
    <t>3434 Comotara St.</t>
  </si>
  <si>
    <t>100 James H. Cross Blvd.</t>
  </si>
  <si>
    <t>Lewis, KS, 67552</t>
  </si>
  <si>
    <t>204 Simpson St</t>
  </si>
  <si>
    <t>901 Canterbury Drive</t>
  </si>
  <si>
    <t>3628 S West Street</t>
  </si>
  <si>
    <t>3809 Melcer Drive</t>
  </si>
  <si>
    <t>Rowlett, TX, 75088</t>
  </si>
  <si>
    <t>11701 W Kellogg</t>
  </si>
  <si>
    <t>5844 N. Broadway</t>
  </si>
  <si>
    <t>4500 West Harry</t>
  </si>
  <si>
    <t>2630 Ne Hagen Rd</t>
  </si>
  <si>
    <t>Lee'S Summit, MO, 64064</t>
  </si>
  <si>
    <t>425 S. Greenwood Street</t>
  </si>
  <si>
    <t>508 N Meridian Ave.</t>
  </si>
  <si>
    <t>N25 W23287 Paul Rd</t>
  </si>
  <si>
    <t>Pewaukee, WI, 53072</t>
  </si>
  <si>
    <t>Carl-Benz-Straße 34</t>
  </si>
  <si>
    <t>Bietigheim-Bissingen, KS, D-74321</t>
  </si>
  <si>
    <t>Bureau 203</t>
  </si>
  <si>
    <t>666 Sherbrooke Ouest</t>
  </si>
  <si>
    <t>Montreal, QC, H3A 1E7</t>
  </si>
  <si>
    <t>1505 S Maiden Lane</t>
  </si>
  <si>
    <t>Joplin, MO, 64801</t>
  </si>
  <si>
    <t>3333 Main Street</t>
  </si>
  <si>
    <t>Parsons, KS, 67357</t>
  </si>
  <si>
    <t>171 Stacey Rd</t>
  </si>
  <si>
    <t>Coxsackie, NY, 12051</t>
  </si>
  <si>
    <t>1517 N Santa Fe</t>
  </si>
  <si>
    <t>1 S. Lorraine</t>
  </si>
  <si>
    <t>1524 Pleasantview</t>
  </si>
  <si>
    <t>16801 W. 116Th St.</t>
  </si>
  <si>
    <t>Lenexa, KS, 66219</t>
  </si>
  <si>
    <t>536 W 4Th Ave</t>
  </si>
  <si>
    <t>Garnett, KS, 66032</t>
  </si>
  <si>
    <t>170 Cain Drive</t>
  </si>
  <si>
    <t>723 E. Spring</t>
  </si>
  <si>
    <t>Conway Springs, KS, 67031</t>
  </si>
  <si>
    <t>219 W. Sixth</t>
  </si>
  <si>
    <t>Augusta, KS, 67010-0278</t>
  </si>
  <si>
    <t>D-J Aerospace, Inc.</t>
  </si>
  <si>
    <t>#12 Aim High Corner Commitment Street</t>
  </si>
  <si>
    <t>Subic Bay Freeport Zone, KS, 67010</t>
  </si>
  <si>
    <t>721 E. Murdock</t>
  </si>
  <si>
    <t>27 Clark Ave, Ind. Park #2</t>
  </si>
  <si>
    <t>449 N. Water</t>
  </si>
  <si>
    <t>1632 N Moseley</t>
  </si>
  <si>
    <t>6916 W. Harry</t>
  </si>
  <si>
    <t>The Landmark @ One Market, Suite 300</t>
  </si>
  <si>
    <t>4224 Esthner St</t>
  </si>
  <si>
    <t>301 Levee Drive</t>
  </si>
  <si>
    <t>142 W Burns</t>
  </si>
  <si>
    <t>Norwich, KS, 67118-0008</t>
  </si>
  <si>
    <t>805 E. Boston Ave</t>
  </si>
  <si>
    <t>5252 E 36Th Street North</t>
  </si>
  <si>
    <t>Wichita, KS, 67220-3205</t>
  </si>
  <si>
    <t>207 W. 3Rd Avenue</t>
  </si>
  <si>
    <t>Augusta, KS, 67010</t>
  </si>
  <si>
    <t>105 S. Glenn St.</t>
  </si>
  <si>
    <t>Ulysses, KS, 67880</t>
  </si>
  <si>
    <t>3718 N Rock Road, Ste 100</t>
  </si>
  <si>
    <t>1745 S Maize Rd</t>
  </si>
  <si>
    <t>7016 Pueblo - Suite B</t>
  </si>
  <si>
    <t>Wichita, KS, 67209-2937</t>
  </si>
  <si>
    <t>1738 N. Mosley</t>
  </si>
  <si>
    <t>1539 S. St. Paul</t>
  </si>
  <si>
    <t>901 Industrial Rd</t>
  </si>
  <si>
    <t>6900 Nw 63Rd St.</t>
  </si>
  <si>
    <t>Bethany, OK, 73008-1759</t>
  </si>
  <si>
    <t>914 Industrial Rd</t>
  </si>
  <si>
    <t>907 Industrial Rd</t>
  </si>
  <si>
    <t>1200 N. Halstead</t>
  </si>
  <si>
    <t>4848 W Irving St</t>
  </si>
  <si>
    <t>4848 S. Irving</t>
  </si>
  <si>
    <t>2941 N Governeour St #111</t>
  </si>
  <si>
    <t>6545 W Pueblo Ct</t>
  </si>
  <si>
    <t>33492 Highway 125</t>
  </si>
  <si>
    <t>Walden, CO, 80480</t>
  </si>
  <si>
    <t>429 N West Road</t>
  </si>
  <si>
    <t>Wellington, KS, 67152-8047</t>
  </si>
  <si>
    <t>174 Millennium Dr.</t>
  </si>
  <si>
    <t>Orangeburg, SC, 29115</t>
  </si>
  <si>
    <t>200 W. 1St Street</t>
  </si>
  <si>
    <t>Eureka, KS, 67045</t>
  </si>
  <si>
    <t>273 Adams Street</t>
  </si>
  <si>
    <t>Manchester, CT, 06042</t>
  </si>
  <si>
    <t>616 S. Lightener</t>
  </si>
  <si>
    <t>2202 S West</t>
  </si>
  <si>
    <t>126 Main St.</t>
  </si>
  <si>
    <t>Halstead, KS, 67056</t>
  </si>
  <si>
    <t>3950 E. 8Th Street</t>
  </si>
  <si>
    <t>4140 World Houston Pkwy</t>
  </si>
  <si>
    <t>Suite 130</t>
  </si>
  <si>
    <t>Houston, TX, 77032</t>
  </si>
  <si>
    <t>4140 World Houston Parkway</t>
  </si>
  <si>
    <t>Houston, TX, 77032-2469</t>
  </si>
  <si>
    <t>13206 S. Willison</t>
  </si>
  <si>
    <t>Haven, KS, 67543</t>
  </si>
  <si>
    <t>1801 E. South Street</t>
  </si>
  <si>
    <t>Hastings, NE, 68901</t>
  </si>
  <si>
    <t>815 Kirkley Blvd.</t>
  </si>
  <si>
    <t>Belton, TX, 76513</t>
  </si>
  <si>
    <t>4959 Lulu Ct</t>
  </si>
  <si>
    <t>1522 S. Florence</t>
  </si>
  <si>
    <t>123 N Jennings Ave.</t>
  </si>
  <si>
    <t>1501 S. Mclean</t>
  </si>
  <si>
    <t>Wichita, KS, 67213-4303</t>
  </si>
  <si>
    <t>202 E. Dean</t>
  </si>
  <si>
    <t>Burrton, KS, 67020</t>
  </si>
  <si>
    <t>1221 E Murdock</t>
  </si>
  <si>
    <t>4201 S. 119Th St. W.</t>
  </si>
  <si>
    <t>Wichita, KS, 67215-9100</t>
  </si>
  <si>
    <t>3301 House Anderson Rd.</t>
  </si>
  <si>
    <t>3066 S. Hoover</t>
  </si>
  <si>
    <t>Wichita, KS, 67215-1219</t>
  </si>
  <si>
    <t>772 Nw Road</t>
  </si>
  <si>
    <t>Riverdale, KS, 67152</t>
  </si>
  <si>
    <t>1754 S. Leonine</t>
  </si>
  <si>
    <t xml:space="preserve">Wichita, KS, </t>
  </si>
  <si>
    <t>500 Gulfstream Road</t>
  </si>
  <si>
    <t>Savannah, GA, 31408</t>
  </si>
  <si>
    <t>405 E. 14Th Ave.</t>
  </si>
  <si>
    <t>North Kansas City, MO, 64116</t>
  </si>
  <si>
    <t>4503 E 47Th S</t>
  </si>
  <si>
    <t>142 James S Mcdonnell Blvd</t>
  </si>
  <si>
    <t>Hazelwood, MO, 63042</t>
  </si>
  <si>
    <t>3030 Red Hill Ave.</t>
  </si>
  <si>
    <t>Santa Ana, CA, 92705</t>
  </si>
  <si>
    <t>216 S. Sheridan</t>
  </si>
  <si>
    <t>444 Transport Ct</t>
  </si>
  <si>
    <t>Lexington, KY, 40511</t>
  </si>
  <si>
    <t>7016 Pueblo Suite A</t>
  </si>
  <si>
    <t>5615 N Broadway</t>
  </si>
  <si>
    <t>1451 S Spencer Rd</t>
  </si>
  <si>
    <t>1108 Industrial Road</t>
  </si>
  <si>
    <t>Winfield, KS, 67156</t>
  </si>
  <si>
    <t>1711 S. Knight, Unit F</t>
  </si>
  <si>
    <t>1699 West M-43 Highway</t>
  </si>
  <si>
    <t>Hastings, MI, 49058</t>
  </si>
  <si>
    <t>1421 S. Mclean</t>
  </si>
  <si>
    <t>121 Fisher Lane</t>
  </si>
  <si>
    <t>Dover, AR, 72837</t>
  </si>
  <si>
    <t>2621 S. Custer Avenue</t>
  </si>
  <si>
    <t>Bldg 807 Marshall Dr</t>
  </si>
  <si>
    <t>Fort Riley, KS, 66442</t>
  </si>
  <si>
    <t>9313 East 39Th Street North</t>
  </si>
  <si>
    <t>10180 S.W. Blvd</t>
  </si>
  <si>
    <t>3730 Midco</t>
  </si>
  <si>
    <t>4027 E. 37Th Street North</t>
  </si>
  <si>
    <t>515 E 29Th N</t>
  </si>
  <si>
    <t>515 E. 29Th St North</t>
  </si>
  <si>
    <t>64353 E 290 Rd</t>
  </si>
  <si>
    <t>Grove, OK, 74344</t>
  </si>
  <si>
    <t>1128 Airport Road</t>
  </si>
  <si>
    <t>1090 E 37Th St N</t>
  </si>
  <si>
    <t>10800 E. Central</t>
  </si>
  <si>
    <t>Wichita, KS, 67206</t>
  </si>
  <si>
    <t>1601 E 77Th St N</t>
  </si>
  <si>
    <t>Park City, KS, 67147</t>
  </si>
  <si>
    <t>1550 S West St</t>
  </si>
  <si>
    <t>631 Industrial Park Rd.</t>
  </si>
  <si>
    <t>Belle Plaine, KS, 67013</t>
  </si>
  <si>
    <t>727 N. Liberty St.</t>
  </si>
  <si>
    <t>Cherryvale, KS, 67335</t>
  </si>
  <si>
    <t>8404 Amy Lane</t>
  </si>
  <si>
    <t>Dittmer, MO, 63023</t>
  </si>
  <si>
    <t>2730 N. Edwards</t>
  </si>
  <si>
    <t>4300 Industrial Avenue</t>
  </si>
  <si>
    <t>Lincoln, NE, 68504</t>
  </si>
  <si>
    <t>2020 E. 19Th</t>
  </si>
  <si>
    <t>1877 N 105Th E Ave</t>
  </si>
  <si>
    <t>3201 Sw I Street</t>
  </si>
  <si>
    <t>Bentonville, AR, 72712</t>
  </si>
  <si>
    <t>1111 Industrial Rd.</t>
  </si>
  <si>
    <t>130 Brookhollow</t>
  </si>
  <si>
    <t>Harahan, LA, 70123</t>
  </si>
  <si>
    <t>1215 East 8Th Street</t>
  </si>
  <si>
    <t>Minneapolis, KS, 67467</t>
  </si>
  <si>
    <t>725 E Skinner St</t>
  </si>
  <si>
    <t>720 Medical Center Dr</t>
  </si>
  <si>
    <t>524 Oil Hill Rd.</t>
  </si>
  <si>
    <t>3017 Full Vision Drive</t>
  </si>
  <si>
    <t>808 E. Lincoln</t>
  </si>
  <si>
    <t>2008 E Highway 50</t>
  </si>
  <si>
    <t>Yankton, SD, 57078</t>
  </si>
  <si>
    <t>554 Jack Mountain Rd.</t>
  </si>
  <si>
    <t>1235 S Mead</t>
  </si>
  <si>
    <t>1851 South Hoover Rd, Ste 300</t>
  </si>
  <si>
    <t>1825 Summit Avenue, Suite 208</t>
  </si>
  <si>
    <t>Plano, TX, 75074</t>
  </si>
  <si>
    <t>1731 S Eisenhower Ct</t>
  </si>
  <si>
    <t>10918 E 55Th Pl</t>
  </si>
  <si>
    <t>113 W Main St</t>
  </si>
  <si>
    <t>Madison, KS, 66860</t>
  </si>
  <si>
    <t>One Fuller Way</t>
  </si>
  <si>
    <t>301 Prairie Village Dr</t>
  </si>
  <si>
    <t>1201 S. Main</t>
  </si>
  <si>
    <t>Mcpherson, KS, 67460-0528</t>
  </si>
  <si>
    <t>1567 East 60Th Avenue North</t>
  </si>
  <si>
    <t>9101 W. 73 Rd N.</t>
  </si>
  <si>
    <t>5700 N. Rockwell</t>
  </si>
  <si>
    <t>Bethany, OK, 73008</t>
  </si>
  <si>
    <t>3015 N. Summmit Street</t>
  </si>
  <si>
    <t>1110 S. 14Th</t>
  </si>
  <si>
    <t>1335 S. Young</t>
  </si>
  <si>
    <t>8710 E 34Th N</t>
  </si>
  <si>
    <t>12909 E.Mainsgate Circle</t>
  </si>
  <si>
    <t>Wichita, KS, 67228</t>
  </si>
  <si>
    <t>31 Otis St</t>
  </si>
  <si>
    <t>West Babylon, NY, 11704</t>
  </si>
  <si>
    <t>6228 S. 161 St W.</t>
  </si>
  <si>
    <t>Sapulpa, OK, 74066</t>
  </si>
  <si>
    <t>236 S Custer</t>
  </si>
  <si>
    <t>1822 S Longfellow Cir, Ste 12</t>
  </si>
  <si>
    <t>7426 South Broadway</t>
  </si>
  <si>
    <t>2237 S West St. Court</t>
  </si>
  <si>
    <t>Wichita, KS, 67213-1100</t>
  </si>
  <si>
    <t>81 Arrowhead Road</t>
  </si>
  <si>
    <t>Inman, KS, 67546</t>
  </si>
  <si>
    <t>115 S. Poplar, Suite 2</t>
  </si>
  <si>
    <t>7239 Acc Boulevard</t>
  </si>
  <si>
    <t>Suite 101</t>
  </si>
  <si>
    <t>Raleigh, NC, 27617</t>
  </si>
  <si>
    <t>1710 N Mosley St</t>
  </si>
  <si>
    <t>1755 S Leonine</t>
  </si>
  <si>
    <t>1106 E. Osie</t>
  </si>
  <si>
    <t>121 W. Railroad Ave.</t>
  </si>
  <si>
    <t>Princeton, IL, 61356-0100</t>
  </si>
  <si>
    <t>2522 S. Laura</t>
  </si>
  <si>
    <t>8974 W Monroe Circle</t>
  </si>
  <si>
    <t>14618 Sw. 173Rd St.</t>
  </si>
  <si>
    <t>684 County Road 50</t>
  </si>
  <si>
    <t>Gove, KS, 67736</t>
  </si>
  <si>
    <t>2204 W. Harry Ct.</t>
  </si>
  <si>
    <t>7420 International Court</t>
  </si>
  <si>
    <t>Bartlesville, OK, 74006</t>
  </si>
  <si>
    <t>1021 E 26Th St N</t>
  </si>
  <si>
    <t>Wichita, KS, 67219-4308</t>
  </si>
  <si>
    <t>6017 S. Oliver</t>
  </si>
  <si>
    <t>4310 Se Blvd</t>
  </si>
  <si>
    <t>2218 W Mary St</t>
  </si>
  <si>
    <t>Garden City, KS, 67846</t>
  </si>
  <si>
    <t>1650 S Mccomas</t>
  </si>
  <si>
    <t>227 Gun Club Road</t>
  </si>
  <si>
    <t>2929 E. 4Th Ave.</t>
  </si>
  <si>
    <t>1002 N Perry St</t>
  </si>
  <si>
    <t>102 Reyer</t>
  </si>
  <si>
    <t>4100 W Blanchard</t>
  </si>
  <si>
    <t>3121 E Cairo</t>
  </si>
  <si>
    <t>Springfield, MO, 65802</t>
  </si>
  <si>
    <t>5920 W. 21St St. N.</t>
  </si>
  <si>
    <t>11890 S Sunset Dr</t>
  </si>
  <si>
    <t>Olathe, KS, 66061</t>
  </si>
  <si>
    <t>3120 N. Mead</t>
  </si>
  <si>
    <t>404 S. Holland</t>
  </si>
  <si>
    <t>2734 W. 93Rd North</t>
  </si>
  <si>
    <t>Mt Hope, KS, 67108</t>
  </si>
  <si>
    <t>3003 S. Edwards</t>
  </si>
  <si>
    <t>8310 E Oak Knoll St</t>
  </si>
  <si>
    <t>1110 N Mosley</t>
  </si>
  <si>
    <t>416 East Fifth St.</t>
  </si>
  <si>
    <t>215 E. 13Th Street</t>
  </si>
  <si>
    <t>Andover, KS, 67002</t>
  </si>
  <si>
    <t>601 N. Ohio</t>
  </si>
  <si>
    <t>540 W Clay</t>
  </si>
  <si>
    <t>430 W. Clay</t>
  </si>
  <si>
    <t>16051 State Highway 47</t>
  </si>
  <si>
    <t>Marthasville, MO, 63357</t>
  </si>
  <si>
    <t>1110 Columbine Dr.</t>
  </si>
  <si>
    <t>Holton, KS, 66436</t>
  </si>
  <si>
    <t>1401 Douglas Road</t>
  </si>
  <si>
    <t>1480 Sw Purity Springs Rd</t>
  </si>
  <si>
    <t>3511 N Ohio</t>
  </si>
  <si>
    <t>9 High Point Rd.</t>
  </si>
  <si>
    <t>1500 Intrastate 35 West</t>
  </si>
  <si>
    <t>Denton, TX, 76207</t>
  </si>
  <si>
    <t>630 N Washington</t>
  </si>
  <si>
    <t>5415 S 101St East Ave</t>
  </si>
  <si>
    <t>Tulsa, OK, 76146</t>
  </si>
  <si>
    <t>1440 Se Broadway Dr</t>
  </si>
  <si>
    <t>Lee'S Summit, MO, 64081</t>
  </si>
  <si>
    <t>1220 Se Broadway Dr</t>
  </si>
  <si>
    <t>1701 N Topeka Blvd</t>
  </si>
  <si>
    <t>Topeka, KS, 66608</t>
  </si>
  <si>
    <t>2670 E. 9Th</t>
  </si>
  <si>
    <t>416 N Gardner St</t>
  </si>
  <si>
    <t>1402 S 69Th E Ave</t>
  </si>
  <si>
    <t>Tulsa, OK, 74112</t>
  </si>
  <si>
    <t>8750 Pevely Industrial Drive</t>
  </si>
  <si>
    <t>Pevely, MO, 63070</t>
  </si>
  <si>
    <t>1101 N Oak Rd</t>
  </si>
  <si>
    <t>Plymouth, IN, 46563</t>
  </si>
  <si>
    <t>600 W. 24Th St</t>
  </si>
  <si>
    <t>North Newton, KS, 67117</t>
  </si>
  <si>
    <t>236 Park Ave.</t>
  </si>
  <si>
    <t>Bethpage, NY, 11720</t>
  </si>
  <si>
    <t>4581 Lapeer Rd</t>
  </si>
  <si>
    <t>Orion Township, MI, 48359</t>
  </si>
  <si>
    <t>2010A Kneubuhl Ct</t>
  </si>
  <si>
    <t>719 E. Zimmerly</t>
  </si>
  <si>
    <t>3450 N. Rock Road Ste 510</t>
  </si>
  <si>
    <t>2525 S. Leonine</t>
  </si>
  <si>
    <t>8021 E. Marion Ste 101</t>
  </si>
  <si>
    <t>3450 N. Rock Road, Bldg 100</t>
  </si>
  <si>
    <t>521 S 48Th St, Ste 107</t>
  </si>
  <si>
    <t>Tempe, AZ, 85281</t>
  </si>
  <si>
    <t>707 Fulton Avenue</t>
  </si>
  <si>
    <t>Rockford, IL, 61103</t>
  </si>
  <si>
    <t>1627 N. Richmond St.</t>
  </si>
  <si>
    <t>1731 N. Roosevelt</t>
  </si>
  <si>
    <t>Burlington, IA, 52601</t>
  </si>
  <si>
    <t>720 S Sara Road</t>
  </si>
  <si>
    <t>Mustang, OK, 73064</t>
  </si>
  <si>
    <t>71C Pine Road</t>
  </si>
  <si>
    <t>Hudson, NH, 03051</t>
  </si>
  <si>
    <t>1845 Fairmount</t>
  </si>
  <si>
    <t>Wichita, KS, 67260-0035</t>
  </si>
  <si>
    <t>1224 Mill St.</t>
  </si>
  <si>
    <t>Jasper, IN, 47546</t>
  </si>
  <si>
    <t>456 Wabash</t>
  </si>
  <si>
    <t>Lyons, KS, 67554</t>
  </si>
  <si>
    <t>2232 S. Custer</t>
  </si>
  <si>
    <t>1234 E. 37Th St. N.</t>
  </si>
  <si>
    <t>310 North First Street</t>
  </si>
  <si>
    <t>1445 S Sierra Dr.</t>
  </si>
  <si>
    <t>5913 Nw 31St Ave.</t>
  </si>
  <si>
    <t xml:space="preserve">Ft. Lauderdale, FL, </t>
  </si>
  <si>
    <t>11600 Adie Road</t>
  </si>
  <si>
    <t>St. Louis, MO, 63043</t>
  </si>
  <si>
    <t>125 Buck Range Road</t>
  </si>
  <si>
    <t>Nashville, AR, 71852</t>
  </si>
  <si>
    <t>207 S 7Th St</t>
  </si>
  <si>
    <t>Tonkawa, OK, 74653</t>
  </si>
  <si>
    <t>2650 S Custer</t>
  </si>
  <si>
    <t>Wichita, KS, 67217-1395</t>
  </si>
  <si>
    <t>1948 Beechcraft Rd Bldg.704</t>
  </si>
  <si>
    <t>2770 N. Webb Rd.</t>
  </si>
  <si>
    <t>Cottonwood Falls, KS, 66845</t>
  </si>
  <si>
    <t>1778 E. Carr Road, Ste 1</t>
  </si>
  <si>
    <t>Calexico, CA, 92231</t>
  </si>
  <si>
    <t>3600 Mueller Rd</t>
  </si>
  <si>
    <t>11064 Strang Line Road</t>
  </si>
  <si>
    <t>1910 Merrill Creek Parkway</t>
  </si>
  <si>
    <t>Everett, WA, 98203</t>
  </si>
  <si>
    <t>85 N. Central Drive</t>
  </si>
  <si>
    <t>4208 S 74Th East Avenue</t>
  </si>
  <si>
    <t>5801 N 57Th St</t>
  </si>
  <si>
    <t>11005 E. Circle</t>
  </si>
  <si>
    <t>Omaha, NE, 68137</t>
  </si>
  <si>
    <t>5304 S. Lawton Ave.</t>
  </si>
  <si>
    <t>Tulsa, OK, 74107</t>
  </si>
  <si>
    <t>6650 N Broadway</t>
  </si>
  <si>
    <t>3445 N Webb Road</t>
  </si>
  <si>
    <t>2621 Esthner Ct.</t>
  </si>
  <si>
    <t>3600 Mueller Road</t>
  </si>
  <si>
    <t>St. Charles, MO, 63303</t>
  </si>
  <si>
    <t>325 E. Tenth</t>
  </si>
  <si>
    <t>Halstead, KS, 67056-0112</t>
  </si>
  <si>
    <t>3000 S Hydraulic</t>
  </si>
  <si>
    <t>9323 E 34Th St N</t>
  </si>
  <si>
    <t>227 Industrial Drive</t>
  </si>
  <si>
    <t>2626 W. May</t>
  </si>
  <si>
    <t>1360 S. Anna</t>
  </si>
  <si>
    <t>2635 W. Esthner Ct.</t>
  </si>
  <si>
    <t>315 E 55Th South</t>
  </si>
  <si>
    <t>1075 Filmore</t>
  </si>
  <si>
    <t>Fredonia, KS, 66736</t>
  </si>
  <si>
    <t>27100 E. 111Th Street</t>
  </si>
  <si>
    <t>Coweta, OK, 74429</t>
  </si>
  <si>
    <t>2727 W. Pawnee</t>
  </si>
  <si>
    <t>5280 S. 100Th E. Avenue</t>
  </si>
  <si>
    <t>225 N Main Street</t>
  </si>
  <si>
    <t>1301 S. Handley</t>
  </si>
  <si>
    <t>311A S, Meridian</t>
  </si>
  <si>
    <t>8135 281 Road</t>
  </si>
  <si>
    <t>Cambridge, KS, 67023</t>
  </si>
  <si>
    <t>13914 E Admiral Pl, Ste A</t>
  </si>
  <si>
    <t>711 E Main</t>
  </si>
  <si>
    <t>1429 W 4Th Ave</t>
  </si>
  <si>
    <t>7424 E 30Th St N</t>
  </si>
  <si>
    <t>Tulsa, OK, 74115</t>
  </si>
  <si>
    <t>2300 Cassens Drive</t>
  </si>
  <si>
    <t>Fenton, MO, 63026</t>
  </si>
  <si>
    <t>1919 E. Tulsa</t>
  </si>
  <si>
    <t>2700 S Custer</t>
  </si>
  <si>
    <t>624 E. Harry</t>
  </si>
  <si>
    <t>3251 Heartland Dr</t>
  </si>
  <si>
    <t>Liberty, MO, 64068</t>
  </si>
  <si>
    <t>1427 N. Smith</t>
  </si>
  <si>
    <t>16900 Tiger Switch Rd</t>
  </si>
  <si>
    <t>6325 Avantha Drive</t>
  </si>
  <si>
    <t>Washington, MO, 63090</t>
  </si>
  <si>
    <t>101 Coleman Blvd. Unit E</t>
  </si>
  <si>
    <t>Saint Charles, MO, 63301</t>
  </si>
  <si>
    <t>2853 S Hillside</t>
  </si>
  <si>
    <t>35-E Washington Ave.</t>
  </si>
  <si>
    <t>Suite E</t>
  </si>
  <si>
    <t>Bay Shore, NY, 11706</t>
  </si>
  <si>
    <t>1500 E. Highwood Dr.</t>
  </si>
  <si>
    <t>Pontiac, MI, 48340</t>
  </si>
  <si>
    <t>2100 S. 231St West</t>
  </si>
  <si>
    <t>3106 E. Kite</t>
  </si>
  <si>
    <t>5500 Mill Heights Drive</t>
  </si>
  <si>
    <t>27010 W Highway 24</t>
  </si>
  <si>
    <t>St Marys, KS, 66536</t>
  </si>
  <si>
    <t>3616 Scarlett Oak Blvd</t>
  </si>
  <si>
    <t>St. Louis, MO, 63122</t>
  </si>
  <si>
    <t>3525 S Ninth</t>
  </si>
  <si>
    <t>402 N. Main</t>
  </si>
  <si>
    <t>Lakin, KS, 67860</t>
  </si>
  <si>
    <t>751 E. Spring Ave.</t>
  </si>
  <si>
    <t>23500 W. 105Th Street</t>
  </si>
  <si>
    <t>2537 Hwy 96</t>
  </si>
  <si>
    <t>Rush Center, KS, 67575</t>
  </si>
  <si>
    <t>2001 Sw Washburn Ave</t>
  </si>
  <si>
    <t>Topeka, KS, 66604</t>
  </si>
  <si>
    <t>821 N. Broadway</t>
  </si>
  <si>
    <t>7250 State Ave.</t>
  </si>
  <si>
    <t>Kansas City, KS, 66112</t>
  </si>
  <si>
    <t>625 Washington</t>
  </si>
  <si>
    <t>107 S Benton</t>
  </si>
  <si>
    <t>New Athens, IL, 62264</t>
  </si>
  <si>
    <t>418 E. Avenue B</t>
  </si>
  <si>
    <t>703 E. Avenue A</t>
  </si>
  <si>
    <t>Kingman, KS, 67068</t>
  </si>
  <si>
    <t>8200 W Irving St</t>
  </si>
  <si>
    <t>3427 W 30Th South</t>
  </si>
  <si>
    <t>1521 S Tyler</t>
  </si>
  <si>
    <t>120 Ida</t>
  </si>
  <si>
    <t>Wichita, KS, 67201</t>
  </si>
  <si>
    <t>8081 West 21 Lane</t>
  </si>
  <si>
    <t>Hialeah, FL, 33016</t>
  </si>
  <si>
    <t>1180 E. 16Th St.</t>
  </si>
  <si>
    <t>Jasper, IN, 47549</t>
  </si>
  <si>
    <t>1037 E 15Th St</t>
  </si>
  <si>
    <t>1600 Royal St</t>
  </si>
  <si>
    <t>20 Airport Dr.</t>
  </si>
  <si>
    <t>Camdenton, MO, 65020</t>
  </si>
  <si>
    <t>7800 N. E. Industrial Blvd</t>
  </si>
  <si>
    <t>Macon, GA, 31216</t>
  </si>
  <si>
    <t>710 E. 17Th St. N.</t>
  </si>
  <si>
    <t>2460 S. Leonine</t>
  </si>
  <si>
    <t>12550 W Larson Road</t>
  </si>
  <si>
    <t>31700 W 207Th St</t>
  </si>
  <si>
    <t>Edgerton, KS, 66021</t>
  </si>
  <si>
    <t>1 Gusmer Drive</t>
  </si>
  <si>
    <t>Lakewood, NJ, 08701</t>
  </si>
  <si>
    <t>4111 East 37Th Street North</t>
  </si>
  <si>
    <t>1760 Airport Road</t>
  </si>
  <si>
    <t>660 Berry Street</t>
  </si>
  <si>
    <t>Winnipeg, MB, R3C 2S4</t>
  </si>
  <si>
    <t>635 West 12Th Street</t>
  </si>
  <si>
    <t>Baxter Springs, KS, 66713</t>
  </si>
  <si>
    <t>101 Industrial Drive</t>
  </si>
  <si>
    <t>4206 W May</t>
  </si>
  <si>
    <t>350 E 21St St N</t>
  </si>
  <si>
    <t>601 E Us 160</t>
  </si>
  <si>
    <t>Argonia, KS, 67004</t>
  </si>
  <si>
    <t>100 East Carpenter St</t>
  </si>
  <si>
    <t>Moberly, MO, 65270</t>
  </si>
  <si>
    <t>340 E 11Th Avenue (Plant 1)</t>
  </si>
  <si>
    <t>Jasper, IN, 47547</t>
  </si>
  <si>
    <t>200 Kimball Blvd</t>
  </si>
  <si>
    <t>Salem, IN, 47167</t>
  </si>
  <si>
    <t>Kimball Boulevard</t>
  </si>
  <si>
    <t>1650 Cherry St</t>
  </si>
  <si>
    <t>16968 State Route 69 N</t>
  </si>
  <si>
    <t>Fordsville, KY, 42343</t>
  </si>
  <si>
    <t>1940 S. Florence</t>
  </si>
  <si>
    <t>3510 Sw 20Th Street</t>
  </si>
  <si>
    <t>1120 South Meridian</t>
  </si>
  <si>
    <t>9970 Page Blvd.</t>
  </si>
  <si>
    <t>St. Louis, MO, 63132</t>
  </si>
  <si>
    <t>135 Raynor Ave</t>
  </si>
  <si>
    <t>Ronkonkoma, NY, 11779</t>
  </si>
  <si>
    <t>1971 Pond Road</t>
  </si>
  <si>
    <t>1703 Sw Blvd</t>
  </si>
  <si>
    <t>15277 Washington Rd</t>
  </si>
  <si>
    <t>Norton, KS, 67654</t>
  </si>
  <si>
    <t>4225 W. 31St St. So.</t>
  </si>
  <si>
    <t>900 W. First - Suite A</t>
  </si>
  <si>
    <t>7227 W Harry St</t>
  </si>
  <si>
    <t>617 Allison</t>
  </si>
  <si>
    <t>2248 S. Mead St.</t>
  </si>
  <si>
    <t>1100 W. Main</t>
  </si>
  <si>
    <t>3512 N. Webb Rd</t>
  </si>
  <si>
    <t>400 Winchester</t>
  </si>
  <si>
    <t>Kinsley, KS, 67547</t>
  </si>
  <si>
    <t>9400 E. 34Th Street N.</t>
  </si>
  <si>
    <t>Repair Station No. E8Jr303X</t>
  </si>
  <si>
    <t>1600 Airport Road</t>
  </si>
  <si>
    <t>126 E 29Th N</t>
  </si>
  <si>
    <t>801 N 81 Bypass</t>
  </si>
  <si>
    <t>901 N. River</t>
  </si>
  <si>
    <t>390 S. Reynolds St.</t>
  </si>
  <si>
    <t>La Grange, TX, 78945</t>
  </si>
  <si>
    <t>1394 County Road H</t>
  </si>
  <si>
    <t>Minneola, KS, 67865</t>
  </si>
  <si>
    <t>817 W. Main St.</t>
  </si>
  <si>
    <t>Brownsville, WI, 53006</t>
  </si>
  <si>
    <t>115 S Poplar</t>
  </si>
  <si>
    <t>1232 East Cambridge</t>
  </si>
  <si>
    <t>Belton, MO, 64012</t>
  </si>
  <si>
    <t>621 North River Street</t>
  </si>
  <si>
    <t>105 Old Us Highway 81</t>
  </si>
  <si>
    <t>Moundridge, KS, 67107</t>
  </si>
  <si>
    <t>4740 Discovery Drive</t>
  </si>
  <si>
    <t>Lincoln, NE, 68521</t>
  </si>
  <si>
    <t>2420 Sw 17Th Street</t>
  </si>
  <si>
    <t>7447 W. 33Rd St. N.</t>
  </si>
  <si>
    <t>340 E 11Th Ave</t>
  </si>
  <si>
    <t>1155 12Th Ave.</t>
  </si>
  <si>
    <t>4004 N. Webb Road</t>
  </si>
  <si>
    <t>2005 S. West Street</t>
  </si>
  <si>
    <t>110 S 129Th E Ave</t>
  </si>
  <si>
    <t>Tulsa, OK, 74128</t>
  </si>
  <si>
    <t>1111 E. 1St Street</t>
  </si>
  <si>
    <t>1745 South First St</t>
  </si>
  <si>
    <t>2121 Southwest Blvd</t>
  </si>
  <si>
    <t>3050 Hwy 270 East</t>
  </si>
  <si>
    <t>Mount Ida, AR, 71957</t>
  </si>
  <si>
    <t>2679 Palmer St</t>
  </si>
  <si>
    <t>Missoula, MT, 59808-1700</t>
  </si>
  <si>
    <t>3130 Stanton Court</t>
  </si>
  <si>
    <t>North Charleston, SC, 29418</t>
  </si>
  <si>
    <t>218 Wedgefield Crossing</t>
  </si>
  <si>
    <t>Savannah, GA, 31405</t>
  </si>
  <si>
    <t>2100 S. West St.</t>
  </si>
  <si>
    <t>1751 West Road 10</t>
  </si>
  <si>
    <t>8400 S. Stewart</t>
  </si>
  <si>
    <t>Chicago, IL, 60620</t>
  </si>
  <si>
    <t>1635 S. Sabin</t>
  </si>
  <si>
    <t>2546 S Leonine St</t>
  </si>
  <si>
    <t>1635 S Sabin</t>
  </si>
  <si>
    <t>14811 W. Hannah</t>
  </si>
  <si>
    <t>1630 W. Harry</t>
  </si>
  <si>
    <t>701 East Murdock</t>
  </si>
  <si>
    <t>1947 N. Santa Fe</t>
  </si>
  <si>
    <t>2922 Wheeling</t>
  </si>
  <si>
    <t>3616 N Topeka</t>
  </si>
  <si>
    <t>311 W. 2Nd St.</t>
  </si>
  <si>
    <t>Florence, KS, 66851</t>
  </si>
  <si>
    <t>8219 W Irving St</t>
  </si>
  <si>
    <t>1611 Little Cedar Creek Rd.</t>
  </si>
  <si>
    <t>Matfield Green, KS, 66862</t>
  </si>
  <si>
    <t>2400 W. Laurel</t>
  </si>
  <si>
    <t>210 Washington Street</t>
  </si>
  <si>
    <t>Jackson Center, OH, 45334</t>
  </si>
  <si>
    <t>1210 Ne Douglas</t>
  </si>
  <si>
    <t>Lee'S Summit, MO, 64086</t>
  </si>
  <si>
    <t>4057 N. Woodlawn</t>
  </si>
  <si>
    <t>900 North Street</t>
  </si>
  <si>
    <t>1801 S Mead</t>
  </si>
  <si>
    <t>401 South Washington</t>
  </si>
  <si>
    <t>421 W Main</t>
  </si>
  <si>
    <t>Marion, KS, 66861</t>
  </si>
  <si>
    <t>2320 N Oliver Rd</t>
  </si>
  <si>
    <t>Newton, KS, 67114-9552</t>
  </si>
  <si>
    <t>37515 West 15Th South</t>
  </si>
  <si>
    <t>Cheney, KS, 67025-0550</t>
  </si>
  <si>
    <t>1704 W. Douglas</t>
  </si>
  <si>
    <t>2421 International Blvd.</t>
  </si>
  <si>
    <t>Fort. Collins, CO, 80524</t>
  </si>
  <si>
    <t>2015 E. Industrial 5Th</t>
  </si>
  <si>
    <t>9892 Sw Hodges Road</t>
  </si>
  <si>
    <t>1209 Buckeye</t>
  </si>
  <si>
    <t>48 Ne Highway 156</t>
  </si>
  <si>
    <t>Indianapolis, KS, 67530</t>
  </si>
  <si>
    <t>7175 S. Mcguire St.</t>
  </si>
  <si>
    <t>Fayetteville, AR, 72704-5237</t>
  </si>
  <si>
    <t>4422 W. Walker St.</t>
  </si>
  <si>
    <t>Wichita, KS, 67209-2657</t>
  </si>
  <si>
    <t>51 South O Street</t>
  </si>
  <si>
    <t>Fort Mccoy, WI, 54656</t>
  </si>
  <si>
    <t>53190 Topeka St., Bldg 1099</t>
  </si>
  <si>
    <t>Wichita, KS, 67221</t>
  </si>
  <si>
    <t>1600 E Tigua</t>
  </si>
  <si>
    <t>Kechi, KS, 67067</t>
  </si>
  <si>
    <t>1721 S Eisenhower</t>
  </si>
  <si>
    <t>3025 May Ave.</t>
  </si>
  <si>
    <t>498 North 2774 West</t>
  </si>
  <si>
    <t>Cedar City, UT, 84720</t>
  </si>
  <si>
    <t>1250 W. 124Th Ave.</t>
  </si>
  <si>
    <t>Westminster, CO, 80234</t>
  </si>
  <si>
    <t>305 South Farmer</t>
  </si>
  <si>
    <t>Complejo Industrial Chihuahua</t>
  </si>
  <si>
    <t>Chihuahua, MX - CH, 31136</t>
  </si>
  <si>
    <t>12035 Rojas Dr. Suite F</t>
  </si>
  <si>
    <t>El Paso, TX, 79936</t>
  </si>
  <si>
    <t>701 E. Murdock</t>
  </si>
  <si>
    <t>1425 S. Mclean Blvd.</t>
  </si>
  <si>
    <t>8447 E. 35Th N.</t>
  </si>
  <si>
    <t>3921 N Bridgeport Cir</t>
  </si>
  <si>
    <t>703 Old Gladewater Street</t>
  </si>
  <si>
    <t>Kilgore, TX, 75662</t>
  </si>
  <si>
    <t>4100 S. Oliver</t>
  </si>
  <si>
    <t>2333 S West St, Suite 108</t>
  </si>
  <si>
    <t>2250 N. Rockroad Suite 118-176</t>
  </si>
  <si>
    <t>3310 E. Fourth Avenue</t>
  </si>
  <si>
    <t>6601 Pueblo</t>
  </si>
  <si>
    <t>Wichita, KS, 67029</t>
  </si>
  <si>
    <t>2126 N Oliver Rd</t>
  </si>
  <si>
    <t>Newton, KS, 67114-9550</t>
  </si>
  <si>
    <t>118 Garfield</t>
  </si>
  <si>
    <t>1620 E Douglas Ave</t>
  </si>
  <si>
    <t>222 N Hydraulic Ave</t>
  </si>
  <si>
    <t>Wichita, KS, 67214-4818</t>
  </si>
  <si>
    <t>4510 E. 47Th Street South</t>
  </si>
  <si>
    <t>3629 W 30Th St S</t>
  </si>
  <si>
    <t>425 E. South Avenue</t>
  </si>
  <si>
    <t>3977 Air Park Road</t>
  </si>
  <si>
    <t>Lincoln, NE, 68524</t>
  </si>
  <si>
    <t>1711 S Eisenhower</t>
  </si>
  <si>
    <t>1957 N. Santa Fe St.</t>
  </si>
  <si>
    <t>1200 E. Highland Ave.</t>
  </si>
  <si>
    <t>Nevada, MO, 64744</t>
  </si>
  <si>
    <t>3161 College Blvd.</t>
  </si>
  <si>
    <t>Alva, OK, 73717-5003</t>
  </si>
  <si>
    <t>10811 E Harry</t>
  </si>
  <si>
    <t>5351 Sw 100Th St</t>
  </si>
  <si>
    <t>4200 East 135Th St.</t>
  </si>
  <si>
    <t>Grandview, MO, 65030</t>
  </si>
  <si>
    <t>1622 Washington S</t>
  </si>
  <si>
    <t>946 W. 53Rd St. N.</t>
  </si>
  <si>
    <t>480 E 21St N</t>
  </si>
  <si>
    <t>601 Nw Business Park Ave.</t>
  </si>
  <si>
    <t>Riverside, MO, 64150</t>
  </si>
  <si>
    <t>8846 N Sam Houston Pkwy W</t>
  </si>
  <si>
    <t>Ste 120</t>
  </si>
  <si>
    <t>Houston, TX, 77064</t>
  </si>
  <si>
    <t>1005 Portwest Drive</t>
  </si>
  <si>
    <t>8201 E 34Th Cir N Ste 1307</t>
  </si>
  <si>
    <t>7777 Osie</t>
  </si>
  <si>
    <t>76 South Corporate Hills Drive</t>
  </si>
  <si>
    <t>486 N. Oliver Road</t>
  </si>
  <si>
    <t>2434 S Sheridan</t>
  </si>
  <si>
    <t>1015 S West</t>
  </si>
  <si>
    <t>2210 S Edwards St</t>
  </si>
  <si>
    <t>10800 N Ambassador Dr</t>
  </si>
  <si>
    <t>Kansas City, MO, 64153</t>
  </si>
  <si>
    <t>1637 E. 50Th Ave. N.</t>
  </si>
  <si>
    <t>9608 Loiret Blvd</t>
  </si>
  <si>
    <t>800 E. 37Th North</t>
  </si>
  <si>
    <t>712 S Main St</t>
  </si>
  <si>
    <t>500 East 5Th Street</t>
  </si>
  <si>
    <t>Valley Center, KS, 67147-0156</t>
  </si>
  <si>
    <t>303 S. Topeka</t>
  </si>
  <si>
    <t>910 North Morgan Road</t>
  </si>
  <si>
    <t>Oklahoma City, OK, 73127</t>
  </si>
  <si>
    <t>4425 W May St., Bldg A</t>
  </si>
  <si>
    <t>14600 Metro Plaza Blvd.</t>
  </si>
  <si>
    <t>Edmond, OK, 73013</t>
  </si>
  <si>
    <t>938 Quail St</t>
  </si>
  <si>
    <t>Lakewood, CO, 80215</t>
  </si>
  <si>
    <t>1488 N. Valleyview Ct</t>
  </si>
  <si>
    <t>2900 E Highway 10</t>
  </si>
  <si>
    <t>2807 W. Benjaman</t>
  </si>
  <si>
    <t>3002 West Pawnee, Ste 104</t>
  </si>
  <si>
    <t>Wichita, KS, 67213-1806</t>
  </si>
  <si>
    <t>148 W Airport Rd</t>
  </si>
  <si>
    <t>Lititz, PA, 17543</t>
  </si>
  <si>
    <t>3435 N. Valerie St.</t>
  </si>
  <si>
    <t>1000 Emerson</t>
  </si>
  <si>
    <t>2524 S Leonine</t>
  </si>
  <si>
    <t>1712 Shady Oaks Drive</t>
  </si>
  <si>
    <t>Denton, TX, 76205</t>
  </si>
  <si>
    <t>2333 S West St Ct</t>
  </si>
  <si>
    <t>Bldg 300, Ste 309</t>
  </si>
  <si>
    <t>508 N Meridian</t>
  </si>
  <si>
    <t>209 E. Fifth Avenue</t>
  </si>
  <si>
    <t>Owasso, OK, 74055</t>
  </si>
  <si>
    <t>1700 E Essex</t>
  </si>
  <si>
    <t>808 West Mckay</t>
  </si>
  <si>
    <t>Frontenac, KS, 66763</t>
  </si>
  <si>
    <t>16210 West 108Th Street N</t>
  </si>
  <si>
    <t>2333 S. West Street</t>
  </si>
  <si>
    <t>6910 N Whirlpool Dr</t>
  </si>
  <si>
    <t>Tulsa, OK, 74117</t>
  </si>
  <si>
    <t>11045 E. Newton St.</t>
  </si>
  <si>
    <t>6911 North Whirlpool Drive</t>
  </si>
  <si>
    <t>275 Industrial Parkway</t>
  </si>
  <si>
    <t>Chardon, OH, 44024</t>
  </si>
  <si>
    <t>7239 Envoy Ct.</t>
  </si>
  <si>
    <t>Dallas, TX, 75247</t>
  </si>
  <si>
    <t>1105 Belmont St.</t>
  </si>
  <si>
    <t>Gainesville, TX, 76240</t>
  </si>
  <si>
    <t>1845 Fairmont, Box 93</t>
  </si>
  <si>
    <t>Wichita, KS, 67260-0093</t>
  </si>
  <si>
    <t>1845 Fairmount, Box 93, Rm-118</t>
  </si>
  <si>
    <t>1229 E 85Th St N</t>
  </si>
  <si>
    <t>Park City, KS, 67219</t>
  </si>
  <si>
    <t>3800 S Oliver Bldg 13L</t>
  </si>
  <si>
    <t>4004 N. Webb Rd, Bldg. 200 Lab M151</t>
  </si>
  <si>
    <t>4201 S. 119Th St. West</t>
  </si>
  <si>
    <t>210 S. Morocco Ave.</t>
  </si>
  <si>
    <t>Dallas, TX, 75211</t>
  </si>
  <si>
    <t>1457 S. Mosley</t>
  </si>
  <si>
    <t>850 N Pinion St 32189</t>
  </si>
  <si>
    <t>Hildale, UT, 84784</t>
  </si>
  <si>
    <t>2131 N. Ridge Rd.</t>
  </si>
  <si>
    <t>3718 N Rock Rd</t>
  </si>
  <si>
    <t>320 E. Main</t>
  </si>
  <si>
    <t>Chanute, KS, 66720</t>
  </si>
  <si>
    <t>220 Klayder Dr</t>
  </si>
  <si>
    <t>Neodesha, KS, 66757</t>
  </si>
  <si>
    <t>11200 E. Pine</t>
  </si>
  <si>
    <t>9175 E. 35Th St. N.</t>
  </si>
  <si>
    <t>7330 N. Broadway</t>
  </si>
  <si>
    <t>500 W. First Street</t>
  </si>
  <si>
    <t>1717 Southwest Blvd Ste B-17</t>
  </si>
  <si>
    <t>600 E 16Th</t>
  </si>
  <si>
    <t>120 N. Industrial Rd.</t>
  </si>
  <si>
    <t>Osborne, KS, 67473</t>
  </si>
  <si>
    <t>801 W Old Hwy 56</t>
  </si>
  <si>
    <t>500 Industrial Road</t>
  </si>
  <si>
    <t>2526 W. 21St Street</t>
  </si>
  <si>
    <t>2522 W 21St Street</t>
  </si>
  <si>
    <t>2331 S. Mead</t>
  </si>
  <si>
    <t>1106 Leander Dr.</t>
  </si>
  <si>
    <t>Leander, TX, 78641</t>
  </si>
  <si>
    <t>15943 Angelo Drive</t>
  </si>
  <si>
    <t>Macomb, MI, 48042</t>
  </si>
  <si>
    <t>145 Mid County Dr</t>
  </si>
  <si>
    <t>Orchard Park, NY, 14127</t>
  </si>
  <si>
    <t>3130 W. Pawnee</t>
  </si>
  <si>
    <t>235 N Washington</t>
  </si>
  <si>
    <t>3020 West 20Th</t>
  </si>
  <si>
    <t>Joplin, MO, 64802</t>
  </si>
  <si>
    <t>3258 S Hoover</t>
  </si>
  <si>
    <t>31800 W 196Th St</t>
  </si>
  <si>
    <t>1624 Sunset Rd</t>
  </si>
  <si>
    <t>716 Highway 9</t>
  </si>
  <si>
    <t>Blue Rapids, KS, 66411</t>
  </si>
  <si>
    <t>21945 West 83Rd Street</t>
  </si>
  <si>
    <t>Shawnee Mission, KS, 66227-3133</t>
  </si>
  <si>
    <t>3939 W. St. Louis</t>
  </si>
  <si>
    <t>6200 N Armstrong Cir</t>
  </si>
  <si>
    <t>5055 N. Broadway</t>
  </si>
  <si>
    <t>6200 S Ridge Road</t>
  </si>
  <si>
    <t>10921 E. 26Th St. N.</t>
  </si>
  <si>
    <t>2123 North A St.</t>
  </si>
  <si>
    <t>2010 Rogers Ct</t>
  </si>
  <si>
    <t>Salina, KS, 67401-1735</t>
  </si>
  <si>
    <t>1002 South Us Old Highway 75</t>
  </si>
  <si>
    <t>26001 Flynn Dr.</t>
  </si>
  <si>
    <t>229 S. Ellis</t>
  </si>
  <si>
    <t>1725 Vortex Avenue</t>
  </si>
  <si>
    <t>1001 S Ohio St</t>
  </si>
  <si>
    <t>335 N Diamond St</t>
  </si>
  <si>
    <t>Ravenna, OH, 44266</t>
  </si>
  <si>
    <t>3801 E 10Th St.</t>
  </si>
  <si>
    <t>Little Rock, AR, 72202-3366</t>
  </si>
  <si>
    <t>4118 S. Oliver</t>
  </si>
  <si>
    <t>201 S Greenwich Bldg 94</t>
  </si>
  <si>
    <t>400 W Clay</t>
  </si>
  <si>
    <t>2661 W. Esthner</t>
  </si>
  <si>
    <t>606 Industrial Road</t>
  </si>
  <si>
    <t>3050 N. St. Francis</t>
  </si>
  <si>
    <t>4501 S 86Th East Ave</t>
  </si>
  <si>
    <t>9150 S 375Th St West</t>
  </si>
  <si>
    <t>Milton, KS, 67106</t>
  </si>
  <si>
    <t>3415 E. 12Th</t>
  </si>
  <si>
    <t>1046 East 9Th St.</t>
  </si>
  <si>
    <t>Minden, NE, 68959</t>
  </si>
  <si>
    <t>Electromech C/O Roser &amp; J. Cowen</t>
  </si>
  <si>
    <t>4649 Towerwood Drive</t>
  </si>
  <si>
    <t>Brownsville, TX, 78521</t>
  </si>
  <si>
    <t>7804 E. Funston-Ste 23</t>
  </si>
  <si>
    <t>955 North Mosley</t>
  </si>
  <si>
    <t>3019 Scanlan Ave.</t>
  </si>
  <si>
    <t>2716 W. Central</t>
  </si>
  <si>
    <t>1109 N. Minneapolis</t>
  </si>
  <si>
    <t>Wichita, KS, 67214-3129</t>
  </si>
  <si>
    <t>1980 Airport Rd</t>
  </si>
  <si>
    <t>1001 Industrial</t>
  </si>
  <si>
    <t>Augusta, KS, 67010-9566</t>
  </si>
  <si>
    <t>4400 Alafaya Trail</t>
  </si>
  <si>
    <t>Orlando, FL, 32826</t>
  </si>
  <si>
    <t>1000 Commerce St</t>
  </si>
  <si>
    <t>1400 Henry Brennan</t>
  </si>
  <si>
    <t>12550 W. 53Rd St N.</t>
  </si>
  <si>
    <t>250 N. Water</t>
  </si>
  <si>
    <t>904 East Williams</t>
  </si>
  <si>
    <t>630 E 13Th Street</t>
  </si>
  <si>
    <t>Andover, KS, 67002-9314</t>
  </si>
  <si>
    <t>415 E Commerce</t>
  </si>
  <si>
    <t>P.O. Box 1152</t>
  </si>
  <si>
    <t>1520 South Tyler Road</t>
  </si>
  <si>
    <t>650 S Westdale Drive Suite 100</t>
  </si>
  <si>
    <t>116 S Tracy</t>
  </si>
  <si>
    <t>66 Patmos Court</t>
  </si>
  <si>
    <t>St. Peters, MO, 63376</t>
  </si>
  <si>
    <t>3515 W 125Th St N</t>
  </si>
  <si>
    <t>Sedgwick, KS, 67135</t>
  </si>
  <si>
    <t>1300 West Military Highway #281</t>
  </si>
  <si>
    <t>Pharr, TX, 78577</t>
  </si>
  <si>
    <t>7141 S Broadway</t>
  </si>
  <si>
    <t>120 S 24Th Street</t>
  </si>
  <si>
    <t>3433 Tree Court Industrial Blvd</t>
  </si>
  <si>
    <t>271 W Third St N Ste 101</t>
  </si>
  <si>
    <t>500 W 2Nd St</t>
  </si>
  <si>
    <t>2051 Airport Rd.</t>
  </si>
  <si>
    <t>22880 Se Cole Creek Road</t>
  </si>
  <si>
    <t>Atlanta, KS, 67008</t>
  </si>
  <si>
    <t>3172 E Deseret Dr S</t>
  </si>
  <si>
    <t>St. George, UT, 84790</t>
  </si>
  <si>
    <t>850 Elston Drive</t>
  </si>
  <si>
    <t>Shelbyville, IN, 46176</t>
  </si>
  <si>
    <t>1923 Central Avenue</t>
  </si>
  <si>
    <t>Hot Springs, AR, 71901</t>
  </si>
  <si>
    <t>7952 Neiman Road</t>
  </si>
  <si>
    <t>Lenexa, KS, 66214</t>
  </si>
  <si>
    <t>4800 Baumgartner Rd</t>
  </si>
  <si>
    <t>St. Louis, MO, 63129</t>
  </si>
  <si>
    <t>1139 N Santa Fe</t>
  </si>
  <si>
    <t>2615 Esthner Ct</t>
  </si>
  <si>
    <t>Wichita, KS, 67217-0034</t>
  </si>
  <si>
    <t>103 N. 6Th</t>
  </si>
  <si>
    <t>Cullison, KS, 67124</t>
  </si>
  <si>
    <t>1901 Sw Blvd</t>
  </si>
  <si>
    <t>5333 N. Main</t>
  </si>
  <si>
    <t>Altus, OK, 73521</t>
  </si>
  <si>
    <t>1501 S Handley</t>
  </si>
  <si>
    <t>2518 West May</t>
  </si>
  <si>
    <t>1608 E Lewis St. Suite 200</t>
  </si>
  <si>
    <t>3158 S Hoover</t>
  </si>
  <si>
    <t>Wichita, KS, 67277-2920</t>
  </si>
  <si>
    <t>301 River Street</t>
  </si>
  <si>
    <t>3758 N Old Lawrence Rd</t>
  </si>
  <si>
    <t>Wichita, KS, 67219-3622</t>
  </si>
  <si>
    <t>1414 E. Willow</t>
  </si>
  <si>
    <t>Enid, OK, 73702</t>
  </si>
  <si>
    <t>S82 W19275 Apollo Drive</t>
  </si>
  <si>
    <t>Muskego, WI, 53150</t>
  </si>
  <si>
    <t>3301 N Cieda Dr</t>
  </si>
  <si>
    <t>Claremore, OK, 74017</t>
  </si>
  <si>
    <t>2230 N. Sheridan Rd.</t>
  </si>
  <si>
    <t>202 W. 11Th North</t>
  </si>
  <si>
    <t>5851 E Interstate 20</t>
  </si>
  <si>
    <t>Abilene, TX, 79601</t>
  </si>
  <si>
    <t>650 Vaqueros Avenue, Ste H</t>
  </si>
  <si>
    <t>Sunnyvale, CA, 94085</t>
  </si>
  <si>
    <t>1367 S. Anna</t>
  </si>
  <si>
    <t>2252 S Hoover Rd</t>
  </si>
  <si>
    <t>126 S. Highland</t>
  </si>
  <si>
    <t>12046 292Nd Road</t>
  </si>
  <si>
    <t>729 W. 2Nd</t>
  </si>
  <si>
    <t>Hutchinson, KS, 67505</t>
  </si>
  <si>
    <t>2030 Tecumseh Rd</t>
  </si>
  <si>
    <t>645 Nw 50Th Avenue</t>
  </si>
  <si>
    <t>922 N. Santa Fe</t>
  </si>
  <si>
    <t>1280 South Williams Drive</t>
  </si>
  <si>
    <t>Columbia City, IN, 46725-0169</t>
  </si>
  <si>
    <t>10814 W Grant</t>
  </si>
  <si>
    <t>1432 W. Commercial Avenue</t>
  </si>
  <si>
    <t>8515 N. Hesston Rd. Bldg A</t>
  </si>
  <si>
    <t>1325 W. 29Th St. N.</t>
  </si>
  <si>
    <t>12260 W 53Rd Street North</t>
  </si>
  <si>
    <t>4327 W. May Street</t>
  </si>
  <si>
    <t>329 North Indiana</t>
  </si>
  <si>
    <t>4340 South West Street</t>
  </si>
  <si>
    <t>1500 Brown Trail</t>
  </si>
  <si>
    <t>7822 S Wheeling Ct</t>
  </si>
  <si>
    <t>Englewood, CO, 80112</t>
  </si>
  <si>
    <t>4217 W. Seattle</t>
  </si>
  <si>
    <t>Broken Arrow, OK, 74012</t>
  </si>
  <si>
    <t>625 E. Pawnee</t>
  </si>
  <si>
    <t>9050 W. Monroe Circle</t>
  </si>
  <si>
    <t>3801 W. 13Th</t>
  </si>
  <si>
    <t>57640 North Eleventh Street</t>
  </si>
  <si>
    <t>Calumet, MI, 49913</t>
  </si>
  <si>
    <t>5764 Pacific Center Blvd Suite 101</t>
  </si>
  <si>
    <t>San Deigo, CA, 92121</t>
  </si>
  <si>
    <t>10203 W York</t>
  </si>
  <si>
    <t>1111 Izaak Walton Rd</t>
  </si>
  <si>
    <t>Seward, NE, 68434-2749</t>
  </si>
  <si>
    <t>8866 Laurel Canyon Blvd.</t>
  </si>
  <si>
    <t>Sun Valley, CA, 91352</t>
  </si>
  <si>
    <t>9639 Interocean Dr. Dock 2</t>
  </si>
  <si>
    <t>Cincinnati, OH, 45246</t>
  </si>
  <si>
    <t>Strother Field Bldg. 20</t>
  </si>
  <si>
    <t>Calibration Lab</t>
  </si>
  <si>
    <t>1411 N Grand Ave, Suite 300</t>
  </si>
  <si>
    <t>Covina, CA, 91724</t>
  </si>
  <si>
    <t>2019 Southwest Blvd</t>
  </si>
  <si>
    <t>1515 N A St</t>
  </si>
  <si>
    <t>5545 N. Mill Heights Drive</t>
  </si>
  <si>
    <t>723 East Mason</t>
  </si>
  <si>
    <t>Mabank, TX, 75147</t>
  </si>
  <si>
    <t>8701 N Jan-Mar Ct.</t>
  </si>
  <si>
    <t>7015 W Pueblo</t>
  </si>
  <si>
    <t>131 W Kelley Dr</t>
  </si>
  <si>
    <t>1326 S Walnut</t>
  </si>
  <si>
    <t>45 Corperative Way</t>
  </si>
  <si>
    <t>Wright City, MO, 63390</t>
  </si>
  <si>
    <t>7898 Sw Haverhill Rd</t>
  </si>
  <si>
    <t>1100 Brook Mill Road</t>
  </si>
  <si>
    <t>Bertram, TX, 78605</t>
  </si>
  <si>
    <t>9909 W. York</t>
  </si>
  <si>
    <t>16727 W Maple</t>
  </si>
  <si>
    <t>R.R. #2</t>
  </si>
  <si>
    <t>3609 N 16Th St</t>
  </si>
  <si>
    <t>3475 360Th Ave</t>
  </si>
  <si>
    <t>Bogue, KS, 67625</t>
  </si>
  <si>
    <t>4992 Sw Buffalo Road</t>
  </si>
  <si>
    <t>Towanda, KS, 67144</t>
  </si>
  <si>
    <t>1815 S Eisenhower</t>
  </si>
  <si>
    <t>587 N 30Th Rd</t>
  </si>
  <si>
    <t>Tescott, KS, 67484</t>
  </si>
  <si>
    <t>1304 Adams St.</t>
  </si>
  <si>
    <t>Kansas City, KS, 66103</t>
  </si>
  <si>
    <t>1643 S Maize Road</t>
  </si>
  <si>
    <t>Wichita, KS, 67209-3998</t>
  </si>
  <si>
    <t>317 N Jaax St</t>
  </si>
  <si>
    <t>Wichita, KS, 67275</t>
  </si>
  <si>
    <t>2148 S. Hoover Rd. Bldg.#2</t>
  </si>
  <si>
    <t>2702 W 9Th St</t>
  </si>
  <si>
    <t>715 E 10Th St</t>
  </si>
  <si>
    <t>825 East Douglas</t>
  </si>
  <si>
    <t>Wichita, KS, 67201-0820</t>
  </si>
  <si>
    <t>117 S. Miller</t>
  </si>
  <si>
    <t>Potwin, KS, 67213</t>
  </si>
  <si>
    <t>404 S. Tracy</t>
  </si>
  <si>
    <t>Wichita, KS, 67227-2748</t>
  </si>
  <si>
    <t>1805 Lakeland</t>
  </si>
  <si>
    <t>1450 Montana Rd.</t>
  </si>
  <si>
    <t>1200 E Cole</t>
  </si>
  <si>
    <t>8900 Frost Ave.</t>
  </si>
  <si>
    <t>Berkeley, MO, 63134</t>
  </si>
  <si>
    <t>2800 Division Ave.</t>
  </si>
  <si>
    <t>York, NE, 68467</t>
  </si>
  <si>
    <t>314 Us-73</t>
  </si>
  <si>
    <t>Falls City, NE, 68355</t>
  </si>
  <si>
    <t>Attn: Tad Customer Repairs</t>
  </si>
  <si>
    <t>370 N Webb Road Bldg 57</t>
  </si>
  <si>
    <t>2655 S. Hoover</t>
  </si>
  <si>
    <t>2 Cessna Blvd</t>
  </si>
  <si>
    <t>7121 Southwest Blvd, Dock 2-4</t>
  </si>
  <si>
    <t>7121 Sw Blvd</t>
  </si>
  <si>
    <t>1490 North W Street</t>
  </si>
  <si>
    <t>Newkirk, OK, 74647</t>
  </si>
  <si>
    <t>1222 5Th Ave</t>
  </si>
  <si>
    <t>715 Corey Road</t>
  </si>
  <si>
    <t>5901 217St E</t>
  </si>
  <si>
    <t>Priorlake, MN, 55372</t>
  </si>
  <si>
    <t>1900 Electric Avenue</t>
  </si>
  <si>
    <t>Mcalester, OK, 74501</t>
  </si>
  <si>
    <t>3330 N. Mingo Rd.</t>
  </si>
  <si>
    <t>Tulsa, OK, 74116-1211</t>
  </si>
  <si>
    <t>3801 S Oliver</t>
  </si>
  <si>
    <t>1300 S. Bebe</t>
  </si>
  <si>
    <t>1517 N. Santa Fe</t>
  </si>
  <si>
    <t>Wichita, KS, 67214-2714</t>
  </si>
  <si>
    <t>8291 Melrose Drive</t>
  </si>
  <si>
    <t>1120 E Cole St</t>
  </si>
  <si>
    <t>422 S St Louis Ave</t>
  </si>
  <si>
    <t>Tulsa, OK, 74120</t>
  </si>
  <si>
    <t>3810 S Midco</t>
  </si>
  <si>
    <t>4000 S Seneca</t>
  </si>
  <si>
    <t>220 Calsonic Way</t>
  </si>
  <si>
    <t>Shelbyville, TN, 37160</t>
  </si>
  <si>
    <t>4057 N. Woodlawn, Ste 2</t>
  </si>
  <si>
    <t>Bel Aire, KS, 67220</t>
  </si>
  <si>
    <t>1150 Feehanville Drive</t>
  </si>
  <si>
    <t>Mount Prospect, IL, 60056</t>
  </si>
  <si>
    <t>1314 E. Old Pass Rd.</t>
  </si>
  <si>
    <t>Long Beach, MS, 39560</t>
  </si>
  <si>
    <t>3738 W 29Th South</t>
  </si>
  <si>
    <t>2606 Elise Drive</t>
  </si>
  <si>
    <t>Hernando, MS, 38632</t>
  </si>
  <si>
    <t>1300 South Opdyke</t>
  </si>
  <si>
    <t>Sallisaw, OK, 74955</t>
  </si>
  <si>
    <t>2823 W Pawnee Suite 300</t>
  </si>
  <si>
    <t>14940 Thunderbird Road</t>
  </si>
  <si>
    <t>Kansas City, MO, 64147</t>
  </si>
  <si>
    <t>1023 S Santa Fe</t>
  </si>
  <si>
    <t>1011 Industrial Dr.</t>
  </si>
  <si>
    <t>319 Charleigh D Ford Jr Dr</t>
  </si>
  <si>
    <t>Columbus, MS, 39701</t>
  </si>
  <si>
    <t>500 E Fifth</t>
  </si>
  <si>
    <t>1056 Perkins Dr</t>
  </si>
  <si>
    <t>Steelville, MO, 65565</t>
  </si>
  <si>
    <t>915 S Elmira Ave</t>
  </si>
  <si>
    <t>Russellville, AR, 72802</t>
  </si>
  <si>
    <t>2053 Wassall</t>
  </si>
  <si>
    <t>1601 E. Wasp</t>
  </si>
  <si>
    <t>1214 N. Osage Blvd.</t>
  </si>
  <si>
    <t>Nevada, MO, 64772</t>
  </si>
  <si>
    <t>158 Chisholm Road</t>
  </si>
  <si>
    <t>10975 Lin Valle</t>
  </si>
  <si>
    <t>St. Louis, MO, 63123</t>
  </si>
  <si>
    <t>646 Wainsford Drive</t>
  </si>
  <si>
    <t>Hoffman Estates, IL, 60169</t>
  </si>
  <si>
    <t>3515 Naturally Fresh Blvd Bldg 500 Suite 510</t>
  </si>
  <si>
    <t>Atlanta, GA, 30349</t>
  </si>
  <si>
    <t>11700 Stonehollow Dr, Ste 110</t>
  </si>
  <si>
    <t>Austin, TX, 78758</t>
  </si>
  <si>
    <t>2106 Old Hwy 40</t>
  </si>
  <si>
    <t>300 Old Petoria Road</t>
  </si>
  <si>
    <t>Albany, GA, 31706-3149</t>
  </si>
  <si>
    <t>1500 E. 27Th St.</t>
  </si>
  <si>
    <t>3524 E. 4Th Avenue</t>
  </si>
  <si>
    <t>3855 S Norman</t>
  </si>
  <si>
    <t>3200 Skyway Drive</t>
  </si>
  <si>
    <t>Helena, MT, 59602</t>
  </si>
  <si>
    <t>995 N Service Rd W</t>
  </si>
  <si>
    <t>315 W Blanchard Ave.</t>
  </si>
  <si>
    <t>628 Lambert Pointe Drive</t>
  </si>
  <si>
    <t>1000 Commerce Street</t>
  </si>
  <si>
    <t>208 Dwight Ct.</t>
  </si>
  <si>
    <t>2713 W. Merton</t>
  </si>
  <si>
    <t>101 N Johnstone</t>
  </si>
  <si>
    <t>Bartlesville, OK, 74003</t>
  </si>
  <si>
    <t>925 E. Murdock</t>
  </si>
  <si>
    <t>Wichita, KS, 67214-3840</t>
  </si>
  <si>
    <t>3001 E 11Th Ave</t>
  </si>
  <si>
    <t>Hutchinson, KS, 67502</t>
  </si>
  <si>
    <t>870 North State Road 14</t>
  </si>
  <si>
    <t>Harper, KS, 67058-8024</t>
  </si>
  <si>
    <t>128 Baughman</t>
  </si>
  <si>
    <t>619 Industrial Road</t>
  </si>
  <si>
    <t>Winfield, KS, 67156-9123</t>
  </si>
  <si>
    <t>1005 E 17Th</t>
  </si>
  <si>
    <t>Div Of Milacron Marketing Co.</t>
  </si>
  <si>
    <t>2085 East First Street</t>
  </si>
  <si>
    <t>7603 E. Pawnee</t>
  </si>
  <si>
    <t>3030 N. Erie</t>
  </si>
  <si>
    <t>3505 W 29Th South</t>
  </si>
  <si>
    <t>5606 N 81 Highway</t>
  </si>
  <si>
    <t>807 Se 83Rd St</t>
  </si>
  <si>
    <t>2080 Us Hwy 70 E</t>
  </si>
  <si>
    <t>Morganton, NC, 28655</t>
  </si>
  <si>
    <t>415 E. 13Th St.</t>
  </si>
  <si>
    <t>405 West 1St Street</t>
  </si>
  <si>
    <t>2211 Viega Ave</t>
  </si>
  <si>
    <t>1837 S. Anna, Ste 103</t>
  </si>
  <si>
    <t>3250 N. Hydraulic</t>
  </si>
  <si>
    <t>707 N Emporia</t>
  </si>
  <si>
    <t>4754 S Palisade</t>
  </si>
  <si>
    <t>Wichita, KS, 67217-4926</t>
  </si>
  <si>
    <t>4315 W Oquendo Road</t>
  </si>
  <si>
    <t>Las Vegas, NV, 89118</t>
  </si>
  <si>
    <t>1426 13Th Ave.</t>
  </si>
  <si>
    <t>22245 C Street</t>
  </si>
  <si>
    <t>415 E. Houston</t>
  </si>
  <si>
    <t>36 Harbor Park Drive</t>
  </si>
  <si>
    <t>Port Washington, NY, 11050</t>
  </si>
  <si>
    <t>755 N. St Paul</t>
  </si>
  <si>
    <t>2280 E. West Maple Rd.</t>
  </si>
  <si>
    <t>Walled Lake, MI, 48390</t>
  </si>
  <si>
    <t>4444 Day Lily Lane</t>
  </si>
  <si>
    <t>Oklahoma City, OK, 73120</t>
  </si>
  <si>
    <t>2121 Southwest</t>
  </si>
  <si>
    <t>13193 206 Rd</t>
  </si>
  <si>
    <t>1210 Pottawatomie St.</t>
  </si>
  <si>
    <t>Hiawatha, KS, 66434</t>
  </si>
  <si>
    <t>4420 Esthner</t>
  </si>
  <si>
    <t>1750 S. West Street</t>
  </si>
  <si>
    <t>3801 W. 47Th  St. S.</t>
  </si>
  <si>
    <t>2020 E Douglas</t>
  </si>
  <si>
    <t>412 E 29Th St N</t>
  </si>
  <si>
    <t>Wichita, KS, 67204-0144</t>
  </si>
  <si>
    <t>5725 N. Broadway</t>
  </si>
  <si>
    <t>905 W. Burns Ave.</t>
  </si>
  <si>
    <t>Norwich, KS, 67118</t>
  </si>
  <si>
    <t>500 Commerce Parkway</t>
  </si>
  <si>
    <t>6701 Mccormick Road</t>
  </si>
  <si>
    <t>Amarillo, TX, 79118</t>
  </si>
  <si>
    <t>3268 S. Hoover Rd</t>
  </si>
  <si>
    <t>2810 S. West Street</t>
  </si>
  <si>
    <t>2533 S. West St.</t>
  </si>
  <si>
    <t>2800 Division Avenue</t>
  </si>
  <si>
    <t>3851 N. Webb Rd.</t>
  </si>
  <si>
    <t>Wichita, KS, 67266</t>
  </si>
  <si>
    <t>4208 E. 135Th St.</t>
  </si>
  <si>
    <t>13769 Se 140 Avenue</t>
  </si>
  <si>
    <t>5025 Easton Road</t>
  </si>
  <si>
    <t>St. Joseph, MO, 64507</t>
  </si>
  <si>
    <t>8441 E. 32Nd St N. Suite 110</t>
  </si>
  <si>
    <t>1957 N. Santa Fe</t>
  </si>
  <si>
    <t>116 Centennial Drive</t>
  </si>
  <si>
    <t>411 N. West Road</t>
  </si>
  <si>
    <t>2034 E Northern</t>
  </si>
  <si>
    <t>1935 Walker</t>
  </si>
  <si>
    <t>1625 S Vine</t>
  </si>
  <si>
    <t>10528 E. Road</t>
  </si>
  <si>
    <t>Delia, KS, 66418</t>
  </si>
  <si>
    <t>1571 Fenpark Dr.</t>
  </si>
  <si>
    <t>2333 S. West St. Ct. #309</t>
  </si>
  <si>
    <t>1125 Corporate Dr N, Suite 207A</t>
  </si>
  <si>
    <t>Mobile, AL, 36607</t>
  </si>
  <si>
    <t>2102 E. 21St Street N.</t>
  </si>
  <si>
    <t>7709 E. Harry</t>
  </si>
  <si>
    <t>3000 S Douglas Blvd</t>
  </si>
  <si>
    <t>Oklahoma City, OK, 73145</t>
  </si>
  <si>
    <t>1111 E 37Th St N</t>
  </si>
  <si>
    <t>300 Sw Jackson</t>
  </si>
  <si>
    <t>Topeka, KS, 66603</t>
  </si>
  <si>
    <t>2005 N Taylor Ave</t>
  </si>
  <si>
    <t>1300 S Bebe St</t>
  </si>
  <si>
    <t>8450 Palmetto Commerce Parkway</t>
  </si>
  <si>
    <t>Ladson, SC, 29456</t>
  </si>
  <si>
    <t>375 Airlift Dr. Door #50</t>
  </si>
  <si>
    <t>San Antonio, TX, 78226</t>
  </si>
  <si>
    <t>6151 N Prospect Rd</t>
  </si>
  <si>
    <t>Park City, KS, 67204</t>
  </si>
  <si>
    <t>2470 Coral Street</t>
  </si>
  <si>
    <t>8250 E. Marion</t>
  </si>
  <si>
    <t>Vista, CA, 92083</t>
  </si>
  <si>
    <t>4909 Sun Valley Drive</t>
  </si>
  <si>
    <t>9121 W Little York Road</t>
  </si>
  <si>
    <t>Houston, TX, 77040</t>
  </si>
  <si>
    <t>1200 Blake Drive</t>
  </si>
  <si>
    <t>4200 W. Esthner</t>
  </si>
  <si>
    <t>1009 Boren Ave.</t>
  </si>
  <si>
    <t>Duncan, OK, 73533</t>
  </si>
  <si>
    <t>6410 Se Forbes Ave.</t>
  </si>
  <si>
    <t>Topeka, KS, 66619</t>
  </si>
  <si>
    <t>135 N Park</t>
  </si>
  <si>
    <t>514 N. Main</t>
  </si>
  <si>
    <t>1099 W Ropes Ave</t>
  </si>
  <si>
    <t>Woodlake, KS, 93286</t>
  </si>
  <si>
    <t>100 Industrial Drive</t>
  </si>
  <si>
    <t>165 Alsonia St.</t>
  </si>
  <si>
    <t>Estill Springs, TN, 37330</t>
  </si>
  <si>
    <t>521 Industrial Street</t>
  </si>
  <si>
    <t>1844 Kentucky Avenue</t>
  </si>
  <si>
    <t>Winter Park, FL, 32789</t>
  </si>
  <si>
    <t>116 S. Lulu</t>
  </si>
  <si>
    <t>180 Lamar Haley Parkway</t>
  </si>
  <si>
    <t>Canton, GA, 30114</t>
  </si>
  <si>
    <t>4819 N. Hedgerow</t>
  </si>
  <si>
    <t>602 N Hydraulic</t>
  </si>
  <si>
    <t>3625 Comotara</t>
  </si>
  <si>
    <t>41001 Wolverine Rd</t>
  </si>
  <si>
    <t>Shawnee, OK, 74804</t>
  </si>
  <si>
    <t>3000 Power Dr.</t>
  </si>
  <si>
    <t>Kansas City, KS, 66106</t>
  </si>
  <si>
    <t>2700 Amherst Avenue</t>
  </si>
  <si>
    <t>30914 San Antonio St.</t>
  </si>
  <si>
    <t>Hayward, CA, 94544</t>
  </si>
  <si>
    <t>52973 Hutchinson St.</t>
  </si>
  <si>
    <t>Mcconnell Air Force Base, KS, 67221</t>
  </si>
  <si>
    <t>2001 West Grand</t>
  </si>
  <si>
    <t>2310 Centennial Road</t>
  </si>
  <si>
    <t>1225 Wellington Place</t>
  </si>
  <si>
    <t>Wichita, KS, 67203-3898</t>
  </si>
  <si>
    <t>8200 E. 34Th N. Suite 1410</t>
  </si>
  <si>
    <t>710 E 17Th</t>
  </si>
  <si>
    <t>1352 S. Ridge Rd.</t>
  </si>
  <si>
    <t>205865 E County Rd 32</t>
  </si>
  <si>
    <t>Woodward, OK, 73802</t>
  </si>
  <si>
    <t>117-1/2 W 4Th St</t>
  </si>
  <si>
    <t>915 Tehachapi Willow Springs Rd</t>
  </si>
  <si>
    <t>Tehachapi, CA, 93561</t>
  </si>
  <si>
    <t>5790 S Holcomb Ln</t>
  </si>
  <si>
    <t>Holcomb, KS, 67851</t>
  </si>
  <si>
    <t>7761 W. Kellogg Dr.</t>
  </si>
  <si>
    <t>2010 Airport Road</t>
  </si>
  <si>
    <t>Wichita, KS, 67277-0248</t>
  </si>
  <si>
    <t>1440 S Ridge Road</t>
  </si>
  <si>
    <t>3110 N. Mead</t>
  </si>
  <si>
    <t>3046 E. 31St South</t>
  </si>
  <si>
    <t>19223 K-42 Highway</t>
  </si>
  <si>
    <t>Viola, KS, 67149</t>
  </si>
  <si>
    <t>30587 Century Drive</t>
  </si>
  <si>
    <t>Wixom, MI, 48393</t>
  </si>
  <si>
    <t>355 S Ellis</t>
  </si>
  <si>
    <t>4901 James Mcdevitt St</t>
  </si>
  <si>
    <t>Jackson, MI, 49201</t>
  </si>
  <si>
    <t xml:space="preserve">1  </t>
  </si>
  <si>
    <t xml:space="preserve">Shanghai, KS, 1  </t>
  </si>
  <si>
    <t>3300 West 7Th St.</t>
  </si>
  <si>
    <t>3350 Square D Dr.</t>
  </si>
  <si>
    <t>Cedar Rapids, IA, 52404</t>
  </si>
  <si>
    <t>450 E. 540 Ave.</t>
  </si>
  <si>
    <t>428 W 8Th St.</t>
  </si>
  <si>
    <t>Bartlesville, KS, 74003</t>
  </si>
  <si>
    <t>Jasper, IN, 47549-1007</t>
  </si>
  <si>
    <t>2825 West Washington</t>
  </si>
  <si>
    <t>Stephenville, TX, 76401</t>
  </si>
  <si>
    <t>2241 Humphrey Ave</t>
  </si>
  <si>
    <t>3750 Shelby St.</t>
  </si>
  <si>
    <t>Indianapolis, IN, 46227</t>
  </si>
  <si>
    <t>100 Ne Jefferson Trafficway</t>
  </si>
  <si>
    <t>Topeka, KS, 66607</t>
  </si>
  <si>
    <t>2250 Sw Lower Lake Rd.</t>
  </si>
  <si>
    <t>St Joseph, MO, 64504</t>
  </si>
  <si>
    <t>1255 W. Christmas Blvd.</t>
  </si>
  <si>
    <t>Santa Claus, KS, 47579</t>
  </si>
  <si>
    <t>501 West Sargent Street</t>
  </si>
  <si>
    <t>Beatrice, NE, 68310</t>
  </si>
  <si>
    <t>Wichita, KS, 67260</t>
  </si>
  <si>
    <t>1411 E. Waterman</t>
  </si>
  <si>
    <t>11901 Grandview Road</t>
  </si>
  <si>
    <t>9310 E. 37Th N.</t>
  </si>
  <si>
    <t>150 Capital Drive Suite 340</t>
  </si>
  <si>
    <t>Golden, KS, 80401</t>
  </si>
  <si>
    <t>4505 Campbell Dr.</t>
  </si>
  <si>
    <t>Fort Scott, KS, 66701</t>
  </si>
  <si>
    <t>17501 W 98Th St Ste #53-19</t>
  </si>
  <si>
    <t>3719 E. 12Th Street</t>
  </si>
  <si>
    <t>2400 Pioneer Drive</t>
  </si>
  <si>
    <t>406 N. W. Wiley Post</t>
  </si>
  <si>
    <t>Bartlesville, OK, 74005</t>
  </si>
  <si>
    <t>2400 E. 37Th St. North</t>
  </si>
  <si>
    <t>370 N. Webb Road Bldg 57</t>
  </si>
  <si>
    <t>5920 W 21St St N.</t>
  </si>
  <si>
    <t>5512 State Rd 19 &amp; 113</t>
  </si>
  <si>
    <t>Waunakee, WI, 53597</t>
  </si>
  <si>
    <t>4000 W 21St St N</t>
  </si>
  <si>
    <t>Suite 100</t>
  </si>
  <si>
    <t>4711 Viking Drive</t>
  </si>
  <si>
    <t>Bossier City, LA, 71111</t>
  </si>
  <si>
    <t>1843 Nw 3Rd</t>
  </si>
  <si>
    <t>Oklahoma City, OK, 73106</t>
  </si>
  <si>
    <t>700 Cessna Rd</t>
  </si>
  <si>
    <t>5933 Eden Drive</t>
  </si>
  <si>
    <t>Fort Worth, TX, 76117</t>
  </si>
  <si>
    <t>2112 Fenton Logistics Rc Blvd</t>
  </si>
  <si>
    <t>2501 S.West Street</t>
  </si>
  <si>
    <t>6333 Butler Creek Rd.</t>
  </si>
  <si>
    <t>Missoula, MT, 59808</t>
  </si>
  <si>
    <t>7613 E. Harry</t>
  </si>
  <si>
    <t>910 N Morgan Rd</t>
  </si>
  <si>
    <t>432 W Lincoln</t>
  </si>
  <si>
    <t>Slater, MO, 65349</t>
  </si>
  <si>
    <t>2280 S State Rd. 14</t>
  </si>
  <si>
    <t>Santa Claus, IN, 47579</t>
  </si>
  <si>
    <t>Brownsville , TX, 78521</t>
  </si>
  <si>
    <t>11310 E 81St St N</t>
  </si>
  <si>
    <t>Owasso, OK, 11310 E 81</t>
  </si>
  <si>
    <t>1825 S Mclean Blvd</t>
  </si>
  <si>
    <t>3751 N Jabara Rd</t>
  </si>
  <si>
    <t>104 Port Arthur Ave</t>
  </si>
  <si>
    <t>Mena, AR, 71953-3344</t>
  </si>
  <si>
    <t>2085 Corporate 44 Dr</t>
  </si>
  <si>
    <t>4001 N. Park Rd.</t>
  </si>
  <si>
    <t>Lincoln, NE, 68500</t>
  </si>
  <si>
    <t>7239 Acc Boulevard, Suite 101</t>
  </si>
  <si>
    <t>7152 Central Avenue</t>
  </si>
  <si>
    <t>305 Butler Industrial Drive</t>
  </si>
  <si>
    <t>Dallas, GA, 30132</t>
  </si>
  <si>
    <t>7323 Tom Drive</t>
  </si>
  <si>
    <t>Baton Rouge, LA, 70806</t>
  </si>
  <si>
    <t>1800 Kansas Ave.</t>
  </si>
  <si>
    <t xml:space="preserve">9 West Aylesbury Rd </t>
  </si>
  <si>
    <t>Suite H</t>
  </si>
  <si>
    <t>Timonium, MD, 21093</t>
  </si>
  <si>
    <t>12313 K47 Hwy</t>
  </si>
  <si>
    <t>801 E Skinner</t>
  </si>
  <si>
    <t>9324 S.W. Anna Rd</t>
  </si>
  <si>
    <t>1333 N Main</t>
  </si>
  <si>
    <t>40135 Us Highway 281</t>
  </si>
  <si>
    <t>1404 Newton Dr.</t>
  </si>
  <si>
    <t>Champain, IL, 61822</t>
  </si>
  <si>
    <t>380 Yongstown Road</t>
  </si>
  <si>
    <t>Youngstown, OH, 44515</t>
  </si>
  <si>
    <t>601 N Washington St Bldg B</t>
  </si>
  <si>
    <t>8701 6Th St</t>
  </si>
  <si>
    <t>900 Kit Blvd</t>
  </si>
  <si>
    <t>Mcpherson, KS, 67480</t>
  </si>
  <si>
    <t>10541 E. Ute St.</t>
  </si>
  <si>
    <t>1123 N Mosley</t>
  </si>
  <si>
    <t>5211 W 21St N.</t>
  </si>
  <si>
    <t>516 N. Oliver Rd.</t>
  </si>
  <si>
    <t>Hanger J</t>
  </si>
  <si>
    <t>1821 S. Eisenhower Ave</t>
  </si>
  <si>
    <t>1475 Follett Drive</t>
  </si>
  <si>
    <t>Door/Bay 16</t>
  </si>
  <si>
    <t>Cassopolis, MI, 49031</t>
  </si>
  <si>
    <t>4174 S Oliver</t>
  </si>
  <si>
    <t>Building 140H</t>
  </si>
  <si>
    <t>1003 Corey Rd</t>
  </si>
  <si>
    <t>3210 E 85Th Street</t>
  </si>
  <si>
    <t>Kansas City, MO, 64132</t>
  </si>
  <si>
    <t>221 E Patti Page Blvd</t>
  </si>
  <si>
    <t>Claremore, OK, 74019</t>
  </si>
  <si>
    <t>1413 Fretz Drive</t>
  </si>
  <si>
    <t xml:space="preserve"> Edmond, OK, 73003</t>
  </si>
  <si>
    <t>10211 W Westlakes St</t>
  </si>
  <si>
    <t>215 E 13Th St</t>
  </si>
  <si>
    <t>1201 Rmb Court</t>
  </si>
  <si>
    <t>Fountain, CO, 80817</t>
  </si>
  <si>
    <t xml:space="preserve">3500 S Hoover </t>
  </si>
  <si>
    <t>1707 S. Hoover Rd.</t>
  </si>
  <si>
    <t>1426 N Grand St</t>
  </si>
  <si>
    <t>1612 S. Mead St.</t>
  </si>
  <si>
    <t>3300 W 7Th St.</t>
  </si>
  <si>
    <t>14954 La Palma Drive</t>
  </si>
  <si>
    <t>Chino, CA, 91710</t>
  </si>
  <si>
    <t>2227 W. 190Th Street</t>
  </si>
  <si>
    <t>Torrance, CA, 90504</t>
  </si>
  <si>
    <t>5040 Nw Us Hwy 24</t>
  </si>
  <si>
    <t>Topeka, KS, 66618-3815</t>
  </si>
  <si>
    <t>165 Field Street</t>
  </si>
  <si>
    <t>7321 E 35Th St N</t>
  </si>
  <si>
    <t>201 Perry St</t>
  </si>
  <si>
    <t>Lawrence, KS, 66044</t>
  </si>
  <si>
    <t>One Relco Ave</t>
  </si>
  <si>
    <t>11220 S Fm 730</t>
  </si>
  <si>
    <t>Azle, TX, 76020</t>
  </si>
  <si>
    <t>2100 - 196Th St Sw Suite 105</t>
  </si>
  <si>
    <t>Lynnwood, WA, 98036</t>
  </si>
  <si>
    <t>Po Box 81887</t>
  </si>
  <si>
    <t>Lincoln, NE, 68501</t>
  </si>
  <si>
    <t>1009 Se Browning Street</t>
  </si>
  <si>
    <t>1627 E 27Th Terrace</t>
  </si>
  <si>
    <t>2318 N Parkridge Ct</t>
  </si>
  <si>
    <t>2042 N 135Th St W</t>
  </si>
  <si>
    <t>561 N Cowan Avenue</t>
  </si>
  <si>
    <t>Lewisville, TX, 75057</t>
  </si>
  <si>
    <t>18939 120Th Ave. Ne</t>
  </si>
  <si>
    <t>Bothell, WA, 98011</t>
  </si>
  <si>
    <t>Eldorado, KS, 67042</t>
  </si>
  <si>
    <t>4620 N. Beach St.</t>
  </si>
  <si>
    <t>Haltom City, TX, 76137</t>
  </si>
  <si>
    <t>5605 N 119Th W</t>
  </si>
  <si>
    <t>19815 Magellan Drive</t>
  </si>
  <si>
    <t>Torrance, CA, 90502</t>
  </si>
  <si>
    <t>12370 Pine Springs Drive</t>
  </si>
  <si>
    <t>El Paso, TX, 79928</t>
  </si>
  <si>
    <t>2254 Conestoga Drive</t>
  </si>
  <si>
    <t>Carson City, NV, 89706</t>
  </si>
  <si>
    <t>1420 Kansas Ave</t>
  </si>
  <si>
    <t>5920 W 21St St N</t>
  </si>
  <si>
    <t>Wichita, KS, 67147</t>
  </si>
  <si>
    <t>4840 E. 12Th Street</t>
  </si>
  <si>
    <t>701 Industrial Blvd</t>
  </si>
  <si>
    <t>Marble Falls, TX, 78654</t>
  </si>
  <si>
    <t>Po Box 165</t>
  </si>
  <si>
    <t>5247 Crawford Road</t>
  </si>
  <si>
    <t>Langley, WA, 98260</t>
  </si>
  <si>
    <t>15711 W 13Th</t>
  </si>
  <si>
    <t>1400 S Hall</t>
  </si>
  <si>
    <t>6 N Walnut St</t>
  </si>
  <si>
    <t>13139 E Us Highway 160</t>
  </si>
  <si>
    <t>Satanta, KS, 67870</t>
  </si>
  <si>
    <t>8125 E. 26Th Street</t>
  </si>
  <si>
    <t>Joplin, MO, 64804</t>
  </si>
  <si>
    <t>428 West 8Th Street</t>
  </si>
  <si>
    <t>6 North Walnut</t>
  </si>
  <si>
    <t>2019 Sw Boulevard</t>
  </si>
  <si>
    <t>975 N. Service Rd. W.</t>
  </si>
  <si>
    <t>5233 Nw 41St St</t>
  </si>
  <si>
    <t>3660 Sw Us 40</t>
  </si>
  <si>
    <t>11601 N. Dixie Dr.</t>
  </si>
  <si>
    <t>Tipp City, OH, 45371</t>
  </si>
  <si>
    <t>504 N Grand</t>
  </si>
  <si>
    <t>2925 Industrial St</t>
  </si>
  <si>
    <t>123 Commerce Way</t>
  </si>
  <si>
    <t>Westminster, SC, 29693</t>
  </si>
  <si>
    <t>3450 North Rock Road Suite 300</t>
  </si>
  <si>
    <t>840 Commercial Way</t>
  </si>
  <si>
    <t>4004 N. Webb Rd</t>
  </si>
  <si>
    <t>500 73Rd Ave Ne</t>
  </si>
  <si>
    <t>Fridley, MN, 55432</t>
  </si>
  <si>
    <t>1601 East South Avenue</t>
  </si>
  <si>
    <t>Emporia, KS, 66801</t>
  </si>
  <si>
    <t>1308 Border Ave.</t>
  </si>
  <si>
    <t>Torrance, CA, 90501</t>
  </si>
  <si>
    <t>2307 Indiana Ave.</t>
  </si>
  <si>
    <t>1630 Zanker Road</t>
  </si>
  <si>
    <t>San Jose, CA, 95112</t>
  </si>
  <si>
    <t>14621 W 112Th St.</t>
  </si>
  <si>
    <t>Av. Dr. João Batista De Souza Soares,</t>
  </si>
  <si>
    <t>4009 - Cidade Morumbi, São José Dos Campos</t>
  </si>
  <si>
    <t>Sao Paulo, KS, SP, 12236-600</t>
  </si>
  <si>
    <t>1001 Preston St Suite 800</t>
  </si>
  <si>
    <t>Houston, TX, 77002</t>
  </si>
  <si>
    <t>12601 Se Highway 212</t>
  </si>
  <si>
    <t>Clackamas, OR, 97015</t>
  </si>
  <si>
    <t>29406 12 Road</t>
  </si>
  <si>
    <t>Montezuma, KS, 67878</t>
  </si>
  <si>
    <t>1200 E 151St St</t>
  </si>
  <si>
    <t>Olathe, KS, 66062</t>
  </si>
  <si>
    <t>443 S Illinois St</t>
  </si>
  <si>
    <t>208 S. Commerce St.</t>
  </si>
  <si>
    <t>2486 8Th Road</t>
  </si>
  <si>
    <t>Lorraine, KS, 67459</t>
  </si>
  <si>
    <t>105 W 2950 S.</t>
  </si>
  <si>
    <t>Salt Lake City, UT, 84115</t>
  </si>
  <si>
    <t>2635 W Esthner Ct.</t>
  </si>
  <si>
    <t>2944 Troost Avenue</t>
  </si>
  <si>
    <t>Kansas City, MO, 64109</t>
  </si>
  <si>
    <t>5551 N 119Th St West</t>
  </si>
  <si>
    <t>4004 N. Webb</t>
  </si>
  <si>
    <t>14916 Sw 31St. Terr</t>
  </si>
  <si>
    <t>818 N. Emporia</t>
  </si>
  <si>
    <t>7555 S Pattie</t>
  </si>
  <si>
    <t>Wichita, KS, 67060</t>
  </si>
  <si>
    <t>2050 E Northern St</t>
  </si>
  <si>
    <t>10504 S.W. Indianola Rd.</t>
  </si>
  <si>
    <t>2003 W State St.</t>
  </si>
  <si>
    <t>Garland, TX, 75042</t>
  </si>
  <si>
    <t>819 W. 1St Ave.</t>
  </si>
  <si>
    <t>3724 W Vancouver Street</t>
  </si>
  <si>
    <t>7501 E 26Th Street</t>
  </si>
  <si>
    <t>343 S Ellis</t>
  </si>
  <si>
    <t>1723 Southwest Blvd</t>
  </si>
  <si>
    <t>12257 South Wadeworth Blvd.</t>
  </si>
  <si>
    <t>Littleton, CO, 80127</t>
  </si>
  <si>
    <t>2650 Observation Trail</t>
  </si>
  <si>
    <t>Rockwall, TX, 75032</t>
  </si>
  <si>
    <t>1930 S Hoover Rd Suite 100</t>
  </si>
  <si>
    <t>3008 Red Morris Pkwy</t>
  </si>
  <si>
    <t>Annistion, AL, 36207</t>
  </si>
  <si>
    <t>1224 N. Lean St.</t>
  </si>
  <si>
    <t>Post Falls, ID, 83854</t>
  </si>
  <si>
    <t>5960 Dry Hop Circle</t>
  </si>
  <si>
    <t>2712 S. Prescott Ct.</t>
  </si>
  <si>
    <t>2033 E Northern</t>
  </si>
  <si>
    <t>3724 Vancouver St.</t>
  </si>
  <si>
    <t>7130 N. Broadway</t>
  </si>
  <si>
    <t>7101 W 36St S</t>
  </si>
  <si>
    <t>35 Vantage Pt. Dr.</t>
  </si>
  <si>
    <t>Rochester, NY, 14624</t>
  </si>
  <si>
    <t>1111 Airport Rd</t>
  </si>
  <si>
    <t>8925 Zev Avenue</t>
  </si>
  <si>
    <t>Saint Louis, MO, 63134</t>
  </si>
  <si>
    <t>100 E. Halliburton Blvd.</t>
  </si>
  <si>
    <t>Duncan, OK, 73536</t>
  </si>
  <si>
    <t>5300 Willow Creek Drive S.W.</t>
  </si>
  <si>
    <t>3512 N Webb Rd.</t>
  </si>
  <si>
    <t>Hanger 6</t>
  </si>
  <si>
    <t>8230 East 23Rd Street</t>
  </si>
  <si>
    <t>1215 West C Street</t>
  </si>
  <si>
    <t>2919 N Rotary Ter</t>
  </si>
  <si>
    <t>14212 N Bethel Rd</t>
  </si>
  <si>
    <t>Seneca, MO, 64865</t>
  </si>
  <si>
    <t>612 Riverside Dr</t>
  </si>
  <si>
    <t>New Braunfels, TX, 78130</t>
  </si>
  <si>
    <t>840 Commerical Way</t>
  </si>
  <si>
    <t>329 N Waco</t>
  </si>
  <si>
    <t>2944 Troost Ave</t>
  </si>
  <si>
    <t>3414 W 29Th S</t>
  </si>
  <si>
    <t>955 N Mosley</t>
  </si>
  <si>
    <t>11710 Cyrus Way</t>
  </si>
  <si>
    <t>Mukilteo, WA, 98275</t>
  </si>
  <si>
    <t>100 Reno Ave.</t>
  </si>
  <si>
    <t>95 Estates Drive West</t>
  </si>
  <si>
    <t>Fairport, NY, 14450</t>
  </si>
  <si>
    <t>300 W Murdock St</t>
  </si>
  <si>
    <t>2345 Grand Boulevard, Suite 2100</t>
  </si>
  <si>
    <t>Wichita, KS, 64108</t>
  </si>
  <si>
    <t>5202 West Channel Road</t>
  </si>
  <si>
    <t>4118 W 17Th N</t>
  </si>
  <si>
    <t>1451 N 180Th Rd</t>
  </si>
  <si>
    <t>Lincoln, KS, 67455</t>
  </si>
  <si>
    <t>7 Wells Ave, Suite 34</t>
  </si>
  <si>
    <t>Newton, MA, 02459</t>
  </si>
  <si>
    <t>5508 Elmwood Ave, Suite 406</t>
  </si>
  <si>
    <t>Indianapolis, IN, 46203</t>
  </si>
  <si>
    <t>3800 S Oliver, Building 16K</t>
  </si>
  <si>
    <t>2915 Marshall Ave</t>
  </si>
  <si>
    <t>Kearney, NE, 68847</t>
  </si>
  <si>
    <t>3427 W 30Th</t>
  </si>
  <si>
    <t>5375 N Deere Rd.</t>
  </si>
  <si>
    <t>5500 East Kellogg</t>
  </si>
  <si>
    <t>716 N Commercial Street</t>
  </si>
  <si>
    <t>14520 Botts Rd, Bldg 2</t>
  </si>
  <si>
    <t>Kansas City, MO, 64147-1302</t>
  </si>
  <si>
    <t>1000 West Hunters Ridge</t>
  </si>
  <si>
    <t>15237 Broadmoor St</t>
  </si>
  <si>
    <t>Overland Park, KS, 66223</t>
  </si>
  <si>
    <t>12400 Corporate Drive</t>
  </si>
  <si>
    <t>Bentonville, AR, 72713</t>
  </si>
  <si>
    <t>5850 Citation Way</t>
  </si>
  <si>
    <t>Sacramento, CA, 95682</t>
  </si>
  <si>
    <t>1208 Se Broadway Dr</t>
  </si>
  <si>
    <t>4115 S. Johnson Rd.</t>
  </si>
  <si>
    <t>P.O. Box 466</t>
  </si>
  <si>
    <t>2723 County Line Rd</t>
  </si>
  <si>
    <t>Deer Grove, IL, 61243</t>
  </si>
  <si>
    <t>4646 W. Kellogg Dr.</t>
  </si>
  <si>
    <t>1513 West 132Nd Street</t>
  </si>
  <si>
    <t>Gardena, CA, 90249</t>
  </si>
  <si>
    <t>2440 Holcomb Lane</t>
  </si>
  <si>
    <t>1120 Technology Way</t>
  </si>
  <si>
    <t>Waxahachie, TX, 75167</t>
  </si>
  <si>
    <t>No Shipping</t>
  </si>
  <si>
    <t>No Shipping, KS, no shipping</t>
  </si>
  <si>
    <t>1743 E Oxford Circle</t>
  </si>
  <si>
    <t>101 Airport Rd Suite E</t>
  </si>
  <si>
    <t>Westerly, RI, 02891</t>
  </si>
  <si>
    <t>16596 U.S. Hwy 36</t>
  </si>
  <si>
    <t>1716 Lookout Dr.</t>
  </si>
  <si>
    <t>9120 S Meridian St</t>
  </si>
  <si>
    <t>Po Box 384</t>
  </si>
  <si>
    <t>3524 E 4Th Ave</t>
  </si>
  <si>
    <t>231 N Walnut St</t>
  </si>
  <si>
    <t>1137 Avenue N</t>
  </si>
  <si>
    <t>1906 N County Road</t>
  </si>
  <si>
    <t>Wichita, KS, 67230</t>
  </si>
  <si>
    <t>2627 W Maxwell</t>
  </si>
  <si>
    <t>9400 E Kellogg</t>
  </si>
  <si>
    <t>7117 W. Harry St</t>
  </si>
  <si>
    <t>Wichita, KS, 67276</t>
  </si>
  <si>
    <t>322 E Waller</t>
  </si>
  <si>
    <t>312 N Indiana</t>
  </si>
  <si>
    <t>1778 E Carr Rd, Ste 1</t>
  </si>
  <si>
    <t>Calexico, CA, 92231-9766</t>
  </si>
  <si>
    <t>7216 W 12Th St N</t>
  </si>
  <si>
    <t>2703 S. Prescott St.</t>
  </si>
  <si>
    <t>Goddard, KS, 67215</t>
  </si>
  <si>
    <t>2701 E 4Th Ave</t>
  </si>
  <si>
    <t>1655B Wall Street</t>
  </si>
  <si>
    <t>1330 Sw Prairie Creek</t>
  </si>
  <si>
    <t>1750 S Colorado</t>
  </si>
  <si>
    <t>440 N West Rd</t>
  </si>
  <si>
    <t>2403 E Riviera St</t>
  </si>
  <si>
    <t>1630 E 37St N</t>
  </si>
  <si>
    <t>3933 S. Eisenhower Ct</t>
  </si>
  <si>
    <t>10090 Sw River Valley Rd</t>
  </si>
  <si>
    <t>Po Box 75354</t>
  </si>
  <si>
    <t>216 Pirner Dr</t>
  </si>
  <si>
    <t>11783 Sw 50Th St</t>
  </si>
  <si>
    <t>6544 N Woodlawn</t>
  </si>
  <si>
    <t>1213 S Washington Ave</t>
  </si>
  <si>
    <t>2799 S Meridian Ave</t>
  </si>
  <si>
    <t>13933 N Remington Ln Ct</t>
  </si>
  <si>
    <t>5201 Hawking Dr Se</t>
  </si>
  <si>
    <t>Albuquerque, NM, 87106</t>
  </si>
  <si>
    <t>186 S Creek Rd</t>
  </si>
  <si>
    <t>310 Woodridge Ct</t>
  </si>
  <si>
    <t>18320 Hwy 71</t>
  </si>
  <si>
    <t>Greenwood, AR, 72936</t>
  </si>
  <si>
    <t>540 W 18Th St</t>
  </si>
  <si>
    <t>2019 Southwest Boulevard</t>
  </si>
  <si>
    <t>11618 W Jewell</t>
  </si>
  <si>
    <t>507 Tall Grass Dr.</t>
  </si>
  <si>
    <t>Pleasant Hill, MO, 64080</t>
  </si>
  <si>
    <t>1919 E 98Th St N</t>
  </si>
  <si>
    <t>Po Box 946</t>
  </si>
  <si>
    <t>Salina, KS, 67402</t>
  </si>
  <si>
    <t>2601 Pioneer Drive</t>
  </si>
  <si>
    <t>3813 Helios Way B200</t>
  </si>
  <si>
    <t>Pflugerville, TX, 78660</t>
  </si>
  <si>
    <t>1 Aero Plaza</t>
  </si>
  <si>
    <t>New Century, KS, 66031-1104</t>
  </si>
  <si>
    <t>1900 N Amidon Ste 209</t>
  </si>
  <si>
    <t>420 S Mccomas</t>
  </si>
  <si>
    <t>1816 E Wasp Rd</t>
  </si>
  <si>
    <t>3636 N Topeka</t>
  </si>
  <si>
    <t>14219 E 79Th St</t>
  </si>
  <si>
    <t>1049 Triad Ct.</t>
  </si>
  <si>
    <t>Marietta, GA, 30062</t>
  </si>
  <si>
    <t>1814 W 26Th N</t>
  </si>
  <si>
    <t>7614 W. Westlawn St</t>
  </si>
  <si>
    <t>13333 Lynam Dr</t>
  </si>
  <si>
    <t>Omaha, NE, 68138</t>
  </si>
  <si>
    <t>Po Box 444</t>
  </si>
  <si>
    <t>15291 E Pawnee</t>
  </si>
  <si>
    <t>1103 Rimrock Rd</t>
  </si>
  <si>
    <t>999 N Silver Springs</t>
  </si>
  <si>
    <t>3215 E 9Th Street N</t>
  </si>
  <si>
    <t>417 Ave D</t>
  </si>
  <si>
    <t>Garden Plain, KS, 67050</t>
  </si>
  <si>
    <t>912 N Timberleaf Dr.</t>
  </si>
  <si>
    <t>Po Box 39</t>
  </si>
  <si>
    <t>1840 S West St.</t>
  </si>
  <si>
    <t>6721 E Edith Blvd Ne Unit C</t>
  </si>
  <si>
    <t>Albuquerque, NM, 87113</t>
  </si>
  <si>
    <t>3244 N Salina Ave</t>
  </si>
  <si>
    <t>625 E 1St</t>
  </si>
  <si>
    <t>167-14 146Th Rd</t>
  </si>
  <si>
    <t>Jamaica, NY, 11434</t>
  </si>
  <si>
    <t>1110 South 67Th Street, Pki 104F</t>
  </si>
  <si>
    <t>Omaha, NE, 68182-0816</t>
  </si>
  <si>
    <t>1730 Terry Ln</t>
  </si>
  <si>
    <t>650 S. Webb Rd</t>
  </si>
  <si>
    <t>201 N Allen Ave</t>
  </si>
  <si>
    <t>7417 N 101St St</t>
  </si>
  <si>
    <t>Omaha, NE, 68122</t>
  </si>
  <si>
    <t>930 N. Mosley St.</t>
  </si>
  <si>
    <t>27208 E Us Highway 24</t>
  </si>
  <si>
    <t>Po Box 211</t>
  </si>
  <si>
    <t>Buckner, MO, 64016</t>
  </si>
  <si>
    <t>4203 W Harry</t>
  </si>
  <si>
    <t>378 Sw Purity Springs Rd</t>
  </si>
  <si>
    <t>3260 N Jabara Rd.</t>
  </si>
  <si>
    <t>3260 N. Jabara Rd.</t>
  </si>
  <si>
    <t>5801 Denton Hwy.</t>
  </si>
  <si>
    <t>Haltom City, TX, 76148</t>
  </si>
  <si>
    <t>700 W Frontier Lane</t>
  </si>
  <si>
    <t>235 Edison Road</t>
  </si>
  <si>
    <t>Orange, CT, 06477</t>
  </si>
  <si>
    <t>555 St. Louis Ave</t>
  </si>
  <si>
    <t>Valley Park, MO, 63088</t>
  </si>
  <si>
    <t>308 W 5Th St.</t>
  </si>
  <si>
    <t>Burden, KS, 67019</t>
  </si>
  <si>
    <t>1921 N. Socora</t>
  </si>
  <si>
    <t>5714 Epsilon Drive</t>
  </si>
  <si>
    <t>San Antonio, TX, 78249</t>
  </si>
  <si>
    <t>8349 Dickey Road</t>
  </si>
  <si>
    <t>Silverdale, WA, 98383</t>
  </si>
  <si>
    <t>2539 Nail Road Suite 103</t>
  </si>
  <si>
    <t>Krum, TX, 76249</t>
  </si>
  <si>
    <t>929 N Saint Francis</t>
  </si>
  <si>
    <t>12645 N 103Rd E Ave</t>
  </si>
  <si>
    <t>Collinsville, OK, 74021</t>
  </si>
  <si>
    <t>555 St.Louis Ave</t>
  </si>
  <si>
    <t>1500 E 27Th Street Terrace</t>
  </si>
  <si>
    <t>308 W. 8Th</t>
  </si>
  <si>
    <t>430 S Greenwood</t>
  </si>
  <si>
    <t>27014 E 11Th</t>
  </si>
  <si>
    <t>3102 N Landon Cir.</t>
  </si>
  <si>
    <t>3435 W Harry St</t>
  </si>
  <si>
    <t>2638 Quail</t>
  </si>
  <si>
    <t>Fall River, KS, 67047</t>
  </si>
  <si>
    <t>12440 W 34Th St S</t>
  </si>
  <si>
    <t>Wichita, KS, 67227</t>
  </si>
  <si>
    <t>1935 S Aircargo Rd</t>
  </si>
  <si>
    <t>Ste. 500</t>
  </si>
  <si>
    <t>1515 North A Street</t>
  </si>
  <si>
    <t>1656 Nw 785Th Rd</t>
  </si>
  <si>
    <t>Bates City, MO, 64011</t>
  </si>
  <si>
    <t>1300 W Granby</t>
  </si>
  <si>
    <t>440 S Pattie</t>
  </si>
  <si>
    <t>7540 Northwind #200</t>
  </si>
  <si>
    <t>1716 N 9Th St</t>
  </si>
  <si>
    <t>Monett, MO, 65708</t>
  </si>
  <si>
    <t>175 N Us 281 Hwy</t>
  </si>
  <si>
    <t>Strotherfield Air &amp; Industrial Park</t>
  </si>
  <si>
    <t>7727 1St Avenue</t>
  </si>
  <si>
    <t>1200 Nw Us Highway 24</t>
  </si>
  <si>
    <t>Topeka, KS, 66618</t>
  </si>
  <si>
    <t>101 W 48Th St. S</t>
  </si>
  <si>
    <t>400 E Kansas</t>
  </si>
  <si>
    <t>5703 N. Athenian</t>
  </si>
  <si>
    <t>1405 S Bebe</t>
  </si>
  <si>
    <t>1350 S Anna</t>
  </si>
  <si>
    <t>1100 E Macarthur</t>
  </si>
  <si>
    <t>4111 E 37Th St</t>
  </si>
  <si>
    <t>1801 S Airport Rd Rm 400</t>
  </si>
  <si>
    <t>5309 S Main</t>
  </si>
  <si>
    <t>602 S Hydraulic St</t>
  </si>
  <si>
    <t>200 Prospect Place S. W.</t>
  </si>
  <si>
    <t>711 N. Hydraulic</t>
  </si>
  <si>
    <t>523 E Union Ave</t>
  </si>
  <si>
    <t>Colwich, Ks 67030</t>
  </si>
  <si>
    <t>411 N Aksarben St.</t>
  </si>
  <si>
    <t>Ver. 04.02.25</t>
  </si>
  <si>
    <t>Table of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</si>
</sst>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9">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1" xr16:uid="{CD162BDF-AE6F-4495-81AA-9D44C1608709}" autoFormatId="16" applyNumberFormats="0" applyBorderFormats="0" applyFontFormats="0" applyPatternFormats="0" applyAlignmentFormats="0" applyWidthHeightFormats="0">
  <queryTableRefresh nextId="21">
    <queryTableFields count="4">
      <queryTableField id="6" name="CompanyName" tableColumnId="6"/>
      <queryTableField id="18" name="Address1" tableColumnId="18"/>
      <queryTableField id="19" name="Address2" tableColumnId="19"/>
      <queryTableField id="20" name="Merged" tableColumnId="20"/>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48" dataDxfId="47" headerRowCellStyle="Normal 2" dataCellStyle="Normal 2">
  <autoFilter ref="U11:V25" xr:uid="{DCCFF26E-EC5C-4962-98DB-A7DA1F3C8CE2}"/>
  <tableColumns count="2">
    <tableColumn id="1" xr3:uid="{DFC40837-B092-4826-9847-4A23BE22020F}" name="4" dataDxfId="46" dataCellStyle="Normal 2"/>
    <tableColumn id="2" xr3:uid="{0711DB07-19DA-4D5E-A417-C242A0304453}" name="10" dataDxfId="45"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E1643" tableType="queryTable" totalsRowShown="0">
  <autoFilter ref="B3:E1643" xr:uid="{7FFB3A25-33B3-41D4-A4EC-161ECACD71F3}"/>
  <tableColumns count="4">
    <tableColumn id="6" xr3:uid="{C66B3671-59DD-485B-A20F-9807E1908ADE}" uniqueName="6" name="CompanyName" queryTableFieldId="6"/>
    <tableColumn id="18" xr3:uid="{5DE66976-8962-4778-9F2F-F1825B5EABCC}" uniqueName="18" name="Address1" queryTableFieldId="18" dataDxfId="2"/>
    <tableColumn id="19" xr3:uid="{31D68568-B5E1-4705-9496-19F08F967786}" uniqueName="19" name="Address2" queryTableFieldId="19" dataDxfId="1"/>
    <tableColumn id="20" xr3:uid="{5AE80B19-572A-40D3-B26F-1A4C57286083}" uniqueName="20" name="Merged"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 Id="rId4"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9577</v>
      </c>
      <c r="B1" s="209"/>
      <c r="C1" s="578" t="s">
        <v>64</v>
      </c>
      <c r="D1" s="579"/>
      <c r="E1" s="579"/>
      <c r="F1" s="579"/>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80" t="s">
        <v>131</v>
      </c>
      <c r="K3" s="581"/>
      <c r="L3" s="582"/>
      <c r="M3" s="212"/>
      <c r="N3" s="599" t="s">
        <v>120</v>
      </c>
      <c r="O3" s="599"/>
      <c r="P3" s="599"/>
      <c r="Q3" s="599"/>
      <c r="R3" s="599"/>
      <c r="S3" s="599"/>
      <c r="T3" s="218"/>
      <c r="U3" s="218"/>
      <c r="V3" s="218"/>
      <c r="W3" s="221"/>
      <c r="X3" s="221"/>
      <c r="Y3" s="221"/>
      <c r="Z3" s="221"/>
      <c r="AA3" s="221"/>
      <c r="AB3" s="221"/>
      <c r="AC3" s="221"/>
    </row>
    <row r="4" spans="1:29" x14ac:dyDescent="0.2">
      <c r="A4" s="214"/>
      <c r="B4" s="219"/>
      <c r="C4" s="220" t="s">
        <v>1626</v>
      </c>
      <c r="D4" s="358" t="s">
        <v>1758</v>
      </c>
      <c r="E4" s="212"/>
      <c r="F4" s="212"/>
      <c r="G4" s="212"/>
      <c r="H4" s="212"/>
      <c r="I4" s="212"/>
      <c r="J4" s="585" t="s">
        <v>4</v>
      </c>
      <c r="K4" s="586"/>
      <c r="L4" s="222">
        <f ca="1">IF(ISERROR(Access_Data!$D$33),0,Access_Data!$D$33)</f>
        <v>0</v>
      </c>
      <c r="M4" s="212"/>
      <c r="N4" s="223" t="s">
        <v>119</v>
      </c>
      <c r="O4" s="224" t="s">
        <v>118</v>
      </c>
      <c r="P4" s="583" t="s">
        <v>129</v>
      </c>
      <c r="Q4" s="584"/>
      <c r="R4" s="225" t="s">
        <v>213</v>
      </c>
      <c r="S4" s="225" t="s">
        <v>217</v>
      </c>
      <c r="T4" s="218"/>
      <c r="U4" s="496"/>
      <c r="V4" s="496"/>
      <c r="W4" s="496"/>
      <c r="X4" s="496"/>
      <c r="Y4" s="496"/>
      <c r="Z4" s="496"/>
      <c r="AA4" s="496"/>
      <c r="AB4" s="496"/>
      <c r="AC4" s="221"/>
    </row>
    <row r="5" spans="1:29" x14ac:dyDescent="0.2">
      <c r="A5" s="214"/>
      <c r="B5" s="219"/>
      <c r="C5" s="220" t="s">
        <v>54</v>
      </c>
      <c r="D5" s="556"/>
      <c r="E5" s="557"/>
      <c r="F5" s="557"/>
      <c r="G5" s="557"/>
      <c r="H5" s="558"/>
      <c r="I5" s="226"/>
      <c r="J5" s="585" t="s">
        <v>5</v>
      </c>
      <c r="K5" s="586"/>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2"/>
      <c r="E6" s="603"/>
      <c r="F6" s="603"/>
      <c r="G6" s="603"/>
      <c r="H6" s="604"/>
      <c r="I6" s="226"/>
      <c r="J6" s="585" t="s">
        <v>130</v>
      </c>
      <c r="K6" s="586"/>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3754</v>
      </c>
      <c r="K13" s="597"/>
      <c r="L13" s="598"/>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600" t="str">
        <f>IF(MONTH(D13-D12)=1,D9&amp;TEXT(D12,"mmddyy"),CONCATENATE(D9&amp;"_"&amp;TEXT(D12,"mmyy")))</f>
        <v>010000</v>
      </c>
      <c r="E14" s="601"/>
      <c r="F14" s="212"/>
      <c r="G14" s="217" t="str">
        <f>IF(Access_Data!$D$52=1,"!!!!! OVEN OVERSHOT IN POINTS 29-40","")</f>
        <v/>
      </c>
      <c r="H14" s="212"/>
      <c r="I14" s="212"/>
      <c r="J14" s="247" t="s">
        <v>209</v>
      </c>
      <c r="K14" s="591"/>
      <c r="L14" s="592"/>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9"/>
      <c r="L15" s="590"/>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1878</v>
      </c>
      <c r="D16" s="440"/>
      <c r="E16" s="212"/>
      <c r="F16" s="247" t="s">
        <v>106</v>
      </c>
      <c r="G16" s="353" t="s">
        <v>1946</v>
      </c>
      <c r="H16" s="251"/>
      <c r="I16" s="212"/>
      <c r="J16" s="608" t="s">
        <v>254</v>
      </c>
      <c r="K16" s="609"/>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608" t="s">
        <v>255</v>
      </c>
      <c r="K17" s="609"/>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7" t="str">
        <f>IF(K15="Salt",0, IF(OR(K15="Hot",K15="SIM Load Hot"),IF(OR(D26="",D28=""),"N/A",IF(ISBLANK(D26),"N/A",D28-D26)),"N/A"))</f>
        <v>N/A</v>
      </c>
      <c r="H19" s="588"/>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3" t="str">
        <f>IF(I94=TRUE,"SAT Tolerance (per AMS2750):","SAT Tolerance (per BAC5621):")</f>
        <v>SAT Tolerance (per AMS2750):</v>
      </c>
      <c r="C20" s="594"/>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5396</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5391</v>
      </c>
      <c r="AA23" s="496"/>
      <c r="AB23" s="496"/>
      <c r="AC23" s="221"/>
    </row>
    <row r="24" spans="1:29" x14ac:dyDescent="0.2">
      <c r="A24" s="214"/>
      <c r="B24" s="595" t="s">
        <v>5248</v>
      </c>
      <c r="C24" s="596"/>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5392</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5393</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5394</v>
      </c>
      <c r="AA26" s="496"/>
      <c r="AB26" s="496"/>
      <c r="AC26" s="221"/>
    </row>
    <row r="27" spans="1:29" x14ac:dyDescent="0.2">
      <c r="A27" s="214"/>
      <c r="B27" s="270">
        <v>10</v>
      </c>
      <c r="C27" s="220" t="s">
        <v>82</v>
      </c>
      <c r="D27" s="445"/>
      <c r="E27" s="269"/>
      <c r="F27" s="424" t="s">
        <v>2108</v>
      </c>
      <c r="G27" s="422" t="e">
        <f>IF('Header Info'!CB$2="y","Cal by Customer",D$3)</f>
        <v>#N/A</v>
      </c>
      <c r="H27" s="614" t="str">
        <f>IF(ISBLANK(D6),"",IF('Header Info'!CB2="x","CHECK INSTRUMENT CAL DATES!!!!             CHECK INSTRUMENT CAL DATES!!!!",""))</f>
        <v/>
      </c>
      <c r="I27" s="615"/>
      <c r="J27" s="615"/>
      <c r="K27" s="61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5395</v>
      </c>
      <c r="AA27" s="496"/>
      <c r="AB27" s="496"/>
      <c r="AC27" s="221"/>
    </row>
    <row r="28" spans="1:29" x14ac:dyDescent="0.2">
      <c r="A28" s="214"/>
      <c r="B28" s="271">
        <v>30</v>
      </c>
      <c r="C28" s="254" t="s">
        <v>83</v>
      </c>
      <c r="D28" s="445"/>
      <c r="E28" s="269"/>
      <c r="F28" s="424" t="s">
        <v>2109</v>
      </c>
      <c r="G28" s="422" t="e">
        <f>IF('Header Info'!CB$2="y","Cal by Customer",D$3)</f>
        <v>#N/A</v>
      </c>
      <c r="H28" s="614"/>
      <c r="I28" s="615"/>
      <c r="J28" s="615"/>
      <c r="K28" s="61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2110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5397</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5398</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5399</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80" t="s">
        <v>63</v>
      </c>
      <c r="C34" s="581"/>
      <c r="D34" s="581"/>
      <c r="E34" s="581"/>
      <c r="F34" s="581"/>
      <c r="G34" s="581"/>
      <c r="H34" s="581"/>
      <c r="I34" s="581"/>
      <c r="J34" s="581"/>
      <c r="K34" s="581"/>
      <c r="L34" s="582"/>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605" t="s">
        <v>46</v>
      </c>
      <c r="E46" s="606"/>
      <c r="F46" s="606"/>
      <c r="G46" s="606"/>
      <c r="H46" s="606"/>
      <c r="I46" s="607"/>
      <c r="J46" s="425"/>
      <c r="K46" s="425"/>
      <c r="L46" s="425"/>
      <c r="M46" s="559" t="s">
        <v>3832</v>
      </c>
      <c r="N46" s="560"/>
      <c r="O46" s="561"/>
      <c r="P46" s="562"/>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3833</v>
      </c>
      <c r="N47" s="450" t="s">
        <v>3834</v>
      </c>
      <c r="O47" s="451"/>
      <c r="P47" s="612" t="s">
        <v>3835</v>
      </c>
      <c r="Q47" s="612"/>
      <c r="R47" s="430" t="s">
        <v>3836</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613" t="s">
        <v>3837</v>
      </c>
      <c r="N48" s="613"/>
      <c r="O48" s="452"/>
      <c r="P48" s="575" t="s">
        <v>5637</v>
      </c>
      <c r="Q48" s="576"/>
      <c r="R48" s="577"/>
      <c r="S48" s="502"/>
      <c r="T48" s="506"/>
      <c r="U48" s="575" t="s">
        <v>5640</v>
      </c>
      <c r="V48" s="576"/>
      <c r="W48" s="57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3838</v>
      </c>
      <c r="N49" s="431" t="e">
        <f>IF('Header Info'!BV2="","",'Header Info'!BV2)</f>
        <v>#N/A</v>
      </c>
      <c r="O49" s="350"/>
      <c r="P49" s="563" t="s">
        <v>5642</v>
      </c>
      <c r="Q49" s="564"/>
      <c r="R49" s="565"/>
      <c r="S49" s="526"/>
      <c r="T49" s="508"/>
      <c r="U49" s="563" t="s">
        <v>5641</v>
      </c>
      <c r="V49" s="564"/>
      <c r="W49" s="565"/>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3839</v>
      </c>
      <c r="N50" s="431" t="e">
        <f>IF('Header Info'!BW2="","",'Header Info'!BW2)</f>
        <v>#N/A</v>
      </c>
      <c r="O50" s="350"/>
      <c r="P50" s="566" t="s">
        <v>3840</v>
      </c>
      <c r="Q50" s="567"/>
      <c r="R50" s="568"/>
      <c r="S50" s="505"/>
      <c r="T50" s="509"/>
      <c r="U50" s="566" t="s">
        <v>3840</v>
      </c>
      <c r="V50" s="567"/>
      <c r="W50" s="568"/>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3841</v>
      </c>
      <c r="N51" s="431" t="e">
        <f>IF('Header Info'!BX2="","",'Header Info'!BX2)</f>
        <v>#N/A</v>
      </c>
      <c r="P51" s="563" t="s">
        <v>5638</v>
      </c>
      <c r="Q51" s="564"/>
      <c r="R51" s="565"/>
      <c r="S51" s="526"/>
      <c r="T51" s="511"/>
      <c r="U51" s="563" t="s">
        <v>5643</v>
      </c>
      <c r="V51" s="564"/>
      <c r="W51" s="565"/>
      <c r="X51" s="453"/>
    </row>
    <row r="52" spans="1:24" x14ac:dyDescent="0.2">
      <c r="A52" s="214"/>
      <c r="B52" s="293"/>
      <c r="C52" s="433" t="s">
        <v>3847</v>
      </c>
      <c r="D52" s="357"/>
      <c r="E52" s="357"/>
      <c r="F52" s="357"/>
      <c r="G52" s="357"/>
      <c r="H52" s="357"/>
      <c r="I52" s="357"/>
      <c r="J52" s="425" t="str">
        <f>IF(ISBLANK(I$47),"",VLOOKUP($D$47,Standards_Info!$G$2:$H$4,2))</f>
        <v/>
      </c>
      <c r="K52" s="494" t="str">
        <f ca="1">IF(ISBLANK(Main!I48),"",INDEX(OFFSET(Furnace_Data!$V:$V,,-5),MATCH(Main!I48,Furnace_Data!$V:$V,0)))</f>
        <v/>
      </c>
      <c r="L52" s="425"/>
      <c r="M52" s="432" t="s">
        <v>3842</v>
      </c>
      <c r="N52" s="431" t="e">
        <f>IF('Header Info'!BY2="","",'Header Info'!BY2)</f>
        <v>#N/A</v>
      </c>
      <c r="O52" s="350"/>
      <c r="P52" s="566" t="s">
        <v>3840</v>
      </c>
      <c r="Q52" s="567"/>
      <c r="R52" s="568"/>
      <c r="S52" s="505"/>
      <c r="T52" s="510"/>
      <c r="U52" s="566" t="s">
        <v>3840</v>
      </c>
      <c r="V52" s="567"/>
      <c r="W52" s="568"/>
      <c r="X52" s="426"/>
    </row>
    <row r="53" spans="1:24" ht="12.75" customHeight="1" x14ac:dyDescent="0.2">
      <c r="A53" s="214"/>
      <c r="B53" s="293"/>
      <c r="C53" s="433" t="s">
        <v>79</v>
      </c>
      <c r="D53" s="437"/>
      <c r="E53" s="437"/>
      <c r="F53" s="437"/>
      <c r="G53" s="437"/>
      <c r="H53" s="437"/>
      <c r="I53" s="437"/>
      <c r="J53" s="425"/>
      <c r="K53" s="495"/>
      <c r="L53" s="495"/>
      <c r="M53" s="479" t="s">
        <v>3842</v>
      </c>
      <c r="N53" s="431" t="e">
        <f>IF('Header Info'!BZ2="","",'Header Info'!BZ2)</f>
        <v>#N/A</v>
      </c>
      <c r="O53" s="350"/>
      <c r="P53" s="569" t="s">
        <v>5639</v>
      </c>
      <c r="Q53" s="570"/>
      <c r="R53" s="571"/>
      <c r="S53" s="527"/>
      <c r="T53" s="507"/>
      <c r="U53" s="569" t="s">
        <v>5644</v>
      </c>
      <c r="V53" s="570"/>
      <c r="W53" s="571"/>
      <c r="X53" s="454"/>
    </row>
    <row r="54" spans="1:24" x14ac:dyDescent="0.2">
      <c r="A54" s="214"/>
      <c r="B54" s="293"/>
      <c r="C54" s="434" t="s">
        <v>111</v>
      </c>
      <c r="D54" s="357"/>
      <c r="E54" s="357"/>
      <c r="F54" s="357"/>
      <c r="G54" s="357"/>
      <c r="H54" s="357"/>
      <c r="I54" s="357"/>
      <c r="J54" s="351"/>
      <c r="K54" s="480"/>
      <c r="L54" s="481"/>
      <c r="M54" s="482" t="s">
        <v>5040</v>
      </c>
      <c r="N54" s="491" t="s">
        <v>5044</v>
      </c>
      <c r="O54" s="269"/>
      <c r="P54" s="572"/>
      <c r="Q54" s="573"/>
      <c r="R54" s="574"/>
      <c r="S54" s="504"/>
      <c r="T54" s="501"/>
      <c r="U54" s="572"/>
      <c r="V54" s="573"/>
      <c r="W54" s="574"/>
    </row>
    <row r="55" spans="1:24" x14ac:dyDescent="0.2">
      <c r="A55" s="214"/>
      <c r="B55" s="293"/>
      <c r="C55" s="434" t="s">
        <v>236</v>
      </c>
      <c r="D55" s="357"/>
      <c r="E55" s="357"/>
      <c r="F55" s="357"/>
      <c r="G55" s="357"/>
      <c r="H55" s="357"/>
      <c r="I55" s="357"/>
      <c r="J55" s="352"/>
      <c r="K55" s="483"/>
      <c r="L55" s="484"/>
      <c r="M55" s="485" t="s">
        <v>5041</v>
      </c>
      <c r="N55" s="492" t="s">
        <v>5044</v>
      </c>
      <c r="O55" s="269"/>
      <c r="P55" s="455" t="s">
        <v>3843</v>
      </c>
      <c r="Q55" s="455" t="s">
        <v>26</v>
      </c>
      <c r="R55" s="512" t="s">
        <v>3844</v>
      </c>
      <c r="S55" s="516"/>
      <c r="T55" s="514"/>
      <c r="U55" s="458" t="s">
        <v>3845</v>
      </c>
      <c r="V55" s="455" t="s">
        <v>26</v>
      </c>
      <c r="W55" s="455" t="s">
        <v>3846</v>
      </c>
    </row>
    <row r="56" spans="1:24" x14ac:dyDescent="0.2">
      <c r="A56" s="214"/>
      <c r="B56" s="298"/>
      <c r="C56" s="434" t="s">
        <v>237</v>
      </c>
      <c r="D56" s="357"/>
      <c r="E56" s="357"/>
      <c r="F56" s="357"/>
      <c r="G56" s="357"/>
      <c r="H56" s="357"/>
      <c r="I56" s="357"/>
      <c r="J56" s="349"/>
      <c r="K56" s="486"/>
      <c r="L56" s="487"/>
      <c r="M56" s="485" t="s">
        <v>5042</v>
      </c>
      <c r="N56" s="492" t="s">
        <v>5044</v>
      </c>
      <c r="O56" s="269"/>
      <c r="P56" s="456"/>
      <c r="Q56" s="457"/>
      <c r="R56" s="513"/>
      <c r="S56" s="517"/>
      <c r="T56" s="515"/>
      <c r="U56" s="459"/>
      <c r="V56" s="457"/>
      <c r="W56" s="456"/>
    </row>
    <row r="57" spans="1:24" x14ac:dyDescent="0.2">
      <c r="A57" s="214"/>
      <c r="B57" s="291"/>
      <c r="C57" s="424" t="s">
        <v>3848</v>
      </c>
      <c r="D57" s="429"/>
      <c r="E57" s="429"/>
      <c r="F57" s="429"/>
      <c r="G57" s="429"/>
      <c r="H57" s="429"/>
      <c r="I57" s="429"/>
      <c r="J57" s="212"/>
      <c r="K57" s="488"/>
      <c r="L57" s="489"/>
      <c r="M57" s="490" t="s">
        <v>5043</v>
      </c>
      <c r="N57" s="492" t="s">
        <v>5044</v>
      </c>
      <c r="O57" s="269"/>
    </row>
    <row r="58" spans="1:24" x14ac:dyDescent="0.2">
      <c r="A58" s="214"/>
      <c r="B58" s="291"/>
      <c r="C58" s="605" t="s">
        <v>247</v>
      </c>
      <c r="D58" s="606"/>
      <c r="E58" s="606"/>
      <c r="F58" s="606"/>
      <c r="G58" s="606"/>
      <c r="H58" s="606"/>
      <c r="I58" s="606"/>
      <c r="J58" s="606"/>
      <c r="K58" s="610"/>
      <c r="L58" s="611"/>
      <c r="M58" s="373"/>
      <c r="N58" s="373"/>
      <c r="O58" s="373"/>
      <c r="P58" s="373"/>
      <c r="Q58" s="373"/>
      <c r="R58" s="426"/>
      <c r="S58" s="426"/>
      <c r="T58" s="426"/>
      <c r="U58" s="426"/>
    </row>
    <row r="59" spans="1:24" x14ac:dyDescent="0.2">
      <c r="A59" s="214"/>
      <c r="B59" s="291"/>
      <c r="C59" s="605" t="s">
        <v>252</v>
      </c>
      <c r="D59" s="606"/>
      <c r="E59" s="606"/>
      <c r="F59" s="606"/>
      <c r="G59" s="606"/>
      <c r="H59" s="606"/>
      <c r="I59" s="606"/>
      <c r="J59" s="606"/>
      <c r="K59" s="606"/>
      <c r="L59" s="607"/>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4350</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1917</v>
      </c>
      <c r="G93" s="343" t="e">
        <f>VLOOKUP(D19,G86:H91,2,FALSE)</f>
        <v>#N/A</v>
      </c>
      <c r="H93" s="344" t="s">
        <v>1918</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klM2aYohhpxdSSB2yxYtRgIcEzDEaC6vtuUKHP2uWuN5H6vCFUQcKaCXkx5MaZIxwpplD1yuJN/Zg4UY2ZLN9A==" saltValue="qsr8LZK7LDXFNMYlytRx+w=="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1701</v>
      </c>
      <c r="D11" s="117">
        <f>Main!D6</f>
        <v>0</v>
      </c>
    </row>
    <row r="14" spans="3:8" ht="15.75" x14ac:dyDescent="0.25">
      <c r="C14" s="119" t="s">
        <v>193</v>
      </c>
      <c r="E14" s="117"/>
      <c r="F14" s="118" t="s">
        <v>194</v>
      </c>
      <c r="G14" s="117"/>
      <c r="H14" s="117"/>
    </row>
    <row r="15" spans="3:8" ht="15.75" customHeight="1" x14ac:dyDescent="0.2">
      <c r="C15" s="178"/>
      <c r="D15" s="112"/>
      <c r="E15" s="617" t="s">
        <v>5551</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5552</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4" t="s">
        <v>188</v>
      </c>
      <c r="E1" s="634"/>
      <c r="F1" s="634"/>
      <c r="G1" s="634"/>
      <c r="H1" s="634"/>
      <c r="I1" s="634"/>
      <c r="J1" s="634"/>
      <c r="K1" s="634"/>
      <c r="L1" s="634"/>
      <c r="M1" s="634"/>
    </row>
    <row r="2" spans="1:18" ht="23.25" customHeight="1" x14ac:dyDescent="0.3">
      <c r="C2" s="411"/>
      <c r="D2" s="411" t="s">
        <v>2184</v>
      </c>
      <c r="E2" s="411"/>
      <c r="F2" s="411"/>
      <c r="G2" s="411"/>
      <c r="H2" s="411"/>
      <c r="I2" s="411"/>
      <c r="J2" s="411"/>
      <c r="K2" s="411"/>
      <c r="L2" s="411"/>
      <c r="M2" s="411"/>
    </row>
    <row r="3" spans="1:18" ht="23.25" x14ac:dyDescent="0.35">
      <c r="C3" s="635"/>
      <c r="D3" s="635"/>
      <c r="E3" s="635"/>
      <c r="F3" s="635"/>
      <c r="G3" s="635"/>
      <c r="H3" s="635"/>
      <c r="I3" s="635"/>
      <c r="J3" s="635"/>
      <c r="K3" s="635"/>
      <c r="L3" s="635"/>
      <c r="M3" s="635"/>
    </row>
    <row r="4" spans="1:18" ht="23.25" x14ac:dyDescent="0.35">
      <c r="C4" s="395"/>
      <c r="D4" s="395"/>
      <c r="E4" s="395"/>
      <c r="F4" s="395"/>
      <c r="G4" s="395"/>
      <c r="H4" s="395"/>
      <c r="I4" s="395"/>
      <c r="J4" s="395"/>
      <c r="K4" s="395"/>
      <c r="L4" s="395"/>
      <c r="M4" s="395"/>
    </row>
    <row r="5" spans="1:18" ht="23.25" x14ac:dyDescent="0.35">
      <c r="C5" s="652" t="s">
        <v>18</v>
      </c>
      <c r="D5" s="652"/>
      <c r="E5" s="652"/>
      <c r="F5" s="652"/>
      <c r="G5" s="652"/>
      <c r="H5" s="652"/>
      <c r="I5" s="652"/>
      <c r="J5" s="652"/>
      <c r="K5" s="652"/>
      <c r="L5" s="652"/>
      <c r="M5" s="652"/>
    </row>
    <row r="6" spans="1:18" ht="23.25" x14ac:dyDescent="0.35">
      <c r="C6" s="396"/>
      <c r="D6" s="396"/>
      <c r="E6" s="619" t="str">
        <f>IF(Main!K14="","",CONCATENATE("Report Number: ",Main!K14,Main!D24))</f>
        <v/>
      </c>
      <c r="F6" s="619"/>
      <c r="G6" s="619"/>
      <c r="H6" s="619"/>
      <c r="I6" s="619"/>
      <c r="J6" s="619"/>
      <c r="K6" s="619"/>
      <c r="L6" s="396"/>
      <c r="M6" s="396"/>
    </row>
    <row r="7" spans="1:18" ht="18.75" customHeight="1" x14ac:dyDescent="0.3">
      <c r="G7" s="631"/>
      <c r="H7" s="631"/>
      <c r="I7" s="368"/>
      <c r="R7" t="str">
        <f>CONCATENATE("Page ",Main!L9," of ",Main!L10)</f>
        <v xml:space="preserve">Page  of </v>
      </c>
    </row>
    <row r="8" spans="1:18" ht="18" customHeight="1" x14ac:dyDescent="0.25">
      <c r="G8" s="647"/>
      <c r="H8" s="647"/>
      <c r="J8" s="117"/>
      <c r="K8" s="397" t="s">
        <v>2181</v>
      </c>
      <c r="L8" s="392" t="e">
        <f>'Header Info'!AX2</f>
        <v>#N/A</v>
      </c>
      <c r="M8" s="392"/>
      <c r="N8" s="392"/>
      <c r="O8" s="392"/>
    </row>
    <row r="9" spans="1:18" ht="18" customHeight="1" x14ac:dyDescent="0.25">
      <c r="A9" s="397" t="s">
        <v>2133</v>
      </c>
      <c r="B9" s="38">
        <f>Main!D5</f>
        <v>0</v>
      </c>
      <c r="J9" s="117"/>
      <c r="K9" s="397" t="s">
        <v>2182</v>
      </c>
      <c r="L9" s="632" t="e">
        <f>'Header Info'!AY2</f>
        <v>#N/A</v>
      </c>
      <c r="M9" s="632"/>
      <c r="N9" s="632"/>
      <c r="O9" s="632"/>
    </row>
    <row r="10" spans="1:18" ht="18" customHeight="1" x14ac:dyDescent="0.25">
      <c r="A10" s="129"/>
      <c r="B10" s="392" t="e">
        <f>IF('Header Info'!AU2=0,"",'Header Info'!AU2)</f>
        <v>#N/A</v>
      </c>
      <c r="J10" s="117"/>
      <c r="K10" s="397"/>
      <c r="L10" s="632"/>
      <c r="M10" s="632"/>
      <c r="N10" s="632"/>
      <c r="O10" s="632"/>
    </row>
    <row r="11" spans="1:18" ht="18" customHeight="1" x14ac:dyDescent="0.25">
      <c r="A11" s="129"/>
      <c r="B11" s="392" t="e">
        <f>IF('Header Info'!AV2=0,"",'Header Info'!AV2)</f>
        <v>#N/A</v>
      </c>
      <c r="J11" s="117"/>
      <c r="K11" s="397" t="s">
        <v>2183</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2134</v>
      </c>
      <c r="B14" s="399" t="e">
        <f>'Header Info'!BA2</f>
        <v>#N/A</v>
      </c>
      <c r="C14" s="400"/>
      <c r="D14" s="400"/>
      <c r="E14" s="400"/>
      <c r="F14" s="374"/>
      <c r="G14" s="388" t="s">
        <v>2139</v>
      </c>
      <c r="H14" s="399" t="e">
        <f>'Header Info'!BF2</f>
        <v>#N/A</v>
      </c>
      <c r="I14" s="374"/>
      <c r="J14" s="374"/>
      <c r="K14" s="374"/>
      <c r="L14" s="374"/>
      <c r="M14" s="388" t="s">
        <v>2144</v>
      </c>
      <c r="N14" s="399">
        <f>Main!D7</f>
        <v>0</v>
      </c>
      <c r="O14" s="375"/>
    </row>
    <row r="15" spans="1:18" ht="18" customHeight="1" x14ac:dyDescent="0.25">
      <c r="A15" s="403" t="s">
        <v>2135</v>
      </c>
      <c r="B15" s="401" t="e">
        <f>'Header Info'!BB2</f>
        <v>#N/A</v>
      </c>
      <c r="C15" s="392"/>
      <c r="D15" s="392"/>
      <c r="E15" s="392"/>
      <c r="G15" s="397" t="s">
        <v>2140</v>
      </c>
      <c r="H15" s="401" t="e">
        <f>'Header Info'!BG2</f>
        <v>#N/A</v>
      </c>
      <c r="M15" s="397" t="s">
        <v>2145</v>
      </c>
      <c r="N15" s="405">
        <f>Main!D3</f>
        <v>45748</v>
      </c>
      <c r="O15" s="376"/>
    </row>
    <row r="16" spans="1:18" ht="18" customHeight="1" x14ac:dyDescent="0.25">
      <c r="A16" s="403" t="s">
        <v>2136</v>
      </c>
      <c r="B16" s="649" t="e">
        <f>'Header Info'!BC2</f>
        <v>#N/A</v>
      </c>
      <c r="C16" s="649"/>
      <c r="D16" s="649"/>
      <c r="E16" s="649"/>
      <c r="G16" s="397" t="s">
        <v>2141</v>
      </c>
      <c r="H16" s="401" t="e">
        <f>'Header Info'!BH2</f>
        <v>#N/A</v>
      </c>
      <c r="M16" s="397" t="s">
        <v>2146</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2137</v>
      </c>
      <c r="B17" s="464" t="e">
        <f>'Header Info'!BD2</f>
        <v>#N/A</v>
      </c>
      <c r="C17" s="392"/>
      <c r="D17" s="392"/>
      <c r="E17" s="392"/>
      <c r="G17" s="397" t="s">
        <v>2142</v>
      </c>
      <c r="H17" s="401" t="e">
        <f>'Header Info'!BI2</f>
        <v>#N/A</v>
      </c>
      <c r="M17" s="397" t="str">
        <f>IF(Main!K13="","","PO:")</f>
        <v/>
      </c>
      <c r="N17" s="401" t="str">
        <f>IF(Main!K13="","",Main!K13)</f>
        <v/>
      </c>
      <c r="O17" s="376"/>
    </row>
    <row r="18" spans="1:19" ht="18" customHeight="1" x14ac:dyDescent="0.25">
      <c r="A18" s="403" t="s">
        <v>2138</v>
      </c>
      <c r="B18" s="638" t="e">
        <f>'Header Info'!BE2</f>
        <v>#N/A</v>
      </c>
      <c r="C18" s="638"/>
      <c r="D18" s="638"/>
      <c r="E18" s="638"/>
      <c r="G18" s="397" t="s">
        <v>2143</v>
      </c>
      <c r="H18" s="401" t="e">
        <f>'Header Info'!BJ2</f>
        <v>#N/A</v>
      </c>
      <c r="M18" s="397" t="s">
        <v>2147</v>
      </c>
      <c r="N18" s="401" t="str">
        <f>Main!G18</f>
        <v>ACCEPTED</v>
      </c>
      <c r="O18" s="376"/>
    </row>
    <row r="19" spans="1:19" ht="18" customHeight="1" x14ac:dyDescent="0.25">
      <c r="A19" s="387"/>
      <c r="B19" s="639"/>
      <c r="C19" s="639"/>
      <c r="D19" s="639"/>
      <c r="E19" s="639"/>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2152</v>
      </c>
      <c r="B21" s="650" t="e">
        <f>'Header Info'!BL2</f>
        <v>#N/A</v>
      </c>
      <c r="C21" s="650"/>
      <c r="D21" s="650"/>
      <c r="E21" s="650"/>
      <c r="F21" s="388" t="s">
        <v>2154</v>
      </c>
      <c r="G21" s="650" t="e">
        <f>'Header Info'!BM2</f>
        <v>#N/A</v>
      </c>
      <c r="H21" s="650"/>
      <c r="I21" s="650"/>
      <c r="J21" s="388" t="s">
        <v>2155</v>
      </c>
      <c r="K21" s="400" t="e">
        <f>'Header Info'!BN2</f>
        <v>#N/A</v>
      </c>
      <c r="L21" s="374"/>
      <c r="M21" s="388" t="s">
        <v>2156</v>
      </c>
      <c r="N21" s="413" t="e">
        <f>Main!G27</f>
        <v>#N/A</v>
      </c>
      <c r="O21" s="375"/>
    </row>
    <row r="22" spans="1:19" ht="18" customHeight="1" x14ac:dyDescent="0.25">
      <c r="A22" s="406" t="s">
        <v>2153</v>
      </c>
      <c r="B22" s="651" t="e">
        <f>'Header Info'!BO2</f>
        <v>#N/A</v>
      </c>
      <c r="C22" s="651"/>
      <c r="D22" s="651"/>
      <c r="E22" s="651"/>
      <c r="F22" s="389" t="s">
        <v>2154</v>
      </c>
      <c r="G22" s="651" t="e">
        <f>'Header Info'!BP2</f>
        <v>#N/A</v>
      </c>
      <c r="H22" s="651"/>
      <c r="I22" s="651"/>
      <c r="J22" s="389" t="s">
        <v>2155</v>
      </c>
      <c r="K22" s="412" t="e">
        <f>'Header Info'!BQ2</f>
        <v>#N/A</v>
      </c>
      <c r="L22" s="377"/>
      <c r="M22" s="389" t="s">
        <v>2156</v>
      </c>
      <c r="N22" s="414" t="e">
        <f>Main!G28</f>
        <v>#N/A</v>
      </c>
      <c r="O22" s="378"/>
    </row>
    <row r="23" spans="1:19" ht="8.1" customHeight="1" x14ac:dyDescent="0.25">
      <c r="A23" s="117"/>
      <c r="B23" s="392"/>
      <c r="C23" s="392"/>
      <c r="D23" s="392"/>
      <c r="E23" s="381"/>
    </row>
    <row r="24" spans="1:19" ht="18" customHeight="1" x14ac:dyDescent="0.25">
      <c r="A24" s="402" t="s">
        <v>2157</v>
      </c>
      <c r="B24" s="408">
        <f>Main!D16</f>
        <v>0</v>
      </c>
      <c r="C24" s="400"/>
      <c r="D24" s="400"/>
      <c r="E24" s="382"/>
      <c r="F24" s="374"/>
      <c r="G24" s="388" t="s">
        <v>2160</v>
      </c>
      <c r="H24" s="390">
        <f>Main!D26</f>
        <v>0</v>
      </c>
      <c r="I24" s="374"/>
      <c r="J24" s="374"/>
      <c r="K24" s="374"/>
      <c r="L24" s="386"/>
      <c r="M24" s="388" t="s">
        <v>2164</v>
      </c>
      <c r="N24" s="400" t="str">
        <f ca="1">TEXT(Access_Data!D33,"0.0") &amp; "°F / " &amp; TEXT(Access_Data!H33,"0.0") &amp; "°F"</f>
        <v>0.0°F / 0.0°F</v>
      </c>
      <c r="O24" s="375"/>
    </row>
    <row r="25" spans="1:19" ht="18" customHeight="1" x14ac:dyDescent="0.25">
      <c r="A25" s="403" t="s">
        <v>2158</v>
      </c>
      <c r="B25" s="409">
        <f>Main!D15</f>
        <v>0</v>
      </c>
      <c r="C25" s="392"/>
      <c r="D25" s="392"/>
      <c r="E25" s="381"/>
      <c r="G25" s="397" t="s">
        <v>2161</v>
      </c>
      <c r="H25" s="391" t="e">
        <f>Main!E29</f>
        <v>#VALUE!</v>
      </c>
      <c r="L25" s="117"/>
      <c r="M25" s="397" t="s">
        <v>2165</v>
      </c>
      <c r="N25" s="392" t="e">
        <f>IF(Main!H15=TRUE,Main!G17,"VERIFY LOAD!!!")</f>
        <v>#N/A</v>
      </c>
      <c r="O25" s="376"/>
      <c r="R25" s="205"/>
      <c r="S25" s="111"/>
    </row>
    <row r="26" spans="1:19" ht="18" customHeight="1" x14ac:dyDescent="0.25">
      <c r="A26" s="403" t="s">
        <v>2159</v>
      </c>
      <c r="B26" s="392" t="s">
        <v>1946</v>
      </c>
      <c r="C26" s="392"/>
      <c r="D26" s="392"/>
      <c r="E26" s="381"/>
      <c r="G26" s="397" t="s">
        <v>2162</v>
      </c>
      <c r="H26" s="392" t="str">
        <f>Main!I19</f>
        <v>N/A</v>
      </c>
      <c r="L26" s="117"/>
      <c r="M26" s="397" t="s">
        <v>2163</v>
      </c>
      <c r="N26" s="392" t="e">
        <f ca="1">TEXT(Access_Data!K33,"0.0") &amp; "°F"</f>
        <v>#VALUE!</v>
      </c>
      <c r="O26" s="376"/>
    </row>
    <row r="27" spans="1:19" ht="18" customHeight="1" x14ac:dyDescent="0.2">
      <c r="A27" s="407"/>
      <c r="B27" s="377"/>
      <c r="C27" s="648" t="s">
        <v>2166</v>
      </c>
      <c r="D27" s="648"/>
      <c r="E27" s="648"/>
      <c r="F27" s="648"/>
      <c r="G27" s="648"/>
      <c r="H27" s="648"/>
      <c r="I27" s="648"/>
      <c r="J27" s="648"/>
      <c r="K27" s="648"/>
      <c r="L27" s="648"/>
      <c r="M27" s="648"/>
      <c r="N27" s="377"/>
      <c r="O27" s="378"/>
    </row>
    <row r="28" spans="1:19" ht="8.1" customHeight="1" x14ac:dyDescent="0.2"/>
    <row r="29" spans="1:19" ht="18" customHeight="1" x14ac:dyDescent="0.2">
      <c r="A29" s="644" t="s">
        <v>2113</v>
      </c>
      <c r="B29" s="645"/>
      <c r="C29" s="646"/>
      <c r="D29" s="644" t="s">
        <v>2167</v>
      </c>
      <c r="E29" s="645"/>
      <c r="F29" s="645"/>
      <c r="G29" s="646"/>
      <c r="H29" s="644" t="s">
        <v>2114</v>
      </c>
      <c r="I29" s="645"/>
      <c r="J29" s="645"/>
      <c r="K29" s="646"/>
      <c r="L29" s="644" t="s">
        <v>1756</v>
      </c>
      <c r="M29" s="645"/>
      <c r="N29" s="645"/>
      <c r="O29" s="646"/>
    </row>
    <row r="30" spans="1:19" ht="18" customHeight="1" x14ac:dyDescent="0.2">
      <c r="A30" s="393"/>
      <c r="B30" s="383" t="e">
        <f>'Header Info'!BS2</f>
        <v>#N/A</v>
      </c>
      <c r="C30" s="394"/>
      <c r="D30" s="641" t="str">
        <f>CONCATENATE(Main!D22,"°F"," / ",Main!D23,"% RH")</f>
        <v>°F / % RH</v>
      </c>
      <c r="E30" s="642"/>
      <c r="F30" s="642"/>
      <c r="G30" s="643"/>
      <c r="H30" s="641" t="e">
        <f>'Header Info'!BT2</f>
        <v>#N/A</v>
      </c>
      <c r="I30" s="642"/>
      <c r="J30" s="642"/>
      <c r="K30" s="643"/>
      <c r="L30" s="641" t="e">
        <f>'Header Info'!BU2</f>
        <v>#N/A</v>
      </c>
      <c r="M30" s="642"/>
      <c r="N30" s="642"/>
      <c r="O30" s="643"/>
    </row>
    <row r="31" spans="1:19" ht="18" customHeight="1" x14ac:dyDescent="0.2"/>
    <row r="32" spans="1:19" ht="18" customHeight="1" x14ac:dyDescent="0.25">
      <c r="A32" s="416" t="s">
        <v>2168</v>
      </c>
      <c r="B32" s="633" t="s">
        <v>2169</v>
      </c>
      <c r="C32" s="633"/>
      <c r="D32" s="416" t="s">
        <v>2090</v>
      </c>
      <c r="E32" s="416" t="s">
        <v>2089</v>
      </c>
      <c r="F32" s="416" t="s">
        <v>2170</v>
      </c>
      <c r="G32" s="117"/>
      <c r="H32" s="117"/>
      <c r="I32" s="416" t="s">
        <v>2168</v>
      </c>
      <c r="J32" s="633" t="s">
        <v>2169</v>
      </c>
      <c r="K32" s="633"/>
      <c r="L32" s="416" t="s">
        <v>2090</v>
      </c>
      <c r="M32" s="416" t="s">
        <v>2089</v>
      </c>
      <c r="N32" s="416" t="s">
        <v>2170</v>
      </c>
    </row>
    <row r="33" spans="1:14" ht="18" customHeight="1" x14ac:dyDescent="0.2">
      <c r="A33" s="417" t="str">
        <f>IF(B33="","",1)</f>
        <v/>
      </c>
      <c r="B33" s="631" t="str">
        <f>IF(Main!O5="","",Main!O5)</f>
        <v/>
      </c>
      <c r="C33" s="631"/>
      <c r="D33" s="418" t="str">
        <f ca="1">IF(Access_Data!B27="","",Access_Data!B27)</f>
        <v/>
      </c>
      <c r="E33" s="418" t="str">
        <f ca="1">IF(Access_Data!B29="","",Access_Data!B29)</f>
        <v/>
      </c>
      <c r="F33" s="418" t="str">
        <f ca="1">IF(Access_Data!B31="","",Access_Data!B31)</f>
        <v/>
      </c>
      <c r="G33" s="117"/>
      <c r="H33" s="117"/>
      <c r="I33" s="417" t="str">
        <f>IF(J33="","",21)</f>
        <v/>
      </c>
      <c r="J33" s="631" t="str">
        <f>IF(Main!O25="","",Main!O25)</f>
        <v/>
      </c>
      <c r="K33" s="631"/>
      <c r="L33" s="418" t="str">
        <f ca="1">IF(Access_Data!AB27="","",Access_Data!AB27)</f>
        <v/>
      </c>
      <c r="M33" s="418" t="str">
        <f ca="1">IF(Access_Data!AB29="","",Access_Data!AB29)</f>
        <v/>
      </c>
      <c r="N33" s="418" t="str">
        <f ca="1">IF(Access_Data!AB31="","",Access_Data!AB31)</f>
        <v/>
      </c>
    </row>
    <row r="34" spans="1:14" ht="18" customHeight="1" x14ac:dyDescent="0.2">
      <c r="A34" s="417" t="str">
        <f>IF(B34="","",2)</f>
        <v/>
      </c>
      <c r="B34" s="631" t="str">
        <f>IF(Main!O6="","",Main!O6)</f>
        <v/>
      </c>
      <c r="C34" s="631"/>
      <c r="D34" s="418" t="str">
        <f ca="1">IF(Access_Data!C27="","",Access_Data!C27)</f>
        <v/>
      </c>
      <c r="E34" s="418" t="str">
        <f ca="1">IF(Access_Data!C29="","",Access_Data!C29)</f>
        <v/>
      </c>
      <c r="F34" s="418" t="str">
        <f ca="1">IF(Access_Data!C31="","",Access_Data!C31)</f>
        <v/>
      </c>
      <c r="G34" s="117"/>
      <c r="H34" s="117"/>
      <c r="I34" s="417" t="str">
        <f>IF(J34="","",22)</f>
        <v/>
      </c>
      <c r="J34" s="631" t="str">
        <f>IF(Main!O26="","",Main!O26)</f>
        <v/>
      </c>
      <c r="K34" s="631"/>
      <c r="L34" s="418" t="str">
        <f ca="1">IF(Access_Data!AC27="","",Access_Data!AC27)</f>
        <v/>
      </c>
      <c r="M34" s="418" t="str">
        <f ca="1">IF(Access_Data!AC29="","",Access_Data!AC29)</f>
        <v/>
      </c>
      <c r="N34" s="418" t="str">
        <f ca="1">IF(Access_Data!AC31="","",Access_Data!AC31)</f>
        <v/>
      </c>
    </row>
    <row r="35" spans="1:14" ht="18" customHeight="1" x14ac:dyDescent="0.2">
      <c r="A35" s="417" t="str">
        <f>IF(B35="","",3)</f>
        <v/>
      </c>
      <c r="B35" s="631" t="str">
        <f>IF(Main!O7="","",Main!O7)</f>
        <v/>
      </c>
      <c r="C35" s="631"/>
      <c r="D35" s="418" t="str">
        <f ca="1">IF(Access_Data!D27="","",Access_Data!D27)</f>
        <v/>
      </c>
      <c r="E35" s="418" t="str">
        <f ca="1">IF(Access_Data!D29="","",Access_Data!D29)</f>
        <v/>
      </c>
      <c r="F35" s="418" t="str">
        <f ca="1">IF(Access_Data!D31="","",Access_Data!D31)</f>
        <v/>
      </c>
      <c r="G35" s="117"/>
      <c r="H35" s="117"/>
      <c r="I35" s="417" t="str">
        <f>IF(J35="","",23)</f>
        <v/>
      </c>
      <c r="J35" s="631" t="str">
        <f>IF(Main!O27="","",Main!O27)</f>
        <v/>
      </c>
      <c r="K35" s="631"/>
      <c r="L35" s="418" t="str">
        <f ca="1">IF(Access_Data!AD27="","",Access_Data!AD27)</f>
        <v/>
      </c>
      <c r="M35" s="418" t="str">
        <f ca="1">IF(Access_Data!AD29="","",Access_Data!AD29)</f>
        <v/>
      </c>
      <c r="N35" s="418" t="str">
        <f ca="1">IF(Access_Data!AD31="","",Access_Data!AD31)</f>
        <v/>
      </c>
    </row>
    <row r="36" spans="1:14" ht="18" customHeight="1" x14ac:dyDescent="0.2">
      <c r="A36" s="417" t="str">
        <f>IF(B36="","",4)</f>
        <v/>
      </c>
      <c r="B36" s="631" t="str">
        <f>IF(Main!O8="","",Main!O8)</f>
        <v/>
      </c>
      <c r="C36" s="631"/>
      <c r="D36" s="418" t="str">
        <f ca="1">IF(Access_Data!E27="","",Access_Data!E27)</f>
        <v/>
      </c>
      <c r="E36" s="418" t="str">
        <f ca="1">IF(Access_Data!E29="","",Access_Data!E29)</f>
        <v/>
      </c>
      <c r="F36" s="418" t="str">
        <f ca="1">IF(Access_Data!E31="","",Access_Data!E31)</f>
        <v/>
      </c>
      <c r="G36" s="117"/>
      <c r="H36" s="117"/>
      <c r="I36" s="417" t="str">
        <f>IF(J36="","",24)</f>
        <v/>
      </c>
      <c r="J36" s="631" t="str">
        <f>IF(Main!O28="","",Main!O28)</f>
        <v/>
      </c>
      <c r="K36" s="631"/>
      <c r="L36" s="418" t="str">
        <f ca="1">IF(Access_Data!AE27="","",Access_Data!AE27)</f>
        <v/>
      </c>
      <c r="M36" s="418" t="str">
        <f ca="1">IF(Access_Data!AE29="","",Access_Data!AE29)</f>
        <v/>
      </c>
      <c r="N36" s="418" t="str">
        <f ca="1">IF(Access_Data!AE31="","",Access_Data!AE31)</f>
        <v/>
      </c>
    </row>
    <row r="37" spans="1:14" ht="18" customHeight="1" x14ac:dyDescent="0.2">
      <c r="A37" s="417" t="str">
        <f>IF(B37="","",5)</f>
        <v/>
      </c>
      <c r="B37" s="631" t="str">
        <f>IF(Main!O9="","",Main!O9)</f>
        <v/>
      </c>
      <c r="C37" s="631"/>
      <c r="D37" s="418" t="str">
        <f ca="1">IF(Access_Data!F27="","",Access_Data!F27)</f>
        <v/>
      </c>
      <c r="E37" s="418" t="str">
        <f ca="1">IF(Access_Data!F29="","",Access_Data!F29)</f>
        <v/>
      </c>
      <c r="F37" s="418" t="str">
        <f ca="1">IF(Access_Data!F31="","",Access_Data!F31)</f>
        <v/>
      </c>
      <c r="G37" s="117"/>
      <c r="H37" s="117"/>
      <c r="I37" s="417" t="str">
        <f>IF(J37="","",25)</f>
        <v/>
      </c>
      <c r="J37" s="631" t="str">
        <f>IF(Main!O29="","",Main!O29)</f>
        <v/>
      </c>
      <c r="K37" s="631"/>
      <c r="L37" s="418" t="str">
        <f ca="1">IF(Access_Data!AF27="","",Access_Data!AF27)</f>
        <v/>
      </c>
      <c r="M37" s="418" t="str">
        <f ca="1">IF(Access_Data!AF29="","",Access_Data!AF29)</f>
        <v/>
      </c>
      <c r="N37" s="418" t="str">
        <f ca="1">IF(Access_Data!AF31="","",Access_Data!AF31)</f>
        <v/>
      </c>
    </row>
    <row r="38" spans="1:14" ht="18" customHeight="1" x14ac:dyDescent="0.2">
      <c r="A38" s="417" t="str">
        <f>IF(B38="","",6)</f>
        <v/>
      </c>
      <c r="B38" s="631" t="str">
        <f>IF(Main!O10="","",Main!O10)</f>
        <v/>
      </c>
      <c r="C38" s="631"/>
      <c r="D38" s="418" t="str">
        <f ca="1">IF(Access_Data!G27="","",Access_Data!G27)</f>
        <v/>
      </c>
      <c r="E38" s="418" t="str">
        <f ca="1">IF(Access_Data!G29="","",Access_Data!G29)</f>
        <v/>
      </c>
      <c r="F38" s="418" t="str">
        <f ca="1">IF(Access_Data!G31="","",Access_Data!G31)</f>
        <v/>
      </c>
      <c r="G38" s="117"/>
      <c r="H38" s="117"/>
      <c r="I38" s="417" t="str">
        <f>IF(J38="","",26)</f>
        <v/>
      </c>
      <c r="J38" s="631" t="str">
        <f>IF(Main!O30="","",Main!O30)</f>
        <v/>
      </c>
      <c r="K38" s="631"/>
      <c r="L38" s="418" t="str">
        <f ca="1">IF(Access_Data!AG27="","",Access_Data!AG27)</f>
        <v/>
      </c>
      <c r="M38" s="418" t="str">
        <f ca="1">IF(Access_Data!AG29="","",Access_Data!AG29)</f>
        <v/>
      </c>
      <c r="N38" s="418" t="str">
        <f ca="1">IF(Access_Data!AG31="","",Access_Data!AG31)</f>
        <v/>
      </c>
    </row>
    <row r="39" spans="1:14" ht="18" customHeight="1" x14ac:dyDescent="0.2">
      <c r="A39" s="417" t="str">
        <f>IF(B39="","",7)</f>
        <v/>
      </c>
      <c r="B39" s="631" t="str">
        <f>IF(Main!O11="","",Main!O11)</f>
        <v/>
      </c>
      <c r="C39" s="631"/>
      <c r="D39" s="418" t="str">
        <f ca="1">IF(Access_Data!H27="","",Access_Data!H27)</f>
        <v/>
      </c>
      <c r="E39" s="418" t="str">
        <f ca="1">IF(Access_Data!H29="","",Access_Data!H29)</f>
        <v/>
      </c>
      <c r="F39" s="418" t="str">
        <f ca="1">IF(Access_Data!H31="","",Access_Data!H31)</f>
        <v/>
      </c>
      <c r="G39" s="117"/>
      <c r="H39" s="117"/>
      <c r="I39" s="417" t="str">
        <f>IF(J39="","",27)</f>
        <v/>
      </c>
      <c r="J39" s="631" t="str">
        <f>IF(Main!O31="","",Main!O31)</f>
        <v/>
      </c>
      <c r="K39" s="631"/>
      <c r="L39" s="418" t="str">
        <f ca="1">IF(Access_Data!AH27="","",Access_Data!AH27)</f>
        <v/>
      </c>
      <c r="M39" s="418" t="str">
        <f ca="1">IF(Access_Data!AH29="","",Access_Data!AH29)</f>
        <v/>
      </c>
      <c r="N39" s="418" t="str">
        <f ca="1">IF(Access_Data!AH31="","",Access_Data!AH31)</f>
        <v/>
      </c>
    </row>
    <row r="40" spans="1:14" ht="18" customHeight="1" x14ac:dyDescent="0.2">
      <c r="A40" s="417" t="str">
        <f>IF(B40="","",8)</f>
        <v/>
      </c>
      <c r="B40" s="631" t="str">
        <f>IF(Main!O12="","",Main!O12)</f>
        <v/>
      </c>
      <c r="C40" s="631"/>
      <c r="D40" s="418" t="str">
        <f ca="1">IF(Access_Data!I27="","",Access_Data!I27)</f>
        <v/>
      </c>
      <c r="E40" s="418" t="str">
        <f ca="1">IF(Access_Data!I29="","",Access_Data!I29)</f>
        <v/>
      </c>
      <c r="F40" s="418" t="str">
        <f ca="1">IF(Access_Data!I31="","",Access_Data!I31)</f>
        <v/>
      </c>
      <c r="G40" s="117"/>
      <c r="H40" s="117"/>
      <c r="I40" s="417" t="str">
        <f>IF(J40="","",28)</f>
        <v/>
      </c>
      <c r="J40" s="631" t="str">
        <f>IF(Main!O32="","",Main!O32)</f>
        <v/>
      </c>
      <c r="K40" s="631"/>
      <c r="L40" s="418" t="str">
        <f ca="1">IF(Access_Data!AI27="","",Access_Data!AI27)</f>
        <v/>
      </c>
      <c r="M40" s="418" t="str">
        <f ca="1">IF(Access_Data!AI29="","",Access_Data!AI29)</f>
        <v/>
      </c>
      <c r="N40" s="418" t="str">
        <f ca="1">IF(Access_Data!AI31="","",Access_Data!AI31)</f>
        <v/>
      </c>
    </row>
    <row r="41" spans="1:14" ht="18" customHeight="1" x14ac:dyDescent="0.2">
      <c r="A41" s="417" t="str">
        <f>IF(B41="","",9)</f>
        <v/>
      </c>
      <c r="B41" s="631" t="str">
        <f>IF(Main!O13="","",Main!O13)</f>
        <v/>
      </c>
      <c r="C41" s="631"/>
      <c r="D41" s="418" t="str">
        <f ca="1">IF(Access_Data!J27="","",Access_Data!J27)</f>
        <v/>
      </c>
      <c r="E41" s="418" t="str">
        <f ca="1">IF(Access_Data!J29="","",Access_Data!J29)</f>
        <v/>
      </c>
      <c r="F41" s="418" t="str">
        <f ca="1">IF(Access_Data!J31="","",Access_Data!J31)</f>
        <v/>
      </c>
      <c r="G41" s="117"/>
      <c r="H41" s="117"/>
      <c r="I41" s="417" t="str">
        <f>IF(J41="","",29)</f>
        <v/>
      </c>
      <c r="J41" s="631" t="str">
        <f>IF(Main!O33="","",Main!O33)</f>
        <v/>
      </c>
      <c r="K41" s="631"/>
      <c r="L41" s="418" t="str">
        <f ca="1">IF(Access_Data!AP27="","",Access_Data!AP27)</f>
        <v/>
      </c>
      <c r="M41" s="418" t="str">
        <f ca="1">IF(Access_Data!AP29="","",Access_Data!AP29)</f>
        <v/>
      </c>
      <c r="N41" s="418" t="str">
        <f ca="1">IF(Access_Data!AP31="","",Access_Data!AP31)</f>
        <v/>
      </c>
    </row>
    <row r="42" spans="1:14" ht="18" customHeight="1" x14ac:dyDescent="0.2">
      <c r="A42" s="417" t="str">
        <f>IF(B42="","",10)</f>
        <v/>
      </c>
      <c r="B42" s="631" t="str">
        <f>IF(Main!O14="","",Main!O14)</f>
        <v/>
      </c>
      <c r="C42" s="631"/>
      <c r="D42" s="418" t="str">
        <f ca="1">IF(Access_Data!K27="","",Access_Data!K27)</f>
        <v/>
      </c>
      <c r="E42" s="418" t="str">
        <f ca="1">IF(Access_Data!K29="","",Access_Data!K29)</f>
        <v/>
      </c>
      <c r="F42" s="418" t="str">
        <f ca="1">IF(Access_Data!K31="","",Access_Data!K31)</f>
        <v/>
      </c>
      <c r="G42" s="117"/>
      <c r="H42" s="117"/>
      <c r="I42" s="417" t="str">
        <f>IF(J42="","",30)</f>
        <v/>
      </c>
      <c r="J42" s="631" t="str">
        <f>IF(Main!O34="","",Main!O34)</f>
        <v/>
      </c>
      <c r="K42" s="631"/>
      <c r="L42" s="418" t="str">
        <f ca="1">IF(Access_Data!AQ27="","",Access_Data!AQ27)</f>
        <v/>
      </c>
      <c r="M42" s="418" t="str">
        <f ca="1">IF(Access_Data!AQ29="","",Access_Data!AQ29)</f>
        <v/>
      </c>
      <c r="N42" s="418">
        <f ca="1">IF(Access_Data!AQ31="","",Access_Data!AQ31)</f>
        <v>0</v>
      </c>
    </row>
    <row r="43" spans="1:14" ht="18" customHeight="1" x14ac:dyDescent="0.2">
      <c r="A43" s="417" t="str">
        <f>IF(B43="","",11)</f>
        <v/>
      </c>
      <c r="B43" s="631" t="str">
        <f>IF(Main!O15="","",Main!O15)</f>
        <v/>
      </c>
      <c r="C43" s="631"/>
      <c r="D43" s="418" t="str">
        <f ca="1">IF(Access_Data!L27="","",Access_Data!L27)</f>
        <v/>
      </c>
      <c r="E43" s="418" t="str">
        <f ca="1">IF(Access_Data!L29="","",Access_Data!L29)</f>
        <v/>
      </c>
      <c r="F43" s="418" t="str">
        <f ca="1">IF(Access_Data!L31="","",Access_Data!L31)</f>
        <v/>
      </c>
      <c r="G43" s="117"/>
      <c r="H43" s="117"/>
      <c r="I43" s="417" t="str">
        <f>IF(J43="","",31)</f>
        <v/>
      </c>
      <c r="J43" s="631" t="str">
        <f>IF(Main!O35="","",Main!O35)</f>
        <v/>
      </c>
      <c r="K43" s="631"/>
      <c r="L43" s="418" t="str">
        <f ca="1">IF(Access_Data!AR27="","",Access_Data!AR27)</f>
        <v/>
      </c>
      <c r="M43" s="418" t="str">
        <f ca="1">IF(Access_Data!AR29="","",Access_Data!AR29)</f>
        <v/>
      </c>
      <c r="N43" s="418">
        <f ca="1">IF(Access_Data!AR31="","",Access_Data!AR31)</f>
        <v>0</v>
      </c>
    </row>
    <row r="44" spans="1:14" ht="18" customHeight="1" x14ac:dyDescent="0.2">
      <c r="A44" s="417" t="str">
        <f>IF(B44="","",12)</f>
        <v/>
      </c>
      <c r="B44" s="631" t="str">
        <f>IF(Main!O16="","",Main!O16)</f>
        <v/>
      </c>
      <c r="C44" s="631"/>
      <c r="D44" s="418" t="str">
        <f ca="1">IF(Access_Data!M27="","",Access_Data!M27)</f>
        <v/>
      </c>
      <c r="E44" s="418" t="str">
        <f ca="1">IF(Access_Data!M29="","",Access_Data!M29)</f>
        <v/>
      </c>
      <c r="F44" s="418" t="str">
        <f ca="1">IF(Access_Data!M31="","",Access_Data!M31)</f>
        <v/>
      </c>
      <c r="G44" s="117"/>
      <c r="H44" s="117"/>
      <c r="I44" s="417" t="str">
        <f>IF(J44="","",32)</f>
        <v/>
      </c>
      <c r="J44" s="631" t="str">
        <f>IF(Main!O36="","",Main!O36)</f>
        <v/>
      </c>
      <c r="K44" s="631"/>
      <c r="L44" s="418" t="str">
        <f ca="1">IF(Access_Data!AS27="","",Access_Data!AS27)</f>
        <v/>
      </c>
      <c r="M44" s="418" t="str">
        <f ca="1">IF(Access_Data!AS29="","",Access_Data!AS29)</f>
        <v/>
      </c>
      <c r="N44" s="418">
        <f ca="1">IF(Access_Data!AS31="","",Access_Data!AS31)</f>
        <v>0</v>
      </c>
    </row>
    <row r="45" spans="1:14" ht="18" customHeight="1" x14ac:dyDescent="0.2">
      <c r="A45" s="417" t="str">
        <f>IF(B45="","",13)</f>
        <v/>
      </c>
      <c r="B45" s="631" t="str">
        <f>IF(Main!O17="","",Main!O17)</f>
        <v/>
      </c>
      <c r="C45" s="631"/>
      <c r="D45" s="418" t="str">
        <f ca="1">IF(Access_Data!N27="","",Access_Data!N27)</f>
        <v/>
      </c>
      <c r="E45" s="418" t="str">
        <f ca="1">IF(Access_Data!N29="","",Access_Data!N29)</f>
        <v/>
      </c>
      <c r="F45" s="418" t="str">
        <f ca="1">IF(Access_Data!N31="","",Access_Data!N31)</f>
        <v/>
      </c>
      <c r="G45" s="117"/>
      <c r="H45" s="117"/>
      <c r="I45" s="417" t="str">
        <f>IF(J45="","",33)</f>
        <v/>
      </c>
      <c r="J45" s="631" t="str">
        <f>IF(Main!O37="","",Main!O37)</f>
        <v/>
      </c>
      <c r="K45" s="631"/>
      <c r="L45" s="418" t="str">
        <f ca="1">IF(Access_Data!AT27="","",Access_Data!AT27)</f>
        <v/>
      </c>
      <c r="M45" s="418" t="str">
        <f ca="1">IF(Access_Data!AT29="","",Access_Data!AT29)</f>
        <v/>
      </c>
      <c r="N45" s="418">
        <f ca="1">IF(Access_Data!AT31="","",Access_Data!AT31)</f>
        <v>0</v>
      </c>
    </row>
    <row r="46" spans="1:14" ht="18" customHeight="1" x14ac:dyDescent="0.2">
      <c r="A46" s="417" t="str">
        <f>IF(B46="","",14)</f>
        <v/>
      </c>
      <c r="B46" s="631" t="str">
        <f>IF(Main!O18="","",Main!O18)</f>
        <v/>
      </c>
      <c r="C46" s="631"/>
      <c r="D46" s="418" t="str">
        <f ca="1">IF(Access_Data!O27="","",Access_Data!O27)</f>
        <v/>
      </c>
      <c r="E46" s="418" t="str">
        <f ca="1">IF(Access_Data!O29="","",Access_Data!O29)</f>
        <v/>
      </c>
      <c r="F46" s="418" t="str">
        <f ca="1">IF(Access_Data!O31="","",Access_Data!O31)</f>
        <v/>
      </c>
      <c r="G46" s="117"/>
      <c r="H46" s="117"/>
      <c r="I46" s="417" t="str">
        <f>IF(J46="","",34)</f>
        <v/>
      </c>
      <c r="J46" s="631" t="str">
        <f>IF(Main!O38="","",Main!O38)</f>
        <v/>
      </c>
      <c r="K46" s="631"/>
      <c r="L46" s="418" t="str">
        <f ca="1">IF(Access_Data!AU27="","",Access_Data!AU27)</f>
        <v/>
      </c>
      <c r="M46" s="418" t="str">
        <f ca="1">IF(Access_Data!AU29="","",Access_Data!AU29)</f>
        <v/>
      </c>
      <c r="N46" s="418">
        <f ca="1">IF(Access_Data!AU31="","",Access_Data!AU31)</f>
        <v>0</v>
      </c>
    </row>
    <row r="47" spans="1:14" ht="18" customHeight="1" x14ac:dyDescent="0.2">
      <c r="A47" s="417" t="str">
        <f>IF(B47="","",15)</f>
        <v/>
      </c>
      <c r="B47" s="631" t="str">
        <f>IF(Main!O19="","",Main!O19)</f>
        <v/>
      </c>
      <c r="C47" s="631"/>
      <c r="D47" s="418" t="str">
        <f ca="1">IF(Access_Data!V27="","",Access_Data!V27)</f>
        <v/>
      </c>
      <c r="E47" s="418" t="str">
        <f ca="1">IF(Access_Data!V29="","",Access_Data!V29)</f>
        <v/>
      </c>
      <c r="F47" s="418" t="str">
        <f ca="1">IF(Access_Data!V31="","",Access_Data!V31)</f>
        <v/>
      </c>
      <c r="G47" s="117"/>
      <c r="H47" s="117"/>
      <c r="I47" s="417" t="str">
        <f>IF(J47="","",35)</f>
        <v/>
      </c>
      <c r="J47" s="631" t="str">
        <f>IF(Main!O39="","",Main!O39)</f>
        <v/>
      </c>
      <c r="K47" s="631"/>
      <c r="L47" s="418" t="str">
        <f ca="1">IF(Access_Data!AV27="","",Access_Data!AV27)</f>
        <v/>
      </c>
      <c r="M47" s="418" t="str">
        <f ca="1">IF(Access_Data!AV29="","",Access_Data!AV29)</f>
        <v/>
      </c>
      <c r="N47" s="418">
        <f ca="1">IF(Access_Data!AV31="","",Access_Data!AV31)</f>
        <v>0</v>
      </c>
    </row>
    <row r="48" spans="1:14" ht="18" customHeight="1" x14ac:dyDescent="0.2">
      <c r="A48" s="417" t="str">
        <f>IF(B48="","",16)</f>
        <v/>
      </c>
      <c r="B48" s="631" t="str">
        <f>IF(Main!O20="","",Main!O20)</f>
        <v/>
      </c>
      <c r="C48" s="631"/>
      <c r="D48" s="418" t="str">
        <f ca="1">IF(Access_Data!W27="","",Access_Data!W27)</f>
        <v/>
      </c>
      <c r="E48" s="418" t="str">
        <f ca="1">IF(Access_Data!W29="","",Access_Data!W29)</f>
        <v/>
      </c>
      <c r="F48" s="418" t="str">
        <f ca="1">IF(Access_Data!W31="","",Access_Data!W31)</f>
        <v/>
      </c>
      <c r="G48" s="117"/>
      <c r="H48" s="117"/>
      <c r="I48" s="417" t="str">
        <f>IF(J48="","",36)</f>
        <v/>
      </c>
      <c r="J48" s="631" t="str">
        <f>IF(Main!O40="","",Main!O40)</f>
        <v/>
      </c>
      <c r="K48" s="631"/>
      <c r="L48" s="418" t="str">
        <f ca="1">IF(Access_Data!AW27="","",Access_Data!AW27)</f>
        <v/>
      </c>
      <c r="M48" s="418" t="str">
        <f ca="1">IF(Access_Data!AW29="","",Access_Data!AW29)</f>
        <v/>
      </c>
      <c r="N48" s="418">
        <f ca="1">IF(Access_Data!AW31="","",Access_Data!AW31)</f>
        <v>0</v>
      </c>
    </row>
    <row r="49" spans="1:23" ht="18" customHeight="1" x14ac:dyDescent="0.2">
      <c r="A49" s="417" t="str">
        <f>IF(B49="","",17)</f>
        <v/>
      </c>
      <c r="B49" s="631" t="str">
        <f>IF(Main!O21="","",Main!O21)</f>
        <v/>
      </c>
      <c r="C49" s="631"/>
      <c r="D49" s="418" t="str">
        <f ca="1">IF(Access_Data!X27="","",Access_Data!X27)</f>
        <v/>
      </c>
      <c r="E49" s="418" t="str">
        <f ca="1">IF(Access_Data!X29="","",Access_Data!X29)</f>
        <v/>
      </c>
      <c r="F49" s="418" t="str">
        <f ca="1">IF(Access_Data!X31="","",Access_Data!X31)</f>
        <v/>
      </c>
      <c r="G49" s="117"/>
      <c r="H49" s="117"/>
      <c r="I49" s="417" t="str">
        <f>IF(J49="","",37)</f>
        <v/>
      </c>
      <c r="J49" s="631" t="str">
        <f>IF(Main!O41="","",Main!O41)</f>
        <v/>
      </c>
      <c r="K49" s="631"/>
      <c r="L49" s="418" t="str">
        <f ca="1">IF(Access_Data!AX27="","",Access_Data!AX27)</f>
        <v/>
      </c>
      <c r="M49" s="418" t="str">
        <f ca="1">IF(Access_Data!AX29="","",Access_Data!AX29)</f>
        <v/>
      </c>
      <c r="N49" s="418">
        <f ca="1">IF(Access_Data!AX31="","",Access_Data!AX31)</f>
        <v>0</v>
      </c>
    </row>
    <row r="50" spans="1:23" ht="18" customHeight="1" x14ac:dyDescent="0.2">
      <c r="A50" s="417" t="str">
        <f>IF(B50="","",18)</f>
        <v/>
      </c>
      <c r="B50" s="631" t="str">
        <f>IF(Main!O22="","",Main!O22)</f>
        <v/>
      </c>
      <c r="C50" s="631"/>
      <c r="D50" s="418" t="str">
        <f ca="1">IF(Access_Data!Y27="","",Access_Data!Y27)</f>
        <v/>
      </c>
      <c r="E50" s="418" t="str">
        <f ca="1">IF(Access_Data!Y29="","",Access_Data!Y29)</f>
        <v/>
      </c>
      <c r="F50" s="418" t="str">
        <f ca="1">IF(Access_Data!Y31="","",Access_Data!Y31)</f>
        <v/>
      </c>
      <c r="G50" s="117"/>
      <c r="H50" s="117"/>
      <c r="I50" s="417" t="str">
        <f>IF(J50="","",38)</f>
        <v/>
      </c>
      <c r="J50" s="631" t="str">
        <f>IF(Main!O42="","",Main!O42)</f>
        <v/>
      </c>
      <c r="K50" s="631"/>
      <c r="L50" s="418" t="str">
        <f ca="1">IF(Access_Data!AY27="","",Access_Data!AY27)</f>
        <v/>
      </c>
      <c r="M50" s="418" t="str">
        <f ca="1">IF(Access_Data!AY29="","",Access_Data!AY29)</f>
        <v/>
      </c>
      <c r="N50" s="418">
        <f ca="1">IF(Access_Data!AY31="","",Access_Data!AY31)</f>
        <v>0</v>
      </c>
    </row>
    <row r="51" spans="1:23" ht="18" customHeight="1" x14ac:dyDescent="0.2">
      <c r="A51" s="417" t="str">
        <f>IF(B51="","",19)</f>
        <v/>
      </c>
      <c r="B51" s="631" t="str">
        <f>IF(Main!O23="","",Main!O23)</f>
        <v/>
      </c>
      <c r="C51" s="631"/>
      <c r="D51" s="418" t="str">
        <f ca="1">IF(Access_Data!Z27="","",Access_Data!X27)</f>
        <v/>
      </c>
      <c r="E51" s="418" t="str">
        <f ca="1">IF(Access_Data!Z29="","",Access_Data!Z29)</f>
        <v/>
      </c>
      <c r="F51" s="418" t="str">
        <f ca="1">IF(Access_Data!Z31="","",Access_Data!Z31)</f>
        <v/>
      </c>
      <c r="G51" s="117"/>
      <c r="H51" s="117"/>
      <c r="I51" s="417" t="str">
        <f>IF(J51="","",39)</f>
        <v/>
      </c>
      <c r="J51" s="631" t="str">
        <f>IF(Main!O43="","",Main!O43)</f>
        <v/>
      </c>
      <c r="K51" s="631"/>
      <c r="L51" s="418" t="str">
        <f ca="1">IF(Access_Data!AZ27="","",Access_Data!AZ27)</f>
        <v/>
      </c>
      <c r="M51" s="418" t="str">
        <f ca="1">IF(Access_Data!AZ29="","",Access_Data!AZ29)</f>
        <v/>
      </c>
      <c r="N51" s="418">
        <f ca="1">IF(Access_Data!AZ31="","",Access_Data!AZ31)</f>
        <v>0</v>
      </c>
    </row>
    <row r="52" spans="1:23" ht="18" customHeight="1" x14ac:dyDescent="0.2">
      <c r="A52" s="417" t="str">
        <f>IF(B52="","",20)</f>
        <v/>
      </c>
      <c r="B52" s="631" t="str">
        <f>IF(Main!O24="","",Main!O24)</f>
        <v/>
      </c>
      <c r="C52" s="631"/>
      <c r="D52" s="418" t="str">
        <f ca="1">IF(Access_Data!AA27="","",Access_Data!AA27)</f>
        <v/>
      </c>
      <c r="E52" s="418" t="str">
        <f ca="1">IF(Access_Data!AA29="","",Access_Data!AA29)</f>
        <v/>
      </c>
      <c r="F52" s="418" t="str">
        <f ca="1">IF(Access_Data!AA31="","",Access_Data!AA31)</f>
        <v/>
      </c>
      <c r="G52" s="117"/>
      <c r="H52" s="117"/>
      <c r="I52" s="417" t="str">
        <f>IF(J52="","",40)</f>
        <v/>
      </c>
      <c r="J52" s="631" t="str">
        <f>IF(Main!O44="","",Main!O44)</f>
        <v/>
      </c>
      <c r="K52" s="631"/>
      <c r="L52" s="418" t="str">
        <f ca="1">IF(Access_Data!BA27="","",Access_Data!BA27)</f>
        <v/>
      </c>
      <c r="M52" s="418" t="str">
        <f ca="1">IF(Access_Data!BA29="","",Access_Data!BA29)</f>
        <v/>
      </c>
      <c r="N52" s="418">
        <f ca="1">IF(Access_Data!BA31="","",Access_Data!BA31)</f>
        <v>0</v>
      </c>
    </row>
    <row r="53" spans="1:23" ht="18" customHeight="1" x14ac:dyDescent="0.2">
      <c r="B53" s="637" t="s">
        <v>2171</v>
      </c>
      <c r="C53" s="637"/>
      <c r="D53" s="637"/>
      <c r="E53" s="637"/>
      <c r="F53" s="637"/>
      <c r="G53" s="637"/>
      <c r="H53" s="637"/>
      <c r="I53" s="637"/>
      <c r="J53" s="637"/>
      <c r="K53" s="637"/>
      <c r="L53" s="637"/>
      <c r="M53" s="637"/>
      <c r="N53" s="637"/>
    </row>
    <row r="54" spans="1:23" ht="18" customHeight="1" x14ac:dyDescent="0.25">
      <c r="A54" s="419" t="s">
        <v>2172</v>
      </c>
      <c r="B54" s="632" t="e">
        <f>CONCATENATE(Main!G23,"  ",'Header Info'!BR2,Main!U25)</f>
        <v>#N/A</v>
      </c>
      <c r="C54" s="632"/>
      <c r="D54" s="632"/>
      <c r="E54" s="632"/>
      <c r="F54" s="632"/>
      <c r="G54" s="632"/>
      <c r="H54" s="632"/>
      <c r="I54" s="632"/>
      <c r="J54" s="632"/>
      <c r="K54" s="632"/>
      <c r="L54" s="632"/>
      <c r="M54" s="632"/>
      <c r="N54" s="632"/>
      <c r="O54" s="632"/>
    </row>
    <row r="55" spans="1:23" ht="18" customHeight="1" x14ac:dyDescent="0.25">
      <c r="A55" s="114"/>
      <c r="B55" s="632"/>
      <c r="C55" s="632"/>
      <c r="D55" s="632"/>
      <c r="E55" s="632"/>
      <c r="F55" s="632"/>
      <c r="G55" s="632"/>
      <c r="H55" s="632"/>
      <c r="I55" s="632"/>
      <c r="J55" s="632"/>
      <c r="K55" s="632"/>
      <c r="L55" s="632"/>
      <c r="M55" s="632"/>
      <c r="N55" s="632"/>
      <c r="O55" s="632"/>
    </row>
    <row r="56" spans="1:23" ht="18" customHeight="1" x14ac:dyDescent="0.25">
      <c r="A56" s="114"/>
      <c r="B56" s="632"/>
      <c r="C56" s="632"/>
      <c r="D56" s="632"/>
      <c r="E56" s="632"/>
      <c r="F56" s="632"/>
      <c r="G56" s="632"/>
      <c r="H56" s="632"/>
      <c r="I56" s="632"/>
      <c r="J56" s="632"/>
      <c r="K56" s="632"/>
      <c r="L56" s="632"/>
      <c r="M56" s="632"/>
      <c r="N56" s="632"/>
      <c r="O56" s="632"/>
    </row>
    <row r="57" spans="1:23" ht="18" customHeight="1" x14ac:dyDescent="0.25">
      <c r="A57" s="114"/>
      <c r="B57" s="632"/>
      <c r="C57" s="632"/>
      <c r="D57" s="632"/>
      <c r="E57" s="632"/>
      <c r="F57" s="632"/>
      <c r="G57" s="632"/>
      <c r="H57" s="632"/>
      <c r="I57" s="632"/>
      <c r="J57" s="632"/>
      <c r="K57" s="632"/>
      <c r="L57" s="632"/>
      <c r="M57" s="632"/>
      <c r="N57" s="632"/>
      <c r="O57" s="632"/>
    </row>
    <row r="58" spans="1:23" ht="18" customHeight="1" x14ac:dyDescent="0.25">
      <c r="A58" s="114"/>
      <c r="B58" s="632"/>
      <c r="C58" s="632"/>
      <c r="D58" s="632"/>
      <c r="E58" s="632"/>
      <c r="F58" s="632"/>
      <c r="G58" s="632"/>
      <c r="H58" s="632"/>
      <c r="I58" s="632"/>
      <c r="J58" s="632"/>
      <c r="K58" s="632"/>
      <c r="L58" s="632"/>
      <c r="M58" s="632"/>
      <c r="N58" s="632"/>
      <c r="O58" s="632"/>
    </row>
    <row r="59" spans="1:23" ht="18" customHeight="1" x14ac:dyDescent="0.25">
      <c r="A59" s="114"/>
      <c r="B59" s="632"/>
      <c r="C59" s="632"/>
      <c r="D59" s="632"/>
      <c r="E59" s="632"/>
      <c r="F59" s="632"/>
      <c r="G59" s="632"/>
      <c r="H59" s="632"/>
      <c r="I59" s="632"/>
      <c r="J59" s="632"/>
      <c r="K59" s="632"/>
      <c r="L59" s="632"/>
      <c r="M59" s="632"/>
      <c r="N59" s="632"/>
      <c r="O59" s="632"/>
    </row>
    <row r="60" spans="1:23" ht="18" customHeight="1" x14ac:dyDescent="0.2">
      <c r="A60" s="636" t="s">
        <v>2180</v>
      </c>
      <c r="B60" s="636"/>
      <c r="C60" s="636"/>
      <c r="D60" s="636"/>
      <c r="E60" s="636"/>
      <c r="F60" s="636"/>
      <c r="G60" s="636"/>
      <c r="H60" s="636"/>
      <c r="I60" s="636"/>
      <c r="J60" s="636"/>
      <c r="K60" s="636"/>
      <c r="L60" s="636"/>
      <c r="M60" s="636"/>
      <c r="N60" s="636"/>
      <c r="O60" s="636"/>
    </row>
    <row r="61" spans="1:23" ht="18" customHeight="1" x14ac:dyDescent="0.2">
      <c r="A61" s="640" t="s">
        <v>2173</v>
      </c>
      <c r="B61" s="640"/>
      <c r="C61" s="640"/>
      <c r="D61" s="640"/>
      <c r="E61" s="640"/>
      <c r="F61" s="630" t="s">
        <v>2174</v>
      </c>
      <c r="G61" s="630"/>
      <c r="H61" s="630"/>
      <c r="I61" s="630" t="s">
        <v>2175</v>
      </c>
      <c r="J61" s="630"/>
      <c r="K61" s="630" t="s">
        <v>2176</v>
      </c>
      <c r="L61" s="630"/>
      <c r="M61" s="630" t="s">
        <v>2177</v>
      </c>
      <c r="N61" s="630"/>
      <c r="O61" s="630"/>
    </row>
    <row r="62" spans="1:23" ht="18" customHeight="1" x14ac:dyDescent="0.2">
      <c r="A62" s="620" t="str">
        <f t="shared" ref="A62:A68" si="0">IF(Q62="","",CONCATENATE(T62," - ",R62))</f>
        <v/>
      </c>
      <c r="B62" s="621"/>
      <c r="C62" s="621"/>
      <c r="D62" s="621"/>
      <c r="E62" s="622"/>
      <c r="F62" s="620" t="str">
        <f t="shared" ref="F62:F68" si="1">IF(Q62="","",W62)</f>
        <v/>
      </c>
      <c r="G62" s="621"/>
      <c r="H62" s="622"/>
      <c r="I62" s="626" t="str">
        <f>IF(Q62="","",Main!D12)</f>
        <v/>
      </c>
      <c r="J62" s="627"/>
      <c r="K62" s="626" t="str">
        <f>IF(Q62="","",Main!D13)</f>
        <v/>
      </c>
      <c r="L62" s="627"/>
      <c r="M62" s="654" t="str">
        <f>IF(Q62="","",REPLACE(Main!D14,3,1,""))</f>
        <v/>
      </c>
      <c r="N62" s="655"/>
      <c r="O62" s="656"/>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3" t="str">
        <f t="shared" si="0"/>
        <v/>
      </c>
      <c r="B63" s="624"/>
      <c r="C63" s="624"/>
      <c r="D63" s="624"/>
      <c r="E63" s="625"/>
      <c r="F63" s="623" t="str">
        <f t="shared" si="1"/>
        <v/>
      </c>
      <c r="G63" s="624"/>
      <c r="H63" s="625"/>
      <c r="I63" s="628" t="str">
        <f>IF(Q63="","",Main!D49)</f>
        <v/>
      </c>
      <c r="J63" s="629"/>
      <c r="K63" s="628" t="str">
        <f>IF(Q63="","",Main!D50)</f>
        <v/>
      </c>
      <c r="L63" s="629"/>
      <c r="M63" s="623" t="str">
        <f>IF(Q63="","",Main!D54)</f>
        <v/>
      </c>
      <c r="N63" s="624"/>
      <c r="O63" s="625"/>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3" t="str">
        <f t="shared" si="0"/>
        <v/>
      </c>
      <c r="B64" s="624"/>
      <c r="C64" s="624"/>
      <c r="D64" s="624"/>
      <c r="E64" s="625"/>
      <c r="F64" s="623" t="str">
        <f t="shared" si="1"/>
        <v/>
      </c>
      <c r="G64" s="624"/>
      <c r="H64" s="625"/>
      <c r="I64" s="628" t="str">
        <f>IF(Q64="","",Main!E49)</f>
        <v/>
      </c>
      <c r="J64" s="629"/>
      <c r="K64" s="628" t="str">
        <f>IF(Q64="","",Main!E50)</f>
        <v/>
      </c>
      <c r="L64" s="629"/>
      <c r="M64" s="623" t="str">
        <f>IF(Q64="","",Main!E54)</f>
        <v/>
      </c>
      <c r="N64" s="624"/>
      <c r="O64" s="625"/>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3" t="str">
        <f t="shared" si="0"/>
        <v/>
      </c>
      <c r="B65" s="624"/>
      <c r="C65" s="624"/>
      <c r="D65" s="624"/>
      <c r="E65" s="625"/>
      <c r="F65" s="623" t="str">
        <f t="shared" si="1"/>
        <v/>
      </c>
      <c r="G65" s="624"/>
      <c r="H65" s="625"/>
      <c r="I65" s="628" t="str">
        <f>IF(Q65="","",Main!F49)</f>
        <v/>
      </c>
      <c r="J65" s="629"/>
      <c r="K65" s="628" t="str">
        <f>IF(Q65="","",Main!F50)</f>
        <v/>
      </c>
      <c r="L65" s="629"/>
      <c r="M65" s="623" t="str">
        <f>IF(Q65="","",Main!F54)</f>
        <v/>
      </c>
      <c r="N65" s="624"/>
      <c r="O65" s="625"/>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3" t="str">
        <f t="shared" si="0"/>
        <v/>
      </c>
      <c r="B66" s="624"/>
      <c r="C66" s="624"/>
      <c r="D66" s="624"/>
      <c r="E66" s="625"/>
      <c r="F66" s="623" t="str">
        <f t="shared" si="1"/>
        <v/>
      </c>
      <c r="G66" s="624"/>
      <c r="H66" s="625"/>
      <c r="I66" s="628" t="str">
        <f>IF(Q66="","",Main!G49)</f>
        <v/>
      </c>
      <c r="J66" s="629"/>
      <c r="K66" s="628" t="str">
        <f>IF(Q66="","",Main!G50)</f>
        <v/>
      </c>
      <c r="L66" s="629"/>
      <c r="M66" s="623" t="str">
        <f>IF(Q66="","",Main!G54)</f>
        <v/>
      </c>
      <c r="N66" s="624"/>
      <c r="O66" s="625"/>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3" t="str">
        <f t="shared" si="0"/>
        <v/>
      </c>
      <c r="B67" s="624"/>
      <c r="C67" s="624"/>
      <c r="D67" s="624"/>
      <c r="E67" s="625"/>
      <c r="F67" s="623" t="str">
        <f t="shared" si="1"/>
        <v/>
      </c>
      <c r="G67" s="624"/>
      <c r="H67" s="625"/>
      <c r="I67" s="628" t="str">
        <f>IF(Q67="","",Main!H49)</f>
        <v/>
      </c>
      <c r="J67" s="629"/>
      <c r="K67" s="628" t="str">
        <f>IF(Q67="","",Main!H50)</f>
        <v/>
      </c>
      <c r="L67" s="629"/>
      <c r="M67" s="623" t="str">
        <f>IF(Q67="","",Main!H54)</f>
        <v/>
      </c>
      <c r="N67" s="624"/>
      <c r="O67" s="625"/>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3" t="str">
        <f t="shared" si="0"/>
        <v/>
      </c>
      <c r="B68" s="624"/>
      <c r="C68" s="624"/>
      <c r="D68" s="624"/>
      <c r="E68" s="625"/>
      <c r="F68" s="623" t="str">
        <f t="shared" si="1"/>
        <v/>
      </c>
      <c r="G68" s="624"/>
      <c r="H68" s="625"/>
      <c r="I68" s="628" t="str">
        <f>IF(Q68="","",Main!I49)</f>
        <v/>
      </c>
      <c r="J68" s="629"/>
      <c r="K68" s="628" t="str">
        <f>IF(Q68="","",Main!I50)</f>
        <v/>
      </c>
      <c r="L68" s="629"/>
      <c r="M68" s="623" t="str">
        <f>IF(Q68="","",Main!I54)</f>
        <v/>
      </c>
      <c r="N68" s="624"/>
      <c r="O68" s="625"/>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41" t="str">
        <f>IF(T69="","",CONCATENATE(T69," - ",R69))</f>
        <v/>
      </c>
      <c r="B69" s="642"/>
      <c r="C69" s="642"/>
      <c r="D69" s="642"/>
      <c r="E69" s="643"/>
      <c r="F69" s="641" t="str">
        <f>IF(W69="","",W69)</f>
        <v/>
      </c>
      <c r="G69" s="642"/>
      <c r="H69" s="643"/>
      <c r="I69" s="657"/>
      <c r="J69" s="658"/>
      <c r="K69" s="657"/>
      <c r="L69" s="658"/>
      <c r="M69" s="641"/>
      <c r="N69" s="642"/>
      <c r="O69" s="643"/>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53" t="s">
        <v>5157</v>
      </c>
      <c r="B71" s="653"/>
      <c r="C71" s="653"/>
      <c r="D71" s="653"/>
      <c r="E71" s="653"/>
      <c r="F71" s="653"/>
      <c r="G71" s="653"/>
      <c r="H71" s="653"/>
      <c r="I71" s="653"/>
      <c r="J71" s="653"/>
      <c r="K71" s="653"/>
      <c r="L71" s="653"/>
      <c r="M71" s="653"/>
      <c r="N71" s="653"/>
      <c r="O71" s="653"/>
    </row>
    <row r="72" spans="1:23" ht="18" customHeight="1" x14ac:dyDescent="0.2">
      <c r="A72" s="653"/>
      <c r="B72" s="653"/>
      <c r="C72" s="653"/>
      <c r="D72" s="653"/>
      <c r="E72" s="653"/>
      <c r="F72" s="653"/>
      <c r="G72" s="653"/>
      <c r="H72" s="653"/>
      <c r="I72" s="653"/>
      <c r="J72" s="653"/>
      <c r="K72" s="653"/>
      <c r="L72" s="653"/>
      <c r="M72" s="653"/>
      <c r="N72" s="653"/>
      <c r="O72" s="653"/>
    </row>
    <row r="73" spans="1:23" ht="18" customHeight="1" x14ac:dyDescent="0.2">
      <c r="A73" s="653"/>
      <c r="B73" s="653"/>
      <c r="C73" s="653"/>
      <c r="D73" s="653"/>
      <c r="E73" s="653"/>
      <c r="F73" s="653"/>
      <c r="G73" s="653"/>
      <c r="H73" s="653"/>
      <c r="I73" s="653"/>
      <c r="J73" s="653"/>
      <c r="K73" s="653"/>
      <c r="L73" s="653"/>
      <c r="M73" s="653"/>
      <c r="N73" s="653"/>
      <c r="O73" s="653"/>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2178</v>
      </c>
      <c r="N80" s="415" t="s">
        <v>2179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1" stopIfTrue="1" operator="between">
      <formula>$E$1</formula>
      <formula>$E$2</formula>
    </cfRule>
    <cfRule type="cellIs" dxfId="43" priority="2" stopIfTrue="1" operator="greaterThan">
      <formula>$C$2</formula>
    </cfRule>
    <cfRule type="cellIs" dxfId="42" priority="3" stopIfTrue="1" operator="lessThan">
      <formula>$C$1</formula>
    </cfRule>
    <cfRule type="cellIs" dxfId="4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1" stopIfTrue="1" operator="between">
      <formula>$E$1</formula>
      <formula>$E$2</formula>
    </cfRule>
    <cfRule type="cellIs" dxfId="39" priority="2" stopIfTrue="1" operator="greaterThan">
      <formula>$C$2</formula>
    </cfRule>
    <cfRule type="cellIs" dxfId="38" priority="3" stopIfTrue="1" operator="lessThan">
      <formula>$C$1</formula>
    </cfRule>
    <cfRule type="cellIs" dxfId="3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6" priority="1" stopIfTrue="1" operator="between">
      <formula>$E$1</formula>
      <formula>$E$2</formula>
    </cfRule>
    <cfRule type="cellIs" dxfId="35" priority="2" stopIfTrue="1" operator="greaterThan">
      <formula>$C$2</formula>
    </cfRule>
    <cfRule type="cellIs" dxfId="34" priority="3" stopIfTrue="1" operator="lessThan">
      <formula>$C$1</formula>
    </cfRule>
    <cfRule type="cellIs" dxfId="3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5839</v>
      </c>
      <c r="U11" s="549" t="s">
        <v>5840</v>
      </c>
      <c r="V11" s="549" t="s">
        <v>5841</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2" priority="33">
      <formula>ISNUMBER(SEARCH(".",C45))</formula>
    </cfRule>
    <cfRule type="expression" dxfId="31" priority="34">
      <formula>ISERROR(SEARCH(".",C45))</formula>
    </cfRule>
  </conditionalFormatting>
  <conditionalFormatting sqref="D10:D18">
    <cfRule type="expression" dxfId="30" priority="31">
      <formula>ISERROR(SEARCH(1,$D$19))</formula>
    </cfRule>
    <cfRule type="expression" dxfId="29" priority="32">
      <formula>ISNUMBER(SEARCH(1,$D$19))</formula>
    </cfRule>
  </conditionalFormatting>
  <conditionalFormatting sqref="G11:G18">
    <cfRule type="expression" dxfId="28" priority="29">
      <formula>ISERROR(SEARCH(1,$G$19))</formula>
    </cfRule>
    <cfRule type="expression" dxfId="27" priority="30">
      <formula>ISNUMBER(SEARCH(1,$G$19))</formula>
    </cfRule>
  </conditionalFormatting>
  <conditionalFormatting sqref="G10">
    <cfRule type="expression" dxfId="26" priority="27">
      <formula>ISERROR(SEARCH(1,$G$19))</formula>
    </cfRule>
    <cfRule type="expression" dxfId="25" priority="28">
      <formula>ISNUMBER(SEARCH(1,$G$19))</formula>
    </cfRule>
  </conditionalFormatting>
  <conditionalFormatting sqref="J11:J18">
    <cfRule type="expression" dxfId="24" priority="25">
      <formula>ISERROR(SEARCH(1,$J$19))</formula>
    </cfRule>
    <cfRule type="expression" dxfId="23" priority="26">
      <formula>ISNUMBER(SEARCH(1,$J$19))</formula>
    </cfRule>
  </conditionalFormatting>
  <conditionalFormatting sqref="J10">
    <cfRule type="expression" dxfId="22" priority="23">
      <formula>ISERROR(SEARCH(1,$J$19))</formula>
    </cfRule>
    <cfRule type="expression" dxfId="21" priority="24">
      <formula>ISNUMBER(SEARCH(1,$J$19))</formula>
    </cfRule>
  </conditionalFormatting>
  <conditionalFormatting sqref="M11:M18">
    <cfRule type="expression" dxfId="20" priority="21">
      <formula>ISERROR(SEARCH(1,$M$19))</formula>
    </cfRule>
    <cfRule type="expression" dxfId="19" priority="22">
      <formula>ISNUMBER(SEARCH(1,$M$19))</formula>
    </cfRule>
  </conditionalFormatting>
  <conditionalFormatting sqref="M10">
    <cfRule type="expression" dxfId="18" priority="19">
      <formula>ISERROR(SEARCH(1,$M$19))</formula>
    </cfRule>
    <cfRule type="expression" dxfId="17" priority="20">
      <formula>ISNUMBER(SEARCH(1,$M$19))</formula>
    </cfRule>
  </conditionalFormatting>
  <conditionalFormatting sqref="G23:G30">
    <cfRule type="expression" dxfId="16" priority="13">
      <formula>ISERROR(SEARCH(1,$G$31))</formula>
    </cfRule>
    <cfRule type="expression" dxfId="15" priority="14">
      <formula>ISNUMBER(SEARCH(1,$G$31))</formula>
    </cfRule>
  </conditionalFormatting>
  <conditionalFormatting sqref="G22">
    <cfRule type="expression" dxfId="14" priority="11">
      <formula>ISERROR(SEARCH(1,$G$31))</formula>
    </cfRule>
    <cfRule type="expression" dxfId="13" priority="12">
      <formula>ISNUMBER(SEARCH(1,$G$31))</formula>
    </cfRule>
  </conditionalFormatting>
  <conditionalFormatting sqref="J23:J30">
    <cfRule type="expression" dxfId="12" priority="9">
      <formula>ISERROR(SEARCH(1,$J$31))</formula>
    </cfRule>
    <cfRule type="expression" dxfId="11" priority="10">
      <formula>ISNUMBER(SEARCH(1,$J$31))</formula>
    </cfRule>
  </conditionalFormatting>
  <conditionalFormatting sqref="J22">
    <cfRule type="expression" dxfId="10" priority="7">
      <formula>ISERROR(SEARCH(1,$J$31))</formula>
    </cfRule>
    <cfRule type="expression" dxfId="9" priority="8">
      <formula>ISNUMBER(SEARCH(1,$J$31))</formula>
    </cfRule>
  </conditionalFormatting>
  <conditionalFormatting sqref="M23:M30">
    <cfRule type="expression" dxfId="8" priority="5">
      <formula>ISERROR(SEARCH(1,$M$31))</formula>
    </cfRule>
    <cfRule type="expression" dxfId="7" priority="6">
      <formula>ISNUMBER(SEARCH(1,$M$31))</formula>
    </cfRule>
  </conditionalFormatting>
  <conditionalFormatting sqref="M22">
    <cfRule type="expression" dxfId="6" priority="3">
      <formula>ISERROR(SEARCH(1,$M$31))</formula>
    </cfRule>
    <cfRule type="expression" dxfId="5" priority="4">
      <formula>ISNUMBER(SEARCH(1,$M$31))</formula>
    </cfRule>
  </conditionalFormatting>
  <conditionalFormatting sqref="D22:D30">
    <cfRule type="expression" dxfId="4" priority="1">
      <formula>ISERROR(SEARCH(1,$D$19))</formula>
    </cfRule>
    <cfRule type="expression" dxfId="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99" t="s">
        <v>3849</v>
      </c>
      <c r="I28" s="699"/>
      <c r="J28" s="699"/>
      <c r="K28" s="699"/>
      <c r="L28" s="699"/>
      <c r="M28" s="699"/>
      <c r="N28" s="699"/>
      <c r="O28" s="699"/>
      <c r="P28" s="699"/>
      <c r="Q28" s="699"/>
      <c r="R28" s="699"/>
    </row>
    <row r="29" spans="1:20" x14ac:dyDescent="0.2">
      <c r="A29" s="688" t="s">
        <v>47</v>
      </c>
      <c r="B29" s="689"/>
      <c r="C29" s="65" t="str">
        <f>IF(Main!D48="","",Main!D48)</f>
        <v/>
      </c>
      <c r="D29" s="65" t="str">
        <f>IF(Main!E48="","",Main!E48)</f>
        <v/>
      </c>
      <c r="E29" s="65" t="str">
        <f>IF(Main!F48="","",Main!F48)</f>
        <v/>
      </c>
      <c r="F29" s="65" t="str">
        <f>IF(Main!G48="","",Main!G48)</f>
        <v/>
      </c>
      <c r="G29" s="528"/>
      <c r="H29" s="523" t="s">
        <v>3850</v>
      </c>
      <c r="I29" s="156" t="str">
        <f>IF(Main!N47="","",Main!N47)</f>
        <v>Periodic</v>
      </c>
      <c r="J29" s="707" t="s">
        <v>3851</v>
      </c>
      <c r="K29" s="708"/>
      <c r="L29" s="156" t="str">
        <f>IF(Main!R47="","",Main!R47)</f>
        <v>Air</v>
      </c>
    </row>
    <row r="30" spans="1:20" x14ac:dyDescent="0.2">
      <c r="A30" s="688" t="s">
        <v>48</v>
      </c>
      <c r="B30" s="689"/>
      <c r="C30" s="66" t="str">
        <f>IF(Main!D49="","",Main!D49)</f>
        <v/>
      </c>
      <c r="D30" s="66" t="str">
        <f>IF(Main!E49="","",Main!E49)</f>
        <v/>
      </c>
      <c r="E30" s="66" t="str">
        <f>IF(Main!F49="","",Main!F49)</f>
        <v/>
      </c>
      <c r="F30" s="66" t="str">
        <f>IF(Main!G49="","",Main!G49)</f>
        <v/>
      </c>
      <c r="G30" s="530"/>
      <c r="H30" s="700" t="s">
        <v>3837</v>
      </c>
      <c r="I30" s="700"/>
      <c r="J30" s="709" t="s">
        <v>5637</v>
      </c>
      <c r="K30" s="710"/>
      <c r="L30" s="711"/>
      <c r="M30" s="520"/>
      <c r="O30" s="701" t="s">
        <v>5640</v>
      </c>
      <c r="P30" s="702"/>
      <c r="Q30" s="703"/>
      <c r="T30" s="44"/>
    </row>
    <row r="31" spans="1:20" x14ac:dyDescent="0.2">
      <c r="A31" s="688" t="s">
        <v>49</v>
      </c>
      <c r="B31" s="689"/>
      <c r="C31" s="66" t="str">
        <f>IF(Main!D50="","",Main!D50)</f>
        <v/>
      </c>
      <c r="D31" s="66" t="str">
        <f>IF(Main!E50="","",Main!E50)</f>
        <v/>
      </c>
      <c r="E31" s="66" t="str">
        <f>IF(Main!F50="","",Main!F50)</f>
        <v/>
      </c>
      <c r="F31" s="66" t="str">
        <f>IF(Main!G50="","",Main!G50)</f>
        <v/>
      </c>
      <c r="G31" s="530"/>
      <c r="H31" s="436" t="s">
        <v>3852</v>
      </c>
      <c r="I31" s="463" t="e">
        <f>IF(Main!N49="","",Main!N49)</f>
        <v>#N/A</v>
      </c>
      <c r="J31" s="690" t="s">
        <v>5645</v>
      </c>
      <c r="K31" s="691"/>
      <c r="L31" s="692"/>
      <c r="M31" s="521" t="str">
        <f>IF(Main!S49="","",Main!S49)</f>
        <v/>
      </c>
      <c r="O31" s="704" t="s">
        <v>5647</v>
      </c>
      <c r="P31" s="705"/>
      <c r="Q31" s="706"/>
      <c r="R31" s="89" t="str">
        <f>IF(Main!X49="","",Main!X49)</f>
        <v/>
      </c>
      <c r="T31" s="44"/>
    </row>
    <row r="32" spans="1:20" ht="12.75" customHeight="1" x14ac:dyDescent="0.2">
      <c r="A32" s="688" t="s">
        <v>50</v>
      </c>
      <c r="B32" s="689"/>
      <c r="C32" s="65" t="str">
        <f>IF(Main!D51="","",Main!D51)</f>
        <v/>
      </c>
      <c r="D32" s="65" t="str">
        <f>IF(Main!E51="","",Main!E51)</f>
        <v/>
      </c>
      <c r="E32" s="65" t="str">
        <f>IF(Main!F51="","",Main!F51)</f>
        <v/>
      </c>
      <c r="F32" s="65" t="str">
        <f>IF(Main!G51="","",Main!G51)</f>
        <v/>
      </c>
      <c r="G32" s="528"/>
      <c r="H32" s="436" t="s">
        <v>4425</v>
      </c>
      <c r="I32" s="463" t="e">
        <f>IF(Main!N50="","",Main!N50)</f>
        <v>#N/A</v>
      </c>
      <c r="J32" s="693" t="s">
        <v>3840</v>
      </c>
      <c r="K32" s="694"/>
      <c r="L32" s="695"/>
      <c r="M32" s="503"/>
      <c r="O32" s="693" t="s">
        <v>3840</v>
      </c>
      <c r="P32" s="694"/>
      <c r="Q32" s="695"/>
      <c r="T32" s="44"/>
    </row>
    <row r="33" spans="1:20" ht="12.75" customHeight="1" x14ac:dyDescent="0.2">
      <c r="A33" s="688" t="s">
        <v>3853</v>
      </c>
      <c r="B33" s="689"/>
      <c r="C33" s="65" t="str">
        <f>IF(Main!D52="","",Main!D52)</f>
        <v/>
      </c>
      <c r="D33" s="65" t="str">
        <f>IF(Main!E52="","",Main!E52)</f>
        <v/>
      </c>
      <c r="E33" s="65" t="str">
        <f>IF(Main!F52="","",Main!F52)</f>
        <v/>
      </c>
      <c r="F33" s="65" t="str">
        <f>IF(Main!G52="","",Main!G52)</f>
        <v/>
      </c>
      <c r="G33" s="528"/>
      <c r="H33" s="436" t="s">
        <v>3854</v>
      </c>
      <c r="I33" s="463" t="e">
        <f>IF(Main!N51="","",Main!N51)</f>
        <v>#N/A</v>
      </c>
      <c r="J33" s="696" t="s">
        <v>5646</v>
      </c>
      <c r="K33" s="697"/>
      <c r="L33" s="698"/>
      <c r="M33" s="500" t="str">
        <f>IF(Main!S51="","",Main!S51)</f>
        <v/>
      </c>
      <c r="O33" s="696" t="s">
        <v>5648</v>
      </c>
      <c r="P33" s="697"/>
      <c r="Q33" s="698"/>
      <c r="R33" s="89" t="str">
        <f>IF(Main!X51="","",Main!X51)</f>
        <v/>
      </c>
      <c r="T33" s="44"/>
    </row>
    <row r="34" spans="1:20" ht="12.75" customHeight="1" x14ac:dyDescent="0.2">
      <c r="A34" s="688" t="s">
        <v>51</v>
      </c>
      <c r="B34" s="689"/>
      <c r="C34" s="67" t="str">
        <f>IF(Main!D53="","",Main!D53)</f>
        <v/>
      </c>
      <c r="D34" s="67" t="str">
        <f>IF(Main!E53="","",Main!E53)</f>
        <v/>
      </c>
      <c r="E34" s="67" t="str">
        <f>IF(Main!F53="","",Main!F53)</f>
        <v/>
      </c>
      <c r="F34" s="67" t="str">
        <f>IF(Main!G53="","",Main!G53)</f>
        <v/>
      </c>
      <c r="G34" s="531"/>
      <c r="H34" s="436" t="s">
        <v>3855</v>
      </c>
      <c r="I34" s="435" t="e">
        <f>IF(Main!N52="","",Main!N52)</f>
        <v>#N/A</v>
      </c>
      <c r="J34" s="693" t="s">
        <v>3840</v>
      </c>
      <c r="K34" s="694"/>
      <c r="L34" s="695"/>
      <c r="O34" s="693" t="s">
        <v>3840</v>
      </c>
      <c r="P34" s="694"/>
      <c r="Q34" s="695"/>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3855</v>
      </c>
      <c r="I35" s="435" t="e">
        <f>IF(Main!N53="","",Main!N53)</f>
        <v>#N/A</v>
      </c>
      <c r="J35" s="682" t="s">
        <v>5649</v>
      </c>
      <c r="K35" s="683"/>
      <c r="L35" s="684"/>
      <c r="M35" s="524" t="str">
        <f>IF(Main!S53="","",Main!S53)</f>
        <v/>
      </c>
      <c r="O35" s="682" t="s">
        <v>5650</v>
      </c>
      <c r="P35" s="683"/>
      <c r="Q35" s="684"/>
      <c r="R35" s="525" t="str">
        <f>IF(Main!X53="","",Main!X53)</f>
        <v/>
      </c>
    </row>
    <row r="36" spans="1:20" ht="13.5" thickBot="1" x14ac:dyDescent="0.25">
      <c r="B36" s="92" t="s">
        <v>3856</v>
      </c>
      <c r="C36" s="65" t="str">
        <f>IF(Main!D56="","",Main!D56)</f>
        <v/>
      </c>
      <c r="D36" s="65" t="str">
        <f>IF(Main!E56="","",Main!E56)</f>
        <v/>
      </c>
      <c r="E36" s="65" t="str">
        <f>IF(Main!F56="","",Main!F56)</f>
        <v/>
      </c>
      <c r="F36" s="65" t="str">
        <f>IF(Main!G56="","",Main!G56)</f>
        <v/>
      </c>
      <c r="G36" s="528"/>
      <c r="H36" s="529"/>
      <c r="J36" s="685"/>
      <c r="K36" s="686"/>
      <c r="L36" s="687"/>
      <c r="M36" s="519"/>
      <c r="O36" s="685"/>
      <c r="P36" s="686"/>
      <c r="Q36" s="687"/>
      <c r="T36" s="44"/>
    </row>
    <row r="37" spans="1:20" ht="13.5" thickBot="1" x14ac:dyDescent="0.25">
      <c r="B37" s="90" t="s">
        <v>3857</v>
      </c>
      <c r="C37" s="65" t="str">
        <f>IF(Main!D57="","",Main!D57)</f>
        <v/>
      </c>
      <c r="D37" s="65" t="str">
        <f>IF(Main!E57="","",Main!E57)</f>
        <v/>
      </c>
      <c r="E37" s="65" t="str">
        <f>IF(Main!F57="","",Main!F57)</f>
        <v/>
      </c>
      <c r="F37" s="65" t="str">
        <f>IF(Main!G57="","",Main!G57)</f>
        <v/>
      </c>
      <c r="G37" s="528"/>
      <c r="H37" s="529"/>
      <c r="J37" s="536" t="s">
        <v>3843</v>
      </c>
      <c r="K37" s="537" t="s">
        <v>26</v>
      </c>
      <c r="L37" s="538" t="s">
        <v>3844</v>
      </c>
      <c r="M37" s="519"/>
      <c r="O37" s="536" t="s">
        <v>3845</v>
      </c>
      <c r="P37" s="537" t="s">
        <v>26</v>
      </c>
      <c r="Q37" s="538" t="s">
        <v>3846</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4322</v>
      </c>
      <c r="M39" s="539"/>
    </row>
    <row r="40" spans="1:20" ht="15.75" x14ac:dyDescent="0.25">
      <c r="B40" s="518"/>
      <c r="C40" s="518"/>
      <c r="D40" s="518"/>
      <c r="E40" s="518"/>
      <c r="K40" s="90" t="s">
        <v>5040</v>
      </c>
      <c r="L40" t="str">
        <f>IF(Main!N54="","",Main!N54)</f>
        <v>0°F</v>
      </c>
      <c r="O40" s="90" t="s">
        <v>5042</v>
      </c>
      <c r="P40" t="str">
        <f>IF(Main!N56="","",Main!N56)</f>
        <v>0°F</v>
      </c>
    </row>
    <row r="41" spans="1:20" x14ac:dyDescent="0.2">
      <c r="K41" s="90" t="s">
        <v>5041</v>
      </c>
      <c r="L41" t="str">
        <f>IF(Main!N55="","",Main!N55)</f>
        <v>0°F</v>
      </c>
      <c r="O41" s="90" t="s">
        <v>5043</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5390</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4983</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1764</v>
      </c>
      <c r="C1" s="41" t="s">
        <v>1670</v>
      </c>
      <c r="D1" s="41" t="s">
        <v>2129</v>
      </c>
      <c r="E1" s="41" t="s">
        <v>2091</v>
      </c>
      <c r="F1" s="41" t="s">
        <v>2092</v>
      </c>
      <c r="G1" s="41" t="s">
        <v>2093</v>
      </c>
      <c r="H1" s="41" t="s">
        <v>2094</v>
      </c>
      <c r="I1" s="41" t="s">
        <v>2095</v>
      </c>
      <c r="J1" s="41" t="s">
        <v>2096</v>
      </c>
      <c r="K1" s="41" t="s">
        <v>2097</v>
      </c>
      <c r="L1" s="41" t="s">
        <v>2098</v>
      </c>
      <c r="M1" s="104" t="s">
        <v>2099</v>
      </c>
      <c r="N1" s="41" t="s">
        <v>2100</v>
      </c>
      <c r="O1" s="41" t="s">
        <v>233</v>
      </c>
      <c r="P1" s="41" t="s">
        <v>2101</v>
      </c>
      <c r="Q1" s="41" t="s">
        <v>2102</v>
      </c>
      <c r="R1" s="41" t="s">
        <v>2103</v>
      </c>
      <c r="S1" s="41" t="s">
        <v>2104</v>
      </c>
      <c r="T1" s="41" t="s">
        <v>2105</v>
      </c>
      <c r="U1" s="41" t="s">
        <v>2117</v>
      </c>
      <c r="V1" s="41" t="s">
        <v>2087</v>
      </c>
      <c r="W1" s="104" t="s">
        <v>2106</v>
      </c>
      <c r="X1" s="41" t="s">
        <v>2107</v>
      </c>
      <c r="Y1" s="41" t="s">
        <v>2088</v>
      </c>
      <c r="Z1" s="41" t="s">
        <v>2111</v>
      </c>
      <c r="AA1" s="41" t="s">
        <v>2112</v>
      </c>
      <c r="AB1" s="41" t="s">
        <v>2118</v>
      </c>
      <c r="AC1" s="41" t="s">
        <v>2113</v>
      </c>
      <c r="AD1" s="41" t="s">
        <v>2114</v>
      </c>
      <c r="AE1" s="41" t="s">
        <v>1756</v>
      </c>
      <c r="AF1" s="41" t="s">
        <v>3858</v>
      </c>
      <c r="AG1" s="41" t="s">
        <v>3859</v>
      </c>
      <c r="AH1" s="41" t="s">
        <v>3969</v>
      </c>
      <c r="AI1" s="41" t="s">
        <v>3860</v>
      </c>
      <c r="AJ1" s="41" t="s">
        <v>3861</v>
      </c>
      <c r="AK1" s="41" t="s">
        <v>2115</v>
      </c>
      <c r="AL1" s="41" t="s">
        <v>3724</v>
      </c>
      <c r="AM1" s="471" t="s">
        <v>4802</v>
      </c>
      <c r="AN1" s="471" t="s">
        <v>4913</v>
      </c>
      <c r="AO1" s="471" t="s">
        <v>4914</v>
      </c>
      <c r="AP1" s="41" t="s">
        <v>4309</v>
      </c>
      <c r="AQ1"/>
      <c r="AR1"/>
      <c r="AT1" s="41" t="s">
        <v>1764</v>
      </c>
      <c r="AU1" s="41" t="s">
        <v>2091</v>
      </c>
      <c r="AV1" s="41" t="s">
        <v>2092</v>
      </c>
      <c r="AW1" s="41" t="s">
        <v>2093</v>
      </c>
      <c r="AX1" s="41" t="s">
        <v>2094</v>
      </c>
      <c r="AY1" s="41" t="s">
        <v>2095</v>
      </c>
      <c r="AZ1" s="41" t="s">
        <v>2096</v>
      </c>
      <c r="BA1" s="41" t="s">
        <v>2097</v>
      </c>
      <c r="BB1" s="41" t="s">
        <v>2098</v>
      </c>
      <c r="BC1" s="41" t="s">
        <v>2099</v>
      </c>
      <c r="BD1" s="41" t="s">
        <v>2100</v>
      </c>
      <c r="BE1" s="41" t="s">
        <v>233</v>
      </c>
      <c r="BF1" s="41" t="s">
        <v>2101</v>
      </c>
      <c r="BG1" s="41" t="s">
        <v>2102</v>
      </c>
      <c r="BH1" s="41" t="s">
        <v>2103</v>
      </c>
      <c r="BI1" s="41" t="s">
        <v>2104</v>
      </c>
      <c r="BJ1" s="41" t="s">
        <v>2105</v>
      </c>
      <c r="BK1" s="41" t="s">
        <v>2117</v>
      </c>
      <c r="BL1" s="41" t="s">
        <v>2087</v>
      </c>
      <c r="BM1" s="41" t="s">
        <v>2106</v>
      </c>
      <c r="BN1" s="41" t="s">
        <v>2107</v>
      </c>
      <c r="BO1" s="41" t="s">
        <v>2088</v>
      </c>
      <c r="BP1" s="41" t="s">
        <v>2111</v>
      </c>
      <c r="BQ1" s="41" t="s">
        <v>2112</v>
      </c>
      <c r="BR1" s="41" t="s">
        <v>2118</v>
      </c>
      <c r="BS1" s="41" t="s">
        <v>2113</v>
      </c>
      <c r="BT1" s="41" t="s">
        <v>2114</v>
      </c>
      <c r="BU1" s="41" t="s">
        <v>1756</v>
      </c>
      <c r="BV1" s="41" t="s">
        <v>3858</v>
      </c>
      <c r="BW1" s="41" t="s">
        <v>2196</v>
      </c>
      <c r="BX1" s="41" t="s">
        <v>3969</v>
      </c>
      <c r="BY1" s="41" t="s">
        <v>3860</v>
      </c>
      <c r="BZ1" s="41" t="s">
        <v>3970</v>
      </c>
      <c r="CA1" s="41" t="s">
        <v>2115</v>
      </c>
      <c r="CB1" s="41" t="s">
        <v>3724</v>
      </c>
      <c r="CC1" s="41" t="s">
        <v>4802</v>
      </c>
      <c r="CD1" s="41" t="s">
        <v>4913</v>
      </c>
      <c r="CE1" s="41" t="s">
        <v>4914</v>
      </c>
      <c r="CH1" s="41" t="s">
        <v>4394</v>
      </c>
      <c r="CJ1" s="41" t="s">
        <v>4395</v>
      </c>
    </row>
    <row r="2" spans="1:88" x14ac:dyDescent="0.2">
      <c r="A2">
        <v>1</v>
      </c>
      <c r="B2" s="461" t="s">
        <v>5621</v>
      </c>
      <c r="C2" s="461" t="s">
        <v>1568</v>
      </c>
      <c r="D2" s="461" t="s">
        <v>5622</v>
      </c>
      <c r="E2" s="461" t="s">
        <v>2082</v>
      </c>
      <c r="F2" s="461" t="s">
        <v>2038</v>
      </c>
      <c r="G2" s="461" t="s">
        <v>34</v>
      </c>
      <c r="H2" s="461" t="s">
        <v>2128</v>
      </c>
      <c r="I2" s="461" t="s">
        <v>5651</v>
      </c>
      <c r="J2" s="461" t="s">
        <v>1764</v>
      </c>
      <c r="K2" s="461" t="s">
        <v>1450</v>
      </c>
      <c r="L2" s="461" t="s">
        <v>3631</v>
      </c>
      <c r="M2" s="461">
        <v>400005</v>
      </c>
      <c r="N2" s="461" t="s">
        <v>1568</v>
      </c>
      <c r="O2" s="461" t="s">
        <v>2399</v>
      </c>
      <c r="P2" s="461" t="s">
        <v>2302</v>
      </c>
      <c r="Q2" s="461" t="s">
        <v>2126</v>
      </c>
      <c r="R2" s="461" t="s">
        <v>2185</v>
      </c>
      <c r="S2" s="461" t="s">
        <v>3632</v>
      </c>
      <c r="T2" s="461">
        <v>30</v>
      </c>
      <c r="U2" s="461" t="s">
        <v>2151</v>
      </c>
      <c r="V2" s="461" t="s">
        <v>3620</v>
      </c>
      <c r="W2" s="461">
        <v>84945014029</v>
      </c>
      <c r="X2" s="461" t="s">
        <v>2122</v>
      </c>
      <c r="Y2" s="461" t="s">
        <v>5168</v>
      </c>
      <c r="Z2" s="461" t="s">
        <v>3633</v>
      </c>
      <c r="AA2" s="461" t="s">
        <v>2122</v>
      </c>
      <c r="AB2" s="461" t="s">
        <v>34</v>
      </c>
      <c r="AC2" s="461" t="s">
        <v>2123</v>
      </c>
      <c r="AD2" s="461" t="s">
        <v>2124</v>
      </c>
      <c r="AE2" s="461" t="s">
        <v>1758</v>
      </c>
      <c r="AF2" s="461">
        <v>1</v>
      </c>
      <c r="AG2" s="461">
        <v>0</v>
      </c>
      <c r="AH2" s="461">
        <v>0</v>
      </c>
      <c r="AI2" s="461" t="s">
        <v>3962</v>
      </c>
      <c r="AJ2" s="461" t="s">
        <v>3963</v>
      </c>
      <c r="AK2" s="461" t="s">
        <v>2125</v>
      </c>
      <c r="AL2" s="461" t="s">
        <v>34</v>
      </c>
      <c r="AM2" t="s">
        <v>4803</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5621</v>
      </c>
      <c r="CH2" t="e">
        <f>VLOOKUP(CF2,A$2:C$500,3,FALSE)</f>
        <v>#N/A</v>
      </c>
      <c r="CI2" s="499" t="s">
        <v>5621</v>
      </c>
      <c r="CJ2" s="499" t="s">
        <v>5621</v>
      </c>
    </row>
    <row r="3" spans="1:88" x14ac:dyDescent="0.2">
      <c r="A3">
        <v>2</v>
      </c>
      <c r="B3" s="462" t="s">
        <v>5621</v>
      </c>
      <c r="C3" s="162" t="s">
        <v>4676</v>
      </c>
      <c r="D3" s="162" t="s">
        <v>5623</v>
      </c>
      <c r="E3" s="162" t="s">
        <v>2082</v>
      </c>
      <c r="F3" s="162" t="s">
        <v>2038</v>
      </c>
      <c r="G3" s="162" t="s">
        <v>34</v>
      </c>
      <c r="H3" s="162" t="s">
        <v>2128</v>
      </c>
      <c r="I3" s="162" t="s">
        <v>5651</v>
      </c>
      <c r="J3" s="162" t="s">
        <v>1764</v>
      </c>
      <c r="K3" s="162" t="s">
        <v>3611</v>
      </c>
      <c r="L3" s="162" t="s">
        <v>3612</v>
      </c>
      <c r="M3" s="540">
        <v>995539</v>
      </c>
      <c r="N3" s="162" t="s">
        <v>4676</v>
      </c>
      <c r="O3" s="162" t="s">
        <v>2399</v>
      </c>
      <c r="P3" s="162" t="s">
        <v>2459</v>
      </c>
      <c r="Q3" s="162" t="s">
        <v>2126</v>
      </c>
      <c r="R3" s="162" t="s">
        <v>2295</v>
      </c>
      <c r="S3" s="162" t="s">
        <v>3613</v>
      </c>
      <c r="T3" s="162">
        <v>108</v>
      </c>
      <c r="U3" s="162" t="s">
        <v>2151</v>
      </c>
      <c r="V3" s="162" t="s">
        <v>3614</v>
      </c>
      <c r="W3" s="162" t="s">
        <v>3615</v>
      </c>
      <c r="X3" s="162" t="s">
        <v>2122</v>
      </c>
      <c r="Y3" s="162" t="s">
        <v>2634</v>
      </c>
      <c r="Z3" s="162" t="s">
        <v>3616</v>
      </c>
      <c r="AA3" s="162" t="s">
        <v>2122</v>
      </c>
      <c r="AB3" s="162" t="s">
        <v>34</v>
      </c>
      <c r="AC3" s="162" t="s">
        <v>2123</v>
      </c>
      <c r="AD3" s="162" t="s">
        <v>2124</v>
      </c>
      <c r="AE3" s="162" t="s">
        <v>1758</v>
      </c>
      <c r="AF3" s="162">
        <v>2</v>
      </c>
      <c r="AG3" s="162">
        <v>1</v>
      </c>
      <c r="AH3" s="162">
        <v>0.05</v>
      </c>
      <c r="AI3" s="162" t="s">
        <v>3960</v>
      </c>
      <c r="AJ3" s="162" t="s">
        <v>34</v>
      </c>
      <c r="AK3" s="162" t="s">
        <v>2125</v>
      </c>
      <c r="AL3" s="162" t="s">
        <v>34</v>
      </c>
      <c r="AM3" t="s">
        <v>4803</v>
      </c>
      <c r="AN3" s="478">
        <v>0</v>
      </c>
      <c r="AO3" s="478">
        <v>0</v>
      </c>
      <c r="BR3" t="e">
        <f>VLOOKUP($AP2,$D2:$AK999,25,FALSE)</f>
        <v>#N/A</v>
      </c>
      <c r="CE3" s="462"/>
      <c r="CF3" t="e">
        <f t="shared" ref="CF3:CF37" si="0">CF2-1</f>
        <v>#N/A</v>
      </c>
      <c r="CG3" s="462" t="s">
        <v>1880</v>
      </c>
      <c r="CH3" t="str">
        <f t="shared" ref="CH3:CH29" si="1">IF(CG4=CG$3,VLOOKUP(CF3,A$2:C$500,3,FALSE),"")</f>
        <v/>
      </c>
      <c r="CI3" s="461" t="s">
        <v>1880</v>
      </c>
      <c r="CJ3" s="461" t="s">
        <v>1880</v>
      </c>
    </row>
    <row r="4" spans="1:88" x14ac:dyDescent="0.2">
      <c r="A4">
        <v>3</v>
      </c>
      <c r="B4" s="162" t="s">
        <v>5621</v>
      </c>
      <c r="C4" s="162" t="s">
        <v>1581</v>
      </c>
      <c r="D4" s="162" t="s">
        <v>5624</v>
      </c>
      <c r="E4" s="162" t="s">
        <v>2082</v>
      </c>
      <c r="F4" s="162" t="s">
        <v>2038</v>
      </c>
      <c r="G4" s="162" t="s">
        <v>34</v>
      </c>
      <c r="H4" s="162" t="s">
        <v>2128</v>
      </c>
      <c r="I4" s="162" t="s">
        <v>5651</v>
      </c>
      <c r="J4" s="162" t="s">
        <v>1764</v>
      </c>
      <c r="K4" s="162" t="s">
        <v>3597</v>
      </c>
      <c r="L4" s="162" t="s">
        <v>3598</v>
      </c>
      <c r="M4" s="162">
        <v>311244</v>
      </c>
      <c r="N4" s="162" t="s">
        <v>1581</v>
      </c>
      <c r="O4" s="162" t="s">
        <v>2399</v>
      </c>
      <c r="P4" s="162" t="s">
        <v>3536</v>
      </c>
      <c r="Q4" s="162" t="s">
        <v>2204</v>
      </c>
      <c r="R4" s="162" t="s">
        <v>2121</v>
      </c>
      <c r="S4" s="162" t="s">
        <v>3599</v>
      </c>
      <c r="T4" s="162">
        <v>20.7</v>
      </c>
      <c r="U4" s="162" t="s">
        <v>2151</v>
      </c>
      <c r="V4" s="162" t="s">
        <v>3600</v>
      </c>
      <c r="W4" s="162" t="s">
        <v>3601</v>
      </c>
      <c r="X4" s="162" t="s">
        <v>2122</v>
      </c>
      <c r="Y4" s="162" t="s">
        <v>2634</v>
      </c>
      <c r="Z4" s="162" t="s">
        <v>3602</v>
      </c>
      <c r="AA4" s="162" t="s">
        <v>2122</v>
      </c>
      <c r="AB4" s="162" t="s">
        <v>34</v>
      </c>
      <c r="AC4" s="162" t="s">
        <v>2123</v>
      </c>
      <c r="AD4" s="162" t="s">
        <v>2124</v>
      </c>
      <c r="AE4" s="162" t="s">
        <v>1758</v>
      </c>
      <c r="AF4" s="162">
        <v>1</v>
      </c>
      <c r="AG4" s="162">
        <v>0.1</v>
      </c>
      <c r="AH4" s="162">
        <v>1.1100000000000001</v>
      </c>
      <c r="AI4" s="162" t="s">
        <v>3956</v>
      </c>
      <c r="AJ4" s="162" t="s">
        <v>34</v>
      </c>
      <c r="AK4" s="162" t="s">
        <v>2125</v>
      </c>
      <c r="AL4" s="162" t="s">
        <v>34</v>
      </c>
      <c r="AM4" t="s">
        <v>4803</v>
      </c>
      <c r="AN4" s="478">
        <v>0</v>
      </c>
      <c r="AO4" s="478">
        <v>0</v>
      </c>
      <c r="CE4" s="462"/>
      <c r="CF4" t="e">
        <f t="shared" si="0"/>
        <v>#N/A</v>
      </c>
      <c r="CG4" s="462" t="s">
        <v>847</v>
      </c>
      <c r="CH4" t="str">
        <f t="shared" si="1"/>
        <v/>
      </c>
      <c r="CI4" s="462" t="s">
        <v>847</v>
      </c>
      <c r="CJ4" s="462" t="s">
        <v>847</v>
      </c>
    </row>
    <row r="5" spans="1:88" x14ac:dyDescent="0.2">
      <c r="A5">
        <v>4</v>
      </c>
      <c r="B5" s="462" t="s">
        <v>5621</v>
      </c>
      <c r="C5" s="162" t="s">
        <v>1574</v>
      </c>
      <c r="D5" s="162" t="s">
        <v>5625</v>
      </c>
      <c r="E5" s="162" t="s">
        <v>2082</v>
      </c>
      <c r="F5" s="162" t="s">
        <v>2038</v>
      </c>
      <c r="G5" s="162" t="s">
        <v>34</v>
      </c>
      <c r="H5" s="162" t="s">
        <v>2128</v>
      </c>
      <c r="I5" s="162" t="s">
        <v>5651</v>
      </c>
      <c r="J5" s="162" t="s">
        <v>1764</v>
      </c>
      <c r="K5" s="162" t="s">
        <v>1450</v>
      </c>
      <c r="L5" s="162" t="s">
        <v>3634</v>
      </c>
      <c r="M5" s="162" t="s">
        <v>3635</v>
      </c>
      <c r="N5" s="162" t="s">
        <v>1574</v>
      </c>
      <c r="O5" s="162" t="s">
        <v>2399</v>
      </c>
      <c r="P5" s="162" t="s">
        <v>3636</v>
      </c>
      <c r="Q5" s="162" t="s">
        <v>2126</v>
      </c>
      <c r="R5" s="162" t="s">
        <v>2185</v>
      </c>
      <c r="S5" s="162" t="s">
        <v>3637</v>
      </c>
      <c r="T5" s="162">
        <v>3.1</v>
      </c>
      <c r="U5" s="162" t="s">
        <v>2151</v>
      </c>
      <c r="V5" s="162" t="s">
        <v>2760</v>
      </c>
      <c r="W5" s="162">
        <v>5684</v>
      </c>
      <c r="X5" s="162" t="s">
        <v>2122</v>
      </c>
      <c r="Y5" s="162" t="s">
        <v>2634</v>
      </c>
      <c r="Z5" s="162" t="s">
        <v>3638</v>
      </c>
      <c r="AA5" s="162" t="s">
        <v>2122</v>
      </c>
      <c r="AB5" s="162" t="s">
        <v>34</v>
      </c>
      <c r="AC5" s="162" t="s">
        <v>2123</v>
      </c>
      <c r="AD5" s="162" t="s">
        <v>2124</v>
      </c>
      <c r="AE5" s="162" t="s">
        <v>1758</v>
      </c>
      <c r="AF5" s="162">
        <v>40</v>
      </c>
      <c r="AG5" s="162">
        <v>1</v>
      </c>
      <c r="AH5" s="162">
        <v>450</v>
      </c>
      <c r="AI5" s="162" t="s">
        <v>34</v>
      </c>
      <c r="AJ5" s="162" t="s">
        <v>34</v>
      </c>
      <c r="AK5" s="162" t="s">
        <v>2125</v>
      </c>
      <c r="AL5" s="162" t="s">
        <v>34</v>
      </c>
      <c r="AM5" t="s">
        <v>4803</v>
      </c>
      <c r="AN5" s="478">
        <v>0</v>
      </c>
      <c r="AO5" s="478">
        <v>0</v>
      </c>
      <c r="CE5" s="462"/>
      <c r="CF5" t="e">
        <f t="shared" si="0"/>
        <v>#N/A</v>
      </c>
      <c r="CG5" s="462" t="s">
        <v>853</v>
      </c>
      <c r="CH5" t="str">
        <f t="shared" si="1"/>
        <v/>
      </c>
      <c r="CI5" s="462" t="s">
        <v>853</v>
      </c>
      <c r="CJ5" s="462" t="s">
        <v>853</v>
      </c>
    </row>
    <row r="6" spans="1:88" x14ac:dyDescent="0.2">
      <c r="A6">
        <v>5</v>
      </c>
      <c r="B6" s="462" t="s">
        <v>5621</v>
      </c>
      <c r="C6" s="162" t="s">
        <v>1579</v>
      </c>
      <c r="D6" s="162" t="s">
        <v>5626</v>
      </c>
      <c r="E6" s="162" t="s">
        <v>2082</v>
      </c>
      <c r="F6" s="162" t="s">
        <v>2038</v>
      </c>
      <c r="G6" s="162" t="s">
        <v>34</v>
      </c>
      <c r="H6" s="162" t="s">
        <v>2128</v>
      </c>
      <c r="I6" s="162" t="s">
        <v>5651</v>
      </c>
      <c r="J6" s="162" t="s">
        <v>1764</v>
      </c>
      <c r="K6" s="162" t="s">
        <v>1238</v>
      </c>
      <c r="L6" s="162" t="s">
        <v>3595</v>
      </c>
      <c r="M6" s="162">
        <v>116010</v>
      </c>
      <c r="N6" s="162" t="s">
        <v>1579</v>
      </c>
      <c r="O6" s="162" t="s">
        <v>2399</v>
      </c>
      <c r="P6" s="162" t="s">
        <v>2186</v>
      </c>
      <c r="Q6" s="162" t="s">
        <v>2126</v>
      </c>
      <c r="R6" s="162" t="s">
        <v>2121</v>
      </c>
      <c r="S6" s="162" t="s">
        <v>5084</v>
      </c>
      <c r="T6" s="162">
        <v>45.3</v>
      </c>
      <c r="U6" s="162" t="s">
        <v>2151</v>
      </c>
      <c r="V6" s="162" t="s">
        <v>2864</v>
      </c>
      <c r="W6" s="162">
        <v>11.2</v>
      </c>
      <c r="X6" s="162" t="s">
        <v>2122</v>
      </c>
      <c r="Y6" s="162" t="s">
        <v>109</v>
      </c>
      <c r="Z6" s="162" t="s">
        <v>109</v>
      </c>
      <c r="AA6" s="162" t="s">
        <v>109</v>
      </c>
      <c r="AB6" s="162" t="s">
        <v>34</v>
      </c>
      <c r="AC6" s="162" t="s">
        <v>2123</v>
      </c>
      <c r="AD6" s="162" t="s">
        <v>2124</v>
      </c>
      <c r="AE6" s="162" t="s">
        <v>1758</v>
      </c>
      <c r="AF6" s="162">
        <v>3.2</v>
      </c>
      <c r="AG6" s="162">
        <v>1.4</v>
      </c>
      <c r="AH6" s="162">
        <v>0.25</v>
      </c>
      <c r="AI6" s="162" t="s">
        <v>3954</v>
      </c>
      <c r="AJ6" s="162" t="s">
        <v>3955</v>
      </c>
      <c r="AK6" s="162" t="s">
        <v>2125</v>
      </c>
      <c r="AL6" s="162" t="s">
        <v>34</v>
      </c>
      <c r="AM6" t="s">
        <v>4803</v>
      </c>
      <c r="AN6" s="478">
        <v>0</v>
      </c>
      <c r="AO6" s="478">
        <v>0</v>
      </c>
      <c r="CE6" s="462"/>
      <c r="CF6" t="e">
        <f t="shared" si="0"/>
        <v>#N/A</v>
      </c>
      <c r="CG6" s="462" t="s">
        <v>859</v>
      </c>
      <c r="CH6" t="str">
        <f t="shared" si="1"/>
        <v/>
      </c>
      <c r="CI6" s="462" t="s">
        <v>859</v>
      </c>
      <c r="CJ6" s="462" t="s">
        <v>859</v>
      </c>
    </row>
    <row r="7" spans="1:88" x14ac:dyDescent="0.2">
      <c r="A7">
        <v>6</v>
      </c>
      <c r="B7" s="462" t="s">
        <v>5621</v>
      </c>
      <c r="C7" s="162" t="s">
        <v>1564</v>
      </c>
      <c r="D7" s="162" t="s">
        <v>5627</v>
      </c>
      <c r="E7" s="162" t="s">
        <v>2082</v>
      </c>
      <c r="F7" s="162" t="s">
        <v>2038</v>
      </c>
      <c r="G7" s="162" t="s">
        <v>34</v>
      </c>
      <c r="H7" s="162" t="s">
        <v>2128</v>
      </c>
      <c r="I7" s="162" t="s">
        <v>5651</v>
      </c>
      <c r="J7" s="162" t="s">
        <v>1764</v>
      </c>
      <c r="K7" s="162" t="s">
        <v>2132</v>
      </c>
      <c r="L7" s="162" t="s">
        <v>3621</v>
      </c>
      <c r="M7" s="162">
        <v>450931</v>
      </c>
      <c r="N7" s="162" t="s">
        <v>1564</v>
      </c>
      <c r="O7" s="162" t="s">
        <v>2399</v>
      </c>
      <c r="P7" s="162" t="s">
        <v>3115</v>
      </c>
      <c r="Q7" s="162" t="s">
        <v>2204</v>
      </c>
      <c r="R7" s="162" t="s">
        <v>2222</v>
      </c>
      <c r="S7" s="162" t="s">
        <v>3622</v>
      </c>
      <c r="T7" s="162">
        <v>5.2</v>
      </c>
      <c r="U7" s="162" t="s">
        <v>2151</v>
      </c>
      <c r="V7" s="162" t="s">
        <v>3623</v>
      </c>
      <c r="W7" s="162" t="s">
        <v>3624</v>
      </c>
      <c r="X7" s="162" t="s">
        <v>2738</v>
      </c>
      <c r="Y7" s="162" t="s">
        <v>2634</v>
      </c>
      <c r="Z7" s="162" t="s">
        <v>3625</v>
      </c>
      <c r="AA7" s="162" t="s">
        <v>2122</v>
      </c>
      <c r="AB7" s="162" t="s">
        <v>5740</v>
      </c>
      <c r="AC7" s="162" t="s">
        <v>2123</v>
      </c>
      <c r="AD7" s="162" t="s">
        <v>2124</v>
      </c>
      <c r="AE7" s="162" t="s">
        <v>1758</v>
      </c>
      <c r="AF7" s="162" t="s">
        <v>3347</v>
      </c>
      <c r="AG7" s="162" t="s">
        <v>34</v>
      </c>
      <c r="AH7" s="162" t="s">
        <v>34</v>
      </c>
      <c r="AI7" s="162" t="s">
        <v>34</v>
      </c>
      <c r="AJ7" s="162" t="s">
        <v>34</v>
      </c>
      <c r="AK7" s="162" t="s">
        <v>2125</v>
      </c>
      <c r="AL7" s="162" t="s">
        <v>34</v>
      </c>
      <c r="AM7" t="s">
        <v>4803</v>
      </c>
      <c r="AN7" s="478">
        <v>0</v>
      </c>
      <c r="AO7" s="478">
        <v>0</v>
      </c>
      <c r="CE7" s="462"/>
      <c r="CF7" t="e">
        <f t="shared" si="0"/>
        <v>#N/A</v>
      </c>
      <c r="CG7" s="462" t="s">
        <v>863</v>
      </c>
      <c r="CH7" t="str">
        <f t="shared" si="1"/>
        <v/>
      </c>
      <c r="CI7" s="462" t="s">
        <v>863</v>
      </c>
      <c r="CJ7" s="462" t="s">
        <v>863</v>
      </c>
    </row>
    <row r="8" spans="1:88" x14ac:dyDescent="0.2">
      <c r="A8">
        <v>7</v>
      </c>
      <c r="B8" s="462" t="s">
        <v>5621</v>
      </c>
      <c r="C8" s="162" t="s">
        <v>4680</v>
      </c>
      <c r="D8" s="162" t="s">
        <v>5628</v>
      </c>
      <c r="E8" s="162" t="s">
        <v>2082</v>
      </c>
      <c r="F8" s="162" t="s">
        <v>2038</v>
      </c>
      <c r="G8" s="162" t="s">
        <v>34</v>
      </c>
      <c r="H8" s="162" t="s">
        <v>2128</v>
      </c>
      <c r="I8" s="162" t="s">
        <v>5651</v>
      </c>
      <c r="J8" s="162" t="s">
        <v>2116</v>
      </c>
      <c r="K8" s="162" t="s">
        <v>2250</v>
      </c>
      <c r="L8" s="162" t="s">
        <v>3603</v>
      </c>
      <c r="M8" s="162" t="s">
        <v>4681</v>
      </c>
      <c r="N8" s="162" t="s">
        <v>4682</v>
      </c>
      <c r="O8" s="162" t="s">
        <v>904</v>
      </c>
      <c r="P8" s="162" t="s">
        <v>3483</v>
      </c>
      <c r="Q8" s="162" t="s">
        <v>2126</v>
      </c>
      <c r="R8" s="162" t="s">
        <v>2121</v>
      </c>
      <c r="S8" s="162" t="s">
        <v>3604</v>
      </c>
      <c r="T8" s="162">
        <v>118</v>
      </c>
      <c r="U8" s="162" t="s">
        <v>2151</v>
      </c>
      <c r="V8" s="162" t="s">
        <v>2493</v>
      </c>
      <c r="W8" s="162" t="s">
        <v>3605</v>
      </c>
      <c r="X8" s="162" t="s">
        <v>2122</v>
      </c>
      <c r="Y8" s="162" t="s">
        <v>2634</v>
      </c>
      <c r="Z8" s="162" t="s">
        <v>4683</v>
      </c>
      <c r="AA8" s="162" t="s">
        <v>2122</v>
      </c>
      <c r="AB8" s="162" t="s">
        <v>34</v>
      </c>
      <c r="AC8" s="162" t="s">
        <v>2123</v>
      </c>
      <c r="AD8" s="162" t="s">
        <v>2124</v>
      </c>
      <c r="AE8" s="162" t="s">
        <v>1758</v>
      </c>
      <c r="AF8" s="162">
        <v>22</v>
      </c>
      <c r="AG8" s="162">
        <v>137</v>
      </c>
      <c r="AH8" s="162">
        <v>34</v>
      </c>
      <c r="AI8" s="162" t="s">
        <v>3957</v>
      </c>
      <c r="AJ8" s="162" t="s">
        <v>34</v>
      </c>
      <c r="AK8" s="162" t="s">
        <v>2125</v>
      </c>
      <c r="AL8" s="162" t="s">
        <v>34</v>
      </c>
      <c r="AM8" t="s">
        <v>4803</v>
      </c>
      <c r="AN8" s="478">
        <v>0</v>
      </c>
      <c r="AO8" s="478">
        <v>0</v>
      </c>
      <c r="CE8" s="462"/>
      <c r="CF8" t="e">
        <f t="shared" si="0"/>
        <v>#N/A</v>
      </c>
      <c r="CG8" s="462" t="s">
        <v>867</v>
      </c>
      <c r="CH8" t="str">
        <f t="shared" si="1"/>
        <v/>
      </c>
      <c r="CI8" s="462" t="s">
        <v>867</v>
      </c>
      <c r="CJ8" s="462" t="s">
        <v>867</v>
      </c>
    </row>
    <row r="9" spans="1:88" x14ac:dyDescent="0.2">
      <c r="A9">
        <v>8</v>
      </c>
      <c r="B9" s="462" t="s">
        <v>5621</v>
      </c>
      <c r="C9" s="162" t="s">
        <v>1576</v>
      </c>
      <c r="D9" s="162" t="s">
        <v>5629</v>
      </c>
      <c r="E9" s="162" t="s">
        <v>2082</v>
      </c>
      <c r="F9" s="162" t="s">
        <v>2038</v>
      </c>
      <c r="G9" s="162" t="s">
        <v>34</v>
      </c>
      <c r="H9" s="162" t="s">
        <v>2128</v>
      </c>
      <c r="I9" s="162" t="s">
        <v>5651</v>
      </c>
      <c r="J9" s="162" t="s">
        <v>1764</v>
      </c>
      <c r="K9" s="162" t="s">
        <v>3606</v>
      </c>
      <c r="L9" s="162" t="s">
        <v>3607</v>
      </c>
      <c r="M9" s="162">
        <v>390366</v>
      </c>
      <c r="N9" s="162" t="s">
        <v>1576</v>
      </c>
      <c r="O9" s="162" t="s">
        <v>2399</v>
      </c>
      <c r="P9" s="162" t="s">
        <v>3608</v>
      </c>
      <c r="Q9" s="162" t="s">
        <v>2120</v>
      </c>
      <c r="R9" s="162" t="s">
        <v>2121</v>
      </c>
      <c r="S9" s="162" t="s">
        <v>3609</v>
      </c>
      <c r="T9" s="162">
        <v>36</v>
      </c>
      <c r="U9" s="162" t="s">
        <v>2151</v>
      </c>
      <c r="V9" s="162" t="s">
        <v>5482</v>
      </c>
      <c r="W9" s="162" t="s">
        <v>5483</v>
      </c>
      <c r="X9" s="162" t="s">
        <v>2122</v>
      </c>
      <c r="Y9" s="162" t="s">
        <v>2634</v>
      </c>
      <c r="Z9" s="162" t="s">
        <v>3610</v>
      </c>
      <c r="AA9" s="162" t="s">
        <v>2122</v>
      </c>
      <c r="AB9" s="162" t="s">
        <v>34</v>
      </c>
      <c r="AC9" s="162" t="s">
        <v>2123</v>
      </c>
      <c r="AD9" s="162" t="s">
        <v>2124</v>
      </c>
      <c r="AE9" s="162" t="s">
        <v>1758</v>
      </c>
      <c r="AF9" s="162">
        <v>2.5</v>
      </c>
      <c r="AG9" s="162">
        <v>0</v>
      </c>
      <c r="AH9" s="162">
        <v>10</v>
      </c>
      <c r="AI9" s="162" t="s">
        <v>3958</v>
      </c>
      <c r="AJ9" s="162" t="s">
        <v>3959</v>
      </c>
      <c r="AK9" s="162" t="s">
        <v>2125</v>
      </c>
      <c r="AL9" s="162" t="s">
        <v>34</v>
      </c>
      <c r="AM9" t="s">
        <v>4803</v>
      </c>
      <c r="AN9" s="478">
        <v>0</v>
      </c>
      <c r="AO9" s="478">
        <v>0</v>
      </c>
      <c r="CE9" s="462"/>
      <c r="CF9" t="e">
        <f t="shared" si="0"/>
        <v>#N/A</v>
      </c>
      <c r="CG9" s="462" t="s">
        <v>1883</v>
      </c>
      <c r="CH9" t="str">
        <f t="shared" si="1"/>
        <v/>
      </c>
      <c r="CI9" s="462" t="s">
        <v>1883</v>
      </c>
      <c r="CJ9" s="462" t="s">
        <v>1883</v>
      </c>
    </row>
    <row r="10" spans="1:88" x14ac:dyDescent="0.2">
      <c r="A10">
        <v>9</v>
      </c>
      <c r="B10" s="462" t="s">
        <v>5621</v>
      </c>
      <c r="C10" s="162" t="s">
        <v>1566</v>
      </c>
      <c r="D10" s="162" t="s">
        <v>5630</v>
      </c>
      <c r="E10" s="162" t="s">
        <v>2082</v>
      </c>
      <c r="F10" s="162" t="s">
        <v>2038</v>
      </c>
      <c r="G10" s="162" t="s">
        <v>34</v>
      </c>
      <c r="H10" s="162" t="s">
        <v>2128</v>
      </c>
      <c r="I10" s="162" t="s">
        <v>5651</v>
      </c>
      <c r="J10" s="162" t="s">
        <v>1764</v>
      </c>
      <c r="K10" s="162" t="s">
        <v>2132</v>
      </c>
      <c r="L10" s="162" t="s">
        <v>3626</v>
      </c>
      <c r="M10" s="162">
        <v>633775</v>
      </c>
      <c r="N10" s="162" t="s">
        <v>1566</v>
      </c>
      <c r="O10" s="162" t="s">
        <v>2399</v>
      </c>
      <c r="P10" s="162" t="s">
        <v>5484</v>
      </c>
      <c r="Q10" s="162" t="s">
        <v>2120</v>
      </c>
      <c r="R10" s="162" t="s">
        <v>2222</v>
      </c>
      <c r="S10" s="162" t="s">
        <v>3627</v>
      </c>
      <c r="T10" s="162">
        <v>0.99</v>
      </c>
      <c r="U10" s="162" t="s">
        <v>2151</v>
      </c>
      <c r="V10" s="162" t="s">
        <v>3628</v>
      </c>
      <c r="W10" s="162" t="s">
        <v>109</v>
      </c>
      <c r="X10" s="162" t="s">
        <v>2738</v>
      </c>
      <c r="Y10" s="162" t="s">
        <v>2634</v>
      </c>
      <c r="Z10" s="162" t="s">
        <v>3629</v>
      </c>
      <c r="AA10" s="162" t="s">
        <v>2122</v>
      </c>
      <c r="AB10" s="162" t="s">
        <v>3630</v>
      </c>
      <c r="AC10" s="162" t="s">
        <v>2123</v>
      </c>
      <c r="AD10" s="162" t="s">
        <v>2124</v>
      </c>
      <c r="AE10" s="162" t="s">
        <v>1758</v>
      </c>
      <c r="AF10" s="162" t="s">
        <v>3347</v>
      </c>
      <c r="AG10" s="162" t="s">
        <v>34</v>
      </c>
      <c r="AH10" s="162" t="s">
        <v>34</v>
      </c>
      <c r="AI10" s="162" t="s">
        <v>34</v>
      </c>
      <c r="AJ10" s="162" t="s">
        <v>34</v>
      </c>
      <c r="AK10" s="162" t="s">
        <v>2125</v>
      </c>
      <c r="AL10" s="162" t="s">
        <v>34</v>
      </c>
      <c r="AM10" t="s">
        <v>4803</v>
      </c>
      <c r="AN10" s="478">
        <v>0</v>
      </c>
      <c r="AO10" s="478">
        <v>0</v>
      </c>
      <c r="CE10" s="462"/>
      <c r="CF10" t="e">
        <f t="shared" si="0"/>
        <v>#N/A</v>
      </c>
      <c r="CG10" s="462" t="s">
        <v>870</v>
      </c>
      <c r="CH10" t="str">
        <f t="shared" si="1"/>
        <v/>
      </c>
      <c r="CI10" s="462" t="s">
        <v>870</v>
      </c>
      <c r="CJ10" s="462" t="s">
        <v>870</v>
      </c>
    </row>
    <row r="11" spans="1:88" x14ac:dyDescent="0.2">
      <c r="A11">
        <v>10</v>
      </c>
      <c r="B11" s="462" t="s">
        <v>5621</v>
      </c>
      <c r="C11" s="162" t="s">
        <v>1840</v>
      </c>
      <c r="D11" s="162" t="s">
        <v>5631</v>
      </c>
      <c r="E11" s="162" t="s">
        <v>2082</v>
      </c>
      <c r="F11" s="162" t="s">
        <v>2038</v>
      </c>
      <c r="G11" s="162" t="s">
        <v>34</v>
      </c>
      <c r="H11" s="162" t="s">
        <v>2128</v>
      </c>
      <c r="I11" s="162" t="s">
        <v>5651</v>
      </c>
      <c r="J11" s="162" t="s">
        <v>1764</v>
      </c>
      <c r="K11" s="162" t="s">
        <v>3325</v>
      </c>
      <c r="L11" s="162" t="s">
        <v>3587</v>
      </c>
      <c r="M11" s="162">
        <v>330692</v>
      </c>
      <c r="N11" s="162" t="s">
        <v>1840</v>
      </c>
      <c r="O11" s="162" t="s">
        <v>2399</v>
      </c>
      <c r="P11" s="162" t="s">
        <v>3608</v>
      </c>
      <c r="Q11" s="162" t="s">
        <v>2120</v>
      </c>
      <c r="R11" s="162" t="s">
        <v>2222</v>
      </c>
      <c r="S11" s="162" t="s">
        <v>2786</v>
      </c>
      <c r="T11" s="162">
        <v>8</v>
      </c>
      <c r="U11" s="162" t="s">
        <v>2151</v>
      </c>
      <c r="V11" s="162" t="s">
        <v>3588</v>
      </c>
      <c r="W11" s="162" t="s">
        <v>3589</v>
      </c>
      <c r="X11" s="162" t="s">
        <v>2122</v>
      </c>
      <c r="Y11" s="162" t="s">
        <v>2794</v>
      </c>
      <c r="Z11" s="162" t="s">
        <v>5039</v>
      </c>
      <c r="AA11" s="162" t="s">
        <v>2122</v>
      </c>
      <c r="AB11" s="162" t="s">
        <v>3590</v>
      </c>
      <c r="AC11" s="162" t="s">
        <v>2123</v>
      </c>
      <c r="AD11" s="162" t="s">
        <v>2124</v>
      </c>
      <c r="AE11" s="162" t="s">
        <v>1758</v>
      </c>
      <c r="AF11" s="162">
        <v>100</v>
      </c>
      <c r="AG11" s="162">
        <v>0.1</v>
      </c>
      <c r="AH11" s="162">
        <v>0</v>
      </c>
      <c r="AI11" s="162" t="s">
        <v>3953</v>
      </c>
      <c r="AJ11" s="162" t="s">
        <v>34</v>
      </c>
      <c r="AK11" s="162" t="s">
        <v>2125</v>
      </c>
      <c r="AL11" s="162" t="s">
        <v>34</v>
      </c>
      <c r="AM11" t="s">
        <v>4803</v>
      </c>
      <c r="AN11" s="478">
        <v>0</v>
      </c>
      <c r="AO11" s="478">
        <v>0</v>
      </c>
      <c r="CE11" s="462"/>
      <c r="CF11" t="e">
        <f t="shared" si="0"/>
        <v>#N/A</v>
      </c>
      <c r="CG11" s="462" t="s">
        <v>882</v>
      </c>
      <c r="CH11" t="str">
        <f t="shared" si="1"/>
        <v/>
      </c>
      <c r="CI11" s="462" t="s">
        <v>882</v>
      </c>
      <c r="CJ11" s="462" t="s">
        <v>882</v>
      </c>
    </row>
    <row r="12" spans="1:88" x14ac:dyDescent="0.2">
      <c r="A12">
        <v>11</v>
      </c>
      <c r="B12" s="462" t="s">
        <v>5621</v>
      </c>
      <c r="C12" s="162" t="s">
        <v>1994</v>
      </c>
      <c r="D12" s="162" t="s">
        <v>5632</v>
      </c>
      <c r="E12" s="162" t="s">
        <v>2082</v>
      </c>
      <c r="F12" s="162" t="s">
        <v>2038</v>
      </c>
      <c r="G12" s="162" t="s">
        <v>34</v>
      </c>
      <c r="H12" s="162" t="s">
        <v>2128</v>
      </c>
      <c r="I12" s="162" t="s">
        <v>5651</v>
      </c>
      <c r="J12" s="162" t="s">
        <v>1764</v>
      </c>
      <c r="K12" s="162" t="s">
        <v>1238</v>
      </c>
      <c r="L12" s="162" t="s">
        <v>3591</v>
      </c>
      <c r="M12" s="162">
        <v>166006</v>
      </c>
      <c r="N12" s="162" t="s">
        <v>1994</v>
      </c>
      <c r="O12" s="162" t="s">
        <v>2399</v>
      </c>
      <c r="P12" s="162" t="s">
        <v>2186</v>
      </c>
      <c r="Q12" s="162" t="s">
        <v>2126</v>
      </c>
      <c r="R12" s="162" t="s">
        <v>2185</v>
      </c>
      <c r="S12" s="162" t="s">
        <v>3592</v>
      </c>
      <c r="T12" s="162">
        <v>45.3</v>
      </c>
      <c r="U12" s="162" t="s">
        <v>2151</v>
      </c>
      <c r="V12" s="162" t="s">
        <v>3593</v>
      </c>
      <c r="W12" s="162" t="s">
        <v>3594</v>
      </c>
      <c r="X12" s="162" t="s">
        <v>2122</v>
      </c>
      <c r="Y12" s="162" t="s">
        <v>109</v>
      </c>
      <c r="Z12" s="162" t="s">
        <v>109</v>
      </c>
      <c r="AA12" s="162" t="s">
        <v>109</v>
      </c>
      <c r="AB12" s="162" t="s">
        <v>34</v>
      </c>
      <c r="AC12" s="162" t="s">
        <v>2123</v>
      </c>
      <c r="AD12" s="162" t="s">
        <v>2124</v>
      </c>
      <c r="AE12" s="162" t="s">
        <v>1758</v>
      </c>
      <c r="AF12" s="162" t="s">
        <v>3347</v>
      </c>
      <c r="AG12" s="162" t="s">
        <v>34</v>
      </c>
      <c r="AH12" s="162" t="s">
        <v>34</v>
      </c>
      <c r="AI12" s="162" t="s">
        <v>34</v>
      </c>
      <c r="AJ12" s="162" t="s">
        <v>34</v>
      </c>
      <c r="AK12" s="162" t="s">
        <v>2125</v>
      </c>
      <c r="AL12" s="162" t="s">
        <v>34</v>
      </c>
      <c r="AM12" t="s">
        <v>4803</v>
      </c>
      <c r="AN12" s="478">
        <v>0</v>
      </c>
      <c r="AO12" s="478">
        <v>0</v>
      </c>
      <c r="CE12" s="462"/>
      <c r="CF12" t="e">
        <f t="shared" si="0"/>
        <v>#N/A</v>
      </c>
      <c r="CG12" s="462" t="s">
        <v>902</v>
      </c>
      <c r="CH12" t="str">
        <f t="shared" si="1"/>
        <v/>
      </c>
      <c r="CI12" s="462" t="s">
        <v>902</v>
      </c>
      <c r="CJ12" s="462" t="s">
        <v>902</v>
      </c>
    </row>
    <row r="13" spans="1:88" x14ac:dyDescent="0.2">
      <c r="A13">
        <v>12</v>
      </c>
      <c r="B13" s="462" t="s">
        <v>5621</v>
      </c>
      <c r="C13" s="162" t="s">
        <v>4465</v>
      </c>
      <c r="D13" s="162" t="s">
        <v>5633</v>
      </c>
      <c r="E13" s="162" t="s">
        <v>2082</v>
      </c>
      <c r="F13" s="162" t="s">
        <v>2038</v>
      </c>
      <c r="G13" s="162" t="s">
        <v>34</v>
      </c>
      <c r="H13" s="162" t="s">
        <v>2128</v>
      </c>
      <c r="I13" s="162" t="s">
        <v>5045</v>
      </c>
      <c r="J13" s="162" t="s">
        <v>1764</v>
      </c>
      <c r="K13" s="162" t="s">
        <v>4465</v>
      </c>
      <c r="L13" s="162" t="s">
        <v>4466</v>
      </c>
      <c r="M13" s="162" t="s">
        <v>4467</v>
      </c>
      <c r="N13" s="162" t="s">
        <v>4465</v>
      </c>
      <c r="O13" s="162" t="s">
        <v>2399</v>
      </c>
      <c r="P13" s="162" t="s">
        <v>2522</v>
      </c>
      <c r="Q13" s="162" t="s">
        <v>4468</v>
      </c>
      <c r="R13" s="162" t="s">
        <v>2185</v>
      </c>
      <c r="S13" s="162" t="s">
        <v>4469</v>
      </c>
      <c r="T13" s="162">
        <v>83.3</v>
      </c>
      <c r="U13" s="162" t="s">
        <v>2151</v>
      </c>
      <c r="V13" s="162" t="s">
        <v>2760</v>
      </c>
      <c r="W13" s="162" t="s">
        <v>4470</v>
      </c>
      <c r="X13" s="162" t="s">
        <v>2122</v>
      </c>
      <c r="Y13" s="162" t="s">
        <v>2634</v>
      </c>
      <c r="Z13" s="162" t="s">
        <v>4471</v>
      </c>
      <c r="AA13" s="162" t="s">
        <v>2122</v>
      </c>
      <c r="AB13" s="162" t="s">
        <v>34</v>
      </c>
      <c r="AC13" s="162" t="s">
        <v>2123</v>
      </c>
      <c r="AD13" s="162" t="s">
        <v>2124</v>
      </c>
      <c r="AE13" s="162" t="s">
        <v>1758</v>
      </c>
      <c r="AF13" s="162">
        <v>10</v>
      </c>
      <c r="AG13" s="162">
        <v>235</v>
      </c>
      <c r="AH13" s="162">
        <v>5</v>
      </c>
      <c r="AI13" s="162" t="s">
        <v>34</v>
      </c>
      <c r="AJ13" s="162" t="s">
        <v>34</v>
      </c>
      <c r="AK13" s="162" t="s">
        <v>2125</v>
      </c>
      <c r="AL13" s="162" t="s">
        <v>34</v>
      </c>
      <c r="AM13" t="s">
        <v>4803</v>
      </c>
      <c r="AN13" s="478">
        <v>0</v>
      </c>
      <c r="AO13" s="478">
        <v>0</v>
      </c>
      <c r="CE13" s="462"/>
      <c r="CF13" t="e">
        <f t="shared" si="0"/>
        <v>#N/A</v>
      </c>
      <c r="CG13" s="462" t="s">
        <v>908</v>
      </c>
      <c r="CH13" t="str">
        <f t="shared" si="1"/>
        <v/>
      </c>
      <c r="CI13" s="462" t="s">
        <v>908</v>
      </c>
      <c r="CJ13" s="462" t="s">
        <v>908</v>
      </c>
    </row>
    <row r="14" spans="1:88" x14ac:dyDescent="0.2">
      <c r="A14">
        <v>13</v>
      </c>
      <c r="B14" s="462" t="s">
        <v>5621</v>
      </c>
      <c r="C14" s="162" t="s">
        <v>4677</v>
      </c>
      <c r="D14" s="162" t="s">
        <v>5633</v>
      </c>
      <c r="E14" s="162" t="s">
        <v>2082</v>
      </c>
      <c r="F14" s="162" t="s">
        <v>2038</v>
      </c>
      <c r="G14" s="162" t="s">
        <v>34</v>
      </c>
      <c r="H14" s="162" t="s">
        <v>2128</v>
      </c>
      <c r="I14" s="162" t="s">
        <v>5651</v>
      </c>
      <c r="J14" s="162" t="s">
        <v>1764</v>
      </c>
      <c r="K14" s="162" t="s">
        <v>1238</v>
      </c>
      <c r="L14" s="162" t="s">
        <v>3347</v>
      </c>
      <c r="M14" s="162" t="s">
        <v>4677</v>
      </c>
      <c r="N14" s="162" t="s">
        <v>4677</v>
      </c>
      <c r="O14" s="162" t="s">
        <v>2399</v>
      </c>
      <c r="P14" s="162" t="s">
        <v>2186</v>
      </c>
      <c r="Q14" s="162" t="s">
        <v>2126</v>
      </c>
      <c r="R14" s="162" t="s">
        <v>2121</v>
      </c>
      <c r="S14" s="162" t="s">
        <v>3596</v>
      </c>
      <c r="T14" s="162">
        <v>27</v>
      </c>
      <c r="U14" s="162" t="s">
        <v>2151</v>
      </c>
      <c r="V14" s="162" t="s">
        <v>4678</v>
      </c>
      <c r="W14" s="162" t="s">
        <v>4679</v>
      </c>
      <c r="X14" s="162" t="s">
        <v>2122</v>
      </c>
      <c r="Y14" s="162" t="s">
        <v>109</v>
      </c>
      <c r="Z14" s="162" t="s">
        <v>109</v>
      </c>
      <c r="AA14" s="162" t="s">
        <v>109</v>
      </c>
      <c r="AB14" s="162" t="s">
        <v>34</v>
      </c>
      <c r="AC14" s="162" t="s">
        <v>2123</v>
      </c>
      <c r="AD14" s="162" t="s">
        <v>2124</v>
      </c>
      <c r="AE14" s="162" t="s">
        <v>1758</v>
      </c>
      <c r="AF14" s="162" t="s">
        <v>3347</v>
      </c>
      <c r="AG14" s="162" t="s">
        <v>34</v>
      </c>
      <c r="AH14" s="162" t="s">
        <v>34</v>
      </c>
      <c r="AI14" s="162" t="s">
        <v>34</v>
      </c>
      <c r="AJ14" s="162" t="s">
        <v>34</v>
      </c>
      <c r="AK14" s="162" t="s">
        <v>2125</v>
      </c>
      <c r="AL14" s="162" t="s">
        <v>34</v>
      </c>
      <c r="AM14" t="s">
        <v>4803</v>
      </c>
      <c r="AN14" s="478">
        <v>0</v>
      </c>
      <c r="AO14" s="478">
        <v>0</v>
      </c>
      <c r="CE14" s="462"/>
      <c r="CF14" t="e">
        <f t="shared" si="0"/>
        <v>#N/A</v>
      </c>
      <c r="CG14" s="462" t="s">
        <v>917</v>
      </c>
      <c r="CH14" t="str">
        <f t="shared" si="1"/>
        <v/>
      </c>
      <c r="CI14" s="462" t="s">
        <v>958</v>
      </c>
      <c r="CJ14" s="462" t="s">
        <v>958</v>
      </c>
    </row>
    <row r="15" spans="1:88" x14ac:dyDescent="0.2">
      <c r="A15">
        <v>14</v>
      </c>
      <c r="B15" s="462" t="s">
        <v>5621</v>
      </c>
      <c r="C15" s="162" t="s">
        <v>1570</v>
      </c>
      <c r="D15" s="162" t="s">
        <v>5634</v>
      </c>
      <c r="E15" s="162" t="s">
        <v>2082</v>
      </c>
      <c r="F15" s="162" t="s">
        <v>2038</v>
      </c>
      <c r="G15" s="162" t="s">
        <v>34</v>
      </c>
      <c r="H15" s="162" t="s">
        <v>2128</v>
      </c>
      <c r="I15" s="162" t="s">
        <v>5651</v>
      </c>
      <c r="J15" s="162" t="s">
        <v>1764</v>
      </c>
      <c r="K15" s="162" t="s">
        <v>1450</v>
      </c>
      <c r="L15" s="162" t="s">
        <v>3617</v>
      </c>
      <c r="M15" s="162">
        <v>313256</v>
      </c>
      <c r="N15" s="162" t="s">
        <v>1570</v>
      </c>
      <c r="O15" s="162" t="s">
        <v>2399</v>
      </c>
      <c r="P15" s="162" t="s">
        <v>2788</v>
      </c>
      <c r="Q15" s="162" t="s">
        <v>2204</v>
      </c>
      <c r="R15" s="162" t="s">
        <v>2121</v>
      </c>
      <c r="S15" s="162" t="s">
        <v>3596</v>
      </c>
      <c r="T15" s="162">
        <v>27</v>
      </c>
      <c r="U15" s="162" t="s">
        <v>2151</v>
      </c>
      <c r="V15" s="162" t="s">
        <v>3620</v>
      </c>
      <c r="W15" s="162">
        <v>7142003043</v>
      </c>
      <c r="X15" s="162" t="s">
        <v>2122</v>
      </c>
      <c r="Y15" s="162" t="s">
        <v>2634</v>
      </c>
      <c r="Z15" s="162" t="s">
        <v>4997</v>
      </c>
      <c r="AA15" s="162" t="s">
        <v>2122</v>
      </c>
      <c r="AB15" s="162" t="s">
        <v>34</v>
      </c>
      <c r="AC15" s="162" t="s">
        <v>2123</v>
      </c>
      <c r="AD15" s="162" t="s">
        <v>2124</v>
      </c>
      <c r="AE15" s="162" t="s">
        <v>1758</v>
      </c>
      <c r="AF15" s="162">
        <v>3</v>
      </c>
      <c r="AG15" s="162">
        <v>0.43</v>
      </c>
      <c r="AH15" s="162">
        <v>2</v>
      </c>
      <c r="AI15" s="162" t="s">
        <v>4998</v>
      </c>
      <c r="AJ15" s="162" t="s">
        <v>3961</v>
      </c>
      <c r="AK15" s="162" t="s">
        <v>2125</v>
      </c>
      <c r="AL15" s="162" t="s">
        <v>34</v>
      </c>
      <c r="AM15" t="s">
        <v>4803</v>
      </c>
      <c r="AN15" s="478">
        <v>0</v>
      </c>
      <c r="AO15" s="478">
        <v>0</v>
      </c>
      <c r="CE15" s="462"/>
      <c r="CF15" t="e">
        <f t="shared" si="0"/>
        <v>#N/A</v>
      </c>
      <c r="CG15" s="462" t="s">
        <v>958</v>
      </c>
      <c r="CH15" t="str">
        <f t="shared" si="1"/>
        <v/>
      </c>
      <c r="CI15" s="462" t="s">
        <v>987</v>
      </c>
      <c r="CJ15" s="462" t="s">
        <v>987</v>
      </c>
    </row>
    <row r="16" spans="1:88" x14ac:dyDescent="0.2">
      <c r="A16">
        <v>15</v>
      </c>
      <c r="B16" s="462" t="s">
        <v>5621</v>
      </c>
      <c r="C16" s="162" t="s">
        <v>1572</v>
      </c>
      <c r="D16" s="162" t="s">
        <v>5635</v>
      </c>
      <c r="E16" s="162" t="s">
        <v>2082</v>
      </c>
      <c r="F16" s="162" t="s">
        <v>2038</v>
      </c>
      <c r="G16" s="162" t="s">
        <v>34</v>
      </c>
      <c r="H16" s="162" t="s">
        <v>2128</v>
      </c>
      <c r="I16" s="162" t="s">
        <v>5651</v>
      </c>
      <c r="J16" s="162" t="s">
        <v>1764</v>
      </c>
      <c r="K16" s="162" t="s">
        <v>1450</v>
      </c>
      <c r="L16" s="162" t="s">
        <v>3617</v>
      </c>
      <c r="M16" s="162">
        <v>313459</v>
      </c>
      <c r="N16" s="162" t="s">
        <v>1572</v>
      </c>
      <c r="O16" s="162" t="s">
        <v>2399</v>
      </c>
      <c r="P16" s="162" t="s">
        <v>2522</v>
      </c>
      <c r="Q16" s="162" t="s">
        <v>2120</v>
      </c>
      <c r="R16" s="162" t="s">
        <v>2121</v>
      </c>
      <c r="S16" s="162" t="s">
        <v>3596</v>
      </c>
      <c r="T16" s="162">
        <v>27</v>
      </c>
      <c r="U16" s="162" t="s">
        <v>2151</v>
      </c>
      <c r="V16" s="162" t="s">
        <v>3618</v>
      </c>
      <c r="W16" s="162" t="s">
        <v>3619</v>
      </c>
      <c r="X16" s="162" t="s">
        <v>2122</v>
      </c>
      <c r="Y16" s="162" t="s">
        <v>109</v>
      </c>
      <c r="Z16" s="162" t="s">
        <v>109</v>
      </c>
      <c r="AA16" s="162" t="s">
        <v>109</v>
      </c>
      <c r="AB16" s="162" t="s">
        <v>34</v>
      </c>
      <c r="AC16" s="162" t="s">
        <v>2123</v>
      </c>
      <c r="AD16" s="162" t="s">
        <v>2124</v>
      </c>
      <c r="AE16" s="162" t="s">
        <v>1758</v>
      </c>
      <c r="AF16" s="162">
        <v>1</v>
      </c>
      <c r="AG16" s="162">
        <v>0.1</v>
      </c>
      <c r="AH16" s="162">
        <v>1.1100000000000001</v>
      </c>
      <c r="AI16" s="162" t="s">
        <v>3953</v>
      </c>
      <c r="AJ16" s="162" t="s">
        <v>34</v>
      </c>
      <c r="AK16" s="162" t="s">
        <v>2125</v>
      </c>
      <c r="AL16" s="162" t="s">
        <v>34</v>
      </c>
      <c r="AM16" t="s">
        <v>4803</v>
      </c>
      <c r="AN16" s="478">
        <v>0</v>
      </c>
      <c r="AO16" s="478">
        <v>0</v>
      </c>
      <c r="CE16" s="462"/>
      <c r="CF16" t="e">
        <f t="shared" si="0"/>
        <v>#N/A</v>
      </c>
      <c r="CG16" s="462" t="s">
        <v>987</v>
      </c>
      <c r="CH16" t="str">
        <f t="shared" si="1"/>
        <v/>
      </c>
      <c r="CI16" s="462" t="s">
        <v>333</v>
      </c>
      <c r="CJ16" s="462" t="s">
        <v>333</v>
      </c>
    </row>
    <row r="17" spans="1:88" x14ac:dyDescent="0.2">
      <c r="A17">
        <v>16</v>
      </c>
      <c r="B17" s="462" t="s">
        <v>1880</v>
      </c>
      <c r="C17" s="162" t="s">
        <v>1831</v>
      </c>
      <c r="D17" s="162" t="s">
        <v>3975</v>
      </c>
      <c r="E17" s="162" t="s">
        <v>2005</v>
      </c>
      <c r="F17" s="162" t="s">
        <v>2004</v>
      </c>
      <c r="G17" s="162" t="s">
        <v>34</v>
      </c>
      <c r="H17" s="162" t="s">
        <v>2128</v>
      </c>
      <c r="I17" s="162" t="s">
        <v>5045</v>
      </c>
      <c r="J17" s="162" t="s">
        <v>2116</v>
      </c>
      <c r="K17" s="162" t="s">
        <v>2132</v>
      </c>
      <c r="L17" s="162" t="s">
        <v>2193</v>
      </c>
      <c r="M17" s="162">
        <v>8418.1111000000001</v>
      </c>
      <c r="N17" s="162" t="s">
        <v>1831</v>
      </c>
      <c r="O17" s="162" t="s">
        <v>904</v>
      </c>
      <c r="P17" s="162" t="s">
        <v>2194</v>
      </c>
      <c r="Q17" s="162" t="s">
        <v>4861</v>
      </c>
      <c r="R17" s="162" t="s">
        <v>2121</v>
      </c>
      <c r="S17" s="162" t="s">
        <v>2195</v>
      </c>
      <c r="T17" s="162">
        <v>2.4</v>
      </c>
      <c r="U17" s="162" t="s">
        <v>2151</v>
      </c>
      <c r="V17" s="162" t="s">
        <v>2196</v>
      </c>
      <c r="W17" s="162">
        <v>8418.1111000000001</v>
      </c>
      <c r="X17" s="162" t="s">
        <v>4862</v>
      </c>
      <c r="Y17" s="162" t="s">
        <v>2196</v>
      </c>
      <c r="Z17" s="162">
        <v>8418.1111000000001</v>
      </c>
      <c r="AA17" s="162" t="s">
        <v>4862</v>
      </c>
      <c r="AB17" s="162" t="s">
        <v>2192</v>
      </c>
      <c r="AC17" s="162" t="s">
        <v>2123</v>
      </c>
      <c r="AD17" s="162" t="s">
        <v>2124</v>
      </c>
      <c r="AE17" s="162" t="s">
        <v>1758</v>
      </c>
      <c r="AF17" s="162" t="s">
        <v>3347</v>
      </c>
      <c r="AG17" s="162" t="s">
        <v>34</v>
      </c>
      <c r="AH17" s="162" t="s">
        <v>34</v>
      </c>
      <c r="AI17" s="162" t="s">
        <v>34</v>
      </c>
      <c r="AJ17" s="162" t="s">
        <v>34</v>
      </c>
      <c r="AK17" s="162" t="s">
        <v>2125</v>
      </c>
      <c r="AL17" s="162" t="s">
        <v>34</v>
      </c>
      <c r="AM17" t="s">
        <v>4803</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3976</v>
      </c>
      <c r="E18" s="162" t="s">
        <v>2006</v>
      </c>
      <c r="F18" s="162" t="s">
        <v>2004</v>
      </c>
      <c r="G18" s="162" t="s">
        <v>34</v>
      </c>
      <c r="H18" s="162" t="s">
        <v>2128</v>
      </c>
      <c r="I18" s="162" t="s">
        <v>5651</v>
      </c>
      <c r="J18" s="162" t="s">
        <v>1764</v>
      </c>
      <c r="K18" s="162" t="s">
        <v>1060</v>
      </c>
      <c r="L18" s="162" t="s">
        <v>2197</v>
      </c>
      <c r="M18" s="162" t="s">
        <v>109</v>
      </c>
      <c r="N18" s="162" t="s">
        <v>851</v>
      </c>
      <c r="O18" s="162" t="s">
        <v>904</v>
      </c>
      <c r="P18" s="162" t="s">
        <v>2198</v>
      </c>
      <c r="Q18" s="162" t="s">
        <v>4861</v>
      </c>
      <c r="R18" s="162" t="s">
        <v>2121</v>
      </c>
      <c r="S18" s="162" t="s">
        <v>2199</v>
      </c>
      <c r="T18" s="162">
        <v>14.6</v>
      </c>
      <c r="U18" s="162" t="s">
        <v>1947</v>
      </c>
      <c r="V18" s="162" t="s">
        <v>2200</v>
      </c>
      <c r="W18" s="162" t="s">
        <v>109</v>
      </c>
      <c r="X18" s="162" t="s">
        <v>4862</v>
      </c>
      <c r="Y18" s="162" t="s">
        <v>109</v>
      </c>
      <c r="Z18" s="162" t="s">
        <v>109</v>
      </c>
      <c r="AA18" s="162" t="s">
        <v>109</v>
      </c>
      <c r="AB18" s="162" t="s">
        <v>4377</v>
      </c>
      <c r="AC18" s="162" t="s">
        <v>2123</v>
      </c>
      <c r="AD18" s="162" t="s">
        <v>2124</v>
      </c>
      <c r="AE18" s="162" t="s">
        <v>1758</v>
      </c>
      <c r="AF18" s="162" t="s">
        <v>3347</v>
      </c>
      <c r="AG18" s="162" t="s">
        <v>34</v>
      </c>
      <c r="AH18" s="162" t="s">
        <v>34</v>
      </c>
      <c r="AI18" s="162" t="s">
        <v>34</v>
      </c>
      <c r="AJ18" s="162" t="s">
        <v>34</v>
      </c>
      <c r="AK18" s="162" t="s">
        <v>2125</v>
      </c>
      <c r="AL18" s="162" t="s">
        <v>34</v>
      </c>
      <c r="AM18" t="s">
        <v>4803</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3977</v>
      </c>
      <c r="E19" s="162" t="s">
        <v>2006</v>
      </c>
      <c r="F19" s="162" t="s">
        <v>2004</v>
      </c>
      <c r="G19" s="162" t="s">
        <v>34</v>
      </c>
      <c r="H19" s="162" t="s">
        <v>2128</v>
      </c>
      <c r="I19" s="162" t="s">
        <v>5651</v>
      </c>
      <c r="J19" s="162" t="s">
        <v>2116</v>
      </c>
      <c r="K19" s="162" t="s">
        <v>1060</v>
      </c>
      <c r="L19" s="162" t="s">
        <v>2202</v>
      </c>
      <c r="M19" s="162">
        <v>78863</v>
      </c>
      <c r="N19" s="162" t="s">
        <v>817</v>
      </c>
      <c r="O19" s="162" t="s">
        <v>5652</v>
      </c>
      <c r="P19" s="162" t="s">
        <v>2203</v>
      </c>
      <c r="Q19" s="162" t="s">
        <v>4863</v>
      </c>
      <c r="R19" s="162" t="s">
        <v>2121</v>
      </c>
      <c r="S19" s="162" t="s">
        <v>2205</v>
      </c>
      <c r="T19" s="162">
        <v>63.9</v>
      </c>
      <c r="U19" s="162" t="s">
        <v>2150</v>
      </c>
      <c r="V19" s="162" t="s">
        <v>2206</v>
      </c>
      <c r="W19" s="162" t="s">
        <v>2207</v>
      </c>
      <c r="X19" s="162" t="s">
        <v>4864</v>
      </c>
      <c r="Y19" s="162" t="s">
        <v>2208</v>
      </c>
      <c r="Z19" s="162" t="s">
        <v>2209</v>
      </c>
      <c r="AA19" s="162" t="s">
        <v>4864</v>
      </c>
      <c r="AB19" s="162" t="s">
        <v>34</v>
      </c>
      <c r="AC19" s="162" t="s">
        <v>2123</v>
      </c>
      <c r="AD19" s="162" t="s">
        <v>2124</v>
      </c>
      <c r="AE19" s="162" t="s">
        <v>1758</v>
      </c>
      <c r="AF19" s="162">
        <v>3.4</v>
      </c>
      <c r="AG19" s="162">
        <v>67</v>
      </c>
      <c r="AH19" s="162" t="s">
        <v>5217</v>
      </c>
      <c r="AI19" s="162" t="s">
        <v>34</v>
      </c>
      <c r="AJ19" s="162" t="s">
        <v>34</v>
      </c>
      <c r="AK19" s="162" t="s">
        <v>2125</v>
      </c>
      <c r="AL19" s="162" t="s">
        <v>34</v>
      </c>
      <c r="AM19" t="s">
        <v>4803</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1948</v>
      </c>
      <c r="D20" s="162" t="s">
        <v>3978</v>
      </c>
      <c r="E20" s="162" t="s">
        <v>2007</v>
      </c>
      <c r="F20" s="162" t="s">
        <v>2004</v>
      </c>
      <c r="G20" s="162" t="s">
        <v>34</v>
      </c>
      <c r="H20" s="162" t="s">
        <v>2128</v>
      </c>
      <c r="I20" s="162" t="s">
        <v>5653</v>
      </c>
      <c r="J20" s="162" t="s">
        <v>1764</v>
      </c>
      <c r="K20" s="162" t="s">
        <v>1117</v>
      </c>
      <c r="L20" s="162" t="s">
        <v>2210</v>
      </c>
      <c r="M20" s="162" t="s">
        <v>4396</v>
      </c>
      <c r="N20" s="162" t="s">
        <v>1948</v>
      </c>
      <c r="O20" s="162" t="s">
        <v>904</v>
      </c>
      <c r="P20" s="162" t="s">
        <v>2211</v>
      </c>
      <c r="Q20" s="162" t="s">
        <v>4865</v>
      </c>
      <c r="R20" s="162" t="s">
        <v>2121</v>
      </c>
      <c r="S20" s="162" t="s">
        <v>2212</v>
      </c>
      <c r="T20" s="162">
        <v>2.5</v>
      </c>
      <c r="U20" s="162" t="s">
        <v>1947</v>
      </c>
      <c r="V20" s="162" t="s">
        <v>2213</v>
      </c>
      <c r="W20" s="162">
        <v>41641754</v>
      </c>
      <c r="X20" s="162" t="s">
        <v>4866</v>
      </c>
      <c r="Y20" s="162" t="s">
        <v>109</v>
      </c>
      <c r="Z20" s="162" t="s">
        <v>109</v>
      </c>
      <c r="AA20" s="162" t="s">
        <v>109</v>
      </c>
      <c r="AB20" s="162" t="s">
        <v>2192</v>
      </c>
      <c r="AC20" s="162" t="s">
        <v>2123</v>
      </c>
      <c r="AD20" s="162" t="s">
        <v>2124</v>
      </c>
      <c r="AE20" s="162" t="s">
        <v>1758</v>
      </c>
      <c r="AF20" s="162" t="s">
        <v>3347</v>
      </c>
      <c r="AG20" s="162" t="s">
        <v>34</v>
      </c>
      <c r="AH20" s="162" t="s">
        <v>34</v>
      </c>
      <c r="AI20" s="162" t="s">
        <v>34</v>
      </c>
      <c r="AJ20" s="162" t="s">
        <v>34</v>
      </c>
      <c r="AK20" s="162" t="s">
        <v>2125</v>
      </c>
      <c r="AL20" s="162" t="s">
        <v>34</v>
      </c>
      <c r="AM20" t="s">
        <v>4803</v>
      </c>
      <c r="AN20" s="478">
        <v>0</v>
      </c>
      <c r="AO20" s="478">
        <v>0</v>
      </c>
      <c r="CE20" s="462"/>
      <c r="CF20" t="e">
        <f t="shared" si="0"/>
        <v>#N/A</v>
      </c>
      <c r="CG20" s="462" t="s">
        <v>1051</v>
      </c>
      <c r="CH20" t="str">
        <f t="shared" si="1"/>
        <v/>
      </c>
      <c r="CI20" s="462" t="s">
        <v>1068</v>
      </c>
      <c r="CJ20" s="462" t="s">
        <v>1068</v>
      </c>
    </row>
    <row r="21" spans="1:88" x14ac:dyDescent="0.2">
      <c r="A21">
        <v>20</v>
      </c>
      <c r="B21" s="462" t="s">
        <v>853</v>
      </c>
      <c r="C21" s="162" t="s">
        <v>1950</v>
      </c>
      <c r="D21" s="162" t="s">
        <v>3979</v>
      </c>
      <c r="E21" s="162" t="s">
        <v>2007</v>
      </c>
      <c r="F21" s="162" t="s">
        <v>2004</v>
      </c>
      <c r="G21" s="162" t="s">
        <v>34</v>
      </c>
      <c r="H21" s="162" t="s">
        <v>2128</v>
      </c>
      <c r="I21" s="162" t="s">
        <v>5651</v>
      </c>
      <c r="J21" s="162" t="s">
        <v>1764</v>
      </c>
      <c r="K21" s="162" t="s">
        <v>1117</v>
      </c>
      <c r="L21" s="162" t="s">
        <v>2210</v>
      </c>
      <c r="M21" s="162" t="s">
        <v>4397</v>
      </c>
      <c r="N21" s="162" t="s">
        <v>1950</v>
      </c>
      <c r="O21" s="162" t="s">
        <v>904</v>
      </c>
      <c r="P21" s="162" t="s">
        <v>2211</v>
      </c>
      <c r="Q21" s="162" t="s">
        <v>4865</v>
      </c>
      <c r="R21" s="162" t="s">
        <v>2121</v>
      </c>
      <c r="S21" s="162" t="s">
        <v>2212</v>
      </c>
      <c r="T21" s="162">
        <v>2.5</v>
      </c>
      <c r="U21" s="162" t="s">
        <v>1947</v>
      </c>
      <c r="V21" s="162" t="s">
        <v>2213</v>
      </c>
      <c r="W21" s="162">
        <v>41641755</v>
      </c>
      <c r="X21" s="162" t="s">
        <v>4866</v>
      </c>
      <c r="Y21" s="162" t="s">
        <v>109</v>
      </c>
      <c r="Z21" s="162" t="s">
        <v>109</v>
      </c>
      <c r="AA21" s="162" t="s">
        <v>109</v>
      </c>
      <c r="AB21" s="162" t="s">
        <v>2192</v>
      </c>
      <c r="AC21" s="162" t="s">
        <v>2123</v>
      </c>
      <c r="AD21" s="162" t="s">
        <v>2124</v>
      </c>
      <c r="AE21" s="162" t="s">
        <v>1758</v>
      </c>
      <c r="AF21" s="162" t="s">
        <v>3347</v>
      </c>
      <c r="AG21" s="162" t="s">
        <v>34</v>
      </c>
      <c r="AH21" s="162" t="s">
        <v>34</v>
      </c>
      <c r="AI21" s="162" t="s">
        <v>34</v>
      </c>
      <c r="AJ21" s="162" t="s">
        <v>34</v>
      </c>
      <c r="AK21" s="162" t="s">
        <v>2125</v>
      </c>
      <c r="AL21" s="162" t="s">
        <v>34</v>
      </c>
      <c r="AM21" t="s">
        <v>4803</v>
      </c>
      <c r="AN21" s="478">
        <v>0</v>
      </c>
      <c r="AO21" s="478">
        <v>0</v>
      </c>
      <c r="CE21" s="462"/>
      <c r="CF21" t="e">
        <f t="shared" si="0"/>
        <v>#N/A</v>
      </c>
      <c r="CG21" s="462" t="s">
        <v>1068</v>
      </c>
      <c r="CH21" t="str">
        <f t="shared" si="1"/>
        <v/>
      </c>
      <c r="CI21" s="462" t="s">
        <v>1073</v>
      </c>
      <c r="CJ21" s="462" t="s">
        <v>1073</v>
      </c>
    </row>
    <row r="22" spans="1:88" x14ac:dyDescent="0.2">
      <c r="A22">
        <v>21</v>
      </c>
      <c r="B22" s="462" t="s">
        <v>853</v>
      </c>
      <c r="C22" s="162" t="s">
        <v>857</v>
      </c>
      <c r="D22" s="162" t="s">
        <v>3980</v>
      </c>
      <c r="E22" s="162" t="s">
        <v>2007</v>
      </c>
      <c r="F22" s="162" t="s">
        <v>2004</v>
      </c>
      <c r="G22" s="162" t="s">
        <v>34</v>
      </c>
      <c r="H22" s="162" t="s">
        <v>2128</v>
      </c>
      <c r="I22" s="162" t="s">
        <v>5651</v>
      </c>
      <c r="J22" s="162" t="s">
        <v>1764</v>
      </c>
      <c r="K22" s="162" t="s">
        <v>2214</v>
      </c>
      <c r="L22" s="162" t="s">
        <v>2226</v>
      </c>
      <c r="M22" s="162" t="s">
        <v>857</v>
      </c>
      <c r="N22" s="162" t="s">
        <v>857</v>
      </c>
      <c r="O22" s="162" t="s">
        <v>904</v>
      </c>
      <c r="P22" s="162" t="s">
        <v>2227</v>
      </c>
      <c r="Q22" s="162" t="s">
        <v>4863</v>
      </c>
      <c r="R22" s="162" t="s">
        <v>2222</v>
      </c>
      <c r="S22" s="162" t="s">
        <v>2228</v>
      </c>
      <c r="T22" s="162">
        <v>2</v>
      </c>
      <c r="U22" s="162" t="s">
        <v>1947</v>
      </c>
      <c r="V22" s="162" t="s">
        <v>2229</v>
      </c>
      <c r="W22" s="162" t="s">
        <v>857</v>
      </c>
      <c r="X22" s="162" t="s">
        <v>4867</v>
      </c>
      <c r="Y22" s="162" t="s">
        <v>109</v>
      </c>
      <c r="Z22" s="162" t="s">
        <v>109</v>
      </c>
      <c r="AA22" s="162" t="s">
        <v>109</v>
      </c>
      <c r="AB22" s="162" t="s">
        <v>2231</v>
      </c>
      <c r="AC22" s="162" t="s">
        <v>2123</v>
      </c>
      <c r="AD22" s="162" t="s">
        <v>2124</v>
      </c>
      <c r="AE22" s="162" t="s">
        <v>1758</v>
      </c>
      <c r="AF22" s="162" t="s">
        <v>3347</v>
      </c>
      <c r="AG22" s="162" t="s">
        <v>34</v>
      </c>
      <c r="AH22" s="162" t="s">
        <v>34</v>
      </c>
      <c r="AI22" s="162" t="s">
        <v>34</v>
      </c>
      <c r="AJ22" s="162" t="s">
        <v>34</v>
      </c>
      <c r="AK22" s="162" t="s">
        <v>2125</v>
      </c>
      <c r="AL22" s="162" t="s">
        <v>34</v>
      </c>
      <c r="AM22" t="s">
        <v>4803</v>
      </c>
      <c r="AN22" s="478">
        <v>0</v>
      </c>
      <c r="AO22" s="478">
        <v>0</v>
      </c>
      <c r="CE22" s="462"/>
      <c r="CF22" t="e">
        <f t="shared" si="0"/>
        <v>#N/A</v>
      </c>
      <c r="CG22" s="462" t="s">
        <v>1073</v>
      </c>
      <c r="CH22" t="str">
        <f t="shared" si="1"/>
        <v/>
      </c>
      <c r="CI22" s="462" t="s">
        <v>1655</v>
      </c>
      <c r="CJ22" s="462" t="s">
        <v>1655</v>
      </c>
    </row>
    <row r="23" spans="1:88" x14ac:dyDescent="0.2">
      <c r="A23">
        <v>22</v>
      </c>
      <c r="B23" s="462" t="s">
        <v>853</v>
      </c>
      <c r="C23" s="162" t="s">
        <v>855</v>
      </c>
      <c r="D23" s="162" t="s">
        <v>3981</v>
      </c>
      <c r="E23" s="162" t="s">
        <v>2007</v>
      </c>
      <c r="F23" s="162" t="s">
        <v>2004</v>
      </c>
      <c r="G23" s="162" t="s">
        <v>34</v>
      </c>
      <c r="H23" s="162" t="s">
        <v>2128</v>
      </c>
      <c r="I23" s="162" t="s">
        <v>5651</v>
      </c>
      <c r="J23" s="162" t="s">
        <v>1764</v>
      </c>
      <c r="K23" s="162" t="s">
        <v>2214</v>
      </c>
      <c r="L23" s="162" t="s">
        <v>2220</v>
      </c>
      <c r="M23" s="162" t="s">
        <v>2221</v>
      </c>
      <c r="N23" s="162" t="s">
        <v>855</v>
      </c>
      <c r="O23" s="162" t="s">
        <v>904</v>
      </c>
      <c r="P23" s="162" t="s">
        <v>2216</v>
      </c>
      <c r="Q23" s="162" t="s">
        <v>4863</v>
      </c>
      <c r="R23" s="162" t="s">
        <v>2222</v>
      </c>
      <c r="S23" s="162" t="s">
        <v>2223</v>
      </c>
      <c r="T23" s="162">
        <v>4.8</v>
      </c>
      <c r="U23" s="162" t="s">
        <v>1947</v>
      </c>
      <c r="V23" s="162" t="s">
        <v>2224</v>
      </c>
      <c r="W23" s="162" t="s">
        <v>2225</v>
      </c>
      <c r="X23" s="162" t="s">
        <v>4864</v>
      </c>
      <c r="Y23" s="162" t="s">
        <v>109</v>
      </c>
      <c r="Z23" s="162" t="s">
        <v>109</v>
      </c>
      <c r="AA23" s="162" t="s">
        <v>109</v>
      </c>
      <c r="AB23" s="162" t="s">
        <v>34</v>
      </c>
      <c r="AC23" s="162" t="s">
        <v>2123</v>
      </c>
      <c r="AD23" s="162" t="s">
        <v>2124</v>
      </c>
      <c r="AE23" s="162" t="s">
        <v>1758</v>
      </c>
      <c r="AF23" s="162" t="s">
        <v>3347</v>
      </c>
      <c r="AG23" s="162" t="s">
        <v>34</v>
      </c>
      <c r="AH23" s="162" t="s">
        <v>34</v>
      </c>
      <c r="AI23" s="162" t="s">
        <v>34</v>
      </c>
      <c r="AJ23" s="162" t="s">
        <v>34</v>
      </c>
      <c r="AK23" s="162" t="s">
        <v>2125</v>
      </c>
      <c r="AL23" s="162" t="s">
        <v>34</v>
      </c>
      <c r="AM23" t="s">
        <v>4803</v>
      </c>
      <c r="AN23" s="478">
        <v>0</v>
      </c>
      <c r="AO23" s="478">
        <v>0</v>
      </c>
      <c r="CE23" s="462"/>
      <c r="CF23" t="e">
        <f t="shared" si="0"/>
        <v>#N/A</v>
      </c>
      <c r="CG23" s="462" t="s">
        <v>1655</v>
      </c>
      <c r="CH23" t="str">
        <f t="shared" si="1"/>
        <v/>
      </c>
      <c r="CI23" s="462" t="s">
        <v>1115</v>
      </c>
      <c r="CJ23" s="462" t="s">
        <v>1115</v>
      </c>
    </row>
    <row r="24" spans="1:88" x14ac:dyDescent="0.2">
      <c r="A24">
        <v>23</v>
      </c>
      <c r="B24" s="462" t="s">
        <v>853</v>
      </c>
      <c r="C24" s="162" t="s">
        <v>1952</v>
      </c>
      <c r="D24" s="162" t="s">
        <v>3982</v>
      </c>
      <c r="E24" s="162" t="s">
        <v>2007</v>
      </c>
      <c r="F24" s="162" t="s">
        <v>2004</v>
      </c>
      <c r="G24" s="162" t="s">
        <v>34</v>
      </c>
      <c r="H24" s="162" t="s">
        <v>2128</v>
      </c>
      <c r="I24" s="162" t="s">
        <v>5045</v>
      </c>
      <c r="J24" s="162" t="s">
        <v>1764</v>
      </c>
      <c r="K24" s="162" t="s">
        <v>2214</v>
      </c>
      <c r="L24" s="162" t="s">
        <v>2215</v>
      </c>
      <c r="M24" s="162">
        <v>113316</v>
      </c>
      <c r="N24" s="162" t="s">
        <v>1952</v>
      </c>
      <c r="O24" s="162" t="s">
        <v>904</v>
      </c>
      <c r="P24" s="162" t="s">
        <v>5166</v>
      </c>
      <c r="Q24" s="162" t="s">
        <v>3309</v>
      </c>
      <c r="R24" s="162" t="s">
        <v>2121</v>
      </c>
      <c r="S24" s="162" t="s">
        <v>2217</v>
      </c>
      <c r="T24" s="162">
        <v>4.5</v>
      </c>
      <c r="U24" s="162" t="s">
        <v>1947</v>
      </c>
      <c r="V24" s="162" t="s">
        <v>2218</v>
      </c>
      <c r="W24" s="162">
        <v>113316</v>
      </c>
      <c r="X24" s="162" t="s">
        <v>4330</v>
      </c>
      <c r="Y24" s="162" t="s">
        <v>2218</v>
      </c>
      <c r="Z24" s="162">
        <v>113316</v>
      </c>
      <c r="AA24" s="162" t="s">
        <v>4330</v>
      </c>
      <c r="AB24" s="162" t="s">
        <v>2219</v>
      </c>
      <c r="AC24" s="162" t="s">
        <v>2123</v>
      </c>
      <c r="AD24" s="162" t="s">
        <v>2124</v>
      </c>
      <c r="AE24" s="162" t="s">
        <v>1758</v>
      </c>
      <c r="AF24" s="162" t="s">
        <v>3347</v>
      </c>
      <c r="AG24" s="162" t="s">
        <v>34</v>
      </c>
      <c r="AH24" s="162" t="s">
        <v>34</v>
      </c>
      <c r="AI24" s="162" t="s">
        <v>34</v>
      </c>
      <c r="AJ24" s="162" t="s">
        <v>34</v>
      </c>
      <c r="AK24" s="162" t="s">
        <v>2125</v>
      </c>
      <c r="AL24" s="162" t="s">
        <v>34</v>
      </c>
      <c r="AM24" t="s">
        <v>4803</v>
      </c>
      <c r="AN24" s="478">
        <v>0</v>
      </c>
      <c r="AO24" s="478">
        <v>0</v>
      </c>
      <c r="CE24" s="462"/>
      <c r="CF24" t="e">
        <f t="shared" si="0"/>
        <v>#N/A</v>
      </c>
      <c r="CG24" s="462" t="s">
        <v>1115</v>
      </c>
      <c r="CH24" t="str">
        <f t="shared" si="1"/>
        <v/>
      </c>
      <c r="CI24" s="462" t="s">
        <v>1095</v>
      </c>
      <c r="CJ24" s="462" t="s">
        <v>1095</v>
      </c>
    </row>
    <row r="25" spans="1:88" x14ac:dyDescent="0.2">
      <c r="A25">
        <v>24</v>
      </c>
      <c r="B25" s="462" t="s">
        <v>853</v>
      </c>
      <c r="C25" s="162" t="s">
        <v>4604</v>
      </c>
      <c r="D25" s="162" t="s">
        <v>4605</v>
      </c>
      <c r="E25" s="162" t="s">
        <v>2007</v>
      </c>
      <c r="F25" s="162" t="s">
        <v>2004</v>
      </c>
      <c r="G25" s="162" t="s">
        <v>34</v>
      </c>
      <c r="H25" s="162" t="s">
        <v>2128</v>
      </c>
      <c r="I25" s="162" t="s">
        <v>5651</v>
      </c>
      <c r="J25" s="162" t="s">
        <v>1764</v>
      </c>
      <c r="K25" s="162" t="s">
        <v>4606</v>
      </c>
      <c r="L25" s="162" t="s">
        <v>4607</v>
      </c>
      <c r="M25" s="162">
        <v>2019080326</v>
      </c>
      <c r="N25" s="162" t="s">
        <v>4604</v>
      </c>
      <c r="O25" s="162" t="s">
        <v>904</v>
      </c>
      <c r="P25" s="162" t="s">
        <v>4608</v>
      </c>
      <c r="Q25" s="162" t="s">
        <v>4863</v>
      </c>
      <c r="R25" s="162" t="s">
        <v>2121</v>
      </c>
      <c r="S25" s="162" t="s">
        <v>4964</v>
      </c>
      <c r="T25" s="162">
        <v>0.52</v>
      </c>
      <c r="U25" s="162" t="s">
        <v>1947</v>
      </c>
      <c r="V25" s="162" t="s">
        <v>2218</v>
      </c>
      <c r="W25" s="162" t="s">
        <v>4609</v>
      </c>
      <c r="X25" s="162" t="s">
        <v>4867</v>
      </c>
      <c r="Y25" s="162" t="s">
        <v>109</v>
      </c>
      <c r="Z25" s="162" t="s">
        <v>109</v>
      </c>
      <c r="AA25" s="162" t="s">
        <v>109</v>
      </c>
      <c r="AB25" s="162" t="s">
        <v>3717</v>
      </c>
      <c r="AC25" s="162" t="s">
        <v>2123</v>
      </c>
      <c r="AD25" s="162" t="s">
        <v>2124</v>
      </c>
      <c r="AE25" s="162" t="s">
        <v>1758</v>
      </c>
      <c r="AF25" s="162" t="s">
        <v>3347</v>
      </c>
      <c r="AG25" s="162" t="s">
        <v>34</v>
      </c>
      <c r="AH25" s="162" t="s">
        <v>34</v>
      </c>
      <c r="AI25" s="162" t="s">
        <v>34</v>
      </c>
      <c r="AJ25" s="162" t="s">
        <v>34</v>
      </c>
      <c r="AK25" s="162" t="s">
        <v>2125</v>
      </c>
      <c r="AL25" s="162" t="s">
        <v>34</v>
      </c>
      <c r="AM25" t="s">
        <v>4803</v>
      </c>
      <c r="AN25" s="478">
        <v>0</v>
      </c>
      <c r="AO25" s="478">
        <v>0</v>
      </c>
      <c r="CE25" s="462"/>
      <c r="CF25" t="e">
        <f t="shared" si="0"/>
        <v>#N/A</v>
      </c>
      <c r="CG25" s="462" t="s">
        <v>1095</v>
      </c>
      <c r="CH25" t="str">
        <f t="shared" si="1"/>
        <v/>
      </c>
      <c r="CI25" s="462" t="s">
        <v>1106</v>
      </c>
      <c r="CJ25" s="462" t="s">
        <v>1106</v>
      </c>
    </row>
    <row r="26" spans="1:88" x14ac:dyDescent="0.2">
      <c r="A26">
        <v>25</v>
      </c>
      <c r="B26" s="462" t="s">
        <v>859</v>
      </c>
      <c r="C26" s="162" t="s">
        <v>861</v>
      </c>
      <c r="D26" s="162" t="s">
        <v>3983</v>
      </c>
      <c r="E26" s="162" t="s">
        <v>2232</v>
      </c>
      <c r="F26" s="162" t="s">
        <v>2008</v>
      </c>
      <c r="G26" s="162" t="s">
        <v>34</v>
      </c>
      <c r="H26" s="162" t="s">
        <v>2128</v>
      </c>
      <c r="I26" s="162" t="s">
        <v>5651</v>
      </c>
      <c r="J26" s="162" t="s">
        <v>1764</v>
      </c>
      <c r="K26" s="162" t="s">
        <v>2233</v>
      </c>
      <c r="L26" s="162" t="s">
        <v>2234</v>
      </c>
      <c r="M26" s="540" t="s">
        <v>2241</v>
      </c>
      <c r="N26" s="162" t="s">
        <v>861</v>
      </c>
      <c r="O26" s="162" t="s">
        <v>904</v>
      </c>
      <c r="P26" s="162" t="s">
        <v>2236</v>
      </c>
      <c r="Q26" s="162" t="s">
        <v>4865</v>
      </c>
      <c r="R26" s="162" t="s">
        <v>2237</v>
      </c>
      <c r="S26" s="162" t="s">
        <v>2238</v>
      </c>
      <c r="T26" s="162">
        <v>800</v>
      </c>
      <c r="U26" s="162" t="s">
        <v>1947</v>
      </c>
      <c r="V26" s="162" t="s">
        <v>2239</v>
      </c>
      <c r="W26" s="162" t="s">
        <v>2242</v>
      </c>
      <c r="X26" s="162" t="s">
        <v>4864</v>
      </c>
      <c r="Y26" s="162" t="s">
        <v>109</v>
      </c>
      <c r="Z26" s="162" t="s">
        <v>109</v>
      </c>
      <c r="AA26" s="162" t="s">
        <v>109</v>
      </c>
      <c r="AB26" s="162" t="s">
        <v>2192</v>
      </c>
      <c r="AC26" s="162" t="s">
        <v>2123</v>
      </c>
      <c r="AD26" s="162" t="s">
        <v>2124</v>
      </c>
      <c r="AE26" s="162" t="s">
        <v>1758</v>
      </c>
      <c r="AF26" s="162" t="s">
        <v>3347</v>
      </c>
      <c r="AG26" s="162" t="s">
        <v>34</v>
      </c>
      <c r="AH26" s="162" t="s">
        <v>34</v>
      </c>
      <c r="AI26" s="162" t="s">
        <v>34</v>
      </c>
      <c r="AJ26" s="162" t="s">
        <v>34</v>
      </c>
      <c r="AK26" s="162" t="s">
        <v>2125</v>
      </c>
      <c r="AL26" s="162" t="s">
        <v>34</v>
      </c>
      <c r="AM26" t="s">
        <v>4803</v>
      </c>
      <c r="AN26" s="478">
        <v>0</v>
      </c>
      <c r="AO26" s="478">
        <v>0</v>
      </c>
      <c r="CE26" s="462"/>
      <c r="CF26" t="e">
        <f t="shared" si="0"/>
        <v>#N/A</v>
      </c>
      <c r="CG26" s="462" t="s">
        <v>1106</v>
      </c>
      <c r="CH26" t="str">
        <f t="shared" si="1"/>
        <v/>
      </c>
      <c r="CI26" s="462" t="s">
        <v>1122</v>
      </c>
      <c r="CJ26" s="462" t="s">
        <v>1122</v>
      </c>
    </row>
    <row r="27" spans="1:88" x14ac:dyDescent="0.2">
      <c r="A27">
        <v>26</v>
      </c>
      <c r="B27" s="462" t="s">
        <v>859</v>
      </c>
      <c r="C27" s="162" t="s">
        <v>1838</v>
      </c>
      <c r="D27" s="162" t="s">
        <v>3984</v>
      </c>
      <c r="E27" s="162" t="s">
        <v>2232</v>
      </c>
      <c r="F27" s="162" t="s">
        <v>2008</v>
      </c>
      <c r="G27" s="162" t="s">
        <v>34</v>
      </c>
      <c r="H27" s="162" t="s">
        <v>2128</v>
      </c>
      <c r="I27" s="162" t="s">
        <v>5651</v>
      </c>
      <c r="J27" s="162" t="s">
        <v>1764</v>
      </c>
      <c r="K27" s="162" t="s">
        <v>2233</v>
      </c>
      <c r="L27" s="162" t="s">
        <v>2234</v>
      </c>
      <c r="M27" s="162" t="s">
        <v>2235</v>
      </c>
      <c r="N27" s="162" t="s">
        <v>1838</v>
      </c>
      <c r="O27" s="162" t="s">
        <v>904</v>
      </c>
      <c r="P27" s="162" t="s">
        <v>2236</v>
      </c>
      <c r="Q27" s="162" t="s">
        <v>4865</v>
      </c>
      <c r="R27" s="162" t="s">
        <v>2237</v>
      </c>
      <c r="S27" s="162" t="s">
        <v>2238</v>
      </c>
      <c r="T27" s="162">
        <v>800</v>
      </c>
      <c r="U27" s="162" t="s">
        <v>1947</v>
      </c>
      <c r="V27" s="162" t="s">
        <v>2239</v>
      </c>
      <c r="W27" s="162" t="s">
        <v>2240</v>
      </c>
      <c r="X27" s="162" t="s">
        <v>4864</v>
      </c>
      <c r="Y27" s="162" t="s">
        <v>109</v>
      </c>
      <c r="Z27" s="162" t="s">
        <v>109</v>
      </c>
      <c r="AA27" s="162" t="s">
        <v>109</v>
      </c>
      <c r="AB27" s="162" t="s">
        <v>2192</v>
      </c>
      <c r="AC27" s="162" t="s">
        <v>2123</v>
      </c>
      <c r="AD27" s="162" t="s">
        <v>2124</v>
      </c>
      <c r="AE27" s="162" t="s">
        <v>1758</v>
      </c>
      <c r="AF27" s="162" t="s">
        <v>3347</v>
      </c>
      <c r="AG27" s="162" t="s">
        <v>34</v>
      </c>
      <c r="AH27" s="162" t="s">
        <v>34</v>
      </c>
      <c r="AI27" s="162" t="s">
        <v>34</v>
      </c>
      <c r="AJ27" s="162" t="s">
        <v>34</v>
      </c>
      <c r="AK27" s="162" t="s">
        <v>2125</v>
      </c>
      <c r="AL27" s="162" t="s">
        <v>34</v>
      </c>
      <c r="AM27" t="s">
        <v>4803</v>
      </c>
      <c r="AN27" s="478">
        <v>0</v>
      </c>
      <c r="AO27" s="478">
        <v>0</v>
      </c>
      <c r="CE27" s="462"/>
      <c r="CF27" t="e">
        <f t="shared" si="0"/>
        <v>#N/A</v>
      </c>
      <c r="CG27" s="462" t="s">
        <v>1122</v>
      </c>
      <c r="CH27" t="str">
        <f t="shared" si="1"/>
        <v/>
      </c>
      <c r="CI27" s="462" t="s">
        <v>1146</v>
      </c>
      <c r="CJ27" s="462" t="s">
        <v>1146</v>
      </c>
    </row>
    <row r="28" spans="1:88" x14ac:dyDescent="0.2">
      <c r="A28">
        <v>27</v>
      </c>
      <c r="B28" s="462" t="s">
        <v>859</v>
      </c>
      <c r="C28" s="162" t="s">
        <v>4633</v>
      </c>
      <c r="D28" s="162" t="s">
        <v>4634</v>
      </c>
      <c r="E28" s="162" t="s">
        <v>2232</v>
      </c>
      <c r="F28" s="162" t="s">
        <v>2008</v>
      </c>
      <c r="G28" s="162" t="s">
        <v>34</v>
      </c>
      <c r="H28" s="162" t="s">
        <v>2128</v>
      </c>
      <c r="I28" s="162" t="s">
        <v>5651</v>
      </c>
      <c r="J28" s="162" t="s">
        <v>1764</v>
      </c>
      <c r="K28" s="162" t="s">
        <v>2233</v>
      </c>
      <c r="L28" s="162" t="s">
        <v>2234</v>
      </c>
      <c r="M28" s="162" t="s">
        <v>4635</v>
      </c>
      <c r="N28" s="162" t="s">
        <v>4633</v>
      </c>
      <c r="O28" s="162" t="s">
        <v>904</v>
      </c>
      <c r="P28" s="162" t="s">
        <v>2236</v>
      </c>
      <c r="Q28" s="162" t="s">
        <v>4865</v>
      </c>
      <c r="R28" s="162" t="s">
        <v>2237</v>
      </c>
      <c r="S28" s="162" t="s">
        <v>4636</v>
      </c>
      <c r="T28" s="162">
        <v>1152</v>
      </c>
      <c r="U28" s="162" t="s">
        <v>1947</v>
      </c>
      <c r="V28" s="162" t="s">
        <v>3255</v>
      </c>
      <c r="W28" s="162" t="s">
        <v>4637</v>
      </c>
      <c r="X28" s="162" t="s">
        <v>2738</v>
      </c>
      <c r="Y28" s="162" t="s">
        <v>109</v>
      </c>
      <c r="Z28" s="162" t="s">
        <v>109</v>
      </c>
      <c r="AA28" s="162" t="s">
        <v>109</v>
      </c>
      <c r="AB28" s="162" t="s">
        <v>5707</v>
      </c>
      <c r="AC28" s="162" t="s">
        <v>2123</v>
      </c>
      <c r="AD28" s="162" t="s">
        <v>2124</v>
      </c>
      <c r="AE28" s="162" t="s">
        <v>1758</v>
      </c>
      <c r="AF28" s="162" t="s">
        <v>3347</v>
      </c>
      <c r="AG28" s="162" t="s">
        <v>34</v>
      </c>
      <c r="AH28" s="162" t="s">
        <v>34</v>
      </c>
      <c r="AI28" s="162" t="s">
        <v>34</v>
      </c>
      <c r="AJ28" s="162" t="s">
        <v>34</v>
      </c>
      <c r="AK28" s="162" t="s">
        <v>2125</v>
      </c>
      <c r="AL28" s="162" t="s">
        <v>34</v>
      </c>
      <c r="AM28" t="s">
        <v>4803</v>
      </c>
      <c r="AN28" s="478">
        <v>0</v>
      </c>
      <c r="AO28" s="478">
        <v>0</v>
      </c>
      <c r="CE28" s="462"/>
      <c r="CF28" t="e">
        <f t="shared" si="0"/>
        <v>#N/A</v>
      </c>
      <c r="CG28" s="462" t="s">
        <v>1146</v>
      </c>
      <c r="CH28" t="str">
        <f t="shared" si="1"/>
        <v/>
      </c>
      <c r="CI28" s="462" t="s">
        <v>3701</v>
      </c>
      <c r="CJ28" s="462" t="s">
        <v>3701</v>
      </c>
    </row>
    <row r="29" spans="1:88" x14ac:dyDescent="0.2">
      <c r="A29">
        <v>28</v>
      </c>
      <c r="B29" s="462" t="s">
        <v>863</v>
      </c>
      <c r="C29" s="162" t="s">
        <v>865</v>
      </c>
      <c r="D29" s="162" t="s">
        <v>3985</v>
      </c>
      <c r="E29" s="162" t="s">
        <v>2009</v>
      </c>
      <c r="F29" s="162" t="s">
        <v>2010</v>
      </c>
      <c r="G29" s="162" t="s">
        <v>34</v>
      </c>
      <c r="H29" s="162" t="s">
        <v>2128</v>
      </c>
      <c r="I29" s="162" t="s">
        <v>5651</v>
      </c>
      <c r="J29" s="162" t="s">
        <v>1764</v>
      </c>
      <c r="K29" s="162" t="s">
        <v>1238</v>
      </c>
      <c r="L29" s="162" t="s">
        <v>2243</v>
      </c>
      <c r="M29" s="162" t="s">
        <v>2244</v>
      </c>
      <c r="N29" s="162" t="s">
        <v>865</v>
      </c>
      <c r="O29" s="162" t="s">
        <v>904</v>
      </c>
      <c r="P29" s="162" t="s">
        <v>2245</v>
      </c>
      <c r="Q29" s="162" t="s">
        <v>2246</v>
      </c>
      <c r="R29" s="162" t="s">
        <v>2121</v>
      </c>
      <c r="S29" s="162" t="s">
        <v>2247</v>
      </c>
      <c r="T29" s="162">
        <v>42.3</v>
      </c>
      <c r="U29" s="162" t="s">
        <v>1947</v>
      </c>
      <c r="V29" s="162" t="s">
        <v>2248</v>
      </c>
      <c r="W29" s="162" t="s">
        <v>2249</v>
      </c>
      <c r="X29" s="162" t="s">
        <v>4864</v>
      </c>
      <c r="Y29" s="162" t="s">
        <v>109</v>
      </c>
      <c r="Z29" s="162" t="s">
        <v>109</v>
      </c>
      <c r="AA29" s="162" t="s">
        <v>109</v>
      </c>
      <c r="AB29" s="162" t="s">
        <v>34</v>
      </c>
      <c r="AC29" s="162" t="s">
        <v>2123</v>
      </c>
      <c r="AD29" s="162" t="s">
        <v>2124</v>
      </c>
      <c r="AE29" s="162" t="s">
        <v>1758</v>
      </c>
      <c r="AF29" s="162">
        <v>3.2</v>
      </c>
      <c r="AG29" s="162">
        <v>1.4</v>
      </c>
      <c r="AH29" s="162">
        <v>0.25</v>
      </c>
      <c r="AI29" s="162" t="s">
        <v>3887</v>
      </c>
      <c r="AJ29" s="162" t="s">
        <v>34</v>
      </c>
      <c r="AK29" s="162" t="s">
        <v>2125</v>
      </c>
      <c r="AL29" s="162" t="s">
        <v>34</v>
      </c>
      <c r="AM29" t="s">
        <v>4803</v>
      </c>
      <c r="AN29" s="478">
        <v>0</v>
      </c>
      <c r="AO29" s="478">
        <v>0</v>
      </c>
      <c r="CE29" s="462"/>
      <c r="CF29" t="e">
        <f t="shared" si="0"/>
        <v>#N/A</v>
      </c>
      <c r="CG29" s="462" t="s">
        <v>3701</v>
      </c>
      <c r="CH29" t="str">
        <f t="shared" si="1"/>
        <v/>
      </c>
      <c r="CI29" s="462" t="s">
        <v>1165</v>
      </c>
      <c r="CJ29" s="462" t="s">
        <v>1165</v>
      </c>
    </row>
    <row r="30" spans="1:88" x14ac:dyDescent="0.2">
      <c r="A30">
        <v>29</v>
      </c>
      <c r="B30" s="462" t="s">
        <v>867</v>
      </c>
      <c r="C30" s="162" t="s">
        <v>4450</v>
      </c>
      <c r="D30" s="162" t="s">
        <v>4451</v>
      </c>
      <c r="E30" s="162" t="s">
        <v>2029</v>
      </c>
      <c r="F30" s="162" t="s">
        <v>4452</v>
      </c>
      <c r="G30" s="162" t="s">
        <v>34</v>
      </c>
      <c r="H30" s="162" t="s">
        <v>2128</v>
      </c>
      <c r="I30" s="162" t="s">
        <v>5045</v>
      </c>
      <c r="J30" s="162" t="s">
        <v>1764</v>
      </c>
      <c r="K30" s="162" t="s">
        <v>2250</v>
      </c>
      <c r="L30" s="162" t="s">
        <v>4450</v>
      </c>
      <c r="M30" s="162" t="s">
        <v>4453</v>
      </c>
      <c r="N30" s="162" t="s">
        <v>2250</v>
      </c>
      <c r="O30" s="162" t="s">
        <v>904</v>
      </c>
      <c r="P30" s="162" t="s">
        <v>4454</v>
      </c>
      <c r="Q30" s="162" t="s">
        <v>4868</v>
      </c>
      <c r="R30" s="162" t="s">
        <v>2121</v>
      </c>
      <c r="S30" s="162" t="s">
        <v>4455</v>
      </c>
      <c r="T30" s="162">
        <v>4.0999999999999996</v>
      </c>
      <c r="U30" s="162" t="s">
        <v>1947</v>
      </c>
      <c r="V30" s="162" t="s">
        <v>3474</v>
      </c>
      <c r="W30" s="162" t="s">
        <v>4453</v>
      </c>
      <c r="X30" s="162" t="s">
        <v>2251</v>
      </c>
      <c r="Y30" s="162" t="s">
        <v>4456</v>
      </c>
      <c r="Z30" s="162">
        <v>14905990004</v>
      </c>
      <c r="AA30" s="162" t="s">
        <v>4869</v>
      </c>
      <c r="AB30" s="162" t="s">
        <v>2192</v>
      </c>
      <c r="AC30" s="162" t="s">
        <v>2123</v>
      </c>
      <c r="AD30" s="162" t="s">
        <v>2124</v>
      </c>
      <c r="AE30" s="162" t="s">
        <v>1758</v>
      </c>
      <c r="AF30" s="162" t="s">
        <v>3347</v>
      </c>
      <c r="AG30" s="162" t="s">
        <v>34</v>
      </c>
      <c r="AH30" s="162" t="s">
        <v>34</v>
      </c>
      <c r="AI30" s="162" t="s">
        <v>34</v>
      </c>
      <c r="AJ30" s="162" t="s">
        <v>34</v>
      </c>
      <c r="AK30" s="162" t="s">
        <v>2125</v>
      </c>
      <c r="AL30" s="162" t="s">
        <v>34</v>
      </c>
      <c r="AM30" t="s">
        <v>4804</v>
      </c>
      <c r="AN30" s="478">
        <v>0</v>
      </c>
      <c r="AO30" s="478">
        <v>0</v>
      </c>
      <c r="CE30" s="462"/>
      <c r="CF30" t="e">
        <f t="shared" si="0"/>
        <v>#N/A</v>
      </c>
      <c r="CG30" s="462" t="s">
        <v>1165</v>
      </c>
      <c r="CH30" t="str">
        <f t="shared" ref="CH30:CH37" si="2">IF(CG32=CG$3,VLOOKUP(CF30,A$2:C$500,3,FALSE),"")</f>
        <v/>
      </c>
      <c r="CI30" s="462" t="s">
        <v>1170</v>
      </c>
      <c r="CJ30" s="462" t="s">
        <v>1170</v>
      </c>
    </row>
    <row r="31" spans="1:88" x14ac:dyDescent="0.2">
      <c r="A31">
        <v>30</v>
      </c>
      <c r="B31" s="462" t="s">
        <v>1883</v>
      </c>
      <c r="C31" s="162" t="s">
        <v>1886</v>
      </c>
      <c r="D31" s="162" t="s">
        <v>3986</v>
      </c>
      <c r="E31" s="162" t="s">
        <v>2253</v>
      </c>
      <c r="F31" s="162" t="s">
        <v>2011</v>
      </c>
      <c r="G31" s="162" t="s">
        <v>34</v>
      </c>
      <c r="H31" s="162" t="s">
        <v>2128</v>
      </c>
      <c r="I31" s="162" t="s">
        <v>5651</v>
      </c>
      <c r="J31" s="162" t="s">
        <v>2116</v>
      </c>
      <c r="K31" s="162" t="s">
        <v>1886</v>
      </c>
      <c r="L31" s="162" t="s">
        <v>2255</v>
      </c>
      <c r="M31" s="162" t="s">
        <v>1886</v>
      </c>
      <c r="N31" s="162" t="s">
        <v>1886</v>
      </c>
      <c r="O31" s="162" t="s">
        <v>904</v>
      </c>
      <c r="P31" s="162" t="s">
        <v>2263</v>
      </c>
      <c r="Q31" s="162" t="s">
        <v>2263</v>
      </c>
      <c r="R31" s="162" t="s">
        <v>2127</v>
      </c>
      <c r="S31" s="162" t="s">
        <v>2264</v>
      </c>
      <c r="T31" s="162">
        <v>324.5</v>
      </c>
      <c r="U31" s="162" t="s">
        <v>1947</v>
      </c>
      <c r="V31" s="162" t="s">
        <v>2260</v>
      </c>
      <c r="W31" s="162" t="s">
        <v>109</v>
      </c>
      <c r="X31" s="162" t="s">
        <v>4862</v>
      </c>
      <c r="Y31" s="162" t="s">
        <v>2260</v>
      </c>
      <c r="Z31" s="162" t="s">
        <v>109</v>
      </c>
      <c r="AA31" s="162" t="s">
        <v>4862</v>
      </c>
      <c r="AB31" s="162" t="s">
        <v>2265</v>
      </c>
      <c r="AC31" s="162" t="s">
        <v>2123</v>
      </c>
      <c r="AD31" s="162" t="s">
        <v>2124</v>
      </c>
      <c r="AE31" s="162" t="s">
        <v>1758</v>
      </c>
      <c r="AF31" s="162" t="s">
        <v>3347</v>
      </c>
      <c r="AG31" s="162" t="s">
        <v>34</v>
      </c>
      <c r="AH31" s="162" t="s">
        <v>34</v>
      </c>
      <c r="AI31" s="162" t="s">
        <v>34</v>
      </c>
      <c r="AJ31" s="162" t="s">
        <v>34</v>
      </c>
      <c r="AK31" s="162" t="s">
        <v>2125</v>
      </c>
      <c r="AL31" s="162" t="s">
        <v>34</v>
      </c>
      <c r="AM31" t="s">
        <v>4803</v>
      </c>
      <c r="AN31" s="478">
        <v>0</v>
      </c>
      <c r="AO31" s="478">
        <v>0</v>
      </c>
      <c r="CE31" s="462"/>
      <c r="CF31" t="e">
        <f t="shared" si="0"/>
        <v>#N/A</v>
      </c>
      <c r="CG31" s="462" t="s">
        <v>5488</v>
      </c>
      <c r="CH31" t="str">
        <f t="shared" si="2"/>
        <v/>
      </c>
      <c r="CI31" s="462" t="s">
        <v>1187</v>
      </c>
      <c r="CJ31" s="462" t="s">
        <v>1187</v>
      </c>
    </row>
    <row r="32" spans="1:88" x14ac:dyDescent="0.2">
      <c r="A32">
        <v>31</v>
      </c>
      <c r="B32" s="462" t="s">
        <v>1883</v>
      </c>
      <c r="C32" s="162" t="s">
        <v>1843</v>
      </c>
      <c r="D32" s="162" t="s">
        <v>3987</v>
      </c>
      <c r="E32" s="162" t="s">
        <v>2253</v>
      </c>
      <c r="F32" s="162" t="s">
        <v>2011</v>
      </c>
      <c r="G32" s="162" t="s">
        <v>34</v>
      </c>
      <c r="H32" s="162" t="s">
        <v>2128</v>
      </c>
      <c r="I32" s="162" t="s">
        <v>5651</v>
      </c>
      <c r="J32" s="162" t="s">
        <v>1764</v>
      </c>
      <c r="K32" s="162" t="s">
        <v>1905</v>
      </c>
      <c r="L32" s="162" t="s">
        <v>2283</v>
      </c>
      <c r="M32" s="162" t="s">
        <v>2284</v>
      </c>
      <c r="N32" s="162" t="s">
        <v>1843</v>
      </c>
      <c r="O32" s="162" t="s">
        <v>904</v>
      </c>
      <c r="P32" s="162" t="s">
        <v>2285</v>
      </c>
      <c r="Q32" s="162" t="s">
        <v>4863</v>
      </c>
      <c r="R32" s="162" t="s">
        <v>2286</v>
      </c>
      <c r="S32" s="162" t="s">
        <v>2287</v>
      </c>
      <c r="T32" s="162">
        <v>1862</v>
      </c>
      <c r="U32" s="162" t="s">
        <v>2150</v>
      </c>
      <c r="V32" s="162" t="s">
        <v>2288</v>
      </c>
      <c r="W32" s="162" t="s">
        <v>2289</v>
      </c>
      <c r="X32" s="162" t="s">
        <v>4864</v>
      </c>
      <c r="Y32" s="162" t="s">
        <v>2290</v>
      </c>
      <c r="Z32" s="162" t="s">
        <v>2291</v>
      </c>
      <c r="AA32" s="162" t="s">
        <v>4864</v>
      </c>
      <c r="AB32" s="162" t="s">
        <v>34</v>
      </c>
      <c r="AC32" s="162" t="s">
        <v>2123</v>
      </c>
      <c r="AD32" s="162" t="s">
        <v>2124</v>
      </c>
      <c r="AE32" s="162" t="s">
        <v>1758</v>
      </c>
      <c r="AF32" s="162" t="s">
        <v>3347</v>
      </c>
      <c r="AG32" s="162" t="s">
        <v>34</v>
      </c>
      <c r="AH32" s="162" t="s">
        <v>34</v>
      </c>
      <c r="AI32" s="162" t="s">
        <v>34</v>
      </c>
      <c r="AJ32" s="162" t="s">
        <v>34</v>
      </c>
      <c r="AK32" s="162" t="s">
        <v>2125</v>
      </c>
      <c r="AL32" s="162" t="s">
        <v>34</v>
      </c>
      <c r="AM32" t="s">
        <v>4803</v>
      </c>
      <c r="AN32" s="478">
        <v>0</v>
      </c>
      <c r="AO32" s="478">
        <v>0</v>
      </c>
      <c r="CE32" s="462"/>
      <c r="CF32" t="e">
        <f t="shared" si="0"/>
        <v>#N/A</v>
      </c>
      <c r="CG32" s="462" t="s">
        <v>1170</v>
      </c>
      <c r="CH32" t="str">
        <f t="shared" si="2"/>
        <v/>
      </c>
      <c r="CI32" s="462" t="s">
        <v>1195</v>
      </c>
      <c r="CJ32" s="462" t="s">
        <v>1195</v>
      </c>
    </row>
    <row r="33" spans="1:88" x14ac:dyDescent="0.2">
      <c r="A33">
        <v>32</v>
      </c>
      <c r="B33" s="462" t="s">
        <v>1883</v>
      </c>
      <c r="C33" s="162" t="s">
        <v>1852</v>
      </c>
      <c r="D33" s="162" t="s">
        <v>3988</v>
      </c>
      <c r="E33" s="162" t="s">
        <v>2253</v>
      </c>
      <c r="F33" s="162" t="s">
        <v>2011</v>
      </c>
      <c r="G33" s="162" t="s">
        <v>34</v>
      </c>
      <c r="H33" s="162" t="s">
        <v>2128</v>
      </c>
      <c r="I33" s="162" t="s">
        <v>5651</v>
      </c>
      <c r="J33" s="162" t="s">
        <v>1764</v>
      </c>
      <c r="K33" s="162" t="s">
        <v>1852</v>
      </c>
      <c r="L33" s="162" t="s">
        <v>2255</v>
      </c>
      <c r="M33" s="162" t="s">
        <v>2275</v>
      </c>
      <c r="N33" s="162" t="s">
        <v>1852</v>
      </c>
      <c r="O33" s="162" t="s">
        <v>904</v>
      </c>
      <c r="P33" s="162" t="s">
        <v>2186</v>
      </c>
      <c r="Q33" s="162" t="s">
        <v>4863</v>
      </c>
      <c r="R33" s="162" t="s">
        <v>2121</v>
      </c>
      <c r="S33" s="162" t="s">
        <v>2276</v>
      </c>
      <c r="T33" s="162">
        <v>87.5</v>
      </c>
      <c r="U33" s="162" t="s">
        <v>2150</v>
      </c>
      <c r="V33" s="162" t="s">
        <v>2277</v>
      </c>
      <c r="W33" s="162" t="s">
        <v>2278</v>
      </c>
      <c r="X33" s="162" t="s">
        <v>4864</v>
      </c>
      <c r="Y33" s="162" t="s">
        <v>109</v>
      </c>
      <c r="Z33" s="162" t="s">
        <v>109</v>
      </c>
      <c r="AA33" s="162" t="s">
        <v>109</v>
      </c>
      <c r="AB33" s="162" t="s">
        <v>34</v>
      </c>
      <c r="AC33" s="162" t="s">
        <v>2123</v>
      </c>
      <c r="AD33" s="162" t="s">
        <v>2124</v>
      </c>
      <c r="AE33" s="162" t="s">
        <v>1758</v>
      </c>
      <c r="AF33" s="162" t="s">
        <v>3347</v>
      </c>
      <c r="AG33" s="162" t="s">
        <v>34</v>
      </c>
      <c r="AH33" s="162" t="s">
        <v>34</v>
      </c>
      <c r="AI33" s="162" t="s">
        <v>34</v>
      </c>
      <c r="AJ33" s="162" t="s">
        <v>34</v>
      </c>
      <c r="AK33" s="162" t="s">
        <v>2125</v>
      </c>
      <c r="AL33" s="162" t="s">
        <v>34</v>
      </c>
      <c r="AM33" t="s">
        <v>4805</v>
      </c>
      <c r="AN33" s="478">
        <v>0</v>
      </c>
      <c r="AO33" s="478">
        <v>0</v>
      </c>
      <c r="CE33" s="462"/>
      <c r="CF33" t="e">
        <f t="shared" si="0"/>
        <v>#N/A</v>
      </c>
      <c r="CG33" s="462" t="s">
        <v>1187</v>
      </c>
      <c r="CH33" t="str">
        <f t="shared" si="2"/>
        <v/>
      </c>
      <c r="CI33" s="462" t="s">
        <v>1961</v>
      </c>
      <c r="CJ33" s="462" t="s">
        <v>1961</v>
      </c>
    </row>
    <row r="34" spans="1:88" x14ac:dyDescent="0.2">
      <c r="A34">
        <v>33</v>
      </c>
      <c r="B34" s="462" t="s">
        <v>1883</v>
      </c>
      <c r="C34" s="162" t="s">
        <v>1889</v>
      </c>
      <c r="D34" s="162" t="s">
        <v>3989</v>
      </c>
      <c r="E34" s="162" t="s">
        <v>2253</v>
      </c>
      <c r="F34" s="162" t="s">
        <v>2011</v>
      </c>
      <c r="G34" s="162" t="s">
        <v>34</v>
      </c>
      <c r="H34" s="162" t="s">
        <v>2128</v>
      </c>
      <c r="I34" s="162" t="s">
        <v>5651</v>
      </c>
      <c r="J34" s="162" t="s">
        <v>1764</v>
      </c>
      <c r="K34" s="162" t="s">
        <v>2266</v>
      </c>
      <c r="L34" s="162" t="s">
        <v>2255</v>
      </c>
      <c r="M34" s="162" t="s">
        <v>2266</v>
      </c>
      <c r="N34" s="162" t="s">
        <v>1889</v>
      </c>
      <c r="O34" s="162" t="s">
        <v>904</v>
      </c>
      <c r="P34" s="162" t="s">
        <v>2269</v>
      </c>
      <c r="Q34" s="162" t="s">
        <v>4865</v>
      </c>
      <c r="R34" s="162" t="s">
        <v>2127</v>
      </c>
      <c r="S34" s="162" t="s">
        <v>2259</v>
      </c>
      <c r="T34" s="162">
        <v>310.60000000000002</v>
      </c>
      <c r="U34" s="162" t="s">
        <v>1947</v>
      </c>
      <c r="V34" s="162" t="s">
        <v>2260</v>
      </c>
      <c r="W34" s="162" t="s">
        <v>109</v>
      </c>
      <c r="X34" s="162" t="s">
        <v>4866</v>
      </c>
      <c r="Y34" s="162" t="s">
        <v>2260</v>
      </c>
      <c r="Z34" s="162" t="s">
        <v>109</v>
      </c>
      <c r="AA34" s="162" t="s">
        <v>4866</v>
      </c>
      <c r="AB34" s="162" t="s">
        <v>2262</v>
      </c>
      <c r="AC34" s="162" t="s">
        <v>2123</v>
      </c>
      <c r="AD34" s="162" t="s">
        <v>2124</v>
      </c>
      <c r="AE34" s="162" t="s">
        <v>1758</v>
      </c>
      <c r="AF34" s="162" t="s">
        <v>3347</v>
      </c>
      <c r="AG34" s="162" t="s">
        <v>34</v>
      </c>
      <c r="AH34" s="162" t="s">
        <v>34</v>
      </c>
      <c r="AI34" s="162" t="s">
        <v>34</v>
      </c>
      <c r="AJ34" s="162" t="s">
        <v>34</v>
      </c>
      <c r="AK34" s="162" t="s">
        <v>2125</v>
      </c>
      <c r="AL34" s="162" t="s">
        <v>34</v>
      </c>
      <c r="AM34" t="s">
        <v>4803</v>
      </c>
      <c r="AN34" s="478">
        <v>0</v>
      </c>
      <c r="AO34" s="478">
        <v>0</v>
      </c>
      <c r="CE34" s="462"/>
      <c r="CF34" t="e">
        <f t="shared" si="0"/>
        <v>#N/A</v>
      </c>
      <c r="CG34" s="462" t="s">
        <v>1195</v>
      </c>
      <c r="CH34" t="str">
        <f t="shared" si="2"/>
        <v/>
      </c>
      <c r="CI34" s="462" t="s">
        <v>1202</v>
      </c>
      <c r="CJ34" s="462" t="s">
        <v>1202</v>
      </c>
    </row>
    <row r="35" spans="1:88" x14ac:dyDescent="0.2">
      <c r="A35">
        <v>34</v>
      </c>
      <c r="B35" s="462" t="s">
        <v>1883</v>
      </c>
      <c r="C35" s="162" t="s">
        <v>5050</v>
      </c>
      <c r="D35" s="162" t="s">
        <v>5051</v>
      </c>
      <c r="E35" s="162" t="s">
        <v>2253</v>
      </c>
      <c r="F35" s="162" t="s">
        <v>2011</v>
      </c>
      <c r="G35" s="162" t="s">
        <v>34</v>
      </c>
      <c r="H35" s="162" t="s">
        <v>2128</v>
      </c>
      <c r="I35" s="162" t="s">
        <v>5651</v>
      </c>
      <c r="J35" s="162" t="s">
        <v>1764</v>
      </c>
      <c r="K35" s="162" t="s">
        <v>5052</v>
      </c>
      <c r="L35" s="162" t="s">
        <v>2255</v>
      </c>
      <c r="M35" s="162" t="s">
        <v>5052</v>
      </c>
      <c r="N35" s="162" t="s">
        <v>5050</v>
      </c>
      <c r="O35" s="162" t="s">
        <v>904</v>
      </c>
      <c r="P35" s="162" t="s">
        <v>5053</v>
      </c>
      <c r="Q35" s="162" t="s">
        <v>4865</v>
      </c>
      <c r="R35" s="162" t="s">
        <v>2127</v>
      </c>
      <c r="S35" s="162" t="s">
        <v>2259</v>
      </c>
      <c r="T35" s="162">
        <v>310.60000000000002</v>
      </c>
      <c r="U35" s="162" t="s">
        <v>1947</v>
      </c>
      <c r="V35" s="162" t="s">
        <v>2260</v>
      </c>
      <c r="W35" s="162" t="s">
        <v>109</v>
      </c>
      <c r="X35" s="162" t="s">
        <v>4866</v>
      </c>
      <c r="Y35" s="162" t="s">
        <v>2260</v>
      </c>
      <c r="Z35" s="162" t="s">
        <v>109</v>
      </c>
      <c r="AA35" s="162" t="s">
        <v>4866</v>
      </c>
      <c r="AB35" s="162" t="s">
        <v>2262</v>
      </c>
      <c r="AC35" s="162" t="s">
        <v>2123</v>
      </c>
      <c r="AD35" s="162" t="s">
        <v>2124</v>
      </c>
      <c r="AE35" s="162" t="s">
        <v>1758</v>
      </c>
      <c r="AF35" s="162" t="s">
        <v>3347</v>
      </c>
      <c r="AG35" s="162" t="s">
        <v>34</v>
      </c>
      <c r="AH35" s="162" t="s">
        <v>34</v>
      </c>
      <c r="AI35" s="162" t="s">
        <v>34</v>
      </c>
      <c r="AJ35" s="162" t="s">
        <v>34</v>
      </c>
      <c r="AK35" s="162" t="s">
        <v>2125</v>
      </c>
      <c r="AL35" s="162" t="s">
        <v>34</v>
      </c>
      <c r="AM35" t="s">
        <v>4803</v>
      </c>
      <c r="AN35" s="478"/>
      <c r="AO35" s="478"/>
      <c r="CE35" s="462"/>
      <c r="CF35" t="e">
        <f t="shared" si="0"/>
        <v>#N/A</v>
      </c>
      <c r="CG35" s="462" t="s">
        <v>5010</v>
      </c>
      <c r="CH35" t="str">
        <f t="shared" si="2"/>
        <v/>
      </c>
      <c r="CI35" s="462" t="s">
        <v>1227</v>
      </c>
      <c r="CJ35" s="462" t="s">
        <v>1227</v>
      </c>
    </row>
    <row r="36" spans="1:88" x14ac:dyDescent="0.2">
      <c r="A36">
        <v>35</v>
      </c>
      <c r="B36" s="462" t="s">
        <v>1883</v>
      </c>
      <c r="C36" s="162" t="s">
        <v>1893</v>
      </c>
      <c r="D36" s="162" t="s">
        <v>3990</v>
      </c>
      <c r="E36" s="162" t="s">
        <v>2253</v>
      </c>
      <c r="F36" s="162" t="s">
        <v>2011</v>
      </c>
      <c r="G36" s="162" t="s">
        <v>34</v>
      </c>
      <c r="H36" s="162" t="s">
        <v>2128</v>
      </c>
      <c r="I36" s="162" t="s">
        <v>5651</v>
      </c>
      <c r="J36" s="162" t="s">
        <v>1764</v>
      </c>
      <c r="K36" s="162" t="s">
        <v>2271</v>
      </c>
      <c r="L36" s="162" t="s">
        <v>2255</v>
      </c>
      <c r="M36" s="162" t="s">
        <v>2271</v>
      </c>
      <c r="N36" s="162" t="s">
        <v>1893</v>
      </c>
      <c r="O36" s="162" t="s">
        <v>904</v>
      </c>
      <c r="P36" s="162" t="s">
        <v>5054</v>
      </c>
      <c r="Q36" s="162" t="s">
        <v>4865</v>
      </c>
      <c r="R36" s="162" t="s">
        <v>2127</v>
      </c>
      <c r="S36" s="162" t="s">
        <v>2259</v>
      </c>
      <c r="T36" s="162">
        <v>310.60000000000002</v>
      </c>
      <c r="U36" s="162" t="s">
        <v>1947</v>
      </c>
      <c r="V36" s="162" t="s">
        <v>2260</v>
      </c>
      <c r="W36" s="162" t="s">
        <v>109</v>
      </c>
      <c r="X36" s="162" t="s">
        <v>4866</v>
      </c>
      <c r="Y36" s="162" t="s">
        <v>2260</v>
      </c>
      <c r="Z36" s="162" t="s">
        <v>109</v>
      </c>
      <c r="AA36" s="162" t="s">
        <v>4866</v>
      </c>
      <c r="AB36" s="162" t="s">
        <v>2262</v>
      </c>
      <c r="AC36" s="162" t="s">
        <v>2123</v>
      </c>
      <c r="AD36" s="162" t="s">
        <v>2124</v>
      </c>
      <c r="AE36" s="162" t="s">
        <v>1758</v>
      </c>
      <c r="AF36" s="162" t="s">
        <v>3347</v>
      </c>
      <c r="AG36" s="162" t="s">
        <v>34</v>
      </c>
      <c r="AH36" s="162" t="s">
        <v>34</v>
      </c>
      <c r="AI36" s="162" t="s">
        <v>34</v>
      </c>
      <c r="AJ36" s="162" t="s">
        <v>34</v>
      </c>
      <c r="AK36" s="162" t="s">
        <v>2125</v>
      </c>
      <c r="AL36" s="162" t="s">
        <v>34</v>
      </c>
      <c r="AM36" t="s">
        <v>4803</v>
      </c>
      <c r="AN36" s="478">
        <v>0</v>
      </c>
      <c r="AO36" s="478">
        <v>0</v>
      </c>
      <c r="CE36" s="462"/>
      <c r="CF36" t="e">
        <f t="shared" si="0"/>
        <v>#N/A</v>
      </c>
      <c r="CG36" s="462" t="s">
        <v>1961</v>
      </c>
      <c r="CH36" t="str">
        <f t="shared" si="2"/>
        <v/>
      </c>
      <c r="CI36" s="462" t="s">
        <v>4734</v>
      </c>
      <c r="CJ36" s="462" t="s">
        <v>4734</v>
      </c>
    </row>
    <row r="37" spans="1:88" x14ac:dyDescent="0.2">
      <c r="A37">
        <v>36</v>
      </c>
      <c r="B37" s="462" t="s">
        <v>1883</v>
      </c>
      <c r="C37" s="162" t="s">
        <v>5055</v>
      </c>
      <c r="D37" s="162" t="s">
        <v>5056</v>
      </c>
      <c r="E37" s="162" t="s">
        <v>2253</v>
      </c>
      <c r="F37" s="162" t="s">
        <v>2011</v>
      </c>
      <c r="G37" s="162" t="s">
        <v>34</v>
      </c>
      <c r="H37" s="162" t="s">
        <v>2128</v>
      </c>
      <c r="I37" s="162" t="s">
        <v>5651</v>
      </c>
      <c r="J37" s="162" t="s">
        <v>1764</v>
      </c>
      <c r="K37" s="162" t="s">
        <v>5057</v>
      </c>
      <c r="L37" s="162" t="s">
        <v>2255</v>
      </c>
      <c r="M37" s="162" t="s">
        <v>5057</v>
      </c>
      <c r="N37" s="162" t="s">
        <v>5055</v>
      </c>
      <c r="O37" s="162" t="s">
        <v>904</v>
      </c>
      <c r="P37" s="162" t="s">
        <v>5053</v>
      </c>
      <c r="Q37" s="162" t="s">
        <v>4865</v>
      </c>
      <c r="R37" s="162" t="s">
        <v>2127</v>
      </c>
      <c r="S37" s="162" t="s">
        <v>2259</v>
      </c>
      <c r="T37" s="162">
        <v>310.60000000000002</v>
      </c>
      <c r="U37" s="162" t="s">
        <v>1947</v>
      </c>
      <c r="V37" s="162" t="s">
        <v>2260</v>
      </c>
      <c r="W37" s="162" t="s">
        <v>109</v>
      </c>
      <c r="X37" s="162" t="s">
        <v>4866</v>
      </c>
      <c r="Y37" s="162" t="s">
        <v>2260</v>
      </c>
      <c r="Z37" s="162" t="s">
        <v>109</v>
      </c>
      <c r="AA37" s="162" t="s">
        <v>4866</v>
      </c>
      <c r="AB37" s="162" t="s">
        <v>2262</v>
      </c>
      <c r="AC37" s="162" t="s">
        <v>2123</v>
      </c>
      <c r="AD37" s="162" t="s">
        <v>2124</v>
      </c>
      <c r="AE37" s="162" t="s">
        <v>1758</v>
      </c>
      <c r="AF37" s="162" t="s">
        <v>3347</v>
      </c>
      <c r="AG37" s="162" t="s">
        <v>34</v>
      </c>
      <c r="AH37" s="162" t="s">
        <v>34</v>
      </c>
      <c r="AI37" s="162" t="s">
        <v>34</v>
      </c>
      <c r="AJ37" s="162" t="s">
        <v>34</v>
      </c>
      <c r="AK37" s="162" t="s">
        <v>2125</v>
      </c>
      <c r="AL37" s="162" t="s">
        <v>34</v>
      </c>
      <c r="AM37" t="s">
        <v>4803</v>
      </c>
      <c r="AN37" s="478"/>
      <c r="AO37" s="478"/>
      <c r="CE37" s="462"/>
      <c r="CF37" t="e">
        <f t="shared" si="0"/>
        <v>#N/A</v>
      </c>
      <c r="CG37" s="462" t="s">
        <v>1202</v>
      </c>
      <c r="CH37" t="str">
        <f t="shared" si="2"/>
        <v/>
      </c>
      <c r="CI37" s="462" t="s">
        <v>1773</v>
      </c>
      <c r="CJ37" s="462" t="s">
        <v>1773</v>
      </c>
    </row>
    <row r="38" spans="1:88" x14ac:dyDescent="0.2">
      <c r="A38">
        <v>37</v>
      </c>
      <c r="B38" s="462" t="s">
        <v>1883</v>
      </c>
      <c r="C38" s="162" t="s">
        <v>1891</v>
      </c>
      <c r="D38" s="162" t="s">
        <v>3991</v>
      </c>
      <c r="E38" s="162" t="s">
        <v>2253</v>
      </c>
      <c r="F38" s="162" t="s">
        <v>2011</v>
      </c>
      <c r="G38" s="162" t="s">
        <v>34</v>
      </c>
      <c r="H38" s="162" t="s">
        <v>2128</v>
      </c>
      <c r="I38" s="162" t="s">
        <v>5651</v>
      </c>
      <c r="J38" s="162" t="s">
        <v>1764</v>
      </c>
      <c r="K38" s="162" t="s">
        <v>2267</v>
      </c>
      <c r="L38" s="162" t="s">
        <v>2255</v>
      </c>
      <c r="M38" s="162" t="s">
        <v>2267</v>
      </c>
      <c r="N38" s="162" t="s">
        <v>1891</v>
      </c>
      <c r="O38" s="162" t="s">
        <v>904</v>
      </c>
      <c r="P38" s="162" t="s">
        <v>2274</v>
      </c>
      <c r="Q38" s="162" t="s">
        <v>4865</v>
      </c>
      <c r="R38" s="162" t="s">
        <v>2127</v>
      </c>
      <c r="S38" s="162" t="s">
        <v>2259</v>
      </c>
      <c r="T38" s="162">
        <v>310.60000000000002</v>
      </c>
      <c r="U38" s="162" t="s">
        <v>1947</v>
      </c>
      <c r="V38" s="162" t="s">
        <v>2260</v>
      </c>
      <c r="W38" s="162" t="s">
        <v>109</v>
      </c>
      <c r="X38" s="162" t="s">
        <v>4866</v>
      </c>
      <c r="Y38" s="162" t="s">
        <v>2260</v>
      </c>
      <c r="Z38" s="162" t="s">
        <v>109</v>
      </c>
      <c r="AA38" s="162" t="s">
        <v>4866</v>
      </c>
      <c r="AB38" s="162" t="s">
        <v>2262</v>
      </c>
      <c r="AC38" s="162" t="s">
        <v>2123</v>
      </c>
      <c r="AD38" s="162" t="s">
        <v>2124</v>
      </c>
      <c r="AE38" s="162" t="s">
        <v>1758</v>
      </c>
      <c r="AF38" s="162" t="s">
        <v>3347</v>
      </c>
      <c r="AG38" s="162" t="s">
        <v>34</v>
      </c>
      <c r="AH38" s="162" t="s">
        <v>34</v>
      </c>
      <c r="AI38" s="162" t="s">
        <v>34</v>
      </c>
      <c r="AJ38" s="162" t="s">
        <v>34</v>
      </c>
      <c r="AK38" s="162" t="s">
        <v>2125</v>
      </c>
      <c r="AL38" s="162" t="s">
        <v>34</v>
      </c>
      <c r="AM38" t="s">
        <v>4803</v>
      </c>
      <c r="AN38" s="478">
        <v>0</v>
      </c>
      <c r="AO38" s="478">
        <v>0</v>
      </c>
      <c r="CE38" s="462"/>
      <c r="CG38" s="462" t="s">
        <v>1227</v>
      </c>
      <c r="CI38" s="462" t="s">
        <v>1236</v>
      </c>
      <c r="CJ38" s="462" t="s">
        <v>1236</v>
      </c>
    </row>
    <row r="39" spans="1:88" x14ac:dyDescent="0.2">
      <c r="A39">
        <v>38</v>
      </c>
      <c r="B39" s="462" t="s">
        <v>1883</v>
      </c>
      <c r="C39" s="162" t="s">
        <v>1895</v>
      </c>
      <c r="D39" s="162" t="s">
        <v>3992</v>
      </c>
      <c r="E39" s="162" t="s">
        <v>2253</v>
      </c>
      <c r="F39" s="162" t="s">
        <v>2011</v>
      </c>
      <c r="G39" s="162" t="s">
        <v>34</v>
      </c>
      <c r="H39" s="162" t="s">
        <v>2128</v>
      </c>
      <c r="I39" s="162" t="s">
        <v>5651</v>
      </c>
      <c r="J39" s="162" t="s">
        <v>1764</v>
      </c>
      <c r="K39" s="162" t="s">
        <v>2272</v>
      </c>
      <c r="L39" s="162" t="s">
        <v>2255</v>
      </c>
      <c r="M39" s="162" t="s">
        <v>2272</v>
      </c>
      <c r="N39" s="162" t="s">
        <v>1895</v>
      </c>
      <c r="O39" s="162" t="s">
        <v>904</v>
      </c>
      <c r="P39" s="162" t="s">
        <v>2279</v>
      </c>
      <c r="Q39" s="162" t="s">
        <v>4865</v>
      </c>
      <c r="R39" s="162" t="s">
        <v>2280</v>
      </c>
      <c r="S39" s="162" t="s">
        <v>2259</v>
      </c>
      <c r="T39" s="162">
        <v>310.60000000000002</v>
      </c>
      <c r="U39" s="162" t="s">
        <v>1947</v>
      </c>
      <c r="V39" s="162" t="s">
        <v>2281</v>
      </c>
      <c r="W39" s="162" t="s">
        <v>109</v>
      </c>
      <c r="X39" s="162" t="s">
        <v>109</v>
      </c>
      <c r="Y39" s="162" t="s">
        <v>2281</v>
      </c>
      <c r="Z39" s="162" t="s">
        <v>109</v>
      </c>
      <c r="AA39" s="162" t="s">
        <v>109</v>
      </c>
      <c r="AB39" s="162" t="s">
        <v>2282</v>
      </c>
      <c r="AC39" s="162" t="s">
        <v>2123</v>
      </c>
      <c r="AD39" s="162" t="s">
        <v>2124</v>
      </c>
      <c r="AE39" s="162" t="s">
        <v>1758</v>
      </c>
      <c r="AF39" s="162" t="s">
        <v>3347</v>
      </c>
      <c r="AG39" s="162" t="s">
        <v>34</v>
      </c>
      <c r="AH39" s="162" t="s">
        <v>34</v>
      </c>
      <c r="AI39" s="162" t="s">
        <v>34</v>
      </c>
      <c r="AJ39" s="162" t="s">
        <v>34</v>
      </c>
      <c r="AK39" s="162" t="s">
        <v>2125</v>
      </c>
      <c r="AL39" s="162" t="s">
        <v>34</v>
      </c>
      <c r="AM39" t="s">
        <v>4803</v>
      </c>
      <c r="AN39" s="478">
        <v>0</v>
      </c>
      <c r="AO39" s="478">
        <v>0</v>
      </c>
      <c r="CE39" s="462"/>
      <c r="CG39" s="462" t="s">
        <v>4734</v>
      </c>
      <c r="CI39" s="462" t="s">
        <v>1242</v>
      </c>
      <c r="CJ39" s="462" t="s">
        <v>1242</v>
      </c>
    </row>
    <row r="40" spans="1:88" x14ac:dyDescent="0.2">
      <c r="A40">
        <v>39</v>
      </c>
      <c r="B40" s="462" t="s">
        <v>1883</v>
      </c>
      <c r="C40" s="162" t="s">
        <v>1897</v>
      </c>
      <c r="D40" s="162" t="s">
        <v>3993</v>
      </c>
      <c r="E40" s="162" t="s">
        <v>2253</v>
      </c>
      <c r="F40" s="162" t="s">
        <v>2011</v>
      </c>
      <c r="G40" s="162" t="s">
        <v>34</v>
      </c>
      <c r="H40" s="162" t="s">
        <v>2128</v>
      </c>
      <c r="I40" s="162" t="s">
        <v>5651</v>
      </c>
      <c r="J40" s="162" t="s">
        <v>1764</v>
      </c>
      <c r="K40" s="162" t="s">
        <v>2273</v>
      </c>
      <c r="L40" s="162" t="s">
        <v>2255</v>
      </c>
      <c r="M40" s="162" t="s">
        <v>2273</v>
      </c>
      <c r="N40" s="162" t="s">
        <v>1897</v>
      </c>
      <c r="O40" s="162" t="s">
        <v>904</v>
      </c>
      <c r="P40" s="162" t="s">
        <v>2279</v>
      </c>
      <c r="Q40" s="162" t="s">
        <v>4865</v>
      </c>
      <c r="R40" s="162" t="s">
        <v>2280</v>
      </c>
      <c r="S40" s="162" t="s">
        <v>2259</v>
      </c>
      <c r="T40" s="162">
        <v>310.60000000000002</v>
      </c>
      <c r="U40" s="162" t="s">
        <v>1947</v>
      </c>
      <c r="V40" s="162" t="s">
        <v>2281</v>
      </c>
      <c r="W40" s="162" t="s">
        <v>109</v>
      </c>
      <c r="X40" s="162" t="s">
        <v>109</v>
      </c>
      <c r="Y40" s="162" t="s">
        <v>2281</v>
      </c>
      <c r="Z40" s="162" t="s">
        <v>109</v>
      </c>
      <c r="AA40" s="162" t="s">
        <v>109</v>
      </c>
      <c r="AB40" s="162" t="s">
        <v>2282</v>
      </c>
      <c r="AC40" s="162" t="s">
        <v>2123</v>
      </c>
      <c r="AD40" s="162" t="s">
        <v>2124</v>
      </c>
      <c r="AE40" s="162" t="s">
        <v>1758</v>
      </c>
      <c r="AF40" s="162" t="s">
        <v>3347</v>
      </c>
      <c r="AG40" s="162" t="s">
        <v>34</v>
      </c>
      <c r="AH40" s="162" t="s">
        <v>34</v>
      </c>
      <c r="AI40" s="162" t="s">
        <v>34</v>
      </c>
      <c r="AJ40" s="162" t="s">
        <v>34</v>
      </c>
      <c r="AK40" s="162" t="s">
        <v>2125</v>
      </c>
      <c r="AL40" s="162" t="s">
        <v>34</v>
      </c>
      <c r="AM40" t="s">
        <v>4803</v>
      </c>
      <c r="AN40" s="478">
        <v>0</v>
      </c>
      <c r="AO40" s="478">
        <v>0</v>
      </c>
      <c r="CE40" s="462"/>
      <c r="CG40" s="462" t="s">
        <v>1773</v>
      </c>
      <c r="CI40" s="462" t="s">
        <v>1246</v>
      </c>
      <c r="CJ40" s="462" t="s">
        <v>1246</v>
      </c>
    </row>
    <row r="41" spans="1:88" x14ac:dyDescent="0.2">
      <c r="A41">
        <v>40</v>
      </c>
      <c r="B41" s="462" t="s">
        <v>1883</v>
      </c>
      <c r="C41" s="162" t="s">
        <v>1884</v>
      </c>
      <c r="D41" s="162" t="s">
        <v>3994</v>
      </c>
      <c r="E41" s="162" t="s">
        <v>2253</v>
      </c>
      <c r="F41" s="162" t="s">
        <v>2011</v>
      </c>
      <c r="G41" s="162" t="s">
        <v>34</v>
      </c>
      <c r="H41" s="162" t="s">
        <v>2128</v>
      </c>
      <c r="I41" s="162" t="s">
        <v>5651</v>
      </c>
      <c r="J41" s="162" t="s">
        <v>1764</v>
      </c>
      <c r="K41" s="162" t="s">
        <v>2254</v>
      </c>
      <c r="L41" s="162" t="s">
        <v>2255</v>
      </c>
      <c r="M41" s="162" t="s">
        <v>2256</v>
      </c>
      <c r="N41" s="162" t="s">
        <v>1884</v>
      </c>
      <c r="O41" s="162" t="s">
        <v>904</v>
      </c>
      <c r="P41" s="162" t="s">
        <v>2257</v>
      </c>
      <c r="Q41" s="162" t="s">
        <v>4870</v>
      </c>
      <c r="R41" s="162" t="s">
        <v>2127</v>
      </c>
      <c r="S41" s="162" t="s">
        <v>2259</v>
      </c>
      <c r="T41" s="162">
        <v>310.60000000000002</v>
      </c>
      <c r="U41" s="162" t="s">
        <v>1947</v>
      </c>
      <c r="V41" s="162" t="s">
        <v>2260</v>
      </c>
      <c r="W41" s="162" t="s">
        <v>109</v>
      </c>
      <c r="X41" s="162" t="s">
        <v>4866</v>
      </c>
      <c r="Y41" s="162" t="s">
        <v>2260</v>
      </c>
      <c r="Z41" s="162" t="s">
        <v>109</v>
      </c>
      <c r="AA41" s="162" t="s">
        <v>4866</v>
      </c>
      <c r="AB41" s="162" t="s">
        <v>2262</v>
      </c>
      <c r="AC41" s="162" t="s">
        <v>2123</v>
      </c>
      <c r="AD41" s="162" t="s">
        <v>2124</v>
      </c>
      <c r="AE41" s="162" t="s">
        <v>1758</v>
      </c>
      <c r="AF41" s="162" t="s">
        <v>3347</v>
      </c>
      <c r="AG41" s="162" t="s">
        <v>34</v>
      </c>
      <c r="AH41" s="162" t="s">
        <v>34</v>
      </c>
      <c r="AI41" s="162" t="s">
        <v>34</v>
      </c>
      <c r="AJ41" s="162" t="s">
        <v>34</v>
      </c>
      <c r="AK41" s="162" t="s">
        <v>2125</v>
      </c>
      <c r="AL41" s="162" t="s">
        <v>34</v>
      </c>
      <c r="AM41" t="s">
        <v>4803</v>
      </c>
      <c r="AN41" s="478">
        <v>0</v>
      </c>
      <c r="AO41" s="478">
        <v>0</v>
      </c>
      <c r="CE41" s="462"/>
      <c r="CG41" s="462" t="s">
        <v>1236</v>
      </c>
      <c r="CI41" s="462" t="s">
        <v>1249</v>
      </c>
      <c r="CJ41" s="462" t="s">
        <v>1249</v>
      </c>
    </row>
    <row r="42" spans="1:88" x14ac:dyDescent="0.2">
      <c r="A42">
        <v>41</v>
      </c>
      <c r="B42" s="462" t="s">
        <v>1883</v>
      </c>
      <c r="C42" s="162" t="s">
        <v>5058</v>
      </c>
      <c r="D42" s="162" t="s">
        <v>5059</v>
      </c>
      <c r="E42" s="162" t="s">
        <v>2253</v>
      </c>
      <c r="F42" s="162" t="s">
        <v>2011</v>
      </c>
      <c r="G42" s="162" t="s">
        <v>34</v>
      </c>
      <c r="H42" s="162" t="s">
        <v>2128</v>
      </c>
      <c r="I42" s="162" t="s">
        <v>5045</v>
      </c>
      <c r="J42" s="162" t="s">
        <v>1764</v>
      </c>
      <c r="K42" s="162" t="s">
        <v>5060</v>
      </c>
      <c r="L42" s="162" t="s">
        <v>2255</v>
      </c>
      <c r="M42" s="162" t="s">
        <v>5060</v>
      </c>
      <c r="N42" s="162" t="s">
        <v>5058</v>
      </c>
      <c r="O42" s="162" t="s">
        <v>904</v>
      </c>
      <c r="P42" s="162" t="s">
        <v>2268</v>
      </c>
      <c r="Q42" s="162" t="s">
        <v>4863</v>
      </c>
      <c r="R42" s="162" t="s">
        <v>2127</v>
      </c>
      <c r="S42" s="162" t="s">
        <v>2259</v>
      </c>
      <c r="T42" s="162">
        <v>310.60000000000002</v>
      </c>
      <c r="U42" s="162" t="s">
        <v>1947</v>
      </c>
      <c r="V42" s="162" t="s">
        <v>2260</v>
      </c>
      <c r="W42" s="162" t="s">
        <v>109</v>
      </c>
      <c r="X42" s="162" t="s">
        <v>4871</v>
      </c>
      <c r="Y42" s="162" t="s">
        <v>2260</v>
      </c>
      <c r="Z42" s="162" t="s">
        <v>109</v>
      </c>
      <c r="AA42" s="162" t="s">
        <v>4871</v>
      </c>
      <c r="AB42" s="162" t="s">
        <v>2262</v>
      </c>
      <c r="AC42" s="162" t="s">
        <v>2123</v>
      </c>
      <c r="AD42" s="162" t="s">
        <v>2124</v>
      </c>
      <c r="AE42" s="162" t="s">
        <v>1758</v>
      </c>
      <c r="AF42" s="162" t="s">
        <v>3347</v>
      </c>
      <c r="AG42" s="162" t="s">
        <v>34</v>
      </c>
      <c r="AH42" s="162" t="s">
        <v>34</v>
      </c>
      <c r="AI42" s="162" t="s">
        <v>34</v>
      </c>
      <c r="AJ42" s="162" t="s">
        <v>34</v>
      </c>
      <c r="AK42" s="162" t="s">
        <v>2125</v>
      </c>
      <c r="AL42" s="162" t="s">
        <v>34</v>
      </c>
      <c r="AM42" t="s">
        <v>4803</v>
      </c>
      <c r="AN42" s="478"/>
      <c r="AO42" s="478"/>
      <c r="CE42" s="462"/>
      <c r="CG42" s="462" t="s">
        <v>1242</v>
      </c>
      <c r="CI42" s="462" t="s">
        <v>1857</v>
      </c>
      <c r="CJ42" s="462" t="s">
        <v>1857</v>
      </c>
    </row>
    <row r="43" spans="1:88" x14ac:dyDescent="0.2">
      <c r="A43">
        <v>42</v>
      </c>
      <c r="B43" s="462" t="s">
        <v>870</v>
      </c>
      <c r="C43" s="162" t="s">
        <v>878</v>
      </c>
      <c r="D43" s="162" t="s">
        <v>3995</v>
      </c>
      <c r="E43" s="162" t="s">
        <v>2012</v>
      </c>
      <c r="F43" s="162" t="s">
        <v>2013</v>
      </c>
      <c r="G43" s="162" t="s">
        <v>34</v>
      </c>
      <c r="H43" s="162" t="s">
        <v>2128</v>
      </c>
      <c r="I43" s="162" t="s">
        <v>5651</v>
      </c>
      <c r="J43" s="162" t="s">
        <v>1764</v>
      </c>
      <c r="K43" s="162" t="s">
        <v>2304</v>
      </c>
      <c r="L43" s="162" t="s">
        <v>3971</v>
      </c>
      <c r="M43" s="162">
        <v>1020</v>
      </c>
      <c r="N43" s="162" t="s">
        <v>878</v>
      </c>
      <c r="O43" s="162" t="s">
        <v>904</v>
      </c>
      <c r="P43" s="162" t="s">
        <v>2307</v>
      </c>
      <c r="Q43" s="162" t="s">
        <v>4863</v>
      </c>
      <c r="R43" s="162" t="s">
        <v>2121</v>
      </c>
      <c r="S43" s="162" t="s">
        <v>3972</v>
      </c>
      <c r="T43" s="162">
        <v>57.7</v>
      </c>
      <c r="U43" s="162" t="s">
        <v>2150</v>
      </c>
      <c r="V43" s="162" t="s">
        <v>3973</v>
      </c>
      <c r="W43" s="162">
        <v>95040103</v>
      </c>
      <c r="X43" s="162" t="s">
        <v>4864</v>
      </c>
      <c r="Y43" s="162" t="s">
        <v>2303</v>
      </c>
      <c r="Z43" s="162" t="s">
        <v>3974</v>
      </c>
      <c r="AA43" s="162" t="s">
        <v>4864</v>
      </c>
      <c r="AB43" s="162" t="s">
        <v>34</v>
      </c>
      <c r="AC43" s="162" t="s">
        <v>2123</v>
      </c>
      <c r="AD43" s="162" t="s">
        <v>2124</v>
      </c>
      <c r="AE43" s="162" t="s">
        <v>1758</v>
      </c>
      <c r="AF43" s="162" t="s">
        <v>3347</v>
      </c>
      <c r="AG43" s="162" t="s">
        <v>34</v>
      </c>
      <c r="AH43" s="162" t="s">
        <v>34</v>
      </c>
      <c r="AI43" s="162" t="s">
        <v>34</v>
      </c>
      <c r="AJ43" s="162" t="s">
        <v>34</v>
      </c>
      <c r="AK43" s="162" t="s">
        <v>2125</v>
      </c>
      <c r="AL43" s="162" t="s">
        <v>34</v>
      </c>
      <c r="AM43" t="s">
        <v>4806</v>
      </c>
      <c r="AN43" s="478">
        <v>0</v>
      </c>
      <c r="AO43" s="478">
        <v>0</v>
      </c>
      <c r="CE43" s="462"/>
      <c r="CG43" s="462" t="s">
        <v>1246</v>
      </c>
      <c r="CI43" s="462" t="s">
        <v>1254</v>
      </c>
      <c r="CJ43" s="462" t="s">
        <v>1254</v>
      </c>
    </row>
    <row r="44" spans="1:88" x14ac:dyDescent="0.2">
      <c r="A44">
        <v>43</v>
      </c>
      <c r="B44" s="462" t="s">
        <v>870</v>
      </c>
      <c r="C44" s="162" t="s">
        <v>876</v>
      </c>
      <c r="D44" s="162" t="s">
        <v>3996</v>
      </c>
      <c r="E44" s="162" t="s">
        <v>2012</v>
      </c>
      <c r="F44" s="162" t="s">
        <v>2013</v>
      </c>
      <c r="G44" s="162" t="s">
        <v>34</v>
      </c>
      <c r="H44" s="162" t="s">
        <v>2128</v>
      </c>
      <c r="I44" s="162" t="s">
        <v>5651</v>
      </c>
      <c r="J44" s="162" t="s">
        <v>1764</v>
      </c>
      <c r="K44" s="162" t="s">
        <v>2304</v>
      </c>
      <c r="L44" s="162" t="s">
        <v>2306</v>
      </c>
      <c r="M44" s="162">
        <v>5514</v>
      </c>
      <c r="N44" s="162" t="s">
        <v>876</v>
      </c>
      <c r="O44" s="162" t="s">
        <v>904</v>
      </c>
      <c r="P44" s="162" t="s">
        <v>5180</v>
      </c>
      <c r="Q44" s="162" t="s">
        <v>4863</v>
      </c>
      <c r="R44" s="162" t="s">
        <v>2121</v>
      </c>
      <c r="S44" s="162" t="s">
        <v>2308</v>
      </c>
      <c r="T44" s="162">
        <v>1005.1</v>
      </c>
      <c r="U44" s="162" t="s">
        <v>2150</v>
      </c>
      <c r="V44" s="162" t="s">
        <v>2309</v>
      </c>
      <c r="W44" s="162" t="s">
        <v>2310</v>
      </c>
      <c r="X44" s="162" t="s">
        <v>4864</v>
      </c>
      <c r="Y44" s="162" t="s">
        <v>2309</v>
      </c>
      <c r="Z44" s="162" t="s">
        <v>2310</v>
      </c>
      <c r="AA44" s="162" t="s">
        <v>4864</v>
      </c>
      <c r="AB44" s="162" t="s">
        <v>2311</v>
      </c>
      <c r="AC44" s="162" t="s">
        <v>2123</v>
      </c>
      <c r="AD44" s="162" t="s">
        <v>2124</v>
      </c>
      <c r="AE44" s="162" t="s">
        <v>1758</v>
      </c>
      <c r="AF44" s="162" t="s">
        <v>3347</v>
      </c>
      <c r="AG44" s="162" t="s">
        <v>34</v>
      </c>
      <c r="AH44" s="162" t="s">
        <v>34</v>
      </c>
      <c r="AI44" s="162" t="s">
        <v>34</v>
      </c>
      <c r="AJ44" s="162" t="s">
        <v>34</v>
      </c>
      <c r="AK44" s="162" t="s">
        <v>2125</v>
      </c>
      <c r="AL44" s="162" t="s">
        <v>34</v>
      </c>
      <c r="AM44" t="s">
        <v>4803</v>
      </c>
      <c r="AN44" s="478">
        <v>0</v>
      </c>
      <c r="AO44" s="478">
        <v>0</v>
      </c>
      <c r="CE44" s="462"/>
      <c r="CG44" s="462" t="s">
        <v>1249</v>
      </c>
      <c r="CI44" s="462" t="s">
        <v>1280</v>
      </c>
      <c r="CJ44" s="462" t="s">
        <v>1280</v>
      </c>
    </row>
    <row r="45" spans="1:88" x14ac:dyDescent="0.2">
      <c r="A45">
        <v>44</v>
      </c>
      <c r="B45" s="462" t="s">
        <v>870</v>
      </c>
      <c r="C45" s="162" t="s">
        <v>4638</v>
      </c>
      <c r="D45" s="162" t="s">
        <v>4639</v>
      </c>
      <c r="E45" s="162" t="s">
        <v>2012</v>
      </c>
      <c r="F45" s="162" t="s">
        <v>2013</v>
      </c>
      <c r="G45" s="162" t="s">
        <v>34</v>
      </c>
      <c r="H45" s="162" t="s">
        <v>4640</v>
      </c>
      <c r="I45" s="162" t="s">
        <v>5651</v>
      </c>
      <c r="J45" s="162" t="s">
        <v>2116</v>
      </c>
      <c r="K45" s="162" t="s">
        <v>1905</v>
      </c>
      <c r="L45" s="162" t="s">
        <v>4641</v>
      </c>
      <c r="M45" s="162" t="s">
        <v>4642</v>
      </c>
      <c r="N45" s="162" t="s">
        <v>4638</v>
      </c>
      <c r="O45" s="162" t="s">
        <v>2399</v>
      </c>
      <c r="P45" s="162" t="s">
        <v>4643</v>
      </c>
      <c r="Q45" s="162" t="s">
        <v>4865</v>
      </c>
      <c r="R45" s="162" t="s">
        <v>2222</v>
      </c>
      <c r="S45" s="162" t="s">
        <v>2538</v>
      </c>
      <c r="T45" s="162">
        <v>116</v>
      </c>
      <c r="U45" s="162" t="s">
        <v>2151</v>
      </c>
      <c r="V45" s="162" t="s">
        <v>4644</v>
      </c>
      <c r="W45" s="162">
        <v>8270792</v>
      </c>
      <c r="X45" s="162" t="s">
        <v>4864</v>
      </c>
      <c r="Y45" s="162" t="s">
        <v>4645</v>
      </c>
      <c r="Z45" s="162" t="s">
        <v>2299</v>
      </c>
      <c r="AA45" s="162" t="s">
        <v>4864</v>
      </c>
      <c r="AB45" s="162" t="s">
        <v>34</v>
      </c>
      <c r="AC45" s="162" t="s">
        <v>2123</v>
      </c>
      <c r="AD45" s="162" t="s">
        <v>2124</v>
      </c>
      <c r="AE45" s="162" t="s">
        <v>1758</v>
      </c>
      <c r="AF45" s="162" t="s">
        <v>3347</v>
      </c>
      <c r="AG45" s="162" t="s">
        <v>3347</v>
      </c>
      <c r="AH45" s="162" t="s">
        <v>3347</v>
      </c>
      <c r="AI45" s="162" t="s">
        <v>3347</v>
      </c>
      <c r="AJ45" s="162" t="s">
        <v>3347</v>
      </c>
      <c r="AK45" s="162" t="s">
        <v>2125</v>
      </c>
      <c r="AL45" s="162" t="s">
        <v>34</v>
      </c>
      <c r="AM45" t="s">
        <v>4803</v>
      </c>
      <c r="AN45" s="478">
        <v>0</v>
      </c>
      <c r="AO45" s="478">
        <v>0</v>
      </c>
      <c r="CE45" s="462"/>
      <c r="CG45" s="462" t="s">
        <v>1857</v>
      </c>
      <c r="CI45" s="462" t="s">
        <v>1903</v>
      </c>
      <c r="CJ45" s="462" t="s">
        <v>1903</v>
      </c>
    </row>
    <row r="46" spans="1:88" x14ac:dyDescent="0.2">
      <c r="A46">
        <v>45</v>
      </c>
      <c r="B46" s="462" t="s">
        <v>870</v>
      </c>
      <c r="C46" s="162" t="s">
        <v>829</v>
      </c>
      <c r="D46" s="162" t="s">
        <v>3997</v>
      </c>
      <c r="E46" s="162" t="s">
        <v>2012</v>
      </c>
      <c r="F46" s="162" t="s">
        <v>2013</v>
      </c>
      <c r="G46" s="162" t="s">
        <v>34</v>
      </c>
      <c r="H46" s="162" t="s">
        <v>2128</v>
      </c>
      <c r="I46" s="162" t="s">
        <v>5651</v>
      </c>
      <c r="J46" s="162" t="s">
        <v>2116</v>
      </c>
      <c r="K46" s="162" t="s">
        <v>2292</v>
      </c>
      <c r="L46" s="162" t="s">
        <v>2255</v>
      </c>
      <c r="M46" s="162" t="s">
        <v>2293</v>
      </c>
      <c r="N46" s="162" t="s">
        <v>2293</v>
      </c>
      <c r="O46" s="162" t="s">
        <v>5652</v>
      </c>
      <c r="P46" s="162" t="s">
        <v>2294</v>
      </c>
      <c r="Q46" s="162" t="s">
        <v>4863</v>
      </c>
      <c r="R46" s="162" t="s">
        <v>2295</v>
      </c>
      <c r="S46" s="162" t="s">
        <v>2296</v>
      </c>
      <c r="T46" s="162">
        <v>509.8</v>
      </c>
      <c r="U46" s="162" t="s">
        <v>2150</v>
      </c>
      <c r="V46" s="162" t="s">
        <v>2297</v>
      </c>
      <c r="W46" s="162">
        <v>8310260</v>
      </c>
      <c r="X46" s="162" t="s">
        <v>4864</v>
      </c>
      <c r="Y46" s="162" t="s">
        <v>2298</v>
      </c>
      <c r="Z46" s="162" t="s">
        <v>2299</v>
      </c>
      <c r="AA46" s="162" t="s">
        <v>4864</v>
      </c>
      <c r="AB46" s="162" t="s">
        <v>2300</v>
      </c>
      <c r="AC46" s="162" t="s">
        <v>2123</v>
      </c>
      <c r="AD46" s="162" t="s">
        <v>2124</v>
      </c>
      <c r="AE46" s="162" t="s">
        <v>1758</v>
      </c>
      <c r="AF46" s="162">
        <v>25.5</v>
      </c>
      <c r="AG46" s="162">
        <v>135</v>
      </c>
      <c r="AH46" s="162">
        <v>32.4</v>
      </c>
      <c r="AI46" s="162" t="s">
        <v>34</v>
      </c>
      <c r="AJ46" s="162" t="s">
        <v>34</v>
      </c>
      <c r="AK46" s="162" t="s">
        <v>2125</v>
      </c>
      <c r="AL46" s="162" t="s">
        <v>34</v>
      </c>
      <c r="AM46" t="s">
        <v>4803</v>
      </c>
      <c r="AN46" s="478">
        <v>0</v>
      </c>
      <c r="AO46" s="478">
        <v>0</v>
      </c>
      <c r="CE46" s="462"/>
      <c r="CG46" s="462" t="s">
        <v>1254</v>
      </c>
      <c r="CI46" s="462" t="s">
        <v>3772</v>
      </c>
      <c r="CJ46" s="462" t="s">
        <v>3772</v>
      </c>
    </row>
    <row r="47" spans="1:88" x14ac:dyDescent="0.2">
      <c r="A47">
        <v>46</v>
      </c>
      <c r="B47" s="462" t="s">
        <v>882</v>
      </c>
      <c r="C47" s="162" t="s">
        <v>886</v>
      </c>
      <c r="D47" s="162" t="s">
        <v>3998</v>
      </c>
      <c r="E47" s="162" t="s">
        <v>2014</v>
      </c>
      <c r="F47" s="162" t="s">
        <v>2015</v>
      </c>
      <c r="G47" s="162" t="s">
        <v>34</v>
      </c>
      <c r="H47" s="162" t="s">
        <v>2128</v>
      </c>
      <c r="I47" s="162" t="s">
        <v>5651</v>
      </c>
      <c r="J47" s="162" t="s">
        <v>2116</v>
      </c>
      <c r="K47" s="162" t="s">
        <v>1419</v>
      </c>
      <c r="L47" s="162" t="s">
        <v>2322</v>
      </c>
      <c r="M47" s="162">
        <v>3199</v>
      </c>
      <c r="N47" s="162" t="s">
        <v>886</v>
      </c>
      <c r="O47" s="162" t="s">
        <v>5654</v>
      </c>
      <c r="P47" s="162" t="s">
        <v>2323</v>
      </c>
      <c r="Q47" s="162" t="s">
        <v>4865</v>
      </c>
      <c r="R47" s="162" t="s">
        <v>2121</v>
      </c>
      <c r="S47" s="162" t="s">
        <v>2324</v>
      </c>
      <c r="T47" s="162">
        <v>258.89999999999998</v>
      </c>
      <c r="U47" s="162" t="s">
        <v>2148</v>
      </c>
      <c r="V47" s="162" t="s">
        <v>2206</v>
      </c>
      <c r="W47" s="162" t="s">
        <v>2325</v>
      </c>
      <c r="X47" s="162" t="s">
        <v>4864</v>
      </c>
      <c r="Y47" s="162" t="s">
        <v>2319</v>
      </c>
      <c r="Z47" s="162" t="s">
        <v>2320</v>
      </c>
      <c r="AA47" s="162" t="s">
        <v>4864</v>
      </c>
      <c r="AB47" s="162" t="s">
        <v>34</v>
      </c>
      <c r="AC47" s="162" t="s">
        <v>2123</v>
      </c>
      <c r="AD47" s="162" t="s">
        <v>2124</v>
      </c>
      <c r="AE47" s="162" t="s">
        <v>1758</v>
      </c>
      <c r="AF47" s="162">
        <v>6.7</v>
      </c>
      <c r="AG47" s="162">
        <v>99</v>
      </c>
      <c r="AH47" s="162">
        <v>16</v>
      </c>
      <c r="AI47" s="162" t="s">
        <v>34</v>
      </c>
      <c r="AJ47" s="162" t="s">
        <v>34</v>
      </c>
      <c r="AK47" s="162" t="s">
        <v>2125</v>
      </c>
      <c r="AL47" s="162" t="s">
        <v>34</v>
      </c>
      <c r="AM47" t="s">
        <v>4806</v>
      </c>
      <c r="AN47" s="478">
        <v>1.4583333333333332E-2</v>
      </c>
      <c r="AO47" s="478">
        <v>0</v>
      </c>
      <c r="CE47" s="462"/>
      <c r="CG47" s="462" t="s">
        <v>1280</v>
      </c>
      <c r="CI47" s="462" t="s">
        <v>1299</v>
      </c>
      <c r="CJ47" s="462" t="s">
        <v>1299</v>
      </c>
    </row>
    <row r="48" spans="1:88" x14ac:dyDescent="0.2">
      <c r="A48">
        <v>47</v>
      </c>
      <c r="B48" s="462" t="s">
        <v>882</v>
      </c>
      <c r="C48" s="162" t="s">
        <v>892</v>
      </c>
      <c r="D48" s="162" t="s">
        <v>3999</v>
      </c>
      <c r="E48" s="162" t="s">
        <v>2014</v>
      </c>
      <c r="F48" s="162" t="s">
        <v>2015</v>
      </c>
      <c r="G48" s="162" t="s">
        <v>34</v>
      </c>
      <c r="H48" s="162" t="s">
        <v>2128</v>
      </c>
      <c r="I48" s="162" t="s">
        <v>5651</v>
      </c>
      <c r="J48" s="162" t="s">
        <v>2116</v>
      </c>
      <c r="K48" s="162" t="s">
        <v>2343</v>
      </c>
      <c r="L48" s="162" t="s">
        <v>2344</v>
      </c>
      <c r="M48" s="162">
        <v>1240</v>
      </c>
      <c r="N48" s="162" t="s">
        <v>892</v>
      </c>
      <c r="O48" s="162" t="s">
        <v>5654</v>
      </c>
      <c r="P48" s="162" t="s">
        <v>2323</v>
      </c>
      <c r="Q48" s="162" t="s">
        <v>4865</v>
      </c>
      <c r="R48" s="162" t="s">
        <v>2121</v>
      </c>
      <c r="S48" s="162" t="s">
        <v>2345</v>
      </c>
      <c r="T48" s="162">
        <v>12.9</v>
      </c>
      <c r="U48" s="162" t="s">
        <v>2148</v>
      </c>
      <c r="V48" s="162" t="s">
        <v>2206</v>
      </c>
      <c r="W48" s="162" t="s">
        <v>2346</v>
      </c>
      <c r="X48" s="162" t="s">
        <v>4864</v>
      </c>
      <c r="Y48" s="162" t="s">
        <v>2319</v>
      </c>
      <c r="Z48" s="162" t="s">
        <v>4475</v>
      </c>
      <c r="AA48" s="162" t="s">
        <v>4864</v>
      </c>
      <c r="AB48" s="162" t="s">
        <v>34</v>
      </c>
      <c r="AC48" s="162" t="s">
        <v>2123</v>
      </c>
      <c r="AD48" s="162" t="s">
        <v>2124</v>
      </c>
      <c r="AE48" s="162" t="s">
        <v>1758</v>
      </c>
      <c r="AF48" s="162">
        <v>32.200000000000003</v>
      </c>
      <c r="AG48" s="162">
        <v>277</v>
      </c>
      <c r="AH48" s="162" t="s">
        <v>4398</v>
      </c>
      <c r="AI48" s="162" t="s">
        <v>3892</v>
      </c>
      <c r="AJ48" s="162" t="s">
        <v>3893</v>
      </c>
      <c r="AK48" s="162" t="s">
        <v>2125</v>
      </c>
      <c r="AL48" s="162" t="s">
        <v>34</v>
      </c>
      <c r="AM48" t="s">
        <v>4806</v>
      </c>
      <c r="AN48" s="478">
        <v>0</v>
      </c>
      <c r="AO48" s="478">
        <v>0</v>
      </c>
      <c r="CE48" s="462"/>
      <c r="CG48" s="462" t="s">
        <v>1903</v>
      </c>
      <c r="CI48" s="462" t="s">
        <v>4412</v>
      </c>
      <c r="CJ48" s="462" t="s">
        <v>4412</v>
      </c>
    </row>
    <row r="49" spans="1:88" x14ac:dyDescent="0.2">
      <c r="A49">
        <v>48</v>
      </c>
      <c r="B49" s="462" t="s">
        <v>882</v>
      </c>
      <c r="C49" s="162" t="s">
        <v>888</v>
      </c>
      <c r="D49" s="162" t="s">
        <v>4000</v>
      </c>
      <c r="E49" s="162" t="s">
        <v>2014</v>
      </c>
      <c r="F49" s="162" t="s">
        <v>2015</v>
      </c>
      <c r="G49" s="162" t="s">
        <v>34</v>
      </c>
      <c r="H49" s="162" t="s">
        <v>2128</v>
      </c>
      <c r="I49" s="162" t="s">
        <v>5651</v>
      </c>
      <c r="J49" s="162" t="s">
        <v>1764</v>
      </c>
      <c r="K49" s="162" t="s">
        <v>2355</v>
      </c>
      <c r="L49" s="162" t="s">
        <v>109</v>
      </c>
      <c r="M49" s="162" t="s">
        <v>2356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2123</v>
      </c>
      <c r="AD49" s="162" t="s">
        <v>2124</v>
      </c>
      <c r="AE49" s="162" t="s">
        <v>1758</v>
      </c>
      <c r="AF49" s="162" t="s">
        <v>3347</v>
      </c>
      <c r="AG49" s="162" t="s">
        <v>34</v>
      </c>
      <c r="AH49" s="162" t="s">
        <v>34</v>
      </c>
      <c r="AI49" s="162" t="s">
        <v>34</v>
      </c>
      <c r="AJ49" s="162" t="s">
        <v>34</v>
      </c>
      <c r="AK49" s="162" t="s">
        <v>2125</v>
      </c>
      <c r="AL49" s="162" t="s">
        <v>34</v>
      </c>
      <c r="AM49" t="s">
        <v>4807</v>
      </c>
      <c r="AN49" s="478">
        <v>0</v>
      </c>
      <c r="AO49" s="478">
        <v>0</v>
      </c>
      <c r="CE49" s="462"/>
      <c r="CG49" s="462" t="s">
        <v>3772</v>
      </c>
      <c r="CI49" s="462" t="s">
        <v>3013</v>
      </c>
      <c r="CJ49" s="462" t="s">
        <v>3013</v>
      </c>
    </row>
    <row r="50" spans="1:88" x14ac:dyDescent="0.2">
      <c r="A50">
        <v>49</v>
      </c>
      <c r="B50" s="462" t="s">
        <v>882</v>
      </c>
      <c r="C50" s="162" t="s">
        <v>1765</v>
      </c>
      <c r="D50" s="162" t="s">
        <v>4001</v>
      </c>
      <c r="E50" s="162" t="s">
        <v>2014</v>
      </c>
      <c r="F50" s="162" t="s">
        <v>2015</v>
      </c>
      <c r="G50" s="162" t="s">
        <v>34</v>
      </c>
      <c r="H50" s="162" t="s">
        <v>2128</v>
      </c>
      <c r="I50" s="162" t="s">
        <v>5651</v>
      </c>
      <c r="J50" s="162" t="s">
        <v>2116</v>
      </c>
      <c r="K50" s="162" t="s">
        <v>2326</v>
      </c>
      <c r="L50" s="162" t="s">
        <v>2255</v>
      </c>
      <c r="M50" s="162" t="s">
        <v>1765</v>
      </c>
      <c r="N50" s="162" t="s">
        <v>1765</v>
      </c>
      <c r="O50" s="162" t="s">
        <v>5652</v>
      </c>
      <c r="P50" s="162" t="s">
        <v>2327</v>
      </c>
      <c r="Q50" s="162" t="s">
        <v>4863</v>
      </c>
      <c r="R50" s="162" t="s">
        <v>2295</v>
      </c>
      <c r="S50" s="162" t="s">
        <v>2328</v>
      </c>
      <c r="T50" s="162">
        <v>385</v>
      </c>
      <c r="U50" s="162" t="s">
        <v>2148</v>
      </c>
      <c r="V50" s="162" t="s">
        <v>2329</v>
      </c>
      <c r="W50" s="162" t="s">
        <v>2330</v>
      </c>
      <c r="X50" s="162" t="s">
        <v>4864</v>
      </c>
      <c r="Y50" s="162" t="s">
        <v>2331</v>
      </c>
      <c r="Z50" s="162">
        <v>27289</v>
      </c>
      <c r="AA50" s="162" t="s">
        <v>4864</v>
      </c>
      <c r="AB50" s="162" t="s">
        <v>34</v>
      </c>
      <c r="AC50" s="162" t="s">
        <v>2123</v>
      </c>
      <c r="AD50" s="162" t="s">
        <v>2124</v>
      </c>
      <c r="AE50" s="162" t="s">
        <v>1758</v>
      </c>
      <c r="AF50" s="162">
        <v>3.2</v>
      </c>
      <c r="AG50" s="162">
        <v>349</v>
      </c>
      <c r="AH50" s="162">
        <v>58</v>
      </c>
      <c r="AI50" s="162" t="s">
        <v>34</v>
      </c>
      <c r="AJ50" s="162" t="s">
        <v>34</v>
      </c>
      <c r="AK50" s="162" t="s">
        <v>2125</v>
      </c>
      <c r="AL50" s="162" t="s">
        <v>34</v>
      </c>
      <c r="AM50" t="s">
        <v>4803</v>
      </c>
      <c r="AN50" s="478">
        <v>1.4583333333333332E-2</v>
      </c>
      <c r="AO50" s="478">
        <v>2.1527777777777781E-2</v>
      </c>
      <c r="CE50" s="462"/>
      <c r="CG50" s="462" t="s">
        <v>5515</v>
      </c>
      <c r="CI50" s="462" t="s">
        <v>1338</v>
      </c>
      <c r="CJ50" s="462" t="s">
        <v>1338</v>
      </c>
    </row>
    <row r="51" spans="1:88" x14ac:dyDescent="0.2">
      <c r="A51">
        <v>50</v>
      </c>
      <c r="B51" s="462" t="s">
        <v>882</v>
      </c>
      <c r="C51" s="162" t="s">
        <v>890</v>
      </c>
      <c r="D51" s="162" t="s">
        <v>4002</v>
      </c>
      <c r="E51" s="162" t="s">
        <v>2014</v>
      </c>
      <c r="F51" s="162" t="s">
        <v>2015</v>
      </c>
      <c r="G51" s="162" t="s">
        <v>34</v>
      </c>
      <c r="H51" s="162" t="s">
        <v>2128</v>
      </c>
      <c r="I51" s="162" t="s">
        <v>5651</v>
      </c>
      <c r="J51" s="162" t="s">
        <v>2116</v>
      </c>
      <c r="K51" s="162" t="s">
        <v>2347</v>
      </c>
      <c r="L51" s="162" t="s">
        <v>2348</v>
      </c>
      <c r="M51" s="162" t="s">
        <v>2349</v>
      </c>
      <c r="N51" s="162" t="s">
        <v>890</v>
      </c>
      <c r="O51" s="162" t="s">
        <v>5655</v>
      </c>
      <c r="P51" s="162" t="s">
        <v>2350</v>
      </c>
      <c r="Q51" s="162" t="s">
        <v>4889</v>
      </c>
      <c r="R51" s="162" t="s">
        <v>2121</v>
      </c>
      <c r="S51" s="162" t="s">
        <v>2351</v>
      </c>
      <c r="T51" s="162">
        <v>28.8</v>
      </c>
      <c r="U51" s="162" t="s">
        <v>2150</v>
      </c>
      <c r="V51" s="162" t="s">
        <v>2352</v>
      </c>
      <c r="W51" s="162" t="s">
        <v>2353</v>
      </c>
      <c r="X51" s="162" t="s">
        <v>4890</v>
      </c>
      <c r="Y51" s="162" t="s">
        <v>2331</v>
      </c>
      <c r="Z51" s="162" t="s">
        <v>2354</v>
      </c>
      <c r="AA51" s="162" t="s">
        <v>4890</v>
      </c>
      <c r="AB51" s="162" t="s">
        <v>34</v>
      </c>
      <c r="AC51" s="162" t="s">
        <v>2123</v>
      </c>
      <c r="AD51" s="162" t="s">
        <v>2124</v>
      </c>
      <c r="AE51" s="162" t="s">
        <v>1758</v>
      </c>
      <c r="AF51" s="162">
        <v>1</v>
      </c>
      <c r="AG51" s="162">
        <v>3</v>
      </c>
      <c r="AH51" s="162">
        <v>0.5</v>
      </c>
      <c r="AI51" s="162" t="s">
        <v>3890</v>
      </c>
      <c r="AJ51" s="162" t="s">
        <v>3891</v>
      </c>
      <c r="AK51" s="162" t="s">
        <v>2125</v>
      </c>
      <c r="AL51" s="162" t="s">
        <v>34</v>
      </c>
      <c r="AM51" t="s">
        <v>4806</v>
      </c>
      <c r="AN51" s="478">
        <v>0</v>
      </c>
      <c r="AO51" s="478">
        <v>0</v>
      </c>
      <c r="CE51" s="462"/>
      <c r="CG51" s="462" t="s">
        <v>1299</v>
      </c>
      <c r="CI51" s="462" t="s">
        <v>1777</v>
      </c>
      <c r="CJ51" s="462" t="s">
        <v>1777</v>
      </c>
    </row>
    <row r="52" spans="1:88" x14ac:dyDescent="0.2">
      <c r="A52">
        <v>51</v>
      </c>
      <c r="B52" s="462" t="s">
        <v>882</v>
      </c>
      <c r="C52" s="162" t="s">
        <v>873</v>
      </c>
      <c r="D52" s="162" t="s">
        <v>4003</v>
      </c>
      <c r="E52" s="162" t="s">
        <v>2014</v>
      </c>
      <c r="F52" s="162" t="s">
        <v>2015</v>
      </c>
      <c r="G52" s="162" t="s">
        <v>34</v>
      </c>
      <c r="H52" s="162" t="s">
        <v>2128</v>
      </c>
      <c r="I52" s="162" t="s">
        <v>5651</v>
      </c>
      <c r="J52" s="162" t="s">
        <v>2116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2123</v>
      </c>
      <c r="AD52" s="162" t="s">
        <v>2124</v>
      </c>
      <c r="AE52" s="162" t="s">
        <v>1758</v>
      </c>
      <c r="AF52" s="162" t="s">
        <v>3347</v>
      </c>
      <c r="AG52" s="162" t="s">
        <v>34</v>
      </c>
      <c r="AH52" s="162" t="s">
        <v>34</v>
      </c>
      <c r="AI52" s="162" t="s">
        <v>34</v>
      </c>
      <c r="AJ52" s="162" t="s">
        <v>34</v>
      </c>
      <c r="AK52" s="162" t="s">
        <v>2125</v>
      </c>
      <c r="AL52" s="162" t="s">
        <v>34</v>
      </c>
      <c r="AM52" t="s">
        <v>4803</v>
      </c>
      <c r="AN52" s="478">
        <v>0</v>
      </c>
      <c r="AO52" s="478">
        <v>0</v>
      </c>
      <c r="CE52" s="462"/>
      <c r="CG52" s="462" t="s">
        <v>4412</v>
      </c>
      <c r="CI52" s="462" t="s">
        <v>1343</v>
      </c>
      <c r="CJ52" s="462" t="s">
        <v>1343</v>
      </c>
    </row>
    <row r="53" spans="1:88" x14ac:dyDescent="0.2">
      <c r="A53">
        <v>52</v>
      </c>
      <c r="B53" s="462" t="s">
        <v>882</v>
      </c>
      <c r="C53" s="162" t="s">
        <v>1766</v>
      </c>
      <c r="D53" s="162" t="s">
        <v>4004</v>
      </c>
      <c r="E53" s="162" t="s">
        <v>2014</v>
      </c>
      <c r="F53" s="162" t="s">
        <v>2015</v>
      </c>
      <c r="G53" s="162" t="s">
        <v>34</v>
      </c>
      <c r="H53" s="162" t="s">
        <v>2128</v>
      </c>
      <c r="I53" s="162" t="s">
        <v>5651</v>
      </c>
      <c r="J53" s="162" t="s">
        <v>2116</v>
      </c>
      <c r="K53" s="162" t="s">
        <v>1238</v>
      </c>
      <c r="L53" s="162" t="s">
        <v>2119</v>
      </c>
      <c r="M53" s="162" t="s">
        <v>1766</v>
      </c>
      <c r="N53" s="162" t="s">
        <v>1766</v>
      </c>
      <c r="O53" s="162" t="s">
        <v>904</v>
      </c>
      <c r="P53" s="162" t="s">
        <v>2339</v>
      </c>
      <c r="Q53" s="162" t="s">
        <v>4876</v>
      </c>
      <c r="R53" s="162" t="s">
        <v>2222</v>
      </c>
      <c r="S53" s="162" t="s">
        <v>2340</v>
      </c>
      <c r="T53" s="162">
        <v>48.6</v>
      </c>
      <c r="U53" s="162" t="s">
        <v>2150</v>
      </c>
      <c r="V53" s="162" t="s">
        <v>2341</v>
      </c>
      <c r="W53" s="162" t="s">
        <v>2342</v>
      </c>
      <c r="X53" s="162" t="s">
        <v>4864</v>
      </c>
      <c r="Y53" s="162" t="s">
        <v>109</v>
      </c>
      <c r="Z53" s="162" t="s">
        <v>109</v>
      </c>
      <c r="AA53" s="162" t="s">
        <v>109</v>
      </c>
      <c r="AB53" s="162" t="s">
        <v>34</v>
      </c>
      <c r="AC53" s="162" t="s">
        <v>2123</v>
      </c>
      <c r="AD53" s="162" t="s">
        <v>2124</v>
      </c>
      <c r="AE53" s="162" t="s">
        <v>1758</v>
      </c>
      <c r="AF53" s="162">
        <v>0</v>
      </c>
      <c r="AG53" s="162" t="s">
        <v>4836</v>
      </c>
      <c r="AH53" s="162" t="s">
        <v>4837</v>
      </c>
      <c r="AI53" s="162" t="s">
        <v>4838</v>
      </c>
      <c r="AJ53" s="162" t="s">
        <v>34</v>
      </c>
      <c r="AK53" s="162" t="s">
        <v>2125</v>
      </c>
      <c r="AL53" s="162" t="s">
        <v>34</v>
      </c>
      <c r="AM53" t="s">
        <v>4803</v>
      </c>
      <c r="AN53" s="478">
        <v>0</v>
      </c>
      <c r="AO53" s="478">
        <v>0</v>
      </c>
      <c r="CE53" s="462"/>
      <c r="CG53" s="462" t="s">
        <v>3013</v>
      </c>
      <c r="CI53" s="462" t="s">
        <v>1378</v>
      </c>
      <c r="CJ53" s="462" t="s">
        <v>1378</v>
      </c>
    </row>
    <row r="54" spans="1:88" x14ac:dyDescent="0.2">
      <c r="A54">
        <v>53</v>
      </c>
      <c r="B54" s="462" t="s">
        <v>882</v>
      </c>
      <c r="C54" s="162" t="s">
        <v>899</v>
      </c>
      <c r="D54" s="162" t="s">
        <v>4005</v>
      </c>
      <c r="E54" s="162" t="s">
        <v>2014</v>
      </c>
      <c r="F54" s="162" t="s">
        <v>2015</v>
      </c>
      <c r="G54" s="162" t="s">
        <v>34</v>
      </c>
      <c r="H54" s="162" t="s">
        <v>2128</v>
      </c>
      <c r="I54" s="162" t="s">
        <v>5651</v>
      </c>
      <c r="J54" s="162" t="s">
        <v>1764</v>
      </c>
      <c r="K54" s="162" t="s">
        <v>1120</v>
      </c>
      <c r="L54" s="162" t="s">
        <v>2243</v>
      </c>
      <c r="M54" s="162" t="s">
        <v>899</v>
      </c>
      <c r="N54" s="162" t="s">
        <v>899</v>
      </c>
      <c r="O54" s="162" t="s">
        <v>904</v>
      </c>
      <c r="P54" s="162" t="s">
        <v>2335</v>
      </c>
      <c r="Q54" s="162" t="s">
        <v>4861</v>
      </c>
      <c r="R54" s="162" t="s">
        <v>2185</v>
      </c>
      <c r="S54" s="162" t="s">
        <v>2336</v>
      </c>
      <c r="T54" s="162">
        <v>540</v>
      </c>
      <c r="U54" s="162" t="s">
        <v>2151</v>
      </c>
      <c r="V54" s="162" t="s">
        <v>2337</v>
      </c>
      <c r="W54" s="162" t="s">
        <v>2338</v>
      </c>
      <c r="X54" s="162" t="s">
        <v>4864</v>
      </c>
      <c r="Y54" s="162" t="s">
        <v>109</v>
      </c>
      <c r="Z54" s="162" t="s">
        <v>109</v>
      </c>
      <c r="AA54" s="162" t="s">
        <v>109</v>
      </c>
      <c r="AB54" s="162" t="s">
        <v>34</v>
      </c>
      <c r="AC54" s="162" t="s">
        <v>2123</v>
      </c>
      <c r="AD54" s="162" t="s">
        <v>2124</v>
      </c>
      <c r="AE54" s="162" t="s">
        <v>1758</v>
      </c>
      <c r="AF54" s="162" t="s">
        <v>3347</v>
      </c>
      <c r="AG54" s="162" t="s">
        <v>34</v>
      </c>
      <c r="AH54" s="162" t="s">
        <v>34</v>
      </c>
      <c r="AI54" s="162" t="s">
        <v>34</v>
      </c>
      <c r="AJ54" s="162" t="s">
        <v>34</v>
      </c>
      <c r="AK54" s="162" t="s">
        <v>2125</v>
      </c>
      <c r="AL54" s="162" t="s">
        <v>34</v>
      </c>
      <c r="AM54" t="s">
        <v>4803</v>
      </c>
      <c r="AN54" s="478">
        <v>0</v>
      </c>
      <c r="AO54" s="478">
        <v>0</v>
      </c>
      <c r="CE54" s="462"/>
      <c r="CG54" s="462" t="s">
        <v>1338</v>
      </c>
      <c r="CI54" s="462" t="s">
        <v>1348</v>
      </c>
      <c r="CJ54" s="462" t="s">
        <v>1348</v>
      </c>
    </row>
    <row r="55" spans="1:88" x14ac:dyDescent="0.2">
      <c r="A55">
        <v>54</v>
      </c>
      <c r="B55" s="462" t="s">
        <v>882</v>
      </c>
      <c r="C55" s="162" t="s">
        <v>897</v>
      </c>
      <c r="D55" s="162" t="s">
        <v>4006</v>
      </c>
      <c r="E55" s="162" t="s">
        <v>2014</v>
      </c>
      <c r="F55" s="162" t="s">
        <v>2015</v>
      </c>
      <c r="G55" s="162" t="s">
        <v>34</v>
      </c>
      <c r="H55" s="162" t="s">
        <v>2128</v>
      </c>
      <c r="I55" s="162" t="s">
        <v>5651</v>
      </c>
      <c r="J55" s="162" t="s">
        <v>1764</v>
      </c>
      <c r="K55" s="162" t="s">
        <v>1450</v>
      </c>
      <c r="L55" s="162" t="s">
        <v>2332</v>
      </c>
      <c r="M55" s="162">
        <v>79175</v>
      </c>
      <c r="N55" s="162" t="s">
        <v>897</v>
      </c>
      <c r="O55" s="162" t="s">
        <v>5656</v>
      </c>
      <c r="P55" s="162" t="s">
        <v>2333</v>
      </c>
      <c r="Q55" s="162" t="s">
        <v>4863</v>
      </c>
      <c r="R55" s="162" t="s">
        <v>2222</v>
      </c>
      <c r="S55" s="162" t="s">
        <v>2334</v>
      </c>
      <c r="T55" s="162">
        <v>172.5</v>
      </c>
      <c r="U55" s="162" t="s">
        <v>2148</v>
      </c>
      <c r="V55" s="162" t="s">
        <v>2541</v>
      </c>
      <c r="W55" s="162" t="s">
        <v>4999</v>
      </c>
      <c r="X55" s="162" t="s">
        <v>4864</v>
      </c>
      <c r="Y55" s="162" t="s">
        <v>2319</v>
      </c>
      <c r="Z55" s="162" t="s">
        <v>2320</v>
      </c>
      <c r="AA55" s="162" t="s">
        <v>4864</v>
      </c>
      <c r="AB55" s="162" t="s">
        <v>34</v>
      </c>
      <c r="AC55" s="162" t="s">
        <v>2123</v>
      </c>
      <c r="AD55" s="162" t="s">
        <v>2124</v>
      </c>
      <c r="AE55" s="162" t="s">
        <v>1758</v>
      </c>
      <c r="AF55" s="162" t="s">
        <v>3347</v>
      </c>
      <c r="AG55" s="162" t="s">
        <v>34</v>
      </c>
      <c r="AH55" s="162" t="s">
        <v>34</v>
      </c>
      <c r="AI55" s="162" t="s">
        <v>34</v>
      </c>
      <c r="AJ55" s="162" t="s">
        <v>34</v>
      </c>
      <c r="AK55" s="162" t="s">
        <v>2125</v>
      </c>
      <c r="AL55" s="162" t="s">
        <v>34</v>
      </c>
      <c r="AM55" t="s">
        <v>4803</v>
      </c>
      <c r="AN55" s="478">
        <v>0</v>
      </c>
      <c r="AO55" s="478">
        <v>0</v>
      </c>
      <c r="CE55" s="462"/>
      <c r="CG55" s="462" t="s">
        <v>1777</v>
      </c>
      <c r="CI55" s="462" t="s">
        <v>1384</v>
      </c>
      <c r="CJ55" s="462" t="s">
        <v>1384</v>
      </c>
    </row>
    <row r="56" spans="1:88" x14ac:dyDescent="0.2">
      <c r="A56">
        <v>55</v>
      </c>
      <c r="B56" s="462" t="s">
        <v>882</v>
      </c>
      <c r="C56" s="162" t="s">
        <v>884</v>
      </c>
      <c r="D56" s="162" t="s">
        <v>4007</v>
      </c>
      <c r="E56" s="162" t="s">
        <v>2014</v>
      </c>
      <c r="F56" s="162" t="s">
        <v>2015</v>
      </c>
      <c r="G56" s="162" t="s">
        <v>34</v>
      </c>
      <c r="H56" s="162" t="s">
        <v>2128</v>
      </c>
      <c r="I56" s="162" t="s">
        <v>5651</v>
      </c>
      <c r="J56" s="162" t="s">
        <v>2116</v>
      </c>
      <c r="K56" s="162" t="s">
        <v>2312</v>
      </c>
      <c r="L56" s="162" t="s">
        <v>2313</v>
      </c>
      <c r="M56" s="162" t="s">
        <v>2314</v>
      </c>
      <c r="N56" s="162" t="s">
        <v>884</v>
      </c>
      <c r="O56" s="162" t="s">
        <v>5657</v>
      </c>
      <c r="P56" s="162" t="s">
        <v>2315</v>
      </c>
      <c r="Q56" s="162" t="s">
        <v>4891</v>
      </c>
      <c r="R56" s="162" t="s">
        <v>2121</v>
      </c>
      <c r="S56" s="162" t="s">
        <v>2316</v>
      </c>
      <c r="T56" s="162">
        <v>182.2</v>
      </c>
      <c r="U56" s="162" t="s">
        <v>2148</v>
      </c>
      <c r="V56" s="162" t="s">
        <v>2317</v>
      </c>
      <c r="W56" s="162" t="s">
        <v>2318</v>
      </c>
      <c r="X56" s="162" t="s">
        <v>4864</v>
      </c>
      <c r="Y56" s="162" t="s">
        <v>2319</v>
      </c>
      <c r="Z56" s="162" t="s">
        <v>2320</v>
      </c>
      <c r="AA56" s="162" t="s">
        <v>4864</v>
      </c>
      <c r="AB56" s="162" t="s">
        <v>2321</v>
      </c>
      <c r="AC56" s="162" t="s">
        <v>2123</v>
      </c>
      <c r="AD56" s="162" t="s">
        <v>2124</v>
      </c>
      <c r="AE56" s="162" t="s">
        <v>1758</v>
      </c>
      <c r="AF56" s="162">
        <v>3</v>
      </c>
      <c r="AG56" s="162">
        <v>1.5</v>
      </c>
      <c r="AH56" s="162">
        <v>1</v>
      </c>
      <c r="AI56" s="162" t="s">
        <v>3888</v>
      </c>
      <c r="AJ56" s="162" t="s">
        <v>3889</v>
      </c>
      <c r="AK56" s="162" t="s">
        <v>2125</v>
      </c>
      <c r="AL56" s="162" t="s">
        <v>34</v>
      </c>
      <c r="AM56" t="s">
        <v>4806</v>
      </c>
      <c r="AN56" s="478">
        <v>1.3888888888888888E-2</v>
      </c>
      <c r="AO56" s="478">
        <v>0</v>
      </c>
      <c r="CE56" s="462"/>
      <c r="CG56" s="462" t="s">
        <v>1343</v>
      </c>
      <c r="CI56" s="462" t="s">
        <v>1388</v>
      </c>
      <c r="CJ56" s="462" t="s">
        <v>1388</v>
      </c>
    </row>
    <row r="57" spans="1:88" x14ac:dyDescent="0.2">
      <c r="A57">
        <v>56</v>
      </c>
      <c r="B57" s="462" t="s">
        <v>882</v>
      </c>
      <c r="C57" s="162" t="s">
        <v>4937</v>
      </c>
      <c r="D57" s="162" t="s">
        <v>4938</v>
      </c>
      <c r="E57" s="162" t="s">
        <v>2014</v>
      </c>
      <c r="F57" s="162" t="s">
        <v>2015</v>
      </c>
      <c r="G57" s="162" t="s">
        <v>34</v>
      </c>
      <c r="H57" s="162" t="s">
        <v>2128</v>
      </c>
      <c r="I57" s="162" t="s">
        <v>5651</v>
      </c>
      <c r="J57" s="162" t="s">
        <v>2116</v>
      </c>
      <c r="K57" s="162" t="s">
        <v>4939</v>
      </c>
      <c r="L57" s="162" t="s">
        <v>4940</v>
      </c>
      <c r="M57" s="162" t="s">
        <v>4941</v>
      </c>
      <c r="N57" s="162" t="s">
        <v>4937</v>
      </c>
      <c r="O57" s="162" t="s">
        <v>5658</v>
      </c>
      <c r="P57" s="162" t="s">
        <v>4942</v>
      </c>
      <c r="Q57" s="162" t="s">
        <v>4861</v>
      </c>
      <c r="R57" s="162" t="s">
        <v>4371</v>
      </c>
      <c r="S57" s="162" t="s">
        <v>4943</v>
      </c>
      <c r="T57" s="162">
        <v>70</v>
      </c>
      <c r="U57" s="162" t="s">
        <v>2150</v>
      </c>
      <c r="V57" s="162" t="s">
        <v>4884</v>
      </c>
      <c r="W57" s="162">
        <v>26304</v>
      </c>
      <c r="X57" s="162" t="s">
        <v>4984</v>
      </c>
      <c r="Y57" s="162" t="s">
        <v>2331</v>
      </c>
      <c r="Z57" s="162" t="s">
        <v>2320</v>
      </c>
      <c r="AA57" s="162" t="s">
        <v>4984</v>
      </c>
      <c r="AB57" s="162" t="s">
        <v>34</v>
      </c>
      <c r="AC57" s="162" t="s">
        <v>2123</v>
      </c>
      <c r="AD57" s="162" t="s">
        <v>2124</v>
      </c>
      <c r="AE57" s="162" t="s">
        <v>1758</v>
      </c>
      <c r="AF57" s="162">
        <v>111</v>
      </c>
      <c r="AG57" s="162">
        <v>208</v>
      </c>
      <c r="AH57" s="162">
        <v>35</v>
      </c>
      <c r="AI57" s="162" t="s">
        <v>4944</v>
      </c>
      <c r="AJ57" s="162" t="s">
        <v>34</v>
      </c>
      <c r="AK57" s="162" t="s">
        <v>2125</v>
      </c>
      <c r="AL57" s="162" t="s">
        <v>34</v>
      </c>
      <c r="AM57" t="s">
        <v>4945</v>
      </c>
      <c r="AN57" s="478"/>
      <c r="AO57" s="478"/>
      <c r="CE57" s="462"/>
      <c r="CG57" s="462" t="s">
        <v>1378</v>
      </c>
      <c r="CI57" s="462" t="s">
        <v>1402</v>
      </c>
      <c r="CJ57" s="462" t="s">
        <v>1402</v>
      </c>
    </row>
    <row r="58" spans="1:88" x14ac:dyDescent="0.2">
      <c r="A58">
        <v>57</v>
      </c>
      <c r="B58" s="462" t="s">
        <v>902</v>
      </c>
      <c r="C58" s="162" t="s">
        <v>906</v>
      </c>
      <c r="D58" s="162" t="s">
        <v>4008</v>
      </c>
      <c r="E58" s="162" t="s">
        <v>2016</v>
      </c>
      <c r="F58" s="162" t="s">
        <v>2017</v>
      </c>
      <c r="G58" s="162" t="s">
        <v>34</v>
      </c>
      <c r="H58" s="162" t="s">
        <v>2128</v>
      </c>
      <c r="I58" s="162" t="s">
        <v>5651</v>
      </c>
      <c r="J58" s="162" t="s">
        <v>1764</v>
      </c>
      <c r="K58" s="162" t="s">
        <v>1117</v>
      </c>
      <c r="L58" s="162" t="s">
        <v>2357</v>
      </c>
      <c r="M58" s="162" t="s">
        <v>906</v>
      </c>
      <c r="N58" s="162" t="s">
        <v>906</v>
      </c>
      <c r="O58" s="162" t="s">
        <v>904</v>
      </c>
      <c r="P58" s="162" t="s">
        <v>2358</v>
      </c>
      <c r="Q58" s="162" t="s">
        <v>4863</v>
      </c>
      <c r="R58" s="162" t="s">
        <v>2121</v>
      </c>
      <c r="S58" s="162" t="s">
        <v>2359</v>
      </c>
      <c r="T58" s="162">
        <v>26.4</v>
      </c>
      <c r="U58" s="162" t="s">
        <v>1947</v>
      </c>
      <c r="V58" s="162" t="s">
        <v>2360</v>
      </c>
      <c r="W58" s="162" t="s">
        <v>2361</v>
      </c>
      <c r="X58" s="162" t="s">
        <v>4864</v>
      </c>
      <c r="Y58" s="162" t="s">
        <v>109</v>
      </c>
      <c r="Z58" s="162" t="s">
        <v>109</v>
      </c>
      <c r="AA58" s="162" t="s">
        <v>109</v>
      </c>
      <c r="AB58" s="162" t="s">
        <v>34</v>
      </c>
      <c r="AC58" s="162" t="s">
        <v>2123</v>
      </c>
      <c r="AD58" s="162" t="s">
        <v>2124</v>
      </c>
      <c r="AE58" s="162" t="s">
        <v>1758</v>
      </c>
      <c r="AF58" s="162" t="s">
        <v>3347</v>
      </c>
      <c r="AG58" s="162" t="s">
        <v>34</v>
      </c>
      <c r="AH58" s="162" t="s">
        <v>34</v>
      </c>
      <c r="AI58" s="162" t="s">
        <v>34</v>
      </c>
      <c r="AJ58" s="162" t="s">
        <v>34</v>
      </c>
      <c r="AK58" s="162" t="s">
        <v>2125</v>
      </c>
      <c r="AL58" s="162" t="s">
        <v>34</v>
      </c>
      <c r="AM58" t="s">
        <v>4803</v>
      </c>
      <c r="AN58" s="478">
        <v>0</v>
      </c>
      <c r="AO58" s="478">
        <v>0</v>
      </c>
      <c r="CE58" s="462"/>
      <c r="CG58" s="462" t="s">
        <v>1348</v>
      </c>
      <c r="CI58" s="462" t="s">
        <v>1977</v>
      </c>
      <c r="CJ58" s="462" t="s">
        <v>1977</v>
      </c>
    </row>
    <row r="59" spans="1:88" x14ac:dyDescent="0.2">
      <c r="A59">
        <v>58</v>
      </c>
      <c r="B59" s="462" t="s">
        <v>902</v>
      </c>
      <c r="C59" s="162" t="s">
        <v>1767</v>
      </c>
      <c r="D59" s="162" t="s">
        <v>4009</v>
      </c>
      <c r="E59" s="162" t="s">
        <v>2016</v>
      </c>
      <c r="F59" s="162" t="s">
        <v>2017</v>
      </c>
      <c r="G59" s="162" t="s">
        <v>34</v>
      </c>
      <c r="H59" s="162" t="s">
        <v>2128</v>
      </c>
      <c r="I59" s="162" t="s">
        <v>5651</v>
      </c>
      <c r="J59" s="162" t="s">
        <v>1764</v>
      </c>
      <c r="K59" s="162" t="s">
        <v>1767</v>
      </c>
      <c r="L59" s="162" t="s">
        <v>2362</v>
      </c>
      <c r="M59" s="162" t="s">
        <v>2363</v>
      </c>
      <c r="N59" s="162" t="s">
        <v>1767</v>
      </c>
      <c r="O59" s="162" t="s">
        <v>904</v>
      </c>
      <c r="P59" s="162" t="s">
        <v>2364</v>
      </c>
      <c r="Q59" s="162" t="s">
        <v>4863</v>
      </c>
      <c r="R59" s="162" t="s">
        <v>2121</v>
      </c>
      <c r="S59" s="162" t="s">
        <v>2365</v>
      </c>
      <c r="T59" s="162">
        <v>600</v>
      </c>
      <c r="U59" s="162" t="s">
        <v>1947</v>
      </c>
      <c r="V59" s="162" t="s">
        <v>2366</v>
      </c>
      <c r="W59" s="162" t="s">
        <v>2367</v>
      </c>
      <c r="X59" s="162" t="s">
        <v>4864</v>
      </c>
      <c r="Y59" s="162" t="s">
        <v>2368</v>
      </c>
      <c r="Z59" s="162" t="s">
        <v>2369</v>
      </c>
      <c r="AA59" s="162" t="s">
        <v>4864</v>
      </c>
      <c r="AB59" s="162" t="s">
        <v>34</v>
      </c>
      <c r="AC59" s="162" t="s">
        <v>2123</v>
      </c>
      <c r="AD59" s="162" t="s">
        <v>2124</v>
      </c>
      <c r="AE59" s="162" t="s">
        <v>1758</v>
      </c>
      <c r="AF59" s="162">
        <v>2</v>
      </c>
      <c r="AG59" s="162">
        <v>25</v>
      </c>
      <c r="AH59" s="162">
        <v>150</v>
      </c>
      <c r="AI59" s="162" t="s">
        <v>34</v>
      </c>
      <c r="AJ59" s="162" t="s">
        <v>34</v>
      </c>
      <c r="AK59" s="162" t="s">
        <v>2125</v>
      </c>
      <c r="AL59" s="162" t="s">
        <v>34</v>
      </c>
      <c r="AM59" t="s">
        <v>4803</v>
      </c>
      <c r="AN59" s="478">
        <v>0</v>
      </c>
      <c r="AO59" s="478">
        <v>0</v>
      </c>
      <c r="CE59" s="462"/>
      <c r="CG59" s="462" t="s">
        <v>1384</v>
      </c>
      <c r="CI59" s="462" t="s">
        <v>1743</v>
      </c>
      <c r="CJ59" s="462" t="s">
        <v>1743</v>
      </c>
    </row>
    <row r="60" spans="1:88" x14ac:dyDescent="0.2">
      <c r="A60">
        <v>59</v>
      </c>
      <c r="B60" s="462" t="s">
        <v>908</v>
      </c>
      <c r="C60" s="162" t="s">
        <v>910</v>
      </c>
      <c r="D60" s="162" t="s">
        <v>4010</v>
      </c>
      <c r="E60" s="162" t="s">
        <v>2018</v>
      </c>
      <c r="F60" s="162" t="s">
        <v>2019</v>
      </c>
      <c r="G60" s="162" t="s">
        <v>34</v>
      </c>
      <c r="H60" s="162" t="s">
        <v>2128</v>
      </c>
      <c r="I60" s="162" t="s">
        <v>5651</v>
      </c>
      <c r="J60" s="162" t="s">
        <v>1764</v>
      </c>
      <c r="K60" s="162" t="s">
        <v>2376</v>
      </c>
      <c r="L60" s="162" t="s">
        <v>2370</v>
      </c>
      <c r="M60" s="162" t="s">
        <v>2377</v>
      </c>
      <c r="N60" s="162" t="s">
        <v>2378</v>
      </c>
      <c r="O60" s="162" t="s">
        <v>904</v>
      </c>
      <c r="P60" s="162" t="s">
        <v>4336</v>
      </c>
      <c r="Q60" s="162" t="s">
        <v>4336</v>
      </c>
      <c r="R60" s="162" t="s">
        <v>2185</v>
      </c>
      <c r="S60" s="162" t="s">
        <v>2380</v>
      </c>
      <c r="T60" s="162">
        <v>180</v>
      </c>
      <c r="U60" s="162" t="s">
        <v>2151</v>
      </c>
      <c r="V60" s="162" t="s">
        <v>2373</v>
      </c>
      <c r="W60" s="162" t="s">
        <v>2381</v>
      </c>
      <c r="X60" s="162" t="s">
        <v>2122</v>
      </c>
      <c r="Y60" s="162" t="s">
        <v>109</v>
      </c>
      <c r="Z60" s="162" t="s">
        <v>109</v>
      </c>
      <c r="AA60" s="162" t="s">
        <v>109</v>
      </c>
      <c r="AB60" s="162" t="s">
        <v>2375</v>
      </c>
      <c r="AC60" s="162" t="s">
        <v>2123</v>
      </c>
      <c r="AD60" s="162" t="s">
        <v>2124</v>
      </c>
      <c r="AE60" s="162" t="s">
        <v>1758</v>
      </c>
      <c r="AF60" s="162" t="s">
        <v>3347</v>
      </c>
      <c r="AG60" s="162" t="s">
        <v>34</v>
      </c>
      <c r="AH60" s="162" t="s">
        <v>34</v>
      </c>
      <c r="AI60" s="162" t="s">
        <v>34</v>
      </c>
      <c r="AJ60" s="162" t="s">
        <v>34</v>
      </c>
      <c r="AK60" s="162" t="s">
        <v>2125</v>
      </c>
      <c r="AL60" s="162" t="s">
        <v>34</v>
      </c>
      <c r="AM60" t="s">
        <v>4807</v>
      </c>
      <c r="AN60" s="478">
        <v>0</v>
      </c>
      <c r="AO60" s="478">
        <v>0</v>
      </c>
      <c r="CE60" s="462"/>
      <c r="CG60" s="462" t="s">
        <v>1388</v>
      </c>
      <c r="CI60" s="462" t="s">
        <v>1415</v>
      </c>
      <c r="CJ60" s="462" t="s">
        <v>1415</v>
      </c>
    </row>
    <row r="61" spans="1:88" x14ac:dyDescent="0.2">
      <c r="A61">
        <v>60</v>
      </c>
      <c r="B61" s="462" t="s">
        <v>908</v>
      </c>
      <c r="C61" s="162" t="s">
        <v>912</v>
      </c>
      <c r="D61" s="162" t="s">
        <v>4011</v>
      </c>
      <c r="E61" s="162" t="s">
        <v>2018</v>
      </c>
      <c r="F61" s="162" t="s">
        <v>2019</v>
      </c>
      <c r="G61" s="162" t="s">
        <v>34</v>
      </c>
      <c r="H61" s="162" t="s">
        <v>2128</v>
      </c>
      <c r="I61" s="162" t="s">
        <v>5651</v>
      </c>
      <c r="J61" s="162" t="s">
        <v>1764</v>
      </c>
      <c r="K61" s="162" t="s">
        <v>2305</v>
      </c>
      <c r="L61" s="162" t="s">
        <v>2370</v>
      </c>
      <c r="M61" s="162" t="s">
        <v>912</v>
      </c>
      <c r="N61" s="162" t="s">
        <v>912</v>
      </c>
      <c r="O61" s="162" t="s">
        <v>904</v>
      </c>
      <c r="P61" s="162" t="s">
        <v>2371</v>
      </c>
      <c r="Q61" s="162" t="s">
        <v>2371</v>
      </c>
      <c r="R61" s="162" t="s">
        <v>2185</v>
      </c>
      <c r="S61" s="162" t="s">
        <v>2372</v>
      </c>
      <c r="T61" s="162">
        <v>882</v>
      </c>
      <c r="U61" s="162" t="s">
        <v>2151</v>
      </c>
      <c r="V61" s="162" t="s">
        <v>2373</v>
      </c>
      <c r="W61" s="162" t="s">
        <v>2374</v>
      </c>
      <c r="X61" s="162" t="s">
        <v>2122</v>
      </c>
      <c r="Y61" s="162" t="s">
        <v>109</v>
      </c>
      <c r="Z61" s="162" t="s">
        <v>109</v>
      </c>
      <c r="AA61" s="162" t="s">
        <v>109</v>
      </c>
      <c r="AB61" s="162" t="s">
        <v>2375</v>
      </c>
      <c r="AC61" s="162" t="s">
        <v>2123</v>
      </c>
      <c r="AD61" s="162" t="s">
        <v>2124</v>
      </c>
      <c r="AE61" s="162" t="s">
        <v>1758</v>
      </c>
      <c r="AF61" s="162" t="s">
        <v>3347</v>
      </c>
      <c r="AG61" s="162" t="s">
        <v>34</v>
      </c>
      <c r="AH61" s="162" t="s">
        <v>34</v>
      </c>
      <c r="AI61" s="162" t="s">
        <v>34</v>
      </c>
      <c r="AJ61" s="162" t="s">
        <v>34</v>
      </c>
      <c r="AK61" s="162" t="s">
        <v>2125</v>
      </c>
      <c r="AL61" s="162" t="s">
        <v>34</v>
      </c>
      <c r="AM61" t="s">
        <v>4807</v>
      </c>
      <c r="AN61" s="478">
        <v>0</v>
      </c>
      <c r="AO61" s="478">
        <v>0</v>
      </c>
      <c r="CE61" s="462"/>
      <c r="CG61" s="462" t="s">
        <v>5265</v>
      </c>
      <c r="CI61" s="462" t="s">
        <v>1783</v>
      </c>
      <c r="CJ61" s="462" t="s">
        <v>1783</v>
      </c>
    </row>
    <row r="62" spans="1:88" x14ac:dyDescent="0.2">
      <c r="A62">
        <v>61</v>
      </c>
      <c r="B62" s="462" t="s">
        <v>917</v>
      </c>
      <c r="C62" s="162" t="s">
        <v>5301</v>
      </c>
      <c r="D62" s="162" t="s">
        <v>5302</v>
      </c>
      <c r="E62" s="162" t="s">
        <v>2020</v>
      </c>
      <c r="F62" s="162" t="s">
        <v>2004</v>
      </c>
      <c r="G62" s="162" t="s">
        <v>34</v>
      </c>
      <c r="H62" s="162" t="s">
        <v>2128</v>
      </c>
      <c r="I62" s="162" t="s">
        <v>5651</v>
      </c>
      <c r="J62" s="162" t="s">
        <v>2116</v>
      </c>
      <c r="K62" s="162" t="s">
        <v>5303</v>
      </c>
      <c r="L62" s="162" t="s">
        <v>5304</v>
      </c>
      <c r="M62" s="162" t="s">
        <v>5301</v>
      </c>
      <c r="N62" s="162" t="s">
        <v>5301</v>
      </c>
      <c r="O62" s="162" t="s">
        <v>5659</v>
      </c>
      <c r="P62" s="162" t="s">
        <v>5305</v>
      </c>
      <c r="Q62" s="162" t="s">
        <v>5306</v>
      </c>
      <c r="R62" s="162" t="s">
        <v>2121</v>
      </c>
      <c r="S62" s="162" t="s">
        <v>5307</v>
      </c>
      <c r="T62" s="162">
        <v>24.89</v>
      </c>
      <c r="U62" s="162" t="s">
        <v>5308</v>
      </c>
      <c r="V62" s="162" t="s">
        <v>5309</v>
      </c>
      <c r="W62" s="162">
        <v>162408210</v>
      </c>
      <c r="X62" s="162" t="s">
        <v>2122</v>
      </c>
      <c r="Y62" s="162" t="s">
        <v>5310</v>
      </c>
      <c r="Z62" s="162" t="s">
        <v>5311</v>
      </c>
      <c r="AA62" s="162" t="s">
        <v>2122</v>
      </c>
      <c r="AB62" s="162" t="s">
        <v>5312</v>
      </c>
      <c r="AC62" s="162" t="s">
        <v>2123</v>
      </c>
      <c r="AD62" s="162" t="s">
        <v>2124</v>
      </c>
      <c r="AE62" s="162" t="s">
        <v>1758</v>
      </c>
      <c r="AF62" s="162" t="s">
        <v>3347</v>
      </c>
      <c r="AG62" s="162" t="s">
        <v>34</v>
      </c>
      <c r="AH62" s="162" t="s">
        <v>34</v>
      </c>
      <c r="AI62" s="162" t="s">
        <v>34</v>
      </c>
      <c r="AJ62" s="162" t="s">
        <v>34</v>
      </c>
      <c r="AK62" s="162" t="s">
        <v>2125</v>
      </c>
      <c r="AL62" s="162" t="s">
        <v>34</v>
      </c>
      <c r="AM62" t="s">
        <v>4808</v>
      </c>
      <c r="AN62" s="478"/>
      <c r="AO62" s="478"/>
      <c r="CE62" s="462"/>
      <c r="CG62" s="462" t="s">
        <v>1402</v>
      </c>
      <c r="CI62" s="462" t="s">
        <v>1421</v>
      </c>
      <c r="CJ62" s="462" t="s">
        <v>1421</v>
      </c>
    </row>
    <row r="63" spans="1:88" x14ac:dyDescent="0.2">
      <c r="A63">
        <v>62</v>
      </c>
      <c r="B63" s="462" t="s">
        <v>958</v>
      </c>
      <c r="C63" s="162" t="s">
        <v>5565</v>
      </c>
      <c r="D63" s="162" t="s">
        <v>5566</v>
      </c>
      <c r="E63" s="162" t="s">
        <v>2021</v>
      </c>
      <c r="F63" s="162" t="s">
        <v>2010</v>
      </c>
      <c r="G63" s="162" t="s">
        <v>34</v>
      </c>
      <c r="H63" s="162" t="s">
        <v>2128</v>
      </c>
      <c r="I63" s="162" t="s">
        <v>5651</v>
      </c>
      <c r="J63" s="162" t="s">
        <v>2116</v>
      </c>
      <c r="K63" s="162" t="s">
        <v>5567</v>
      </c>
      <c r="L63" s="162" t="s">
        <v>5568</v>
      </c>
      <c r="M63" s="162">
        <v>49518</v>
      </c>
      <c r="N63" s="162" t="s">
        <v>5569</v>
      </c>
      <c r="O63" s="162" t="s">
        <v>5570</v>
      </c>
      <c r="P63" s="162" t="s">
        <v>5571</v>
      </c>
      <c r="Q63" s="162" t="s">
        <v>2120</v>
      </c>
      <c r="R63" s="162" t="s">
        <v>5572</v>
      </c>
      <c r="S63" s="162" t="s">
        <v>5573</v>
      </c>
      <c r="T63" s="162">
        <v>468.02</v>
      </c>
      <c r="U63" s="162" t="s">
        <v>2148</v>
      </c>
      <c r="V63" s="162" t="s">
        <v>2793</v>
      </c>
      <c r="W63" s="162">
        <v>4.25</v>
      </c>
      <c r="X63" s="162" t="s">
        <v>2122</v>
      </c>
      <c r="Y63" s="162" t="s">
        <v>109</v>
      </c>
      <c r="Z63" s="162" t="s">
        <v>109</v>
      </c>
      <c r="AA63" s="162" t="s">
        <v>109</v>
      </c>
      <c r="AB63" s="162" t="s">
        <v>34</v>
      </c>
      <c r="AC63" s="162" t="s">
        <v>2123</v>
      </c>
      <c r="AD63" s="162" t="s">
        <v>5574</v>
      </c>
      <c r="AE63" s="162" t="s">
        <v>1758</v>
      </c>
      <c r="AF63" s="162">
        <v>2.5</v>
      </c>
      <c r="AG63" s="162">
        <v>0.15</v>
      </c>
      <c r="AH63" s="162">
        <v>5.0000000000000001E-3</v>
      </c>
      <c r="AI63" s="162" t="s">
        <v>5575</v>
      </c>
      <c r="AJ63" s="162" t="s">
        <v>34</v>
      </c>
      <c r="AK63" s="162" t="s">
        <v>2125</v>
      </c>
      <c r="AL63" s="162" t="s">
        <v>34</v>
      </c>
      <c r="AM63" t="s">
        <v>4803</v>
      </c>
      <c r="AN63" s="478">
        <v>0</v>
      </c>
      <c r="AO63" s="478">
        <v>0</v>
      </c>
      <c r="CE63" s="462"/>
      <c r="CG63" s="462" t="s">
        <v>1977</v>
      </c>
      <c r="CI63" s="462" t="s">
        <v>1431</v>
      </c>
      <c r="CJ63" s="462" t="s">
        <v>1431</v>
      </c>
    </row>
    <row r="64" spans="1:88" x14ac:dyDescent="0.2">
      <c r="A64">
        <v>63</v>
      </c>
      <c r="B64" s="462" t="s">
        <v>958</v>
      </c>
      <c r="C64" s="162" t="s">
        <v>1854</v>
      </c>
      <c r="D64" s="162" t="s">
        <v>4012</v>
      </c>
      <c r="E64" s="162" t="s">
        <v>2021</v>
      </c>
      <c r="F64" s="162" t="s">
        <v>2010</v>
      </c>
      <c r="G64" s="162" t="s">
        <v>34</v>
      </c>
      <c r="H64" s="162" t="s">
        <v>2128</v>
      </c>
      <c r="I64" s="162" t="s">
        <v>5651</v>
      </c>
      <c r="J64" s="162" t="s">
        <v>1764</v>
      </c>
      <c r="K64" s="162" t="s">
        <v>2382</v>
      </c>
      <c r="L64" s="162" t="s">
        <v>2383</v>
      </c>
      <c r="M64" s="162" t="s">
        <v>2384</v>
      </c>
      <c r="N64" s="162" t="s">
        <v>1854</v>
      </c>
      <c r="O64" s="162" t="s">
        <v>904</v>
      </c>
      <c r="P64" s="162" t="s">
        <v>2385</v>
      </c>
      <c r="Q64" s="162" t="s">
        <v>2386</v>
      </c>
      <c r="R64" s="162" t="s">
        <v>2121</v>
      </c>
      <c r="S64" s="162" t="s">
        <v>2387</v>
      </c>
      <c r="T64" s="162">
        <v>5.8</v>
      </c>
      <c r="U64" s="162" t="s">
        <v>2151</v>
      </c>
      <c r="V64" s="162" t="s">
        <v>2388</v>
      </c>
      <c r="W64" s="162" t="s">
        <v>2384</v>
      </c>
      <c r="X64" s="162" t="s">
        <v>2131</v>
      </c>
      <c r="Y64" s="162" t="s">
        <v>109</v>
      </c>
      <c r="Z64" s="162" t="s">
        <v>109</v>
      </c>
      <c r="AA64" s="162" t="s">
        <v>109</v>
      </c>
      <c r="AB64" s="162" t="s">
        <v>2389</v>
      </c>
      <c r="AC64" s="162" t="s">
        <v>2123</v>
      </c>
      <c r="AD64" s="162" t="s">
        <v>2124</v>
      </c>
      <c r="AE64" s="162" t="s">
        <v>1758</v>
      </c>
      <c r="AF64" s="162" t="s">
        <v>34</v>
      </c>
      <c r="AG64" s="162" t="s">
        <v>34</v>
      </c>
      <c r="AH64" s="162" t="s">
        <v>34</v>
      </c>
      <c r="AI64" s="162" t="s">
        <v>34</v>
      </c>
      <c r="AJ64" s="162" t="s">
        <v>34</v>
      </c>
      <c r="AK64" s="162" t="s">
        <v>2125</v>
      </c>
      <c r="AL64" s="162" t="s">
        <v>34</v>
      </c>
      <c r="AM64" t="s">
        <v>4808</v>
      </c>
      <c r="AN64" s="478">
        <v>0</v>
      </c>
      <c r="AO64" s="478">
        <v>0</v>
      </c>
      <c r="CE64" s="462"/>
      <c r="CG64" s="462" t="s">
        <v>5165</v>
      </c>
      <c r="CI64" s="462" t="s">
        <v>1444</v>
      </c>
      <c r="CJ64" s="462" t="s">
        <v>1444</v>
      </c>
    </row>
    <row r="65" spans="1:88" x14ac:dyDescent="0.2">
      <c r="A65">
        <v>64</v>
      </c>
      <c r="B65" s="462" t="s">
        <v>987</v>
      </c>
      <c r="C65" s="162" t="s">
        <v>1907</v>
      </c>
      <c r="D65" s="162" t="s">
        <v>4773</v>
      </c>
      <c r="E65" s="162" t="s">
        <v>2022</v>
      </c>
      <c r="F65" s="162" t="s">
        <v>2023</v>
      </c>
      <c r="G65" s="162" t="s">
        <v>34</v>
      </c>
      <c r="H65" s="162" t="s">
        <v>2128</v>
      </c>
      <c r="I65" s="162" t="s">
        <v>5660</v>
      </c>
      <c r="J65" s="162" t="s">
        <v>3051</v>
      </c>
      <c r="K65" s="162" t="s">
        <v>3281</v>
      </c>
      <c r="L65" s="162" t="s">
        <v>4774</v>
      </c>
      <c r="M65" s="162">
        <v>1947</v>
      </c>
      <c r="N65" s="162" t="s">
        <v>4775</v>
      </c>
      <c r="O65" s="162" t="s">
        <v>3051</v>
      </c>
      <c r="P65" s="162" t="s">
        <v>2400</v>
      </c>
      <c r="Q65" s="162" t="s">
        <v>2204</v>
      </c>
      <c r="R65" s="162" t="s">
        <v>4776</v>
      </c>
      <c r="S65" s="162" t="s">
        <v>4777</v>
      </c>
      <c r="T65" s="162">
        <v>100.48</v>
      </c>
      <c r="U65" s="162" t="s">
        <v>1947</v>
      </c>
      <c r="V65" s="162" t="s">
        <v>2206</v>
      </c>
      <c r="W65" s="162" t="s">
        <v>4778</v>
      </c>
      <c r="X65" s="162" t="s">
        <v>2122</v>
      </c>
      <c r="Y65" s="162" t="s">
        <v>2319</v>
      </c>
      <c r="Z65" s="162" t="s">
        <v>2404</v>
      </c>
      <c r="AA65" s="162" t="s">
        <v>2122</v>
      </c>
      <c r="AB65" s="162" t="s">
        <v>5357</v>
      </c>
      <c r="AC65" s="162" t="s">
        <v>2123</v>
      </c>
      <c r="AD65" s="162" t="s">
        <v>2124</v>
      </c>
      <c r="AE65" s="162" t="s">
        <v>1758</v>
      </c>
      <c r="AF65" s="162">
        <v>2</v>
      </c>
      <c r="AG65" s="162">
        <v>2.5</v>
      </c>
      <c r="AH65" s="162">
        <v>1</v>
      </c>
      <c r="AI65" s="162" t="s">
        <v>34</v>
      </c>
      <c r="AJ65" s="162" t="s">
        <v>34</v>
      </c>
      <c r="AK65" s="162" t="s">
        <v>2125</v>
      </c>
      <c r="AL65" s="162" t="s">
        <v>34</v>
      </c>
      <c r="AM65" t="s">
        <v>4809</v>
      </c>
      <c r="AN65" s="478">
        <v>0</v>
      </c>
      <c r="AO65" s="478">
        <v>0</v>
      </c>
      <c r="CE65" s="462"/>
      <c r="CG65" s="462" t="s">
        <v>1743</v>
      </c>
      <c r="CI65" s="462" t="s">
        <v>1448</v>
      </c>
      <c r="CJ65" s="462" t="s">
        <v>1448</v>
      </c>
    </row>
    <row r="66" spans="1:88" x14ac:dyDescent="0.2">
      <c r="A66">
        <v>65</v>
      </c>
      <c r="B66" s="462" t="s">
        <v>987</v>
      </c>
      <c r="C66" s="162" t="s">
        <v>4565</v>
      </c>
      <c r="D66" s="162" t="s">
        <v>4566</v>
      </c>
      <c r="E66" s="162" t="s">
        <v>2022</v>
      </c>
      <c r="F66" s="162" t="s">
        <v>2023</v>
      </c>
      <c r="G66" s="162" t="s">
        <v>34</v>
      </c>
      <c r="H66" s="162" t="s">
        <v>2128</v>
      </c>
      <c r="I66" s="162" t="s">
        <v>5660</v>
      </c>
      <c r="J66" s="162" t="s">
        <v>3051</v>
      </c>
      <c r="K66" s="162" t="s">
        <v>4565</v>
      </c>
      <c r="L66" s="162" t="s">
        <v>4567</v>
      </c>
      <c r="M66" s="162">
        <v>7893</v>
      </c>
      <c r="N66" s="162" t="s">
        <v>4565</v>
      </c>
      <c r="O66" s="162" t="s">
        <v>904</v>
      </c>
      <c r="P66" s="162" t="s">
        <v>4568</v>
      </c>
      <c r="Q66" s="162" t="s">
        <v>4569</v>
      </c>
      <c r="R66" s="162" t="s">
        <v>4570</v>
      </c>
      <c r="S66" s="162" t="s">
        <v>4571</v>
      </c>
      <c r="T66" s="162">
        <v>882.1</v>
      </c>
      <c r="U66" s="162" t="s">
        <v>1947</v>
      </c>
      <c r="V66" s="162" t="s">
        <v>4572</v>
      </c>
      <c r="W66" s="162" t="s">
        <v>4573</v>
      </c>
      <c r="X66" s="162" t="s">
        <v>2122</v>
      </c>
      <c r="Y66" s="162" t="s">
        <v>2319</v>
      </c>
      <c r="Z66" s="162" t="s">
        <v>4574</v>
      </c>
      <c r="AA66" s="162" t="s">
        <v>2122</v>
      </c>
      <c r="AB66" s="162" t="s">
        <v>4575</v>
      </c>
      <c r="AC66" s="162" t="s">
        <v>2123</v>
      </c>
      <c r="AD66" s="162" t="s">
        <v>2124</v>
      </c>
      <c r="AE66" s="162" t="s">
        <v>1758</v>
      </c>
      <c r="AF66" s="162" t="s">
        <v>4576</v>
      </c>
      <c r="AG66" s="162" t="s">
        <v>34</v>
      </c>
      <c r="AH66" s="162" t="s">
        <v>34</v>
      </c>
      <c r="AI66" s="162" t="s">
        <v>34</v>
      </c>
      <c r="AJ66" s="162" t="s">
        <v>34</v>
      </c>
      <c r="AK66" s="162" t="s">
        <v>2125</v>
      </c>
      <c r="AL66" s="162" t="s">
        <v>34</v>
      </c>
      <c r="AM66" t="s">
        <v>4809</v>
      </c>
      <c r="AN66" s="478">
        <v>0</v>
      </c>
      <c r="AO66" s="478">
        <v>0</v>
      </c>
      <c r="CG66" t="s">
        <v>1415</v>
      </c>
      <c r="CI66" s="462" t="s">
        <v>1456</v>
      </c>
      <c r="CJ66" s="462" t="s">
        <v>1456</v>
      </c>
    </row>
    <row r="67" spans="1:88" x14ac:dyDescent="0.2">
      <c r="A67">
        <v>66</v>
      </c>
      <c r="B67" s="462" t="s">
        <v>987</v>
      </c>
      <c r="C67" s="162" t="s">
        <v>990</v>
      </c>
      <c r="D67" s="162" t="s">
        <v>4013</v>
      </c>
      <c r="E67" s="162" t="s">
        <v>2022</v>
      </c>
      <c r="F67" s="162" t="s">
        <v>2023</v>
      </c>
      <c r="G67" s="162" t="s">
        <v>34</v>
      </c>
      <c r="H67" s="162" t="s">
        <v>2128</v>
      </c>
      <c r="I67" s="162" t="s">
        <v>5651</v>
      </c>
      <c r="J67" s="162" t="s">
        <v>1764</v>
      </c>
      <c r="K67" s="162" t="s">
        <v>2132</v>
      </c>
      <c r="L67" s="162" t="s">
        <v>2390</v>
      </c>
      <c r="M67" s="162" t="s">
        <v>2391</v>
      </c>
      <c r="N67" s="162" t="s">
        <v>990</v>
      </c>
      <c r="O67" s="162" t="s">
        <v>904</v>
      </c>
      <c r="P67" s="162" t="s">
        <v>2392</v>
      </c>
      <c r="Q67" s="162" t="s">
        <v>2204</v>
      </c>
      <c r="R67" s="162" t="s">
        <v>2295</v>
      </c>
      <c r="S67" s="162" t="s">
        <v>2393</v>
      </c>
      <c r="T67" s="162">
        <v>544</v>
      </c>
      <c r="U67" s="162" t="s">
        <v>1947</v>
      </c>
      <c r="V67" s="162" t="s">
        <v>2206</v>
      </c>
      <c r="W67" s="162" t="s">
        <v>2394</v>
      </c>
      <c r="X67" s="162" t="s">
        <v>2122</v>
      </c>
      <c r="Y67" s="162" t="s">
        <v>2319</v>
      </c>
      <c r="Z67" s="162" t="s">
        <v>2395</v>
      </c>
      <c r="AA67" s="162" t="s">
        <v>2122</v>
      </c>
      <c r="AB67" s="162" t="s">
        <v>34</v>
      </c>
      <c r="AC67" s="162" t="s">
        <v>2123</v>
      </c>
      <c r="AD67" s="162" t="s">
        <v>2124</v>
      </c>
      <c r="AE67" s="162" t="s">
        <v>1758</v>
      </c>
      <c r="AF67" s="162">
        <v>65</v>
      </c>
      <c r="AG67" s="162">
        <v>154</v>
      </c>
      <c r="AH67" s="162">
        <v>10</v>
      </c>
      <c r="AI67" s="162" t="s">
        <v>34</v>
      </c>
      <c r="AJ67" s="162" t="s">
        <v>34</v>
      </c>
      <c r="AK67" s="162" t="s">
        <v>2125</v>
      </c>
      <c r="AL67" s="162" t="s">
        <v>3725</v>
      </c>
      <c r="AM67" t="s">
        <v>4803</v>
      </c>
      <c r="AN67" s="478">
        <v>0</v>
      </c>
      <c r="AO67" s="478">
        <v>0</v>
      </c>
      <c r="CG67" t="s">
        <v>1783</v>
      </c>
      <c r="CI67" s="462" t="s">
        <v>1493</v>
      </c>
      <c r="CJ67" s="462" t="s">
        <v>1493</v>
      </c>
    </row>
    <row r="68" spans="1:88" x14ac:dyDescent="0.2">
      <c r="A68">
        <v>67</v>
      </c>
      <c r="B68" s="462" t="s">
        <v>987</v>
      </c>
      <c r="C68" s="162" t="s">
        <v>1922</v>
      </c>
      <c r="D68" s="162" t="s">
        <v>4014</v>
      </c>
      <c r="E68" s="162" t="s">
        <v>2022</v>
      </c>
      <c r="F68" s="162" t="s">
        <v>2023</v>
      </c>
      <c r="G68" s="162" t="s">
        <v>34</v>
      </c>
      <c r="H68" s="162" t="s">
        <v>2128</v>
      </c>
      <c r="I68" s="162" t="s">
        <v>5660</v>
      </c>
      <c r="J68" s="162" t="s">
        <v>3051</v>
      </c>
      <c r="K68" s="162" t="s">
        <v>2132</v>
      </c>
      <c r="L68" s="162" t="s">
        <v>2397</v>
      </c>
      <c r="M68" s="162" t="s">
        <v>2398</v>
      </c>
      <c r="N68" s="162" t="s">
        <v>1922</v>
      </c>
      <c r="O68" s="162" t="s">
        <v>2399</v>
      </c>
      <c r="P68" s="162" t="s">
        <v>2400</v>
      </c>
      <c r="Q68" s="162" t="s">
        <v>2401</v>
      </c>
      <c r="R68" s="162" t="s">
        <v>2121</v>
      </c>
      <c r="S68" s="162" t="s">
        <v>2402</v>
      </c>
      <c r="T68" s="162">
        <v>73.5</v>
      </c>
      <c r="U68" s="162" t="s">
        <v>1947</v>
      </c>
      <c r="V68" s="162" t="s">
        <v>2403</v>
      </c>
      <c r="W68" s="162">
        <v>5856</v>
      </c>
      <c r="X68" s="162" t="s">
        <v>2122</v>
      </c>
      <c r="Y68" s="162" t="s">
        <v>2319</v>
      </c>
      <c r="Z68" s="162" t="s">
        <v>2404</v>
      </c>
      <c r="AA68" s="162" t="s">
        <v>2122</v>
      </c>
      <c r="AB68" s="162" t="s">
        <v>4337</v>
      </c>
      <c r="AC68" s="162" t="s">
        <v>2123</v>
      </c>
      <c r="AD68" s="162" t="s">
        <v>2124</v>
      </c>
      <c r="AE68" s="162" t="s">
        <v>1758</v>
      </c>
      <c r="AF68" s="162">
        <v>5</v>
      </c>
      <c r="AG68" s="162">
        <v>0.08</v>
      </c>
      <c r="AH68" s="162">
        <v>0.32</v>
      </c>
      <c r="AI68" s="162" t="s">
        <v>34</v>
      </c>
      <c r="AJ68" s="162" t="s">
        <v>34</v>
      </c>
      <c r="AK68" s="162" t="s">
        <v>2125</v>
      </c>
      <c r="AL68" s="162" t="s">
        <v>3725</v>
      </c>
      <c r="AM68" t="s">
        <v>4809</v>
      </c>
      <c r="AN68" s="478">
        <v>0</v>
      </c>
      <c r="AO68" s="478">
        <v>0</v>
      </c>
      <c r="CG68" t="s">
        <v>1421</v>
      </c>
      <c r="CI68" t="s">
        <v>1829</v>
      </c>
      <c r="CJ68" t="s">
        <v>1829</v>
      </c>
    </row>
    <row r="69" spans="1:88" x14ac:dyDescent="0.2">
      <c r="A69">
        <v>68</v>
      </c>
      <c r="B69" s="462" t="s">
        <v>987</v>
      </c>
      <c r="C69" s="162" t="s">
        <v>837</v>
      </c>
      <c r="D69" s="162" t="s">
        <v>4015</v>
      </c>
      <c r="E69" s="162" t="s">
        <v>2022</v>
      </c>
      <c r="F69" s="162" t="s">
        <v>2023</v>
      </c>
      <c r="G69" s="162" t="s">
        <v>34</v>
      </c>
      <c r="H69" s="162" t="s">
        <v>2128</v>
      </c>
      <c r="I69" s="162" t="s">
        <v>5660</v>
      </c>
      <c r="J69" s="162" t="s">
        <v>1764</v>
      </c>
      <c r="K69" s="162" t="s">
        <v>1450</v>
      </c>
      <c r="L69" s="162" t="s">
        <v>2405</v>
      </c>
      <c r="M69" s="162" t="s">
        <v>2406</v>
      </c>
      <c r="N69" s="162" t="s">
        <v>837</v>
      </c>
      <c r="O69" s="162" t="s">
        <v>904</v>
      </c>
      <c r="P69" s="162" t="s">
        <v>2400</v>
      </c>
      <c r="Q69" s="162" t="s">
        <v>2204</v>
      </c>
      <c r="R69" s="162" t="s">
        <v>2121</v>
      </c>
      <c r="S69" s="162" t="s">
        <v>2407</v>
      </c>
      <c r="T69" s="162">
        <v>19.8</v>
      </c>
      <c r="U69" s="162" t="s">
        <v>1947</v>
      </c>
      <c r="V69" s="162" t="s">
        <v>2408</v>
      </c>
      <c r="W69" s="162" t="s">
        <v>2409</v>
      </c>
      <c r="X69" s="162" t="s">
        <v>2122</v>
      </c>
      <c r="Y69" s="162" t="s">
        <v>2319</v>
      </c>
      <c r="Z69" s="162" t="s">
        <v>2404</v>
      </c>
      <c r="AA69" s="162" t="s">
        <v>2122</v>
      </c>
      <c r="AB69" s="162" t="s">
        <v>4338</v>
      </c>
      <c r="AC69" s="162" t="s">
        <v>2123</v>
      </c>
      <c r="AD69" s="162" t="s">
        <v>2124</v>
      </c>
      <c r="AE69" s="162" t="s">
        <v>1758</v>
      </c>
      <c r="AF69" s="162">
        <v>1.1000000000000001</v>
      </c>
      <c r="AG69" s="162">
        <v>0.5</v>
      </c>
      <c r="AH69" s="162">
        <v>0.13</v>
      </c>
      <c r="AI69" s="162" t="s">
        <v>3895</v>
      </c>
      <c r="AJ69" s="162" t="s">
        <v>3896</v>
      </c>
      <c r="AK69" s="162" t="s">
        <v>2125</v>
      </c>
      <c r="AL69" s="162" t="s">
        <v>3725</v>
      </c>
      <c r="AM69" t="s">
        <v>4803</v>
      </c>
      <c r="AN69" s="478">
        <v>0</v>
      </c>
      <c r="AO69" s="478">
        <v>0</v>
      </c>
      <c r="CG69" t="s">
        <v>5447</v>
      </c>
      <c r="CI69" t="s">
        <v>4907</v>
      </c>
      <c r="CJ69" t="s">
        <v>4907</v>
      </c>
    </row>
    <row r="70" spans="1:88" x14ac:dyDescent="0.2">
      <c r="A70">
        <v>69</v>
      </c>
      <c r="B70" s="462" t="s">
        <v>987</v>
      </c>
      <c r="C70" s="162" t="s">
        <v>825</v>
      </c>
      <c r="D70" s="162" t="s">
        <v>4502</v>
      </c>
      <c r="E70" s="162" t="s">
        <v>2022</v>
      </c>
      <c r="F70" s="162" t="s">
        <v>2023</v>
      </c>
      <c r="G70" s="162" t="s">
        <v>34</v>
      </c>
      <c r="H70" s="162" t="s">
        <v>2128</v>
      </c>
      <c r="I70" s="162" t="s">
        <v>5651</v>
      </c>
      <c r="J70" s="162" t="s">
        <v>1764</v>
      </c>
      <c r="K70" s="162" t="s">
        <v>1450</v>
      </c>
      <c r="L70" s="162" t="s">
        <v>2405</v>
      </c>
      <c r="M70" s="162" t="s">
        <v>4503</v>
      </c>
      <c r="N70" s="162" t="s">
        <v>4504</v>
      </c>
      <c r="O70" s="162" t="s">
        <v>904</v>
      </c>
      <c r="P70" s="162" t="s">
        <v>3536</v>
      </c>
      <c r="Q70" s="162" t="s">
        <v>2120</v>
      </c>
      <c r="R70" s="162" t="s">
        <v>2121</v>
      </c>
      <c r="S70" s="162" t="s">
        <v>4505</v>
      </c>
      <c r="T70" s="162">
        <v>13.6</v>
      </c>
      <c r="U70" s="162" t="s">
        <v>4506</v>
      </c>
      <c r="V70" s="162" t="s">
        <v>2408</v>
      </c>
      <c r="W70" s="162" t="s">
        <v>4507</v>
      </c>
      <c r="X70" s="162" t="s">
        <v>2122</v>
      </c>
      <c r="Y70" s="162" t="s">
        <v>2319</v>
      </c>
      <c r="Z70" s="162" t="s">
        <v>2404</v>
      </c>
      <c r="AA70" s="162" t="s">
        <v>2122</v>
      </c>
      <c r="AB70" s="162" t="s">
        <v>4508</v>
      </c>
      <c r="AC70" s="162" t="s">
        <v>2123</v>
      </c>
      <c r="AD70" s="162" t="s">
        <v>2124</v>
      </c>
      <c r="AE70" s="162" t="s">
        <v>1758</v>
      </c>
      <c r="AF70" s="162">
        <v>3.1</v>
      </c>
      <c r="AG70" s="162">
        <v>2</v>
      </c>
      <c r="AH70" s="162">
        <v>0.3</v>
      </c>
      <c r="AI70" s="162" t="s">
        <v>4509</v>
      </c>
      <c r="AJ70" s="162" t="s">
        <v>34</v>
      </c>
      <c r="AK70" s="162" t="s">
        <v>2125</v>
      </c>
      <c r="AL70" s="162" t="s">
        <v>3725</v>
      </c>
      <c r="AM70" t="s">
        <v>4803</v>
      </c>
      <c r="AN70" s="478">
        <v>0</v>
      </c>
      <c r="AO70" s="478">
        <v>0</v>
      </c>
      <c r="CG70" t="s">
        <v>1431</v>
      </c>
      <c r="CI70" t="s">
        <v>3805</v>
      </c>
      <c r="CJ70" t="s">
        <v>3805</v>
      </c>
    </row>
    <row r="71" spans="1:88" x14ac:dyDescent="0.2">
      <c r="A71">
        <v>70</v>
      </c>
      <c r="B71" s="462" t="s">
        <v>987</v>
      </c>
      <c r="C71" s="162" t="s">
        <v>823</v>
      </c>
      <c r="D71" s="162" t="s">
        <v>4016</v>
      </c>
      <c r="E71" s="162" t="s">
        <v>2022</v>
      </c>
      <c r="F71" s="162" t="s">
        <v>2023</v>
      </c>
      <c r="G71" s="162" t="s">
        <v>34</v>
      </c>
      <c r="H71" s="162" t="s">
        <v>2128</v>
      </c>
      <c r="I71" s="162" t="s">
        <v>5651</v>
      </c>
      <c r="J71" s="162" t="s">
        <v>1764</v>
      </c>
      <c r="K71" s="162" t="s">
        <v>2132</v>
      </c>
      <c r="L71" s="162" t="s">
        <v>2410</v>
      </c>
      <c r="M71" s="162">
        <v>27676</v>
      </c>
      <c r="N71" s="162" t="s">
        <v>823</v>
      </c>
      <c r="O71" s="162" t="s">
        <v>904</v>
      </c>
      <c r="P71" s="162" t="s">
        <v>3582</v>
      </c>
      <c r="Q71" s="162" t="s">
        <v>2204</v>
      </c>
      <c r="R71" s="162" t="s">
        <v>2295</v>
      </c>
      <c r="S71" s="162" t="s">
        <v>5485</v>
      </c>
      <c r="T71" s="162">
        <v>275</v>
      </c>
      <c r="U71" s="162" t="s">
        <v>1947</v>
      </c>
      <c r="V71" s="162" t="s">
        <v>2403</v>
      </c>
      <c r="W71" s="162">
        <v>2489</v>
      </c>
      <c r="X71" s="162" t="s">
        <v>2122</v>
      </c>
      <c r="Y71" s="162" t="s">
        <v>2319</v>
      </c>
      <c r="Z71" s="162" t="s">
        <v>2411</v>
      </c>
      <c r="AA71" s="162" t="s">
        <v>2122</v>
      </c>
      <c r="AB71" s="162" t="s">
        <v>34</v>
      </c>
      <c r="AC71" s="162" t="s">
        <v>2123</v>
      </c>
      <c r="AD71" s="162" t="s">
        <v>2124</v>
      </c>
      <c r="AE71" s="162" t="s">
        <v>1758</v>
      </c>
      <c r="AF71" s="162">
        <v>10</v>
      </c>
      <c r="AG71" s="162">
        <v>0.05</v>
      </c>
      <c r="AH71" s="162">
        <v>0.02</v>
      </c>
      <c r="AI71" s="162" t="s">
        <v>34</v>
      </c>
      <c r="AJ71" s="162" t="s">
        <v>34</v>
      </c>
      <c r="AK71" s="162" t="s">
        <v>2125</v>
      </c>
      <c r="AL71" s="162" t="s">
        <v>3725</v>
      </c>
      <c r="AM71" t="s">
        <v>4803</v>
      </c>
      <c r="AN71" s="478">
        <v>0</v>
      </c>
      <c r="AO71" s="478">
        <v>0</v>
      </c>
      <c r="CG71" t="s">
        <v>1444</v>
      </c>
      <c r="CI71" t="s">
        <v>1585</v>
      </c>
      <c r="CJ71" t="s">
        <v>1585</v>
      </c>
    </row>
    <row r="72" spans="1:88" x14ac:dyDescent="0.2">
      <c r="A72">
        <v>71</v>
      </c>
      <c r="B72" s="462" t="s">
        <v>333</v>
      </c>
      <c r="C72" s="162" t="s">
        <v>1019</v>
      </c>
      <c r="D72" s="162" t="s">
        <v>4017</v>
      </c>
      <c r="E72" s="162" t="s">
        <v>2024</v>
      </c>
      <c r="F72" s="162" t="s">
        <v>2004</v>
      </c>
      <c r="G72" s="162" t="s">
        <v>34</v>
      </c>
      <c r="H72" s="162" t="s">
        <v>2128</v>
      </c>
      <c r="I72" s="162" t="s">
        <v>5661</v>
      </c>
      <c r="J72" s="162" t="s">
        <v>2396</v>
      </c>
      <c r="K72" s="162" t="s">
        <v>1060</v>
      </c>
      <c r="L72" s="162" t="s">
        <v>2419</v>
      </c>
      <c r="M72" s="162" t="s">
        <v>2420</v>
      </c>
      <c r="N72" s="162" t="s">
        <v>1019</v>
      </c>
      <c r="O72" s="162" t="s">
        <v>5662</v>
      </c>
      <c r="P72" s="162" t="s">
        <v>2421</v>
      </c>
      <c r="Q72" s="162" t="s">
        <v>4865</v>
      </c>
      <c r="R72" s="162" t="s">
        <v>2121</v>
      </c>
      <c r="S72" s="162" t="s">
        <v>2422</v>
      </c>
      <c r="T72" s="162">
        <v>288</v>
      </c>
      <c r="U72" s="162" t="s">
        <v>2150</v>
      </c>
      <c r="V72" s="162" t="s">
        <v>2423</v>
      </c>
      <c r="W72" s="162" t="s">
        <v>2424</v>
      </c>
      <c r="X72" s="162" t="s">
        <v>4864</v>
      </c>
      <c r="Y72" s="162" t="s">
        <v>2417</v>
      </c>
      <c r="Z72" s="162" t="s">
        <v>2418</v>
      </c>
      <c r="AA72" s="162" t="s">
        <v>4864</v>
      </c>
      <c r="AB72" s="162" t="s">
        <v>5708</v>
      </c>
      <c r="AC72" s="162" t="s">
        <v>2123</v>
      </c>
      <c r="AD72" s="162" t="s">
        <v>2124</v>
      </c>
      <c r="AE72" s="162" t="s">
        <v>1758</v>
      </c>
      <c r="AF72" s="162">
        <v>8</v>
      </c>
      <c r="AG72" s="162">
        <v>251</v>
      </c>
      <c r="AH72" s="162">
        <v>43</v>
      </c>
      <c r="AI72" s="162" t="s">
        <v>3898</v>
      </c>
      <c r="AJ72" s="162" t="s">
        <v>3899</v>
      </c>
      <c r="AK72" s="162" t="s">
        <v>2125</v>
      </c>
      <c r="AL72" s="162" t="s">
        <v>3725</v>
      </c>
      <c r="AM72" t="s">
        <v>4806</v>
      </c>
      <c r="AN72" s="478">
        <v>1.4583333333333332E-2</v>
      </c>
      <c r="AO72" s="478">
        <v>0</v>
      </c>
      <c r="CG72" t="s">
        <v>1448</v>
      </c>
      <c r="CI72" t="s">
        <v>1619</v>
      </c>
      <c r="CJ72" t="s">
        <v>1619</v>
      </c>
    </row>
    <row r="73" spans="1:88" x14ac:dyDescent="0.2">
      <c r="A73">
        <v>72</v>
      </c>
      <c r="B73" s="462" t="s">
        <v>333</v>
      </c>
      <c r="C73" s="162" t="s">
        <v>1021</v>
      </c>
      <c r="D73" s="162" t="s">
        <v>4018</v>
      </c>
      <c r="E73" s="162" t="s">
        <v>2024</v>
      </c>
      <c r="F73" s="162" t="s">
        <v>2004</v>
      </c>
      <c r="G73" s="162" t="s">
        <v>34</v>
      </c>
      <c r="H73" s="162" t="s">
        <v>2128</v>
      </c>
      <c r="I73" s="162" t="s">
        <v>5661</v>
      </c>
      <c r="J73" s="162" t="s">
        <v>2396</v>
      </c>
      <c r="K73" s="162" t="s">
        <v>2437</v>
      </c>
      <c r="L73" s="162" t="s">
        <v>2438</v>
      </c>
      <c r="M73" s="162" t="s">
        <v>2442</v>
      </c>
      <c r="N73" s="162" t="s">
        <v>1021</v>
      </c>
      <c r="O73" s="162" t="s">
        <v>5662</v>
      </c>
      <c r="P73" s="162" t="s">
        <v>2421</v>
      </c>
      <c r="Q73" s="162" t="s">
        <v>4865</v>
      </c>
      <c r="R73" s="162" t="s">
        <v>2121</v>
      </c>
      <c r="S73" s="162" t="s">
        <v>2440</v>
      </c>
      <c r="T73" s="162">
        <v>24.8</v>
      </c>
      <c r="U73" s="162" t="s">
        <v>2150</v>
      </c>
      <c r="V73" s="162" t="s">
        <v>2423</v>
      </c>
      <c r="W73" s="162" t="s">
        <v>2441</v>
      </c>
      <c r="X73" s="162" t="s">
        <v>4864</v>
      </c>
      <c r="Y73" s="162" t="s">
        <v>2417</v>
      </c>
      <c r="Z73" s="162" t="s">
        <v>2418</v>
      </c>
      <c r="AA73" s="162" t="s">
        <v>4864</v>
      </c>
      <c r="AB73" s="162" t="s">
        <v>5708</v>
      </c>
      <c r="AC73" s="162" t="s">
        <v>2123</v>
      </c>
      <c r="AD73" s="162" t="s">
        <v>2124</v>
      </c>
      <c r="AE73" s="162" t="s">
        <v>1758</v>
      </c>
      <c r="AF73" s="162">
        <v>4</v>
      </c>
      <c r="AG73" s="162" t="s">
        <v>3863</v>
      </c>
      <c r="AH73" s="162">
        <v>13</v>
      </c>
      <c r="AI73" s="162" t="s">
        <v>3902</v>
      </c>
      <c r="AJ73" s="162" t="s">
        <v>34</v>
      </c>
      <c r="AK73" s="162" t="s">
        <v>2125</v>
      </c>
      <c r="AL73" s="162" t="s">
        <v>3725</v>
      </c>
      <c r="AM73" t="s">
        <v>4804</v>
      </c>
      <c r="AN73" s="478">
        <v>1.4583333333333332E-2</v>
      </c>
      <c r="AO73" s="478">
        <v>0</v>
      </c>
      <c r="CG73" t="s">
        <v>1456</v>
      </c>
      <c r="CI73" t="s">
        <v>1623</v>
      </c>
      <c r="CJ73" t="s">
        <v>1623</v>
      </c>
    </row>
    <row r="74" spans="1:88" x14ac:dyDescent="0.2">
      <c r="A74">
        <v>73</v>
      </c>
      <c r="B74" s="462" t="s">
        <v>333</v>
      </c>
      <c r="C74" s="162" t="s">
        <v>1011</v>
      </c>
      <c r="D74" s="162" t="s">
        <v>4019</v>
      </c>
      <c r="E74" s="162" t="s">
        <v>2024</v>
      </c>
      <c r="F74" s="162" t="s">
        <v>2004</v>
      </c>
      <c r="G74" s="162" t="s">
        <v>34</v>
      </c>
      <c r="H74" s="162" t="s">
        <v>2128</v>
      </c>
      <c r="I74" s="162" t="s">
        <v>5661</v>
      </c>
      <c r="J74" s="162" t="s">
        <v>2396</v>
      </c>
      <c r="K74" s="162" t="s">
        <v>2437</v>
      </c>
      <c r="L74" s="162" t="s">
        <v>2438</v>
      </c>
      <c r="M74" s="162" t="s">
        <v>2439</v>
      </c>
      <c r="N74" s="162" t="s">
        <v>1011</v>
      </c>
      <c r="O74" s="162" t="s">
        <v>5662</v>
      </c>
      <c r="P74" s="162" t="s">
        <v>2421</v>
      </c>
      <c r="Q74" s="162" t="s">
        <v>4865</v>
      </c>
      <c r="R74" s="162" t="s">
        <v>2121</v>
      </c>
      <c r="S74" s="162" t="s">
        <v>2440</v>
      </c>
      <c r="T74" s="162">
        <v>24.8</v>
      </c>
      <c r="U74" s="162" t="s">
        <v>2150</v>
      </c>
      <c r="V74" s="162" t="s">
        <v>2423</v>
      </c>
      <c r="W74" s="162" t="s">
        <v>5403</v>
      </c>
      <c r="X74" s="162" t="s">
        <v>4864</v>
      </c>
      <c r="Y74" s="162" t="s">
        <v>2417</v>
      </c>
      <c r="Z74" s="162" t="s">
        <v>2418</v>
      </c>
      <c r="AA74" s="162" t="s">
        <v>4864</v>
      </c>
      <c r="AB74" s="162" t="s">
        <v>5708</v>
      </c>
      <c r="AC74" s="162" t="s">
        <v>2123</v>
      </c>
      <c r="AD74" s="162" t="s">
        <v>2124</v>
      </c>
      <c r="AE74" s="162" t="s">
        <v>1758</v>
      </c>
      <c r="AF74" s="162">
        <v>8</v>
      </c>
      <c r="AG74" s="162">
        <v>140</v>
      </c>
      <c r="AH74" s="162">
        <v>20</v>
      </c>
      <c r="AI74" s="162" t="s">
        <v>3900</v>
      </c>
      <c r="AJ74" s="162" t="s">
        <v>3901</v>
      </c>
      <c r="AK74" s="162" t="s">
        <v>2125</v>
      </c>
      <c r="AL74" s="162" t="s">
        <v>3725</v>
      </c>
      <c r="AM74" t="s">
        <v>4804</v>
      </c>
      <c r="AN74" s="478">
        <v>1.4583333333333332E-2</v>
      </c>
      <c r="AO74" s="478">
        <v>0</v>
      </c>
      <c r="CG74" t="s">
        <v>1493</v>
      </c>
    </row>
    <row r="75" spans="1:88" x14ac:dyDescent="0.2">
      <c r="A75">
        <v>74</v>
      </c>
      <c r="B75" s="462" t="s">
        <v>333</v>
      </c>
      <c r="C75" s="162" t="s">
        <v>334</v>
      </c>
      <c r="D75" s="162" t="s">
        <v>4020</v>
      </c>
      <c r="E75" s="162" t="s">
        <v>2024</v>
      </c>
      <c r="F75" s="162" t="s">
        <v>2004</v>
      </c>
      <c r="G75" s="162"/>
      <c r="H75" s="162" t="s">
        <v>2128</v>
      </c>
      <c r="I75" s="162" t="s">
        <v>5661</v>
      </c>
      <c r="J75" s="162" t="s">
        <v>2396</v>
      </c>
      <c r="K75" s="162" t="s">
        <v>1060</v>
      </c>
      <c r="L75" s="162" t="s">
        <v>2412</v>
      </c>
      <c r="M75" s="162">
        <v>11108</v>
      </c>
      <c r="N75" s="162" t="s">
        <v>334</v>
      </c>
      <c r="O75" s="162" t="s">
        <v>5663</v>
      </c>
      <c r="P75" s="162" t="s">
        <v>2413</v>
      </c>
      <c r="Q75" s="162" t="s">
        <v>4892</v>
      </c>
      <c r="R75" s="162" t="s">
        <v>2121</v>
      </c>
      <c r="S75" s="162" t="s">
        <v>2414</v>
      </c>
      <c r="T75" s="162">
        <v>1394.9</v>
      </c>
      <c r="U75" s="162" t="s">
        <v>2150</v>
      </c>
      <c r="V75" s="162" t="s">
        <v>2415</v>
      </c>
      <c r="W75" s="162" t="s">
        <v>2416</v>
      </c>
      <c r="X75" s="162" t="s">
        <v>4864</v>
      </c>
      <c r="Y75" s="162" t="s">
        <v>2417</v>
      </c>
      <c r="Z75" s="162" t="s">
        <v>2418</v>
      </c>
      <c r="AA75" s="162" t="s">
        <v>4864</v>
      </c>
      <c r="AB75" s="162" t="s">
        <v>5709</v>
      </c>
      <c r="AC75" s="162" t="s">
        <v>2123</v>
      </c>
      <c r="AD75" s="162" t="s">
        <v>2124</v>
      </c>
      <c r="AE75" s="162" t="s">
        <v>1758</v>
      </c>
      <c r="AF75" s="162">
        <v>8</v>
      </c>
      <c r="AG75" s="162">
        <v>101</v>
      </c>
      <c r="AH75" s="162">
        <v>16</v>
      </c>
      <c r="AI75" s="162" t="s">
        <v>3897</v>
      </c>
      <c r="AJ75" s="162"/>
      <c r="AK75" s="162" t="s">
        <v>2125</v>
      </c>
      <c r="AL75" s="162" t="s">
        <v>3725</v>
      </c>
      <c r="AM75" t="s">
        <v>4806</v>
      </c>
      <c r="AN75" s="478">
        <v>1.4583333333333332E-2</v>
      </c>
      <c r="AO75" s="478"/>
      <c r="CG75" t="s">
        <v>1829</v>
      </c>
    </row>
    <row r="76" spans="1:88" x14ac:dyDescent="0.2">
      <c r="A76">
        <v>75</v>
      </c>
      <c r="B76" s="462" t="s">
        <v>333</v>
      </c>
      <c r="C76" s="162" t="s">
        <v>1659</v>
      </c>
      <c r="D76" s="162" t="s">
        <v>5085</v>
      </c>
      <c r="E76" s="162" t="s">
        <v>2024</v>
      </c>
      <c r="F76" s="162" t="s">
        <v>2004</v>
      </c>
      <c r="G76" s="162" t="s">
        <v>34</v>
      </c>
      <c r="H76" s="162" t="s">
        <v>2128</v>
      </c>
      <c r="I76" s="162" t="s">
        <v>5661</v>
      </c>
      <c r="J76" s="162" t="s">
        <v>2396</v>
      </c>
      <c r="K76" s="162" t="s">
        <v>1060</v>
      </c>
      <c r="L76" s="162" t="s">
        <v>5086</v>
      </c>
      <c r="M76" s="162" t="s">
        <v>5087</v>
      </c>
      <c r="N76" s="162" t="s">
        <v>1659</v>
      </c>
      <c r="O76" s="162" t="s">
        <v>5662</v>
      </c>
      <c r="P76" s="162" t="s">
        <v>2421</v>
      </c>
      <c r="Q76" s="162" t="s">
        <v>4865</v>
      </c>
      <c r="R76" s="162" t="s">
        <v>5088</v>
      </c>
      <c r="S76" s="162" t="s">
        <v>5089</v>
      </c>
      <c r="T76" s="162">
        <v>495</v>
      </c>
      <c r="U76" s="162" t="s">
        <v>2150</v>
      </c>
      <c r="V76" s="162" t="s">
        <v>2541</v>
      </c>
      <c r="W76" s="162" t="s">
        <v>5090</v>
      </c>
      <c r="X76" s="162" t="s">
        <v>4864</v>
      </c>
      <c r="Y76" s="162" t="s">
        <v>2417</v>
      </c>
      <c r="Z76" s="162" t="s">
        <v>2418</v>
      </c>
      <c r="AA76" s="162" t="s">
        <v>4864</v>
      </c>
      <c r="AB76" s="162" t="s">
        <v>5710</v>
      </c>
      <c r="AC76" s="162" t="s">
        <v>2123</v>
      </c>
      <c r="AD76" s="162" t="s">
        <v>2124</v>
      </c>
      <c r="AE76" s="162" t="s">
        <v>1758</v>
      </c>
      <c r="AF76" s="162">
        <v>10.199999999999999</v>
      </c>
      <c r="AG76" s="162">
        <v>131</v>
      </c>
      <c r="AH76" s="162">
        <v>22</v>
      </c>
      <c r="AI76" s="162">
        <v>22</v>
      </c>
      <c r="AJ76" s="162">
        <v>16.399999999999999</v>
      </c>
      <c r="AK76" s="162" t="s">
        <v>2125</v>
      </c>
      <c r="AL76" s="162" t="s">
        <v>3725</v>
      </c>
      <c r="AM76" t="s">
        <v>4806</v>
      </c>
      <c r="AN76" s="478"/>
      <c r="AO76" s="478"/>
      <c r="CG76" t="s">
        <v>5279</v>
      </c>
    </row>
    <row r="77" spans="1:88" x14ac:dyDescent="0.2">
      <c r="A77">
        <v>76</v>
      </c>
      <c r="B77" s="462" t="s">
        <v>333</v>
      </c>
      <c r="C77" s="162" t="s">
        <v>1007</v>
      </c>
      <c r="D77" s="162" t="s">
        <v>4021</v>
      </c>
      <c r="E77" s="162" t="s">
        <v>2024</v>
      </c>
      <c r="F77" s="162" t="s">
        <v>2004</v>
      </c>
      <c r="G77" s="162" t="s">
        <v>34</v>
      </c>
      <c r="H77" s="162" t="s">
        <v>2128</v>
      </c>
      <c r="I77" s="162" t="s">
        <v>5661</v>
      </c>
      <c r="J77" s="162" t="s">
        <v>2396</v>
      </c>
      <c r="K77" s="162" t="s">
        <v>1062</v>
      </c>
      <c r="L77" s="162" t="s">
        <v>2435</v>
      </c>
      <c r="M77" s="162">
        <v>146046</v>
      </c>
      <c r="N77" s="162" t="s">
        <v>1007</v>
      </c>
      <c r="O77" s="162" t="s">
        <v>5664</v>
      </c>
      <c r="P77" s="162" t="s">
        <v>4625</v>
      </c>
      <c r="Q77" s="162" t="s">
        <v>4863</v>
      </c>
      <c r="R77" s="162" t="s">
        <v>2121</v>
      </c>
      <c r="S77" s="162" t="s">
        <v>2436</v>
      </c>
      <c r="T77" s="162">
        <v>1185.7</v>
      </c>
      <c r="U77" s="162" t="s">
        <v>2150</v>
      </c>
      <c r="V77" s="162" t="s">
        <v>5346</v>
      </c>
      <c r="W77" s="162" t="s">
        <v>5347</v>
      </c>
      <c r="X77" s="162" t="s">
        <v>4864</v>
      </c>
      <c r="Y77" s="162" t="s">
        <v>2417</v>
      </c>
      <c r="Z77" s="162" t="s">
        <v>2418</v>
      </c>
      <c r="AA77" s="162" t="s">
        <v>4864</v>
      </c>
      <c r="AB77" s="162" t="s">
        <v>34</v>
      </c>
      <c r="AC77" s="162" t="s">
        <v>2123</v>
      </c>
      <c r="AD77" s="162" t="s">
        <v>2124</v>
      </c>
      <c r="AE77" s="162" t="s">
        <v>1758</v>
      </c>
      <c r="AF77" s="162">
        <v>32000</v>
      </c>
      <c r="AG77" s="162">
        <v>3000</v>
      </c>
      <c r="AH77" s="162">
        <v>12000</v>
      </c>
      <c r="AI77" s="162" t="s">
        <v>34</v>
      </c>
      <c r="AJ77" s="162" t="s">
        <v>34</v>
      </c>
      <c r="AK77" s="162" t="s">
        <v>2125</v>
      </c>
      <c r="AL77" s="162" t="s">
        <v>3725</v>
      </c>
      <c r="AM77" t="s">
        <v>4810</v>
      </c>
      <c r="AN77" s="478">
        <v>1.4583333333333332E-2</v>
      </c>
      <c r="AO77" s="478">
        <v>2.1527777777777781E-2</v>
      </c>
      <c r="CG77" t="s">
        <v>3805</v>
      </c>
    </row>
    <row r="78" spans="1:88" x14ac:dyDescent="0.2">
      <c r="A78">
        <v>77</v>
      </c>
      <c r="B78" s="462" t="s">
        <v>333</v>
      </c>
      <c r="C78" s="162" t="s">
        <v>3766</v>
      </c>
      <c r="D78" s="162" t="s">
        <v>4339</v>
      </c>
      <c r="E78" s="162" t="s">
        <v>2024</v>
      </c>
      <c r="F78" s="162" t="s">
        <v>2004</v>
      </c>
      <c r="G78" s="162" t="s">
        <v>34</v>
      </c>
      <c r="H78" s="162" t="s">
        <v>2128</v>
      </c>
      <c r="I78" s="162" t="s">
        <v>5661</v>
      </c>
      <c r="J78" s="162" t="s">
        <v>2396</v>
      </c>
      <c r="K78" s="162" t="s">
        <v>2425</v>
      </c>
      <c r="L78" s="162" t="s">
        <v>2426</v>
      </c>
      <c r="M78" s="162">
        <v>146905</v>
      </c>
      <c r="N78" s="162" t="s">
        <v>2427</v>
      </c>
      <c r="O78" s="162" t="s">
        <v>5664</v>
      </c>
      <c r="P78" s="162" t="s">
        <v>2428</v>
      </c>
      <c r="Q78" s="162" t="s">
        <v>4863</v>
      </c>
      <c r="R78" s="162" t="s">
        <v>2121</v>
      </c>
      <c r="S78" s="162" t="s">
        <v>2429</v>
      </c>
      <c r="T78" s="162">
        <v>737.5</v>
      </c>
      <c r="U78" s="162" t="s">
        <v>2150</v>
      </c>
      <c r="V78" s="162" t="s">
        <v>2430</v>
      </c>
      <c r="W78" s="162" t="s">
        <v>2431</v>
      </c>
      <c r="X78" s="162" t="s">
        <v>4864</v>
      </c>
      <c r="Y78" s="162" t="s">
        <v>2417</v>
      </c>
      <c r="Z78" s="162" t="s">
        <v>2418</v>
      </c>
      <c r="AA78" s="162" t="s">
        <v>4864</v>
      </c>
      <c r="AB78" s="162" t="s">
        <v>34</v>
      </c>
      <c r="AC78" s="162" t="s">
        <v>2123</v>
      </c>
      <c r="AD78" s="162" t="s">
        <v>2124</v>
      </c>
      <c r="AE78" s="162" t="s">
        <v>1758</v>
      </c>
      <c r="AF78" s="162" t="s">
        <v>3862</v>
      </c>
      <c r="AG78" s="162">
        <v>9</v>
      </c>
      <c r="AH78" s="162">
        <v>0</v>
      </c>
      <c r="AI78" s="162" t="s">
        <v>34</v>
      </c>
      <c r="AJ78" s="162" t="s">
        <v>34</v>
      </c>
      <c r="AK78" s="162" t="s">
        <v>2125</v>
      </c>
      <c r="AL78" s="162" t="s">
        <v>3725</v>
      </c>
      <c r="AM78" t="s">
        <v>4806</v>
      </c>
      <c r="AN78" s="478">
        <v>1.4583333333333332E-2</v>
      </c>
      <c r="AO78" s="478">
        <v>2.1527777777777781E-2</v>
      </c>
      <c r="CG78" t="s">
        <v>1585</v>
      </c>
    </row>
    <row r="79" spans="1:88" x14ac:dyDescent="0.2">
      <c r="A79">
        <v>78</v>
      </c>
      <c r="B79" s="462" t="s">
        <v>333</v>
      </c>
      <c r="C79" s="162" t="s">
        <v>1013</v>
      </c>
      <c r="D79" s="162" t="s">
        <v>4022</v>
      </c>
      <c r="E79" s="162" t="s">
        <v>2024</v>
      </c>
      <c r="F79" s="162" t="s">
        <v>2004</v>
      </c>
      <c r="G79" s="162" t="s">
        <v>34</v>
      </c>
      <c r="H79" s="162" t="s">
        <v>2128</v>
      </c>
      <c r="I79" s="162" t="s">
        <v>5651</v>
      </c>
      <c r="J79" s="162" t="s">
        <v>1764</v>
      </c>
      <c r="K79" s="162" t="s">
        <v>2432</v>
      </c>
      <c r="L79" s="162" t="s">
        <v>2243</v>
      </c>
      <c r="M79" s="162" t="s">
        <v>1013</v>
      </c>
      <c r="N79" s="162" t="s">
        <v>1013</v>
      </c>
      <c r="O79" s="162" t="s">
        <v>904</v>
      </c>
      <c r="P79" s="162" t="s">
        <v>2433</v>
      </c>
      <c r="Q79" s="162" t="s">
        <v>2201</v>
      </c>
      <c r="R79" s="162" t="s">
        <v>2121</v>
      </c>
      <c r="S79" s="162" t="s">
        <v>2434</v>
      </c>
      <c r="T79" s="162">
        <v>536.29999999999995</v>
      </c>
      <c r="U79" s="162">
        <v>0</v>
      </c>
      <c r="V79" s="162">
        <v>0</v>
      </c>
      <c r="W79" s="162">
        <v>0</v>
      </c>
      <c r="X79" s="162">
        <v>0</v>
      </c>
      <c r="Y79" s="162">
        <v>0</v>
      </c>
      <c r="Z79" s="162">
        <v>0</v>
      </c>
      <c r="AA79" s="162">
        <v>0</v>
      </c>
      <c r="AB79" s="162" t="s">
        <v>34</v>
      </c>
      <c r="AC79" s="162" t="s">
        <v>2123</v>
      </c>
      <c r="AD79" s="162" t="s">
        <v>2124</v>
      </c>
      <c r="AE79" s="162" t="s">
        <v>1758</v>
      </c>
      <c r="AF79" s="162" t="s">
        <v>3347</v>
      </c>
      <c r="AG79" s="162" t="s">
        <v>34</v>
      </c>
      <c r="AH79" s="162" t="s">
        <v>34</v>
      </c>
      <c r="AI79" s="162" t="s">
        <v>34</v>
      </c>
      <c r="AJ79" s="162" t="s">
        <v>34</v>
      </c>
      <c r="AK79" s="162" t="s">
        <v>2125</v>
      </c>
      <c r="AL79" s="162" t="s">
        <v>34</v>
      </c>
      <c r="AM79" t="s">
        <v>4803</v>
      </c>
      <c r="AN79" s="478">
        <v>0</v>
      </c>
      <c r="AO79" s="478">
        <v>0</v>
      </c>
      <c r="CG79" t="s">
        <v>1619</v>
      </c>
    </row>
    <row r="80" spans="1:88" x14ac:dyDescent="0.2">
      <c r="A80">
        <v>79</v>
      </c>
      <c r="B80" s="462" t="s">
        <v>1023</v>
      </c>
      <c r="C80" s="162" t="s">
        <v>1046</v>
      </c>
      <c r="D80" s="162" t="s">
        <v>4023</v>
      </c>
      <c r="E80" s="162" t="s">
        <v>2025</v>
      </c>
      <c r="F80" s="162" t="s">
        <v>2004</v>
      </c>
      <c r="G80" s="162" t="s">
        <v>34</v>
      </c>
      <c r="H80" s="162" t="s">
        <v>2128</v>
      </c>
      <c r="I80" s="162" t="s">
        <v>5665</v>
      </c>
      <c r="J80" s="162" t="s">
        <v>2396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2123</v>
      </c>
      <c r="AD80" s="162" t="s">
        <v>2124</v>
      </c>
      <c r="AE80" s="162" t="s">
        <v>1758</v>
      </c>
      <c r="AF80" s="162" t="s">
        <v>3347</v>
      </c>
      <c r="AG80" s="162" t="s">
        <v>34</v>
      </c>
      <c r="AH80" s="162" t="s">
        <v>34</v>
      </c>
      <c r="AI80" s="162" t="s">
        <v>34</v>
      </c>
      <c r="AJ80" s="162" t="s">
        <v>34</v>
      </c>
      <c r="AK80" s="162" t="s">
        <v>2125</v>
      </c>
      <c r="AL80" s="162" t="s">
        <v>34</v>
      </c>
      <c r="AM80" t="s">
        <v>4803</v>
      </c>
      <c r="AN80" s="478">
        <v>0</v>
      </c>
      <c r="AO80" s="478">
        <v>0</v>
      </c>
      <c r="CG80" t="s">
        <v>1623</v>
      </c>
    </row>
    <row r="81" spans="1:41" x14ac:dyDescent="0.2">
      <c r="A81">
        <v>80</v>
      </c>
      <c r="B81" s="462" t="s">
        <v>1023</v>
      </c>
      <c r="C81" s="162" t="s">
        <v>1044</v>
      </c>
      <c r="D81" s="162" t="s">
        <v>4024</v>
      </c>
      <c r="E81" s="162" t="s">
        <v>2025</v>
      </c>
      <c r="F81" s="162" t="s">
        <v>2004</v>
      </c>
      <c r="G81" s="162" t="s">
        <v>34</v>
      </c>
      <c r="H81" s="162" t="s">
        <v>2128</v>
      </c>
      <c r="I81" s="162" t="s">
        <v>5651</v>
      </c>
      <c r="J81" s="162" t="s">
        <v>2396</v>
      </c>
      <c r="K81" s="162" t="s">
        <v>1211</v>
      </c>
      <c r="L81" s="162" t="s">
        <v>2443</v>
      </c>
      <c r="M81" s="162" t="s">
        <v>2444</v>
      </c>
      <c r="N81" s="162" t="s">
        <v>1044</v>
      </c>
      <c r="O81" s="162" t="s">
        <v>4915</v>
      </c>
      <c r="P81" s="162" t="s">
        <v>2445</v>
      </c>
      <c r="Q81" s="162" t="s">
        <v>4876</v>
      </c>
      <c r="R81" s="162" t="s">
        <v>2185</v>
      </c>
      <c r="S81" s="162" t="s">
        <v>2446</v>
      </c>
      <c r="T81" s="162">
        <v>80</v>
      </c>
      <c r="U81" s="162" t="s">
        <v>2150</v>
      </c>
      <c r="V81" s="162" t="s">
        <v>2447</v>
      </c>
      <c r="W81" s="162" t="s">
        <v>4977</v>
      </c>
      <c r="X81" s="162" t="s">
        <v>4864</v>
      </c>
      <c r="Y81" s="162" t="s">
        <v>2448</v>
      </c>
      <c r="Z81" s="162" t="s">
        <v>2449</v>
      </c>
      <c r="AA81" s="162" t="s">
        <v>4864</v>
      </c>
      <c r="AB81" s="162" t="s">
        <v>34</v>
      </c>
      <c r="AC81" s="162" t="s">
        <v>2123</v>
      </c>
      <c r="AD81" s="162" t="s">
        <v>2124</v>
      </c>
      <c r="AE81" s="162" t="s">
        <v>1758</v>
      </c>
      <c r="AF81" s="162" t="s">
        <v>3347</v>
      </c>
      <c r="AG81" s="162" t="s">
        <v>34</v>
      </c>
      <c r="AH81" s="162" t="s">
        <v>34</v>
      </c>
      <c r="AI81" s="162" t="s">
        <v>34</v>
      </c>
      <c r="AJ81" s="162" t="s">
        <v>34</v>
      </c>
      <c r="AK81" s="162" t="s">
        <v>2125</v>
      </c>
      <c r="AL81" s="162" t="s">
        <v>34</v>
      </c>
      <c r="AM81" t="s">
        <v>4806</v>
      </c>
      <c r="AN81" s="478">
        <v>0</v>
      </c>
      <c r="AO81" s="478">
        <v>0</v>
      </c>
    </row>
    <row r="82" spans="1:41" x14ac:dyDescent="0.2">
      <c r="A82">
        <v>81</v>
      </c>
      <c r="B82" s="462" t="s">
        <v>1023</v>
      </c>
      <c r="C82" s="162" t="s">
        <v>1025</v>
      </c>
      <c r="D82" s="162" t="s">
        <v>4025</v>
      </c>
      <c r="E82" s="162" t="s">
        <v>2025</v>
      </c>
      <c r="F82" s="162" t="s">
        <v>2004</v>
      </c>
      <c r="G82" s="162" t="s">
        <v>34</v>
      </c>
      <c r="H82" s="162" t="s">
        <v>2128</v>
      </c>
      <c r="I82" s="162" t="s">
        <v>5651</v>
      </c>
      <c r="J82" s="162" t="s">
        <v>2396</v>
      </c>
      <c r="K82" s="162" t="s">
        <v>2455</v>
      </c>
      <c r="L82" s="162" t="s">
        <v>2443</v>
      </c>
      <c r="M82" s="162" t="s">
        <v>2456</v>
      </c>
      <c r="N82" s="162" t="s">
        <v>1025</v>
      </c>
      <c r="O82" s="162" t="s">
        <v>5656</v>
      </c>
      <c r="P82" s="162" t="s">
        <v>2451</v>
      </c>
      <c r="Q82" s="162" t="s">
        <v>4863</v>
      </c>
      <c r="R82" s="162" t="s">
        <v>2185</v>
      </c>
      <c r="S82" s="162" t="s">
        <v>2457</v>
      </c>
      <c r="T82" s="162">
        <v>1725</v>
      </c>
      <c r="U82" s="162" t="s">
        <v>2149</v>
      </c>
      <c r="V82" s="162" t="s">
        <v>2447</v>
      </c>
      <c r="W82" s="162">
        <v>9.06</v>
      </c>
      <c r="X82" s="162" t="s">
        <v>4864</v>
      </c>
      <c r="Y82" s="162" t="s">
        <v>2448</v>
      </c>
      <c r="Z82" s="162" t="s">
        <v>2449</v>
      </c>
      <c r="AA82" s="162" t="s">
        <v>4864</v>
      </c>
      <c r="AB82" s="162" t="s">
        <v>34</v>
      </c>
      <c r="AC82" s="162" t="s">
        <v>2123</v>
      </c>
      <c r="AD82" s="162" t="s">
        <v>2124</v>
      </c>
      <c r="AE82" s="162" t="s">
        <v>1758</v>
      </c>
      <c r="AF82" s="162">
        <v>15.7</v>
      </c>
      <c r="AG82" s="162">
        <v>2.31</v>
      </c>
      <c r="AH82" s="162">
        <v>0.38</v>
      </c>
      <c r="AI82" s="162" t="s">
        <v>3895</v>
      </c>
      <c r="AJ82" s="162" t="s">
        <v>34</v>
      </c>
      <c r="AK82" s="162" t="s">
        <v>2125</v>
      </c>
      <c r="AL82" s="162" t="s">
        <v>34</v>
      </c>
      <c r="AM82" t="s">
        <v>4805</v>
      </c>
      <c r="AN82" s="478">
        <v>0</v>
      </c>
      <c r="AO82" s="478">
        <v>0</v>
      </c>
    </row>
    <row r="83" spans="1:41" x14ac:dyDescent="0.2">
      <c r="A83">
        <v>82</v>
      </c>
      <c r="B83" s="462" t="s">
        <v>1023</v>
      </c>
      <c r="C83" s="162" t="s">
        <v>1027</v>
      </c>
      <c r="D83" s="162" t="s">
        <v>4026</v>
      </c>
      <c r="E83" s="162" t="s">
        <v>2025</v>
      </c>
      <c r="F83" s="162" t="s">
        <v>2004</v>
      </c>
      <c r="G83" s="162" t="s">
        <v>34</v>
      </c>
      <c r="H83" s="162" t="s">
        <v>2128</v>
      </c>
      <c r="I83" s="162" t="s">
        <v>5651</v>
      </c>
      <c r="J83" s="162" t="s">
        <v>2396</v>
      </c>
      <c r="K83" s="162" t="s">
        <v>1120</v>
      </c>
      <c r="L83" s="162" t="s">
        <v>2450</v>
      </c>
      <c r="M83" s="162">
        <v>389</v>
      </c>
      <c r="N83" s="162" t="s">
        <v>1027</v>
      </c>
      <c r="O83" s="162" t="s">
        <v>5656</v>
      </c>
      <c r="P83" s="162" t="s">
        <v>2451</v>
      </c>
      <c r="Q83" s="162" t="s">
        <v>4863</v>
      </c>
      <c r="R83" s="162" t="s">
        <v>2286</v>
      </c>
      <c r="S83" s="162" t="s">
        <v>2452</v>
      </c>
      <c r="T83" s="162">
        <v>588</v>
      </c>
      <c r="U83" s="162" t="s">
        <v>2149</v>
      </c>
      <c r="V83" s="162" t="s">
        <v>2453</v>
      </c>
      <c r="W83" s="162" t="s">
        <v>2454</v>
      </c>
      <c r="X83" s="162" t="s">
        <v>4864</v>
      </c>
      <c r="Y83" s="162" t="s">
        <v>2417</v>
      </c>
      <c r="Z83" s="162" t="s">
        <v>2449</v>
      </c>
      <c r="AA83" s="162" t="s">
        <v>4864</v>
      </c>
      <c r="AB83" s="162" t="s">
        <v>34</v>
      </c>
      <c r="AC83" s="162" t="s">
        <v>2123</v>
      </c>
      <c r="AD83" s="162" t="s">
        <v>2124</v>
      </c>
      <c r="AE83" s="162" t="s">
        <v>1758</v>
      </c>
      <c r="AF83" s="162">
        <v>0.6</v>
      </c>
      <c r="AG83" s="162">
        <v>127</v>
      </c>
      <c r="AH83" s="162">
        <v>1</v>
      </c>
      <c r="AI83" s="162" t="s">
        <v>34</v>
      </c>
      <c r="AJ83" s="162" t="s">
        <v>34</v>
      </c>
      <c r="AK83" s="162" t="s">
        <v>2125</v>
      </c>
      <c r="AL83" s="162" t="s">
        <v>34</v>
      </c>
      <c r="AM83" t="s">
        <v>4803</v>
      </c>
      <c r="AN83" s="478">
        <v>0</v>
      </c>
      <c r="AO83" s="478">
        <v>0</v>
      </c>
    </row>
    <row r="84" spans="1:41" x14ac:dyDescent="0.2">
      <c r="A84">
        <v>83</v>
      </c>
      <c r="B84" s="462" t="s">
        <v>1023</v>
      </c>
      <c r="C84" s="162" t="s">
        <v>1009</v>
      </c>
      <c r="D84" s="162" t="s">
        <v>4027</v>
      </c>
      <c r="E84" s="162" t="s">
        <v>2025</v>
      </c>
      <c r="F84" s="162" t="s">
        <v>2004</v>
      </c>
      <c r="G84" s="162" t="s">
        <v>34</v>
      </c>
      <c r="H84" s="162" t="s">
        <v>2128</v>
      </c>
      <c r="I84" s="162" t="s">
        <v>5665</v>
      </c>
      <c r="J84" s="162" t="s">
        <v>2396</v>
      </c>
      <c r="K84" s="162" t="s">
        <v>3726</v>
      </c>
      <c r="L84" s="162" t="s">
        <v>2243</v>
      </c>
      <c r="M84" s="162" t="s">
        <v>1009</v>
      </c>
      <c r="N84" s="162" t="s">
        <v>1009</v>
      </c>
      <c r="O84" s="162" t="s">
        <v>3727</v>
      </c>
      <c r="P84" s="162" t="s">
        <v>3155</v>
      </c>
      <c r="Q84" s="162" t="s">
        <v>2201</v>
      </c>
      <c r="R84" s="162" t="s">
        <v>2121</v>
      </c>
      <c r="S84" s="162" t="s">
        <v>2434</v>
      </c>
      <c r="T84" s="162">
        <v>536.29999999999995</v>
      </c>
      <c r="U84" s="162" t="s">
        <v>1947</v>
      </c>
      <c r="V84" s="162" t="s">
        <v>3729</v>
      </c>
      <c r="W84" s="162" t="s">
        <v>3733</v>
      </c>
      <c r="X84" s="162" t="s">
        <v>2122</v>
      </c>
      <c r="Y84" s="162" t="s">
        <v>2557</v>
      </c>
      <c r="Z84" s="162" t="s">
        <v>2449</v>
      </c>
      <c r="AA84" s="162" t="s">
        <v>2122</v>
      </c>
      <c r="AB84" s="162" t="s">
        <v>34</v>
      </c>
      <c r="AC84" s="162" t="s">
        <v>2123</v>
      </c>
      <c r="AD84" s="162" t="s">
        <v>2124</v>
      </c>
      <c r="AE84" s="162" t="s">
        <v>1758</v>
      </c>
      <c r="AF84" s="162" t="s">
        <v>3347</v>
      </c>
      <c r="AG84" s="162" t="s">
        <v>34</v>
      </c>
      <c r="AH84" s="162" t="s">
        <v>34</v>
      </c>
      <c r="AI84" s="162" t="s">
        <v>34</v>
      </c>
      <c r="AJ84" s="162" t="s">
        <v>34</v>
      </c>
      <c r="AK84" s="162" t="s">
        <v>2125</v>
      </c>
      <c r="AL84" s="162" t="s">
        <v>3725</v>
      </c>
      <c r="AM84" t="s">
        <v>4803</v>
      </c>
      <c r="AN84" s="478">
        <v>0</v>
      </c>
      <c r="AO84" s="478">
        <v>0</v>
      </c>
    </row>
    <row r="85" spans="1:41" x14ac:dyDescent="0.2">
      <c r="A85">
        <v>84</v>
      </c>
      <c r="B85" s="462" t="s">
        <v>1023</v>
      </c>
      <c r="C85" s="162" t="s">
        <v>1031</v>
      </c>
      <c r="D85" s="162" t="s">
        <v>4028</v>
      </c>
      <c r="E85" s="162" t="s">
        <v>2025</v>
      </c>
      <c r="F85" s="162" t="s">
        <v>2004</v>
      </c>
      <c r="G85" s="162" t="s">
        <v>34</v>
      </c>
      <c r="H85" s="162" t="s">
        <v>2128</v>
      </c>
      <c r="I85" s="162" t="s">
        <v>5665</v>
      </c>
      <c r="J85" s="162" t="s">
        <v>2396</v>
      </c>
      <c r="K85" s="162" t="s">
        <v>3734</v>
      </c>
      <c r="L85" s="162" t="s">
        <v>2243</v>
      </c>
      <c r="M85" s="162" t="s">
        <v>1031</v>
      </c>
      <c r="N85" s="162" t="s">
        <v>1031</v>
      </c>
      <c r="O85" s="162" t="s">
        <v>3727</v>
      </c>
      <c r="P85" s="162" t="s">
        <v>3737</v>
      </c>
      <c r="Q85" s="162" t="s">
        <v>2201</v>
      </c>
      <c r="R85" s="162" t="s">
        <v>2121</v>
      </c>
      <c r="S85" s="162" t="s">
        <v>2434</v>
      </c>
      <c r="T85" s="162">
        <v>536.29999999999995</v>
      </c>
      <c r="U85" s="162" t="s">
        <v>1947</v>
      </c>
      <c r="V85" s="162" t="s">
        <v>3729</v>
      </c>
      <c r="W85" s="162" t="s">
        <v>3738</v>
      </c>
      <c r="X85" s="162" t="s">
        <v>2122</v>
      </c>
      <c r="Y85" s="162" t="s">
        <v>2417</v>
      </c>
      <c r="Z85" s="162" t="s">
        <v>2449</v>
      </c>
      <c r="AA85" s="162" t="s">
        <v>2122</v>
      </c>
      <c r="AB85" s="162" t="s">
        <v>34</v>
      </c>
      <c r="AC85" s="162" t="s">
        <v>2123</v>
      </c>
      <c r="AD85" s="162" t="s">
        <v>2124</v>
      </c>
      <c r="AE85" s="162" t="s">
        <v>1758</v>
      </c>
      <c r="AF85" s="162" t="s">
        <v>3347</v>
      </c>
      <c r="AG85" s="162" t="s">
        <v>34</v>
      </c>
      <c r="AH85" s="162" t="s">
        <v>34</v>
      </c>
      <c r="AI85" s="162" t="s">
        <v>34</v>
      </c>
      <c r="AJ85" s="162" t="s">
        <v>34</v>
      </c>
      <c r="AK85" s="162" t="s">
        <v>2125</v>
      </c>
      <c r="AL85" s="162" t="s">
        <v>3725</v>
      </c>
      <c r="AM85" t="s">
        <v>4803</v>
      </c>
      <c r="AN85" s="478">
        <v>0</v>
      </c>
      <c r="AO85" s="478">
        <v>0</v>
      </c>
    </row>
    <row r="86" spans="1:41" x14ac:dyDescent="0.2">
      <c r="A86">
        <v>85</v>
      </c>
      <c r="B86" s="462" t="s">
        <v>1023</v>
      </c>
      <c r="C86" s="162" t="s">
        <v>1005</v>
      </c>
      <c r="D86" s="162" t="s">
        <v>4029</v>
      </c>
      <c r="E86" s="162" t="s">
        <v>2025</v>
      </c>
      <c r="F86" s="162" t="s">
        <v>2004</v>
      </c>
      <c r="G86" s="162" t="s">
        <v>34</v>
      </c>
      <c r="H86" s="162" t="s">
        <v>2128</v>
      </c>
      <c r="I86" s="162" t="s">
        <v>5665</v>
      </c>
      <c r="J86" s="162" t="s">
        <v>2396</v>
      </c>
      <c r="K86" s="162" t="s">
        <v>2775</v>
      </c>
      <c r="L86" s="162" t="s">
        <v>2243</v>
      </c>
      <c r="M86" s="162" t="s">
        <v>1005</v>
      </c>
      <c r="N86" s="162" t="s">
        <v>1005</v>
      </c>
      <c r="O86" s="162" t="s">
        <v>3727</v>
      </c>
      <c r="P86" s="162" t="s">
        <v>3730</v>
      </c>
      <c r="Q86" s="162" t="s">
        <v>2201</v>
      </c>
      <c r="R86" s="162" t="s">
        <v>2121</v>
      </c>
      <c r="S86" s="162" t="s">
        <v>2434</v>
      </c>
      <c r="T86" s="162">
        <v>536.29999999999995</v>
      </c>
      <c r="U86" s="162" t="s">
        <v>1947</v>
      </c>
      <c r="V86" s="162" t="s">
        <v>3729</v>
      </c>
      <c r="W86" s="162" t="s">
        <v>3732</v>
      </c>
      <c r="X86" s="162" t="s">
        <v>2122</v>
      </c>
      <c r="Y86" s="162" t="s">
        <v>2557</v>
      </c>
      <c r="Z86" s="162" t="s">
        <v>2449</v>
      </c>
      <c r="AA86" s="162" t="s">
        <v>2122</v>
      </c>
      <c r="AB86" s="162" t="s">
        <v>34</v>
      </c>
      <c r="AC86" s="162" t="s">
        <v>2123</v>
      </c>
      <c r="AD86" s="162" t="s">
        <v>2124</v>
      </c>
      <c r="AE86" s="162" t="s">
        <v>1758</v>
      </c>
      <c r="AF86" s="162" t="s">
        <v>3347</v>
      </c>
      <c r="AG86" s="162" t="s">
        <v>34</v>
      </c>
      <c r="AH86" s="162" t="s">
        <v>34</v>
      </c>
      <c r="AI86" s="162" t="s">
        <v>34</v>
      </c>
      <c r="AJ86" s="162" t="s">
        <v>34</v>
      </c>
      <c r="AK86" s="162" t="s">
        <v>2125</v>
      </c>
      <c r="AL86" s="162" t="s">
        <v>3725</v>
      </c>
      <c r="AM86" t="s">
        <v>4803</v>
      </c>
      <c r="AN86" s="478">
        <v>0</v>
      </c>
      <c r="AO86" s="478">
        <v>0</v>
      </c>
    </row>
    <row r="87" spans="1:41" x14ac:dyDescent="0.2">
      <c r="A87">
        <v>86</v>
      </c>
      <c r="B87" s="462" t="s">
        <v>1023</v>
      </c>
      <c r="C87" s="162" t="s">
        <v>1003</v>
      </c>
      <c r="D87" s="162" t="s">
        <v>4030</v>
      </c>
      <c r="E87" s="162" t="s">
        <v>2025</v>
      </c>
      <c r="F87" s="162" t="s">
        <v>2004</v>
      </c>
      <c r="G87" s="162" t="s">
        <v>34</v>
      </c>
      <c r="H87" s="162" t="s">
        <v>2128</v>
      </c>
      <c r="I87" s="162" t="s">
        <v>5665</v>
      </c>
      <c r="J87" s="162" t="s">
        <v>2396</v>
      </c>
      <c r="K87" s="162" t="s">
        <v>2773</v>
      </c>
      <c r="L87" s="162" t="s">
        <v>2243</v>
      </c>
      <c r="M87" s="162" t="s">
        <v>1003</v>
      </c>
      <c r="N87" s="162" t="s">
        <v>1003</v>
      </c>
      <c r="O87" s="162" t="s">
        <v>3727</v>
      </c>
      <c r="P87" s="162" t="s">
        <v>3728</v>
      </c>
      <c r="Q87" s="162" t="s">
        <v>2201</v>
      </c>
      <c r="R87" s="162" t="s">
        <v>2121</v>
      </c>
      <c r="S87" s="162" t="s">
        <v>2434</v>
      </c>
      <c r="T87" s="162">
        <v>536.29999999999995</v>
      </c>
      <c r="U87" s="162" t="s">
        <v>1947</v>
      </c>
      <c r="V87" s="162" t="s">
        <v>3729</v>
      </c>
      <c r="W87" s="162" t="s">
        <v>3731</v>
      </c>
      <c r="X87" s="162" t="s">
        <v>2122</v>
      </c>
      <c r="Y87" s="162" t="s">
        <v>2557</v>
      </c>
      <c r="Z87" s="162" t="s">
        <v>2449</v>
      </c>
      <c r="AA87" s="162" t="s">
        <v>2122</v>
      </c>
      <c r="AB87" s="162" t="s">
        <v>34</v>
      </c>
      <c r="AC87" s="162" t="s">
        <v>2123</v>
      </c>
      <c r="AD87" s="162" t="s">
        <v>2124</v>
      </c>
      <c r="AE87" s="162" t="s">
        <v>1758</v>
      </c>
      <c r="AF87" s="162" t="s">
        <v>3347</v>
      </c>
      <c r="AG87" s="162" t="s">
        <v>34</v>
      </c>
      <c r="AH87" s="162" t="s">
        <v>34</v>
      </c>
      <c r="AI87" s="162" t="s">
        <v>34</v>
      </c>
      <c r="AJ87" s="162" t="s">
        <v>34</v>
      </c>
      <c r="AK87" s="162" t="s">
        <v>2125</v>
      </c>
      <c r="AL87" s="162" t="s">
        <v>3725</v>
      </c>
      <c r="AM87" t="s">
        <v>4803</v>
      </c>
      <c r="AN87" s="478">
        <v>0</v>
      </c>
      <c r="AO87" s="478">
        <v>0</v>
      </c>
    </row>
    <row r="88" spans="1:41" x14ac:dyDescent="0.2">
      <c r="A88">
        <v>87</v>
      </c>
      <c r="B88" s="462" t="s">
        <v>1023</v>
      </c>
      <c r="C88" s="162" t="s">
        <v>1040</v>
      </c>
      <c r="D88" s="162" t="s">
        <v>4031</v>
      </c>
      <c r="E88" s="162" t="s">
        <v>2025</v>
      </c>
      <c r="F88" s="162" t="s">
        <v>2004</v>
      </c>
      <c r="G88" s="162" t="s">
        <v>34</v>
      </c>
      <c r="H88" s="162" t="s">
        <v>2128</v>
      </c>
      <c r="I88" s="162" t="s">
        <v>5665</v>
      </c>
      <c r="J88" s="162" t="s">
        <v>2396</v>
      </c>
      <c r="K88" s="162" t="s">
        <v>3746</v>
      </c>
      <c r="L88" s="162" t="s">
        <v>2243</v>
      </c>
      <c r="M88" s="162" t="s">
        <v>1040</v>
      </c>
      <c r="N88" s="162" t="s">
        <v>1040</v>
      </c>
      <c r="O88" s="162" t="s">
        <v>3727</v>
      </c>
      <c r="P88" s="162" t="s">
        <v>3747</v>
      </c>
      <c r="Q88" s="162" t="s">
        <v>2201</v>
      </c>
      <c r="R88" s="162" t="s">
        <v>2121</v>
      </c>
      <c r="S88" s="162" t="s">
        <v>2434</v>
      </c>
      <c r="T88" s="162">
        <v>536.29999999999995</v>
      </c>
      <c r="U88" s="162" t="s">
        <v>1947</v>
      </c>
      <c r="V88" s="162" t="s">
        <v>3729</v>
      </c>
      <c r="W88" s="162" t="s">
        <v>3748</v>
      </c>
      <c r="X88" s="162" t="s">
        <v>2122</v>
      </c>
      <c r="Y88" s="162" t="s">
        <v>2417</v>
      </c>
      <c r="Z88" s="162" t="s">
        <v>2449</v>
      </c>
      <c r="AA88" s="162" t="s">
        <v>2122</v>
      </c>
      <c r="AB88" s="162" t="s">
        <v>34</v>
      </c>
      <c r="AC88" s="162" t="s">
        <v>2123</v>
      </c>
      <c r="AD88" s="162" t="s">
        <v>2124</v>
      </c>
      <c r="AE88" s="162" t="s">
        <v>1758</v>
      </c>
      <c r="AF88" s="162" t="s">
        <v>3347</v>
      </c>
      <c r="AG88" s="162" t="s">
        <v>34</v>
      </c>
      <c r="AH88" s="162" t="s">
        <v>34</v>
      </c>
      <c r="AI88" s="162" t="s">
        <v>34</v>
      </c>
      <c r="AJ88" s="162" t="s">
        <v>34</v>
      </c>
      <c r="AK88" s="162" t="s">
        <v>2125</v>
      </c>
      <c r="AL88" s="162" t="s">
        <v>3725</v>
      </c>
      <c r="AM88" t="s">
        <v>4803</v>
      </c>
      <c r="AN88" s="478">
        <v>0</v>
      </c>
      <c r="AO88" s="478">
        <v>0</v>
      </c>
    </row>
    <row r="89" spans="1:41" x14ac:dyDescent="0.2">
      <c r="A89">
        <v>88</v>
      </c>
      <c r="B89" s="462" t="s">
        <v>1023</v>
      </c>
      <c r="C89" s="162" t="s">
        <v>1037</v>
      </c>
      <c r="D89" s="162" t="s">
        <v>4032</v>
      </c>
      <c r="E89" s="162" t="s">
        <v>2025</v>
      </c>
      <c r="F89" s="162" t="s">
        <v>2004</v>
      </c>
      <c r="G89" s="162" t="s">
        <v>34</v>
      </c>
      <c r="H89" s="162" t="s">
        <v>2128</v>
      </c>
      <c r="I89" s="162" t="s">
        <v>5665</v>
      </c>
      <c r="J89" s="162" t="s">
        <v>2396</v>
      </c>
      <c r="K89" s="162" t="s">
        <v>3743</v>
      </c>
      <c r="L89" s="162" t="s">
        <v>2243</v>
      </c>
      <c r="M89" s="162" t="s">
        <v>1037</v>
      </c>
      <c r="N89" s="162" t="s">
        <v>1037</v>
      </c>
      <c r="O89" s="162" t="s">
        <v>3727</v>
      </c>
      <c r="P89" s="162" t="s">
        <v>3744</v>
      </c>
      <c r="Q89" s="162" t="s">
        <v>2201</v>
      </c>
      <c r="R89" s="162" t="s">
        <v>2121</v>
      </c>
      <c r="S89" s="162" t="s">
        <v>2434</v>
      </c>
      <c r="T89" s="162">
        <v>536.29999999999995</v>
      </c>
      <c r="U89" s="162" t="s">
        <v>1947</v>
      </c>
      <c r="V89" s="162" t="s">
        <v>3729</v>
      </c>
      <c r="W89" s="162" t="s">
        <v>3745</v>
      </c>
      <c r="X89" s="162" t="s">
        <v>2122</v>
      </c>
      <c r="Y89" s="162" t="s">
        <v>2417</v>
      </c>
      <c r="Z89" s="162" t="s">
        <v>2449</v>
      </c>
      <c r="AA89" s="162" t="s">
        <v>2122</v>
      </c>
      <c r="AB89" s="162" t="s">
        <v>34</v>
      </c>
      <c r="AC89" s="162" t="s">
        <v>2123</v>
      </c>
      <c r="AD89" s="162" t="s">
        <v>2124</v>
      </c>
      <c r="AE89" s="162" t="s">
        <v>1758</v>
      </c>
      <c r="AF89" s="162" t="s">
        <v>3347</v>
      </c>
      <c r="AG89" s="162" t="s">
        <v>34</v>
      </c>
      <c r="AH89" s="162" t="s">
        <v>34</v>
      </c>
      <c r="AI89" s="162" t="s">
        <v>34</v>
      </c>
      <c r="AJ89" s="162" t="s">
        <v>34</v>
      </c>
      <c r="AK89" s="162" t="s">
        <v>2125</v>
      </c>
      <c r="AL89" s="162" t="s">
        <v>3725</v>
      </c>
      <c r="AM89" t="s">
        <v>4803</v>
      </c>
      <c r="AN89" s="478">
        <v>0</v>
      </c>
      <c r="AO89" s="478">
        <v>0</v>
      </c>
    </row>
    <row r="90" spans="1:41" x14ac:dyDescent="0.2">
      <c r="A90">
        <v>89</v>
      </c>
      <c r="B90" s="462" t="s">
        <v>1023</v>
      </c>
      <c r="C90" s="162" t="s">
        <v>1033</v>
      </c>
      <c r="D90" s="162" t="s">
        <v>4033</v>
      </c>
      <c r="E90" s="162" t="s">
        <v>2025</v>
      </c>
      <c r="F90" s="162" t="s">
        <v>2004</v>
      </c>
      <c r="G90" s="162" t="s">
        <v>34</v>
      </c>
      <c r="H90" s="162" t="s">
        <v>2128</v>
      </c>
      <c r="I90" s="162" t="s">
        <v>5665</v>
      </c>
      <c r="J90" s="162" t="s">
        <v>2396</v>
      </c>
      <c r="K90" s="162" t="s">
        <v>3739</v>
      </c>
      <c r="L90" s="162" t="s">
        <v>2243</v>
      </c>
      <c r="M90" s="162" t="s">
        <v>1033</v>
      </c>
      <c r="N90" s="162" t="s">
        <v>1033</v>
      </c>
      <c r="O90" s="162" t="s">
        <v>3727</v>
      </c>
      <c r="P90" s="162" t="s">
        <v>3740</v>
      </c>
      <c r="Q90" s="162" t="s">
        <v>2201</v>
      </c>
      <c r="R90" s="162" t="s">
        <v>2121</v>
      </c>
      <c r="S90" s="162" t="s">
        <v>2434</v>
      </c>
      <c r="T90" s="162">
        <v>536.29999999999995</v>
      </c>
      <c r="U90" s="162" t="s">
        <v>1947</v>
      </c>
      <c r="V90" s="162" t="s">
        <v>3729</v>
      </c>
      <c r="W90" s="162" t="s">
        <v>3741</v>
      </c>
      <c r="X90" s="162" t="s">
        <v>2122</v>
      </c>
      <c r="Y90" s="162" t="s">
        <v>2417</v>
      </c>
      <c r="Z90" s="162" t="s">
        <v>2449</v>
      </c>
      <c r="AA90" s="162" t="s">
        <v>2122</v>
      </c>
      <c r="AB90" s="162" t="s">
        <v>34</v>
      </c>
      <c r="AC90" s="162" t="s">
        <v>2123</v>
      </c>
      <c r="AD90" s="162" t="s">
        <v>2124</v>
      </c>
      <c r="AE90" s="162" t="s">
        <v>1758</v>
      </c>
      <c r="AF90" s="162" t="s">
        <v>3347</v>
      </c>
      <c r="AG90" s="162" t="s">
        <v>34</v>
      </c>
      <c r="AH90" s="162" t="s">
        <v>34</v>
      </c>
      <c r="AI90" s="162" t="s">
        <v>34</v>
      </c>
      <c r="AJ90" s="162" t="s">
        <v>34</v>
      </c>
      <c r="AK90" s="162" t="s">
        <v>2125</v>
      </c>
      <c r="AL90" s="162" t="s">
        <v>3725</v>
      </c>
      <c r="AM90" t="s">
        <v>4803</v>
      </c>
      <c r="AN90" s="478">
        <v>0</v>
      </c>
      <c r="AO90" s="478">
        <v>0</v>
      </c>
    </row>
    <row r="91" spans="1:41" x14ac:dyDescent="0.2">
      <c r="A91">
        <v>90</v>
      </c>
      <c r="B91" s="462" t="s">
        <v>1023</v>
      </c>
      <c r="C91" s="162" t="s">
        <v>1029</v>
      </c>
      <c r="D91" s="162" t="s">
        <v>4034</v>
      </c>
      <c r="E91" s="162" t="s">
        <v>2025</v>
      </c>
      <c r="F91" s="162" t="s">
        <v>2004</v>
      </c>
      <c r="G91" s="162" t="s">
        <v>34</v>
      </c>
      <c r="H91" s="162" t="s">
        <v>2128</v>
      </c>
      <c r="I91" s="162" t="s">
        <v>5665</v>
      </c>
      <c r="J91" s="162" t="s">
        <v>2396</v>
      </c>
      <c r="K91" s="162" t="s">
        <v>3734</v>
      </c>
      <c r="L91" s="162" t="s">
        <v>2243</v>
      </c>
      <c r="M91" s="540" t="s">
        <v>1029</v>
      </c>
      <c r="N91" s="162" t="s">
        <v>1029</v>
      </c>
      <c r="O91" s="162" t="s">
        <v>3727</v>
      </c>
      <c r="P91" s="162" t="s">
        <v>3735</v>
      </c>
      <c r="Q91" s="162" t="s">
        <v>2201</v>
      </c>
      <c r="R91" s="162" t="s">
        <v>2222</v>
      </c>
      <c r="S91" s="162" t="s">
        <v>2434</v>
      </c>
      <c r="T91" s="162">
        <v>536.29999999999995</v>
      </c>
      <c r="U91" s="162" t="s">
        <v>1947</v>
      </c>
      <c r="V91" s="162" t="s">
        <v>3729</v>
      </c>
      <c r="W91" s="162" t="s">
        <v>3736</v>
      </c>
      <c r="X91" s="162" t="s">
        <v>2122</v>
      </c>
      <c r="Y91" s="162" t="s">
        <v>2417</v>
      </c>
      <c r="Z91" s="162" t="s">
        <v>2449</v>
      </c>
      <c r="AA91" s="162" t="s">
        <v>2122</v>
      </c>
      <c r="AB91" s="162" t="s">
        <v>34</v>
      </c>
      <c r="AC91" s="162" t="s">
        <v>2123</v>
      </c>
      <c r="AD91" s="162" t="s">
        <v>2124</v>
      </c>
      <c r="AE91" s="162" t="s">
        <v>1758</v>
      </c>
      <c r="AF91" s="162" t="s">
        <v>3347</v>
      </c>
      <c r="AG91" s="162" t="s">
        <v>34</v>
      </c>
      <c r="AH91" s="162" t="s">
        <v>34</v>
      </c>
      <c r="AI91" s="162" t="s">
        <v>34</v>
      </c>
      <c r="AJ91" s="162" t="s">
        <v>34</v>
      </c>
      <c r="AK91" s="162" t="s">
        <v>2125</v>
      </c>
      <c r="AL91" s="162" t="s">
        <v>3725</v>
      </c>
      <c r="AM91" t="s">
        <v>4803</v>
      </c>
      <c r="AN91" s="478">
        <v>0</v>
      </c>
      <c r="AO91" s="478">
        <v>0</v>
      </c>
    </row>
    <row r="92" spans="1:41" x14ac:dyDescent="0.2">
      <c r="A92">
        <v>91</v>
      </c>
      <c r="B92" s="462" t="s">
        <v>1023</v>
      </c>
      <c r="C92" s="162" t="s">
        <v>1035</v>
      </c>
      <c r="D92" s="162" t="s">
        <v>4035</v>
      </c>
      <c r="E92" s="162" t="s">
        <v>2025</v>
      </c>
      <c r="F92" s="162" t="s">
        <v>2004</v>
      </c>
      <c r="G92" s="162" t="s">
        <v>34</v>
      </c>
      <c r="H92" s="162" t="s">
        <v>2128</v>
      </c>
      <c r="I92" s="162" t="s">
        <v>5665</v>
      </c>
      <c r="J92" s="162" t="s">
        <v>2396</v>
      </c>
      <c r="K92" s="162" t="s">
        <v>5185</v>
      </c>
      <c r="L92" s="162" t="s">
        <v>2243</v>
      </c>
      <c r="M92" s="162" t="s">
        <v>1035</v>
      </c>
      <c r="N92" s="162" t="s">
        <v>1035</v>
      </c>
      <c r="O92" s="162" t="s">
        <v>3727</v>
      </c>
      <c r="P92" s="162" t="s">
        <v>2771</v>
      </c>
      <c r="Q92" s="162" t="s">
        <v>2201</v>
      </c>
      <c r="R92" s="162" t="s">
        <v>2222</v>
      </c>
      <c r="S92" s="162" t="s">
        <v>3742</v>
      </c>
      <c r="T92" s="162">
        <v>25</v>
      </c>
      <c r="U92" s="162" t="s">
        <v>1947</v>
      </c>
      <c r="V92" s="162" t="s">
        <v>3729</v>
      </c>
      <c r="W92" s="162" t="s">
        <v>3736</v>
      </c>
      <c r="X92" s="162" t="s">
        <v>2122</v>
      </c>
      <c r="Y92" s="162" t="s">
        <v>109</v>
      </c>
      <c r="Z92" s="162" t="s">
        <v>109</v>
      </c>
      <c r="AA92" s="162" t="s">
        <v>109</v>
      </c>
      <c r="AB92" s="162" t="s">
        <v>34</v>
      </c>
      <c r="AC92" s="162" t="s">
        <v>2123</v>
      </c>
      <c r="AD92" s="162" t="s">
        <v>2124</v>
      </c>
      <c r="AE92" s="162" t="s">
        <v>1758</v>
      </c>
      <c r="AF92" s="162" t="s">
        <v>3347</v>
      </c>
      <c r="AG92" s="162" t="s">
        <v>34</v>
      </c>
      <c r="AH92" s="162" t="s">
        <v>34</v>
      </c>
      <c r="AI92" s="162" t="s">
        <v>34</v>
      </c>
      <c r="AJ92" s="162" t="s">
        <v>34</v>
      </c>
      <c r="AK92" s="162" t="s">
        <v>2125</v>
      </c>
      <c r="AL92" s="162" t="s">
        <v>3725</v>
      </c>
      <c r="AM92" t="s">
        <v>4803</v>
      </c>
      <c r="AN92" s="478">
        <v>0</v>
      </c>
      <c r="AO92" s="478">
        <v>0</v>
      </c>
    </row>
    <row r="93" spans="1:41" x14ac:dyDescent="0.2">
      <c r="A93">
        <v>92</v>
      </c>
      <c r="B93" s="462" t="s">
        <v>1048</v>
      </c>
      <c r="C93" s="162" t="s">
        <v>817</v>
      </c>
      <c r="D93" s="162" t="s">
        <v>4036</v>
      </c>
      <c r="E93" s="162" t="s">
        <v>2026</v>
      </c>
      <c r="F93" s="162" t="s">
        <v>2027</v>
      </c>
      <c r="G93" s="162" t="s">
        <v>34</v>
      </c>
      <c r="H93" s="162" t="s">
        <v>2128</v>
      </c>
      <c r="I93" s="162" t="s">
        <v>5651</v>
      </c>
      <c r="J93" s="162" t="s">
        <v>2396</v>
      </c>
      <c r="K93" s="162" t="s">
        <v>1117</v>
      </c>
      <c r="L93" s="162" t="s">
        <v>2458</v>
      </c>
      <c r="M93" s="162">
        <v>1</v>
      </c>
      <c r="N93" s="162" t="s">
        <v>817</v>
      </c>
      <c r="O93" s="162" t="s">
        <v>5666</v>
      </c>
      <c r="P93" s="162" t="s">
        <v>2459</v>
      </c>
      <c r="Q93" s="162" t="s">
        <v>4861</v>
      </c>
      <c r="R93" s="162" t="s">
        <v>2185</v>
      </c>
      <c r="S93" s="162" t="s">
        <v>2460</v>
      </c>
      <c r="T93" s="162">
        <v>3</v>
      </c>
      <c r="U93" s="162" t="s">
        <v>2151</v>
      </c>
      <c r="V93" s="162" t="s">
        <v>2461</v>
      </c>
      <c r="W93" s="162">
        <v>1704112167</v>
      </c>
      <c r="X93" s="162" t="s">
        <v>4864</v>
      </c>
      <c r="Y93" s="162" t="s">
        <v>2461</v>
      </c>
      <c r="Z93" s="162">
        <v>1704112167</v>
      </c>
      <c r="AA93" s="162" t="s">
        <v>4864</v>
      </c>
      <c r="AB93" s="162" t="s">
        <v>34</v>
      </c>
      <c r="AC93" s="162" t="s">
        <v>2123</v>
      </c>
      <c r="AD93" s="162" t="s">
        <v>2124</v>
      </c>
      <c r="AE93" s="162" t="s">
        <v>1758</v>
      </c>
      <c r="AF93" s="162" t="s">
        <v>3347</v>
      </c>
      <c r="AG93" s="162" t="s">
        <v>34</v>
      </c>
      <c r="AH93" s="162" t="s">
        <v>34</v>
      </c>
      <c r="AI93" s="162" t="s">
        <v>34</v>
      </c>
      <c r="AJ93" s="162" t="s">
        <v>34</v>
      </c>
      <c r="AK93" s="162" t="s">
        <v>2125</v>
      </c>
      <c r="AL93" s="162" t="s">
        <v>34</v>
      </c>
      <c r="AM93" t="s">
        <v>4803</v>
      </c>
      <c r="AN93" s="478">
        <v>0</v>
      </c>
      <c r="AO93" s="478">
        <v>0</v>
      </c>
    </row>
    <row r="94" spans="1:41" x14ac:dyDescent="0.2">
      <c r="A94">
        <v>93</v>
      </c>
      <c r="B94" s="462" t="s">
        <v>1051</v>
      </c>
      <c r="C94" s="162" t="s">
        <v>1055</v>
      </c>
      <c r="D94" s="162" t="s">
        <v>4037</v>
      </c>
      <c r="E94" s="162" t="s">
        <v>2462</v>
      </c>
      <c r="F94" s="162" t="s">
        <v>2028</v>
      </c>
      <c r="G94" s="162" t="s">
        <v>34</v>
      </c>
      <c r="H94" s="162" t="s">
        <v>2128</v>
      </c>
      <c r="I94" s="162" t="s">
        <v>5651</v>
      </c>
      <c r="J94" s="162" t="s">
        <v>2396</v>
      </c>
      <c r="K94" s="162" t="s">
        <v>1060</v>
      </c>
      <c r="L94" s="162" t="s">
        <v>2475</v>
      </c>
      <c r="M94" s="162">
        <v>411110</v>
      </c>
      <c r="N94" s="162" t="s">
        <v>1055</v>
      </c>
      <c r="O94" s="162" t="s">
        <v>5656</v>
      </c>
      <c r="P94" s="162" t="s">
        <v>2463</v>
      </c>
      <c r="Q94" s="162" t="s">
        <v>4863</v>
      </c>
      <c r="R94" s="162" t="s">
        <v>2286</v>
      </c>
      <c r="S94" s="162" t="s">
        <v>2464</v>
      </c>
      <c r="T94" s="162">
        <v>225</v>
      </c>
      <c r="U94" s="162" t="s">
        <v>2149</v>
      </c>
      <c r="V94" s="162" t="s">
        <v>2329</v>
      </c>
      <c r="W94" s="162" t="s">
        <v>2476</v>
      </c>
      <c r="X94" s="162" t="s">
        <v>4864</v>
      </c>
      <c r="Y94" s="162" t="s">
        <v>2477</v>
      </c>
      <c r="Z94" s="162" t="s">
        <v>2478</v>
      </c>
      <c r="AA94" s="162" t="s">
        <v>4864</v>
      </c>
      <c r="AB94" s="162" t="s">
        <v>34</v>
      </c>
      <c r="AC94" s="162" t="s">
        <v>2123</v>
      </c>
      <c r="AD94" s="162" t="s">
        <v>2124</v>
      </c>
      <c r="AE94" s="162" t="s">
        <v>1758</v>
      </c>
      <c r="AF94" s="162">
        <v>2</v>
      </c>
      <c r="AG94" s="162">
        <v>0.5</v>
      </c>
      <c r="AH94" s="162">
        <v>0.05</v>
      </c>
      <c r="AI94" s="162" t="s">
        <v>3905</v>
      </c>
      <c r="AJ94" s="162" t="s">
        <v>34</v>
      </c>
      <c r="AK94" s="162" t="s">
        <v>2125</v>
      </c>
      <c r="AL94" s="162" t="s">
        <v>34</v>
      </c>
      <c r="AM94" t="s">
        <v>4803</v>
      </c>
      <c r="AN94" s="478">
        <v>1.4583333333333332E-2</v>
      </c>
      <c r="AO94" s="478">
        <v>0</v>
      </c>
    </row>
    <row r="95" spans="1:41" x14ac:dyDescent="0.2">
      <c r="A95">
        <v>94</v>
      </c>
      <c r="B95" s="462" t="s">
        <v>1051</v>
      </c>
      <c r="C95" s="162" t="s">
        <v>1057</v>
      </c>
      <c r="D95" s="162" t="s">
        <v>4038</v>
      </c>
      <c r="E95" s="162" t="s">
        <v>2462</v>
      </c>
      <c r="F95" s="162" t="s">
        <v>2028</v>
      </c>
      <c r="G95" s="162" t="s">
        <v>34</v>
      </c>
      <c r="H95" s="162" t="s">
        <v>2128</v>
      </c>
      <c r="I95" s="162" t="s">
        <v>5651</v>
      </c>
      <c r="J95" s="162" t="s">
        <v>2396</v>
      </c>
      <c r="K95" s="162" t="s">
        <v>1060</v>
      </c>
      <c r="L95" s="162">
        <v>501</v>
      </c>
      <c r="M95" s="162">
        <v>212</v>
      </c>
      <c r="N95" s="162" t="s">
        <v>1057</v>
      </c>
      <c r="O95" s="162" t="s">
        <v>5656</v>
      </c>
      <c r="P95" s="162" t="s">
        <v>2463</v>
      </c>
      <c r="Q95" s="162" t="s">
        <v>4863</v>
      </c>
      <c r="R95" s="162" t="s">
        <v>2286</v>
      </c>
      <c r="S95" s="162" t="s">
        <v>2464</v>
      </c>
      <c r="T95" s="162">
        <v>225</v>
      </c>
      <c r="U95" s="162" t="s">
        <v>2149</v>
      </c>
      <c r="V95" s="162" t="s">
        <v>2465</v>
      </c>
      <c r="W95" s="162" t="s">
        <v>2466</v>
      </c>
      <c r="X95" s="162" t="s">
        <v>4864</v>
      </c>
      <c r="Y95" s="162" t="s">
        <v>2467</v>
      </c>
      <c r="Z95" s="162" t="s">
        <v>2468</v>
      </c>
      <c r="AA95" s="162" t="s">
        <v>4864</v>
      </c>
      <c r="AB95" s="162" t="s">
        <v>34</v>
      </c>
      <c r="AC95" s="162" t="s">
        <v>2123</v>
      </c>
      <c r="AD95" s="162" t="s">
        <v>2124</v>
      </c>
      <c r="AE95" s="162" t="s">
        <v>1758</v>
      </c>
      <c r="AF95" s="162">
        <v>2.5</v>
      </c>
      <c r="AG95" s="162">
        <v>0.9</v>
      </c>
      <c r="AH95" s="162">
        <v>0</v>
      </c>
      <c r="AI95" s="162" t="s">
        <v>3903</v>
      </c>
      <c r="AJ95" s="162" t="s">
        <v>34</v>
      </c>
      <c r="AK95" s="162" t="s">
        <v>2125</v>
      </c>
      <c r="AL95" s="162" t="s">
        <v>34</v>
      </c>
      <c r="AM95" t="s">
        <v>4803</v>
      </c>
      <c r="AN95" s="478">
        <v>1.4583333333333332E-2</v>
      </c>
      <c r="AO95" s="478">
        <v>0</v>
      </c>
    </row>
    <row r="96" spans="1:41" x14ac:dyDescent="0.2">
      <c r="A96">
        <v>95</v>
      </c>
      <c r="B96" s="462" t="s">
        <v>1051</v>
      </c>
      <c r="C96" s="162" t="s">
        <v>5237</v>
      </c>
      <c r="D96" s="162" t="s">
        <v>5238</v>
      </c>
      <c r="E96" s="162" t="s">
        <v>2462</v>
      </c>
      <c r="F96" s="162" t="s">
        <v>2028</v>
      </c>
      <c r="G96" s="162" t="s">
        <v>34</v>
      </c>
      <c r="H96" s="162" t="s">
        <v>2128</v>
      </c>
      <c r="I96" s="162" t="s">
        <v>5651</v>
      </c>
      <c r="J96" s="162" t="s">
        <v>2396</v>
      </c>
      <c r="K96" s="162" t="s">
        <v>5239</v>
      </c>
      <c r="L96" s="162" t="s">
        <v>5240</v>
      </c>
      <c r="M96" s="162" t="s">
        <v>5241</v>
      </c>
      <c r="N96" s="162" t="s">
        <v>5237</v>
      </c>
      <c r="O96" s="162" t="s">
        <v>5667</v>
      </c>
      <c r="P96" s="162" t="s">
        <v>5242</v>
      </c>
      <c r="Q96" s="162" t="s">
        <v>4863</v>
      </c>
      <c r="R96" s="162" t="s">
        <v>2295</v>
      </c>
      <c r="S96" s="162" t="s">
        <v>5243</v>
      </c>
      <c r="T96" s="162">
        <v>39.6</v>
      </c>
      <c r="U96" s="162" t="s">
        <v>5711</v>
      </c>
      <c r="V96" s="162" t="s">
        <v>3340</v>
      </c>
      <c r="W96" s="162" t="s">
        <v>5244</v>
      </c>
      <c r="X96" s="162" t="s">
        <v>4864</v>
      </c>
      <c r="Y96" s="162" t="s">
        <v>5245</v>
      </c>
      <c r="Z96" s="162" t="s">
        <v>5246</v>
      </c>
      <c r="AA96" s="162" t="s">
        <v>4864</v>
      </c>
      <c r="AB96" s="162" t="s">
        <v>34</v>
      </c>
      <c r="AC96" s="162" t="s">
        <v>2123</v>
      </c>
      <c r="AD96" s="162" t="s">
        <v>2124</v>
      </c>
      <c r="AE96" s="162" t="s">
        <v>1758</v>
      </c>
      <c r="AF96" s="162">
        <v>40</v>
      </c>
      <c r="AG96" s="162">
        <v>200</v>
      </c>
      <c r="AH96" s="162">
        <v>15</v>
      </c>
      <c r="AI96" s="162" t="s">
        <v>5404</v>
      </c>
      <c r="AJ96" s="162" t="s">
        <v>5405</v>
      </c>
      <c r="AK96" s="162" t="s">
        <v>2125</v>
      </c>
      <c r="AL96" s="162" t="s">
        <v>34</v>
      </c>
      <c r="AM96" t="s">
        <v>4803</v>
      </c>
      <c r="AN96" s="478"/>
      <c r="AO96" s="478"/>
    </row>
    <row r="97" spans="1:41" x14ac:dyDescent="0.2">
      <c r="A97">
        <v>96</v>
      </c>
      <c r="B97" s="462" t="s">
        <v>1051</v>
      </c>
      <c r="C97" s="162" t="s">
        <v>1053</v>
      </c>
      <c r="D97" s="162" t="s">
        <v>4039</v>
      </c>
      <c r="E97" s="162" t="s">
        <v>2462</v>
      </c>
      <c r="F97" s="162" t="s">
        <v>2028</v>
      </c>
      <c r="G97" s="162" t="s">
        <v>34</v>
      </c>
      <c r="H97" s="162" t="s">
        <v>2128</v>
      </c>
      <c r="I97" s="162" t="s">
        <v>5651</v>
      </c>
      <c r="J97" s="162" t="s">
        <v>2396</v>
      </c>
      <c r="K97" s="162" t="s">
        <v>1417</v>
      </c>
      <c r="L97" s="162" t="s">
        <v>2469</v>
      </c>
      <c r="M97" s="162" t="s">
        <v>2470</v>
      </c>
      <c r="N97" s="162" t="s">
        <v>1053</v>
      </c>
      <c r="O97" s="162" t="s">
        <v>904</v>
      </c>
      <c r="P97" s="162" t="s">
        <v>2471</v>
      </c>
      <c r="Q97" s="162" t="s">
        <v>4863</v>
      </c>
      <c r="R97" s="162" t="s">
        <v>2286</v>
      </c>
      <c r="S97" s="162" t="s">
        <v>2472</v>
      </c>
      <c r="T97" s="162">
        <v>180</v>
      </c>
      <c r="U97" s="162" t="s">
        <v>2151</v>
      </c>
      <c r="V97" s="162" t="s">
        <v>2329</v>
      </c>
      <c r="W97" s="162" t="s">
        <v>2473</v>
      </c>
      <c r="X97" s="162" t="s">
        <v>4864</v>
      </c>
      <c r="Y97" s="162" t="s">
        <v>2467</v>
      </c>
      <c r="Z97" s="162" t="s">
        <v>2474</v>
      </c>
      <c r="AA97" s="162" t="s">
        <v>4864</v>
      </c>
      <c r="AB97" s="162" t="s">
        <v>34</v>
      </c>
      <c r="AC97" s="162" t="s">
        <v>2123</v>
      </c>
      <c r="AD97" s="162" t="s">
        <v>2124</v>
      </c>
      <c r="AE97" s="162" t="s">
        <v>1758</v>
      </c>
      <c r="AF97" s="162">
        <v>3</v>
      </c>
      <c r="AG97" s="162">
        <v>5.51</v>
      </c>
      <c r="AH97" s="162" t="s">
        <v>3904</v>
      </c>
      <c r="AI97" s="162" t="s">
        <v>34</v>
      </c>
      <c r="AJ97" s="162" t="s">
        <v>34</v>
      </c>
      <c r="AK97" s="162" t="s">
        <v>2125</v>
      </c>
      <c r="AL97" s="162" t="s">
        <v>34</v>
      </c>
      <c r="AM97" t="s">
        <v>4803</v>
      </c>
      <c r="AN97" s="478">
        <v>1.4583333333333332E-2</v>
      </c>
      <c r="AO97" s="478">
        <v>2.1527777777777781E-2</v>
      </c>
    </row>
    <row r="98" spans="1:41" x14ac:dyDescent="0.2">
      <c r="A98">
        <v>97</v>
      </c>
      <c r="B98" s="462" t="s">
        <v>1068</v>
      </c>
      <c r="C98" s="162" t="s">
        <v>1070</v>
      </c>
      <c r="D98" s="162" t="s">
        <v>4040</v>
      </c>
      <c r="E98" s="162" t="s">
        <v>2030</v>
      </c>
      <c r="F98" s="162" t="s">
        <v>2031</v>
      </c>
      <c r="G98" s="162" t="s">
        <v>34</v>
      </c>
      <c r="H98" s="162" t="s">
        <v>2128</v>
      </c>
      <c r="I98" s="162" t="s">
        <v>5665</v>
      </c>
      <c r="J98" s="162" t="s">
        <v>2396</v>
      </c>
      <c r="K98" s="162" t="s">
        <v>1011</v>
      </c>
      <c r="L98" s="162" t="s">
        <v>2483</v>
      </c>
      <c r="M98" s="162" t="s">
        <v>1070</v>
      </c>
      <c r="N98" s="162" t="s">
        <v>1070</v>
      </c>
      <c r="O98" s="162" t="s">
        <v>5668</v>
      </c>
      <c r="P98" s="162" t="s">
        <v>2421</v>
      </c>
      <c r="Q98" s="162" t="s">
        <v>4863</v>
      </c>
      <c r="R98" s="162" t="s">
        <v>2295</v>
      </c>
      <c r="S98" s="162" t="s">
        <v>2484</v>
      </c>
      <c r="T98" s="162">
        <v>618.79999999999995</v>
      </c>
      <c r="U98" s="162" t="s">
        <v>2148</v>
      </c>
      <c r="V98" s="162" t="s">
        <v>2403</v>
      </c>
      <c r="W98" s="162">
        <v>53128</v>
      </c>
      <c r="X98" s="162" t="s">
        <v>4864</v>
      </c>
      <c r="Y98" s="162" t="s">
        <v>2319</v>
      </c>
      <c r="Z98" s="162" t="s">
        <v>2481</v>
      </c>
      <c r="AA98" s="162" t="s">
        <v>4864</v>
      </c>
      <c r="AB98" s="162" t="s">
        <v>2482</v>
      </c>
      <c r="AC98" s="162" t="s">
        <v>2123</v>
      </c>
      <c r="AD98" s="162" t="s">
        <v>2124</v>
      </c>
      <c r="AE98" s="162" t="s">
        <v>1758</v>
      </c>
      <c r="AF98" s="162">
        <v>17</v>
      </c>
      <c r="AG98" s="162">
        <v>0.17</v>
      </c>
      <c r="AH98" s="162">
        <v>0.15</v>
      </c>
      <c r="AI98" s="162" t="s">
        <v>34</v>
      </c>
      <c r="AJ98" s="162" t="s">
        <v>34</v>
      </c>
      <c r="AK98" s="162" t="s">
        <v>2125</v>
      </c>
      <c r="AL98" s="162" t="s">
        <v>34</v>
      </c>
      <c r="AM98" t="s">
        <v>4803</v>
      </c>
      <c r="AN98" s="478">
        <v>1.4583333333333332E-2</v>
      </c>
      <c r="AO98" s="478">
        <v>0</v>
      </c>
    </row>
    <row r="99" spans="1:41" x14ac:dyDescent="0.2">
      <c r="A99">
        <v>98</v>
      </c>
      <c r="B99" s="462" t="s">
        <v>1068</v>
      </c>
      <c r="C99" s="162">
        <v>411623</v>
      </c>
      <c r="D99" s="162" t="s">
        <v>4041</v>
      </c>
      <c r="E99" s="162" t="s">
        <v>2030</v>
      </c>
      <c r="F99" s="162" t="s">
        <v>2031</v>
      </c>
      <c r="G99" s="162" t="s">
        <v>34</v>
      </c>
      <c r="H99" s="162" t="s">
        <v>2128</v>
      </c>
      <c r="I99" s="162" t="s">
        <v>5665</v>
      </c>
      <c r="J99" s="162" t="s">
        <v>2396</v>
      </c>
      <c r="K99" s="162" t="s">
        <v>1060</v>
      </c>
      <c r="L99" s="162" t="s">
        <v>2479</v>
      </c>
      <c r="M99" s="162">
        <v>411623</v>
      </c>
      <c r="N99" s="162">
        <v>411623</v>
      </c>
      <c r="O99" s="162" t="s">
        <v>5668</v>
      </c>
      <c r="P99" s="162" t="s">
        <v>2421</v>
      </c>
      <c r="Q99" s="162" t="s">
        <v>4863</v>
      </c>
      <c r="R99" s="162" t="s">
        <v>2121</v>
      </c>
      <c r="S99" s="162" t="s">
        <v>2480</v>
      </c>
      <c r="T99" s="162">
        <v>348.5</v>
      </c>
      <c r="U99" s="162" t="s">
        <v>2148</v>
      </c>
      <c r="V99" s="162" t="s">
        <v>2403</v>
      </c>
      <c r="W99" s="162">
        <v>47092</v>
      </c>
      <c r="X99" s="162" t="s">
        <v>4864</v>
      </c>
      <c r="Y99" s="162" t="s">
        <v>2319</v>
      </c>
      <c r="Z99" s="162" t="s">
        <v>2481</v>
      </c>
      <c r="AA99" s="162" t="s">
        <v>4864</v>
      </c>
      <c r="AB99" s="162" t="s">
        <v>2482</v>
      </c>
      <c r="AC99" s="162" t="s">
        <v>2123</v>
      </c>
      <c r="AD99" s="162" t="s">
        <v>2124</v>
      </c>
      <c r="AE99" s="162" t="s">
        <v>1758</v>
      </c>
      <c r="AF99" s="162">
        <v>16</v>
      </c>
      <c r="AG99" s="162">
        <v>14.35</v>
      </c>
      <c r="AH99" s="162">
        <v>0.55000000000000004</v>
      </c>
      <c r="AI99" s="162" t="s">
        <v>3906</v>
      </c>
      <c r="AJ99" s="162" t="s">
        <v>34</v>
      </c>
      <c r="AK99" s="162" t="s">
        <v>2125</v>
      </c>
      <c r="AL99" s="162" t="s">
        <v>34</v>
      </c>
      <c r="AM99" t="s">
        <v>4803</v>
      </c>
      <c r="AN99" s="478">
        <v>1.4583333333333332E-2</v>
      </c>
      <c r="AO99" s="478">
        <v>0</v>
      </c>
    </row>
    <row r="100" spans="1:41" x14ac:dyDescent="0.2">
      <c r="A100">
        <v>99</v>
      </c>
      <c r="B100" s="462" t="s">
        <v>1073</v>
      </c>
      <c r="C100" s="162" t="s">
        <v>817</v>
      </c>
      <c r="D100" s="162" t="s">
        <v>4042</v>
      </c>
      <c r="E100" s="162" t="s">
        <v>2485</v>
      </c>
      <c r="F100" s="162" t="s">
        <v>2028</v>
      </c>
      <c r="G100" s="162" t="s">
        <v>34</v>
      </c>
      <c r="H100" s="162" t="s">
        <v>2128</v>
      </c>
      <c r="I100" s="162" t="s">
        <v>5651</v>
      </c>
      <c r="J100" s="162" t="s">
        <v>2396</v>
      </c>
      <c r="K100" s="162" t="s">
        <v>1120</v>
      </c>
      <c r="L100" s="162" t="s">
        <v>2486</v>
      </c>
      <c r="M100" s="162" t="s">
        <v>2487</v>
      </c>
      <c r="N100" s="162" t="s">
        <v>817</v>
      </c>
      <c r="O100" s="162" t="s">
        <v>5669</v>
      </c>
      <c r="P100" s="162" t="s">
        <v>2301</v>
      </c>
      <c r="Q100" s="162" t="s">
        <v>4861</v>
      </c>
      <c r="R100" s="162" t="s">
        <v>2121</v>
      </c>
      <c r="S100" s="162" t="s">
        <v>2488</v>
      </c>
      <c r="T100" s="162">
        <v>539</v>
      </c>
      <c r="U100" s="162" t="s">
        <v>2150</v>
      </c>
      <c r="V100" s="162" t="s">
        <v>2489</v>
      </c>
      <c r="W100" s="162">
        <v>675626</v>
      </c>
      <c r="X100" s="162" t="s">
        <v>4864</v>
      </c>
      <c r="Y100" s="162" t="s">
        <v>2208</v>
      </c>
      <c r="Z100" s="162" t="s">
        <v>2490</v>
      </c>
      <c r="AA100" s="162" t="s">
        <v>4864</v>
      </c>
      <c r="AB100" s="162" t="s">
        <v>34</v>
      </c>
      <c r="AC100" s="162" t="s">
        <v>2123</v>
      </c>
      <c r="AD100" s="162" t="s">
        <v>2124</v>
      </c>
      <c r="AE100" s="162" t="s">
        <v>1758</v>
      </c>
      <c r="AF100" s="162" t="s">
        <v>3347</v>
      </c>
      <c r="AG100" s="162" t="s">
        <v>34</v>
      </c>
      <c r="AH100" s="162" t="s">
        <v>34</v>
      </c>
      <c r="AI100" s="162" t="s">
        <v>34</v>
      </c>
      <c r="AJ100" s="162" t="s">
        <v>34</v>
      </c>
      <c r="AK100" s="162" t="s">
        <v>2125</v>
      </c>
      <c r="AL100" s="162" t="s">
        <v>4909</v>
      </c>
      <c r="AM100" t="s">
        <v>4803</v>
      </c>
      <c r="AN100" s="478">
        <v>0</v>
      </c>
      <c r="AO100" s="478">
        <v>0</v>
      </c>
    </row>
    <row r="101" spans="1:41" x14ac:dyDescent="0.2">
      <c r="A101">
        <v>100</v>
      </c>
      <c r="B101" s="462" t="s">
        <v>1073</v>
      </c>
      <c r="C101" s="162" t="s">
        <v>835</v>
      </c>
      <c r="D101" s="162" t="s">
        <v>4043</v>
      </c>
      <c r="E101" s="162" t="s">
        <v>2485</v>
      </c>
      <c r="F101" s="162" t="s">
        <v>2028</v>
      </c>
      <c r="G101" s="162" t="s">
        <v>34</v>
      </c>
      <c r="H101" s="162" t="s">
        <v>2128</v>
      </c>
      <c r="I101" s="162" t="s">
        <v>4839</v>
      </c>
      <c r="J101" s="162" t="s">
        <v>2396</v>
      </c>
      <c r="K101" s="162" t="s">
        <v>2548</v>
      </c>
      <c r="L101" s="162" t="s">
        <v>2549</v>
      </c>
      <c r="M101" s="162" t="s">
        <v>2550</v>
      </c>
      <c r="N101" s="162" t="s">
        <v>835</v>
      </c>
      <c r="O101" s="162" t="s">
        <v>4840</v>
      </c>
      <c r="P101" s="162" t="s">
        <v>2551</v>
      </c>
      <c r="Q101" s="162" t="s">
        <v>4876</v>
      </c>
      <c r="R101" s="162" t="s">
        <v>2121</v>
      </c>
      <c r="S101" s="162" t="s">
        <v>2552</v>
      </c>
      <c r="T101" s="162">
        <v>525</v>
      </c>
      <c r="U101" s="162" t="s">
        <v>2150</v>
      </c>
      <c r="V101" s="162" t="s">
        <v>2489</v>
      </c>
      <c r="W101" s="162">
        <v>675624</v>
      </c>
      <c r="X101" s="162" t="s">
        <v>4864</v>
      </c>
      <c r="Y101" s="162" t="s">
        <v>109</v>
      </c>
      <c r="Z101" s="162" t="s">
        <v>109</v>
      </c>
      <c r="AA101" s="162" t="s">
        <v>109</v>
      </c>
      <c r="AB101" s="162" t="s">
        <v>34</v>
      </c>
      <c r="AC101" s="162" t="s">
        <v>2123</v>
      </c>
      <c r="AD101" s="162" t="s">
        <v>2124</v>
      </c>
      <c r="AE101" s="162" t="s">
        <v>1758</v>
      </c>
      <c r="AF101" s="162" t="s">
        <v>3347</v>
      </c>
      <c r="AG101" s="162" t="s">
        <v>34</v>
      </c>
      <c r="AH101" s="162" t="s">
        <v>34</v>
      </c>
      <c r="AI101" s="162" t="s">
        <v>34</v>
      </c>
      <c r="AJ101" s="162" t="s">
        <v>34</v>
      </c>
      <c r="AK101" s="162" t="s">
        <v>2125</v>
      </c>
      <c r="AL101" s="162" t="s">
        <v>4909</v>
      </c>
      <c r="AM101" t="s">
        <v>4803</v>
      </c>
      <c r="AN101" s="478">
        <v>0</v>
      </c>
      <c r="AO101" s="478">
        <v>0</v>
      </c>
    </row>
    <row r="102" spans="1:41" x14ac:dyDescent="0.2">
      <c r="A102">
        <v>101</v>
      </c>
      <c r="B102" s="462" t="s">
        <v>1073</v>
      </c>
      <c r="C102" s="162" t="s">
        <v>837</v>
      </c>
      <c r="D102" s="162" t="s">
        <v>4044</v>
      </c>
      <c r="E102" s="162" t="s">
        <v>2485</v>
      </c>
      <c r="F102" s="162" t="s">
        <v>2028</v>
      </c>
      <c r="G102" s="162" t="s">
        <v>34</v>
      </c>
      <c r="H102" s="162" t="s">
        <v>2128</v>
      </c>
      <c r="I102" s="162" t="s">
        <v>5651</v>
      </c>
      <c r="J102" s="162" t="s">
        <v>2396</v>
      </c>
      <c r="K102" s="162" t="s">
        <v>2519</v>
      </c>
      <c r="L102" s="162" t="s">
        <v>2520</v>
      </c>
      <c r="M102" s="162" t="s">
        <v>2521</v>
      </c>
      <c r="N102" s="162" t="s">
        <v>837</v>
      </c>
      <c r="O102" s="162" t="s">
        <v>5669</v>
      </c>
      <c r="P102" s="162" t="s">
        <v>2522</v>
      </c>
      <c r="Q102" s="162" t="s">
        <v>4861</v>
      </c>
      <c r="R102" s="162" t="s">
        <v>2121</v>
      </c>
      <c r="S102" s="162" t="s">
        <v>2523</v>
      </c>
      <c r="T102" s="162">
        <v>188.1</v>
      </c>
      <c r="U102" s="162" t="s">
        <v>2150</v>
      </c>
      <c r="V102" s="162" t="s">
        <v>2524</v>
      </c>
      <c r="W102" s="162" t="s">
        <v>2525</v>
      </c>
      <c r="X102" s="162" t="s">
        <v>4864</v>
      </c>
      <c r="Y102" s="162" t="s">
        <v>2499</v>
      </c>
      <c r="Z102" s="162">
        <v>5256764</v>
      </c>
      <c r="AA102" s="162" t="s">
        <v>4864</v>
      </c>
      <c r="AB102" s="162" t="s">
        <v>34</v>
      </c>
      <c r="AC102" s="162" t="s">
        <v>2123</v>
      </c>
      <c r="AD102" s="162" t="s">
        <v>2124</v>
      </c>
      <c r="AE102" s="162" t="s">
        <v>1758</v>
      </c>
      <c r="AF102" s="162" t="s">
        <v>3347</v>
      </c>
      <c r="AG102" s="162" t="s">
        <v>34</v>
      </c>
      <c r="AH102" s="162" t="s">
        <v>34</v>
      </c>
      <c r="AI102" s="162" t="s">
        <v>34</v>
      </c>
      <c r="AJ102" s="162" t="s">
        <v>34</v>
      </c>
      <c r="AK102" s="162" t="s">
        <v>2125</v>
      </c>
      <c r="AL102" s="162" t="s">
        <v>4909</v>
      </c>
      <c r="AM102" t="s">
        <v>4806</v>
      </c>
      <c r="AN102" s="478">
        <v>0</v>
      </c>
      <c r="AO102" s="478">
        <v>0</v>
      </c>
    </row>
    <row r="103" spans="1:41" x14ac:dyDescent="0.2">
      <c r="A103">
        <v>102</v>
      </c>
      <c r="B103" s="462" t="s">
        <v>1073</v>
      </c>
      <c r="C103" s="162" t="s">
        <v>825</v>
      </c>
      <c r="D103" s="162" t="s">
        <v>4045</v>
      </c>
      <c r="E103" s="162" t="s">
        <v>2485</v>
      </c>
      <c r="F103" s="162" t="s">
        <v>2028</v>
      </c>
      <c r="G103" s="162" t="s">
        <v>34</v>
      </c>
      <c r="H103" s="162" t="s">
        <v>2128</v>
      </c>
      <c r="I103" s="162" t="s">
        <v>5651</v>
      </c>
      <c r="J103" s="162" t="s">
        <v>2396</v>
      </c>
      <c r="K103" s="162" t="s">
        <v>1120</v>
      </c>
      <c r="L103" s="162" t="s">
        <v>2486</v>
      </c>
      <c r="M103" s="162" t="s">
        <v>2526</v>
      </c>
      <c r="N103" s="162" t="s">
        <v>825</v>
      </c>
      <c r="O103" s="162" t="s">
        <v>5670</v>
      </c>
      <c r="P103" s="162" t="s">
        <v>2527</v>
      </c>
      <c r="Q103" s="162" t="s">
        <v>4876</v>
      </c>
      <c r="R103" s="162" t="s">
        <v>2121</v>
      </c>
      <c r="S103" s="162" t="s">
        <v>2528</v>
      </c>
      <c r="T103" s="162">
        <v>577.5</v>
      </c>
      <c r="U103" s="162" t="s">
        <v>2150</v>
      </c>
      <c r="V103" s="162" t="s">
        <v>2529</v>
      </c>
      <c r="W103" s="162" t="s">
        <v>2530</v>
      </c>
      <c r="X103" s="162" t="s">
        <v>4864</v>
      </c>
      <c r="Y103" s="162" t="s">
        <v>2341</v>
      </c>
      <c r="Z103" s="162" t="s">
        <v>2490</v>
      </c>
      <c r="AA103" s="162" t="s">
        <v>4864</v>
      </c>
      <c r="AB103" s="162" t="s">
        <v>34</v>
      </c>
      <c r="AC103" s="162" t="s">
        <v>2123</v>
      </c>
      <c r="AD103" s="162" t="s">
        <v>2124</v>
      </c>
      <c r="AE103" s="162" t="s">
        <v>1758</v>
      </c>
      <c r="AF103" s="162" t="s">
        <v>3347</v>
      </c>
      <c r="AG103" s="162" t="s">
        <v>34</v>
      </c>
      <c r="AH103" s="162" t="s">
        <v>34</v>
      </c>
      <c r="AI103" s="162" t="s">
        <v>34</v>
      </c>
      <c r="AJ103" s="162" t="s">
        <v>34</v>
      </c>
      <c r="AK103" s="162" t="s">
        <v>2125</v>
      </c>
      <c r="AL103" s="162" t="s">
        <v>4909</v>
      </c>
      <c r="AM103" t="s">
        <v>4803</v>
      </c>
      <c r="AN103" s="478">
        <v>0</v>
      </c>
      <c r="AO103" s="478">
        <v>0</v>
      </c>
    </row>
    <row r="104" spans="1:41" x14ac:dyDescent="0.2">
      <c r="A104">
        <v>103</v>
      </c>
      <c r="B104" s="462" t="s">
        <v>1073</v>
      </c>
      <c r="C104" s="162" t="s">
        <v>1090</v>
      </c>
      <c r="D104" s="162" t="s">
        <v>4046</v>
      </c>
      <c r="E104" s="162" t="s">
        <v>2485</v>
      </c>
      <c r="F104" s="162" t="s">
        <v>2028</v>
      </c>
      <c r="G104" s="162" t="s">
        <v>34</v>
      </c>
      <c r="H104" s="162" t="s">
        <v>2128</v>
      </c>
      <c r="I104" s="162" t="s">
        <v>5651</v>
      </c>
      <c r="J104" s="162" t="s">
        <v>2396</v>
      </c>
      <c r="K104" s="162" t="s">
        <v>1117</v>
      </c>
      <c r="L104" s="162" t="s">
        <v>2513</v>
      </c>
      <c r="M104" s="162" t="s">
        <v>2514</v>
      </c>
      <c r="N104" s="162" t="s">
        <v>1090</v>
      </c>
      <c r="O104" s="162" t="s">
        <v>5656</v>
      </c>
      <c r="P104" s="162" t="s">
        <v>2515</v>
      </c>
      <c r="Q104" s="162" t="s">
        <v>4863</v>
      </c>
      <c r="R104" s="162" t="s">
        <v>2121</v>
      </c>
      <c r="S104" s="162" t="s">
        <v>2516</v>
      </c>
      <c r="T104" s="162">
        <v>7.9</v>
      </c>
      <c r="U104" s="162" t="s">
        <v>2148</v>
      </c>
      <c r="V104" s="162" t="s">
        <v>2517</v>
      </c>
      <c r="W104" s="162" t="s">
        <v>2518</v>
      </c>
      <c r="X104" s="162" t="s">
        <v>4864</v>
      </c>
      <c r="Y104" s="162" t="s">
        <v>2499</v>
      </c>
      <c r="Z104" s="162" t="s">
        <v>2512</v>
      </c>
      <c r="AA104" s="162" t="s">
        <v>4864</v>
      </c>
      <c r="AB104" s="162" t="s">
        <v>34</v>
      </c>
      <c r="AC104" s="162" t="s">
        <v>2123</v>
      </c>
      <c r="AD104" s="162" t="s">
        <v>2124</v>
      </c>
      <c r="AE104" s="162" t="s">
        <v>1758</v>
      </c>
      <c r="AF104" s="162" t="s">
        <v>5114</v>
      </c>
      <c r="AG104" s="162" t="s">
        <v>34</v>
      </c>
      <c r="AH104" s="162" t="s">
        <v>34</v>
      </c>
      <c r="AI104" s="162" t="s">
        <v>34</v>
      </c>
      <c r="AJ104" s="162" t="s">
        <v>34</v>
      </c>
      <c r="AK104" s="162" t="s">
        <v>2125</v>
      </c>
      <c r="AL104" s="162" t="s">
        <v>4909</v>
      </c>
      <c r="AM104" t="s">
        <v>4803</v>
      </c>
      <c r="AN104" s="478">
        <v>0</v>
      </c>
      <c r="AO104" s="478">
        <v>0</v>
      </c>
    </row>
    <row r="105" spans="1:41" x14ac:dyDescent="0.2">
      <c r="A105">
        <v>104</v>
      </c>
      <c r="B105" s="462" t="s">
        <v>1073</v>
      </c>
      <c r="C105" s="162" t="s">
        <v>823</v>
      </c>
      <c r="D105" s="162" t="s">
        <v>4047</v>
      </c>
      <c r="E105" s="162" t="s">
        <v>2485</v>
      </c>
      <c r="F105" s="162" t="s">
        <v>2028</v>
      </c>
      <c r="G105" s="162" t="s">
        <v>34</v>
      </c>
      <c r="H105" s="162" t="s">
        <v>2128</v>
      </c>
      <c r="I105" s="162" t="s">
        <v>5651</v>
      </c>
      <c r="J105" s="162" t="s">
        <v>2396</v>
      </c>
      <c r="K105" s="162" t="s">
        <v>2347</v>
      </c>
      <c r="L105" s="162">
        <v>80573</v>
      </c>
      <c r="M105" s="162" t="s">
        <v>2539</v>
      </c>
      <c r="N105" s="162" t="s">
        <v>823</v>
      </c>
      <c r="O105" s="162" t="s">
        <v>5671</v>
      </c>
      <c r="P105" s="162" t="s">
        <v>4946</v>
      </c>
      <c r="Q105" s="162" t="s">
        <v>4893</v>
      </c>
      <c r="R105" s="162" t="s">
        <v>2121</v>
      </c>
      <c r="S105" s="162" t="s">
        <v>2540</v>
      </c>
      <c r="T105" s="162">
        <v>19.399999999999999</v>
      </c>
      <c r="U105" s="162" t="s">
        <v>2150</v>
      </c>
      <c r="V105" s="162" t="s">
        <v>2541</v>
      </c>
      <c r="W105" s="162" t="s">
        <v>2542</v>
      </c>
      <c r="X105" s="162" t="s">
        <v>4864</v>
      </c>
      <c r="Y105" s="162" t="s">
        <v>2208</v>
      </c>
      <c r="Z105" s="162">
        <v>5256764</v>
      </c>
      <c r="AA105" s="162" t="s">
        <v>4864</v>
      </c>
      <c r="AB105" s="162" t="s">
        <v>34</v>
      </c>
      <c r="AC105" s="162" t="s">
        <v>2123</v>
      </c>
      <c r="AD105" s="162" t="s">
        <v>2124</v>
      </c>
      <c r="AE105" s="162" t="s">
        <v>1758</v>
      </c>
      <c r="AF105" s="162" t="s">
        <v>3347</v>
      </c>
      <c r="AG105" s="162" t="s">
        <v>34</v>
      </c>
      <c r="AH105" s="162" t="s">
        <v>34</v>
      </c>
      <c r="AI105" s="162" t="s">
        <v>34</v>
      </c>
      <c r="AJ105" s="162" t="s">
        <v>34</v>
      </c>
      <c r="AK105" s="162" t="s">
        <v>2125</v>
      </c>
      <c r="AL105" s="162" t="s">
        <v>4909</v>
      </c>
      <c r="AM105" t="s">
        <v>4803</v>
      </c>
      <c r="AN105" s="478">
        <v>0</v>
      </c>
      <c r="AO105" s="478">
        <v>0</v>
      </c>
    </row>
    <row r="106" spans="1:41" x14ac:dyDescent="0.2">
      <c r="A106">
        <v>105</v>
      </c>
      <c r="B106" s="462" t="s">
        <v>1073</v>
      </c>
      <c r="C106" s="162" t="s">
        <v>839</v>
      </c>
      <c r="D106" s="162" t="s">
        <v>4048</v>
      </c>
      <c r="E106" s="162" t="s">
        <v>2485</v>
      </c>
      <c r="F106" s="162" t="s">
        <v>2028</v>
      </c>
      <c r="G106" s="162" t="s">
        <v>34</v>
      </c>
      <c r="H106" s="162" t="s">
        <v>2128</v>
      </c>
      <c r="I106" s="162" t="s">
        <v>5651</v>
      </c>
      <c r="J106" s="162" t="s">
        <v>2396</v>
      </c>
      <c r="K106" s="162" t="s">
        <v>2543</v>
      </c>
      <c r="L106" s="162" t="s">
        <v>2544</v>
      </c>
      <c r="M106" s="162" t="s">
        <v>2545</v>
      </c>
      <c r="N106" s="162" t="s">
        <v>839</v>
      </c>
      <c r="O106" s="162" t="s">
        <v>5670</v>
      </c>
      <c r="P106" s="162" t="s">
        <v>5358</v>
      </c>
      <c r="Q106" s="162" t="s">
        <v>4876</v>
      </c>
      <c r="R106" s="162" t="s">
        <v>2185</v>
      </c>
      <c r="S106" s="162" t="s">
        <v>5359</v>
      </c>
      <c r="T106" s="162">
        <v>12</v>
      </c>
      <c r="U106" s="162" t="s">
        <v>2150</v>
      </c>
      <c r="V106" s="162" t="s">
        <v>5360</v>
      </c>
      <c r="W106" s="162" t="s">
        <v>5361</v>
      </c>
      <c r="X106" s="162" t="s">
        <v>4864</v>
      </c>
      <c r="Y106" s="162" t="s">
        <v>2208</v>
      </c>
      <c r="Z106" s="162" t="s">
        <v>2547</v>
      </c>
      <c r="AA106" s="162" t="s">
        <v>4864</v>
      </c>
      <c r="AB106" s="162" t="s">
        <v>34</v>
      </c>
      <c r="AC106" s="162" t="s">
        <v>2123</v>
      </c>
      <c r="AD106" s="162" t="s">
        <v>2124</v>
      </c>
      <c r="AE106" s="162" t="s">
        <v>1758</v>
      </c>
      <c r="AF106" s="162" t="s">
        <v>3347</v>
      </c>
      <c r="AG106" s="162" t="s">
        <v>34</v>
      </c>
      <c r="AH106" s="162" t="s">
        <v>34</v>
      </c>
      <c r="AI106" s="162" t="s">
        <v>34</v>
      </c>
      <c r="AJ106" s="162" t="s">
        <v>34</v>
      </c>
      <c r="AK106" s="162" t="s">
        <v>2125</v>
      </c>
      <c r="AL106" s="162" t="s">
        <v>4909</v>
      </c>
      <c r="AM106" t="s">
        <v>4804</v>
      </c>
      <c r="AN106" s="478">
        <v>0</v>
      </c>
      <c r="AO106" s="478">
        <v>0</v>
      </c>
    </row>
    <row r="107" spans="1:41" x14ac:dyDescent="0.2">
      <c r="A107">
        <v>106</v>
      </c>
      <c r="B107" s="462" t="s">
        <v>1073</v>
      </c>
      <c r="C107" s="162" t="s">
        <v>1746</v>
      </c>
      <c r="D107" s="162" t="s">
        <v>4049</v>
      </c>
      <c r="E107" s="162" t="s">
        <v>2485</v>
      </c>
      <c r="F107" s="162" t="s">
        <v>2028</v>
      </c>
      <c r="G107" s="162" t="s">
        <v>34</v>
      </c>
      <c r="H107" s="162" t="s">
        <v>2128</v>
      </c>
      <c r="I107" s="162" t="s">
        <v>5651</v>
      </c>
      <c r="J107" s="162" t="s">
        <v>2396</v>
      </c>
      <c r="K107" s="162" t="s">
        <v>831</v>
      </c>
      <c r="L107" s="162" t="s">
        <v>2494</v>
      </c>
      <c r="M107" s="162" t="s">
        <v>2495</v>
      </c>
      <c r="N107" s="162" t="s">
        <v>1746</v>
      </c>
      <c r="O107" s="162" t="s">
        <v>5669</v>
      </c>
      <c r="P107" s="162" t="s">
        <v>2496</v>
      </c>
      <c r="Q107" s="162" t="s">
        <v>4861</v>
      </c>
      <c r="R107" s="162" t="s">
        <v>2121</v>
      </c>
      <c r="S107" s="162" t="s">
        <v>2497</v>
      </c>
      <c r="T107" s="162">
        <v>17.3</v>
      </c>
      <c r="U107" s="162" t="s">
        <v>2150</v>
      </c>
      <c r="V107" s="162" t="s">
        <v>2498</v>
      </c>
      <c r="W107" s="162" t="s">
        <v>2498</v>
      </c>
      <c r="X107" s="162" t="s">
        <v>4864</v>
      </c>
      <c r="Y107" s="162" t="s">
        <v>2499</v>
      </c>
      <c r="Z107" s="162">
        <v>5256764</v>
      </c>
      <c r="AA107" s="162" t="s">
        <v>4864</v>
      </c>
      <c r="AB107" s="162" t="s">
        <v>34</v>
      </c>
      <c r="AC107" s="162" t="s">
        <v>2123</v>
      </c>
      <c r="AD107" s="162" t="s">
        <v>2124</v>
      </c>
      <c r="AE107" s="162" t="s">
        <v>1758</v>
      </c>
      <c r="AF107" s="162" t="s">
        <v>3347</v>
      </c>
      <c r="AG107" s="162" t="s">
        <v>34</v>
      </c>
      <c r="AH107" s="162" t="s">
        <v>34</v>
      </c>
      <c r="AI107" s="162" t="s">
        <v>34</v>
      </c>
      <c r="AJ107" s="162" t="s">
        <v>34</v>
      </c>
      <c r="AK107" s="162" t="s">
        <v>2125</v>
      </c>
      <c r="AL107" s="162" t="s">
        <v>4909</v>
      </c>
      <c r="AM107" t="s">
        <v>4803</v>
      </c>
      <c r="AN107" s="478">
        <v>0</v>
      </c>
      <c r="AO107" s="478">
        <v>0</v>
      </c>
    </row>
    <row r="108" spans="1:41" x14ac:dyDescent="0.2">
      <c r="A108">
        <v>107</v>
      </c>
      <c r="B108" s="462" t="s">
        <v>1073</v>
      </c>
      <c r="C108" s="162" t="s">
        <v>1954</v>
      </c>
      <c r="D108" s="162" t="s">
        <v>4050</v>
      </c>
      <c r="E108" s="162" t="s">
        <v>2485</v>
      </c>
      <c r="F108" s="162" t="s">
        <v>2028</v>
      </c>
      <c r="G108" s="162" t="s">
        <v>34</v>
      </c>
      <c r="H108" s="162" t="s">
        <v>2128</v>
      </c>
      <c r="I108" s="162" t="s">
        <v>5651</v>
      </c>
      <c r="J108" s="162" t="s">
        <v>2396</v>
      </c>
      <c r="K108" s="162" t="s">
        <v>833</v>
      </c>
      <c r="L108" s="162" t="s">
        <v>2491</v>
      </c>
      <c r="M108" s="162">
        <v>1280</v>
      </c>
      <c r="N108" s="162" t="s">
        <v>1954</v>
      </c>
      <c r="O108" s="162" t="s">
        <v>5656</v>
      </c>
      <c r="P108" s="162" t="s">
        <v>2580</v>
      </c>
      <c r="Q108" s="162" t="s">
        <v>4863</v>
      </c>
      <c r="R108" s="162" t="s">
        <v>2121</v>
      </c>
      <c r="S108" s="162" t="s">
        <v>2492</v>
      </c>
      <c r="T108" s="162">
        <v>480</v>
      </c>
      <c r="U108" s="162" t="s">
        <v>2148</v>
      </c>
      <c r="V108" s="162" t="s">
        <v>4577</v>
      </c>
      <c r="W108" s="162">
        <v>22973</v>
      </c>
      <c r="X108" s="162" t="s">
        <v>4864</v>
      </c>
      <c r="Y108" s="162" t="s">
        <v>2208</v>
      </c>
      <c r="Z108" s="162" t="s">
        <v>2490</v>
      </c>
      <c r="AA108" s="162" t="s">
        <v>4864</v>
      </c>
      <c r="AB108" s="162" t="s">
        <v>34</v>
      </c>
      <c r="AC108" s="162" t="s">
        <v>2123</v>
      </c>
      <c r="AD108" s="162" t="s">
        <v>2124</v>
      </c>
      <c r="AE108" s="162" t="s">
        <v>1758</v>
      </c>
      <c r="AF108" s="162" t="s">
        <v>3347</v>
      </c>
      <c r="AG108" s="162" t="s">
        <v>34</v>
      </c>
      <c r="AH108" s="162" t="s">
        <v>34</v>
      </c>
      <c r="AI108" s="162" t="s">
        <v>34</v>
      </c>
      <c r="AJ108" s="162" t="s">
        <v>34</v>
      </c>
      <c r="AK108" s="162" t="s">
        <v>2125</v>
      </c>
      <c r="AL108" s="162" t="s">
        <v>4909</v>
      </c>
      <c r="AM108" t="s">
        <v>4803</v>
      </c>
      <c r="AN108" s="478">
        <v>0</v>
      </c>
      <c r="AO108" s="478">
        <v>0</v>
      </c>
    </row>
    <row r="109" spans="1:41" x14ac:dyDescent="0.2">
      <c r="A109">
        <v>108</v>
      </c>
      <c r="B109" s="462" t="s">
        <v>1073</v>
      </c>
      <c r="C109" s="162" t="s">
        <v>1900</v>
      </c>
      <c r="D109" s="162" t="s">
        <v>4051</v>
      </c>
      <c r="E109" s="162" t="s">
        <v>2485</v>
      </c>
      <c r="F109" s="162" t="s">
        <v>2028</v>
      </c>
      <c r="G109" s="162" t="s">
        <v>34</v>
      </c>
      <c r="H109" s="162" t="s">
        <v>2128</v>
      </c>
      <c r="I109" s="162" t="s">
        <v>5651</v>
      </c>
      <c r="J109" s="162" t="s">
        <v>2396</v>
      </c>
      <c r="K109" s="162" t="s">
        <v>2503</v>
      </c>
      <c r="L109" s="162" t="s">
        <v>2504</v>
      </c>
      <c r="M109" s="540">
        <v>54087</v>
      </c>
      <c r="N109" s="162" t="s">
        <v>1900</v>
      </c>
      <c r="O109" s="162" t="s">
        <v>5670</v>
      </c>
      <c r="P109" s="162" t="s">
        <v>2496</v>
      </c>
      <c r="Q109" s="162" t="s">
        <v>4876</v>
      </c>
      <c r="R109" s="162" t="s">
        <v>2185</v>
      </c>
      <c r="S109" s="162" t="s">
        <v>2505</v>
      </c>
      <c r="T109" s="162">
        <v>60.5</v>
      </c>
      <c r="U109" s="162" t="s">
        <v>2150</v>
      </c>
      <c r="V109" s="162" t="s">
        <v>2506</v>
      </c>
      <c r="W109" s="162" t="s">
        <v>2507</v>
      </c>
      <c r="X109" s="162" t="s">
        <v>4864</v>
      </c>
      <c r="Y109" s="162" t="s">
        <v>2499</v>
      </c>
      <c r="Z109" s="162">
        <v>5256764</v>
      </c>
      <c r="AA109" s="162" t="s">
        <v>4864</v>
      </c>
      <c r="AB109" s="162" t="s">
        <v>34</v>
      </c>
      <c r="AC109" s="162" t="s">
        <v>2123</v>
      </c>
      <c r="AD109" s="162" t="s">
        <v>2124</v>
      </c>
      <c r="AE109" s="162" t="s">
        <v>1758</v>
      </c>
      <c r="AF109" s="162" t="s">
        <v>3347</v>
      </c>
      <c r="AG109" s="162" t="s">
        <v>34</v>
      </c>
      <c r="AH109" s="162" t="s">
        <v>34</v>
      </c>
      <c r="AI109" s="162" t="s">
        <v>34</v>
      </c>
      <c r="AJ109" s="162" t="s">
        <v>34</v>
      </c>
      <c r="AK109" s="162" t="s">
        <v>2125</v>
      </c>
      <c r="AL109" s="162" t="s">
        <v>4909</v>
      </c>
      <c r="AM109" t="s">
        <v>4804</v>
      </c>
      <c r="AN109" s="478">
        <v>0</v>
      </c>
      <c r="AO109" s="478">
        <v>0</v>
      </c>
    </row>
    <row r="110" spans="1:41" x14ac:dyDescent="0.2">
      <c r="A110">
        <v>109</v>
      </c>
      <c r="B110" s="462" t="s">
        <v>1073</v>
      </c>
      <c r="C110" s="162" t="s">
        <v>1769</v>
      </c>
      <c r="D110" s="162" t="s">
        <v>4052</v>
      </c>
      <c r="E110" s="162" t="s">
        <v>2485</v>
      </c>
      <c r="F110" s="162" t="s">
        <v>2028</v>
      </c>
      <c r="G110" s="162" t="s">
        <v>34</v>
      </c>
      <c r="H110" s="162" t="s">
        <v>2128</v>
      </c>
      <c r="I110" s="162" t="s">
        <v>5651</v>
      </c>
      <c r="J110" s="162" t="s">
        <v>2396</v>
      </c>
      <c r="K110" s="162" t="s">
        <v>821</v>
      </c>
      <c r="L110" s="162" t="s">
        <v>2508</v>
      </c>
      <c r="M110" s="162">
        <v>370334</v>
      </c>
      <c r="N110" s="162" t="s">
        <v>1769</v>
      </c>
      <c r="O110" s="162" t="s">
        <v>5656</v>
      </c>
      <c r="P110" s="162" t="s">
        <v>2941</v>
      </c>
      <c r="Q110" s="162" t="s">
        <v>4863</v>
      </c>
      <c r="R110" s="162" t="s">
        <v>2121</v>
      </c>
      <c r="S110" s="162" t="s">
        <v>2509</v>
      </c>
      <c r="T110" s="162">
        <v>12</v>
      </c>
      <c r="U110" s="162" t="s">
        <v>2149</v>
      </c>
      <c r="V110" s="162" t="s">
        <v>2510</v>
      </c>
      <c r="W110" s="162" t="s">
        <v>2511</v>
      </c>
      <c r="X110" s="162" t="s">
        <v>4864</v>
      </c>
      <c r="Y110" s="162" t="s">
        <v>2499</v>
      </c>
      <c r="Z110" s="162" t="s">
        <v>2512</v>
      </c>
      <c r="AA110" s="162" t="s">
        <v>4864</v>
      </c>
      <c r="AB110" s="162" t="s">
        <v>34</v>
      </c>
      <c r="AC110" s="162" t="s">
        <v>2123</v>
      </c>
      <c r="AD110" s="162" t="s">
        <v>2124</v>
      </c>
      <c r="AE110" s="162" t="s">
        <v>1758</v>
      </c>
      <c r="AF110" s="162" t="s">
        <v>3347</v>
      </c>
      <c r="AG110" s="162" t="s">
        <v>34</v>
      </c>
      <c r="AH110" s="162" t="s">
        <v>34</v>
      </c>
      <c r="AI110" s="162" t="s">
        <v>34</v>
      </c>
      <c r="AJ110" s="162" t="s">
        <v>34</v>
      </c>
      <c r="AK110" s="162" t="s">
        <v>2125</v>
      </c>
      <c r="AL110" s="162" t="s">
        <v>4909</v>
      </c>
      <c r="AM110" t="s">
        <v>4804</v>
      </c>
      <c r="AN110" s="478">
        <v>0</v>
      </c>
      <c r="AO110" s="478">
        <v>0</v>
      </c>
    </row>
    <row r="111" spans="1:41" x14ac:dyDescent="0.2">
      <c r="A111">
        <v>110</v>
      </c>
      <c r="B111" s="462" t="s">
        <v>1073</v>
      </c>
      <c r="C111" s="162" t="s">
        <v>3755</v>
      </c>
      <c r="D111" s="162" t="s">
        <v>4053</v>
      </c>
      <c r="E111" s="162" t="s">
        <v>2485</v>
      </c>
      <c r="F111" s="162" t="s">
        <v>2028</v>
      </c>
      <c r="G111" s="162" t="s">
        <v>34</v>
      </c>
      <c r="H111" s="162" t="s">
        <v>2128</v>
      </c>
      <c r="I111" s="162" t="s">
        <v>5651</v>
      </c>
      <c r="J111" s="162" t="s">
        <v>2396</v>
      </c>
      <c r="K111" s="162" t="s">
        <v>841</v>
      </c>
      <c r="L111" s="162" t="s">
        <v>2500</v>
      </c>
      <c r="M111" s="162">
        <v>70773</v>
      </c>
      <c r="N111" s="162" t="s">
        <v>1085</v>
      </c>
      <c r="O111" s="162" t="s">
        <v>5656</v>
      </c>
      <c r="P111" s="162" t="s">
        <v>5672</v>
      </c>
      <c r="Q111" s="162" t="s">
        <v>4863</v>
      </c>
      <c r="R111" s="162" t="s">
        <v>2295</v>
      </c>
      <c r="S111" s="162" t="s">
        <v>2501</v>
      </c>
      <c r="T111" s="162">
        <v>121</v>
      </c>
      <c r="U111" s="162" t="s">
        <v>2148</v>
      </c>
      <c r="V111" s="162" t="s">
        <v>2502</v>
      </c>
      <c r="W111" s="162">
        <v>5.25</v>
      </c>
      <c r="X111" s="162" t="s">
        <v>4864</v>
      </c>
      <c r="Y111" s="162" t="s">
        <v>2499</v>
      </c>
      <c r="Z111" s="162">
        <v>5256764</v>
      </c>
      <c r="AA111" s="162" t="s">
        <v>4864</v>
      </c>
      <c r="AB111" s="162" t="s">
        <v>34</v>
      </c>
      <c r="AC111" s="162" t="s">
        <v>2123</v>
      </c>
      <c r="AD111" s="162" t="s">
        <v>2124</v>
      </c>
      <c r="AE111" s="162" t="s">
        <v>1758</v>
      </c>
      <c r="AF111" s="162" t="s">
        <v>3347</v>
      </c>
      <c r="AG111" s="162" t="s">
        <v>34</v>
      </c>
      <c r="AH111" s="162" t="s">
        <v>34</v>
      </c>
      <c r="AI111" s="162" t="s">
        <v>34</v>
      </c>
      <c r="AJ111" s="162" t="s">
        <v>34</v>
      </c>
      <c r="AK111" s="162" t="s">
        <v>2125</v>
      </c>
      <c r="AL111" s="162" t="s">
        <v>4909</v>
      </c>
      <c r="AM111" t="s">
        <v>4806</v>
      </c>
      <c r="AN111" s="478">
        <v>0</v>
      </c>
      <c r="AO111" s="478">
        <v>0</v>
      </c>
    </row>
    <row r="112" spans="1:41" x14ac:dyDescent="0.2">
      <c r="A112">
        <v>111</v>
      </c>
      <c r="B112" s="462" t="s">
        <v>1073</v>
      </c>
      <c r="C112" s="162" t="s">
        <v>3757</v>
      </c>
      <c r="D112" s="162" t="s">
        <v>4054</v>
      </c>
      <c r="E112" s="162" t="s">
        <v>2485</v>
      </c>
      <c r="F112" s="162" t="s">
        <v>2028</v>
      </c>
      <c r="G112" s="162" t="s">
        <v>34</v>
      </c>
      <c r="H112" s="162" t="s">
        <v>2128</v>
      </c>
      <c r="I112" s="162" t="s">
        <v>5651</v>
      </c>
      <c r="J112" s="162" t="s">
        <v>2396</v>
      </c>
      <c r="K112" s="162" t="s">
        <v>1120</v>
      </c>
      <c r="L112" s="162" t="s">
        <v>2531</v>
      </c>
      <c r="M112" s="162" t="s">
        <v>2536</v>
      </c>
      <c r="N112" s="162" t="s">
        <v>1079</v>
      </c>
      <c r="O112" s="162" t="s">
        <v>5670</v>
      </c>
      <c r="P112" s="162" t="s">
        <v>2537</v>
      </c>
      <c r="Q112" s="162" t="s">
        <v>4876</v>
      </c>
      <c r="R112" s="162" t="s">
        <v>2295</v>
      </c>
      <c r="S112" s="162" t="s">
        <v>2538</v>
      </c>
      <c r="T112" s="162">
        <v>1298</v>
      </c>
      <c r="U112" s="162" t="s">
        <v>2150</v>
      </c>
      <c r="V112" s="162" t="s">
        <v>2453</v>
      </c>
      <c r="W112" s="162">
        <v>23144</v>
      </c>
      <c r="X112" s="162" t="s">
        <v>4864</v>
      </c>
      <c r="Y112" s="162" t="s">
        <v>2208</v>
      </c>
      <c r="Z112" s="162" t="s">
        <v>2535</v>
      </c>
      <c r="AA112" s="162" t="s">
        <v>4864</v>
      </c>
      <c r="AB112" s="162" t="s">
        <v>34</v>
      </c>
      <c r="AC112" s="162" t="s">
        <v>2123</v>
      </c>
      <c r="AD112" s="162" t="s">
        <v>2124</v>
      </c>
      <c r="AE112" s="162" t="s">
        <v>1758</v>
      </c>
      <c r="AF112" s="162" t="s">
        <v>3347</v>
      </c>
      <c r="AG112" s="162" t="s">
        <v>34</v>
      </c>
      <c r="AH112" s="162" t="s">
        <v>34</v>
      </c>
      <c r="AI112" s="162" t="s">
        <v>34</v>
      </c>
      <c r="AJ112" s="162" t="s">
        <v>34</v>
      </c>
      <c r="AK112" s="162" t="s">
        <v>2125</v>
      </c>
      <c r="AL112" s="162" t="s">
        <v>4909</v>
      </c>
      <c r="AM112" t="s">
        <v>4803</v>
      </c>
      <c r="AN112" s="478">
        <v>0</v>
      </c>
      <c r="AO112" s="478">
        <v>0</v>
      </c>
    </row>
    <row r="113" spans="1:41" x14ac:dyDescent="0.2">
      <c r="A113">
        <v>112</v>
      </c>
      <c r="B113" s="462" t="s">
        <v>1073</v>
      </c>
      <c r="C113" s="162" t="s">
        <v>3756</v>
      </c>
      <c r="D113" s="162" t="s">
        <v>4055</v>
      </c>
      <c r="E113" s="162" t="s">
        <v>2485</v>
      </c>
      <c r="F113" s="162" t="s">
        <v>2028</v>
      </c>
      <c r="G113" s="162" t="s">
        <v>34</v>
      </c>
      <c r="H113" s="162" t="s">
        <v>2128</v>
      </c>
      <c r="I113" s="162" t="s">
        <v>5651</v>
      </c>
      <c r="J113" s="162" t="s">
        <v>2396</v>
      </c>
      <c r="K113" s="162" t="s">
        <v>1120</v>
      </c>
      <c r="L113" s="162" t="s">
        <v>2531</v>
      </c>
      <c r="M113" s="162" t="s">
        <v>2532</v>
      </c>
      <c r="N113" s="162" t="s">
        <v>1077</v>
      </c>
      <c r="O113" s="162" t="s">
        <v>5670</v>
      </c>
      <c r="P113" s="162" t="s">
        <v>2533</v>
      </c>
      <c r="Q113" s="162" t="s">
        <v>4876</v>
      </c>
      <c r="R113" s="162" t="s">
        <v>2295</v>
      </c>
      <c r="S113" s="162" t="s">
        <v>2534</v>
      </c>
      <c r="T113" s="162">
        <v>1377</v>
      </c>
      <c r="U113" s="162" t="s">
        <v>2150</v>
      </c>
      <c r="V113" s="162" t="s">
        <v>2453</v>
      </c>
      <c r="W113" s="162">
        <v>23144</v>
      </c>
      <c r="X113" s="162" t="s">
        <v>4864</v>
      </c>
      <c r="Y113" s="162" t="s">
        <v>2208</v>
      </c>
      <c r="Z113" s="162" t="s">
        <v>2535</v>
      </c>
      <c r="AA113" s="162" t="s">
        <v>4864</v>
      </c>
      <c r="AB113" s="162" t="s">
        <v>34</v>
      </c>
      <c r="AC113" s="162" t="s">
        <v>2123</v>
      </c>
      <c r="AD113" s="162" t="s">
        <v>2124</v>
      </c>
      <c r="AE113" s="162" t="s">
        <v>1758</v>
      </c>
      <c r="AF113" s="162" t="s">
        <v>3347</v>
      </c>
      <c r="AG113" s="162" t="s">
        <v>34</v>
      </c>
      <c r="AH113" s="162" t="s">
        <v>34</v>
      </c>
      <c r="AI113" s="162" t="s">
        <v>34</v>
      </c>
      <c r="AJ113" s="162" t="s">
        <v>34</v>
      </c>
      <c r="AK113" s="162" t="s">
        <v>2125</v>
      </c>
      <c r="AL113" s="162" t="s">
        <v>4909</v>
      </c>
      <c r="AM113" t="s">
        <v>4803</v>
      </c>
      <c r="AN113" s="478">
        <v>0</v>
      </c>
      <c r="AO113" s="478">
        <v>0</v>
      </c>
    </row>
    <row r="114" spans="1:41" x14ac:dyDescent="0.2">
      <c r="A114">
        <v>113</v>
      </c>
      <c r="B114" s="462" t="s">
        <v>1073</v>
      </c>
      <c r="C114" s="162" t="s">
        <v>3758</v>
      </c>
      <c r="D114" s="162" t="s">
        <v>4056</v>
      </c>
      <c r="E114" s="162" t="s">
        <v>2485</v>
      </c>
      <c r="F114" s="162" t="s">
        <v>2028</v>
      </c>
      <c r="G114" s="162" t="s">
        <v>34</v>
      </c>
      <c r="H114" s="162" t="s">
        <v>2128</v>
      </c>
      <c r="I114" s="162" t="s">
        <v>5651</v>
      </c>
      <c r="J114" s="162" t="s">
        <v>2396</v>
      </c>
      <c r="K114" s="162" t="s">
        <v>1117</v>
      </c>
      <c r="L114" s="162" t="s">
        <v>2243</v>
      </c>
      <c r="M114" s="162" t="s">
        <v>3759</v>
      </c>
      <c r="N114" s="162" t="s">
        <v>3760</v>
      </c>
      <c r="O114" s="162" t="s">
        <v>5673</v>
      </c>
      <c r="P114" s="162" t="s">
        <v>4952</v>
      </c>
      <c r="Q114" s="162" t="s">
        <v>4865</v>
      </c>
      <c r="R114" s="162" t="s">
        <v>2121</v>
      </c>
      <c r="S114" s="162" t="s">
        <v>3761</v>
      </c>
      <c r="T114" s="162">
        <v>416</v>
      </c>
      <c r="U114" s="162" t="s">
        <v>2148</v>
      </c>
      <c r="V114" s="162" t="s">
        <v>2541</v>
      </c>
      <c r="W114" s="162" t="s">
        <v>3762</v>
      </c>
      <c r="X114" s="162" t="s">
        <v>4864</v>
      </c>
      <c r="Y114" s="162" t="s">
        <v>3763</v>
      </c>
      <c r="Z114" s="162" t="s">
        <v>2490</v>
      </c>
      <c r="AA114" s="162" t="s">
        <v>4864</v>
      </c>
      <c r="AB114" s="162" t="s">
        <v>34</v>
      </c>
      <c r="AC114" s="162" t="s">
        <v>2123</v>
      </c>
      <c r="AD114" s="162" t="s">
        <v>2124</v>
      </c>
      <c r="AE114" s="162" t="s">
        <v>1758</v>
      </c>
      <c r="AF114" s="162" t="s">
        <v>3347</v>
      </c>
      <c r="AG114" s="162" t="s">
        <v>34</v>
      </c>
      <c r="AH114" s="162" t="s">
        <v>34</v>
      </c>
      <c r="AI114" s="162" t="s">
        <v>34</v>
      </c>
      <c r="AJ114" s="162" t="s">
        <v>34</v>
      </c>
      <c r="AK114" s="162" t="s">
        <v>2125</v>
      </c>
      <c r="AL114" s="162" t="s">
        <v>4909</v>
      </c>
      <c r="AM114" t="s">
        <v>4805</v>
      </c>
      <c r="AN114" s="478">
        <v>0</v>
      </c>
      <c r="AO114" s="478">
        <v>0</v>
      </c>
    </row>
    <row r="115" spans="1:41" x14ac:dyDescent="0.2">
      <c r="A115">
        <v>114</v>
      </c>
      <c r="B115" s="462" t="s">
        <v>1073</v>
      </c>
      <c r="C115" s="162" t="s">
        <v>4476</v>
      </c>
      <c r="D115" s="162" t="s">
        <v>4477</v>
      </c>
      <c r="E115" s="162" t="s">
        <v>2485</v>
      </c>
      <c r="F115" s="162" t="s">
        <v>2028</v>
      </c>
      <c r="G115" s="162" t="s">
        <v>34</v>
      </c>
      <c r="H115" s="162" t="s">
        <v>2128</v>
      </c>
      <c r="I115" s="162" t="s">
        <v>5651</v>
      </c>
      <c r="J115" s="162" t="s">
        <v>2396</v>
      </c>
      <c r="K115" s="162" t="s">
        <v>4478</v>
      </c>
      <c r="L115" s="162" t="s">
        <v>4479</v>
      </c>
      <c r="M115" s="162" t="s">
        <v>4480</v>
      </c>
      <c r="N115" s="162" t="s">
        <v>4476</v>
      </c>
      <c r="O115" s="162" t="s">
        <v>5670</v>
      </c>
      <c r="P115" s="162" t="s">
        <v>2522</v>
      </c>
      <c r="Q115" s="162" t="s">
        <v>4876</v>
      </c>
      <c r="R115" s="162" t="s">
        <v>2121</v>
      </c>
      <c r="S115" s="162" t="s">
        <v>4481</v>
      </c>
      <c r="T115" s="162">
        <v>506.4</v>
      </c>
      <c r="U115" s="162" t="s">
        <v>2150</v>
      </c>
      <c r="V115" s="162" t="s">
        <v>4482</v>
      </c>
      <c r="W115" s="162" t="s">
        <v>4483</v>
      </c>
      <c r="X115" s="162" t="s">
        <v>4864</v>
      </c>
      <c r="Y115" s="162" t="s">
        <v>2208</v>
      </c>
      <c r="Z115" s="162">
        <v>5256764</v>
      </c>
      <c r="AA115" s="162" t="s">
        <v>4864</v>
      </c>
      <c r="AB115" s="162" t="s">
        <v>34</v>
      </c>
      <c r="AC115" s="162" t="s">
        <v>2123</v>
      </c>
      <c r="AD115" s="162" t="s">
        <v>2124</v>
      </c>
      <c r="AE115" s="162" t="s">
        <v>1758</v>
      </c>
      <c r="AF115" s="162" t="s">
        <v>3347</v>
      </c>
      <c r="AG115" s="162" t="s">
        <v>34</v>
      </c>
      <c r="AH115" s="162" t="s">
        <v>34</v>
      </c>
      <c r="AI115" s="162" t="s">
        <v>34</v>
      </c>
      <c r="AJ115" s="162" t="s">
        <v>34</v>
      </c>
      <c r="AK115" s="162" t="s">
        <v>2125</v>
      </c>
      <c r="AL115" s="162" t="s">
        <v>4909</v>
      </c>
      <c r="AM115" t="s">
        <v>4803</v>
      </c>
      <c r="AN115" s="478">
        <v>0</v>
      </c>
      <c r="AO115" s="478">
        <v>0</v>
      </c>
    </row>
    <row r="116" spans="1:41" x14ac:dyDescent="0.2">
      <c r="A116">
        <v>115</v>
      </c>
      <c r="B116" s="462" t="s">
        <v>1073</v>
      </c>
      <c r="C116" s="162" t="s">
        <v>5764</v>
      </c>
      <c r="D116" s="162" t="s">
        <v>5765</v>
      </c>
      <c r="E116" s="162" t="s">
        <v>2485</v>
      </c>
      <c r="F116" s="162" t="s">
        <v>2028</v>
      </c>
      <c r="G116" s="162"/>
      <c r="H116" s="162" t="s">
        <v>2128</v>
      </c>
      <c r="I116" s="162" t="s">
        <v>5651</v>
      </c>
      <c r="J116" s="162" t="s">
        <v>2396</v>
      </c>
      <c r="K116" s="162" t="s">
        <v>2132</v>
      </c>
      <c r="L116" s="162" t="s">
        <v>5730</v>
      </c>
      <c r="M116" s="162" t="s">
        <v>4598</v>
      </c>
      <c r="N116" s="162" t="s">
        <v>5766</v>
      </c>
      <c r="O116" s="162" t="s">
        <v>5670</v>
      </c>
      <c r="P116" s="162" t="s">
        <v>2188</v>
      </c>
      <c r="Q116" s="162" t="s">
        <v>4876</v>
      </c>
      <c r="R116" s="162" t="s">
        <v>2295</v>
      </c>
      <c r="S116" s="162" t="s">
        <v>5732</v>
      </c>
      <c r="T116" s="162">
        <v>1300</v>
      </c>
      <c r="U116" s="162" t="s">
        <v>2150</v>
      </c>
      <c r="V116" s="162" t="s">
        <v>5733</v>
      </c>
      <c r="W116" s="162" t="s">
        <v>5767</v>
      </c>
      <c r="X116" s="162" t="s">
        <v>4864</v>
      </c>
      <c r="Y116" s="162" t="s">
        <v>5735</v>
      </c>
      <c r="Z116" s="162" t="s">
        <v>5768</v>
      </c>
      <c r="AA116" s="162" t="s">
        <v>4864</v>
      </c>
      <c r="AB116" s="162"/>
      <c r="AC116" s="162" t="s">
        <v>2123</v>
      </c>
      <c r="AD116" s="162" t="s">
        <v>2124</v>
      </c>
      <c r="AE116" s="162" t="s">
        <v>5500</v>
      </c>
      <c r="AF116" s="162" t="s">
        <v>3347</v>
      </c>
      <c r="AG116" s="162"/>
      <c r="AH116" s="162"/>
      <c r="AI116" s="162"/>
      <c r="AJ116" s="162"/>
      <c r="AK116" s="162" t="s">
        <v>2125</v>
      </c>
      <c r="AL116" s="162"/>
      <c r="AM116" t="s">
        <v>5737</v>
      </c>
      <c r="AN116" s="478"/>
      <c r="AO116" s="478"/>
    </row>
    <row r="117" spans="1:41" x14ac:dyDescent="0.2">
      <c r="A117">
        <v>116</v>
      </c>
      <c r="B117" s="462" t="s">
        <v>1073</v>
      </c>
      <c r="C117" s="162" t="s">
        <v>5738</v>
      </c>
      <c r="D117" s="162" t="s">
        <v>5741</v>
      </c>
      <c r="E117" s="162" t="s">
        <v>2485</v>
      </c>
      <c r="F117" s="162" t="s">
        <v>2028</v>
      </c>
      <c r="G117" s="162" t="s">
        <v>4739</v>
      </c>
      <c r="H117" s="162" t="s">
        <v>2128</v>
      </c>
      <c r="I117" s="162" t="s">
        <v>5651</v>
      </c>
      <c r="J117" s="162" t="s">
        <v>2396</v>
      </c>
      <c r="K117" s="162" t="s">
        <v>2132</v>
      </c>
      <c r="L117" s="162" t="s">
        <v>5730</v>
      </c>
      <c r="M117" s="162" t="s">
        <v>4920</v>
      </c>
      <c r="N117" s="162" t="s">
        <v>5739</v>
      </c>
      <c r="O117" s="162" t="s">
        <v>5731</v>
      </c>
      <c r="P117" s="162" t="s">
        <v>2188</v>
      </c>
      <c r="Q117" s="162" t="s">
        <v>4876</v>
      </c>
      <c r="R117" s="162" t="s">
        <v>2295</v>
      </c>
      <c r="S117" s="162" t="s">
        <v>5732</v>
      </c>
      <c r="T117" s="162">
        <v>1300</v>
      </c>
      <c r="U117" s="162" t="s">
        <v>2150</v>
      </c>
      <c r="V117" s="162" t="s">
        <v>5733</v>
      </c>
      <c r="W117" s="162" t="s">
        <v>5734</v>
      </c>
      <c r="X117" s="162" t="s">
        <v>4864</v>
      </c>
      <c r="Y117" s="162" t="s">
        <v>5735</v>
      </c>
      <c r="Z117" s="162" t="s">
        <v>5736</v>
      </c>
      <c r="AA117" s="162" t="s">
        <v>4864</v>
      </c>
      <c r="AB117" s="162"/>
      <c r="AC117" s="162" t="s">
        <v>2123</v>
      </c>
      <c r="AD117" s="162" t="s">
        <v>2124</v>
      </c>
      <c r="AE117" s="162" t="s">
        <v>5500</v>
      </c>
      <c r="AF117" s="162" t="s">
        <v>3347</v>
      </c>
      <c r="AG117" s="162"/>
      <c r="AH117" s="162"/>
      <c r="AI117" s="162"/>
      <c r="AJ117" s="162"/>
      <c r="AK117" s="162" t="s">
        <v>2125</v>
      </c>
      <c r="AL117" s="162"/>
      <c r="AM117" t="s">
        <v>5737</v>
      </c>
      <c r="AN117" s="478"/>
      <c r="AO117" s="478"/>
    </row>
    <row r="118" spans="1:41" x14ac:dyDescent="0.2">
      <c r="A118">
        <v>117</v>
      </c>
      <c r="B118" s="462" t="s">
        <v>1655</v>
      </c>
      <c r="C118" s="162" t="s">
        <v>1659</v>
      </c>
      <c r="D118" s="162" t="s">
        <v>4057</v>
      </c>
      <c r="E118" s="162" t="s">
        <v>2033</v>
      </c>
      <c r="F118" s="162" t="s">
        <v>2553</v>
      </c>
      <c r="G118" s="162" t="s">
        <v>34</v>
      </c>
      <c r="H118" s="162" t="s">
        <v>2128</v>
      </c>
      <c r="I118" s="162" t="s">
        <v>5651</v>
      </c>
      <c r="J118" s="162" t="s">
        <v>2396</v>
      </c>
      <c r="K118" s="162" t="s">
        <v>1060</v>
      </c>
      <c r="L118" s="162" t="s">
        <v>2558</v>
      </c>
      <c r="M118" s="162" t="s">
        <v>2559</v>
      </c>
      <c r="N118" s="162" t="s">
        <v>1659</v>
      </c>
      <c r="O118" s="162" t="s">
        <v>5652</v>
      </c>
      <c r="P118" s="162" t="s">
        <v>2522</v>
      </c>
      <c r="Q118" s="162" t="s">
        <v>4863</v>
      </c>
      <c r="R118" s="162" t="s">
        <v>2121</v>
      </c>
      <c r="S118" s="162" t="s">
        <v>2560</v>
      </c>
      <c r="T118" s="162">
        <v>26.1</v>
      </c>
      <c r="U118" s="162" t="s">
        <v>2148</v>
      </c>
      <c r="V118" s="162" t="s">
        <v>2403</v>
      </c>
      <c r="W118" s="162">
        <v>52012</v>
      </c>
      <c r="X118" s="162" t="s">
        <v>4864</v>
      </c>
      <c r="Y118" s="162" t="s">
        <v>2557</v>
      </c>
      <c r="Z118" s="162" t="s">
        <v>5169</v>
      </c>
      <c r="AA118" s="162" t="s">
        <v>4864</v>
      </c>
      <c r="AB118" s="162" t="s">
        <v>34</v>
      </c>
      <c r="AC118" s="162" t="s">
        <v>2123</v>
      </c>
      <c r="AD118" s="162" t="s">
        <v>2124</v>
      </c>
      <c r="AE118" s="162" t="s">
        <v>1758</v>
      </c>
      <c r="AF118" s="162">
        <v>12</v>
      </c>
      <c r="AG118" s="162">
        <v>5</v>
      </c>
      <c r="AH118" s="162">
        <v>0.18</v>
      </c>
      <c r="AI118" s="162" t="s">
        <v>34</v>
      </c>
      <c r="AJ118" s="162" t="s">
        <v>34</v>
      </c>
      <c r="AK118" s="162" t="s">
        <v>2125</v>
      </c>
      <c r="AL118" s="162" t="s">
        <v>3725</v>
      </c>
      <c r="AM118" t="s">
        <v>4804</v>
      </c>
      <c r="AN118" s="478">
        <v>1.4583333333333332E-2</v>
      </c>
      <c r="AO118" s="478">
        <v>0</v>
      </c>
    </row>
    <row r="119" spans="1:41" x14ac:dyDescent="0.2">
      <c r="A119">
        <v>118</v>
      </c>
      <c r="B119" s="462" t="s">
        <v>1655</v>
      </c>
      <c r="C119" s="162" t="s">
        <v>1664</v>
      </c>
      <c r="D119" s="162" t="s">
        <v>4058</v>
      </c>
      <c r="E119" s="162" t="s">
        <v>2033</v>
      </c>
      <c r="F119" s="162" t="s">
        <v>2553</v>
      </c>
      <c r="G119" s="162" t="s">
        <v>34</v>
      </c>
      <c r="H119" s="162" t="s">
        <v>2128</v>
      </c>
      <c r="I119" s="162" t="s">
        <v>5651</v>
      </c>
      <c r="J119" s="162" t="s">
        <v>2396</v>
      </c>
      <c r="K119" s="162" t="s">
        <v>2567</v>
      </c>
      <c r="L119" s="162" t="s">
        <v>2568</v>
      </c>
      <c r="M119" s="162" t="s">
        <v>2569</v>
      </c>
      <c r="N119" s="162" t="s">
        <v>1664</v>
      </c>
      <c r="O119" s="162" t="s">
        <v>5652</v>
      </c>
      <c r="P119" s="162" t="s">
        <v>2570</v>
      </c>
      <c r="Q119" s="162" t="s">
        <v>4863</v>
      </c>
      <c r="R119" s="162" t="s">
        <v>2295</v>
      </c>
      <c r="S119" s="162" t="s">
        <v>2571</v>
      </c>
      <c r="T119" s="162">
        <v>61.3</v>
      </c>
      <c r="U119" s="162" t="s">
        <v>2148</v>
      </c>
      <c r="V119" s="162" t="s">
        <v>2206</v>
      </c>
      <c r="W119" s="162" t="s">
        <v>2572</v>
      </c>
      <c r="X119" s="162" t="s">
        <v>4928</v>
      </c>
      <c r="Y119" s="162" t="s">
        <v>2557</v>
      </c>
      <c r="Z119" s="162" t="s">
        <v>5169</v>
      </c>
      <c r="AA119" s="162" t="s">
        <v>4928</v>
      </c>
      <c r="AB119" s="162" t="s">
        <v>34</v>
      </c>
      <c r="AC119" s="162" t="s">
        <v>2123</v>
      </c>
      <c r="AD119" s="162" t="s">
        <v>2124</v>
      </c>
      <c r="AE119" s="162" t="s">
        <v>1758</v>
      </c>
      <c r="AF119" s="162">
        <v>8</v>
      </c>
      <c r="AG119" s="162">
        <v>50</v>
      </c>
      <c r="AH119" s="162">
        <v>5</v>
      </c>
      <c r="AI119" s="162" t="s">
        <v>3909</v>
      </c>
      <c r="AJ119" s="162" t="s">
        <v>3910</v>
      </c>
      <c r="AK119" s="162" t="s">
        <v>2125</v>
      </c>
      <c r="AL119" s="162" t="s">
        <v>3725</v>
      </c>
      <c r="AM119" t="s">
        <v>4806</v>
      </c>
      <c r="AN119" s="478">
        <v>1.4583333333333332E-2</v>
      </c>
      <c r="AO119" s="478">
        <v>2.1527777777777781E-2</v>
      </c>
    </row>
    <row r="120" spans="1:41" x14ac:dyDescent="0.2">
      <c r="A120">
        <v>119</v>
      </c>
      <c r="B120" s="462" t="s">
        <v>1655</v>
      </c>
      <c r="C120" s="162" t="s">
        <v>837</v>
      </c>
      <c r="D120" s="162" t="s">
        <v>4059</v>
      </c>
      <c r="E120" s="162" t="s">
        <v>2033</v>
      </c>
      <c r="F120" s="162" t="s">
        <v>2553</v>
      </c>
      <c r="G120" s="162" t="s">
        <v>34</v>
      </c>
      <c r="H120" s="162" t="s">
        <v>2128</v>
      </c>
      <c r="I120" s="162" t="s">
        <v>5651</v>
      </c>
      <c r="J120" s="162" t="s">
        <v>2396</v>
      </c>
      <c r="K120" s="162" t="s">
        <v>1060</v>
      </c>
      <c r="L120" s="162" t="s">
        <v>2563</v>
      </c>
      <c r="M120" s="162" t="s">
        <v>2564</v>
      </c>
      <c r="N120" s="162" t="s">
        <v>837</v>
      </c>
      <c r="O120" s="162" t="s">
        <v>5652</v>
      </c>
      <c r="P120" s="162" t="s">
        <v>2522</v>
      </c>
      <c r="Q120" s="162" t="s">
        <v>4863</v>
      </c>
      <c r="R120" s="162" t="s">
        <v>2121</v>
      </c>
      <c r="S120" s="162" t="s">
        <v>2565</v>
      </c>
      <c r="T120" s="162">
        <v>65.8</v>
      </c>
      <c r="U120" s="162" t="s">
        <v>2148</v>
      </c>
      <c r="V120" s="162" t="s">
        <v>2403</v>
      </c>
      <c r="W120" s="162" t="s">
        <v>2566</v>
      </c>
      <c r="X120" s="162" t="s">
        <v>4864</v>
      </c>
      <c r="Y120" s="162" t="s">
        <v>2557</v>
      </c>
      <c r="Z120" s="162" t="s">
        <v>5169</v>
      </c>
      <c r="AA120" s="162" t="s">
        <v>4864</v>
      </c>
      <c r="AB120" s="162" t="s">
        <v>4353</v>
      </c>
      <c r="AC120" s="162" t="s">
        <v>2123</v>
      </c>
      <c r="AD120" s="162" t="s">
        <v>2124</v>
      </c>
      <c r="AE120" s="162" t="s">
        <v>1758</v>
      </c>
      <c r="AF120" s="162">
        <v>8</v>
      </c>
      <c r="AG120" s="162" t="s">
        <v>3864</v>
      </c>
      <c r="AH120" s="162" t="s">
        <v>3908</v>
      </c>
      <c r="AI120" s="162" t="s">
        <v>34</v>
      </c>
      <c r="AJ120" s="162" t="s">
        <v>34</v>
      </c>
      <c r="AK120" s="162" t="s">
        <v>2125</v>
      </c>
      <c r="AL120" s="162" t="s">
        <v>3725</v>
      </c>
      <c r="AM120" t="s">
        <v>4806</v>
      </c>
      <c r="AN120" s="478">
        <v>1.4583333333333332E-2</v>
      </c>
      <c r="AO120" s="478">
        <v>0</v>
      </c>
    </row>
    <row r="121" spans="1:41" x14ac:dyDescent="0.2">
      <c r="A121">
        <v>120</v>
      </c>
      <c r="B121" s="462" t="s">
        <v>1655</v>
      </c>
      <c r="C121" s="162" t="s">
        <v>1661</v>
      </c>
      <c r="D121" s="162" t="s">
        <v>4060</v>
      </c>
      <c r="E121" s="162" t="s">
        <v>2033</v>
      </c>
      <c r="F121" s="162" t="s">
        <v>2553</v>
      </c>
      <c r="G121" s="162" t="s">
        <v>34</v>
      </c>
      <c r="H121" s="162" t="s">
        <v>2128</v>
      </c>
      <c r="I121" s="162" t="s">
        <v>5651</v>
      </c>
      <c r="J121" s="162" t="s">
        <v>2396</v>
      </c>
      <c r="K121" s="162" t="s">
        <v>1060</v>
      </c>
      <c r="L121" s="162" t="s">
        <v>2554</v>
      </c>
      <c r="M121" s="162" t="s">
        <v>2561</v>
      </c>
      <c r="N121" s="162" t="s">
        <v>1661</v>
      </c>
      <c r="O121" s="162" t="s">
        <v>5652</v>
      </c>
      <c r="P121" s="162" t="s">
        <v>2522</v>
      </c>
      <c r="Q121" s="162" t="s">
        <v>4863</v>
      </c>
      <c r="R121" s="162" t="s">
        <v>2121</v>
      </c>
      <c r="S121" s="162" t="s">
        <v>2556</v>
      </c>
      <c r="T121" s="162">
        <v>36.299999999999997</v>
      </c>
      <c r="U121" s="162" t="s">
        <v>2148</v>
      </c>
      <c r="V121" s="162" t="s">
        <v>2403</v>
      </c>
      <c r="W121" s="162" t="s">
        <v>2562</v>
      </c>
      <c r="X121" s="162" t="s">
        <v>4864</v>
      </c>
      <c r="Y121" s="162" t="s">
        <v>2557</v>
      </c>
      <c r="Z121" s="162" t="s">
        <v>5169</v>
      </c>
      <c r="AA121" s="162" t="s">
        <v>4864</v>
      </c>
      <c r="AB121" s="162" t="s">
        <v>34</v>
      </c>
      <c r="AC121" s="162" t="s">
        <v>2123</v>
      </c>
      <c r="AD121" s="162" t="s">
        <v>2124</v>
      </c>
      <c r="AE121" s="162" t="s">
        <v>1758</v>
      </c>
      <c r="AF121" s="162">
        <v>10</v>
      </c>
      <c r="AG121" s="162">
        <v>0.2</v>
      </c>
      <c r="AH121" s="162">
        <v>0</v>
      </c>
      <c r="AI121" s="162" t="s">
        <v>3907</v>
      </c>
      <c r="AJ121" s="162" t="s">
        <v>34</v>
      </c>
      <c r="AK121" s="162" t="s">
        <v>2125</v>
      </c>
      <c r="AL121" s="162" t="s">
        <v>3725</v>
      </c>
      <c r="AM121" t="s">
        <v>4804</v>
      </c>
      <c r="AN121" s="478">
        <v>1.4583333333333332E-2</v>
      </c>
      <c r="AO121" s="478">
        <v>0</v>
      </c>
    </row>
    <row r="122" spans="1:41" x14ac:dyDescent="0.2">
      <c r="A122">
        <v>121</v>
      </c>
      <c r="B122" s="462" t="s">
        <v>1655</v>
      </c>
      <c r="C122" s="162" t="s">
        <v>1657</v>
      </c>
      <c r="D122" s="162" t="s">
        <v>4061</v>
      </c>
      <c r="E122" s="162" t="s">
        <v>2033</v>
      </c>
      <c r="F122" s="162" t="s">
        <v>2553</v>
      </c>
      <c r="G122" s="162" t="s">
        <v>34</v>
      </c>
      <c r="H122" s="162" t="s">
        <v>2128</v>
      </c>
      <c r="I122" s="162" t="s">
        <v>5651</v>
      </c>
      <c r="J122" s="162" t="s">
        <v>2396</v>
      </c>
      <c r="K122" s="162" t="s">
        <v>1060</v>
      </c>
      <c r="L122" s="162" t="s">
        <v>2554</v>
      </c>
      <c r="M122" s="162" t="s">
        <v>2555</v>
      </c>
      <c r="N122" s="162" t="s">
        <v>1657</v>
      </c>
      <c r="O122" s="162" t="s">
        <v>5652</v>
      </c>
      <c r="P122" s="162" t="s">
        <v>2522</v>
      </c>
      <c r="Q122" s="162" t="s">
        <v>4863</v>
      </c>
      <c r="R122" s="162" t="s">
        <v>2121</v>
      </c>
      <c r="S122" s="162" t="s">
        <v>2556</v>
      </c>
      <c r="T122" s="162">
        <v>36.299999999999997</v>
      </c>
      <c r="U122" s="162" t="s">
        <v>2148</v>
      </c>
      <c r="V122" s="162" t="s">
        <v>2403</v>
      </c>
      <c r="W122" s="162">
        <v>16293</v>
      </c>
      <c r="X122" s="162" t="s">
        <v>4864</v>
      </c>
      <c r="Y122" s="162" t="s">
        <v>2557</v>
      </c>
      <c r="Z122" s="162" t="s">
        <v>5169</v>
      </c>
      <c r="AA122" s="162" t="s">
        <v>4864</v>
      </c>
      <c r="AB122" s="162" t="s">
        <v>34</v>
      </c>
      <c r="AC122" s="162" t="s">
        <v>2123</v>
      </c>
      <c r="AD122" s="162" t="s">
        <v>2124</v>
      </c>
      <c r="AE122" s="162" t="s">
        <v>1758</v>
      </c>
      <c r="AF122" s="162">
        <v>10</v>
      </c>
      <c r="AG122" s="162">
        <v>0.2</v>
      </c>
      <c r="AH122" s="162">
        <v>0</v>
      </c>
      <c r="AI122" s="162" t="s">
        <v>3907</v>
      </c>
      <c r="AJ122" s="162" t="s">
        <v>34</v>
      </c>
      <c r="AK122" s="162" t="s">
        <v>2125</v>
      </c>
      <c r="AL122" s="162" t="s">
        <v>3725</v>
      </c>
      <c r="AM122" t="s">
        <v>4804</v>
      </c>
      <c r="AN122" s="478">
        <v>1.4583333333333332E-2</v>
      </c>
      <c r="AO122" s="478">
        <v>0</v>
      </c>
    </row>
    <row r="123" spans="1:41" x14ac:dyDescent="0.2">
      <c r="A123">
        <v>122</v>
      </c>
      <c r="B123" s="462" t="s">
        <v>1115</v>
      </c>
      <c r="C123" s="162" t="s">
        <v>1117</v>
      </c>
      <c r="D123" s="162" t="s">
        <v>4062</v>
      </c>
      <c r="E123" s="162" t="s">
        <v>2628</v>
      </c>
      <c r="F123" s="162" t="s">
        <v>2038</v>
      </c>
      <c r="G123" s="162" t="s">
        <v>34</v>
      </c>
      <c r="H123" s="162" t="s">
        <v>2128</v>
      </c>
      <c r="I123" s="162" t="s">
        <v>5651</v>
      </c>
      <c r="J123" s="162" t="s">
        <v>2396</v>
      </c>
      <c r="K123" s="162" t="s">
        <v>1117</v>
      </c>
      <c r="L123" s="162" t="s">
        <v>2641</v>
      </c>
      <c r="M123" s="162" t="s">
        <v>2642</v>
      </c>
      <c r="N123" s="162" t="s">
        <v>1117</v>
      </c>
      <c r="O123" s="162" t="s">
        <v>904</v>
      </c>
      <c r="P123" s="162" t="s">
        <v>2651</v>
      </c>
      <c r="Q123" s="162" t="s">
        <v>2120</v>
      </c>
      <c r="R123" s="162" t="s">
        <v>2643</v>
      </c>
      <c r="S123" s="162" t="s">
        <v>2644</v>
      </c>
      <c r="T123" s="162">
        <v>30</v>
      </c>
      <c r="U123" s="162" t="s">
        <v>2150</v>
      </c>
      <c r="V123" s="162" t="s">
        <v>2645</v>
      </c>
      <c r="W123" s="162">
        <v>9162039</v>
      </c>
      <c r="X123" s="162" t="s">
        <v>2122</v>
      </c>
      <c r="Y123" s="162" t="s">
        <v>2646</v>
      </c>
      <c r="Z123" s="162">
        <v>8297145</v>
      </c>
      <c r="AA123" s="162" t="s">
        <v>2122</v>
      </c>
      <c r="AB123" s="162" t="s">
        <v>2647</v>
      </c>
      <c r="AC123" s="162" t="s">
        <v>2123</v>
      </c>
      <c r="AD123" s="162" t="s">
        <v>2124</v>
      </c>
      <c r="AE123" s="162" t="s">
        <v>1758</v>
      </c>
      <c r="AF123" s="162">
        <v>6</v>
      </c>
      <c r="AG123" s="162">
        <v>0.08</v>
      </c>
      <c r="AH123" s="162">
        <v>0.5</v>
      </c>
      <c r="AI123" s="162" t="s">
        <v>3914</v>
      </c>
      <c r="AJ123" s="162" t="s">
        <v>3915</v>
      </c>
      <c r="AK123" s="162" t="s">
        <v>2125</v>
      </c>
      <c r="AL123" s="162" t="s">
        <v>34</v>
      </c>
      <c r="AM123" t="s">
        <v>4803</v>
      </c>
      <c r="AN123" s="478">
        <v>0</v>
      </c>
      <c r="AO123" s="478">
        <v>0</v>
      </c>
    </row>
    <row r="124" spans="1:41" x14ac:dyDescent="0.2">
      <c r="A124">
        <v>123</v>
      </c>
      <c r="B124" s="462" t="s">
        <v>1115</v>
      </c>
      <c r="C124" s="162" t="s">
        <v>1770</v>
      </c>
      <c r="D124" s="162" t="s">
        <v>4063</v>
      </c>
      <c r="E124" s="162" t="s">
        <v>2628</v>
      </c>
      <c r="F124" s="162" t="s">
        <v>2038</v>
      </c>
      <c r="G124" s="162" t="s">
        <v>34</v>
      </c>
      <c r="H124" s="162" t="s">
        <v>2128</v>
      </c>
      <c r="I124" s="162" t="s">
        <v>5651</v>
      </c>
      <c r="J124" s="162" t="s">
        <v>2396</v>
      </c>
      <c r="K124" s="162" t="s">
        <v>2132</v>
      </c>
      <c r="L124" s="162" t="s">
        <v>2243</v>
      </c>
      <c r="M124" s="162" t="s">
        <v>2132</v>
      </c>
      <c r="N124" s="162" t="s">
        <v>2636</v>
      </c>
      <c r="O124" s="162" t="s">
        <v>904</v>
      </c>
      <c r="P124" s="162" t="s">
        <v>2637</v>
      </c>
      <c r="Q124" s="162" t="s">
        <v>2204</v>
      </c>
      <c r="R124" s="162" t="s">
        <v>2295</v>
      </c>
      <c r="S124" s="162" t="s">
        <v>2638</v>
      </c>
      <c r="T124" s="162">
        <v>3348</v>
      </c>
      <c r="U124" s="162" t="s">
        <v>2150</v>
      </c>
      <c r="V124" s="162" t="s">
        <v>2639</v>
      </c>
      <c r="W124" s="162">
        <v>0</v>
      </c>
      <c r="X124" s="162" t="s">
        <v>2122</v>
      </c>
      <c r="Y124" s="162" t="s">
        <v>2634</v>
      </c>
      <c r="Z124" s="162" t="s">
        <v>2640</v>
      </c>
      <c r="AA124" s="162" t="s">
        <v>2122</v>
      </c>
      <c r="AB124" s="162" t="s">
        <v>34</v>
      </c>
      <c r="AC124" s="162" t="s">
        <v>2123</v>
      </c>
      <c r="AD124" s="162" t="s">
        <v>2124</v>
      </c>
      <c r="AE124" s="162" t="s">
        <v>1758</v>
      </c>
      <c r="AF124" s="162" t="s">
        <v>3347</v>
      </c>
      <c r="AG124" s="162" t="s">
        <v>34</v>
      </c>
      <c r="AH124" s="162" t="s">
        <v>34</v>
      </c>
      <c r="AI124" s="162" t="s">
        <v>34</v>
      </c>
      <c r="AJ124" s="162" t="s">
        <v>34</v>
      </c>
      <c r="AK124" s="162" t="s">
        <v>2125</v>
      </c>
      <c r="AL124" s="162" t="s">
        <v>34</v>
      </c>
      <c r="AM124" t="s">
        <v>4803</v>
      </c>
      <c r="AN124" s="478">
        <v>0</v>
      </c>
      <c r="AO124" s="478">
        <v>0</v>
      </c>
    </row>
    <row r="125" spans="1:41" x14ac:dyDescent="0.2">
      <c r="A125">
        <v>124</v>
      </c>
      <c r="B125" s="462" t="s">
        <v>1115</v>
      </c>
      <c r="C125" s="162" t="s">
        <v>1955</v>
      </c>
      <c r="D125" s="162" t="s">
        <v>4334</v>
      </c>
      <c r="E125" s="162" t="s">
        <v>2628</v>
      </c>
      <c r="F125" s="162" t="s">
        <v>2038</v>
      </c>
      <c r="G125" s="162" t="s">
        <v>34</v>
      </c>
      <c r="H125" s="162" t="s">
        <v>2128</v>
      </c>
      <c r="I125" s="162" t="s">
        <v>5651</v>
      </c>
      <c r="J125" s="162" t="s">
        <v>1764</v>
      </c>
      <c r="K125" s="162" t="s">
        <v>2629</v>
      </c>
      <c r="L125" s="162" t="s">
        <v>2243</v>
      </c>
      <c r="M125" s="162" t="s">
        <v>1947</v>
      </c>
      <c r="N125" s="162" t="s">
        <v>1955</v>
      </c>
      <c r="O125" s="162" t="s">
        <v>904</v>
      </c>
      <c r="P125" s="162" t="s">
        <v>2630</v>
      </c>
      <c r="Q125" s="162" t="s">
        <v>2204</v>
      </c>
      <c r="R125" s="162" t="s">
        <v>2286</v>
      </c>
      <c r="S125" s="162" t="s">
        <v>2631</v>
      </c>
      <c r="T125" s="162">
        <v>5440</v>
      </c>
      <c r="U125" s="162" t="s">
        <v>2150</v>
      </c>
      <c r="V125" s="162" t="s">
        <v>2632</v>
      </c>
      <c r="W125" s="162" t="s">
        <v>2633</v>
      </c>
      <c r="X125" s="162" t="s">
        <v>2270</v>
      </c>
      <c r="Y125" s="162" t="s">
        <v>2634</v>
      </c>
      <c r="Z125" s="162" t="s">
        <v>2635</v>
      </c>
      <c r="AA125" s="162" t="s">
        <v>2122</v>
      </c>
      <c r="AB125" s="162" t="s">
        <v>2192</v>
      </c>
      <c r="AC125" s="162" t="s">
        <v>2123</v>
      </c>
      <c r="AD125" s="162" t="s">
        <v>2124</v>
      </c>
      <c r="AE125" s="162" t="s">
        <v>1758</v>
      </c>
      <c r="AF125" s="162">
        <v>8</v>
      </c>
      <c r="AG125" s="162">
        <v>40</v>
      </c>
      <c r="AH125" s="162">
        <v>71</v>
      </c>
      <c r="AI125" s="162" t="s">
        <v>34</v>
      </c>
      <c r="AJ125" s="162" t="s">
        <v>34</v>
      </c>
      <c r="AK125" s="162" t="s">
        <v>2125</v>
      </c>
      <c r="AL125" s="162" t="s">
        <v>34</v>
      </c>
      <c r="AM125" t="s">
        <v>4803</v>
      </c>
      <c r="AN125" s="478">
        <v>0</v>
      </c>
      <c r="AO125" s="478">
        <v>0</v>
      </c>
    </row>
    <row r="126" spans="1:41" x14ac:dyDescent="0.2">
      <c r="A126">
        <v>125</v>
      </c>
      <c r="B126" s="462" t="s">
        <v>1115</v>
      </c>
      <c r="C126" s="162" t="s">
        <v>1120</v>
      </c>
      <c r="D126" s="162" t="s">
        <v>4064</v>
      </c>
      <c r="E126" s="162" t="s">
        <v>2628</v>
      </c>
      <c r="F126" s="162" t="s">
        <v>2038</v>
      </c>
      <c r="G126" s="162" t="s">
        <v>34</v>
      </c>
      <c r="H126" s="162" t="s">
        <v>2128</v>
      </c>
      <c r="I126" s="162" t="s">
        <v>5651</v>
      </c>
      <c r="J126" s="162" t="s">
        <v>2396</v>
      </c>
      <c r="K126" s="162" t="s">
        <v>1120</v>
      </c>
      <c r="L126" s="162" t="s">
        <v>2648</v>
      </c>
      <c r="M126" s="162" t="s">
        <v>2649</v>
      </c>
      <c r="N126" s="162" t="s">
        <v>1120</v>
      </c>
      <c r="O126" s="162" t="s">
        <v>904</v>
      </c>
      <c r="P126" s="162" t="s">
        <v>2650</v>
      </c>
      <c r="Q126" s="162" t="s">
        <v>2204</v>
      </c>
      <c r="R126" s="162" t="s">
        <v>2185</v>
      </c>
      <c r="S126" s="162" t="s">
        <v>2652</v>
      </c>
      <c r="T126" s="162">
        <v>54.3</v>
      </c>
      <c r="U126" s="162" t="s">
        <v>2150</v>
      </c>
      <c r="V126" s="162" t="s">
        <v>2653</v>
      </c>
      <c r="W126" s="162">
        <v>5.39</v>
      </c>
      <c r="X126" s="162" t="s">
        <v>2122</v>
      </c>
      <c r="Y126" s="162" t="s">
        <v>2634</v>
      </c>
      <c r="Z126" s="162" t="s">
        <v>2654</v>
      </c>
      <c r="AA126" s="162" t="s">
        <v>2122</v>
      </c>
      <c r="AB126" s="162" t="s">
        <v>2655</v>
      </c>
      <c r="AC126" s="162" t="s">
        <v>2123</v>
      </c>
      <c r="AD126" s="162" t="s">
        <v>2124</v>
      </c>
      <c r="AE126" s="162" t="s">
        <v>1758</v>
      </c>
      <c r="AF126" s="162">
        <v>1</v>
      </c>
      <c r="AG126" s="162">
        <v>0.2</v>
      </c>
      <c r="AH126" s="162">
        <v>0.2</v>
      </c>
      <c r="AI126" s="162" t="s">
        <v>3916</v>
      </c>
      <c r="AJ126" s="162" t="s">
        <v>3917</v>
      </c>
      <c r="AK126" s="162" t="s">
        <v>2125</v>
      </c>
      <c r="AL126" s="162" t="s">
        <v>34</v>
      </c>
      <c r="AM126" t="s">
        <v>4806</v>
      </c>
      <c r="AN126" s="478">
        <v>0</v>
      </c>
      <c r="AO126" s="478">
        <v>0</v>
      </c>
    </row>
    <row r="127" spans="1:41" x14ac:dyDescent="0.2">
      <c r="A127">
        <v>126</v>
      </c>
      <c r="B127" s="462" t="s">
        <v>1095</v>
      </c>
      <c r="C127" s="162" t="s">
        <v>878</v>
      </c>
      <c r="D127" s="162" t="s">
        <v>4065</v>
      </c>
      <c r="E127" s="162" t="s">
        <v>2034</v>
      </c>
      <c r="F127" s="162" t="s">
        <v>2035</v>
      </c>
      <c r="G127" s="162" t="s">
        <v>34</v>
      </c>
      <c r="H127" s="162" t="s">
        <v>2128</v>
      </c>
      <c r="I127" s="162" t="s">
        <v>5651</v>
      </c>
      <c r="J127" s="162" t="s">
        <v>1764</v>
      </c>
      <c r="K127" s="162" t="s">
        <v>2304</v>
      </c>
      <c r="L127" s="162" t="s">
        <v>2593</v>
      </c>
      <c r="M127" s="162">
        <v>3217457</v>
      </c>
      <c r="N127" s="162" t="s">
        <v>878</v>
      </c>
      <c r="O127" s="162" t="s">
        <v>904</v>
      </c>
      <c r="P127" s="162" t="s">
        <v>2392</v>
      </c>
      <c r="Q127" s="162" t="s">
        <v>4863</v>
      </c>
      <c r="R127" s="162" t="s">
        <v>2121</v>
      </c>
      <c r="S127" s="162" t="s">
        <v>2594</v>
      </c>
      <c r="T127" s="162">
        <v>500</v>
      </c>
      <c r="U127" s="162" t="s">
        <v>1947</v>
      </c>
      <c r="V127" s="162" t="s">
        <v>2595</v>
      </c>
      <c r="W127" s="162" t="s">
        <v>2596</v>
      </c>
      <c r="X127" s="162" t="s">
        <v>4864</v>
      </c>
      <c r="Y127" s="162" t="s">
        <v>2595</v>
      </c>
      <c r="Z127" s="162" t="s">
        <v>2596</v>
      </c>
      <c r="AA127" s="162" t="s">
        <v>4864</v>
      </c>
      <c r="AB127" s="162" t="s">
        <v>2597</v>
      </c>
      <c r="AC127" s="162" t="s">
        <v>2123</v>
      </c>
      <c r="AD127" s="162" t="s">
        <v>2124</v>
      </c>
      <c r="AE127" s="162" t="s">
        <v>1758</v>
      </c>
      <c r="AF127" s="162" t="s">
        <v>3347</v>
      </c>
      <c r="AG127" s="162" t="s">
        <v>34</v>
      </c>
      <c r="AH127" s="162" t="s">
        <v>34</v>
      </c>
      <c r="AI127" s="162" t="s">
        <v>34</v>
      </c>
      <c r="AJ127" s="162" t="s">
        <v>34</v>
      </c>
      <c r="AK127" s="162" t="s">
        <v>2125</v>
      </c>
      <c r="AL127" s="162" t="s">
        <v>34</v>
      </c>
      <c r="AM127" t="s">
        <v>4803</v>
      </c>
      <c r="AN127" s="478">
        <v>0</v>
      </c>
      <c r="AO127" s="478">
        <v>0</v>
      </c>
    </row>
    <row r="128" spans="1:41" x14ac:dyDescent="0.2">
      <c r="A128">
        <v>127</v>
      </c>
      <c r="B128" s="462" t="s">
        <v>1095</v>
      </c>
      <c r="C128" s="162" t="s">
        <v>999</v>
      </c>
      <c r="D128" s="162" t="s">
        <v>4947</v>
      </c>
      <c r="E128" s="162" t="s">
        <v>2034</v>
      </c>
      <c r="F128" s="162" t="s">
        <v>2035</v>
      </c>
      <c r="G128" s="162" t="s">
        <v>34</v>
      </c>
      <c r="H128" s="162" t="s">
        <v>2128</v>
      </c>
      <c r="I128" s="162" t="s">
        <v>5651</v>
      </c>
      <c r="J128" s="162" t="s">
        <v>1764</v>
      </c>
      <c r="K128" s="162" t="s">
        <v>2304</v>
      </c>
      <c r="L128" s="162" t="s">
        <v>3268</v>
      </c>
      <c r="M128" s="162">
        <v>11408</v>
      </c>
      <c r="N128" s="162" t="s">
        <v>4948</v>
      </c>
      <c r="O128" s="162" t="s">
        <v>1764</v>
      </c>
      <c r="P128" s="162" t="s">
        <v>2392</v>
      </c>
      <c r="Q128" s="162" t="s">
        <v>4863</v>
      </c>
      <c r="R128" s="162" t="s">
        <v>2121</v>
      </c>
      <c r="S128" s="162" t="s">
        <v>4949</v>
      </c>
      <c r="T128" s="162">
        <v>417</v>
      </c>
      <c r="U128" s="162" t="s">
        <v>1947</v>
      </c>
      <c r="V128" s="162" t="s">
        <v>3268</v>
      </c>
      <c r="W128" s="162" t="s">
        <v>2255</v>
      </c>
      <c r="X128" s="162" t="s">
        <v>4864</v>
      </c>
      <c r="Y128" s="162" t="s">
        <v>3268</v>
      </c>
      <c r="Z128" s="162" t="s">
        <v>2255</v>
      </c>
      <c r="AA128" s="162" t="s">
        <v>4864</v>
      </c>
      <c r="AB128" s="162" t="s">
        <v>4950</v>
      </c>
      <c r="AC128" s="162" t="s">
        <v>4372</v>
      </c>
      <c r="AD128" s="162" t="s">
        <v>4951</v>
      </c>
      <c r="AE128" s="162" t="s">
        <v>1758</v>
      </c>
      <c r="AF128" s="162" t="s">
        <v>3347</v>
      </c>
      <c r="AG128" s="162" t="s">
        <v>34</v>
      </c>
      <c r="AH128" s="162" t="s">
        <v>34</v>
      </c>
      <c r="AI128" s="162" t="s">
        <v>34</v>
      </c>
      <c r="AJ128" s="162" t="s">
        <v>34</v>
      </c>
      <c r="AK128" s="162" t="s">
        <v>2125</v>
      </c>
      <c r="AL128" s="162" t="s">
        <v>34</v>
      </c>
      <c r="AM128" t="s">
        <v>4803</v>
      </c>
      <c r="AN128" s="478"/>
      <c r="AO128" s="478"/>
    </row>
    <row r="129" spans="1:41" x14ac:dyDescent="0.2">
      <c r="A129">
        <v>128</v>
      </c>
      <c r="B129" s="462" t="s">
        <v>1095</v>
      </c>
      <c r="C129" s="162" t="s">
        <v>1103</v>
      </c>
      <c r="D129" s="162" t="s">
        <v>4066</v>
      </c>
      <c r="E129" s="162" t="s">
        <v>2034</v>
      </c>
      <c r="F129" s="162" t="s">
        <v>2035</v>
      </c>
      <c r="G129" s="162" t="s">
        <v>34</v>
      </c>
      <c r="H129" s="162" t="s">
        <v>2128</v>
      </c>
      <c r="I129" s="162" t="s">
        <v>5651</v>
      </c>
      <c r="J129" s="162" t="s">
        <v>1764</v>
      </c>
      <c r="K129" s="162" t="s">
        <v>2584</v>
      </c>
      <c r="L129" s="162" t="s">
        <v>2585</v>
      </c>
      <c r="M129" s="162">
        <v>446705</v>
      </c>
      <c r="N129" s="162" t="s">
        <v>1103</v>
      </c>
      <c r="O129" s="162" t="s">
        <v>904</v>
      </c>
      <c r="P129" s="162" t="s">
        <v>2586</v>
      </c>
      <c r="Q129" s="162" t="s">
        <v>4863</v>
      </c>
      <c r="R129" s="162" t="s">
        <v>2121</v>
      </c>
      <c r="S129" s="162" t="s">
        <v>2587</v>
      </c>
      <c r="T129" s="162">
        <v>1.53</v>
      </c>
      <c r="U129" s="162" t="s">
        <v>1947</v>
      </c>
      <c r="V129" s="162" t="s">
        <v>2589</v>
      </c>
      <c r="W129" s="162" t="s">
        <v>2588</v>
      </c>
      <c r="X129" s="162" t="s">
        <v>4864</v>
      </c>
      <c r="Y129" s="162" t="s">
        <v>2590</v>
      </c>
      <c r="Z129" s="162" t="s">
        <v>2591</v>
      </c>
      <c r="AA129" s="162" t="s">
        <v>4864</v>
      </c>
      <c r="AB129" s="162" t="s">
        <v>2592</v>
      </c>
      <c r="AC129" s="162" t="s">
        <v>2123</v>
      </c>
      <c r="AD129" s="162" t="s">
        <v>2124</v>
      </c>
      <c r="AE129" s="162" t="s">
        <v>1758</v>
      </c>
      <c r="AF129" s="162">
        <v>2</v>
      </c>
      <c r="AG129" s="162">
        <v>0.02</v>
      </c>
      <c r="AH129" s="162">
        <v>1</v>
      </c>
      <c r="AI129" s="162" t="s">
        <v>3911</v>
      </c>
      <c r="AJ129" s="162" t="s">
        <v>3912</v>
      </c>
      <c r="AK129" s="162" t="s">
        <v>2125</v>
      </c>
      <c r="AL129" s="162" t="s">
        <v>34</v>
      </c>
      <c r="AM129" t="s">
        <v>4803</v>
      </c>
      <c r="AN129" s="478">
        <v>0</v>
      </c>
      <c r="AO129" s="478">
        <v>0</v>
      </c>
    </row>
    <row r="130" spans="1:41" x14ac:dyDescent="0.2">
      <c r="A130">
        <v>129</v>
      </c>
      <c r="B130" s="462" t="s">
        <v>1095</v>
      </c>
      <c r="C130" s="162" t="s">
        <v>1097</v>
      </c>
      <c r="D130" s="162" t="s">
        <v>4067</v>
      </c>
      <c r="E130" s="162" t="s">
        <v>2034</v>
      </c>
      <c r="F130" s="162" t="s">
        <v>2035</v>
      </c>
      <c r="G130" s="162" t="s">
        <v>34</v>
      </c>
      <c r="H130" s="162" t="s">
        <v>2128</v>
      </c>
      <c r="I130" s="162" t="s">
        <v>5651</v>
      </c>
      <c r="J130" s="162" t="s">
        <v>1764</v>
      </c>
      <c r="K130" s="162" t="s">
        <v>2573</v>
      </c>
      <c r="L130" s="162" t="s">
        <v>2574</v>
      </c>
      <c r="M130" s="162" t="s">
        <v>2575</v>
      </c>
      <c r="N130" s="162" t="s">
        <v>1097</v>
      </c>
      <c r="O130" s="162" t="s">
        <v>904</v>
      </c>
      <c r="P130" s="162" t="s">
        <v>2551</v>
      </c>
      <c r="Q130" s="162" t="s">
        <v>4863</v>
      </c>
      <c r="R130" s="162" t="s">
        <v>2222</v>
      </c>
      <c r="S130" s="162" t="s">
        <v>2576</v>
      </c>
      <c r="T130" s="162">
        <v>84.4</v>
      </c>
      <c r="U130" s="162" t="s">
        <v>2151</v>
      </c>
      <c r="V130" s="162" t="s">
        <v>2577</v>
      </c>
      <c r="W130" s="162" t="s">
        <v>2578</v>
      </c>
      <c r="X130" s="162" t="s">
        <v>4864</v>
      </c>
      <c r="Y130" s="162" t="s">
        <v>109</v>
      </c>
      <c r="Z130" s="162" t="s">
        <v>109</v>
      </c>
      <c r="AA130" s="162" t="s">
        <v>109</v>
      </c>
      <c r="AB130" s="162" t="s">
        <v>34</v>
      </c>
      <c r="AC130" s="162" t="s">
        <v>2123</v>
      </c>
      <c r="AD130" s="162" t="s">
        <v>2124</v>
      </c>
      <c r="AE130" s="162" t="s">
        <v>1758</v>
      </c>
      <c r="AF130" s="162" t="s">
        <v>3347</v>
      </c>
      <c r="AG130" s="162" t="s">
        <v>34</v>
      </c>
      <c r="AH130" s="162" t="s">
        <v>34</v>
      </c>
      <c r="AI130" s="162" t="s">
        <v>34</v>
      </c>
      <c r="AJ130" s="162" t="s">
        <v>34</v>
      </c>
      <c r="AK130" s="162" t="s">
        <v>2125</v>
      </c>
      <c r="AL130" s="162" t="s">
        <v>34</v>
      </c>
      <c r="AM130" t="s">
        <v>4803</v>
      </c>
      <c r="AN130" s="478">
        <v>0</v>
      </c>
      <c r="AO130" s="478">
        <v>0</v>
      </c>
    </row>
    <row r="131" spans="1:41" x14ac:dyDescent="0.2">
      <c r="A131">
        <v>130</v>
      </c>
      <c r="B131" s="462" t="s">
        <v>1095</v>
      </c>
      <c r="C131" s="162" t="s">
        <v>5250</v>
      </c>
      <c r="D131" s="162" t="s">
        <v>5251</v>
      </c>
      <c r="E131" s="162" t="s">
        <v>2034</v>
      </c>
      <c r="F131" s="162" t="s">
        <v>2035</v>
      </c>
      <c r="G131" s="162" t="s">
        <v>34</v>
      </c>
      <c r="H131" s="162" t="s">
        <v>2128</v>
      </c>
      <c r="I131" s="162" t="s">
        <v>5651</v>
      </c>
      <c r="J131" s="162" t="s">
        <v>2116</v>
      </c>
      <c r="K131" s="162" t="s">
        <v>1060</v>
      </c>
      <c r="L131" s="162" t="s">
        <v>5252</v>
      </c>
      <c r="M131" s="162" t="s">
        <v>5702</v>
      </c>
      <c r="N131" s="162" t="s">
        <v>5702</v>
      </c>
      <c r="O131" s="162" t="s">
        <v>5652</v>
      </c>
      <c r="P131" s="162" t="s">
        <v>5253</v>
      </c>
      <c r="Q131" s="162" t="s">
        <v>4863</v>
      </c>
      <c r="R131" s="162" t="s">
        <v>5254</v>
      </c>
      <c r="S131" s="162" t="s">
        <v>5255</v>
      </c>
      <c r="T131" s="162">
        <v>1700</v>
      </c>
      <c r="U131" s="162" t="s">
        <v>2148</v>
      </c>
      <c r="V131" s="162" t="s">
        <v>5256</v>
      </c>
      <c r="W131" s="162" t="s">
        <v>5257</v>
      </c>
      <c r="X131" s="162" t="s">
        <v>4864</v>
      </c>
      <c r="Y131" s="162" t="s">
        <v>4586</v>
      </c>
      <c r="Z131" s="162" t="s">
        <v>5258</v>
      </c>
      <c r="AA131" s="162" t="s">
        <v>4864</v>
      </c>
      <c r="AB131" s="162" t="s">
        <v>5406</v>
      </c>
      <c r="AC131" s="162" t="s">
        <v>2123</v>
      </c>
      <c r="AD131" s="162" t="s">
        <v>2124</v>
      </c>
      <c r="AE131" s="162" t="s">
        <v>1758</v>
      </c>
      <c r="AF131" s="162">
        <v>13.1</v>
      </c>
      <c r="AG131" s="162">
        <v>300</v>
      </c>
      <c r="AH131" s="162">
        <v>68</v>
      </c>
      <c r="AI131" s="162" t="s">
        <v>34</v>
      </c>
      <c r="AJ131" s="162" t="s">
        <v>34</v>
      </c>
      <c r="AK131" s="162" t="s">
        <v>2125</v>
      </c>
      <c r="AL131" s="162" t="s">
        <v>34</v>
      </c>
      <c r="AM131" t="s">
        <v>4803</v>
      </c>
      <c r="AN131" s="478"/>
      <c r="AO131" s="478"/>
    </row>
    <row r="132" spans="1:41" x14ac:dyDescent="0.2">
      <c r="A132">
        <v>131</v>
      </c>
      <c r="B132" s="462" t="s">
        <v>1095</v>
      </c>
      <c r="C132" s="162" t="s">
        <v>1101</v>
      </c>
      <c r="D132" s="162" t="s">
        <v>4068</v>
      </c>
      <c r="E132" s="162" t="s">
        <v>2034</v>
      </c>
      <c r="F132" s="162" t="s">
        <v>2035</v>
      </c>
      <c r="G132" s="162" t="s">
        <v>34</v>
      </c>
      <c r="H132" s="162" t="s">
        <v>2128</v>
      </c>
      <c r="I132" s="162" t="s">
        <v>5651</v>
      </c>
      <c r="J132" s="162" t="s">
        <v>1764</v>
      </c>
      <c r="K132" s="162" t="s">
        <v>2250</v>
      </c>
      <c r="L132" s="162" t="s">
        <v>2579</v>
      </c>
      <c r="M132" s="162">
        <v>126912</v>
      </c>
      <c r="N132" s="162" t="s">
        <v>1101</v>
      </c>
      <c r="O132" s="162" t="s">
        <v>904</v>
      </c>
      <c r="P132" s="162" t="s">
        <v>2580</v>
      </c>
      <c r="Q132" s="162" t="s">
        <v>4863</v>
      </c>
      <c r="R132" s="162" t="s">
        <v>2222</v>
      </c>
      <c r="S132" s="162" t="s">
        <v>2581</v>
      </c>
      <c r="T132" s="162">
        <v>21.5</v>
      </c>
      <c r="U132" s="162" t="s">
        <v>1947</v>
      </c>
      <c r="V132" s="162" t="s">
        <v>2582</v>
      </c>
      <c r="W132" s="162" t="s">
        <v>2583</v>
      </c>
      <c r="X132" s="162" t="s">
        <v>4864</v>
      </c>
      <c r="Y132" s="162" t="s">
        <v>109</v>
      </c>
      <c r="Z132" s="162" t="s">
        <v>109</v>
      </c>
      <c r="AA132" s="162" t="s">
        <v>109</v>
      </c>
      <c r="AB132" s="162" t="s">
        <v>34</v>
      </c>
      <c r="AC132" s="162" t="s">
        <v>2123</v>
      </c>
      <c r="AD132" s="162" t="s">
        <v>2124</v>
      </c>
      <c r="AE132" s="162" t="s">
        <v>1758</v>
      </c>
      <c r="AF132" s="162" t="s">
        <v>3347</v>
      </c>
      <c r="AG132" s="162" t="s">
        <v>34</v>
      </c>
      <c r="AH132" s="162" t="s">
        <v>34</v>
      </c>
      <c r="AI132" s="162" t="s">
        <v>34</v>
      </c>
      <c r="AJ132" s="162" t="s">
        <v>34</v>
      </c>
      <c r="AK132" s="162" t="s">
        <v>2125</v>
      </c>
      <c r="AL132" s="162" t="s">
        <v>34</v>
      </c>
      <c r="AM132" t="s">
        <v>4806</v>
      </c>
      <c r="AN132" s="478">
        <v>0</v>
      </c>
      <c r="AO132" s="478">
        <v>0</v>
      </c>
    </row>
    <row r="133" spans="1:41" x14ac:dyDescent="0.2">
      <c r="A133">
        <v>132</v>
      </c>
      <c r="B133" s="462" t="s">
        <v>1106</v>
      </c>
      <c r="C133" s="162" t="s">
        <v>2622</v>
      </c>
      <c r="D133" s="162" t="s">
        <v>4304</v>
      </c>
      <c r="E133" s="162" t="s">
        <v>2036</v>
      </c>
      <c r="F133" s="162" t="s">
        <v>2037</v>
      </c>
      <c r="G133" s="162" t="s">
        <v>34</v>
      </c>
      <c r="H133" s="162" t="s">
        <v>2128</v>
      </c>
      <c r="I133" s="162" t="s">
        <v>5651</v>
      </c>
      <c r="J133" s="162" t="s">
        <v>2396</v>
      </c>
      <c r="K133" s="162" t="s">
        <v>2620</v>
      </c>
      <c r="L133" s="162" t="s">
        <v>2621</v>
      </c>
      <c r="M133" s="162" t="s">
        <v>1060</v>
      </c>
      <c r="N133" s="162" t="s">
        <v>2622</v>
      </c>
      <c r="O133" s="162" t="s">
        <v>5654</v>
      </c>
      <c r="P133" s="162" t="s">
        <v>2421</v>
      </c>
      <c r="Q133" s="162" t="s">
        <v>4865</v>
      </c>
      <c r="R133" s="162" t="s">
        <v>2121</v>
      </c>
      <c r="S133" s="162" t="s">
        <v>5218</v>
      </c>
      <c r="T133" s="162">
        <v>1040</v>
      </c>
      <c r="U133" s="162" t="s">
        <v>2148</v>
      </c>
      <c r="V133" s="162" t="s">
        <v>3328</v>
      </c>
      <c r="W133" s="162" t="s">
        <v>5219</v>
      </c>
      <c r="X133" s="162" t="s">
        <v>4864</v>
      </c>
      <c r="Y133" s="162" t="s">
        <v>3328</v>
      </c>
      <c r="Z133" s="162" t="s">
        <v>5219</v>
      </c>
      <c r="AA133" s="162" t="s">
        <v>4864</v>
      </c>
      <c r="AB133" s="162" t="s">
        <v>5407</v>
      </c>
      <c r="AC133" s="162" t="s">
        <v>2123</v>
      </c>
      <c r="AD133" s="162" t="s">
        <v>2124</v>
      </c>
      <c r="AE133" s="162" t="s">
        <v>1758</v>
      </c>
      <c r="AF133" s="162" t="s">
        <v>5223</v>
      </c>
      <c r="AG133" s="162" t="s">
        <v>5224</v>
      </c>
      <c r="AH133" s="162" t="s">
        <v>5225</v>
      </c>
      <c r="AI133" s="162" t="s">
        <v>34</v>
      </c>
      <c r="AJ133" s="162" t="s">
        <v>34</v>
      </c>
      <c r="AK133" s="162" t="s">
        <v>2125</v>
      </c>
      <c r="AL133" s="162" t="s">
        <v>3725</v>
      </c>
      <c r="AM133" t="s">
        <v>4806</v>
      </c>
      <c r="AN133" s="478">
        <v>1.4583333333333332E-2</v>
      </c>
      <c r="AO133" s="478">
        <v>0</v>
      </c>
    </row>
    <row r="134" spans="1:41" x14ac:dyDescent="0.2">
      <c r="A134">
        <v>133</v>
      </c>
      <c r="B134" s="462" t="s">
        <v>1106</v>
      </c>
      <c r="C134" s="162" t="s">
        <v>2606</v>
      </c>
      <c r="D134" s="162" t="s">
        <v>4319</v>
      </c>
      <c r="E134" s="162" t="s">
        <v>2036</v>
      </c>
      <c r="F134" s="162" t="s">
        <v>2037</v>
      </c>
      <c r="G134" s="162" t="s">
        <v>34</v>
      </c>
      <c r="H134" s="162" t="s">
        <v>2128</v>
      </c>
      <c r="I134" s="162" t="s">
        <v>5651</v>
      </c>
      <c r="J134" s="162" t="s">
        <v>2396</v>
      </c>
      <c r="K134" s="162" t="s">
        <v>1112</v>
      </c>
      <c r="L134" s="162" t="s">
        <v>2605</v>
      </c>
      <c r="M134" s="162">
        <v>6625</v>
      </c>
      <c r="N134" s="162" t="s">
        <v>2606</v>
      </c>
      <c r="O134" s="162" t="s">
        <v>5658</v>
      </c>
      <c r="P134" s="162" t="s">
        <v>2607</v>
      </c>
      <c r="Q134" s="162" t="s">
        <v>4861</v>
      </c>
      <c r="R134" s="162" t="s">
        <v>2121</v>
      </c>
      <c r="S134" s="162" t="s">
        <v>2608</v>
      </c>
      <c r="T134" s="162">
        <v>1372</v>
      </c>
      <c r="U134" s="162" t="s">
        <v>2150</v>
      </c>
      <c r="V134" s="162" t="s">
        <v>4610</v>
      </c>
      <c r="W134" s="162" t="s">
        <v>4611</v>
      </c>
      <c r="X134" s="162" t="s">
        <v>4864</v>
      </c>
      <c r="Y134" s="162" t="s">
        <v>3328</v>
      </c>
      <c r="Z134" s="162" t="s">
        <v>4611</v>
      </c>
      <c r="AA134" s="162" t="s">
        <v>4864</v>
      </c>
      <c r="AB134" s="162" t="s">
        <v>34</v>
      </c>
      <c r="AC134" s="162" t="s">
        <v>2123</v>
      </c>
      <c r="AD134" s="162" t="s">
        <v>2124</v>
      </c>
      <c r="AE134" s="162" t="s">
        <v>1758</v>
      </c>
      <c r="AF134" s="162" t="s">
        <v>3347</v>
      </c>
      <c r="AG134" s="162" t="s">
        <v>34</v>
      </c>
      <c r="AH134" s="162" t="s">
        <v>34</v>
      </c>
      <c r="AI134" s="162" t="s">
        <v>34</v>
      </c>
      <c r="AJ134" s="162" t="s">
        <v>34</v>
      </c>
      <c r="AK134" s="162" t="s">
        <v>2125</v>
      </c>
      <c r="AL134" s="162" t="s">
        <v>3725</v>
      </c>
      <c r="AM134" t="s">
        <v>4803</v>
      </c>
      <c r="AN134" s="478">
        <v>0</v>
      </c>
      <c r="AO134" s="478">
        <v>0</v>
      </c>
    </row>
    <row r="135" spans="1:41" x14ac:dyDescent="0.2">
      <c r="A135">
        <v>134</v>
      </c>
      <c r="B135" s="462" t="s">
        <v>1106</v>
      </c>
      <c r="C135" s="162" t="s">
        <v>2626</v>
      </c>
      <c r="D135" s="162" t="s">
        <v>4305</v>
      </c>
      <c r="E135" s="162" t="s">
        <v>2036</v>
      </c>
      <c r="F135" s="162" t="s">
        <v>2037</v>
      </c>
      <c r="G135" s="162" t="s">
        <v>34</v>
      </c>
      <c r="H135" s="162" t="s">
        <v>2128</v>
      </c>
      <c r="I135" s="162" t="s">
        <v>5651</v>
      </c>
      <c r="J135" s="162" t="s">
        <v>2396</v>
      </c>
      <c r="K135" s="162" t="s">
        <v>2623</v>
      </c>
      <c r="L135" s="162" t="s">
        <v>2624</v>
      </c>
      <c r="M135" s="162" t="s">
        <v>2625</v>
      </c>
      <c r="N135" s="162" t="s">
        <v>2626</v>
      </c>
      <c r="O135" s="162" t="s">
        <v>5652</v>
      </c>
      <c r="P135" s="162" t="s">
        <v>2327</v>
      </c>
      <c r="Q135" s="162" t="s">
        <v>4863</v>
      </c>
      <c r="R135" s="162" t="s">
        <v>2121</v>
      </c>
      <c r="S135" s="162" t="s">
        <v>2627</v>
      </c>
      <c r="T135" s="162">
        <v>1273.3</v>
      </c>
      <c r="U135" s="162" t="s">
        <v>2150</v>
      </c>
      <c r="V135" s="162" t="s">
        <v>2541</v>
      </c>
      <c r="W135" s="162" t="s">
        <v>4652</v>
      </c>
      <c r="X135" s="162" t="s">
        <v>4864</v>
      </c>
      <c r="Y135" s="162" t="s">
        <v>4586</v>
      </c>
      <c r="Z135" s="162" t="s">
        <v>4653</v>
      </c>
      <c r="AA135" s="162" t="s">
        <v>4864</v>
      </c>
      <c r="AB135" s="162" t="s">
        <v>5486</v>
      </c>
      <c r="AC135" s="162" t="s">
        <v>2123</v>
      </c>
      <c r="AD135" s="162" t="s">
        <v>2124</v>
      </c>
      <c r="AE135" s="162" t="s">
        <v>1758</v>
      </c>
      <c r="AF135" s="162">
        <v>36</v>
      </c>
      <c r="AG135" s="162">
        <v>360</v>
      </c>
      <c r="AH135" s="162">
        <v>60</v>
      </c>
      <c r="AI135" s="162" t="s">
        <v>34</v>
      </c>
      <c r="AJ135" s="162" t="s">
        <v>34</v>
      </c>
      <c r="AK135" s="162" t="s">
        <v>2125</v>
      </c>
      <c r="AL135" s="162" t="s">
        <v>3725</v>
      </c>
      <c r="AM135" t="s">
        <v>4810</v>
      </c>
      <c r="AN135" s="478">
        <v>1.4583333333333332E-2</v>
      </c>
      <c r="AO135" s="478">
        <v>2.1527777777777781E-2</v>
      </c>
    </row>
    <row r="136" spans="1:41" x14ac:dyDescent="0.2">
      <c r="A136">
        <v>135</v>
      </c>
      <c r="B136" s="462" t="s">
        <v>1106</v>
      </c>
      <c r="C136" s="162" t="s">
        <v>2600</v>
      </c>
      <c r="D136" s="162" t="s">
        <v>4320</v>
      </c>
      <c r="E136" s="162" t="s">
        <v>2036</v>
      </c>
      <c r="F136" s="162" t="s">
        <v>2037</v>
      </c>
      <c r="G136" s="162" t="s">
        <v>34</v>
      </c>
      <c r="H136" s="162" t="s">
        <v>2128</v>
      </c>
      <c r="I136" s="162" t="s">
        <v>5651</v>
      </c>
      <c r="J136" s="162" t="s">
        <v>2396</v>
      </c>
      <c r="K136" s="162" t="s">
        <v>2598</v>
      </c>
      <c r="L136" s="162" t="s">
        <v>2599</v>
      </c>
      <c r="M136" s="162">
        <v>2615</v>
      </c>
      <c r="N136" s="162" t="s">
        <v>2600</v>
      </c>
      <c r="O136" s="162" t="s">
        <v>5652</v>
      </c>
      <c r="P136" s="162" t="s">
        <v>2601</v>
      </c>
      <c r="Q136" s="162" t="s">
        <v>4863</v>
      </c>
      <c r="R136" s="162" t="s">
        <v>2121</v>
      </c>
      <c r="S136" s="162" t="s">
        <v>2602</v>
      </c>
      <c r="T136" s="162">
        <v>400.9</v>
      </c>
      <c r="U136" s="162" t="s">
        <v>2148</v>
      </c>
      <c r="V136" s="162" t="s">
        <v>2541</v>
      </c>
      <c r="W136" s="162" t="s">
        <v>4916</v>
      </c>
      <c r="X136" s="162" t="s">
        <v>4864</v>
      </c>
      <c r="Y136" s="162" t="s">
        <v>2603</v>
      </c>
      <c r="Z136" s="162" t="s">
        <v>2604</v>
      </c>
      <c r="AA136" s="162" t="s">
        <v>4864</v>
      </c>
      <c r="AB136" s="162" t="s">
        <v>4929</v>
      </c>
      <c r="AC136" s="162" t="s">
        <v>2123</v>
      </c>
      <c r="AD136" s="162" t="s">
        <v>2124</v>
      </c>
      <c r="AE136" s="162" t="s">
        <v>1758</v>
      </c>
      <c r="AF136" s="162">
        <v>8.4</v>
      </c>
      <c r="AG136" s="162">
        <v>105</v>
      </c>
      <c r="AH136" s="162">
        <v>18</v>
      </c>
      <c r="AI136" s="162" t="s">
        <v>34</v>
      </c>
      <c r="AJ136" s="162" t="s">
        <v>34</v>
      </c>
      <c r="AK136" s="162" t="s">
        <v>2125</v>
      </c>
      <c r="AL136" s="162" t="s">
        <v>3725</v>
      </c>
      <c r="AM136" t="s">
        <v>4810</v>
      </c>
      <c r="AN136" s="478">
        <v>1.4583333333333332E-2</v>
      </c>
      <c r="AO136" s="478">
        <v>2.1527777777777781E-2</v>
      </c>
    </row>
    <row r="137" spans="1:41" x14ac:dyDescent="0.2">
      <c r="A137">
        <v>136</v>
      </c>
      <c r="B137" s="462" t="s">
        <v>1106</v>
      </c>
      <c r="C137" s="162" t="s">
        <v>4510</v>
      </c>
      <c r="D137" s="162" t="s">
        <v>4511</v>
      </c>
      <c r="E137" s="162" t="s">
        <v>2036</v>
      </c>
      <c r="F137" s="162" t="s">
        <v>2037</v>
      </c>
      <c r="G137" s="162" t="s">
        <v>34</v>
      </c>
      <c r="H137" s="162" t="s">
        <v>2128</v>
      </c>
      <c r="I137" s="162" t="s">
        <v>5651</v>
      </c>
      <c r="J137" s="162" t="s">
        <v>2396</v>
      </c>
      <c r="K137" s="162" t="s">
        <v>2190</v>
      </c>
      <c r="L137" s="162" t="s">
        <v>2609</v>
      </c>
      <c r="M137" s="162">
        <v>207049</v>
      </c>
      <c r="N137" s="162" t="s">
        <v>2610</v>
      </c>
      <c r="O137" s="162" t="s">
        <v>5674</v>
      </c>
      <c r="P137" s="162" t="s">
        <v>4361</v>
      </c>
      <c r="Q137" s="162" t="s">
        <v>4872</v>
      </c>
      <c r="R137" s="162" t="s">
        <v>2121</v>
      </c>
      <c r="S137" s="162" t="s">
        <v>2612</v>
      </c>
      <c r="T137" s="162">
        <v>156</v>
      </c>
      <c r="U137" s="162" t="s">
        <v>2148</v>
      </c>
      <c r="V137" s="162" t="s">
        <v>2613</v>
      </c>
      <c r="W137" s="162">
        <v>7083003</v>
      </c>
      <c r="X137" s="162" t="s">
        <v>4864</v>
      </c>
      <c r="Y137" s="162" t="s">
        <v>4584</v>
      </c>
      <c r="Z137" s="162" t="s">
        <v>4585</v>
      </c>
      <c r="AA137" s="162" t="s">
        <v>4864</v>
      </c>
      <c r="AB137" s="162" t="s">
        <v>2614</v>
      </c>
      <c r="AC137" s="162" t="s">
        <v>2123</v>
      </c>
      <c r="AD137" s="162" t="s">
        <v>2124</v>
      </c>
      <c r="AE137" s="162" t="s">
        <v>1758</v>
      </c>
      <c r="AF137" s="162" t="s">
        <v>3865</v>
      </c>
      <c r="AG137" s="162" t="s">
        <v>3866</v>
      </c>
      <c r="AH137" s="162" t="s">
        <v>3913</v>
      </c>
      <c r="AI137" s="162" t="s">
        <v>4323</v>
      </c>
      <c r="AJ137" s="162" t="s">
        <v>34</v>
      </c>
      <c r="AK137" s="162" t="s">
        <v>2125</v>
      </c>
      <c r="AL137" s="162" t="s">
        <v>3725</v>
      </c>
      <c r="AM137" t="s">
        <v>4803</v>
      </c>
      <c r="AN137" s="478">
        <v>0</v>
      </c>
      <c r="AO137" s="478">
        <v>0</v>
      </c>
    </row>
    <row r="138" spans="1:41" x14ac:dyDescent="0.2">
      <c r="A138">
        <v>137</v>
      </c>
      <c r="B138" s="462" t="s">
        <v>1106</v>
      </c>
      <c r="C138" s="162" t="s">
        <v>4512</v>
      </c>
      <c r="D138" s="162" t="s">
        <v>4513</v>
      </c>
      <c r="E138" s="162" t="s">
        <v>2036</v>
      </c>
      <c r="F138" s="162" t="s">
        <v>2037</v>
      </c>
      <c r="G138" s="162" t="s">
        <v>34</v>
      </c>
      <c r="H138" s="162" t="s">
        <v>2128</v>
      </c>
      <c r="I138" s="162" t="s">
        <v>5651</v>
      </c>
      <c r="J138" s="162" t="s">
        <v>2396</v>
      </c>
      <c r="K138" s="162" t="s">
        <v>2190</v>
      </c>
      <c r="L138" s="162" t="s">
        <v>2609</v>
      </c>
      <c r="M138" s="162">
        <v>207049</v>
      </c>
      <c r="N138" s="162" t="s">
        <v>2610</v>
      </c>
      <c r="O138" s="162" t="s">
        <v>5674</v>
      </c>
      <c r="P138" s="162" t="s">
        <v>4361</v>
      </c>
      <c r="Q138" s="162" t="s">
        <v>4872</v>
      </c>
      <c r="R138" s="162" t="s">
        <v>2121</v>
      </c>
      <c r="S138" s="162" t="s">
        <v>2612</v>
      </c>
      <c r="T138" s="162">
        <v>156</v>
      </c>
      <c r="U138" s="162" t="s">
        <v>2150</v>
      </c>
      <c r="V138" s="162" t="s">
        <v>2613</v>
      </c>
      <c r="W138" s="162">
        <v>7083003</v>
      </c>
      <c r="X138" s="162" t="s">
        <v>4864</v>
      </c>
      <c r="Y138" s="162" t="s">
        <v>4586</v>
      </c>
      <c r="Z138" s="162" t="s">
        <v>4585</v>
      </c>
      <c r="AA138" s="162" t="s">
        <v>4864</v>
      </c>
      <c r="AB138" s="162" t="s">
        <v>2614</v>
      </c>
      <c r="AC138" s="162" t="s">
        <v>2123</v>
      </c>
      <c r="AD138" s="162" t="s">
        <v>2124</v>
      </c>
      <c r="AE138" s="162" t="s">
        <v>1758</v>
      </c>
      <c r="AF138" s="162" t="s">
        <v>3865</v>
      </c>
      <c r="AG138" s="162" t="s">
        <v>3866</v>
      </c>
      <c r="AH138" s="162" t="s">
        <v>3913</v>
      </c>
      <c r="AI138" s="162" t="s">
        <v>4323</v>
      </c>
      <c r="AJ138" s="162" t="s">
        <v>34</v>
      </c>
      <c r="AK138" s="162" t="s">
        <v>2125</v>
      </c>
      <c r="AL138" s="162" t="s">
        <v>3725</v>
      </c>
      <c r="AM138" t="s">
        <v>4803</v>
      </c>
      <c r="AN138" s="478">
        <v>0</v>
      </c>
      <c r="AO138" s="478">
        <v>0</v>
      </c>
    </row>
    <row r="139" spans="1:41" x14ac:dyDescent="0.2">
      <c r="A139">
        <v>138</v>
      </c>
      <c r="B139" s="462" t="s">
        <v>1106</v>
      </c>
      <c r="C139" s="162" t="s">
        <v>4654</v>
      </c>
      <c r="D139" s="162" t="s">
        <v>4655</v>
      </c>
      <c r="E139" s="162" t="s">
        <v>2036</v>
      </c>
      <c r="F139" s="162" t="s">
        <v>2037</v>
      </c>
      <c r="G139" s="162" t="s">
        <v>34</v>
      </c>
      <c r="H139" s="162" t="s">
        <v>2128</v>
      </c>
      <c r="I139" s="162" t="s">
        <v>5651</v>
      </c>
      <c r="J139" s="162" t="s">
        <v>2396</v>
      </c>
      <c r="K139" s="162" t="s">
        <v>2190</v>
      </c>
      <c r="L139" s="162" t="s">
        <v>2609</v>
      </c>
      <c r="M139" s="162">
        <v>207049</v>
      </c>
      <c r="N139" s="162" t="s">
        <v>2610</v>
      </c>
      <c r="O139" s="162" t="s">
        <v>5674</v>
      </c>
      <c r="P139" s="162" t="s">
        <v>4361</v>
      </c>
      <c r="Q139" s="162" t="s">
        <v>4872</v>
      </c>
      <c r="R139" s="162" t="s">
        <v>2121</v>
      </c>
      <c r="S139" s="162" t="s">
        <v>2612</v>
      </c>
      <c r="T139" s="162">
        <v>156</v>
      </c>
      <c r="U139" s="162" t="s">
        <v>2151</v>
      </c>
      <c r="V139" s="162" t="s">
        <v>2613</v>
      </c>
      <c r="W139" s="162">
        <v>7083003</v>
      </c>
      <c r="X139" s="162" t="s">
        <v>4864</v>
      </c>
      <c r="Y139" s="162" t="s">
        <v>4586</v>
      </c>
      <c r="Z139" s="162" t="s">
        <v>4585</v>
      </c>
      <c r="AA139" s="162" t="s">
        <v>4864</v>
      </c>
      <c r="AB139" s="162" t="s">
        <v>2614</v>
      </c>
      <c r="AC139" s="162" t="s">
        <v>2123</v>
      </c>
      <c r="AD139" s="162" t="s">
        <v>2124</v>
      </c>
      <c r="AE139" s="162" t="s">
        <v>1758</v>
      </c>
      <c r="AF139" s="162" t="s">
        <v>3865</v>
      </c>
      <c r="AG139" s="162" t="s">
        <v>3866</v>
      </c>
      <c r="AH139" s="162" t="s">
        <v>3913</v>
      </c>
      <c r="AI139" s="162" t="s">
        <v>4323</v>
      </c>
      <c r="AJ139" s="162" t="s">
        <v>34</v>
      </c>
      <c r="AK139" s="162" t="s">
        <v>2125</v>
      </c>
      <c r="AL139" s="162" t="s">
        <v>3725</v>
      </c>
      <c r="AM139" t="s">
        <v>4803</v>
      </c>
      <c r="AN139" s="478">
        <v>0</v>
      </c>
      <c r="AO139" s="478">
        <v>0</v>
      </c>
    </row>
    <row r="140" spans="1:41" x14ac:dyDescent="0.2">
      <c r="A140">
        <v>139</v>
      </c>
      <c r="B140" s="462" t="s">
        <v>1106</v>
      </c>
      <c r="C140" s="162" t="s">
        <v>3769</v>
      </c>
      <c r="D140" s="162" t="s">
        <v>4321</v>
      </c>
      <c r="E140" s="162" t="s">
        <v>2036</v>
      </c>
      <c r="F140" s="162" t="s">
        <v>2037</v>
      </c>
      <c r="G140" s="162" t="s">
        <v>34</v>
      </c>
      <c r="H140" s="162" t="s">
        <v>2128</v>
      </c>
      <c r="I140" s="162" t="s">
        <v>5651</v>
      </c>
      <c r="J140" s="162" t="s">
        <v>2396</v>
      </c>
      <c r="K140" s="162" t="s">
        <v>2615</v>
      </c>
      <c r="L140" s="162" t="s">
        <v>2616</v>
      </c>
      <c r="M140" s="162" t="s">
        <v>2617</v>
      </c>
      <c r="N140" s="162" t="s">
        <v>3769</v>
      </c>
      <c r="O140" s="162" t="s">
        <v>5658</v>
      </c>
      <c r="P140" s="162" t="s">
        <v>4782</v>
      </c>
      <c r="Q140" s="162" t="s">
        <v>4861</v>
      </c>
      <c r="R140" s="162" t="s">
        <v>2121</v>
      </c>
      <c r="S140" s="162" t="s">
        <v>4783</v>
      </c>
      <c r="T140" s="162">
        <v>105.59</v>
      </c>
      <c r="U140" s="162" t="s">
        <v>2150</v>
      </c>
      <c r="V140" s="162" t="s">
        <v>2618</v>
      </c>
      <c r="W140" s="162" t="s">
        <v>2619</v>
      </c>
      <c r="X140" s="162" t="s">
        <v>4864</v>
      </c>
      <c r="Y140" s="162" t="s">
        <v>2618</v>
      </c>
      <c r="Z140" s="162" t="s">
        <v>2619</v>
      </c>
      <c r="AA140" s="162" t="s">
        <v>4864</v>
      </c>
      <c r="AB140" s="162" t="s">
        <v>5703</v>
      </c>
      <c r="AC140" s="162" t="s">
        <v>2123</v>
      </c>
      <c r="AD140" s="162" t="s">
        <v>2124</v>
      </c>
      <c r="AE140" s="162" t="s">
        <v>1758</v>
      </c>
      <c r="AF140" s="162">
        <v>1.6</v>
      </c>
      <c r="AG140" s="162" t="s">
        <v>4784</v>
      </c>
      <c r="AH140" s="162" t="s">
        <v>4785</v>
      </c>
      <c r="AI140" s="162" t="s">
        <v>4786</v>
      </c>
      <c r="AJ140" s="162" t="s">
        <v>34</v>
      </c>
      <c r="AK140" s="162" t="s">
        <v>2125</v>
      </c>
      <c r="AL140" s="162" t="s">
        <v>3725</v>
      </c>
      <c r="AM140" t="s">
        <v>4810</v>
      </c>
      <c r="AN140" s="478">
        <v>0</v>
      </c>
      <c r="AO140" s="478">
        <v>0</v>
      </c>
    </row>
    <row r="141" spans="1:41" x14ac:dyDescent="0.2">
      <c r="A141">
        <v>140</v>
      </c>
      <c r="B141" s="462" t="s">
        <v>1122</v>
      </c>
      <c r="C141" s="162" t="s">
        <v>2687</v>
      </c>
      <c r="D141" s="162" t="s">
        <v>4656</v>
      </c>
      <c r="E141" s="162" t="s">
        <v>2039</v>
      </c>
      <c r="F141" s="162" t="s">
        <v>2040</v>
      </c>
      <c r="G141" s="162" t="s">
        <v>34</v>
      </c>
      <c r="H141" s="162" t="s">
        <v>2128</v>
      </c>
      <c r="I141" s="162" t="s">
        <v>5651</v>
      </c>
      <c r="J141" s="162" t="s">
        <v>2396</v>
      </c>
      <c r="K141" s="162" t="s">
        <v>1134</v>
      </c>
      <c r="L141" s="162" t="s">
        <v>2686</v>
      </c>
      <c r="M141" s="162" t="s">
        <v>2687</v>
      </c>
      <c r="N141" s="162" t="s">
        <v>1134</v>
      </c>
      <c r="O141" s="162" t="s">
        <v>5675</v>
      </c>
      <c r="P141" s="162" t="s">
        <v>2681</v>
      </c>
      <c r="Q141" s="162" t="s">
        <v>4861</v>
      </c>
      <c r="R141" s="162" t="s">
        <v>2121</v>
      </c>
      <c r="S141" s="162" t="s">
        <v>2688</v>
      </c>
      <c r="T141" s="162">
        <v>80</v>
      </c>
      <c r="U141" s="162" t="s">
        <v>2150</v>
      </c>
      <c r="V141" s="162" t="s">
        <v>2689</v>
      </c>
      <c r="W141" s="162" t="s">
        <v>2690</v>
      </c>
      <c r="X141" s="162" t="s">
        <v>4978</v>
      </c>
      <c r="Y141" s="162" t="s">
        <v>4586</v>
      </c>
      <c r="Z141" s="162" t="s">
        <v>4585</v>
      </c>
      <c r="AA141" s="162" t="s">
        <v>4978</v>
      </c>
      <c r="AB141" s="162" t="s">
        <v>34</v>
      </c>
      <c r="AC141" s="162" t="s">
        <v>2123</v>
      </c>
      <c r="AD141" s="162" t="s">
        <v>2124</v>
      </c>
      <c r="AE141" s="162" t="s">
        <v>1758</v>
      </c>
      <c r="AF141" s="162" t="s">
        <v>3869</v>
      </c>
      <c r="AG141" s="162" t="s">
        <v>3870</v>
      </c>
      <c r="AH141" s="162" t="s">
        <v>3870</v>
      </c>
      <c r="AI141" s="162" t="s">
        <v>3918</v>
      </c>
      <c r="AJ141" s="162" t="s">
        <v>34</v>
      </c>
      <c r="AK141" s="162" t="s">
        <v>2125</v>
      </c>
      <c r="AL141" s="162" t="s">
        <v>34</v>
      </c>
      <c r="AM141" t="s">
        <v>4806</v>
      </c>
      <c r="AN141" s="478">
        <v>0</v>
      </c>
      <c r="AO141" s="478">
        <v>0</v>
      </c>
    </row>
    <row r="142" spans="1:41" x14ac:dyDescent="0.2">
      <c r="A142">
        <v>141</v>
      </c>
      <c r="B142" s="462" t="s">
        <v>1122</v>
      </c>
      <c r="C142" s="162" t="s">
        <v>1130</v>
      </c>
      <c r="D142" s="162" t="s">
        <v>4351</v>
      </c>
      <c r="E142" s="162" t="s">
        <v>2039</v>
      </c>
      <c r="F142" s="162" t="s">
        <v>2040</v>
      </c>
      <c r="G142" s="162" t="s">
        <v>34</v>
      </c>
      <c r="H142" s="162" t="s">
        <v>2128</v>
      </c>
      <c r="I142" s="162" t="s">
        <v>5651</v>
      </c>
      <c r="J142" s="162" t="s">
        <v>1764</v>
      </c>
      <c r="K142" s="162" t="s">
        <v>2656</v>
      </c>
      <c r="L142" s="162" t="s">
        <v>4352</v>
      </c>
      <c r="M142" s="162">
        <v>145627</v>
      </c>
      <c r="N142" s="162" t="s">
        <v>1130</v>
      </c>
      <c r="O142" s="162" t="s">
        <v>904</v>
      </c>
      <c r="P142" s="162" t="s">
        <v>2719</v>
      </c>
      <c r="Q142" s="162" t="s">
        <v>2126</v>
      </c>
      <c r="R142" s="162" t="s">
        <v>2121</v>
      </c>
      <c r="S142" s="162" t="s">
        <v>2662</v>
      </c>
      <c r="T142" s="162" t="s">
        <v>109</v>
      </c>
      <c r="U142" s="162" t="s">
        <v>2151</v>
      </c>
      <c r="V142" s="162" t="s">
        <v>2663</v>
      </c>
      <c r="W142" s="162" t="s">
        <v>2664</v>
      </c>
      <c r="X142" s="162" t="s">
        <v>2665</v>
      </c>
      <c r="Y142" s="162" t="s">
        <v>109</v>
      </c>
      <c r="Z142" s="162" t="s">
        <v>109</v>
      </c>
      <c r="AA142" s="162" t="s">
        <v>109</v>
      </c>
      <c r="AB142" s="162" t="s">
        <v>34</v>
      </c>
      <c r="AC142" s="162" t="s">
        <v>2123</v>
      </c>
      <c r="AD142" s="162" t="s">
        <v>2124</v>
      </c>
      <c r="AE142" s="162" t="s">
        <v>1758</v>
      </c>
      <c r="AF142" s="162" t="s">
        <v>3347</v>
      </c>
      <c r="AG142" s="162" t="s">
        <v>34</v>
      </c>
      <c r="AH142" s="162" t="s">
        <v>34</v>
      </c>
      <c r="AI142" s="162" t="s">
        <v>34</v>
      </c>
      <c r="AJ142" s="162" t="s">
        <v>34</v>
      </c>
      <c r="AK142" s="162" t="s">
        <v>2125</v>
      </c>
      <c r="AL142" s="162" t="s">
        <v>34</v>
      </c>
      <c r="AM142" t="s">
        <v>4803</v>
      </c>
      <c r="AN142" s="478">
        <v>0</v>
      </c>
      <c r="AO142" s="478">
        <v>0</v>
      </c>
    </row>
    <row r="143" spans="1:41" x14ac:dyDescent="0.2">
      <c r="A143">
        <v>142</v>
      </c>
      <c r="B143" s="462" t="s">
        <v>1122</v>
      </c>
      <c r="C143" s="162" t="s">
        <v>1128</v>
      </c>
      <c r="D143" s="162" t="s">
        <v>4069</v>
      </c>
      <c r="E143" s="162" t="s">
        <v>2039</v>
      </c>
      <c r="F143" s="162" t="s">
        <v>2040</v>
      </c>
      <c r="G143" s="162" t="s">
        <v>34</v>
      </c>
      <c r="H143" s="162" t="s">
        <v>2128</v>
      </c>
      <c r="I143" s="162" t="s">
        <v>5651</v>
      </c>
      <c r="J143" s="162" t="s">
        <v>1764</v>
      </c>
      <c r="K143" s="162" t="s">
        <v>2656</v>
      </c>
      <c r="L143" s="162" t="s">
        <v>2657</v>
      </c>
      <c r="M143" s="162">
        <v>31191</v>
      </c>
      <c r="N143" s="162" t="s">
        <v>1128</v>
      </c>
      <c r="O143" s="162" t="s">
        <v>904</v>
      </c>
      <c r="P143" s="162" t="s">
        <v>2659</v>
      </c>
      <c r="Q143" s="162" t="s">
        <v>2126</v>
      </c>
      <c r="R143" s="162" t="s">
        <v>2121</v>
      </c>
      <c r="S143" s="162" t="s">
        <v>2662</v>
      </c>
      <c r="T143" s="162" t="s">
        <v>109</v>
      </c>
      <c r="U143" s="162" t="s">
        <v>2151</v>
      </c>
      <c r="V143" s="162" t="s">
        <v>2663</v>
      </c>
      <c r="W143" s="162" t="s">
        <v>2664</v>
      </c>
      <c r="X143" s="162" t="s">
        <v>2665</v>
      </c>
      <c r="Y143" s="162" t="s">
        <v>109</v>
      </c>
      <c r="Z143" s="162" t="s">
        <v>109</v>
      </c>
      <c r="AA143" s="162" t="s">
        <v>109</v>
      </c>
      <c r="AB143" s="162" t="s">
        <v>34</v>
      </c>
      <c r="AC143" s="162" t="s">
        <v>2123</v>
      </c>
      <c r="AD143" s="162" t="s">
        <v>2124</v>
      </c>
      <c r="AE143" s="162" t="s">
        <v>1758</v>
      </c>
      <c r="AF143" s="162" t="s">
        <v>3347</v>
      </c>
      <c r="AG143" s="162" t="s">
        <v>34</v>
      </c>
      <c r="AH143" s="162" t="s">
        <v>34</v>
      </c>
      <c r="AI143" s="162" t="s">
        <v>34</v>
      </c>
      <c r="AJ143" s="162" t="s">
        <v>34</v>
      </c>
      <c r="AK143" s="162" t="s">
        <v>2125</v>
      </c>
      <c r="AL143" s="162" t="s">
        <v>34</v>
      </c>
      <c r="AM143" t="s">
        <v>4803</v>
      </c>
      <c r="AN143" s="478">
        <v>0</v>
      </c>
      <c r="AO143" s="478">
        <v>0</v>
      </c>
    </row>
    <row r="144" spans="1:41" x14ac:dyDescent="0.2">
      <c r="A144">
        <v>143</v>
      </c>
      <c r="B144" s="462" t="s">
        <v>1122</v>
      </c>
      <c r="C144" s="162" t="s">
        <v>1126</v>
      </c>
      <c r="D144" s="162" t="s">
        <v>4070</v>
      </c>
      <c r="E144" s="162" t="s">
        <v>2039</v>
      </c>
      <c r="F144" s="162" t="s">
        <v>2040</v>
      </c>
      <c r="G144" s="162" t="s">
        <v>34</v>
      </c>
      <c r="H144" s="162" t="s">
        <v>2128</v>
      </c>
      <c r="I144" s="162" t="s">
        <v>5651</v>
      </c>
      <c r="J144" s="162" t="s">
        <v>1764</v>
      </c>
      <c r="K144" s="162" t="s">
        <v>2656</v>
      </c>
      <c r="L144" s="162" t="s">
        <v>2657</v>
      </c>
      <c r="M144" s="162" t="s">
        <v>2658</v>
      </c>
      <c r="N144" s="162" t="s">
        <v>1126</v>
      </c>
      <c r="O144" s="162" t="s">
        <v>904</v>
      </c>
      <c r="P144" s="162" t="s">
        <v>2659</v>
      </c>
      <c r="Q144" s="162" t="s">
        <v>2126</v>
      </c>
      <c r="R144" s="162" t="s">
        <v>2121</v>
      </c>
      <c r="S144" s="162" t="s">
        <v>2660</v>
      </c>
      <c r="T144" s="162" t="s">
        <v>109</v>
      </c>
      <c r="U144" s="162" t="s">
        <v>2151</v>
      </c>
      <c r="V144" s="162" t="s">
        <v>2661</v>
      </c>
      <c r="W144" s="162" t="s">
        <v>1124</v>
      </c>
      <c r="X144" s="162" t="s">
        <v>2201</v>
      </c>
      <c r="Y144" s="162" t="s">
        <v>109</v>
      </c>
      <c r="Z144" s="162" t="s">
        <v>109</v>
      </c>
      <c r="AA144" s="162" t="s">
        <v>109</v>
      </c>
      <c r="AB144" s="162" t="s">
        <v>34</v>
      </c>
      <c r="AC144" s="162" t="s">
        <v>2123</v>
      </c>
      <c r="AD144" s="162" t="s">
        <v>2124</v>
      </c>
      <c r="AE144" s="162" t="s">
        <v>1758</v>
      </c>
      <c r="AF144" s="162" t="s">
        <v>3347</v>
      </c>
      <c r="AG144" s="162" t="s">
        <v>34</v>
      </c>
      <c r="AH144" s="162" t="s">
        <v>34</v>
      </c>
      <c r="AI144" s="162" t="s">
        <v>34</v>
      </c>
      <c r="AJ144" s="162" t="s">
        <v>34</v>
      </c>
      <c r="AK144" s="162" t="s">
        <v>2125</v>
      </c>
      <c r="AL144" s="162" t="s">
        <v>34</v>
      </c>
      <c r="AM144" t="s">
        <v>4803</v>
      </c>
      <c r="AN144" s="478">
        <v>0</v>
      </c>
      <c r="AO144" s="478">
        <v>0</v>
      </c>
    </row>
    <row r="145" spans="1:41" x14ac:dyDescent="0.2">
      <c r="A145">
        <v>144</v>
      </c>
      <c r="B145" s="462" t="s">
        <v>1122</v>
      </c>
      <c r="C145" s="162" t="s">
        <v>1144</v>
      </c>
      <c r="D145" s="162" t="s">
        <v>4071</v>
      </c>
      <c r="E145" s="162" t="s">
        <v>2039</v>
      </c>
      <c r="F145" s="162" t="s">
        <v>2040</v>
      </c>
      <c r="G145" s="162" t="s">
        <v>34</v>
      </c>
      <c r="H145" s="162" t="s">
        <v>2128</v>
      </c>
      <c r="I145" s="162" t="s">
        <v>5651</v>
      </c>
      <c r="J145" s="162" t="s">
        <v>2396</v>
      </c>
      <c r="K145" s="162" t="s">
        <v>1120</v>
      </c>
      <c r="L145" s="162" t="s">
        <v>2672</v>
      </c>
      <c r="M145" s="162" t="s">
        <v>1144</v>
      </c>
      <c r="N145" s="162" t="s">
        <v>1144</v>
      </c>
      <c r="O145" s="162" t="s">
        <v>904</v>
      </c>
      <c r="P145" s="162" t="s">
        <v>2189</v>
      </c>
      <c r="Q145" s="162" t="s">
        <v>4876</v>
      </c>
      <c r="R145" s="162" t="s">
        <v>2286</v>
      </c>
      <c r="S145" s="162" t="s">
        <v>2673</v>
      </c>
      <c r="T145" s="162">
        <v>450</v>
      </c>
      <c r="U145" s="162" t="s">
        <v>2151</v>
      </c>
      <c r="V145" s="162" t="s">
        <v>2674</v>
      </c>
      <c r="W145" s="162" t="s">
        <v>1144</v>
      </c>
      <c r="X145" s="162" t="s">
        <v>4864</v>
      </c>
      <c r="Y145" s="162" t="s">
        <v>109</v>
      </c>
      <c r="Z145" s="162" t="s">
        <v>109</v>
      </c>
      <c r="AA145" s="162" t="s">
        <v>109</v>
      </c>
      <c r="AB145" s="162" t="s">
        <v>2675</v>
      </c>
      <c r="AC145" s="162" t="s">
        <v>2123</v>
      </c>
      <c r="AD145" s="162" t="s">
        <v>2124</v>
      </c>
      <c r="AE145" s="162" t="s">
        <v>1758</v>
      </c>
      <c r="AF145" s="162">
        <v>78</v>
      </c>
      <c r="AG145" s="162">
        <v>66</v>
      </c>
      <c r="AH145" s="162">
        <v>11</v>
      </c>
      <c r="AI145" s="162" t="s">
        <v>34</v>
      </c>
      <c r="AJ145" s="162" t="s">
        <v>34</v>
      </c>
      <c r="AK145" s="162" t="s">
        <v>2125</v>
      </c>
      <c r="AL145" s="162" t="s">
        <v>34</v>
      </c>
      <c r="AM145" t="s">
        <v>4803</v>
      </c>
      <c r="AN145" s="478">
        <v>0</v>
      </c>
      <c r="AO145" s="478">
        <v>0</v>
      </c>
    </row>
    <row r="146" spans="1:41" x14ac:dyDescent="0.2">
      <c r="A146">
        <v>145</v>
      </c>
      <c r="B146" s="462" t="s">
        <v>1122</v>
      </c>
      <c r="C146" s="162" t="s">
        <v>1142</v>
      </c>
      <c r="D146" s="162" t="s">
        <v>4072</v>
      </c>
      <c r="E146" s="162" t="s">
        <v>2039</v>
      </c>
      <c r="F146" s="162" t="s">
        <v>2040</v>
      </c>
      <c r="G146" s="162" t="s">
        <v>34</v>
      </c>
      <c r="H146" s="162" t="s">
        <v>2128</v>
      </c>
      <c r="I146" s="162" t="s">
        <v>5651</v>
      </c>
      <c r="J146" s="162" t="s">
        <v>2396</v>
      </c>
      <c r="K146" s="162" t="s">
        <v>1120</v>
      </c>
      <c r="L146" s="162" t="s">
        <v>2676</v>
      </c>
      <c r="M146" s="162">
        <v>2605</v>
      </c>
      <c r="N146" s="162" t="s">
        <v>1142</v>
      </c>
      <c r="O146" s="162" t="s">
        <v>5656</v>
      </c>
      <c r="P146" s="162" t="s">
        <v>2677</v>
      </c>
      <c r="Q146" s="162" t="s">
        <v>4863</v>
      </c>
      <c r="R146" s="162" t="s">
        <v>2286</v>
      </c>
      <c r="S146" s="162" t="s">
        <v>2678</v>
      </c>
      <c r="T146" s="162">
        <v>693</v>
      </c>
      <c r="U146" s="162" t="s">
        <v>2148</v>
      </c>
      <c r="V146" s="162" t="s">
        <v>4827</v>
      </c>
      <c r="W146" s="162">
        <v>547274</v>
      </c>
      <c r="X146" s="162" t="s">
        <v>4864</v>
      </c>
      <c r="Y146" s="162" t="s">
        <v>5123</v>
      </c>
      <c r="Z146" s="162" t="s">
        <v>5124</v>
      </c>
      <c r="AA146" s="162" t="s">
        <v>4864</v>
      </c>
      <c r="AB146" s="162" t="s">
        <v>2679</v>
      </c>
      <c r="AC146" s="162" t="s">
        <v>2123</v>
      </c>
      <c r="AD146" s="162" t="s">
        <v>2124</v>
      </c>
      <c r="AE146" s="162" t="s">
        <v>1758</v>
      </c>
      <c r="AF146" s="162">
        <v>26</v>
      </c>
      <c r="AG146" s="162">
        <v>152</v>
      </c>
      <c r="AH146" s="162">
        <v>25</v>
      </c>
      <c r="AI146" s="162" t="s">
        <v>34</v>
      </c>
      <c r="AJ146" s="162" t="s">
        <v>34</v>
      </c>
      <c r="AK146" s="162" t="s">
        <v>2125</v>
      </c>
      <c r="AL146" s="162" t="s">
        <v>34</v>
      </c>
      <c r="AM146" t="s">
        <v>4805</v>
      </c>
      <c r="AN146" s="478">
        <v>0</v>
      </c>
      <c r="AO146" s="478">
        <v>0</v>
      </c>
    </row>
    <row r="147" spans="1:41" x14ac:dyDescent="0.2">
      <c r="A147">
        <v>146</v>
      </c>
      <c r="B147" s="462" t="s">
        <v>1122</v>
      </c>
      <c r="C147" s="162" t="s">
        <v>1124</v>
      </c>
      <c r="D147" s="162" t="s">
        <v>4073</v>
      </c>
      <c r="E147" s="162" t="s">
        <v>2039</v>
      </c>
      <c r="F147" s="162" t="s">
        <v>2040</v>
      </c>
      <c r="G147" s="162" t="s">
        <v>34</v>
      </c>
      <c r="H147" s="162" t="s">
        <v>2128</v>
      </c>
      <c r="I147" s="162" t="s">
        <v>5651</v>
      </c>
      <c r="J147" s="162" t="s">
        <v>1764</v>
      </c>
      <c r="K147" s="162" t="s">
        <v>2656</v>
      </c>
      <c r="L147" s="162" t="s">
        <v>2666</v>
      </c>
      <c r="M147" s="162">
        <v>159874</v>
      </c>
      <c r="N147" s="162" t="s">
        <v>1124</v>
      </c>
      <c r="O147" s="162" t="s">
        <v>904</v>
      </c>
      <c r="P147" s="162" t="s">
        <v>2667</v>
      </c>
      <c r="Q147" s="162" t="s">
        <v>2126</v>
      </c>
      <c r="R147" s="162" t="s">
        <v>2185</v>
      </c>
      <c r="S147" s="162" t="s">
        <v>2538</v>
      </c>
      <c r="T147" s="162" t="s">
        <v>109</v>
      </c>
      <c r="U147" s="162" t="s">
        <v>2151</v>
      </c>
      <c r="V147" s="162" t="s">
        <v>2668</v>
      </c>
      <c r="W147" s="162" t="s">
        <v>1138</v>
      </c>
      <c r="X147" s="162" t="s">
        <v>2201</v>
      </c>
      <c r="Y147" s="162" t="s">
        <v>109</v>
      </c>
      <c r="Z147" s="162" t="s">
        <v>109</v>
      </c>
      <c r="AA147" s="162" t="s">
        <v>109</v>
      </c>
      <c r="AB147" s="162" t="s">
        <v>34</v>
      </c>
      <c r="AC147" s="162" t="s">
        <v>2123</v>
      </c>
      <c r="AD147" s="162" t="s">
        <v>2124</v>
      </c>
      <c r="AE147" s="162" t="s">
        <v>1758</v>
      </c>
      <c r="AF147" s="162" t="s">
        <v>3347</v>
      </c>
      <c r="AG147" s="162" t="s">
        <v>34</v>
      </c>
      <c r="AH147" s="162" t="s">
        <v>34</v>
      </c>
      <c r="AI147" s="162" t="s">
        <v>34</v>
      </c>
      <c r="AJ147" s="162" t="s">
        <v>34</v>
      </c>
      <c r="AK147" s="162" t="s">
        <v>2125</v>
      </c>
      <c r="AL147" s="162" t="s">
        <v>34</v>
      </c>
      <c r="AM147" t="s">
        <v>4803</v>
      </c>
      <c r="AN147" s="478">
        <v>0</v>
      </c>
      <c r="AO147" s="478">
        <v>0</v>
      </c>
    </row>
    <row r="148" spans="1:41" x14ac:dyDescent="0.2">
      <c r="A148">
        <v>147</v>
      </c>
      <c r="B148" s="462" t="s">
        <v>1122</v>
      </c>
      <c r="C148" s="162" t="s">
        <v>1957</v>
      </c>
      <c r="D148" s="162" t="s">
        <v>4074</v>
      </c>
      <c r="E148" s="162" t="s">
        <v>2039</v>
      </c>
      <c r="F148" s="162" t="s">
        <v>2040</v>
      </c>
      <c r="G148" s="162" t="s">
        <v>34</v>
      </c>
      <c r="H148" s="162" t="s">
        <v>2128</v>
      </c>
      <c r="I148" s="162" t="s">
        <v>5167</v>
      </c>
      <c r="J148" s="162" t="s">
        <v>2396</v>
      </c>
      <c r="K148" s="162" t="s">
        <v>2702</v>
      </c>
      <c r="L148" s="162" t="s">
        <v>2703</v>
      </c>
      <c r="M148" s="162" t="s">
        <v>2703</v>
      </c>
      <c r="N148" s="162" t="s">
        <v>2702</v>
      </c>
      <c r="O148" s="162" t="s">
        <v>904</v>
      </c>
      <c r="P148" s="162" t="s">
        <v>5408</v>
      </c>
      <c r="Q148" s="162" t="s">
        <v>4876</v>
      </c>
      <c r="R148" s="162" t="s">
        <v>2121</v>
      </c>
      <c r="S148" s="162" t="s">
        <v>2469</v>
      </c>
      <c r="T148" s="162">
        <v>97.8</v>
      </c>
      <c r="U148" s="162" t="s">
        <v>2150</v>
      </c>
      <c r="V148" s="162" t="s">
        <v>2704</v>
      </c>
      <c r="W148" s="162" t="s">
        <v>109</v>
      </c>
      <c r="X148" s="162" t="s">
        <v>2204</v>
      </c>
      <c r="Y148" s="162" t="s">
        <v>109</v>
      </c>
      <c r="Z148" s="162" t="s">
        <v>109</v>
      </c>
      <c r="AA148" s="162" t="s">
        <v>109</v>
      </c>
      <c r="AB148" s="162" t="s">
        <v>4484</v>
      </c>
      <c r="AC148" s="162" t="s">
        <v>2123</v>
      </c>
      <c r="AD148" s="162" t="s">
        <v>2124</v>
      </c>
      <c r="AE148" s="162" t="s">
        <v>1758</v>
      </c>
      <c r="AF148" s="162" t="s">
        <v>3347</v>
      </c>
      <c r="AG148" s="162" t="s">
        <v>34</v>
      </c>
      <c r="AH148" s="162" t="s">
        <v>34</v>
      </c>
      <c r="AI148" s="162" t="s">
        <v>34</v>
      </c>
      <c r="AJ148" s="162" t="s">
        <v>34</v>
      </c>
      <c r="AK148" s="162" t="s">
        <v>2125</v>
      </c>
      <c r="AL148" s="162" t="s">
        <v>34</v>
      </c>
      <c r="AM148" t="s">
        <v>4803</v>
      </c>
      <c r="AN148" s="478">
        <v>0</v>
      </c>
      <c r="AO148" s="478">
        <v>0</v>
      </c>
    </row>
    <row r="149" spans="1:41" x14ac:dyDescent="0.2">
      <c r="A149">
        <v>148</v>
      </c>
      <c r="B149" s="462" t="s">
        <v>1122</v>
      </c>
      <c r="C149" s="162" t="s">
        <v>1136</v>
      </c>
      <c r="D149" s="162" t="s">
        <v>4075</v>
      </c>
      <c r="E149" s="162" t="s">
        <v>2039</v>
      </c>
      <c r="F149" s="162" t="s">
        <v>2040</v>
      </c>
      <c r="G149" s="162" t="s">
        <v>34</v>
      </c>
      <c r="H149" s="162" t="s">
        <v>2128</v>
      </c>
      <c r="I149" s="162" t="s">
        <v>5651</v>
      </c>
      <c r="J149" s="162" t="s">
        <v>2396</v>
      </c>
      <c r="K149" s="162" t="s">
        <v>1134</v>
      </c>
      <c r="L149" s="162" t="s">
        <v>2680</v>
      </c>
      <c r="M149" s="162">
        <v>609</v>
      </c>
      <c r="N149" s="162" t="s">
        <v>1136</v>
      </c>
      <c r="O149" s="162" t="s">
        <v>5675</v>
      </c>
      <c r="P149" s="162" t="s">
        <v>2681</v>
      </c>
      <c r="Q149" s="162" t="s">
        <v>4861</v>
      </c>
      <c r="R149" s="162" t="s">
        <v>2121</v>
      </c>
      <c r="S149" s="162" t="s">
        <v>2682</v>
      </c>
      <c r="T149" s="162">
        <v>98.6</v>
      </c>
      <c r="U149" s="162" t="s">
        <v>2150</v>
      </c>
      <c r="V149" s="162" t="s">
        <v>2683</v>
      </c>
      <c r="W149" s="162">
        <v>1796423</v>
      </c>
      <c r="X149" s="162" t="s">
        <v>4965</v>
      </c>
      <c r="Y149" s="162" t="s">
        <v>2684</v>
      </c>
      <c r="Z149" s="162" t="s">
        <v>2685</v>
      </c>
      <c r="AA149" s="162" t="s">
        <v>4965</v>
      </c>
      <c r="AB149" s="162" t="s">
        <v>34</v>
      </c>
      <c r="AC149" s="162" t="s">
        <v>2123</v>
      </c>
      <c r="AD149" s="162" t="s">
        <v>2124</v>
      </c>
      <c r="AE149" s="162" t="s">
        <v>1758</v>
      </c>
      <c r="AF149" s="162" t="s">
        <v>3867</v>
      </c>
      <c r="AG149" s="162" t="s">
        <v>3868</v>
      </c>
      <c r="AH149" s="162">
        <v>44106</v>
      </c>
      <c r="AI149" s="162" t="s">
        <v>34</v>
      </c>
      <c r="AJ149" s="162" t="s">
        <v>34</v>
      </c>
      <c r="AK149" s="162" t="s">
        <v>2125</v>
      </c>
      <c r="AL149" s="162" t="s">
        <v>34</v>
      </c>
      <c r="AM149" t="s">
        <v>4806</v>
      </c>
      <c r="AN149" s="478">
        <v>0</v>
      </c>
      <c r="AO149" s="478">
        <v>0</v>
      </c>
    </row>
    <row r="150" spans="1:41" x14ac:dyDescent="0.2">
      <c r="A150">
        <v>149</v>
      </c>
      <c r="B150" s="462" t="s">
        <v>1122</v>
      </c>
      <c r="C150" s="162" t="s">
        <v>4811</v>
      </c>
      <c r="D150" s="162" t="s">
        <v>4812</v>
      </c>
      <c r="E150" s="162" t="s">
        <v>2039</v>
      </c>
      <c r="F150" s="162" t="s">
        <v>2040</v>
      </c>
      <c r="G150" s="162" t="s">
        <v>34</v>
      </c>
      <c r="H150" s="162" t="s">
        <v>2128</v>
      </c>
      <c r="I150" s="162" t="s">
        <v>5651</v>
      </c>
      <c r="J150" s="162" t="s">
        <v>1764</v>
      </c>
      <c r="K150" s="162" t="s">
        <v>2656</v>
      </c>
      <c r="L150" s="162" t="s">
        <v>4813</v>
      </c>
      <c r="M150" s="162" t="s">
        <v>4814</v>
      </c>
      <c r="N150" s="162" t="s">
        <v>4811</v>
      </c>
      <c r="O150" s="162" t="s">
        <v>904</v>
      </c>
      <c r="P150" s="162" t="s">
        <v>2671</v>
      </c>
      <c r="Q150" s="162" t="s">
        <v>2126</v>
      </c>
      <c r="R150" s="162" t="s">
        <v>4673</v>
      </c>
      <c r="S150" s="162" t="s">
        <v>2662</v>
      </c>
      <c r="T150" s="162" t="s">
        <v>109</v>
      </c>
      <c r="U150" s="162" t="s">
        <v>2151</v>
      </c>
      <c r="V150" s="162" t="s">
        <v>4815</v>
      </c>
      <c r="W150" s="162" t="s">
        <v>2664</v>
      </c>
      <c r="X150" s="162" t="s">
        <v>2665</v>
      </c>
      <c r="Y150" s="162" t="s">
        <v>109</v>
      </c>
      <c r="Z150" s="162" t="s">
        <v>109</v>
      </c>
      <c r="AA150" s="162" t="s">
        <v>109</v>
      </c>
      <c r="AB150" s="162" t="s">
        <v>34</v>
      </c>
      <c r="AC150" s="162" t="s">
        <v>2123</v>
      </c>
      <c r="AD150" s="162" t="s">
        <v>2124</v>
      </c>
      <c r="AE150" s="162" t="s">
        <v>1758</v>
      </c>
      <c r="AF150" s="162" t="s">
        <v>3347</v>
      </c>
      <c r="AG150" s="162" t="s">
        <v>34</v>
      </c>
      <c r="AH150" s="162" t="s">
        <v>34</v>
      </c>
      <c r="AI150" s="162" t="s">
        <v>34</v>
      </c>
      <c r="AJ150" s="162" t="s">
        <v>34</v>
      </c>
      <c r="AK150" s="162" t="s">
        <v>2125</v>
      </c>
      <c r="AL150" s="162" t="s">
        <v>34</v>
      </c>
      <c r="AM150" t="s">
        <v>4803</v>
      </c>
      <c r="AN150" s="478">
        <v>0</v>
      </c>
      <c r="AO150" s="478">
        <v>0</v>
      </c>
    </row>
    <row r="151" spans="1:41" x14ac:dyDescent="0.2">
      <c r="A151">
        <v>150</v>
      </c>
      <c r="B151" s="462" t="s">
        <v>1122</v>
      </c>
      <c r="C151" s="162" t="s">
        <v>1138</v>
      </c>
      <c r="D151" s="162" t="s">
        <v>4076</v>
      </c>
      <c r="E151" s="162" t="s">
        <v>2039</v>
      </c>
      <c r="F151" s="162" t="s">
        <v>2040</v>
      </c>
      <c r="G151" s="162" t="s">
        <v>34</v>
      </c>
      <c r="H151" s="162" t="s">
        <v>2128</v>
      </c>
      <c r="I151" s="162" t="s">
        <v>5651</v>
      </c>
      <c r="J151" s="162" t="s">
        <v>1764</v>
      </c>
      <c r="K151" s="162" t="s">
        <v>2656</v>
      </c>
      <c r="L151" s="162" t="s">
        <v>2669</v>
      </c>
      <c r="M151" s="162" t="s">
        <v>2670</v>
      </c>
      <c r="N151" s="162" t="s">
        <v>1138</v>
      </c>
      <c r="O151" s="162" t="s">
        <v>904</v>
      </c>
      <c r="P151" s="162" t="s">
        <v>2671</v>
      </c>
      <c r="Q151" s="162" t="s">
        <v>2126</v>
      </c>
      <c r="R151" s="162" t="s">
        <v>2185</v>
      </c>
      <c r="S151" s="162" t="s">
        <v>5186</v>
      </c>
      <c r="T151" s="162" t="s">
        <v>109</v>
      </c>
      <c r="U151" s="162" t="s">
        <v>2151</v>
      </c>
      <c r="V151" s="162" t="s">
        <v>5187</v>
      </c>
      <c r="W151" s="162" t="s">
        <v>2664</v>
      </c>
      <c r="X151" s="162" t="s">
        <v>2665</v>
      </c>
      <c r="Y151" s="162" t="s">
        <v>109</v>
      </c>
      <c r="Z151" s="162" t="s">
        <v>109</v>
      </c>
      <c r="AA151" s="162" t="s">
        <v>109</v>
      </c>
      <c r="AB151" s="162" t="s">
        <v>34</v>
      </c>
      <c r="AC151" s="162" t="s">
        <v>2123</v>
      </c>
      <c r="AD151" s="162" t="s">
        <v>2124</v>
      </c>
      <c r="AE151" s="162" t="s">
        <v>1758</v>
      </c>
      <c r="AF151" s="162" t="s">
        <v>3347</v>
      </c>
      <c r="AG151" s="162" t="s">
        <v>34</v>
      </c>
      <c r="AH151" s="162" t="s">
        <v>34</v>
      </c>
      <c r="AI151" s="162" t="s">
        <v>34</v>
      </c>
      <c r="AJ151" s="162" t="s">
        <v>34</v>
      </c>
      <c r="AK151" s="162" t="s">
        <v>2125</v>
      </c>
      <c r="AL151" s="162" t="s">
        <v>34</v>
      </c>
      <c r="AM151" t="s">
        <v>4803</v>
      </c>
      <c r="AN151" s="478">
        <v>0</v>
      </c>
      <c r="AO151" s="478">
        <v>0</v>
      </c>
    </row>
    <row r="152" spans="1:41" x14ac:dyDescent="0.2">
      <c r="A152">
        <v>151</v>
      </c>
      <c r="B152" s="462" t="s">
        <v>1122</v>
      </c>
      <c r="C152" s="162" t="s">
        <v>1140</v>
      </c>
      <c r="D152" s="162" t="s">
        <v>4077</v>
      </c>
      <c r="E152" s="162" t="s">
        <v>2039</v>
      </c>
      <c r="F152" s="162" t="s">
        <v>2040</v>
      </c>
      <c r="G152" s="162" t="s">
        <v>34</v>
      </c>
      <c r="H152" s="162" t="s">
        <v>2128</v>
      </c>
      <c r="I152" s="162" t="s">
        <v>5651</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2123</v>
      </c>
      <c r="AD152" s="162" t="s">
        <v>2124</v>
      </c>
      <c r="AE152" s="162" t="s">
        <v>1758</v>
      </c>
      <c r="AF152" s="162">
        <v>6</v>
      </c>
      <c r="AG152" s="162">
        <v>1</v>
      </c>
      <c r="AH152" s="162">
        <v>8</v>
      </c>
      <c r="AI152" s="162" t="s">
        <v>34</v>
      </c>
      <c r="AJ152" s="162" t="s">
        <v>34</v>
      </c>
      <c r="AK152" s="162" t="s">
        <v>2125</v>
      </c>
      <c r="AL152" s="162" t="s">
        <v>34</v>
      </c>
      <c r="AM152" t="s">
        <v>4803</v>
      </c>
      <c r="AN152" s="478">
        <v>0</v>
      </c>
      <c r="AO152" s="478">
        <v>0</v>
      </c>
    </row>
    <row r="153" spans="1:41" x14ac:dyDescent="0.2">
      <c r="A153">
        <v>152</v>
      </c>
      <c r="B153" s="462" t="s">
        <v>1122</v>
      </c>
      <c r="C153" s="162" t="s">
        <v>5313</v>
      </c>
      <c r="D153" s="162" t="s">
        <v>5314</v>
      </c>
      <c r="E153" s="162" t="s">
        <v>2039</v>
      </c>
      <c r="F153" s="162" t="s">
        <v>2040</v>
      </c>
      <c r="G153" s="162" t="s">
        <v>34</v>
      </c>
      <c r="H153" s="162" t="s">
        <v>2128</v>
      </c>
      <c r="I153" s="162" t="s">
        <v>5651</v>
      </c>
      <c r="J153" s="162" t="s">
        <v>1764</v>
      </c>
      <c r="K153" s="162" t="s">
        <v>5315</v>
      </c>
      <c r="L153" s="162" t="s">
        <v>2255</v>
      </c>
      <c r="M153" s="162" t="s">
        <v>5316</v>
      </c>
      <c r="N153" s="162" t="s">
        <v>5313</v>
      </c>
      <c r="O153" s="162" t="s">
        <v>2399</v>
      </c>
      <c r="P153" s="162" t="s">
        <v>5317</v>
      </c>
      <c r="Q153" s="162" t="s">
        <v>4865</v>
      </c>
      <c r="R153" s="162" t="s">
        <v>2121</v>
      </c>
      <c r="S153" s="162" t="s">
        <v>5318</v>
      </c>
      <c r="T153" s="162">
        <v>176.5</v>
      </c>
      <c r="U153" s="162" t="s">
        <v>109</v>
      </c>
      <c r="V153" s="162" t="s">
        <v>5319</v>
      </c>
      <c r="W153" s="162">
        <v>479797</v>
      </c>
      <c r="X153" s="162" t="s">
        <v>4866</v>
      </c>
      <c r="Y153" s="162" t="s">
        <v>5320</v>
      </c>
      <c r="Z153" s="162" t="s">
        <v>5321</v>
      </c>
      <c r="AA153" s="162" t="s">
        <v>4866</v>
      </c>
      <c r="AB153" s="162" t="s">
        <v>5322</v>
      </c>
      <c r="AC153" s="162" t="s">
        <v>2123</v>
      </c>
      <c r="AD153" s="162" t="s">
        <v>2124</v>
      </c>
      <c r="AE153" s="162" t="s">
        <v>1758</v>
      </c>
      <c r="AF153" s="162" t="s">
        <v>3347</v>
      </c>
      <c r="AG153" s="162" t="s">
        <v>34</v>
      </c>
      <c r="AH153" s="162" t="s">
        <v>34</v>
      </c>
      <c r="AI153" s="162" t="s">
        <v>34</v>
      </c>
      <c r="AJ153" s="162" t="s">
        <v>34</v>
      </c>
      <c r="AK153" s="162" t="s">
        <v>2125</v>
      </c>
      <c r="AL153" s="162" t="s">
        <v>34</v>
      </c>
      <c r="AM153" t="s">
        <v>4803</v>
      </c>
      <c r="AN153" s="478"/>
      <c r="AO153" s="478"/>
    </row>
    <row r="154" spans="1:41" x14ac:dyDescent="0.2">
      <c r="A154">
        <v>153</v>
      </c>
      <c r="B154" s="462" t="s">
        <v>1122</v>
      </c>
      <c r="C154" s="162" t="s">
        <v>1771</v>
      </c>
      <c r="D154" s="162" t="s">
        <v>4078</v>
      </c>
      <c r="E154" s="162" t="s">
        <v>2039</v>
      </c>
      <c r="F154" s="162" t="s">
        <v>2040</v>
      </c>
      <c r="G154" s="162" t="s">
        <v>34</v>
      </c>
      <c r="H154" s="162" t="s">
        <v>2128</v>
      </c>
      <c r="I154" s="162" t="s">
        <v>5651</v>
      </c>
      <c r="J154" s="162" t="s">
        <v>2396</v>
      </c>
      <c r="K154" s="162" t="s">
        <v>2696</v>
      </c>
      <c r="L154" s="162" t="s">
        <v>2697</v>
      </c>
      <c r="M154" s="162">
        <v>1705</v>
      </c>
      <c r="N154" s="162" t="s">
        <v>1771</v>
      </c>
      <c r="O154" s="162" t="s">
        <v>5675</v>
      </c>
      <c r="P154" s="162" t="s">
        <v>2681</v>
      </c>
      <c r="Q154" s="162" t="s">
        <v>4861</v>
      </c>
      <c r="R154" s="162" t="s">
        <v>2121</v>
      </c>
      <c r="S154" s="162" t="s">
        <v>2698</v>
      </c>
      <c r="T154" s="162">
        <v>93.8</v>
      </c>
      <c r="U154" s="162" t="s">
        <v>2150</v>
      </c>
      <c r="V154" s="162" t="s">
        <v>2699</v>
      </c>
      <c r="W154" s="162">
        <v>2467302</v>
      </c>
      <c r="X154" s="162" t="s">
        <v>4965</v>
      </c>
      <c r="Y154" s="162" t="s">
        <v>2700</v>
      </c>
      <c r="Z154" s="162" t="s">
        <v>2701</v>
      </c>
      <c r="AA154" s="162" t="s">
        <v>4965</v>
      </c>
      <c r="AB154" s="162" t="s">
        <v>34</v>
      </c>
      <c r="AC154" s="162" t="s">
        <v>2123</v>
      </c>
      <c r="AD154" s="162" t="s">
        <v>2124</v>
      </c>
      <c r="AE154" s="162" t="s">
        <v>1758</v>
      </c>
      <c r="AF154" s="162">
        <v>1</v>
      </c>
      <c r="AG154" s="162">
        <v>390</v>
      </c>
      <c r="AH154" s="162">
        <v>8</v>
      </c>
      <c r="AI154" s="162" t="s">
        <v>34</v>
      </c>
      <c r="AJ154" s="162" t="s">
        <v>34</v>
      </c>
      <c r="AK154" s="162" t="s">
        <v>2125</v>
      </c>
      <c r="AL154" s="162" t="s">
        <v>34</v>
      </c>
      <c r="AM154" t="s">
        <v>4806</v>
      </c>
      <c r="AN154" s="478">
        <v>0</v>
      </c>
      <c r="AO154" s="478">
        <v>0</v>
      </c>
    </row>
    <row r="155" spans="1:41" x14ac:dyDescent="0.2">
      <c r="A155">
        <v>154</v>
      </c>
      <c r="B155" s="462" t="s">
        <v>1122</v>
      </c>
      <c r="C155" s="162" t="s">
        <v>1810</v>
      </c>
      <c r="D155" s="162" t="s">
        <v>4079</v>
      </c>
      <c r="E155" s="162" t="s">
        <v>2039</v>
      </c>
      <c r="F155" s="162" t="s">
        <v>2040</v>
      </c>
      <c r="G155" s="162" t="s">
        <v>34</v>
      </c>
      <c r="H155" s="162" t="s">
        <v>2128</v>
      </c>
      <c r="I155" s="162" t="s">
        <v>5651</v>
      </c>
      <c r="J155" s="162" t="s">
        <v>1764</v>
      </c>
      <c r="K155" s="162" t="s">
        <v>4825</v>
      </c>
      <c r="L155" s="162" t="s">
        <v>2255</v>
      </c>
      <c r="M155" s="162">
        <v>7852</v>
      </c>
      <c r="N155" s="162" t="s">
        <v>1810</v>
      </c>
      <c r="O155" s="162" t="s">
        <v>904</v>
      </c>
      <c r="P155" s="162" t="s">
        <v>4826</v>
      </c>
      <c r="Q155" s="162" t="s">
        <v>2201</v>
      </c>
      <c r="R155" s="162" t="s">
        <v>2185</v>
      </c>
      <c r="S155" s="162" t="s">
        <v>2538</v>
      </c>
      <c r="T155" s="162">
        <v>420</v>
      </c>
      <c r="U155" s="162" t="s">
        <v>109</v>
      </c>
      <c r="V155" s="162" t="s">
        <v>4827</v>
      </c>
      <c r="W155" s="162" t="s">
        <v>2694</v>
      </c>
      <c r="X155" s="162" t="s">
        <v>2261</v>
      </c>
      <c r="Y155" s="162" t="s">
        <v>109</v>
      </c>
      <c r="Z155" s="162" t="s">
        <v>109</v>
      </c>
      <c r="AA155" s="162" t="s">
        <v>109</v>
      </c>
      <c r="AB155" s="162" t="s">
        <v>4829</v>
      </c>
      <c r="AC155" s="162" t="s">
        <v>4372</v>
      </c>
      <c r="AD155" s="162" t="s">
        <v>4828</v>
      </c>
      <c r="AE155" s="162" t="s">
        <v>1757</v>
      </c>
      <c r="AF155" s="162" t="s">
        <v>3347</v>
      </c>
      <c r="AG155" s="162" t="s">
        <v>34</v>
      </c>
      <c r="AH155" s="162" t="s">
        <v>34</v>
      </c>
      <c r="AI155" s="162" t="s">
        <v>34</v>
      </c>
      <c r="AJ155" s="162" t="s">
        <v>34</v>
      </c>
      <c r="AK155" s="162" t="s">
        <v>2125</v>
      </c>
      <c r="AL155" s="162" t="s">
        <v>34</v>
      </c>
      <c r="AM155" t="s">
        <v>4810</v>
      </c>
      <c r="AN155" s="478">
        <v>0</v>
      </c>
      <c r="AO155" s="478">
        <v>0</v>
      </c>
    </row>
    <row r="156" spans="1:41" x14ac:dyDescent="0.2">
      <c r="A156">
        <v>155</v>
      </c>
      <c r="B156" s="462" t="s">
        <v>1122</v>
      </c>
      <c r="C156" s="162" t="s">
        <v>1806</v>
      </c>
      <c r="D156" s="162" t="s">
        <v>4080</v>
      </c>
      <c r="E156" s="162" t="s">
        <v>2039</v>
      </c>
      <c r="F156" s="162" t="s">
        <v>2040</v>
      </c>
      <c r="G156" s="162" t="s">
        <v>34</v>
      </c>
      <c r="H156" s="162" t="s">
        <v>2128</v>
      </c>
      <c r="I156" s="162" t="s">
        <v>5651</v>
      </c>
      <c r="J156" s="162" t="s">
        <v>1764</v>
      </c>
      <c r="K156" s="162" t="s">
        <v>2717</v>
      </c>
      <c r="L156" s="162" t="s">
        <v>2243</v>
      </c>
      <c r="M156" s="162" t="s">
        <v>1806</v>
      </c>
      <c r="N156" s="162" t="s">
        <v>1806</v>
      </c>
      <c r="O156" s="162" t="s">
        <v>904</v>
      </c>
      <c r="P156" s="162" t="s">
        <v>2718</v>
      </c>
      <c r="Q156" s="162" t="s">
        <v>2201</v>
      </c>
      <c r="R156" s="162" t="s">
        <v>2185</v>
      </c>
      <c r="S156" s="162" t="s">
        <v>2707</v>
      </c>
      <c r="T156" s="162">
        <v>420</v>
      </c>
      <c r="U156" s="162" t="s">
        <v>109</v>
      </c>
      <c r="V156" s="162" t="s">
        <v>2693</v>
      </c>
      <c r="W156" s="162" t="s">
        <v>2708</v>
      </c>
      <c r="X156" s="162" t="s">
        <v>2122</v>
      </c>
      <c r="Y156" s="162" t="s">
        <v>2693</v>
      </c>
      <c r="Z156" s="162" t="s">
        <v>2708</v>
      </c>
      <c r="AA156" s="162" t="s">
        <v>2122</v>
      </c>
      <c r="AB156" s="162" t="s">
        <v>2709</v>
      </c>
      <c r="AC156" s="162" t="s">
        <v>2123</v>
      </c>
      <c r="AD156" s="162" t="s">
        <v>2124</v>
      </c>
      <c r="AE156" s="162" t="s">
        <v>1758</v>
      </c>
      <c r="AF156" s="162" t="s">
        <v>34</v>
      </c>
      <c r="AG156" s="162" t="s">
        <v>34</v>
      </c>
      <c r="AH156" s="162" t="s">
        <v>34</v>
      </c>
      <c r="AI156" s="162" t="s">
        <v>34</v>
      </c>
      <c r="AJ156" s="162" t="s">
        <v>34</v>
      </c>
      <c r="AK156" s="162" t="s">
        <v>2125</v>
      </c>
      <c r="AL156" s="162" t="s">
        <v>34</v>
      </c>
      <c r="AM156" t="s">
        <v>4816</v>
      </c>
      <c r="AN156" s="478">
        <v>0</v>
      </c>
      <c r="AO156" s="478">
        <v>0</v>
      </c>
    </row>
    <row r="157" spans="1:41" x14ac:dyDescent="0.2">
      <c r="A157">
        <v>156</v>
      </c>
      <c r="B157" s="462" t="s">
        <v>1122</v>
      </c>
      <c r="C157" s="162" t="s">
        <v>1808</v>
      </c>
      <c r="D157" s="162" t="s">
        <v>4081</v>
      </c>
      <c r="E157" s="162" t="s">
        <v>2039</v>
      </c>
      <c r="F157" s="162" t="s">
        <v>2040</v>
      </c>
      <c r="G157" s="162" t="s">
        <v>34</v>
      </c>
      <c r="H157" s="162" t="s">
        <v>2128</v>
      </c>
      <c r="I157" s="162" t="s">
        <v>5651</v>
      </c>
      <c r="J157" s="162" t="s">
        <v>1764</v>
      </c>
      <c r="K157" s="162" t="s">
        <v>2720</v>
      </c>
      <c r="L157" s="162" t="s">
        <v>2243</v>
      </c>
      <c r="M157" s="162" t="s">
        <v>1808</v>
      </c>
      <c r="N157" s="162" t="s">
        <v>1808</v>
      </c>
      <c r="O157" s="162" t="s">
        <v>904</v>
      </c>
      <c r="P157" s="162" t="s">
        <v>2721</v>
      </c>
      <c r="Q157" s="162" t="s">
        <v>2201</v>
      </c>
      <c r="R157" s="162" t="s">
        <v>2185</v>
      </c>
      <c r="S157" s="162" t="s">
        <v>2707</v>
      </c>
      <c r="T157" s="162">
        <v>420</v>
      </c>
      <c r="U157" s="162" t="s">
        <v>109</v>
      </c>
      <c r="V157" s="162" t="s">
        <v>2693</v>
      </c>
      <c r="W157" s="162" t="s">
        <v>2708</v>
      </c>
      <c r="X157" s="162" t="s">
        <v>2122</v>
      </c>
      <c r="Y157" s="162" t="s">
        <v>2693</v>
      </c>
      <c r="Z157" s="162" t="s">
        <v>2708</v>
      </c>
      <c r="AA157" s="162" t="s">
        <v>2122</v>
      </c>
      <c r="AB157" s="162" t="s">
        <v>2709</v>
      </c>
      <c r="AC157" s="162" t="s">
        <v>2123</v>
      </c>
      <c r="AD157" s="162" t="s">
        <v>2124</v>
      </c>
      <c r="AE157" s="162" t="s">
        <v>1758</v>
      </c>
      <c r="AF157" s="162" t="s">
        <v>34</v>
      </c>
      <c r="AG157" s="162" t="s">
        <v>34</v>
      </c>
      <c r="AH157" s="162" t="s">
        <v>34</v>
      </c>
      <c r="AI157" s="162" t="s">
        <v>34</v>
      </c>
      <c r="AJ157" s="162" t="s">
        <v>34</v>
      </c>
      <c r="AK157" s="162" t="s">
        <v>2125</v>
      </c>
      <c r="AL157" s="162" t="s">
        <v>34</v>
      </c>
      <c r="AM157" t="s">
        <v>4803</v>
      </c>
      <c r="AN157" s="478">
        <v>0</v>
      </c>
      <c r="AO157" s="478">
        <v>0</v>
      </c>
    </row>
    <row r="158" spans="1:41" x14ac:dyDescent="0.2">
      <c r="A158">
        <v>157</v>
      </c>
      <c r="B158" s="462" t="s">
        <v>1122</v>
      </c>
      <c r="C158" s="162" t="s">
        <v>1804</v>
      </c>
      <c r="D158" s="162" t="s">
        <v>4082</v>
      </c>
      <c r="E158" s="162" t="s">
        <v>2039</v>
      </c>
      <c r="F158" s="162" t="s">
        <v>2040</v>
      </c>
      <c r="G158" s="162" t="s">
        <v>34</v>
      </c>
      <c r="H158" s="162" t="s">
        <v>2128</v>
      </c>
      <c r="I158" s="162" t="s">
        <v>5651</v>
      </c>
      <c r="J158" s="162" t="s">
        <v>1764</v>
      </c>
      <c r="K158" s="162" t="s">
        <v>2705</v>
      </c>
      <c r="L158" s="162" t="s">
        <v>2243</v>
      </c>
      <c r="M158" s="162" t="s">
        <v>1804</v>
      </c>
      <c r="N158" s="162" t="s">
        <v>1804</v>
      </c>
      <c r="O158" s="162" t="s">
        <v>904</v>
      </c>
      <c r="P158" s="162" t="s">
        <v>2706</v>
      </c>
      <c r="Q158" s="162" t="s">
        <v>2201</v>
      </c>
      <c r="R158" s="162" t="s">
        <v>2185</v>
      </c>
      <c r="S158" s="162" t="s">
        <v>2707</v>
      </c>
      <c r="T158" s="162">
        <v>420</v>
      </c>
      <c r="U158" s="162" t="s">
        <v>109</v>
      </c>
      <c r="V158" s="162" t="s">
        <v>2693</v>
      </c>
      <c r="W158" s="162" t="s">
        <v>2708</v>
      </c>
      <c r="X158" s="162" t="s">
        <v>2122</v>
      </c>
      <c r="Y158" s="162" t="s">
        <v>2693</v>
      </c>
      <c r="Z158" s="162" t="s">
        <v>2708</v>
      </c>
      <c r="AA158" s="162" t="s">
        <v>2122</v>
      </c>
      <c r="AB158" s="162" t="s">
        <v>2709</v>
      </c>
      <c r="AC158" s="162" t="s">
        <v>2123</v>
      </c>
      <c r="AD158" s="162" t="s">
        <v>2124</v>
      </c>
      <c r="AE158" s="162" t="s">
        <v>1758</v>
      </c>
      <c r="AF158" s="162" t="s">
        <v>34</v>
      </c>
      <c r="AG158" s="162" t="s">
        <v>34</v>
      </c>
      <c r="AH158" s="162" t="s">
        <v>34</v>
      </c>
      <c r="AI158" s="162" t="s">
        <v>34</v>
      </c>
      <c r="AJ158" s="162" t="s">
        <v>34</v>
      </c>
      <c r="AK158" s="162" t="s">
        <v>2125</v>
      </c>
      <c r="AL158" s="162" t="s">
        <v>34</v>
      </c>
      <c r="AM158" t="s">
        <v>4803</v>
      </c>
      <c r="AN158" s="478">
        <v>0</v>
      </c>
      <c r="AO158" s="478">
        <v>0</v>
      </c>
    </row>
    <row r="159" spans="1:41" x14ac:dyDescent="0.2">
      <c r="A159">
        <v>158</v>
      </c>
      <c r="B159" s="462" t="s">
        <v>1122</v>
      </c>
      <c r="C159" s="162" t="s">
        <v>1802</v>
      </c>
      <c r="D159" s="162" t="s">
        <v>4083</v>
      </c>
      <c r="E159" s="162" t="s">
        <v>2039</v>
      </c>
      <c r="F159" s="162" t="s">
        <v>2040</v>
      </c>
      <c r="G159" s="162" t="s">
        <v>34</v>
      </c>
      <c r="H159" s="162" t="s">
        <v>2128</v>
      </c>
      <c r="I159" s="162" t="s">
        <v>5651</v>
      </c>
      <c r="J159" s="162" t="s">
        <v>1764</v>
      </c>
      <c r="K159" s="162" t="s">
        <v>2691</v>
      </c>
      <c r="L159" s="162" t="s">
        <v>2243</v>
      </c>
      <c r="M159" s="162" t="s">
        <v>1802</v>
      </c>
      <c r="N159" s="162" t="s">
        <v>1802</v>
      </c>
      <c r="O159" s="162" t="s">
        <v>904</v>
      </c>
      <c r="P159" s="162" t="s">
        <v>2245</v>
      </c>
      <c r="Q159" s="162" t="s">
        <v>2120</v>
      </c>
      <c r="R159" s="162" t="s">
        <v>2121</v>
      </c>
      <c r="S159" s="162" t="s">
        <v>2692</v>
      </c>
      <c r="T159" s="162">
        <v>147.6</v>
      </c>
      <c r="U159" s="162" t="s">
        <v>2150</v>
      </c>
      <c r="V159" s="162" t="s">
        <v>2693</v>
      </c>
      <c r="W159" s="162" t="s">
        <v>2694</v>
      </c>
      <c r="X159" s="162" t="s">
        <v>2281</v>
      </c>
      <c r="Y159" s="162" t="s">
        <v>2693</v>
      </c>
      <c r="Z159" s="162" t="s">
        <v>2694</v>
      </c>
      <c r="AA159" s="162" t="s">
        <v>2281</v>
      </c>
      <c r="AB159" s="162" t="s">
        <v>2695</v>
      </c>
      <c r="AC159" s="162" t="s">
        <v>2123</v>
      </c>
      <c r="AD159" s="162" t="s">
        <v>2124</v>
      </c>
      <c r="AE159" s="162" t="s">
        <v>1758</v>
      </c>
      <c r="AF159" s="162" t="s">
        <v>3347</v>
      </c>
      <c r="AG159" s="162" t="s">
        <v>34</v>
      </c>
      <c r="AH159" s="162" t="s">
        <v>34</v>
      </c>
      <c r="AI159" s="162" t="s">
        <v>34</v>
      </c>
      <c r="AJ159" s="162" t="s">
        <v>34</v>
      </c>
      <c r="AK159" s="162" t="s">
        <v>2125</v>
      </c>
      <c r="AL159" s="162" t="s">
        <v>34</v>
      </c>
      <c r="AM159" t="s">
        <v>4806</v>
      </c>
      <c r="AN159" s="478">
        <v>0</v>
      </c>
      <c r="AO159" s="478">
        <v>0</v>
      </c>
    </row>
    <row r="160" spans="1:41" x14ac:dyDescent="0.2">
      <c r="A160">
        <v>159</v>
      </c>
      <c r="B160" s="462" t="s">
        <v>1122</v>
      </c>
      <c r="C160" s="162" t="s">
        <v>1901</v>
      </c>
      <c r="D160" s="162" t="s">
        <v>4084</v>
      </c>
      <c r="E160" s="162" t="s">
        <v>2039</v>
      </c>
      <c r="F160" s="162" t="s">
        <v>2040</v>
      </c>
      <c r="G160" s="162" t="s">
        <v>34</v>
      </c>
      <c r="H160" s="162" t="s">
        <v>2128</v>
      </c>
      <c r="I160" s="162" t="s">
        <v>5665</v>
      </c>
      <c r="J160" s="162" t="s">
        <v>2396</v>
      </c>
      <c r="K160" s="162" t="s">
        <v>1120</v>
      </c>
      <c r="L160" s="162" t="s">
        <v>2710</v>
      </c>
      <c r="M160" s="162" t="s">
        <v>2711</v>
      </c>
      <c r="N160" s="162" t="s">
        <v>1901</v>
      </c>
      <c r="O160" s="162" t="s">
        <v>5676</v>
      </c>
      <c r="P160" s="162" t="s">
        <v>2211</v>
      </c>
      <c r="Q160" s="162" t="s">
        <v>4863</v>
      </c>
      <c r="R160" s="162" t="s">
        <v>2295</v>
      </c>
      <c r="S160" s="162" t="s">
        <v>2712</v>
      </c>
      <c r="T160" s="162">
        <v>567</v>
      </c>
      <c r="U160" s="162" t="s">
        <v>2148</v>
      </c>
      <c r="V160" s="162" t="s">
        <v>2713</v>
      </c>
      <c r="W160" s="162">
        <v>62523275</v>
      </c>
      <c r="X160" s="162" t="s">
        <v>4864</v>
      </c>
      <c r="Y160" s="162" t="s">
        <v>2714</v>
      </c>
      <c r="Z160" s="162" t="s">
        <v>2715</v>
      </c>
      <c r="AA160" s="162" t="s">
        <v>4864</v>
      </c>
      <c r="AB160" s="162" t="s">
        <v>2716</v>
      </c>
      <c r="AC160" s="162" t="s">
        <v>2123</v>
      </c>
      <c r="AD160" s="162" t="s">
        <v>2124</v>
      </c>
      <c r="AE160" s="162" t="s">
        <v>1758</v>
      </c>
      <c r="AF160" s="162" t="s">
        <v>3347</v>
      </c>
      <c r="AG160" s="162" t="s">
        <v>34</v>
      </c>
      <c r="AH160" s="162" t="s">
        <v>34</v>
      </c>
      <c r="AI160" s="162" t="s">
        <v>34</v>
      </c>
      <c r="AJ160" s="162" t="s">
        <v>34</v>
      </c>
      <c r="AK160" s="162" t="s">
        <v>2125</v>
      </c>
      <c r="AL160" s="162" t="s">
        <v>34</v>
      </c>
      <c r="AM160" t="s">
        <v>4803</v>
      </c>
      <c r="AN160" s="478">
        <v>0</v>
      </c>
      <c r="AO160" s="478">
        <v>0</v>
      </c>
    </row>
    <row r="161" spans="1:41" x14ac:dyDescent="0.2">
      <c r="A161">
        <v>160</v>
      </c>
      <c r="B161" s="462" t="s">
        <v>1122</v>
      </c>
      <c r="C161" s="162" t="s">
        <v>4523</v>
      </c>
      <c r="D161" s="162" t="s">
        <v>4524</v>
      </c>
      <c r="E161" s="162" t="s">
        <v>2039</v>
      </c>
      <c r="F161" s="162" t="s">
        <v>2040</v>
      </c>
      <c r="G161" s="162" t="s">
        <v>34</v>
      </c>
      <c r="H161" s="162" t="s">
        <v>2128</v>
      </c>
      <c r="I161" s="162" t="s">
        <v>5651</v>
      </c>
      <c r="J161" s="162" t="s">
        <v>1764</v>
      </c>
      <c r="K161" s="162" t="s">
        <v>4525</v>
      </c>
      <c r="L161" s="162" t="s">
        <v>4526</v>
      </c>
      <c r="M161" s="162">
        <v>159874</v>
      </c>
      <c r="N161" s="162" t="s">
        <v>4523</v>
      </c>
      <c r="O161" s="162" t="s">
        <v>904</v>
      </c>
      <c r="P161" s="162" t="s">
        <v>2667</v>
      </c>
      <c r="Q161" s="162" t="s">
        <v>2126</v>
      </c>
      <c r="R161" s="162" t="s">
        <v>2121</v>
      </c>
      <c r="S161" s="162" t="s">
        <v>2662</v>
      </c>
      <c r="T161" s="162" t="s">
        <v>109</v>
      </c>
      <c r="U161" s="162" t="s">
        <v>2151</v>
      </c>
      <c r="V161" s="162" t="s">
        <v>4527</v>
      </c>
      <c r="W161" s="162" t="s">
        <v>4523</v>
      </c>
      <c r="X161" s="162" t="s">
        <v>2201</v>
      </c>
      <c r="Y161" s="162" t="s">
        <v>109</v>
      </c>
      <c r="Z161" s="162" t="s">
        <v>109</v>
      </c>
      <c r="AA161" s="162" t="s">
        <v>109</v>
      </c>
      <c r="AB161" s="162" t="s">
        <v>34</v>
      </c>
      <c r="AC161" s="162" t="s">
        <v>2123</v>
      </c>
      <c r="AD161" s="162" t="s">
        <v>2124</v>
      </c>
      <c r="AE161" s="162" t="s">
        <v>1758</v>
      </c>
      <c r="AF161" s="162" t="s">
        <v>3347</v>
      </c>
      <c r="AG161" s="162" t="s">
        <v>34</v>
      </c>
      <c r="AH161" s="162" t="s">
        <v>34</v>
      </c>
      <c r="AI161" s="162" t="s">
        <v>34</v>
      </c>
      <c r="AJ161" s="162" t="s">
        <v>34</v>
      </c>
      <c r="AK161" s="162" t="s">
        <v>2125</v>
      </c>
      <c r="AL161" s="162" t="s">
        <v>34</v>
      </c>
      <c r="AM161" t="s">
        <v>4803</v>
      </c>
      <c r="AN161" s="478">
        <v>0</v>
      </c>
      <c r="AO161" s="478">
        <v>0</v>
      </c>
    </row>
    <row r="162" spans="1:41" x14ac:dyDescent="0.2">
      <c r="A162">
        <v>161</v>
      </c>
      <c r="B162" s="462" t="s">
        <v>1146</v>
      </c>
      <c r="C162" s="162">
        <v>588</v>
      </c>
      <c r="D162" s="162" t="s">
        <v>4085</v>
      </c>
      <c r="E162" s="162" t="s">
        <v>2041</v>
      </c>
      <c r="F162" s="162" t="s">
        <v>2042</v>
      </c>
      <c r="G162" s="162" t="s">
        <v>34</v>
      </c>
      <c r="H162" s="162" t="s">
        <v>2128</v>
      </c>
      <c r="I162" s="162" t="s">
        <v>2722</v>
      </c>
      <c r="J162" s="162" t="s">
        <v>1764</v>
      </c>
      <c r="K162" s="162" t="s">
        <v>2214</v>
      </c>
      <c r="L162" s="162" t="s">
        <v>2729</v>
      </c>
      <c r="M162" s="162">
        <v>588</v>
      </c>
      <c r="N162" s="162">
        <v>588</v>
      </c>
      <c r="O162" s="162" t="s">
        <v>904</v>
      </c>
      <c r="P162" s="162" t="s">
        <v>2730</v>
      </c>
      <c r="Q162" s="162" t="s">
        <v>2731</v>
      </c>
      <c r="R162" s="162" t="s">
        <v>2121</v>
      </c>
      <c r="S162" s="162" t="s">
        <v>2732</v>
      </c>
      <c r="T162" s="162">
        <v>5.04</v>
      </c>
      <c r="U162" s="162" t="s">
        <v>1947</v>
      </c>
      <c r="V162" s="162" t="s">
        <v>2733</v>
      </c>
      <c r="W162" s="162">
        <v>588</v>
      </c>
      <c r="X162" s="162" t="s">
        <v>2734</v>
      </c>
      <c r="Y162" s="162" t="s">
        <v>109</v>
      </c>
      <c r="Z162" s="162" t="s">
        <v>109</v>
      </c>
      <c r="AA162" s="162" t="s">
        <v>109</v>
      </c>
      <c r="AB162" s="162" t="s">
        <v>2192</v>
      </c>
      <c r="AC162" s="162" t="s">
        <v>2123</v>
      </c>
      <c r="AD162" s="162" t="s">
        <v>2124</v>
      </c>
      <c r="AE162" s="162" t="s">
        <v>1758</v>
      </c>
      <c r="AF162" s="162">
        <v>32</v>
      </c>
      <c r="AG162" s="162">
        <v>0</v>
      </c>
      <c r="AH162" s="162" t="s">
        <v>3347</v>
      </c>
      <c r="AI162" s="162" t="s">
        <v>4354</v>
      </c>
      <c r="AJ162" s="162" t="s">
        <v>4355</v>
      </c>
      <c r="AK162" s="162" t="s">
        <v>2125</v>
      </c>
      <c r="AL162" s="162" t="s">
        <v>34</v>
      </c>
      <c r="AM162" t="s">
        <v>4803</v>
      </c>
      <c r="AN162" s="478">
        <v>0</v>
      </c>
      <c r="AO162" s="478">
        <v>0</v>
      </c>
    </row>
    <row r="163" spans="1:41" x14ac:dyDescent="0.2">
      <c r="A163">
        <v>162</v>
      </c>
      <c r="B163" s="462" t="s">
        <v>1146</v>
      </c>
      <c r="C163" s="162">
        <v>12004</v>
      </c>
      <c r="D163" s="162" t="s">
        <v>4086</v>
      </c>
      <c r="E163" s="162" t="s">
        <v>2041</v>
      </c>
      <c r="F163" s="162" t="s">
        <v>2042</v>
      </c>
      <c r="G163" s="162" t="s">
        <v>34</v>
      </c>
      <c r="H163" s="162" t="s">
        <v>2128</v>
      </c>
      <c r="I163" s="162" t="s">
        <v>5651</v>
      </c>
      <c r="J163" s="162" t="s">
        <v>1764</v>
      </c>
      <c r="K163" s="162" t="s">
        <v>1117</v>
      </c>
      <c r="L163" s="162" t="s">
        <v>2735</v>
      </c>
      <c r="M163" s="162" t="s">
        <v>2736</v>
      </c>
      <c r="N163" s="162">
        <v>12004</v>
      </c>
      <c r="O163" s="162" t="s">
        <v>904</v>
      </c>
      <c r="P163" s="162" t="s">
        <v>2189</v>
      </c>
      <c r="Q163" s="162" t="s">
        <v>2126</v>
      </c>
      <c r="R163" s="162" t="s">
        <v>2121</v>
      </c>
      <c r="S163" s="162" t="s">
        <v>2737</v>
      </c>
      <c r="T163" s="162">
        <v>1.3</v>
      </c>
      <c r="U163" s="162" t="s">
        <v>1947</v>
      </c>
      <c r="V163" s="162" t="s">
        <v>2196</v>
      </c>
      <c r="W163" s="162" t="s">
        <v>2736</v>
      </c>
      <c r="X163" s="162" t="s">
        <v>2738</v>
      </c>
      <c r="Y163" s="162" t="s">
        <v>109</v>
      </c>
      <c r="Z163" s="162" t="s">
        <v>109</v>
      </c>
      <c r="AA163" s="162" t="s">
        <v>109</v>
      </c>
      <c r="AB163" s="162" t="s">
        <v>2739</v>
      </c>
      <c r="AC163" s="162" t="s">
        <v>2123</v>
      </c>
      <c r="AD163" s="162" t="s">
        <v>2124</v>
      </c>
      <c r="AE163" s="162" t="s">
        <v>1758</v>
      </c>
      <c r="AF163" s="162" t="s">
        <v>3347</v>
      </c>
      <c r="AG163" s="162" t="s">
        <v>34</v>
      </c>
      <c r="AH163" s="162" t="s">
        <v>34</v>
      </c>
      <c r="AI163" s="162" t="s">
        <v>34</v>
      </c>
      <c r="AJ163" s="162" t="s">
        <v>34</v>
      </c>
      <c r="AK163" s="162" t="s">
        <v>2125</v>
      </c>
      <c r="AL163" s="162" t="s">
        <v>34</v>
      </c>
      <c r="AM163" t="s">
        <v>4803</v>
      </c>
      <c r="AN163" s="478">
        <v>0</v>
      </c>
      <c r="AO163" s="478">
        <v>0</v>
      </c>
    </row>
    <row r="164" spans="1:41" x14ac:dyDescent="0.2">
      <c r="A164">
        <v>163</v>
      </c>
      <c r="B164" s="462" t="s">
        <v>1146</v>
      </c>
      <c r="C164" s="162" t="s">
        <v>1162</v>
      </c>
      <c r="D164" s="162" t="s">
        <v>4087</v>
      </c>
      <c r="E164" s="162" t="s">
        <v>2041</v>
      </c>
      <c r="F164" s="162" t="s">
        <v>2042</v>
      </c>
      <c r="G164" s="162" t="s">
        <v>34</v>
      </c>
      <c r="H164" s="162" t="s">
        <v>2128</v>
      </c>
      <c r="I164" s="162" t="s">
        <v>5651</v>
      </c>
      <c r="J164" s="162" t="s">
        <v>2740</v>
      </c>
      <c r="K164" s="162" t="s">
        <v>1326</v>
      </c>
      <c r="L164" s="162" t="s">
        <v>2741</v>
      </c>
      <c r="M164" s="162" t="s">
        <v>2742</v>
      </c>
      <c r="N164" s="162" t="s">
        <v>1162</v>
      </c>
      <c r="O164" s="162" t="s">
        <v>904</v>
      </c>
      <c r="P164" s="162" t="s">
        <v>2743</v>
      </c>
      <c r="Q164" s="162" t="s">
        <v>2126</v>
      </c>
      <c r="R164" s="162" t="s">
        <v>2222</v>
      </c>
      <c r="S164" s="162" t="s">
        <v>2744</v>
      </c>
      <c r="T164" s="162">
        <v>1.04</v>
      </c>
      <c r="U164" s="162" t="s">
        <v>1947</v>
      </c>
      <c r="V164" s="162" t="s">
        <v>2741</v>
      </c>
      <c r="W164" s="162" t="s">
        <v>2742</v>
      </c>
      <c r="X164" s="162" t="s">
        <v>2191</v>
      </c>
      <c r="Y164" s="162" t="s">
        <v>109</v>
      </c>
      <c r="Z164" s="162" t="s">
        <v>109</v>
      </c>
      <c r="AA164" s="162" t="s">
        <v>109</v>
      </c>
      <c r="AB164" s="162" t="s">
        <v>4709</v>
      </c>
      <c r="AC164" s="162" t="s">
        <v>2123</v>
      </c>
      <c r="AD164" s="162" t="s">
        <v>2124</v>
      </c>
      <c r="AE164" s="162" t="s">
        <v>1758</v>
      </c>
      <c r="AF164" s="162" t="s">
        <v>3347</v>
      </c>
      <c r="AG164" s="162" t="s">
        <v>34</v>
      </c>
      <c r="AH164" s="162" t="s">
        <v>34</v>
      </c>
      <c r="AI164" s="162" t="s">
        <v>34</v>
      </c>
      <c r="AJ164" s="162" t="s">
        <v>34</v>
      </c>
      <c r="AK164" s="162" t="s">
        <v>2125</v>
      </c>
      <c r="AL164" s="162" t="s">
        <v>34</v>
      </c>
      <c r="AM164" t="s">
        <v>4803</v>
      </c>
      <c r="AN164" s="478">
        <v>0</v>
      </c>
      <c r="AO164" s="478">
        <v>0</v>
      </c>
    </row>
    <row r="165" spans="1:41" x14ac:dyDescent="0.2">
      <c r="A165">
        <v>164</v>
      </c>
      <c r="B165" s="462" t="s">
        <v>1146</v>
      </c>
      <c r="C165" s="162" t="s">
        <v>5409</v>
      </c>
      <c r="D165" s="162" t="s">
        <v>5410</v>
      </c>
      <c r="E165" s="162" t="s">
        <v>2041</v>
      </c>
      <c r="F165" s="162" t="s">
        <v>2042</v>
      </c>
      <c r="G165" s="162" t="s">
        <v>34</v>
      </c>
      <c r="H165" s="162" t="s">
        <v>2128</v>
      </c>
      <c r="I165" s="162" t="s">
        <v>2722</v>
      </c>
      <c r="J165" s="162" t="s">
        <v>1764</v>
      </c>
      <c r="K165" s="162" t="s">
        <v>1905</v>
      </c>
      <c r="L165" s="162" t="s">
        <v>5411</v>
      </c>
      <c r="M165" s="162" t="s">
        <v>5412</v>
      </c>
      <c r="N165" s="162" t="s">
        <v>5409</v>
      </c>
      <c r="O165" s="162" t="s">
        <v>904</v>
      </c>
      <c r="P165" s="162" t="s">
        <v>5413</v>
      </c>
      <c r="Q165" s="162" t="s">
        <v>2204</v>
      </c>
      <c r="R165" s="162" t="s">
        <v>2121</v>
      </c>
      <c r="S165" s="162" t="s">
        <v>5414</v>
      </c>
      <c r="T165" s="162">
        <v>4.13</v>
      </c>
      <c r="U165" s="162" t="s">
        <v>1947</v>
      </c>
      <c r="V165" s="162" t="s">
        <v>5415</v>
      </c>
      <c r="W165" s="162" t="s">
        <v>5416</v>
      </c>
      <c r="X165" s="162" t="s">
        <v>2122</v>
      </c>
      <c r="Y165" s="162" t="s">
        <v>109</v>
      </c>
      <c r="Z165" s="162" t="s">
        <v>109</v>
      </c>
      <c r="AA165" s="162" t="s">
        <v>109</v>
      </c>
      <c r="AB165" s="162" t="s">
        <v>34</v>
      </c>
      <c r="AC165" s="162" t="s">
        <v>2123</v>
      </c>
      <c r="AD165" s="162" t="s">
        <v>2124</v>
      </c>
      <c r="AE165" s="162" t="s">
        <v>1758</v>
      </c>
      <c r="AF165" s="162" t="s">
        <v>3347</v>
      </c>
      <c r="AG165" s="162" t="s">
        <v>34</v>
      </c>
      <c r="AH165" s="162" t="s">
        <v>34</v>
      </c>
      <c r="AI165" s="162" t="s">
        <v>34</v>
      </c>
      <c r="AJ165" s="162" t="s">
        <v>34</v>
      </c>
      <c r="AK165" s="162" t="s">
        <v>2125</v>
      </c>
      <c r="AL165" s="162" t="s">
        <v>34</v>
      </c>
      <c r="AM165" t="s">
        <v>4803</v>
      </c>
      <c r="AN165" s="478"/>
      <c r="AO165" s="478"/>
    </row>
    <row r="166" spans="1:41" x14ac:dyDescent="0.2">
      <c r="A166">
        <v>165</v>
      </c>
      <c r="B166" s="462" t="s">
        <v>1146</v>
      </c>
      <c r="C166" s="162" t="s">
        <v>5126</v>
      </c>
      <c r="D166" s="162" t="s">
        <v>5127</v>
      </c>
      <c r="E166" s="162" t="s">
        <v>2041</v>
      </c>
      <c r="F166" s="162" t="s">
        <v>2042</v>
      </c>
      <c r="G166" s="162" t="s">
        <v>34</v>
      </c>
      <c r="H166" s="162" t="s">
        <v>2128</v>
      </c>
      <c r="I166" s="162" t="s">
        <v>2722</v>
      </c>
      <c r="J166" s="162" t="s">
        <v>1764</v>
      </c>
      <c r="K166" s="162" t="s">
        <v>5073</v>
      </c>
      <c r="L166" s="162" t="s">
        <v>5128</v>
      </c>
      <c r="M166" s="162">
        <v>15791</v>
      </c>
      <c r="N166" s="162" t="s">
        <v>5126</v>
      </c>
      <c r="O166" s="162" t="s">
        <v>2399</v>
      </c>
      <c r="P166" s="162" t="s">
        <v>5129</v>
      </c>
      <c r="Q166" s="162" t="s">
        <v>2126</v>
      </c>
      <c r="R166" s="162" t="s">
        <v>2121</v>
      </c>
      <c r="S166" s="162" t="s">
        <v>2786</v>
      </c>
      <c r="T166" s="162">
        <v>8</v>
      </c>
      <c r="U166" s="162" t="s">
        <v>1947</v>
      </c>
      <c r="V166" s="162" t="s">
        <v>5130</v>
      </c>
      <c r="W166" s="162" t="s">
        <v>5131</v>
      </c>
      <c r="X166" s="162" t="s">
        <v>2122</v>
      </c>
      <c r="Y166" s="162" t="s">
        <v>109</v>
      </c>
      <c r="Z166" s="162" t="s">
        <v>109</v>
      </c>
      <c r="AA166" s="162" t="s">
        <v>109</v>
      </c>
      <c r="AB166" s="162" t="s">
        <v>34</v>
      </c>
      <c r="AC166" s="162" t="s">
        <v>2123</v>
      </c>
      <c r="AD166" s="162" t="s">
        <v>5132</v>
      </c>
      <c r="AE166" s="162" t="s">
        <v>1758</v>
      </c>
      <c r="AF166" s="162">
        <v>2.06</v>
      </c>
      <c r="AG166" s="162" t="s">
        <v>5133</v>
      </c>
      <c r="AH166" s="162" t="s">
        <v>5134</v>
      </c>
      <c r="AI166" s="162" t="s">
        <v>5135</v>
      </c>
      <c r="AJ166" s="162" t="s">
        <v>34</v>
      </c>
      <c r="AK166" s="162" t="s">
        <v>2125</v>
      </c>
      <c r="AL166" s="162" t="s">
        <v>34</v>
      </c>
      <c r="AM166" t="s">
        <v>4804</v>
      </c>
      <c r="AN166" s="478"/>
      <c r="AO166" s="478"/>
    </row>
    <row r="167" spans="1:41" x14ac:dyDescent="0.2">
      <c r="A167">
        <v>166</v>
      </c>
      <c r="B167" s="462" t="s">
        <v>1146</v>
      </c>
      <c r="C167" s="162" t="s">
        <v>5348</v>
      </c>
      <c r="D167" s="162" t="s">
        <v>5349</v>
      </c>
      <c r="E167" s="162" t="s">
        <v>2041</v>
      </c>
      <c r="F167" s="162" t="s">
        <v>2042</v>
      </c>
      <c r="G167" s="162" t="s">
        <v>34</v>
      </c>
      <c r="H167" s="162" t="s">
        <v>2128</v>
      </c>
      <c r="I167" s="162" t="s">
        <v>2722</v>
      </c>
      <c r="J167" s="162" t="s">
        <v>1764</v>
      </c>
      <c r="K167" s="162" t="s">
        <v>5073</v>
      </c>
      <c r="L167" s="162" t="s">
        <v>5350</v>
      </c>
      <c r="M167" s="162">
        <v>187</v>
      </c>
      <c r="N167" s="162" t="s">
        <v>5348</v>
      </c>
      <c r="O167" s="162" t="s">
        <v>2399</v>
      </c>
      <c r="P167" s="162" t="s">
        <v>5351</v>
      </c>
      <c r="Q167" s="162" t="s">
        <v>2126</v>
      </c>
      <c r="R167" s="162" t="s">
        <v>2185</v>
      </c>
      <c r="S167" s="162" t="s">
        <v>5352</v>
      </c>
      <c r="T167" s="162">
        <v>10.16</v>
      </c>
      <c r="U167" s="162" t="s">
        <v>1947</v>
      </c>
      <c r="V167" s="162" t="s">
        <v>5353</v>
      </c>
      <c r="W167" s="162">
        <v>187</v>
      </c>
      <c r="X167" s="162" t="s">
        <v>2122</v>
      </c>
      <c r="Y167" s="162" t="s">
        <v>109</v>
      </c>
      <c r="Z167" s="162" t="s">
        <v>109</v>
      </c>
      <c r="AA167" s="162" t="s">
        <v>109</v>
      </c>
      <c r="AB167" s="162" t="s">
        <v>34</v>
      </c>
      <c r="AC167" s="162" t="s">
        <v>2123</v>
      </c>
      <c r="AD167" s="162" t="s">
        <v>5141</v>
      </c>
      <c r="AE167" s="162" t="s">
        <v>1758</v>
      </c>
      <c r="AF167" s="162">
        <v>2.5</v>
      </c>
      <c r="AG167" s="162">
        <v>0.28000000000000003</v>
      </c>
      <c r="AH167" s="162">
        <v>0.88</v>
      </c>
      <c r="AI167" s="162" t="s">
        <v>5354</v>
      </c>
      <c r="AJ167" s="162" t="s">
        <v>34</v>
      </c>
      <c r="AK167" s="162" t="s">
        <v>2125</v>
      </c>
      <c r="AL167" s="162" t="s">
        <v>34</v>
      </c>
      <c r="AM167" t="s">
        <v>4804</v>
      </c>
      <c r="AN167" s="478"/>
      <c r="AO167" s="478"/>
    </row>
    <row r="168" spans="1:41" x14ac:dyDescent="0.2">
      <c r="A168">
        <v>167</v>
      </c>
      <c r="B168" s="462" t="s">
        <v>1146</v>
      </c>
      <c r="C168" s="162" t="s">
        <v>5136</v>
      </c>
      <c r="D168" s="162" t="s">
        <v>5137</v>
      </c>
      <c r="E168" s="162" t="s">
        <v>2041</v>
      </c>
      <c r="F168" s="162" t="s">
        <v>2042</v>
      </c>
      <c r="G168" s="162" t="s">
        <v>34</v>
      </c>
      <c r="H168" s="162" t="s">
        <v>2128</v>
      </c>
      <c r="I168" s="162" t="s">
        <v>2722</v>
      </c>
      <c r="J168" s="162" t="s">
        <v>1764</v>
      </c>
      <c r="K168" s="162" t="s">
        <v>5073</v>
      </c>
      <c r="L168" s="162" t="s">
        <v>5138</v>
      </c>
      <c r="M168" s="162">
        <v>75143</v>
      </c>
      <c r="N168" s="162" t="s">
        <v>5136</v>
      </c>
      <c r="O168" s="162" t="s">
        <v>2399</v>
      </c>
      <c r="P168" s="162" t="s">
        <v>2463</v>
      </c>
      <c r="Q168" s="162" t="s">
        <v>2126</v>
      </c>
      <c r="R168" s="162" t="s">
        <v>2121</v>
      </c>
      <c r="S168" s="162" t="s">
        <v>5139</v>
      </c>
      <c r="T168" s="162">
        <v>37.4</v>
      </c>
      <c r="U168" s="162" t="s">
        <v>1947</v>
      </c>
      <c r="V168" s="162" t="s">
        <v>5140</v>
      </c>
      <c r="W168" s="162">
        <v>7243169</v>
      </c>
      <c r="X168" s="162" t="s">
        <v>2738</v>
      </c>
      <c r="Y168" s="162" t="s">
        <v>109</v>
      </c>
      <c r="Z168" s="162" t="s">
        <v>109</v>
      </c>
      <c r="AA168" s="162" t="s">
        <v>109</v>
      </c>
      <c r="AB168" s="162" t="s">
        <v>5142</v>
      </c>
      <c r="AC168" s="162" t="s">
        <v>2123</v>
      </c>
      <c r="AD168" s="162" t="s">
        <v>5141</v>
      </c>
      <c r="AE168" s="162" t="s">
        <v>1758</v>
      </c>
      <c r="AF168" s="162" t="s">
        <v>3347</v>
      </c>
      <c r="AG168" s="162" t="s">
        <v>34</v>
      </c>
      <c r="AH168" s="162" t="s">
        <v>34</v>
      </c>
      <c r="AI168" s="162" t="s">
        <v>34</v>
      </c>
      <c r="AJ168" s="162" t="s">
        <v>34</v>
      </c>
      <c r="AK168" s="162" t="s">
        <v>2125</v>
      </c>
      <c r="AL168" s="162" t="s">
        <v>34</v>
      </c>
      <c r="AM168" t="s">
        <v>4806</v>
      </c>
      <c r="AN168" s="478"/>
      <c r="AO168" s="478"/>
    </row>
    <row r="169" spans="1:41" x14ac:dyDescent="0.2">
      <c r="A169">
        <v>168</v>
      </c>
      <c r="B169" s="462" t="s">
        <v>1146</v>
      </c>
      <c r="C169" s="162" t="s">
        <v>1959</v>
      </c>
      <c r="D169" s="162" t="s">
        <v>4088</v>
      </c>
      <c r="E169" s="162" t="s">
        <v>2041</v>
      </c>
      <c r="F169" s="162" t="s">
        <v>2042</v>
      </c>
      <c r="G169" s="162" t="s">
        <v>34</v>
      </c>
      <c r="H169" s="162" t="s">
        <v>2128</v>
      </c>
      <c r="I169" s="162" t="s">
        <v>2722</v>
      </c>
      <c r="J169" s="162" t="s">
        <v>1764</v>
      </c>
      <c r="K169" s="162" t="s">
        <v>2214</v>
      </c>
      <c r="L169" s="162" t="s">
        <v>2723</v>
      </c>
      <c r="M169" s="162">
        <v>482</v>
      </c>
      <c r="N169" s="162" t="s">
        <v>1959</v>
      </c>
      <c r="O169" s="162" t="s">
        <v>904</v>
      </c>
      <c r="P169" s="162" t="s">
        <v>2724</v>
      </c>
      <c r="Q169" s="162" t="s">
        <v>2201</v>
      </c>
      <c r="R169" s="162" t="s">
        <v>2121</v>
      </c>
      <c r="S169" s="162" t="s">
        <v>2725</v>
      </c>
      <c r="T169" s="162">
        <v>6.16</v>
      </c>
      <c r="U169" s="162" t="s">
        <v>1947</v>
      </c>
      <c r="V169" s="162" t="s">
        <v>2726</v>
      </c>
      <c r="W169" s="162" t="s">
        <v>2388</v>
      </c>
      <c r="X169" s="162" t="s">
        <v>2727</v>
      </c>
      <c r="Y169" s="162" t="s">
        <v>109</v>
      </c>
      <c r="Z169" s="162" t="s">
        <v>109</v>
      </c>
      <c r="AA169" s="162" t="s">
        <v>109</v>
      </c>
      <c r="AB169" s="162" t="s">
        <v>2728</v>
      </c>
      <c r="AC169" s="162" t="s">
        <v>2123</v>
      </c>
      <c r="AD169" s="162" t="s">
        <v>2124</v>
      </c>
      <c r="AE169" s="162" t="s">
        <v>1758</v>
      </c>
      <c r="AF169" s="162" t="s">
        <v>3347</v>
      </c>
      <c r="AG169" s="162" t="s">
        <v>34</v>
      </c>
      <c r="AH169" s="162" t="s">
        <v>34</v>
      </c>
      <c r="AI169" s="162" t="s">
        <v>34</v>
      </c>
      <c r="AJ169" s="162" t="s">
        <v>34</v>
      </c>
      <c r="AK169" s="162" t="s">
        <v>2125</v>
      </c>
      <c r="AL169" s="162" t="s">
        <v>34</v>
      </c>
      <c r="AM169" t="s">
        <v>4803</v>
      </c>
      <c r="AN169" s="478">
        <v>0</v>
      </c>
      <c r="AO169" s="478">
        <v>0</v>
      </c>
    </row>
    <row r="170" spans="1:41" x14ac:dyDescent="0.2">
      <c r="A170">
        <v>169</v>
      </c>
      <c r="B170" s="462" t="s">
        <v>1146</v>
      </c>
      <c r="C170" s="162" t="s">
        <v>1160</v>
      </c>
      <c r="D170" s="162" t="s">
        <v>4089</v>
      </c>
      <c r="E170" s="162" t="s">
        <v>2041</v>
      </c>
      <c r="F170" s="162" t="s">
        <v>2042</v>
      </c>
      <c r="G170" s="162" t="s">
        <v>34</v>
      </c>
      <c r="H170" s="162" t="s">
        <v>2128</v>
      </c>
      <c r="I170" s="162" t="s">
        <v>5651</v>
      </c>
      <c r="J170" s="162" t="s">
        <v>2740</v>
      </c>
      <c r="K170" s="162" t="s">
        <v>2745</v>
      </c>
      <c r="L170" s="162" t="s">
        <v>2469</v>
      </c>
      <c r="M170" s="162" t="s">
        <v>1160</v>
      </c>
      <c r="N170" s="162" t="s">
        <v>1160</v>
      </c>
      <c r="O170" s="162" t="s">
        <v>904</v>
      </c>
      <c r="P170" s="162" t="s">
        <v>2746</v>
      </c>
      <c r="Q170" s="162" t="s">
        <v>2204</v>
      </c>
      <c r="R170" s="162" t="s">
        <v>2185</v>
      </c>
      <c r="S170" s="162" t="s">
        <v>2747</v>
      </c>
      <c r="T170" s="162">
        <v>18.8</v>
      </c>
      <c r="U170" s="162" t="s">
        <v>2151</v>
      </c>
      <c r="V170" s="162" t="s">
        <v>2748</v>
      </c>
      <c r="W170" s="162" t="s">
        <v>2750</v>
      </c>
      <c r="X170" s="162" t="s">
        <v>2749</v>
      </c>
      <c r="Y170" s="162" t="s">
        <v>2748</v>
      </c>
      <c r="Z170" s="162" t="s">
        <v>2750</v>
      </c>
      <c r="AA170" s="162" t="s">
        <v>2230</v>
      </c>
      <c r="AB170" s="162" t="s">
        <v>2751</v>
      </c>
      <c r="AC170" s="162" t="s">
        <v>2123</v>
      </c>
      <c r="AD170" s="162" t="s">
        <v>2124</v>
      </c>
      <c r="AE170" s="162" t="s">
        <v>1758</v>
      </c>
      <c r="AF170" s="162" t="s">
        <v>3347</v>
      </c>
      <c r="AG170" s="162" t="s">
        <v>34</v>
      </c>
      <c r="AH170" s="162" t="s">
        <v>34</v>
      </c>
      <c r="AI170" s="162" t="s">
        <v>34</v>
      </c>
      <c r="AJ170" s="162" t="s">
        <v>34</v>
      </c>
      <c r="AK170" s="162" t="s">
        <v>2125</v>
      </c>
      <c r="AL170" s="162" t="s">
        <v>34</v>
      </c>
      <c r="AM170" t="s">
        <v>4803</v>
      </c>
      <c r="AN170" s="478">
        <v>0</v>
      </c>
      <c r="AO170" s="478">
        <v>0</v>
      </c>
    </row>
    <row r="171" spans="1:41" x14ac:dyDescent="0.2">
      <c r="A171">
        <v>170</v>
      </c>
      <c r="B171" s="462" t="s">
        <v>1146</v>
      </c>
      <c r="C171" s="162" t="s">
        <v>5328</v>
      </c>
      <c r="D171" s="162" t="s">
        <v>5329</v>
      </c>
      <c r="E171" s="162" t="s">
        <v>2041</v>
      </c>
      <c r="F171" s="162" t="s">
        <v>2042</v>
      </c>
      <c r="G171" s="162" t="s">
        <v>34</v>
      </c>
      <c r="H171" s="162" t="s">
        <v>2128</v>
      </c>
      <c r="I171" s="162" t="s">
        <v>2722</v>
      </c>
      <c r="J171" s="162" t="s">
        <v>1764</v>
      </c>
      <c r="K171" s="162" t="s">
        <v>1905</v>
      </c>
      <c r="L171" s="162" t="s">
        <v>5330</v>
      </c>
      <c r="M171" s="162" t="s">
        <v>5331</v>
      </c>
      <c r="N171" s="162" t="s">
        <v>5328</v>
      </c>
      <c r="O171" s="162" t="s">
        <v>904</v>
      </c>
      <c r="P171" s="162" t="s">
        <v>5332</v>
      </c>
      <c r="Q171" s="162" t="s">
        <v>2126</v>
      </c>
      <c r="R171" s="162" t="s">
        <v>2121</v>
      </c>
      <c r="S171" s="162" t="s">
        <v>5333</v>
      </c>
      <c r="T171" s="162">
        <v>9.76</v>
      </c>
      <c r="U171" s="162" t="s">
        <v>1947</v>
      </c>
      <c r="V171" s="162" t="s">
        <v>5334</v>
      </c>
      <c r="W171" s="162" t="s">
        <v>5335</v>
      </c>
      <c r="X171" s="162" t="s">
        <v>2122</v>
      </c>
      <c r="Y171" s="162" t="s">
        <v>109</v>
      </c>
      <c r="Z171" s="162" t="s">
        <v>109</v>
      </c>
      <c r="AA171" s="162" t="s">
        <v>109</v>
      </c>
      <c r="AB171" s="162" t="s">
        <v>34</v>
      </c>
      <c r="AC171" s="162" t="s">
        <v>2123</v>
      </c>
      <c r="AD171" s="162" t="s">
        <v>2124</v>
      </c>
      <c r="AE171" s="162" t="s">
        <v>1758</v>
      </c>
      <c r="AF171" s="162" t="s">
        <v>3347</v>
      </c>
      <c r="AG171" s="162" t="s">
        <v>34</v>
      </c>
      <c r="AH171" s="162" t="s">
        <v>34</v>
      </c>
      <c r="AI171" s="162" t="s">
        <v>34</v>
      </c>
      <c r="AJ171" s="162" t="s">
        <v>34</v>
      </c>
      <c r="AK171" s="162" t="s">
        <v>2125</v>
      </c>
      <c r="AL171" s="162" t="s">
        <v>34</v>
      </c>
      <c r="AM171" t="s">
        <v>4803</v>
      </c>
      <c r="AN171" s="478"/>
      <c r="AO171" s="478"/>
    </row>
    <row r="172" spans="1:41" x14ac:dyDescent="0.2">
      <c r="A172">
        <v>171</v>
      </c>
      <c r="B172" s="462" t="s">
        <v>1146</v>
      </c>
      <c r="C172" s="162" t="s">
        <v>5336</v>
      </c>
      <c r="D172" s="162" t="s">
        <v>5337</v>
      </c>
      <c r="E172" s="162" t="s">
        <v>2041</v>
      </c>
      <c r="F172" s="162" t="s">
        <v>2042</v>
      </c>
      <c r="G172" s="162" t="s">
        <v>34</v>
      </c>
      <c r="H172" s="162" t="s">
        <v>2128</v>
      </c>
      <c r="I172" s="162" t="s">
        <v>2722</v>
      </c>
      <c r="J172" s="162" t="s">
        <v>1764</v>
      </c>
      <c r="K172" s="162" t="s">
        <v>1905</v>
      </c>
      <c r="L172" s="162" t="s">
        <v>5330</v>
      </c>
      <c r="M172" s="162" t="s">
        <v>5338</v>
      </c>
      <c r="N172" s="162" t="s">
        <v>5336</v>
      </c>
      <c r="O172" s="162" t="s">
        <v>904</v>
      </c>
      <c r="P172" s="162" t="s">
        <v>5332</v>
      </c>
      <c r="Q172" s="162" t="s">
        <v>2126</v>
      </c>
      <c r="R172" s="162" t="s">
        <v>2121</v>
      </c>
      <c r="S172" s="162" t="s">
        <v>5333</v>
      </c>
      <c r="T172" s="162">
        <v>9.76</v>
      </c>
      <c r="U172" s="162" t="s">
        <v>1947</v>
      </c>
      <c r="V172" s="162" t="s">
        <v>5334</v>
      </c>
      <c r="W172" s="162" t="s">
        <v>5339</v>
      </c>
      <c r="X172" s="162" t="s">
        <v>2122</v>
      </c>
      <c r="Y172" s="162" t="s">
        <v>109</v>
      </c>
      <c r="Z172" s="162" t="s">
        <v>109</v>
      </c>
      <c r="AA172" s="162" t="s">
        <v>109</v>
      </c>
      <c r="AB172" s="162" t="s">
        <v>34</v>
      </c>
      <c r="AC172" s="162" t="s">
        <v>2123</v>
      </c>
      <c r="AD172" s="162" t="s">
        <v>2124</v>
      </c>
      <c r="AE172" s="162" t="s">
        <v>1758</v>
      </c>
      <c r="AF172" s="162" t="s">
        <v>3347</v>
      </c>
      <c r="AG172" s="162" t="s">
        <v>34</v>
      </c>
      <c r="AH172" s="162" t="s">
        <v>34</v>
      </c>
      <c r="AI172" s="162" t="s">
        <v>34</v>
      </c>
      <c r="AJ172" s="162" t="s">
        <v>34</v>
      </c>
      <c r="AK172" s="162" t="s">
        <v>2125</v>
      </c>
      <c r="AL172" s="162" t="s">
        <v>34</v>
      </c>
      <c r="AM172" t="s">
        <v>4803</v>
      </c>
      <c r="AN172" s="478"/>
      <c r="AO172" s="478"/>
    </row>
    <row r="173" spans="1:41" x14ac:dyDescent="0.2">
      <c r="A173">
        <v>172</v>
      </c>
      <c r="B173" s="462" t="s">
        <v>1146</v>
      </c>
      <c r="C173" s="162" t="s">
        <v>5340</v>
      </c>
      <c r="D173" s="162" t="s">
        <v>5341</v>
      </c>
      <c r="E173" s="162" t="s">
        <v>2041</v>
      </c>
      <c r="F173" s="162" t="s">
        <v>2042</v>
      </c>
      <c r="G173" s="162" t="s">
        <v>34</v>
      </c>
      <c r="H173" s="162" t="s">
        <v>2128</v>
      </c>
      <c r="I173" s="162" t="s">
        <v>2722</v>
      </c>
      <c r="J173" s="162" t="s">
        <v>1764</v>
      </c>
      <c r="K173" s="162" t="s">
        <v>1905</v>
      </c>
      <c r="L173" s="162" t="s">
        <v>5342</v>
      </c>
      <c r="M173" s="162">
        <v>13271</v>
      </c>
      <c r="N173" s="162" t="s">
        <v>5340</v>
      </c>
      <c r="O173" s="162" t="s">
        <v>904</v>
      </c>
      <c r="P173" s="162" t="s">
        <v>5343</v>
      </c>
      <c r="Q173" s="162" t="s">
        <v>2126</v>
      </c>
      <c r="R173" s="162" t="s">
        <v>2121</v>
      </c>
      <c r="S173" s="162" t="s">
        <v>2786</v>
      </c>
      <c r="T173" s="162">
        <v>8</v>
      </c>
      <c r="U173" s="162" t="s">
        <v>1947</v>
      </c>
      <c r="V173" s="162" t="s">
        <v>3588</v>
      </c>
      <c r="W173" s="162" t="s">
        <v>5344</v>
      </c>
      <c r="X173" s="162" t="s">
        <v>2122</v>
      </c>
      <c r="Y173" s="162" t="s">
        <v>109</v>
      </c>
      <c r="Z173" s="162" t="s">
        <v>109</v>
      </c>
      <c r="AA173" s="162" t="s">
        <v>109</v>
      </c>
      <c r="AB173" s="162" t="s">
        <v>34</v>
      </c>
      <c r="AC173" s="162" t="s">
        <v>2123</v>
      </c>
      <c r="AD173" s="162" t="s">
        <v>2124</v>
      </c>
      <c r="AE173" s="162" t="s">
        <v>1758</v>
      </c>
      <c r="AF173" s="162">
        <v>1.7</v>
      </c>
      <c r="AG173" s="162">
        <v>1.1200000000000001</v>
      </c>
      <c r="AH173" s="162">
        <v>0.7</v>
      </c>
      <c r="AI173" s="162" t="s">
        <v>5345</v>
      </c>
      <c r="AJ173" s="162" t="s">
        <v>34</v>
      </c>
      <c r="AK173" s="162" t="s">
        <v>2125</v>
      </c>
      <c r="AL173" s="162" t="s">
        <v>34</v>
      </c>
      <c r="AM173" t="s">
        <v>4803</v>
      </c>
      <c r="AN173" s="478"/>
      <c r="AO173" s="478"/>
    </row>
    <row r="174" spans="1:41" x14ac:dyDescent="0.2">
      <c r="A174">
        <v>173</v>
      </c>
      <c r="B174" s="462" t="s">
        <v>1146</v>
      </c>
      <c r="C174" s="162" t="s">
        <v>5417</v>
      </c>
      <c r="D174" s="162" t="s">
        <v>5418</v>
      </c>
      <c r="E174" s="162" t="s">
        <v>2041</v>
      </c>
      <c r="F174" s="162" t="s">
        <v>2042</v>
      </c>
      <c r="G174" s="162" t="s">
        <v>34</v>
      </c>
      <c r="H174" s="162" t="s">
        <v>2128</v>
      </c>
      <c r="I174" s="162" t="s">
        <v>2722</v>
      </c>
      <c r="J174" s="162" t="s">
        <v>1764</v>
      </c>
      <c r="K174" s="162" t="s">
        <v>5419</v>
      </c>
      <c r="L174" s="162" t="s">
        <v>5420</v>
      </c>
      <c r="M174" s="162">
        <v>14835</v>
      </c>
      <c r="N174" s="162" t="s">
        <v>5417</v>
      </c>
      <c r="O174" s="162" t="s">
        <v>904</v>
      </c>
      <c r="P174" s="162" t="s">
        <v>5421</v>
      </c>
      <c r="Q174" s="162" t="s">
        <v>2126</v>
      </c>
      <c r="R174" s="162" t="s">
        <v>2121</v>
      </c>
      <c r="S174" s="162" t="s">
        <v>2786</v>
      </c>
      <c r="T174" s="162">
        <v>8</v>
      </c>
      <c r="U174" s="162" t="s">
        <v>1947</v>
      </c>
      <c r="V174" s="162" t="s">
        <v>3588</v>
      </c>
      <c r="W174" s="162" t="s">
        <v>5422</v>
      </c>
      <c r="X174" s="162" t="s">
        <v>2122</v>
      </c>
      <c r="Y174" s="162" t="s">
        <v>109</v>
      </c>
      <c r="Z174" s="162" t="s">
        <v>109</v>
      </c>
      <c r="AA174" s="162" t="s">
        <v>109</v>
      </c>
      <c r="AB174" s="162" t="s">
        <v>34</v>
      </c>
      <c r="AC174" s="162" t="s">
        <v>2123</v>
      </c>
      <c r="AD174" s="162" t="s">
        <v>2124</v>
      </c>
      <c r="AE174" s="162" t="s">
        <v>1758</v>
      </c>
      <c r="AF174" s="162" t="s">
        <v>3347</v>
      </c>
      <c r="AG174" s="162" t="s">
        <v>34</v>
      </c>
      <c r="AH174" s="162" t="s">
        <v>34</v>
      </c>
      <c r="AI174" s="162" t="s">
        <v>34</v>
      </c>
      <c r="AJ174" s="162" t="s">
        <v>34</v>
      </c>
      <c r="AK174" s="162" t="s">
        <v>2125</v>
      </c>
      <c r="AL174" s="162" t="s">
        <v>34</v>
      </c>
      <c r="AM174" t="s">
        <v>4803</v>
      </c>
      <c r="AN174" s="478"/>
      <c r="AO174" s="478"/>
    </row>
    <row r="175" spans="1:41" x14ac:dyDescent="0.2">
      <c r="A175">
        <v>174</v>
      </c>
      <c r="B175" s="462" t="s">
        <v>1146</v>
      </c>
      <c r="C175" s="162" t="s">
        <v>5423</v>
      </c>
      <c r="D175" s="162" t="s">
        <v>5424</v>
      </c>
      <c r="E175" s="162" t="s">
        <v>2041</v>
      </c>
      <c r="F175" s="162" t="s">
        <v>2042</v>
      </c>
      <c r="G175" s="162" t="s">
        <v>34</v>
      </c>
      <c r="H175" s="162" t="s">
        <v>2128</v>
      </c>
      <c r="I175" s="162" t="s">
        <v>5651</v>
      </c>
      <c r="J175" s="162" t="s">
        <v>2740</v>
      </c>
      <c r="K175" s="162" t="s">
        <v>5425</v>
      </c>
      <c r="L175" s="162" t="s">
        <v>5426</v>
      </c>
      <c r="M175" s="162" t="s">
        <v>5427</v>
      </c>
      <c r="N175" s="162" t="s">
        <v>5423</v>
      </c>
      <c r="O175" s="162" t="s">
        <v>904</v>
      </c>
      <c r="P175" s="162" t="s">
        <v>5428</v>
      </c>
      <c r="Q175" s="162" t="s">
        <v>5429</v>
      </c>
      <c r="R175" s="162" t="s">
        <v>2222</v>
      </c>
      <c r="S175" s="162" t="s">
        <v>2744</v>
      </c>
      <c r="T175" s="162">
        <v>1.04</v>
      </c>
      <c r="U175" s="162" t="s">
        <v>1947</v>
      </c>
      <c r="V175" s="162" t="s">
        <v>5426</v>
      </c>
      <c r="W175" s="162" t="s">
        <v>5427</v>
      </c>
      <c r="X175" s="162" t="s">
        <v>5430</v>
      </c>
      <c r="Y175" s="162" t="s">
        <v>109</v>
      </c>
      <c r="Z175" s="162" t="s">
        <v>109</v>
      </c>
      <c r="AA175" s="162" t="s">
        <v>109</v>
      </c>
      <c r="AB175" s="162" t="s">
        <v>4709</v>
      </c>
      <c r="AC175" s="162" t="s">
        <v>2123</v>
      </c>
      <c r="AD175" s="162" t="s">
        <v>2124</v>
      </c>
      <c r="AE175" s="162" t="s">
        <v>1758</v>
      </c>
      <c r="AF175" s="162" t="s">
        <v>3347</v>
      </c>
      <c r="AG175" s="162" t="s">
        <v>34</v>
      </c>
      <c r="AH175" s="162" t="s">
        <v>34</v>
      </c>
      <c r="AI175" s="162" t="s">
        <v>34</v>
      </c>
      <c r="AJ175" s="162" t="s">
        <v>34</v>
      </c>
      <c r="AK175" s="162" t="s">
        <v>2125</v>
      </c>
      <c r="AL175" s="162" t="s">
        <v>34</v>
      </c>
      <c r="AM175" t="s">
        <v>4803</v>
      </c>
      <c r="AN175" s="478"/>
      <c r="AO175" s="478"/>
    </row>
    <row r="176" spans="1:41" x14ac:dyDescent="0.2">
      <c r="A176">
        <v>175</v>
      </c>
      <c r="B176" s="462" t="s">
        <v>1146</v>
      </c>
      <c r="C176" s="162" t="s">
        <v>5069</v>
      </c>
      <c r="D176" s="162" t="s">
        <v>5070</v>
      </c>
      <c r="E176" s="162" t="s">
        <v>5071</v>
      </c>
      <c r="F176" s="162" t="s">
        <v>5072</v>
      </c>
      <c r="G176" s="162" t="s">
        <v>34</v>
      </c>
      <c r="H176" s="162" t="s">
        <v>2128</v>
      </c>
      <c r="I176" s="162" t="s">
        <v>5651</v>
      </c>
      <c r="J176" s="162" t="s">
        <v>1764</v>
      </c>
      <c r="K176" s="162" t="s">
        <v>5073</v>
      </c>
      <c r="L176" s="162" t="s">
        <v>2469</v>
      </c>
      <c r="M176" s="162">
        <v>851899</v>
      </c>
      <c r="N176" s="162" t="s">
        <v>5069</v>
      </c>
      <c r="O176" s="162" t="s">
        <v>5074</v>
      </c>
      <c r="P176" s="162" t="s">
        <v>3501</v>
      </c>
      <c r="Q176" s="162" t="s">
        <v>3502</v>
      </c>
      <c r="R176" s="162" t="s">
        <v>5075</v>
      </c>
      <c r="S176" s="162" t="s">
        <v>5076</v>
      </c>
      <c r="T176" s="162">
        <v>2.75</v>
      </c>
      <c r="U176" s="162" t="s">
        <v>1947</v>
      </c>
      <c r="V176" s="162" t="s">
        <v>5077</v>
      </c>
      <c r="W176" s="162" t="s">
        <v>5078</v>
      </c>
      <c r="X176" s="162" t="s">
        <v>3309</v>
      </c>
      <c r="Y176" s="162" t="s">
        <v>109</v>
      </c>
      <c r="Z176" s="162" t="s">
        <v>109</v>
      </c>
      <c r="AA176" s="162" t="s">
        <v>109</v>
      </c>
      <c r="AB176" s="162" t="s">
        <v>5079</v>
      </c>
      <c r="AC176" s="162" t="s">
        <v>4437</v>
      </c>
      <c r="AD176" s="162" t="s">
        <v>5080</v>
      </c>
      <c r="AE176" s="162" t="s">
        <v>1758</v>
      </c>
      <c r="AF176" s="162" t="s">
        <v>109</v>
      </c>
      <c r="AG176" s="162" t="s">
        <v>109</v>
      </c>
      <c r="AH176" s="162" t="s">
        <v>109</v>
      </c>
      <c r="AI176" s="162" t="s">
        <v>109</v>
      </c>
      <c r="AJ176" s="162" t="s">
        <v>109</v>
      </c>
      <c r="AK176" s="162" t="s">
        <v>2125</v>
      </c>
      <c r="AL176" s="162" t="s">
        <v>109</v>
      </c>
      <c r="AM176" t="s">
        <v>4806</v>
      </c>
      <c r="AN176" s="478"/>
      <c r="AO176" s="478"/>
    </row>
    <row r="177" spans="1:41" x14ac:dyDescent="0.2">
      <c r="A177">
        <v>176</v>
      </c>
      <c r="B177" s="462" t="s">
        <v>1146</v>
      </c>
      <c r="C177" s="162" t="s">
        <v>5542</v>
      </c>
      <c r="D177" s="162" t="s">
        <v>5543</v>
      </c>
      <c r="E177" s="162" t="s">
        <v>2041</v>
      </c>
      <c r="F177" s="162" t="s">
        <v>2042</v>
      </c>
      <c r="G177" s="162" t="s">
        <v>34</v>
      </c>
      <c r="H177" s="162" t="s">
        <v>2128</v>
      </c>
      <c r="I177" s="162" t="s">
        <v>2722</v>
      </c>
      <c r="J177" s="162" t="s">
        <v>1764</v>
      </c>
      <c r="K177" s="162" t="s">
        <v>5542</v>
      </c>
      <c r="L177" s="162" t="s">
        <v>5544</v>
      </c>
      <c r="M177" s="162">
        <v>141000305</v>
      </c>
      <c r="N177" s="162" t="s">
        <v>5545</v>
      </c>
      <c r="O177" s="162" t="s">
        <v>2399</v>
      </c>
      <c r="P177" s="162" t="s">
        <v>5546</v>
      </c>
      <c r="Q177" s="162" t="s">
        <v>2731</v>
      </c>
      <c r="R177" s="162" t="s">
        <v>2121</v>
      </c>
      <c r="S177" s="162" t="s">
        <v>5547</v>
      </c>
      <c r="T177" s="162">
        <v>3.41</v>
      </c>
      <c r="U177" s="162" t="s">
        <v>1947</v>
      </c>
      <c r="V177" s="162" t="s">
        <v>5548</v>
      </c>
      <c r="W177" s="162">
        <v>141000305</v>
      </c>
      <c r="X177" s="162" t="s">
        <v>2734</v>
      </c>
      <c r="Y177" s="162" t="s">
        <v>5548</v>
      </c>
      <c r="Z177" s="162">
        <v>141000305</v>
      </c>
      <c r="AA177" s="162" t="s">
        <v>2734</v>
      </c>
      <c r="AB177" s="162" t="s">
        <v>5549</v>
      </c>
      <c r="AC177" s="162" t="s">
        <v>2123</v>
      </c>
      <c r="AD177" s="162" t="s">
        <v>5132</v>
      </c>
      <c r="AE177" s="162" t="s">
        <v>1758</v>
      </c>
      <c r="AF177" s="162" t="s">
        <v>3347</v>
      </c>
      <c r="AG177" s="162" t="s">
        <v>34</v>
      </c>
      <c r="AH177" s="162" t="s">
        <v>34</v>
      </c>
      <c r="AI177" s="162" t="s">
        <v>34</v>
      </c>
      <c r="AJ177" s="162" t="s">
        <v>34</v>
      </c>
      <c r="AK177" s="162" t="s">
        <v>2125</v>
      </c>
      <c r="AL177" s="162" t="s">
        <v>34</v>
      </c>
      <c r="AM177" t="s">
        <v>4803</v>
      </c>
      <c r="AN177" s="478">
        <v>0</v>
      </c>
      <c r="AO177" s="478">
        <v>0</v>
      </c>
    </row>
    <row r="178" spans="1:41" x14ac:dyDescent="0.2">
      <c r="A178">
        <v>177</v>
      </c>
      <c r="B178" s="462" t="s">
        <v>3701</v>
      </c>
      <c r="C178" s="162" t="s">
        <v>1905</v>
      </c>
      <c r="D178" s="162" t="s">
        <v>4090</v>
      </c>
      <c r="E178" s="162" t="s">
        <v>3702</v>
      </c>
      <c r="F178" s="162" t="s">
        <v>3703</v>
      </c>
      <c r="G178" s="162" t="s">
        <v>34</v>
      </c>
      <c r="H178" s="162" t="s">
        <v>2128</v>
      </c>
      <c r="I178" s="162" t="s">
        <v>5651</v>
      </c>
      <c r="J178" s="162" t="s">
        <v>2740</v>
      </c>
      <c r="K178" s="162" t="s">
        <v>2132</v>
      </c>
      <c r="L178" s="162" t="s">
        <v>2491</v>
      </c>
      <c r="M178" s="162" t="s">
        <v>3704</v>
      </c>
      <c r="N178" s="162" t="s">
        <v>1843</v>
      </c>
      <c r="O178" s="162" t="s">
        <v>904</v>
      </c>
      <c r="P178" s="162" t="s">
        <v>2187</v>
      </c>
      <c r="Q178" s="162" t="s">
        <v>2204</v>
      </c>
      <c r="R178" s="162" t="s">
        <v>2185</v>
      </c>
      <c r="S178" s="162" t="s">
        <v>3705</v>
      </c>
      <c r="T178" s="162">
        <v>15.6</v>
      </c>
      <c r="U178" s="162" t="s">
        <v>1947</v>
      </c>
      <c r="V178" s="162" t="s">
        <v>3706</v>
      </c>
      <c r="W178" s="162" t="s">
        <v>3707</v>
      </c>
      <c r="X178" s="162" t="s">
        <v>2122</v>
      </c>
      <c r="Y178" s="162" t="s">
        <v>3708</v>
      </c>
      <c r="Z178" s="162" t="s">
        <v>3709</v>
      </c>
      <c r="AA178" s="162" t="s">
        <v>2122</v>
      </c>
      <c r="AB178" s="162" t="s">
        <v>34</v>
      </c>
      <c r="AC178" s="162" t="s">
        <v>2123</v>
      </c>
      <c r="AD178" s="162" t="s">
        <v>2124</v>
      </c>
      <c r="AE178" s="162" t="s">
        <v>1758</v>
      </c>
      <c r="AF178" s="162" t="s">
        <v>3347</v>
      </c>
      <c r="AG178" s="162" t="s">
        <v>34</v>
      </c>
      <c r="AH178" s="162" t="s">
        <v>34</v>
      </c>
      <c r="AI178" s="162" t="s">
        <v>34</v>
      </c>
      <c r="AJ178" s="162" t="s">
        <v>34</v>
      </c>
      <c r="AK178" s="162" t="s">
        <v>2125</v>
      </c>
      <c r="AL178" s="162" t="s">
        <v>34</v>
      </c>
      <c r="AM178" t="s">
        <v>4803</v>
      </c>
      <c r="AN178" s="478">
        <v>0</v>
      </c>
      <c r="AO178" s="478">
        <v>0</v>
      </c>
    </row>
    <row r="179" spans="1:41" x14ac:dyDescent="0.2">
      <c r="A179">
        <v>178</v>
      </c>
      <c r="B179" s="462" t="s">
        <v>1165</v>
      </c>
      <c r="C179" s="162" t="s">
        <v>1168</v>
      </c>
      <c r="D179" s="162" t="s">
        <v>4953</v>
      </c>
      <c r="E179" s="162" t="s">
        <v>4954</v>
      </c>
      <c r="F179" s="162" t="s">
        <v>4955</v>
      </c>
      <c r="G179" s="162" t="s">
        <v>34</v>
      </c>
      <c r="H179" s="162" t="s">
        <v>2128</v>
      </c>
      <c r="I179" s="162" t="s">
        <v>5651</v>
      </c>
      <c r="J179" s="162" t="s">
        <v>1764</v>
      </c>
      <c r="K179" s="162" t="s">
        <v>4956</v>
      </c>
      <c r="L179" s="162" t="s">
        <v>4957</v>
      </c>
      <c r="M179" s="162" t="s">
        <v>4958</v>
      </c>
      <c r="N179" s="162" t="s">
        <v>4959</v>
      </c>
      <c r="O179" s="162" t="s">
        <v>904</v>
      </c>
      <c r="P179" s="162" t="s">
        <v>4960</v>
      </c>
      <c r="Q179" s="162" t="s">
        <v>2204</v>
      </c>
      <c r="R179" s="162" t="s">
        <v>2121</v>
      </c>
      <c r="S179" s="162" t="s">
        <v>4961</v>
      </c>
      <c r="T179" s="162">
        <v>13.125</v>
      </c>
      <c r="U179" s="162" t="s">
        <v>2151</v>
      </c>
      <c r="V179" s="162" t="s">
        <v>4962</v>
      </c>
      <c r="W179" s="162" t="s">
        <v>4963</v>
      </c>
      <c r="X179" s="162" t="s">
        <v>2122</v>
      </c>
      <c r="Y179" s="162" t="s">
        <v>109</v>
      </c>
      <c r="Z179" s="162" t="s">
        <v>109</v>
      </c>
      <c r="AA179" s="162" t="s">
        <v>109</v>
      </c>
      <c r="AB179" s="162" t="s">
        <v>34</v>
      </c>
      <c r="AC179" s="162" t="s">
        <v>2123</v>
      </c>
      <c r="AD179" s="162" t="s">
        <v>4501</v>
      </c>
      <c r="AE179" s="162" t="s">
        <v>1758</v>
      </c>
      <c r="AF179" s="162" t="s">
        <v>3347</v>
      </c>
      <c r="AG179" s="162" t="s">
        <v>34</v>
      </c>
      <c r="AH179" s="162" t="s">
        <v>34</v>
      </c>
      <c r="AI179" s="162" t="s">
        <v>34</v>
      </c>
      <c r="AJ179" s="162" t="s">
        <v>34</v>
      </c>
      <c r="AK179" s="162" t="s">
        <v>2125</v>
      </c>
      <c r="AL179" s="162" t="s">
        <v>34</v>
      </c>
      <c r="AM179" t="s">
        <v>4804</v>
      </c>
      <c r="AN179" s="478"/>
      <c r="AO179" s="478"/>
    </row>
    <row r="180" spans="1:41" x14ac:dyDescent="0.2">
      <c r="A180">
        <v>179</v>
      </c>
      <c r="B180" s="462" t="s">
        <v>5488</v>
      </c>
      <c r="C180" s="162" t="s">
        <v>5505</v>
      </c>
      <c r="D180" s="162" t="s">
        <v>5506</v>
      </c>
      <c r="E180" s="162" t="s">
        <v>5489</v>
      </c>
      <c r="F180" s="162" t="s">
        <v>5490</v>
      </c>
      <c r="G180" s="162"/>
      <c r="H180" s="162" t="s">
        <v>2128</v>
      </c>
      <c r="I180" s="162" t="s">
        <v>5651</v>
      </c>
      <c r="J180" s="162" t="s">
        <v>2116</v>
      </c>
      <c r="K180" s="162" t="s">
        <v>5505</v>
      </c>
      <c r="L180" s="162" t="s">
        <v>5492</v>
      </c>
      <c r="M180" s="162" t="s">
        <v>5493</v>
      </c>
      <c r="N180" s="162" t="s">
        <v>5507</v>
      </c>
      <c r="O180" s="162" t="s">
        <v>5669</v>
      </c>
      <c r="P180" s="162" t="s">
        <v>2719</v>
      </c>
      <c r="Q180" s="162" t="s">
        <v>2126</v>
      </c>
      <c r="R180" s="162" t="s">
        <v>2295</v>
      </c>
      <c r="S180" s="162" t="s">
        <v>5494</v>
      </c>
      <c r="T180" s="162">
        <v>26.8125</v>
      </c>
      <c r="U180" s="162" t="s">
        <v>2150</v>
      </c>
      <c r="V180" s="162" t="s">
        <v>5508</v>
      </c>
      <c r="W180" s="162">
        <v>63613055</v>
      </c>
      <c r="X180" s="162" t="s">
        <v>5496</v>
      </c>
      <c r="Y180" s="162" t="s">
        <v>5497</v>
      </c>
      <c r="Z180" s="162" t="s">
        <v>5498</v>
      </c>
      <c r="AA180" s="162" t="s">
        <v>5496</v>
      </c>
      <c r="AB180" s="162" t="s">
        <v>34</v>
      </c>
      <c r="AC180" s="162" t="s">
        <v>2123</v>
      </c>
      <c r="AD180" s="162" t="s">
        <v>5499</v>
      </c>
      <c r="AE180" s="162" t="s">
        <v>5500</v>
      </c>
      <c r="AF180" s="162">
        <v>6</v>
      </c>
      <c r="AG180" s="162">
        <v>64</v>
      </c>
      <c r="AH180" s="162">
        <v>15</v>
      </c>
      <c r="AI180" s="162" t="s">
        <v>34</v>
      </c>
      <c r="AJ180" s="162" t="s">
        <v>34</v>
      </c>
      <c r="AK180" s="162" t="s">
        <v>2125</v>
      </c>
      <c r="AL180" s="162" t="s">
        <v>5503</v>
      </c>
      <c r="AM180" t="s">
        <v>4806</v>
      </c>
      <c r="AN180" s="478"/>
      <c r="AO180" s="478"/>
    </row>
    <row r="181" spans="1:41" x14ac:dyDescent="0.2">
      <c r="A181">
        <v>180</v>
      </c>
      <c r="B181" s="462" t="s">
        <v>5488</v>
      </c>
      <c r="C181" s="162" t="s">
        <v>1340</v>
      </c>
      <c r="D181" s="162" t="s">
        <v>5509</v>
      </c>
      <c r="E181" s="162" t="s">
        <v>5489</v>
      </c>
      <c r="F181" s="162" t="s">
        <v>5490</v>
      </c>
      <c r="G181" s="162" t="s">
        <v>4739</v>
      </c>
      <c r="H181" s="162" t="s">
        <v>2128</v>
      </c>
      <c r="I181" s="162" t="s">
        <v>5651</v>
      </c>
      <c r="J181" s="162" t="s">
        <v>2116</v>
      </c>
      <c r="K181" s="162" t="s">
        <v>1340</v>
      </c>
      <c r="L181" s="162" t="s">
        <v>5492</v>
      </c>
      <c r="M181" s="540" t="s">
        <v>5510</v>
      </c>
      <c r="N181" s="162" t="s">
        <v>5511</v>
      </c>
      <c r="O181" s="162" t="s">
        <v>5669</v>
      </c>
      <c r="P181" s="162" t="s">
        <v>2719</v>
      </c>
      <c r="Q181" s="162" t="s">
        <v>2126</v>
      </c>
      <c r="R181" s="162" t="s">
        <v>2295</v>
      </c>
      <c r="S181" s="162" t="s">
        <v>5494</v>
      </c>
      <c r="T181" s="162">
        <v>26.8125</v>
      </c>
      <c r="U181" s="162" t="s">
        <v>2150</v>
      </c>
      <c r="V181" s="162" t="s">
        <v>5508</v>
      </c>
      <c r="W181" s="162">
        <v>63613055</v>
      </c>
      <c r="X181" s="162" t="s">
        <v>5496</v>
      </c>
      <c r="Y181" s="162" t="s">
        <v>5497</v>
      </c>
      <c r="Z181" s="162" t="s">
        <v>5498</v>
      </c>
      <c r="AA181" s="162" t="s">
        <v>5496</v>
      </c>
      <c r="AB181" s="162" t="s">
        <v>34</v>
      </c>
      <c r="AC181" s="162" t="s">
        <v>2123</v>
      </c>
      <c r="AD181" s="162" t="s">
        <v>5499</v>
      </c>
      <c r="AE181" s="162" t="s">
        <v>5500</v>
      </c>
      <c r="AF181" s="162">
        <v>17</v>
      </c>
      <c r="AG181" s="162">
        <v>40</v>
      </c>
      <c r="AH181" s="162">
        <v>13</v>
      </c>
      <c r="AI181" s="162" t="s">
        <v>5512</v>
      </c>
      <c r="AJ181" s="162" t="s">
        <v>34</v>
      </c>
      <c r="AK181" s="162" t="s">
        <v>2125</v>
      </c>
      <c r="AL181" s="162" t="s">
        <v>34</v>
      </c>
      <c r="AM181" t="s">
        <v>4806</v>
      </c>
      <c r="AN181" s="478"/>
      <c r="AO181" s="478"/>
    </row>
    <row r="182" spans="1:41" x14ac:dyDescent="0.2">
      <c r="A182">
        <v>181</v>
      </c>
      <c r="B182" s="462" t="s">
        <v>5488</v>
      </c>
      <c r="C182" s="162" t="s">
        <v>5491</v>
      </c>
      <c r="D182" s="162" t="s">
        <v>5504</v>
      </c>
      <c r="E182" s="162" t="s">
        <v>5489</v>
      </c>
      <c r="F182" s="162" t="s">
        <v>5490</v>
      </c>
      <c r="G182" s="162"/>
      <c r="H182" s="162" t="s">
        <v>2128</v>
      </c>
      <c r="I182" s="162" t="s">
        <v>5651</v>
      </c>
      <c r="J182" s="162" t="s">
        <v>2116</v>
      </c>
      <c r="K182" s="162" t="s">
        <v>5491</v>
      </c>
      <c r="L182" s="162" t="s">
        <v>5492</v>
      </c>
      <c r="M182" s="162" t="s">
        <v>5493</v>
      </c>
      <c r="N182" s="162" t="s">
        <v>5491</v>
      </c>
      <c r="O182" s="162" t="s">
        <v>5669</v>
      </c>
      <c r="P182" s="162" t="s">
        <v>2719</v>
      </c>
      <c r="Q182" s="162" t="s">
        <v>2126</v>
      </c>
      <c r="R182" s="162" t="s">
        <v>2295</v>
      </c>
      <c r="S182" s="162" t="s">
        <v>5494</v>
      </c>
      <c r="T182" s="162">
        <v>26.8125</v>
      </c>
      <c r="U182" s="162" t="s">
        <v>2150</v>
      </c>
      <c r="V182" s="162" t="s">
        <v>5495</v>
      </c>
      <c r="W182" s="162">
        <v>63619041</v>
      </c>
      <c r="X182" s="162" t="s">
        <v>5496</v>
      </c>
      <c r="Y182" s="162" t="s">
        <v>5497</v>
      </c>
      <c r="Z182" s="162" t="s">
        <v>5498</v>
      </c>
      <c r="AA182" s="162" t="s">
        <v>5496</v>
      </c>
      <c r="AB182" s="162" t="s">
        <v>34</v>
      </c>
      <c r="AC182" s="162" t="s">
        <v>2123</v>
      </c>
      <c r="AD182" s="162" t="s">
        <v>5499</v>
      </c>
      <c r="AE182" s="162" t="s">
        <v>5500</v>
      </c>
      <c r="AF182" s="162">
        <v>17</v>
      </c>
      <c r="AG182" s="162">
        <v>40</v>
      </c>
      <c r="AH182" s="162">
        <v>13</v>
      </c>
      <c r="AI182" s="162" t="s">
        <v>5501</v>
      </c>
      <c r="AJ182" s="162" t="s">
        <v>5502</v>
      </c>
      <c r="AK182" s="162" t="s">
        <v>2125</v>
      </c>
      <c r="AL182" s="162" t="s">
        <v>5503</v>
      </c>
      <c r="AM182" t="s">
        <v>4806</v>
      </c>
      <c r="AN182" s="478"/>
      <c r="AO182" s="478"/>
    </row>
    <row r="183" spans="1:41" x14ac:dyDescent="0.2">
      <c r="A183">
        <v>182</v>
      </c>
      <c r="B183" s="462" t="s">
        <v>1170</v>
      </c>
      <c r="C183" s="162" t="s">
        <v>1174</v>
      </c>
      <c r="D183" s="162" t="s">
        <v>4091</v>
      </c>
      <c r="E183" s="162" t="s">
        <v>2043</v>
      </c>
      <c r="F183" s="162" t="s">
        <v>2008</v>
      </c>
      <c r="G183" s="162" t="s">
        <v>34</v>
      </c>
      <c r="H183" s="162" t="s">
        <v>2128</v>
      </c>
      <c r="I183" s="162" t="s">
        <v>5665</v>
      </c>
      <c r="J183" s="162" t="s">
        <v>2740</v>
      </c>
      <c r="K183" s="162" t="s">
        <v>2775</v>
      </c>
      <c r="L183" s="162" t="s">
        <v>2243</v>
      </c>
      <c r="M183" s="540" t="s">
        <v>2776</v>
      </c>
      <c r="N183" s="162" t="s">
        <v>1174</v>
      </c>
      <c r="O183" s="162" t="s">
        <v>5188</v>
      </c>
      <c r="P183" s="162" t="s">
        <v>4894</v>
      </c>
      <c r="Q183" s="162" t="s">
        <v>2191</v>
      </c>
      <c r="R183" s="162" t="s">
        <v>2121</v>
      </c>
      <c r="S183" s="162" t="s">
        <v>5189</v>
      </c>
      <c r="T183" s="162">
        <v>1056</v>
      </c>
      <c r="U183" s="162" t="s">
        <v>2151</v>
      </c>
      <c r="V183" s="162" t="s">
        <v>2760</v>
      </c>
      <c r="W183" s="162">
        <v>1281</v>
      </c>
      <c r="X183" s="162" t="s">
        <v>2763</v>
      </c>
      <c r="Y183" s="162" t="s">
        <v>2764</v>
      </c>
      <c r="Z183" s="162" t="s">
        <v>2765</v>
      </c>
      <c r="AA183" s="162" t="s">
        <v>2122</v>
      </c>
      <c r="AB183" s="162" t="s">
        <v>5190</v>
      </c>
      <c r="AC183" s="162" t="s">
        <v>2123</v>
      </c>
      <c r="AD183" s="162" t="s">
        <v>2124</v>
      </c>
      <c r="AE183" s="162" t="s">
        <v>1758</v>
      </c>
      <c r="AF183" s="162">
        <v>5</v>
      </c>
      <c r="AG183" s="162">
        <v>240</v>
      </c>
      <c r="AH183" s="162">
        <v>60</v>
      </c>
      <c r="AI183" s="162" t="s">
        <v>34</v>
      </c>
      <c r="AJ183" s="162" t="s">
        <v>34</v>
      </c>
      <c r="AK183" s="162" t="s">
        <v>2125</v>
      </c>
      <c r="AL183" s="162" t="s">
        <v>34</v>
      </c>
      <c r="AM183" t="s">
        <v>4803</v>
      </c>
      <c r="AN183" s="478">
        <v>0</v>
      </c>
      <c r="AO183" s="478">
        <v>0</v>
      </c>
    </row>
    <row r="184" spans="1:41" x14ac:dyDescent="0.2">
      <c r="A184">
        <v>183</v>
      </c>
      <c r="B184" s="462" t="s">
        <v>1170</v>
      </c>
      <c r="C184" s="162" t="s">
        <v>1176</v>
      </c>
      <c r="D184" s="162" t="s">
        <v>4092</v>
      </c>
      <c r="E184" s="162" t="s">
        <v>2043</v>
      </c>
      <c r="F184" s="162" t="s">
        <v>2008</v>
      </c>
      <c r="G184" s="162" t="s">
        <v>34</v>
      </c>
      <c r="H184" s="162" t="s">
        <v>2128</v>
      </c>
      <c r="I184" s="162" t="s">
        <v>5665</v>
      </c>
      <c r="J184" s="162" t="s">
        <v>2396</v>
      </c>
      <c r="K184" s="162" t="s">
        <v>2773</v>
      </c>
      <c r="L184" s="162" t="s">
        <v>2243</v>
      </c>
      <c r="M184" s="540" t="s">
        <v>2774</v>
      </c>
      <c r="N184" s="162" t="s">
        <v>1176</v>
      </c>
      <c r="O184" s="162" t="s">
        <v>5188</v>
      </c>
      <c r="P184" s="162" t="s">
        <v>4895</v>
      </c>
      <c r="Q184" s="162" t="s">
        <v>2191</v>
      </c>
      <c r="R184" s="162" t="s">
        <v>2121</v>
      </c>
      <c r="S184" s="162" t="s">
        <v>5189</v>
      </c>
      <c r="T184" s="162">
        <v>1056</v>
      </c>
      <c r="U184" s="162" t="s">
        <v>2151</v>
      </c>
      <c r="V184" s="162" t="s">
        <v>2760</v>
      </c>
      <c r="W184" s="162">
        <v>1280</v>
      </c>
      <c r="X184" s="162" t="s">
        <v>2763</v>
      </c>
      <c r="Y184" s="162" t="s">
        <v>2764</v>
      </c>
      <c r="Z184" s="162" t="s">
        <v>2765</v>
      </c>
      <c r="AA184" s="162" t="s">
        <v>2122</v>
      </c>
      <c r="AB184" s="162" t="s">
        <v>5191</v>
      </c>
      <c r="AC184" s="162" t="s">
        <v>2123</v>
      </c>
      <c r="AD184" s="162" t="s">
        <v>2124</v>
      </c>
      <c r="AE184" s="162" t="s">
        <v>1758</v>
      </c>
      <c r="AF184" s="162">
        <v>5</v>
      </c>
      <c r="AG184" s="162">
        <v>240</v>
      </c>
      <c r="AH184" s="162">
        <v>60</v>
      </c>
      <c r="AI184" s="162" t="s">
        <v>34</v>
      </c>
      <c r="AJ184" s="162" t="s">
        <v>34</v>
      </c>
      <c r="AK184" s="162" t="s">
        <v>2125</v>
      </c>
      <c r="AL184" s="162" t="s">
        <v>34</v>
      </c>
      <c r="AM184" t="s">
        <v>4803</v>
      </c>
      <c r="AN184" s="478">
        <v>0</v>
      </c>
      <c r="AO184" s="478">
        <v>0</v>
      </c>
    </row>
    <row r="185" spans="1:41" x14ac:dyDescent="0.2">
      <c r="A185">
        <v>184</v>
      </c>
      <c r="B185" s="462" t="s">
        <v>1170</v>
      </c>
      <c r="C185" s="162" t="s">
        <v>1172</v>
      </c>
      <c r="D185" s="162" t="s">
        <v>4093</v>
      </c>
      <c r="E185" s="162" t="s">
        <v>2043</v>
      </c>
      <c r="F185" s="162" t="s">
        <v>2008</v>
      </c>
      <c r="G185" s="162" t="s">
        <v>34</v>
      </c>
      <c r="H185" s="162" t="s">
        <v>2128</v>
      </c>
      <c r="I185" s="162" t="s">
        <v>5665</v>
      </c>
      <c r="J185" s="162" t="s">
        <v>2396</v>
      </c>
      <c r="K185" s="162" t="s">
        <v>2778</v>
      </c>
      <c r="L185" s="162" t="s">
        <v>2243</v>
      </c>
      <c r="M185" s="540" t="s">
        <v>2779</v>
      </c>
      <c r="N185" s="162" t="s">
        <v>1172</v>
      </c>
      <c r="O185" s="162" t="s">
        <v>5188</v>
      </c>
      <c r="P185" s="162" t="s">
        <v>2279</v>
      </c>
      <c r="Q185" s="162" t="s">
        <v>2191</v>
      </c>
      <c r="R185" s="162" t="s">
        <v>2121</v>
      </c>
      <c r="S185" s="162" t="s">
        <v>5189</v>
      </c>
      <c r="T185" s="162">
        <v>1056</v>
      </c>
      <c r="U185" s="162" t="s">
        <v>2151</v>
      </c>
      <c r="V185" s="162" t="s">
        <v>2760</v>
      </c>
      <c r="W185" s="162">
        <v>15590</v>
      </c>
      <c r="X185" s="162" t="s">
        <v>2763</v>
      </c>
      <c r="Y185" s="162" t="s">
        <v>2764</v>
      </c>
      <c r="Z185" s="162" t="s">
        <v>2765</v>
      </c>
      <c r="AA185" s="162" t="s">
        <v>2122</v>
      </c>
      <c r="AB185" s="162" t="s">
        <v>5192</v>
      </c>
      <c r="AC185" s="162" t="s">
        <v>2123</v>
      </c>
      <c r="AD185" s="162" t="s">
        <v>2124</v>
      </c>
      <c r="AE185" s="162" t="s">
        <v>1758</v>
      </c>
      <c r="AF185" s="162" t="s">
        <v>3347</v>
      </c>
      <c r="AG185" s="162" t="s">
        <v>34</v>
      </c>
      <c r="AH185" s="162" t="s">
        <v>34</v>
      </c>
      <c r="AI185" s="162" t="s">
        <v>34</v>
      </c>
      <c r="AJ185" s="162" t="s">
        <v>34</v>
      </c>
      <c r="AK185" s="162" t="s">
        <v>2125</v>
      </c>
      <c r="AL185" s="162" t="s">
        <v>34</v>
      </c>
      <c r="AM185" t="s">
        <v>4803</v>
      </c>
      <c r="AN185" s="478">
        <v>0</v>
      </c>
      <c r="AO185" s="478">
        <v>0</v>
      </c>
    </row>
    <row r="186" spans="1:41" x14ac:dyDescent="0.2">
      <c r="A186">
        <v>185</v>
      </c>
      <c r="B186" s="462" t="s">
        <v>1170</v>
      </c>
      <c r="C186" s="162" t="s">
        <v>1180</v>
      </c>
      <c r="D186" s="162" t="s">
        <v>4094</v>
      </c>
      <c r="E186" s="162" t="s">
        <v>2043</v>
      </c>
      <c r="F186" s="162" t="s">
        <v>2008</v>
      </c>
      <c r="G186" s="162" t="s">
        <v>34</v>
      </c>
      <c r="H186" s="162" t="s">
        <v>2128</v>
      </c>
      <c r="I186" s="162" t="s">
        <v>5665</v>
      </c>
      <c r="J186" s="162" t="s">
        <v>2396</v>
      </c>
      <c r="K186" s="162" t="s">
        <v>2766</v>
      </c>
      <c r="L186" s="162" t="s">
        <v>2243</v>
      </c>
      <c r="M186" s="162" t="s">
        <v>2767</v>
      </c>
      <c r="N186" s="162" t="s">
        <v>1180</v>
      </c>
      <c r="O186" s="162" t="s">
        <v>5188</v>
      </c>
      <c r="P186" s="162" t="s">
        <v>2768</v>
      </c>
      <c r="Q186" s="162" t="s">
        <v>2191</v>
      </c>
      <c r="R186" s="162" t="s">
        <v>2121</v>
      </c>
      <c r="S186" s="162" t="s">
        <v>5189</v>
      </c>
      <c r="T186" s="162">
        <v>1056</v>
      </c>
      <c r="U186" s="162" t="s">
        <v>2151</v>
      </c>
      <c r="V186" s="162" t="s">
        <v>2760</v>
      </c>
      <c r="W186" s="162">
        <v>996</v>
      </c>
      <c r="X186" s="162" t="s">
        <v>2763</v>
      </c>
      <c r="Y186" s="162" t="s">
        <v>2764</v>
      </c>
      <c r="Z186" s="162" t="s">
        <v>2765</v>
      </c>
      <c r="AA186" s="162" t="s">
        <v>2122</v>
      </c>
      <c r="AB186" s="162" t="s">
        <v>5193</v>
      </c>
      <c r="AC186" s="162" t="s">
        <v>2123</v>
      </c>
      <c r="AD186" s="162" t="s">
        <v>2124</v>
      </c>
      <c r="AE186" s="162" t="s">
        <v>1758</v>
      </c>
      <c r="AF186" s="162">
        <v>5</v>
      </c>
      <c r="AG186" s="162">
        <v>240</v>
      </c>
      <c r="AH186" s="162">
        <v>60</v>
      </c>
      <c r="AI186" s="162" t="s">
        <v>34</v>
      </c>
      <c r="AJ186" s="162" t="s">
        <v>34</v>
      </c>
      <c r="AK186" s="162" t="s">
        <v>2125</v>
      </c>
      <c r="AL186" s="162" t="s">
        <v>34</v>
      </c>
      <c r="AM186" t="s">
        <v>4803</v>
      </c>
      <c r="AN186" s="478">
        <v>0</v>
      </c>
      <c r="AO186" s="478">
        <v>0</v>
      </c>
    </row>
    <row r="187" spans="1:41" x14ac:dyDescent="0.2">
      <c r="A187">
        <v>186</v>
      </c>
      <c r="B187" s="462" t="s">
        <v>1170</v>
      </c>
      <c r="C187" s="162" t="s">
        <v>1178</v>
      </c>
      <c r="D187" s="162" t="s">
        <v>4095</v>
      </c>
      <c r="E187" s="162" t="s">
        <v>2043</v>
      </c>
      <c r="F187" s="162" t="s">
        <v>2008</v>
      </c>
      <c r="G187" s="162" t="s">
        <v>34</v>
      </c>
      <c r="H187" s="162" t="s">
        <v>2128</v>
      </c>
      <c r="I187" s="162" t="s">
        <v>5665</v>
      </c>
      <c r="J187" s="162" t="s">
        <v>2396</v>
      </c>
      <c r="K187" s="162" t="s">
        <v>2769</v>
      </c>
      <c r="L187" s="162" t="s">
        <v>2243</v>
      </c>
      <c r="M187" s="162" t="s">
        <v>2770</v>
      </c>
      <c r="N187" s="162" t="s">
        <v>1178</v>
      </c>
      <c r="O187" s="162" t="s">
        <v>5188</v>
      </c>
      <c r="P187" s="162" t="s">
        <v>3163</v>
      </c>
      <c r="Q187" s="162" t="s">
        <v>2191</v>
      </c>
      <c r="R187" s="162" t="s">
        <v>2121</v>
      </c>
      <c r="S187" s="162" t="s">
        <v>5189</v>
      </c>
      <c r="T187" s="162">
        <v>1056</v>
      </c>
      <c r="U187" s="162" t="s">
        <v>2151</v>
      </c>
      <c r="V187" s="162" t="s">
        <v>2760</v>
      </c>
      <c r="W187" s="162" t="s">
        <v>2772</v>
      </c>
      <c r="X187" s="162" t="s">
        <v>2763</v>
      </c>
      <c r="Y187" s="162" t="s">
        <v>2764</v>
      </c>
      <c r="Z187" s="162" t="s">
        <v>2765</v>
      </c>
      <c r="AA187" s="162" t="s">
        <v>2122</v>
      </c>
      <c r="AB187" s="162" t="s">
        <v>5194</v>
      </c>
      <c r="AC187" s="162" t="s">
        <v>2123</v>
      </c>
      <c r="AD187" s="162" t="s">
        <v>2124</v>
      </c>
      <c r="AE187" s="162" t="s">
        <v>1758</v>
      </c>
      <c r="AF187" s="162" t="s">
        <v>3347</v>
      </c>
      <c r="AG187" s="162" t="s">
        <v>34</v>
      </c>
      <c r="AH187" s="162" t="s">
        <v>34</v>
      </c>
      <c r="AI187" s="162" t="s">
        <v>34</v>
      </c>
      <c r="AJ187" s="162" t="s">
        <v>34</v>
      </c>
      <c r="AK187" s="162" t="s">
        <v>2125</v>
      </c>
      <c r="AL187" s="162" t="s">
        <v>34</v>
      </c>
      <c r="AM187" t="s">
        <v>4803</v>
      </c>
      <c r="AN187" s="478">
        <v>0</v>
      </c>
      <c r="AO187" s="478">
        <v>0</v>
      </c>
    </row>
    <row r="188" spans="1:41" x14ac:dyDescent="0.2">
      <c r="A188">
        <v>187</v>
      </c>
      <c r="B188" s="462" t="s">
        <v>1170</v>
      </c>
      <c r="C188" s="162" t="s">
        <v>1182</v>
      </c>
      <c r="D188" s="162" t="s">
        <v>4096</v>
      </c>
      <c r="E188" s="162" t="s">
        <v>2043</v>
      </c>
      <c r="F188" s="162" t="s">
        <v>2008</v>
      </c>
      <c r="G188" s="162" t="s">
        <v>34</v>
      </c>
      <c r="H188" s="162" t="s">
        <v>2128</v>
      </c>
      <c r="I188" s="162" t="s">
        <v>5665</v>
      </c>
      <c r="J188" s="162" t="s">
        <v>2396</v>
      </c>
      <c r="K188" s="162" t="s">
        <v>2761</v>
      </c>
      <c r="L188" s="162" t="s">
        <v>2243</v>
      </c>
      <c r="M188" s="162" t="s">
        <v>2762</v>
      </c>
      <c r="N188" s="162" t="s">
        <v>1182</v>
      </c>
      <c r="O188" s="162" t="s">
        <v>5188</v>
      </c>
      <c r="P188" s="162" t="s">
        <v>3657</v>
      </c>
      <c r="Q188" s="162" t="s">
        <v>2191</v>
      </c>
      <c r="R188" s="162" t="s">
        <v>2121</v>
      </c>
      <c r="S188" s="162" t="s">
        <v>5189</v>
      </c>
      <c r="T188" s="162">
        <v>1056</v>
      </c>
      <c r="U188" s="162" t="s">
        <v>2151</v>
      </c>
      <c r="V188" s="162" t="s">
        <v>2760</v>
      </c>
      <c r="W188" s="162">
        <v>979</v>
      </c>
      <c r="X188" s="162" t="s">
        <v>2763</v>
      </c>
      <c r="Y188" s="162" t="s">
        <v>2764</v>
      </c>
      <c r="Z188" s="162" t="s">
        <v>2765</v>
      </c>
      <c r="AA188" s="162" t="s">
        <v>2122</v>
      </c>
      <c r="AB188" s="162" t="s">
        <v>5195</v>
      </c>
      <c r="AC188" s="162" t="s">
        <v>2123</v>
      </c>
      <c r="AD188" s="162" t="s">
        <v>2124</v>
      </c>
      <c r="AE188" s="162" t="s">
        <v>1758</v>
      </c>
      <c r="AF188" s="162">
        <v>5</v>
      </c>
      <c r="AG188" s="162">
        <v>240</v>
      </c>
      <c r="AH188" s="162">
        <v>60</v>
      </c>
      <c r="AI188" s="162" t="s">
        <v>34</v>
      </c>
      <c r="AJ188" s="162" t="s">
        <v>34</v>
      </c>
      <c r="AK188" s="162" t="s">
        <v>2125</v>
      </c>
      <c r="AL188" s="162" t="s">
        <v>34</v>
      </c>
      <c r="AM188" t="s">
        <v>4803</v>
      </c>
      <c r="AN188" s="478">
        <v>0</v>
      </c>
      <c r="AO188" s="478">
        <v>0</v>
      </c>
    </row>
    <row r="189" spans="1:41" x14ac:dyDescent="0.2">
      <c r="A189">
        <v>188</v>
      </c>
      <c r="B189" s="462" t="s">
        <v>1170</v>
      </c>
      <c r="C189" s="162" t="s">
        <v>5196</v>
      </c>
      <c r="D189" s="162" t="s">
        <v>5197</v>
      </c>
      <c r="E189" s="162" t="s">
        <v>2043</v>
      </c>
      <c r="F189" s="162" t="s">
        <v>2008</v>
      </c>
      <c r="G189" s="162" t="s">
        <v>34</v>
      </c>
      <c r="H189" s="162" t="s">
        <v>2128</v>
      </c>
      <c r="I189" s="162" t="s">
        <v>5665</v>
      </c>
      <c r="J189" s="162" t="s">
        <v>2396</v>
      </c>
      <c r="K189" s="162" t="s">
        <v>5198</v>
      </c>
      <c r="L189" s="162" t="s">
        <v>2243</v>
      </c>
      <c r="M189" s="162" t="s">
        <v>5199</v>
      </c>
      <c r="N189" s="162" t="s">
        <v>5196</v>
      </c>
      <c r="O189" s="162" t="s">
        <v>5247</v>
      </c>
      <c r="P189" s="162" t="s">
        <v>5200</v>
      </c>
      <c r="Q189" s="162" t="s">
        <v>2191</v>
      </c>
      <c r="R189" s="162" t="s">
        <v>2121</v>
      </c>
      <c r="S189" s="162" t="s">
        <v>5189</v>
      </c>
      <c r="T189" s="162">
        <v>1056</v>
      </c>
      <c r="U189" s="162" t="s">
        <v>2151</v>
      </c>
      <c r="V189" s="162" t="s">
        <v>109</v>
      </c>
      <c r="W189" s="162" t="s">
        <v>109</v>
      </c>
      <c r="X189" s="162" t="s">
        <v>109</v>
      </c>
      <c r="Y189" s="162" t="s">
        <v>2764</v>
      </c>
      <c r="Z189" s="162" t="s">
        <v>2765</v>
      </c>
      <c r="AA189" s="162" t="s">
        <v>2122</v>
      </c>
      <c r="AB189" s="162" t="s">
        <v>5201</v>
      </c>
      <c r="AC189" s="162" t="s">
        <v>2123</v>
      </c>
      <c r="AD189" s="162" t="s">
        <v>2124</v>
      </c>
      <c r="AE189" s="162" t="s">
        <v>1758</v>
      </c>
      <c r="AF189" s="162" t="s">
        <v>5114</v>
      </c>
      <c r="AG189" s="162" t="s">
        <v>34</v>
      </c>
      <c r="AH189" s="162" t="s">
        <v>34</v>
      </c>
      <c r="AI189" s="162" t="s">
        <v>34</v>
      </c>
      <c r="AJ189" s="162" t="s">
        <v>34</v>
      </c>
      <c r="AK189" s="162" t="s">
        <v>2125</v>
      </c>
      <c r="AL189" s="162" t="s">
        <v>34</v>
      </c>
      <c r="AM189" t="s">
        <v>4803</v>
      </c>
      <c r="AN189" s="478"/>
      <c r="AO189" s="478"/>
    </row>
    <row r="190" spans="1:41" x14ac:dyDescent="0.2">
      <c r="A190">
        <v>189</v>
      </c>
      <c r="B190" s="462" t="s">
        <v>1170</v>
      </c>
      <c r="C190" s="162" t="s">
        <v>5202</v>
      </c>
      <c r="D190" s="162" t="s">
        <v>5203</v>
      </c>
      <c r="E190" s="162" t="s">
        <v>2043</v>
      </c>
      <c r="F190" s="162" t="s">
        <v>2008</v>
      </c>
      <c r="G190" s="162" t="s">
        <v>34</v>
      </c>
      <c r="H190" s="162" t="s">
        <v>2128</v>
      </c>
      <c r="I190" s="162" t="s">
        <v>5665</v>
      </c>
      <c r="J190" s="162" t="s">
        <v>2396</v>
      </c>
      <c r="K190" s="162" t="s">
        <v>5204</v>
      </c>
      <c r="L190" s="162" t="s">
        <v>2243</v>
      </c>
      <c r="M190" s="162" t="s">
        <v>5205</v>
      </c>
      <c r="N190" s="162" t="s">
        <v>5202</v>
      </c>
      <c r="O190" s="162" t="s">
        <v>5247</v>
      </c>
      <c r="P190" s="162" t="s">
        <v>5206</v>
      </c>
      <c r="Q190" s="162" t="s">
        <v>2191</v>
      </c>
      <c r="R190" s="162" t="s">
        <v>2121</v>
      </c>
      <c r="S190" s="162" t="s">
        <v>5189</v>
      </c>
      <c r="T190" s="162">
        <v>1056</v>
      </c>
      <c r="U190" s="162" t="s">
        <v>2151</v>
      </c>
      <c r="V190" s="162" t="s">
        <v>109</v>
      </c>
      <c r="W190" s="162" t="s">
        <v>109</v>
      </c>
      <c r="X190" s="162" t="s">
        <v>109</v>
      </c>
      <c r="Y190" s="162" t="s">
        <v>2764</v>
      </c>
      <c r="Z190" s="162" t="s">
        <v>2765</v>
      </c>
      <c r="AA190" s="162" t="s">
        <v>2122</v>
      </c>
      <c r="AB190" s="162" t="s">
        <v>5207</v>
      </c>
      <c r="AC190" s="162" t="s">
        <v>2123</v>
      </c>
      <c r="AD190" s="162" t="s">
        <v>2124</v>
      </c>
      <c r="AE190" s="162" t="s">
        <v>1758</v>
      </c>
      <c r="AF190" s="162" t="s">
        <v>5114</v>
      </c>
      <c r="AG190" s="162" t="s">
        <v>34</v>
      </c>
      <c r="AH190" s="162" t="s">
        <v>34</v>
      </c>
      <c r="AI190" s="162" t="s">
        <v>34</v>
      </c>
      <c r="AJ190" s="162" t="s">
        <v>34</v>
      </c>
      <c r="AK190" s="162" t="s">
        <v>2125</v>
      </c>
      <c r="AL190" s="162" t="s">
        <v>34</v>
      </c>
      <c r="AM190" t="s">
        <v>4803</v>
      </c>
      <c r="AN190" s="478"/>
      <c r="AO190" s="478"/>
    </row>
    <row r="191" spans="1:41" x14ac:dyDescent="0.2">
      <c r="A191">
        <v>190</v>
      </c>
      <c r="B191" s="462" t="s">
        <v>1170</v>
      </c>
      <c r="C191" s="162" t="s">
        <v>5208</v>
      </c>
      <c r="D191" s="162" t="s">
        <v>5209</v>
      </c>
      <c r="E191" s="162" t="s">
        <v>2043</v>
      </c>
      <c r="F191" s="162" t="s">
        <v>2008</v>
      </c>
      <c r="G191" s="162" t="s">
        <v>34</v>
      </c>
      <c r="H191" s="162" t="s">
        <v>2128</v>
      </c>
      <c r="I191" s="162" t="s">
        <v>5665</v>
      </c>
      <c r="J191" s="162" t="s">
        <v>2396</v>
      </c>
      <c r="K191" s="162" t="s">
        <v>5210</v>
      </c>
      <c r="L191" s="162" t="s">
        <v>2243</v>
      </c>
      <c r="M191" s="162" t="s">
        <v>5211</v>
      </c>
      <c r="N191" s="162" t="s">
        <v>5208</v>
      </c>
      <c r="O191" s="162" t="s">
        <v>5188</v>
      </c>
      <c r="P191" s="162" t="s">
        <v>5212</v>
      </c>
      <c r="Q191" s="162" t="s">
        <v>2191</v>
      </c>
      <c r="R191" s="162" t="s">
        <v>2121</v>
      </c>
      <c r="S191" s="162" t="s">
        <v>5189</v>
      </c>
      <c r="T191" s="162">
        <v>1056</v>
      </c>
      <c r="U191" s="162" t="s">
        <v>2151</v>
      </c>
      <c r="V191" s="162" t="s">
        <v>2760</v>
      </c>
      <c r="W191" s="162">
        <v>0</v>
      </c>
      <c r="X191" s="162" t="s">
        <v>2763</v>
      </c>
      <c r="Y191" s="162" t="s">
        <v>109</v>
      </c>
      <c r="Z191" s="162" t="s">
        <v>109</v>
      </c>
      <c r="AA191" s="162" t="s">
        <v>109</v>
      </c>
      <c r="AB191" s="162" t="s">
        <v>5213</v>
      </c>
      <c r="AC191" s="162" t="s">
        <v>2123</v>
      </c>
      <c r="AD191" s="162" t="s">
        <v>2124</v>
      </c>
      <c r="AE191" s="162" t="s">
        <v>1758</v>
      </c>
      <c r="AF191" s="162" t="s">
        <v>5114</v>
      </c>
      <c r="AG191" s="162" t="s">
        <v>34</v>
      </c>
      <c r="AH191" s="162" t="s">
        <v>34</v>
      </c>
      <c r="AI191" s="162" t="s">
        <v>34</v>
      </c>
      <c r="AJ191" s="162" t="s">
        <v>34</v>
      </c>
      <c r="AK191" s="162" t="s">
        <v>2125</v>
      </c>
      <c r="AL191" s="162" t="s">
        <v>34</v>
      </c>
      <c r="AM191" t="s">
        <v>4803</v>
      </c>
      <c r="AN191" s="478"/>
      <c r="AO191" s="478"/>
    </row>
    <row r="192" spans="1:41" x14ac:dyDescent="0.2">
      <c r="A192">
        <v>191</v>
      </c>
      <c r="B192" s="462" t="s">
        <v>1170</v>
      </c>
      <c r="C192" s="162" t="s">
        <v>5107</v>
      </c>
      <c r="D192" s="162" t="s">
        <v>5108</v>
      </c>
      <c r="E192" s="162" t="s">
        <v>2043</v>
      </c>
      <c r="F192" s="162" t="s">
        <v>2008</v>
      </c>
      <c r="G192" s="162" t="s">
        <v>34</v>
      </c>
      <c r="H192" s="162" t="s">
        <v>2128</v>
      </c>
      <c r="I192" s="162" t="s">
        <v>5651</v>
      </c>
      <c r="J192" s="162" t="s">
        <v>2740</v>
      </c>
      <c r="K192" s="162" t="s">
        <v>5214</v>
      </c>
      <c r="L192" s="162">
        <v>206</v>
      </c>
      <c r="M192" s="540">
        <v>206</v>
      </c>
      <c r="N192" s="162" t="s">
        <v>5215</v>
      </c>
      <c r="O192" s="162" t="s">
        <v>904</v>
      </c>
      <c r="P192" s="162" t="s">
        <v>2758</v>
      </c>
      <c r="Q192" s="162" t="s">
        <v>2204</v>
      </c>
      <c r="R192" s="162" t="s">
        <v>2185</v>
      </c>
      <c r="S192" s="162" t="s">
        <v>2759</v>
      </c>
      <c r="T192" s="162">
        <v>189</v>
      </c>
      <c r="U192" s="162" t="s">
        <v>2150</v>
      </c>
      <c r="V192" s="162" t="s">
        <v>2760</v>
      </c>
      <c r="W192" s="162">
        <v>15590</v>
      </c>
      <c r="X192" s="162" t="s">
        <v>2122</v>
      </c>
      <c r="Y192" s="162" t="s">
        <v>109</v>
      </c>
      <c r="Z192" s="162" t="s">
        <v>109</v>
      </c>
      <c r="AA192" s="162" t="s">
        <v>109</v>
      </c>
      <c r="AB192" s="162" t="s">
        <v>34</v>
      </c>
      <c r="AC192" s="162" t="s">
        <v>2123</v>
      </c>
      <c r="AD192" s="162" t="s">
        <v>2124</v>
      </c>
      <c r="AE192" s="162" t="s">
        <v>1758</v>
      </c>
      <c r="AF192" s="162" t="s">
        <v>3347</v>
      </c>
      <c r="AG192" s="162" t="s">
        <v>34</v>
      </c>
      <c r="AH192" s="162" t="s">
        <v>34</v>
      </c>
      <c r="AI192" s="162" t="s">
        <v>34</v>
      </c>
      <c r="AJ192" s="162" t="s">
        <v>34</v>
      </c>
      <c r="AK192" s="162" t="s">
        <v>2125</v>
      </c>
      <c r="AL192" s="162" t="s">
        <v>34</v>
      </c>
      <c r="AM192" t="s">
        <v>4803</v>
      </c>
      <c r="AN192" s="478"/>
      <c r="AO192" s="478"/>
    </row>
    <row r="193" spans="1:41" x14ac:dyDescent="0.2">
      <c r="A193">
        <v>192</v>
      </c>
      <c r="B193" s="462" t="s">
        <v>1170</v>
      </c>
      <c r="C193" s="162" t="s">
        <v>5362</v>
      </c>
      <c r="D193" s="162" t="s">
        <v>5363</v>
      </c>
      <c r="E193" s="162" t="s">
        <v>2043</v>
      </c>
      <c r="F193" s="162" t="s">
        <v>2008</v>
      </c>
      <c r="G193" s="162" t="s">
        <v>34</v>
      </c>
      <c r="H193" s="162" t="s">
        <v>2128</v>
      </c>
      <c r="I193" s="162" t="s">
        <v>5651</v>
      </c>
      <c r="J193" s="162" t="s">
        <v>2740</v>
      </c>
      <c r="K193" s="162" t="s">
        <v>1326</v>
      </c>
      <c r="L193" s="162" t="s">
        <v>4979</v>
      </c>
      <c r="M193" s="162">
        <v>160720124</v>
      </c>
      <c r="N193" s="162" t="s">
        <v>5364</v>
      </c>
      <c r="O193" s="162" t="s">
        <v>904</v>
      </c>
      <c r="P193" s="162" t="s">
        <v>4980</v>
      </c>
      <c r="Q193" s="162" t="s">
        <v>2204</v>
      </c>
      <c r="R193" s="162" t="s">
        <v>2185</v>
      </c>
      <c r="S193" s="162" t="s">
        <v>4981</v>
      </c>
      <c r="T193" s="162">
        <v>1.17</v>
      </c>
      <c r="U193" s="162" t="s">
        <v>2151</v>
      </c>
      <c r="V193" s="162" t="s">
        <v>2388</v>
      </c>
      <c r="W193" s="162">
        <v>160720124</v>
      </c>
      <c r="X193" s="162" t="s">
        <v>2122</v>
      </c>
      <c r="Y193" s="162" t="s">
        <v>109</v>
      </c>
      <c r="Z193" s="162" t="s">
        <v>109</v>
      </c>
      <c r="AA193" s="162" t="s">
        <v>109</v>
      </c>
      <c r="AB193" s="162" t="s">
        <v>34</v>
      </c>
      <c r="AC193" s="162" t="s">
        <v>2123</v>
      </c>
      <c r="AD193" s="162" t="s">
        <v>4982</v>
      </c>
      <c r="AE193" s="162" t="s">
        <v>1758</v>
      </c>
      <c r="AF193" s="162" t="s">
        <v>3347</v>
      </c>
      <c r="AG193" s="162" t="s">
        <v>34</v>
      </c>
      <c r="AH193" s="162" t="s">
        <v>34</v>
      </c>
      <c r="AI193" s="162" t="s">
        <v>34</v>
      </c>
      <c r="AJ193" s="162" t="s">
        <v>34</v>
      </c>
      <c r="AK193" s="162" t="s">
        <v>2125</v>
      </c>
      <c r="AL193" s="162" t="s">
        <v>34</v>
      </c>
      <c r="AM193" t="s">
        <v>4804</v>
      </c>
      <c r="AN193" s="478"/>
      <c r="AO193" s="478"/>
    </row>
    <row r="194" spans="1:41" x14ac:dyDescent="0.2">
      <c r="A194">
        <v>193</v>
      </c>
      <c r="B194" s="462" t="s">
        <v>1170</v>
      </c>
      <c r="C194" s="162" t="s">
        <v>1185</v>
      </c>
      <c r="D194" s="162" t="s">
        <v>4097</v>
      </c>
      <c r="E194" s="162" t="s">
        <v>2043</v>
      </c>
      <c r="F194" s="162" t="s">
        <v>2008</v>
      </c>
      <c r="G194" s="162" t="s">
        <v>34</v>
      </c>
      <c r="H194" s="162" t="s">
        <v>2128</v>
      </c>
      <c r="I194" s="162" t="s">
        <v>5651</v>
      </c>
      <c r="J194" s="162" t="s">
        <v>2740</v>
      </c>
      <c r="K194" s="162" t="s">
        <v>2752</v>
      </c>
      <c r="L194" s="162" t="s">
        <v>2753</v>
      </c>
      <c r="M194" s="162" t="s">
        <v>2754</v>
      </c>
      <c r="N194" s="162" t="s">
        <v>1185</v>
      </c>
      <c r="O194" s="162" t="s">
        <v>904</v>
      </c>
      <c r="P194" s="162" t="s">
        <v>2650</v>
      </c>
      <c r="Q194" s="162" t="s">
        <v>2126</v>
      </c>
      <c r="R194" s="162" t="s">
        <v>2121</v>
      </c>
      <c r="S194" s="162" t="s">
        <v>2755</v>
      </c>
      <c r="T194" s="162">
        <v>2352</v>
      </c>
      <c r="U194" s="162" t="s">
        <v>2151</v>
      </c>
      <c r="V194" s="162" t="s">
        <v>2206</v>
      </c>
      <c r="W194" s="162" t="s">
        <v>2756</v>
      </c>
      <c r="X194" s="162" t="s">
        <v>2122</v>
      </c>
      <c r="Y194" s="162" t="s">
        <v>2757</v>
      </c>
      <c r="Z194" s="162">
        <v>55565489</v>
      </c>
      <c r="AA194" s="162" t="s">
        <v>2122</v>
      </c>
      <c r="AB194" s="162" t="s">
        <v>34</v>
      </c>
      <c r="AC194" s="162" t="s">
        <v>2123</v>
      </c>
      <c r="AD194" s="162" t="s">
        <v>2124</v>
      </c>
      <c r="AE194" s="162" t="s">
        <v>1758</v>
      </c>
      <c r="AF194" s="162" t="s">
        <v>3347</v>
      </c>
      <c r="AG194" s="162" t="s">
        <v>34</v>
      </c>
      <c r="AH194" s="162" t="s">
        <v>34</v>
      </c>
      <c r="AI194" s="162" t="s">
        <v>34</v>
      </c>
      <c r="AJ194" s="162" t="s">
        <v>34</v>
      </c>
      <c r="AK194" s="162" t="s">
        <v>2125</v>
      </c>
      <c r="AL194" s="162" t="s">
        <v>34</v>
      </c>
      <c r="AM194" t="s">
        <v>4803</v>
      </c>
      <c r="AN194" s="478">
        <v>0</v>
      </c>
      <c r="AO194" s="478">
        <v>0</v>
      </c>
    </row>
    <row r="195" spans="1:41" x14ac:dyDescent="0.2">
      <c r="A195">
        <v>194</v>
      </c>
      <c r="B195" s="462" t="s">
        <v>1187</v>
      </c>
      <c r="C195" s="162" t="s">
        <v>835</v>
      </c>
      <c r="D195" s="162" t="s">
        <v>4098</v>
      </c>
      <c r="E195" s="162" t="s">
        <v>2044</v>
      </c>
      <c r="F195" s="162" t="s">
        <v>2045</v>
      </c>
      <c r="G195" s="162" t="s">
        <v>34</v>
      </c>
      <c r="H195" s="162" t="s">
        <v>2128</v>
      </c>
      <c r="I195" s="162" t="s">
        <v>5651</v>
      </c>
      <c r="J195" s="162" t="s">
        <v>2740</v>
      </c>
      <c r="K195" s="162" t="s">
        <v>2780</v>
      </c>
      <c r="L195" s="162" t="s">
        <v>2781</v>
      </c>
      <c r="M195" s="162" t="s">
        <v>2782</v>
      </c>
      <c r="N195" s="162" t="s">
        <v>835</v>
      </c>
      <c r="O195" s="162" t="s">
        <v>904</v>
      </c>
      <c r="P195" s="162" t="s">
        <v>2783</v>
      </c>
      <c r="Q195" s="162" t="s">
        <v>2201</v>
      </c>
      <c r="R195" s="162" t="s">
        <v>2121</v>
      </c>
      <c r="S195" s="162" t="s">
        <v>2784</v>
      </c>
      <c r="T195" s="162">
        <v>19.399999999999999</v>
      </c>
      <c r="U195" s="162" t="s">
        <v>2151</v>
      </c>
      <c r="V195" s="162" t="s">
        <v>2403</v>
      </c>
      <c r="W195" s="162">
        <v>33095</v>
      </c>
      <c r="X195" s="162" t="s">
        <v>2122</v>
      </c>
      <c r="Y195" s="162" t="s">
        <v>2634</v>
      </c>
      <c r="Z195" s="162" t="s">
        <v>4557</v>
      </c>
      <c r="AA195" s="162" t="s">
        <v>2122</v>
      </c>
      <c r="AB195" s="162" t="s">
        <v>34</v>
      </c>
      <c r="AC195" s="162" t="s">
        <v>2123</v>
      </c>
      <c r="AD195" s="162" t="s">
        <v>2124</v>
      </c>
      <c r="AE195" s="162" t="s">
        <v>1758</v>
      </c>
      <c r="AF195" s="162">
        <v>1.5</v>
      </c>
      <c r="AG195" s="162">
        <v>0.2</v>
      </c>
      <c r="AH195" s="162">
        <v>0</v>
      </c>
      <c r="AI195" s="162" t="s">
        <v>34</v>
      </c>
      <c r="AJ195" s="162" t="s">
        <v>34</v>
      </c>
      <c r="AK195" s="162" t="s">
        <v>2125</v>
      </c>
      <c r="AL195" s="162" t="s">
        <v>34</v>
      </c>
      <c r="AM195" t="s">
        <v>4805</v>
      </c>
      <c r="AN195" s="478">
        <v>0</v>
      </c>
      <c r="AO195" s="478">
        <v>0</v>
      </c>
    </row>
    <row r="196" spans="1:41" x14ac:dyDescent="0.2">
      <c r="A196">
        <v>195</v>
      </c>
      <c r="B196" s="462" t="s">
        <v>1187</v>
      </c>
      <c r="C196" s="162" t="s">
        <v>1789</v>
      </c>
      <c r="D196" s="162" t="s">
        <v>4626</v>
      </c>
      <c r="E196" s="162" t="s">
        <v>2044</v>
      </c>
      <c r="F196" s="162" t="s">
        <v>2045</v>
      </c>
      <c r="G196" s="162" t="s">
        <v>34</v>
      </c>
      <c r="H196" s="162" t="s">
        <v>2128</v>
      </c>
      <c r="I196" s="162" t="s">
        <v>5651</v>
      </c>
      <c r="J196" s="162" t="s">
        <v>1764</v>
      </c>
      <c r="K196" s="162" t="s">
        <v>1789</v>
      </c>
      <c r="L196" s="162" t="s">
        <v>3433</v>
      </c>
      <c r="M196" s="162" t="s">
        <v>3434</v>
      </c>
      <c r="N196" s="162" t="s">
        <v>1789</v>
      </c>
      <c r="O196" s="162" t="s">
        <v>2399</v>
      </c>
      <c r="P196" s="162" t="s">
        <v>3564</v>
      </c>
      <c r="Q196" s="162" t="s">
        <v>3564</v>
      </c>
      <c r="R196" s="162" t="s">
        <v>2185</v>
      </c>
      <c r="S196" s="162" t="s">
        <v>3565</v>
      </c>
      <c r="T196" s="162">
        <v>653.29999999999995</v>
      </c>
      <c r="U196" s="162" t="s">
        <v>1947</v>
      </c>
      <c r="V196" s="162" t="s">
        <v>2196</v>
      </c>
      <c r="W196" s="162" t="s">
        <v>3434</v>
      </c>
      <c r="X196" s="162" t="s">
        <v>2738</v>
      </c>
      <c r="Y196" s="162" t="s">
        <v>109</v>
      </c>
      <c r="Z196" s="162" t="s">
        <v>109</v>
      </c>
      <c r="AA196" s="162" t="s">
        <v>109</v>
      </c>
      <c r="AB196" s="162" t="s">
        <v>4632</v>
      </c>
      <c r="AC196" s="162" t="s">
        <v>2123</v>
      </c>
      <c r="AD196" s="162" t="s">
        <v>2124</v>
      </c>
      <c r="AE196" s="162" t="s">
        <v>1758</v>
      </c>
      <c r="AF196" s="162" t="s">
        <v>34</v>
      </c>
      <c r="AG196" s="162" t="s">
        <v>34</v>
      </c>
      <c r="AH196" s="162" t="s">
        <v>34</v>
      </c>
      <c r="AI196" s="162" t="s">
        <v>34</v>
      </c>
      <c r="AJ196" s="162" t="s">
        <v>34</v>
      </c>
      <c r="AK196" s="162" t="s">
        <v>2125</v>
      </c>
      <c r="AL196" s="162" t="s">
        <v>34</v>
      </c>
      <c r="AM196" t="s">
        <v>4807</v>
      </c>
      <c r="AN196" s="478">
        <v>0</v>
      </c>
      <c r="AO196" s="478">
        <v>0</v>
      </c>
    </row>
    <row r="197" spans="1:41" x14ac:dyDescent="0.2">
      <c r="A197">
        <v>196</v>
      </c>
      <c r="B197" s="462" t="s">
        <v>1195</v>
      </c>
      <c r="C197" s="162" t="s">
        <v>1197</v>
      </c>
      <c r="D197" s="162" t="s">
        <v>4099</v>
      </c>
      <c r="E197" s="162" t="s">
        <v>2046</v>
      </c>
      <c r="F197" s="162" t="s">
        <v>2047</v>
      </c>
      <c r="G197" s="162" t="s">
        <v>34</v>
      </c>
      <c r="H197" s="162" t="s">
        <v>2128</v>
      </c>
      <c r="I197" s="162" t="s">
        <v>5651</v>
      </c>
      <c r="J197" s="162" t="s">
        <v>2740</v>
      </c>
      <c r="K197" s="162" t="s">
        <v>1197</v>
      </c>
      <c r="L197" s="162" t="s">
        <v>2787</v>
      </c>
      <c r="M197" s="540">
        <v>1432</v>
      </c>
      <c r="N197" s="162" t="s">
        <v>1197</v>
      </c>
      <c r="O197" s="162" t="s">
        <v>904</v>
      </c>
      <c r="P197" s="162" t="s">
        <v>2788</v>
      </c>
      <c r="Q197" s="162" t="s">
        <v>2201</v>
      </c>
      <c r="R197" s="162" t="s">
        <v>2121</v>
      </c>
      <c r="S197" s="162" t="s">
        <v>2789</v>
      </c>
      <c r="T197" s="162">
        <v>138.5</v>
      </c>
      <c r="U197" s="162" t="s">
        <v>1947</v>
      </c>
      <c r="V197" s="162" t="s">
        <v>2760</v>
      </c>
      <c r="W197" s="162">
        <v>181319</v>
      </c>
      <c r="X197" s="162" t="s">
        <v>2122</v>
      </c>
      <c r="Y197" s="162" t="s">
        <v>109</v>
      </c>
      <c r="Z197" s="162" t="s">
        <v>109</v>
      </c>
      <c r="AA197" s="162" t="s">
        <v>109</v>
      </c>
      <c r="AB197" s="162" t="s">
        <v>34</v>
      </c>
      <c r="AC197" s="162" t="s">
        <v>2123</v>
      </c>
      <c r="AD197" s="162" t="s">
        <v>2124</v>
      </c>
      <c r="AE197" s="162" t="s">
        <v>1758</v>
      </c>
      <c r="AF197" s="162" t="s">
        <v>34</v>
      </c>
      <c r="AG197" s="162" t="s">
        <v>34</v>
      </c>
      <c r="AH197" s="162" t="s">
        <v>34</v>
      </c>
      <c r="AI197" s="162" t="s">
        <v>34</v>
      </c>
      <c r="AJ197" s="162" t="s">
        <v>34</v>
      </c>
      <c r="AK197" s="162" t="s">
        <v>2125</v>
      </c>
      <c r="AL197" s="162" t="s">
        <v>34</v>
      </c>
      <c r="AM197" t="s">
        <v>4803</v>
      </c>
      <c r="AN197" s="478">
        <v>0</v>
      </c>
      <c r="AO197" s="478">
        <v>0</v>
      </c>
    </row>
    <row r="198" spans="1:41" x14ac:dyDescent="0.2">
      <c r="A198">
        <v>197</v>
      </c>
      <c r="B198" s="462" t="s">
        <v>5010</v>
      </c>
      <c r="C198" s="162" t="s">
        <v>5011</v>
      </c>
      <c r="D198" s="162" t="s">
        <v>5012</v>
      </c>
      <c r="E198" s="162" t="s">
        <v>5013</v>
      </c>
      <c r="F198" s="162" t="s">
        <v>5014</v>
      </c>
      <c r="G198" s="162" t="s">
        <v>34</v>
      </c>
      <c r="H198" s="162" t="s">
        <v>2128</v>
      </c>
      <c r="I198" s="162" t="s">
        <v>5651</v>
      </c>
      <c r="J198" s="162" t="s">
        <v>1764</v>
      </c>
      <c r="K198" s="162" t="s">
        <v>5015</v>
      </c>
      <c r="L198" s="162" t="s">
        <v>5016</v>
      </c>
      <c r="M198" s="162" t="s">
        <v>5017</v>
      </c>
      <c r="N198" s="162" t="s">
        <v>5015</v>
      </c>
      <c r="O198" s="162" t="s">
        <v>5018</v>
      </c>
      <c r="P198" s="162" t="s">
        <v>5019</v>
      </c>
      <c r="Q198" s="162" t="s">
        <v>2126</v>
      </c>
      <c r="R198" s="162" t="s">
        <v>2121</v>
      </c>
      <c r="S198" s="162" t="s">
        <v>5020</v>
      </c>
      <c r="T198" s="162">
        <v>25</v>
      </c>
      <c r="U198" s="162" t="s">
        <v>1947</v>
      </c>
      <c r="V198" s="162" t="s">
        <v>5021</v>
      </c>
      <c r="W198" s="162" t="s">
        <v>5022</v>
      </c>
      <c r="X198" s="162" t="s">
        <v>4864</v>
      </c>
      <c r="Y198" s="162" t="s">
        <v>109</v>
      </c>
      <c r="Z198" s="162" t="s">
        <v>109</v>
      </c>
      <c r="AA198" s="162" t="s">
        <v>109</v>
      </c>
      <c r="AB198" s="162" t="s">
        <v>34</v>
      </c>
      <c r="AC198" s="162" t="s">
        <v>2123</v>
      </c>
      <c r="AD198" s="162" t="s">
        <v>2124</v>
      </c>
      <c r="AE198" s="162" t="s">
        <v>1758</v>
      </c>
      <c r="AF198" s="162">
        <v>0</v>
      </c>
      <c r="AG198" s="162">
        <v>0</v>
      </c>
      <c r="AH198" s="162">
        <v>0</v>
      </c>
      <c r="AI198" s="162">
        <v>0</v>
      </c>
      <c r="AJ198" s="162">
        <v>0</v>
      </c>
      <c r="AK198" s="162" t="s">
        <v>2125</v>
      </c>
      <c r="AL198" s="162" t="s">
        <v>34</v>
      </c>
      <c r="AM198" t="s">
        <v>4803</v>
      </c>
      <c r="AN198" s="478"/>
      <c r="AO198" s="478"/>
    </row>
    <row r="199" spans="1:41" x14ac:dyDescent="0.2">
      <c r="A199">
        <v>198</v>
      </c>
      <c r="B199" s="462" t="s">
        <v>1961</v>
      </c>
      <c r="C199" s="162" t="s">
        <v>1963</v>
      </c>
      <c r="D199" s="162" t="s">
        <v>4100</v>
      </c>
      <c r="E199" s="162" t="s">
        <v>2048</v>
      </c>
      <c r="F199" s="162" t="s">
        <v>2049</v>
      </c>
      <c r="G199" s="162" t="s">
        <v>34</v>
      </c>
      <c r="H199" s="162" t="s">
        <v>2128</v>
      </c>
      <c r="I199" s="162" t="s">
        <v>5651</v>
      </c>
      <c r="J199" s="162" t="s">
        <v>2740</v>
      </c>
      <c r="K199" s="162" t="s">
        <v>1117</v>
      </c>
      <c r="L199" s="162" t="s">
        <v>2790</v>
      </c>
      <c r="M199" s="540">
        <v>30901</v>
      </c>
      <c r="N199" s="162" t="s">
        <v>1963</v>
      </c>
      <c r="O199" s="162" t="s">
        <v>904</v>
      </c>
      <c r="P199" s="162" t="s">
        <v>2791</v>
      </c>
      <c r="Q199" s="162" t="s">
        <v>2204</v>
      </c>
      <c r="R199" s="162" t="s">
        <v>2295</v>
      </c>
      <c r="S199" s="162" t="s">
        <v>2792</v>
      </c>
      <c r="T199" s="162">
        <v>864</v>
      </c>
      <c r="U199" s="162" t="s">
        <v>1947</v>
      </c>
      <c r="V199" s="162" t="s">
        <v>2793</v>
      </c>
      <c r="W199" s="162">
        <v>3.03</v>
      </c>
      <c r="X199" s="162" t="s">
        <v>2122</v>
      </c>
      <c r="Y199" s="162" t="s">
        <v>2794</v>
      </c>
      <c r="Z199" s="162" t="s">
        <v>2795</v>
      </c>
      <c r="AA199" s="162" t="s">
        <v>2122</v>
      </c>
      <c r="AB199" s="162" t="s">
        <v>34</v>
      </c>
      <c r="AC199" s="162" t="s">
        <v>2123</v>
      </c>
      <c r="AD199" s="162" t="s">
        <v>2124</v>
      </c>
      <c r="AE199" s="162" t="s">
        <v>1758</v>
      </c>
      <c r="AF199" s="162">
        <v>2.7</v>
      </c>
      <c r="AG199" s="162">
        <v>4</v>
      </c>
      <c r="AH199" s="162">
        <v>1</v>
      </c>
      <c r="AI199" s="162" t="s">
        <v>3916</v>
      </c>
      <c r="AJ199" s="162" t="s">
        <v>34</v>
      </c>
      <c r="AK199" s="162" t="s">
        <v>2125</v>
      </c>
      <c r="AL199" s="162" t="s">
        <v>34</v>
      </c>
      <c r="AM199" t="s">
        <v>4803</v>
      </c>
      <c r="AN199" s="478">
        <v>0</v>
      </c>
      <c r="AO199" s="478">
        <v>0</v>
      </c>
    </row>
    <row r="200" spans="1:41" x14ac:dyDescent="0.2">
      <c r="A200">
        <v>199</v>
      </c>
      <c r="B200" s="462" t="s">
        <v>1961</v>
      </c>
      <c r="C200" s="162" t="s">
        <v>1965</v>
      </c>
      <c r="D200" s="162" t="s">
        <v>4101</v>
      </c>
      <c r="E200" s="162" t="s">
        <v>2048</v>
      </c>
      <c r="F200" s="162" t="s">
        <v>2049</v>
      </c>
      <c r="G200" s="162" t="s">
        <v>34</v>
      </c>
      <c r="H200" s="162" t="s">
        <v>2128</v>
      </c>
      <c r="I200" s="162" t="s">
        <v>5651</v>
      </c>
      <c r="J200" s="162" t="s">
        <v>2740</v>
      </c>
      <c r="K200" s="162" t="s">
        <v>1117</v>
      </c>
      <c r="L200" s="162" t="s">
        <v>2796</v>
      </c>
      <c r="M200" s="162" t="s">
        <v>2797</v>
      </c>
      <c r="N200" s="162" t="s">
        <v>1965</v>
      </c>
      <c r="O200" s="162" t="s">
        <v>904</v>
      </c>
      <c r="P200" s="162" t="s">
        <v>2791</v>
      </c>
      <c r="Q200" s="162" t="s">
        <v>2204</v>
      </c>
      <c r="R200" s="162" t="s">
        <v>2295</v>
      </c>
      <c r="S200" s="162" t="s">
        <v>2798</v>
      </c>
      <c r="T200" s="162">
        <v>630</v>
      </c>
      <c r="U200" s="162" t="s">
        <v>1947</v>
      </c>
      <c r="V200" s="162" t="s">
        <v>2799</v>
      </c>
      <c r="W200" s="162" t="s">
        <v>2800</v>
      </c>
      <c r="X200" s="162" t="s">
        <v>2122</v>
      </c>
      <c r="Y200" s="162" t="s">
        <v>2801</v>
      </c>
      <c r="Z200" s="162" t="s">
        <v>2802</v>
      </c>
      <c r="AA200" s="162" t="s">
        <v>2122</v>
      </c>
      <c r="AB200" s="162" t="s">
        <v>34</v>
      </c>
      <c r="AC200" s="162" t="s">
        <v>2123</v>
      </c>
      <c r="AD200" s="162" t="s">
        <v>2124</v>
      </c>
      <c r="AE200" s="162" t="s">
        <v>1758</v>
      </c>
      <c r="AF200" s="162">
        <v>5</v>
      </c>
      <c r="AG200" s="162">
        <v>20</v>
      </c>
      <c r="AH200" s="162">
        <v>2</v>
      </c>
      <c r="AI200" s="162" t="s">
        <v>3920</v>
      </c>
      <c r="AJ200" s="162" t="s">
        <v>34</v>
      </c>
      <c r="AK200" s="162" t="s">
        <v>2125</v>
      </c>
      <c r="AL200" s="162" t="s">
        <v>34</v>
      </c>
      <c r="AM200" t="s">
        <v>4803</v>
      </c>
      <c r="AN200" s="478">
        <v>0</v>
      </c>
      <c r="AO200" s="478">
        <v>0</v>
      </c>
    </row>
    <row r="201" spans="1:41" x14ac:dyDescent="0.2">
      <c r="A201">
        <v>200</v>
      </c>
      <c r="B201" s="462" t="s">
        <v>1202</v>
      </c>
      <c r="C201" s="162" t="s">
        <v>4587</v>
      </c>
      <c r="D201" s="162" t="s">
        <v>4591</v>
      </c>
      <c r="E201" s="162" t="s">
        <v>2050</v>
      </c>
      <c r="F201" s="162" t="s">
        <v>2051</v>
      </c>
      <c r="G201" s="162" t="s">
        <v>34</v>
      </c>
      <c r="H201" s="162" t="s">
        <v>2128</v>
      </c>
      <c r="I201" s="162" t="s">
        <v>5651</v>
      </c>
      <c r="J201" s="162" t="s">
        <v>2396</v>
      </c>
      <c r="K201" s="162" t="s">
        <v>1060</v>
      </c>
      <c r="L201" s="162" t="s">
        <v>2817</v>
      </c>
      <c r="M201" s="162">
        <v>14572</v>
      </c>
      <c r="N201" s="162" t="s">
        <v>4587</v>
      </c>
      <c r="O201" s="162" t="s">
        <v>5654</v>
      </c>
      <c r="P201" s="162" t="s">
        <v>2323</v>
      </c>
      <c r="Q201" s="162" t="s">
        <v>4865</v>
      </c>
      <c r="R201" s="162" t="s">
        <v>2121</v>
      </c>
      <c r="S201" s="162" t="s">
        <v>2818</v>
      </c>
      <c r="T201" s="162">
        <v>277.39999999999998</v>
      </c>
      <c r="U201" s="162" t="s">
        <v>2148</v>
      </c>
      <c r="V201" s="162" t="s">
        <v>2206</v>
      </c>
      <c r="W201" s="162" t="s">
        <v>2819</v>
      </c>
      <c r="X201" s="162" t="s">
        <v>4864</v>
      </c>
      <c r="Y201" s="162" t="s">
        <v>2807</v>
      </c>
      <c r="Z201" s="162" t="s">
        <v>2808</v>
      </c>
      <c r="AA201" s="162" t="s">
        <v>4864</v>
      </c>
      <c r="AB201" s="162" t="s">
        <v>34</v>
      </c>
      <c r="AC201" s="162" t="s">
        <v>2123</v>
      </c>
      <c r="AD201" s="162" t="s">
        <v>2124</v>
      </c>
      <c r="AE201" s="162" t="s">
        <v>1758</v>
      </c>
      <c r="AF201" s="162">
        <v>14.5</v>
      </c>
      <c r="AG201" s="162">
        <v>267</v>
      </c>
      <c r="AH201" s="162">
        <v>43</v>
      </c>
      <c r="AI201" s="162" t="s">
        <v>34</v>
      </c>
      <c r="AJ201" s="162" t="s">
        <v>34</v>
      </c>
      <c r="AK201" s="162" t="s">
        <v>2125</v>
      </c>
      <c r="AL201" s="162" t="s">
        <v>34</v>
      </c>
      <c r="AM201" t="s">
        <v>4803</v>
      </c>
      <c r="AN201" s="478">
        <v>1.4583333333333332E-2</v>
      </c>
      <c r="AO201" s="478">
        <v>0</v>
      </c>
    </row>
    <row r="202" spans="1:41" x14ac:dyDescent="0.2">
      <c r="A202">
        <v>201</v>
      </c>
      <c r="B202" s="462" t="s">
        <v>1202</v>
      </c>
      <c r="C202" s="162" t="s">
        <v>4588</v>
      </c>
      <c r="D202" s="162" t="s">
        <v>4592</v>
      </c>
      <c r="E202" s="162" t="s">
        <v>2050</v>
      </c>
      <c r="F202" s="162" t="s">
        <v>2051</v>
      </c>
      <c r="G202" s="162" t="s">
        <v>34</v>
      </c>
      <c r="H202" s="162" t="s">
        <v>2128</v>
      </c>
      <c r="I202" s="162" t="s">
        <v>5651</v>
      </c>
      <c r="J202" s="162" t="s">
        <v>2396</v>
      </c>
      <c r="K202" s="162" t="s">
        <v>1060</v>
      </c>
      <c r="L202" s="162" t="s">
        <v>2803</v>
      </c>
      <c r="M202" s="162" t="s">
        <v>2804</v>
      </c>
      <c r="N202" s="162" t="s">
        <v>4588</v>
      </c>
      <c r="O202" s="162" t="s">
        <v>5654</v>
      </c>
      <c r="P202" s="162" t="s">
        <v>2323</v>
      </c>
      <c r="Q202" s="162" t="s">
        <v>4865</v>
      </c>
      <c r="R202" s="162" t="s">
        <v>2121</v>
      </c>
      <c r="S202" s="162" t="s">
        <v>2805</v>
      </c>
      <c r="T202" s="162">
        <v>20</v>
      </c>
      <c r="U202" s="162" t="s">
        <v>2148</v>
      </c>
      <c r="V202" s="162" t="s">
        <v>2403</v>
      </c>
      <c r="W202" s="162" t="s">
        <v>2806</v>
      </c>
      <c r="X202" s="162" t="s">
        <v>4864</v>
      </c>
      <c r="Y202" s="162" t="s">
        <v>2807</v>
      </c>
      <c r="Z202" s="162" t="s">
        <v>2808</v>
      </c>
      <c r="AA202" s="162" t="s">
        <v>4864</v>
      </c>
      <c r="AB202" s="162" t="s">
        <v>34</v>
      </c>
      <c r="AC202" s="162" t="s">
        <v>2123</v>
      </c>
      <c r="AD202" s="162" t="s">
        <v>2124</v>
      </c>
      <c r="AE202" s="162" t="s">
        <v>1758</v>
      </c>
      <c r="AF202" s="162">
        <v>1</v>
      </c>
      <c r="AG202" s="162">
        <v>0.04</v>
      </c>
      <c r="AH202" s="162">
        <v>0.21</v>
      </c>
      <c r="AI202" s="162" t="s">
        <v>34</v>
      </c>
      <c r="AJ202" s="162" t="s">
        <v>34</v>
      </c>
      <c r="AK202" s="162" t="s">
        <v>2125</v>
      </c>
      <c r="AL202" s="162" t="s">
        <v>34</v>
      </c>
      <c r="AM202" t="s">
        <v>4804</v>
      </c>
      <c r="AN202" s="478">
        <v>1.4583333333333332E-2</v>
      </c>
      <c r="AO202" s="478">
        <v>0</v>
      </c>
    </row>
    <row r="203" spans="1:41" x14ac:dyDescent="0.2">
      <c r="A203">
        <v>202</v>
      </c>
      <c r="B203" s="462" t="s">
        <v>1202</v>
      </c>
      <c r="C203" s="162" t="s">
        <v>1204</v>
      </c>
      <c r="D203" s="162" t="s">
        <v>4102</v>
      </c>
      <c r="E203" s="162" t="s">
        <v>2050</v>
      </c>
      <c r="F203" s="162" t="s">
        <v>2051</v>
      </c>
      <c r="G203" s="162" t="s">
        <v>34</v>
      </c>
      <c r="H203" s="162" t="s">
        <v>2128</v>
      </c>
      <c r="I203" s="162" t="s">
        <v>5651</v>
      </c>
      <c r="J203" s="162" t="s">
        <v>2396</v>
      </c>
      <c r="K203" s="162" t="s">
        <v>2857</v>
      </c>
      <c r="L203" s="162" t="s">
        <v>2544</v>
      </c>
      <c r="M203" s="162">
        <v>116668</v>
      </c>
      <c r="N203" s="162" t="s">
        <v>1204</v>
      </c>
      <c r="O203" s="162" t="s">
        <v>5652</v>
      </c>
      <c r="P203" s="162" t="s">
        <v>2858</v>
      </c>
      <c r="Q203" s="162" t="s">
        <v>4863</v>
      </c>
      <c r="R203" s="162" t="s">
        <v>2121</v>
      </c>
      <c r="S203" s="162" t="s">
        <v>2859</v>
      </c>
      <c r="T203" s="162">
        <v>258.5</v>
      </c>
      <c r="U203" s="162" t="s">
        <v>2148</v>
      </c>
      <c r="V203" s="162" t="s">
        <v>2836</v>
      </c>
      <c r="W203" s="162" t="s">
        <v>2860</v>
      </c>
      <c r="X203" s="162" t="s">
        <v>4873</v>
      </c>
      <c r="Y203" s="162" t="s">
        <v>2836</v>
      </c>
      <c r="Z203" s="162" t="s">
        <v>2860</v>
      </c>
      <c r="AA203" s="162" t="s">
        <v>4873</v>
      </c>
      <c r="AB203" s="162" t="s">
        <v>34</v>
      </c>
      <c r="AC203" s="162" t="s">
        <v>2123</v>
      </c>
      <c r="AD203" s="162" t="s">
        <v>2124</v>
      </c>
      <c r="AE203" s="162" t="s">
        <v>1758</v>
      </c>
      <c r="AF203" s="162" t="s">
        <v>4426</v>
      </c>
      <c r="AG203" s="162" t="s">
        <v>3872</v>
      </c>
      <c r="AH203" s="162" t="s">
        <v>3922</v>
      </c>
      <c r="AI203" s="162" t="s">
        <v>3923</v>
      </c>
      <c r="AJ203" s="162" t="s">
        <v>34</v>
      </c>
      <c r="AK203" s="162" t="s">
        <v>2125</v>
      </c>
      <c r="AL203" s="162" t="s">
        <v>34</v>
      </c>
      <c r="AM203" t="s">
        <v>4806</v>
      </c>
      <c r="AN203" s="478">
        <v>1.4583333333333332E-2</v>
      </c>
      <c r="AO203" s="478">
        <v>2.1527777777777781E-2</v>
      </c>
    </row>
    <row r="204" spans="1:41" x14ac:dyDescent="0.2">
      <c r="A204">
        <v>203</v>
      </c>
      <c r="B204" s="462" t="s">
        <v>1202</v>
      </c>
      <c r="C204" s="162" t="s">
        <v>1213</v>
      </c>
      <c r="D204" s="162" t="s">
        <v>4103</v>
      </c>
      <c r="E204" s="162" t="s">
        <v>2050</v>
      </c>
      <c r="F204" s="162" t="s">
        <v>2051</v>
      </c>
      <c r="G204" s="162" t="s">
        <v>34</v>
      </c>
      <c r="H204" s="162" t="s">
        <v>2128</v>
      </c>
      <c r="I204" s="162" t="s">
        <v>5651</v>
      </c>
      <c r="J204" s="162" t="s">
        <v>2396</v>
      </c>
      <c r="K204" s="162" t="s">
        <v>2851</v>
      </c>
      <c r="L204" s="162" t="s">
        <v>2852</v>
      </c>
      <c r="M204" s="162">
        <v>173757</v>
      </c>
      <c r="N204" s="162" t="s">
        <v>1213</v>
      </c>
      <c r="O204" s="162" t="s">
        <v>5652</v>
      </c>
      <c r="P204" s="162" t="s">
        <v>2853</v>
      </c>
      <c r="Q204" s="162" t="s">
        <v>4863</v>
      </c>
      <c r="R204" s="162" t="s">
        <v>2121</v>
      </c>
      <c r="S204" s="162" t="s">
        <v>2854</v>
      </c>
      <c r="T204" s="162">
        <v>115</v>
      </c>
      <c r="U204" s="162" t="s">
        <v>2148</v>
      </c>
      <c r="V204" s="162" t="s">
        <v>2855</v>
      </c>
      <c r="W204" s="162" t="s">
        <v>2856</v>
      </c>
      <c r="X204" s="162" t="s">
        <v>4873</v>
      </c>
      <c r="Y204" s="162" t="s">
        <v>2855</v>
      </c>
      <c r="Z204" s="162" t="s">
        <v>2856</v>
      </c>
      <c r="AA204" s="162" t="s">
        <v>4873</v>
      </c>
      <c r="AB204" s="162" t="s">
        <v>34</v>
      </c>
      <c r="AC204" s="162" t="s">
        <v>2123</v>
      </c>
      <c r="AD204" s="162" t="s">
        <v>2124</v>
      </c>
      <c r="AE204" s="162" t="s">
        <v>1758</v>
      </c>
      <c r="AF204" s="162" t="s">
        <v>4427</v>
      </c>
      <c r="AG204" s="162" t="s">
        <v>3872</v>
      </c>
      <c r="AH204" s="162" t="s">
        <v>3922</v>
      </c>
      <c r="AI204" s="162" t="s">
        <v>3923</v>
      </c>
      <c r="AJ204" s="162" t="s">
        <v>34</v>
      </c>
      <c r="AK204" s="162" t="s">
        <v>2125</v>
      </c>
      <c r="AL204" s="162" t="s">
        <v>34</v>
      </c>
      <c r="AM204" t="s">
        <v>4806</v>
      </c>
      <c r="AN204" s="478">
        <v>1.4583333333333332E-2</v>
      </c>
      <c r="AO204" s="478">
        <v>2.1527777777777781E-2</v>
      </c>
    </row>
    <row r="205" spans="1:41" x14ac:dyDescent="0.2">
      <c r="A205">
        <v>204</v>
      </c>
      <c r="B205" s="462" t="s">
        <v>1202</v>
      </c>
      <c r="C205" s="162" t="s">
        <v>1217</v>
      </c>
      <c r="D205" s="162" t="s">
        <v>4104</v>
      </c>
      <c r="E205" s="162" t="s">
        <v>2050</v>
      </c>
      <c r="F205" s="162" t="s">
        <v>2051</v>
      </c>
      <c r="G205" s="162" t="s">
        <v>34</v>
      </c>
      <c r="H205" s="162" t="s">
        <v>2128</v>
      </c>
      <c r="I205" s="162" t="s">
        <v>5651</v>
      </c>
      <c r="J205" s="162" t="s">
        <v>2396</v>
      </c>
      <c r="K205" s="162" t="s">
        <v>1060</v>
      </c>
      <c r="L205" s="162" t="s">
        <v>2820</v>
      </c>
      <c r="M205" s="162" t="s">
        <v>2821</v>
      </c>
      <c r="N205" s="162" t="s">
        <v>1217</v>
      </c>
      <c r="O205" s="162" t="s">
        <v>5677</v>
      </c>
      <c r="P205" s="162" t="s">
        <v>2822</v>
      </c>
      <c r="Q205" s="162" t="s">
        <v>4874</v>
      </c>
      <c r="R205" s="162" t="s">
        <v>2295</v>
      </c>
      <c r="S205" s="162" t="s">
        <v>2823</v>
      </c>
      <c r="T205" s="162">
        <v>545.79999999999995</v>
      </c>
      <c r="U205" s="162" t="s">
        <v>2148</v>
      </c>
      <c r="V205" s="162" t="s">
        <v>2403</v>
      </c>
      <c r="W205" s="162" t="s">
        <v>4422</v>
      </c>
      <c r="X205" s="162" t="s">
        <v>4864</v>
      </c>
      <c r="Y205" s="162" t="s">
        <v>2807</v>
      </c>
      <c r="Z205" s="162" t="s">
        <v>2808</v>
      </c>
      <c r="AA205" s="162" t="s">
        <v>4864</v>
      </c>
      <c r="AB205" s="162" t="s">
        <v>5220</v>
      </c>
      <c r="AC205" s="162" t="s">
        <v>2123</v>
      </c>
      <c r="AD205" s="162" t="s">
        <v>2124</v>
      </c>
      <c r="AE205" s="162" t="s">
        <v>1758</v>
      </c>
      <c r="AF205" s="162">
        <v>10</v>
      </c>
      <c r="AG205" s="162">
        <v>0.2</v>
      </c>
      <c r="AH205" s="162">
        <v>0.2</v>
      </c>
      <c r="AI205" s="162" t="s">
        <v>34</v>
      </c>
      <c r="AJ205" s="162" t="s">
        <v>34</v>
      </c>
      <c r="AK205" s="162" t="s">
        <v>2125</v>
      </c>
      <c r="AL205" s="162" t="s">
        <v>34</v>
      </c>
      <c r="AM205" t="s">
        <v>4803</v>
      </c>
      <c r="AN205" s="478">
        <v>1.4583333333333332E-2</v>
      </c>
      <c r="AO205" s="478">
        <v>0</v>
      </c>
    </row>
    <row r="206" spans="1:41" x14ac:dyDescent="0.2">
      <c r="A206">
        <v>205</v>
      </c>
      <c r="B206" s="462" t="s">
        <v>1202</v>
      </c>
      <c r="C206" s="162" t="s">
        <v>1225</v>
      </c>
      <c r="D206" s="162" t="s">
        <v>4105</v>
      </c>
      <c r="E206" s="162" t="s">
        <v>2050</v>
      </c>
      <c r="F206" s="162" t="s">
        <v>2051</v>
      </c>
      <c r="G206" s="162" t="s">
        <v>34</v>
      </c>
      <c r="H206" s="162" t="s">
        <v>2128</v>
      </c>
      <c r="I206" s="162" t="s">
        <v>5651</v>
      </c>
      <c r="J206" s="162" t="s">
        <v>2396</v>
      </c>
      <c r="K206" s="162" t="s">
        <v>2843</v>
      </c>
      <c r="L206" s="162" t="s">
        <v>2130</v>
      </c>
      <c r="M206" s="162" t="s">
        <v>2844</v>
      </c>
      <c r="N206" s="162" t="s">
        <v>1225</v>
      </c>
      <c r="O206" s="162" t="s">
        <v>5678</v>
      </c>
      <c r="P206" s="162" t="s">
        <v>2845</v>
      </c>
      <c r="Q206" s="162" t="s">
        <v>4875</v>
      </c>
      <c r="R206" s="162" t="s">
        <v>2121</v>
      </c>
      <c r="S206" s="162" t="s">
        <v>2846</v>
      </c>
      <c r="T206" s="162">
        <v>26.7</v>
      </c>
      <c r="U206" s="162" t="s">
        <v>2148</v>
      </c>
      <c r="V206" s="162" t="s">
        <v>2403</v>
      </c>
      <c r="W206" s="162" t="s">
        <v>2847</v>
      </c>
      <c r="X206" s="162" t="s">
        <v>4864</v>
      </c>
      <c r="Y206" s="162" t="s">
        <v>2807</v>
      </c>
      <c r="Z206" s="162" t="s">
        <v>2808</v>
      </c>
      <c r="AA206" s="162" t="s">
        <v>4864</v>
      </c>
      <c r="AB206" s="162" t="s">
        <v>34</v>
      </c>
      <c r="AC206" s="162" t="s">
        <v>2123</v>
      </c>
      <c r="AD206" s="162" t="s">
        <v>2124</v>
      </c>
      <c r="AE206" s="162" t="s">
        <v>1758</v>
      </c>
      <c r="AF206" s="162">
        <v>5</v>
      </c>
      <c r="AG206" s="162">
        <v>0.75</v>
      </c>
      <c r="AH206" s="162">
        <v>1</v>
      </c>
      <c r="AI206" s="162" t="s">
        <v>34</v>
      </c>
      <c r="AJ206" s="162" t="s">
        <v>34</v>
      </c>
      <c r="AK206" s="162" t="s">
        <v>2125</v>
      </c>
      <c r="AL206" s="162" t="s">
        <v>34</v>
      </c>
      <c r="AM206" t="s">
        <v>4804</v>
      </c>
      <c r="AN206" s="478">
        <v>1.4583333333333332E-2</v>
      </c>
      <c r="AO206" s="478">
        <v>0</v>
      </c>
    </row>
    <row r="207" spans="1:41" x14ac:dyDescent="0.2">
      <c r="A207">
        <v>206</v>
      </c>
      <c r="B207" s="462" t="s">
        <v>1202</v>
      </c>
      <c r="C207" s="162" t="s">
        <v>1220</v>
      </c>
      <c r="D207" s="162" t="s">
        <v>4106</v>
      </c>
      <c r="E207" s="162" t="s">
        <v>2050</v>
      </c>
      <c r="F207" s="162" t="s">
        <v>2051</v>
      </c>
      <c r="G207" s="162" t="s">
        <v>34</v>
      </c>
      <c r="H207" s="162" t="s">
        <v>2128</v>
      </c>
      <c r="I207" s="162" t="s">
        <v>5651</v>
      </c>
      <c r="J207" s="162" t="s">
        <v>2396</v>
      </c>
      <c r="K207" s="162" t="s">
        <v>1060</v>
      </c>
      <c r="L207" s="162" t="s">
        <v>2813</v>
      </c>
      <c r="M207" s="162" t="s">
        <v>2814</v>
      </c>
      <c r="N207" s="162" t="s">
        <v>1220</v>
      </c>
      <c r="O207" s="162" t="s">
        <v>5654</v>
      </c>
      <c r="P207" s="162" t="s">
        <v>2421</v>
      </c>
      <c r="Q207" s="162" t="s">
        <v>4865</v>
      </c>
      <c r="R207" s="162" t="s">
        <v>2121</v>
      </c>
      <c r="S207" s="162" t="s">
        <v>2815</v>
      </c>
      <c r="T207" s="162">
        <v>20</v>
      </c>
      <c r="U207" s="162" t="s">
        <v>2148</v>
      </c>
      <c r="V207" s="162" t="s">
        <v>2403</v>
      </c>
      <c r="W207" s="162" t="s">
        <v>5538</v>
      </c>
      <c r="X207" s="162" t="s">
        <v>4864</v>
      </c>
      <c r="Y207" s="162" t="s">
        <v>2807</v>
      </c>
      <c r="Z207" s="162" t="s">
        <v>2808</v>
      </c>
      <c r="AA207" s="162" t="s">
        <v>4864</v>
      </c>
      <c r="AB207" s="162" t="s">
        <v>34</v>
      </c>
      <c r="AC207" s="162" t="s">
        <v>2123</v>
      </c>
      <c r="AD207" s="162" t="s">
        <v>2124</v>
      </c>
      <c r="AE207" s="162" t="s">
        <v>1758</v>
      </c>
      <c r="AF207" s="162">
        <v>4</v>
      </c>
      <c r="AG207" s="162">
        <v>53</v>
      </c>
      <c r="AH207" s="162">
        <v>9</v>
      </c>
      <c r="AI207" s="162" t="s">
        <v>34</v>
      </c>
      <c r="AJ207" s="162" t="s">
        <v>34</v>
      </c>
      <c r="AK207" s="162" t="s">
        <v>2125</v>
      </c>
      <c r="AL207" s="162" t="s">
        <v>34</v>
      </c>
      <c r="AM207" t="s">
        <v>4804</v>
      </c>
      <c r="AN207" s="478">
        <v>1.4583333333333332E-2</v>
      </c>
      <c r="AO207" s="478">
        <v>0</v>
      </c>
    </row>
    <row r="208" spans="1:41" x14ac:dyDescent="0.2">
      <c r="A208">
        <v>207</v>
      </c>
      <c r="B208" s="462" t="s">
        <v>1202</v>
      </c>
      <c r="C208" s="162" t="s">
        <v>1215</v>
      </c>
      <c r="D208" s="162" t="s">
        <v>4107</v>
      </c>
      <c r="E208" s="162" t="s">
        <v>2050</v>
      </c>
      <c r="F208" s="162" t="s">
        <v>2051</v>
      </c>
      <c r="G208" s="162" t="s">
        <v>34</v>
      </c>
      <c r="H208" s="162" t="s">
        <v>2128</v>
      </c>
      <c r="I208" s="162" t="s">
        <v>5651</v>
      </c>
      <c r="J208" s="162" t="s">
        <v>2396</v>
      </c>
      <c r="K208" s="162" t="s">
        <v>2843</v>
      </c>
      <c r="L208" s="162" t="s">
        <v>2848</v>
      </c>
      <c r="M208" s="162" t="s">
        <v>2849</v>
      </c>
      <c r="N208" s="162" t="s">
        <v>1215</v>
      </c>
      <c r="O208" s="162" t="s">
        <v>5679</v>
      </c>
      <c r="P208" s="162" t="s">
        <v>2822</v>
      </c>
      <c r="Q208" s="162" t="s">
        <v>4875</v>
      </c>
      <c r="R208" s="162" t="s">
        <v>2121</v>
      </c>
      <c r="S208" s="162" t="s">
        <v>2850</v>
      </c>
      <c r="T208" s="162">
        <v>445.5</v>
      </c>
      <c r="U208" s="162" t="s">
        <v>2148</v>
      </c>
      <c r="V208" s="162" t="s">
        <v>2403</v>
      </c>
      <c r="W208" s="162" t="s">
        <v>4423</v>
      </c>
      <c r="X208" s="162" t="s">
        <v>4864</v>
      </c>
      <c r="Y208" s="162" t="s">
        <v>2807</v>
      </c>
      <c r="Z208" s="162" t="s">
        <v>2808</v>
      </c>
      <c r="AA208" s="162" t="s">
        <v>4864</v>
      </c>
      <c r="AB208" s="162" t="s">
        <v>34</v>
      </c>
      <c r="AC208" s="162" t="s">
        <v>2123</v>
      </c>
      <c r="AD208" s="162" t="s">
        <v>2124</v>
      </c>
      <c r="AE208" s="162" t="s">
        <v>1758</v>
      </c>
      <c r="AF208" s="162">
        <v>15</v>
      </c>
      <c r="AG208" s="162">
        <v>0.43</v>
      </c>
      <c r="AH208" s="162">
        <v>0.1</v>
      </c>
      <c r="AI208" s="162" t="s">
        <v>34</v>
      </c>
      <c r="AJ208" s="162" t="s">
        <v>34</v>
      </c>
      <c r="AK208" s="162" t="s">
        <v>2125</v>
      </c>
      <c r="AL208" s="162" t="s">
        <v>34</v>
      </c>
      <c r="AM208" t="s">
        <v>4803</v>
      </c>
      <c r="AN208" s="478">
        <v>1.4583333333333332E-2</v>
      </c>
      <c r="AO208" s="478">
        <v>0</v>
      </c>
    </row>
    <row r="209" spans="1:41" x14ac:dyDescent="0.2">
      <c r="A209">
        <v>208</v>
      </c>
      <c r="B209" s="462" t="s">
        <v>1202</v>
      </c>
      <c r="C209" s="162" t="s">
        <v>1222</v>
      </c>
      <c r="D209" s="162" t="s">
        <v>4108</v>
      </c>
      <c r="E209" s="162" t="s">
        <v>2050</v>
      </c>
      <c r="F209" s="162" t="s">
        <v>2051</v>
      </c>
      <c r="G209" s="162" t="s">
        <v>34</v>
      </c>
      <c r="H209" s="162" t="s">
        <v>2128</v>
      </c>
      <c r="I209" s="162" t="s">
        <v>5651</v>
      </c>
      <c r="J209" s="162" t="s">
        <v>2396</v>
      </c>
      <c r="K209" s="162" t="s">
        <v>1060</v>
      </c>
      <c r="L209" s="162" t="s">
        <v>2809</v>
      </c>
      <c r="M209" s="162" t="s">
        <v>2810</v>
      </c>
      <c r="N209" s="162" t="s">
        <v>1222</v>
      </c>
      <c r="O209" s="162" t="s">
        <v>5652</v>
      </c>
      <c r="P209" s="162" t="s">
        <v>2811</v>
      </c>
      <c r="Q209" s="162" t="s">
        <v>4863</v>
      </c>
      <c r="R209" s="162" t="s">
        <v>2121</v>
      </c>
      <c r="S209" s="162" t="s">
        <v>2812</v>
      </c>
      <c r="T209" s="162">
        <v>18.7</v>
      </c>
      <c r="U209" s="162" t="s">
        <v>2148</v>
      </c>
      <c r="V209" s="162" t="s">
        <v>2403</v>
      </c>
      <c r="W209" s="162" t="s">
        <v>4424</v>
      </c>
      <c r="X209" s="162" t="s">
        <v>4864</v>
      </c>
      <c r="Y209" s="162" t="s">
        <v>2807</v>
      </c>
      <c r="Z209" s="162" t="s">
        <v>2808</v>
      </c>
      <c r="AA209" s="162" t="s">
        <v>4864</v>
      </c>
      <c r="AB209" s="162" t="s">
        <v>34</v>
      </c>
      <c r="AC209" s="162" t="s">
        <v>2123</v>
      </c>
      <c r="AD209" s="162" t="s">
        <v>2124</v>
      </c>
      <c r="AE209" s="162" t="s">
        <v>1758</v>
      </c>
      <c r="AF209" s="162">
        <v>4</v>
      </c>
      <c r="AG209" s="162">
        <v>1</v>
      </c>
      <c r="AH209" s="162">
        <v>0.8</v>
      </c>
      <c r="AI209" s="162" t="s">
        <v>34</v>
      </c>
      <c r="AJ209" s="162" t="s">
        <v>34</v>
      </c>
      <c r="AK209" s="162" t="s">
        <v>2125</v>
      </c>
      <c r="AL209" s="162" t="s">
        <v>34</v>
      </c>
      <c r="AM209" t="s">
        <v>4804</v>
      </c>
      <c r="AN209" s="478">
        <v>1.4583333333333332E-2</v>
      </c>
      <c r="AO209" s="478">
        <v>0</v>
      </c>
    </row>
    <row r="210" spans="1:41" x14ac:dyDescent="0.2">
      <c r="A210">
        <v>209</v>
      </c>
      <c r="B210" s="462" t="s">
        <v>1202</v>
      </c>
      <c r="C210" s="162" t="s">
        <v>1211</v>
      </c>
      <c r="D210" s="162" t="s">
        <v>4109</v>
      </c>
      <c r="E210" s="162" t="s">
        <v>2050</v>
      </c>
      <c r="F210" s="162" t="s">
        <v>2051</v>
      </c>
      <c r="G210" s="162" t="s">
        <v>34</v>
      </c>
      <c r="H210" s="162" t="s">
        <v>2128</v>
      </c>
      <c r="I210" s="162" t="s">
        <v>5680</v>
      </c>
      <c r="J210" s="162" t="s">
        <v>2396</v>
      </c>
      <c r="K210" s="162" t="s">
        <v>1238</v>
      </c>
      <c r="L210" s="162" t="s">
        <v>2243</v>
      </c>
      <c r="M210" s="162" t="s">
        <v>1211</v>
      </c>
      <c r="N210" s="162" t="s">
        <v>1211</v>
      </c>
      <c r="O210" s="162" t="s">
        <v>4915</v>
      </c>
      <c r="P210" s="162" t="s">
        <v>2839</v>
      </c>
      <c r="Q210" s="162" t="s">
        <v>4876</v>
      </c>
      <c r="R210" s="162" t="s">
        <v>2121</v>
      </c>
      <c r="S210" s="162" t="s">
        <v>2840</v>
      </c>
      <c r="T210" s="162">
        <v>120</v>
      </c>
      <c r="U210" s="162" t="s">
        <v>2150</v>
      </c>
      <c r="V210" s="162" t="s">
        <v>2841</v>
      </c>
      <c r="W210" s="162" t="s">
        <v>2842</v>
      </c>
      <c r="X210" s="162" t="s">
        <v>5081</v>
      </c>
      <c r="Y210" s="162" t="s">
        <v>109</v>
      </c>
      <c r="Z210" s="162" t="s">
        <v>109</v>
      </c>
      <c r="AA210" s="162" t="s">
        <v>109</v>
      </c>
      <c r="AB210" s="162" t="s">
        <v>5082</v>
      </c>
      <c r="AC210" s="162" t="s">
        <v>2123</v>
      </c>
      <c r="AD210" s="162" t="s">
        <v>2124</v>
      </c>
      <c r="AE210" s="162" t="s">
        <v>1758</v>
      </c>
      <c r="AF210" s="162">
        <v>0</v>
      </c>
      <c r="AG210" s="162">
        <v>0</v>
      </c>
      <c r="AH210" s="162">
        <v>0.15</v>
      </c>
      <c r="AI210" s="162" t="s">
        <v>3921</v>
      </c>
      <c r="AJ210" s="162" t="s">
        <v>34</v>
      </c>
      <c r="AK210" s="162" t="s">
        <v>2125</v>
      </c>
      <c r="AL210" s="162" t="s">
        <v>34</v>
      </c>
      <c r="AM210" t="s">
        <v>4806</v>
      </c>
      <c r="AN210" s="478">
        <v>0</v>
      </c>
      <c r="AO210" s="478">
        <v>0</v>
      </c>
    </row>
    <row r="211" spans="1:41" x14ac:dyDescent="0.2">
      <c r="A211">
        <v>210</v>
      </c>
      <c r="B211" s="462" t="s">
        <v>1202</v>
      </c>
      <c r="C211" s="162" t="s">
        <v>4728</v>
      </c>
      <c r="D211" s="162" t="s">
        <v>4729</v>
      </c>
      <c r="E211" s="162" t="s">
        <v>2050</v>
      </c>
      <c r="F211" s="162" t="s">
        <v>2051</v>
      </c>
      <c r="G211" s="162" t="s">
        <v>34</v>
      </c>
      <c r="H211" s="162" t="s">
        <v>2128</v>
      </c>
      <c r="I211" s="162" t="s">
        <v>5651</v>
      </c>
      <c r="J211" s="162" t="s">
        <v>2396</v>
      </c>
      <c r="K211" s="162" t="s">
        <v>2816</v>
      </c>
      <c r="L211" s="162" t="s">
        <v>2831</v>
      </c>
      <c r="M211" s="162" t="s">
        <v>2832</v>
      </c>
      <c r="N211" s="162" t="s">
        <v>1206</v>
      </c>
      <c r="O211" s="162" t="s">
        <v>5677</v>
      </c>
      <c r="P211" s="162" t="s">
        <v>2833</v>
      </c>
      <c r="Q211" s="162" t="s">
        <v>4874</v>
      </c>
      <c r="R211" s="162" t="s">
        <v>2121</v>
      </c>
      <c r="S211" s="162" t="s">
        <v>2834</v>
      </c>
      <c r="T211" s="162">
        <v>29.8</v>
      </c>
      <c r="U211" s="162" t="s">
        <v>2148</v>
      </c>
      <c r="V211" s="162" t="s">
        <v>2465</v>
      </c>
      <c r="W211" s="162" t="s">
        <v>2835</v>
      </c>
      <c r="X211" s="162" t="s">
        <v>4873</v>
      </c>
      <c r="Y211" s="162" t="s">
        <v>2836</v>
      </c>
      <c r="Z211" s="162" t="s">
        <v>2837</v>
      </c>
      <c r="AA211" s="162" t="s">
        <v>4873</v>
      </c>
      <c r="AB211" s="162" t="s">
        <v>2838</v>
      </c>
      <c r="AC211" s="162" t="s">
        <v>2123</v>
      </c>
      <c r="AD211" s="162" t="s">
        <v>2124</v>
      </c>
      <c r="AE211" s="162" t="s">
        <v>1758</v>
      </c>
      <c r="AF211" s="162" t="s">
        <v>3347</v>
      </c>
      <c r="AG211" s="162" t="s">
        <v>34</v>
      </c>
      <c r="AH211" s="162" t="s">
        <v>34</v>
      </c>
      <c r="AI211" s="162" t="s">
        <v>34</v>
      </c>
      <c r="AJ211" s="162" t="s">
        <v>34</v>
      </c>
      <c r="AK211" s="162" t="s">
        <v>2125</v>
      </c>
      <c r="AL211" s="162" t="s">
        <v>34</v>
      </c>
      <c r="AM211" t="s">
        <v>4810</v>
      </c>
      <c r="AN211" s="478">
        <v>0</v>
      </c>
      <c r="AO211" s="478">
        <v>0</v>
      </c>
    </row>
    <row r="212" spans="1:41" x14ac:dyDescent="0.2">
      <c r="A212">
        <v>211</v>
      </c>
      <c r="B212" s="462" t="s">
        <v>1202</v>
      </c>
      <c r="C212" s="162" t="s">
        <v>4730</v>
      </c>
      <c r="D212" s="162" t="s">
        <v>4731</v>
      </c>
      <c r="E212" s="162" t="s">
        <v>2050</v>
      </c>
      <c r="F212" s="162" t="s">
        <v>2051</v>
      </c>
      <c r="G212" s="162" t="s">
        <v>34</v>
      </c>
      <c r="H212" s="162" t="s">
        <v>2128</v>
      </c>
      <c r="I212" s="162" t="s">
        <v>5651</v>
      </c>
      <c r="J212" s="162" t="s">
        <v>2396</v>
      </c>
      <c r="K212" s="162" t="s">
        <v>2816</v>
      </c>
      <c r="L212" s="162" t="s">
        <v>2831</v>
      </c>
      <c r="M212" s="162" t="s">
        <v>2832</v>
      </c>
      <c r="N212" s="162" t="s">
        <v>1206</v>
      </c>
      <c r="O212" s="162" t="s">
        <v>5677</v>
      </c>
      <c r="P212" s="162" t="s">
        <v>2833</v>
      </c>
      <c r="Q212" s="162" t="s">
        <v>4874</v>
      </c>
      <c r="R212" s="162" t="s">
        <v>2121</v>
      </c>
      <c r="S212" s="162" t="s">
        <v>2834</v>
      </c>
      <c r="T212" s="162">
        <v>29.8</v>
      </c>
      <c r="U212" s="162" t="s">
        <v>2150</v>
      </c>
      <c r="V212" s="162" t="s">
        <v>2465</v>
      </c>
      <c r="W212" s="162" t="s">
        <v>2835</v>
      </c>
      <c r="X212" s="162" t="s">
        <v>4873</v>
      </c>
      <c r="Y212" s="162" t="s">
        <v>2836</v>
      </c>
      <c r="Z212" s="162" t="s">
        <v>2837</v>
      </c>
      <c r="AA212" s="162" t="s">
        <v>4873</v>
      </c>
      <c r="AB212" s="162" t="s">
        <v>2838</v>
      </c>
      <c r="AC212" s="162" t="s">
        <v>2123</v>
      </c>
      <c r="AD212" s="162" t="s">
        <v>2124</v>
      </c>
      <c r="AE212" s="162" t="s">
        <v>1758</v>
      </c>
      <c r="AF212" s="162" t="s">
        <v>3347</v>
      </c>
      <c r="AG212" s="162" t="s">
        <v>34</v>
      </c>
      <c r="AH212" s="162" t="s">
        <v>34</v>
      </c>
      <c r="AI212" s="162" t="s">
        <v>34</v>
      </c>
      <c r="AJ212" s="162" t="s">
        <v>34</v>
      </c>
      <c r="AK212" s="162" t="s">
        <v>2125</v>
      </c>
      <c r="AL212" s="162" t="s">
        <v>34</v>
      </c>
      <c r="AM212" t="s">
        <v>4810</v>
      </c>
      <c r="AN212" s="478">
        <v>0</v>
      </c>
      <c r="AO212" s="478">
        <v>0</v>
      </c>
    </row>
    <row r="213" spans="1:41" x14ac:dyDescent="0.2">
      <c r="A213">
        <v>212</v>
      </c>
      <c r="B213" s="462" t="s">
        <v>1202</v>
      </c>
      <c r="C213" s="162" t="s">
        <v>1208</v>
      </c>
      <c r="D213" s="162" t="s">
        <v>4110</v>
      </c>
      <c r="E213" s="162" t="s">
        <v>2050</v>
      </c>
      <c r="F213" s="162" t="s">
        <v>2051</v>
      </c>
      <c r="G213" s="162" t="s">
        <v>34</v>
      </c>
      <c r="H213" s="162" t="s">
        <v>2128</v>
      </c>
      <c r="I213" s="162" t="s">
        <v>5651</v>
      </c>
      <c r="J213" s="162" t="s">
        <v>2396</v>
      </c>
      <c r="K213" s="162" t="s">
        <v>2816</v>
      </c>
      <c r="L213" s="162" t="s">
        <v>2824</v>
      </c>
      <c r="M213" s="162" t="s">
        <v>2825</v>
      </c>
      <c r="N213" s="162" t="s">
        <v>1208</v>
      </c>
      <c r="O213" s="162" t="s">
        <v>5681</v>
      </c>
      <c r="P213" s="162" t="s">
        <v>2826</v>
      </c>
      <c r="Q213" s="162" t="s">
        <v>4876</v>
      </c>
      <c r="R213" s="162" t="s">
        <v>2121</v>
      </c>
      <c r="S213" s="162" t="s">
        <v>4930</v>
      </c>
      <c r="T213" s="162">
        <v>91.8</v>
      </c>
      <c r="U213" s="162" t="s">
        <v>2150</v>
      </c>
      <c r="V213" s="162" t="s">
        <v>2465</v>
      </c>
      <c r="W213" s="162" t="s">
        <v>2827</v>
      </c>
      <c r="X213" s="162" t="s">
        <v>4873</v>
      </c>
      <c r="Y213" s="162" t="s">
        <v>2828</v>
      </c>
      <c r="Z213" s="162" t="s">
        <v>2829</v>
      </c>
      <c r="AA213" s="162" t="s">
        <v>4873</v>
      </c>
      <c r="AB213" s="162" t="s">
        <v>2830</v>
      </c>
      <c r="AC213" s="162" t="s">
        <v>2123</v>
      </c>
      <c r="AD213" s="162" t="s">
        <v>2124</v>
      </c>
      <c r="AE213" s="162" t="s">
        <v>1758</v>
      </c>
      <c r="AF213" s="162">
        <v>13.25</v>
      </c>
      <c r="AG213" s="162">
        <v>2.75</v>
      </c>
      <c r="AH213" s="162">
        <v>0.8</v>
      </c>
      <c r="AI213" s="162" t="s">
        <v>34</v>
      </c>
      <c r="AJ213" s="162" t="s">
        <v>34</v>
      </c>
      <c r="AK213" s="162" t="s">
        <v>2125</v>
      </c>
      <c r="AL213" s="162" t="s">
        <v>34</v>
      </c>
      <c r="AM213" t="s">
        <v>4810</v>
      </c>
      <c r="AN213" s="478">
        <v>0</v>
      </c>
      <c r="AO213" s="478">
        <v>0</v>
      </c>
    </row>
    <row r="214" spans="1:41" x14ac:dyDescent="0.2">
      <c r="A214">
        <v>213</v>
      </c>
      <c r="B214" s="462" t="s">
        <v>1227</v>
      </c>
      <c r="C214" s="162" t="s">
        <v>1231</v>
      </c>
      <c r="D214" s="162" t="s">
        <v>4111</v>
      </c>
      <c r="E214" s="162" t="s">
        <v>2052</v>
      </c>
      <c r="F214" s="162" t="s">
        <v>2053</v>
      </c>
      <c r="G214" s="162" t="s">
        <v>34</v>
      </c>
      <c r="H214" s="162" t="s">
        <v>2128</v>
      </c>
      <c r="I214" s="162" t="s">
        <v>5651</v>
      </c>
      <c r="J214" s="162" t="s">
        <v>2740</v>
      </c>
      <c r="K214" s="162" t="s">
        <v>2250</v>
      </c>
      <c r="L214" s="162" t="s">
        <v>2861</v>
      </c>
      <c r="M214" s="162">
        <v>966014</v>
      </c>
      <c r="N214" s="162" t="s">
        <v>1231</v>
      </c>
      <c r="O214" s="162" t="s">
        <v>904</v>
      </c>
      <c r="P214" s="162" t="s">
        <v>2862</v>
      </c>
      <c r="Q214" s="162" t="s">
        <v>2204</v>
      </c>
      <c r="R214" s="162" t="s">
        <v>2185</v>
      </c>
      <c r="S214" s="162" t="s">
        <v>2863</v>
      </c>
      <c r="T214" s="162">
        <v>6.25</v>
      </c>
      <c r="U214" s="162" t="s">
        <v>1947</v>
      </c>
      <c r="V214" s="162" t="s">
        <v>2864</v>
      </c>
      <c r="W214" s="162">
        <v>306253</v>
      </c>
      <c r="X214" s="162" t="s">
        <v>2270</v>
      </c>
      <c r="Y214" s="162" t="s">
        <v>109</v>
      </c>
      <c r="Z214" s="162" t="s">
        <v>109</v>
      </c>
      <c r="AA214" s="162" t="s">
        <v>109</v>
      </c>
      <c r="AB214" s="162" t="s">
        <v>5431</v>
      </c>
      <c r="AC214" s="162" t="s">
        <v>2123</v>
      </c>
      <c r="AD214" s="162" t="s">
        <v>2124</v>
      </c>
      <c r="AE214" s="162" t="s">
        <v>1758</v>
      </c>
      <c r="AF214" s="162">
        <v>2.1</v>
      </c>
      <c r="AG214" s="162">
        <v>1.2</v>
      </c>
      <c r="AH214" s="162">
        <v>0.2</v>
      </c>
      <c r="AI214" s="162" t="s">
        <v>3924</v>
      </c>
      <c r="AJ214" s="162" t="s">
        <v>3925</v>
      </c>
      <c r="AK214" s="162" t="s">
        <v>2125</v>
      </c>
      <c r="AL214" s="162" t="s">
        <v>3725</v>
      </c>
      <c r="AM214" t="s">
        <v>4803</v>
      </c>
      <c r="AN214" s="478">
        <v>0</v>
      </c>
      <c r="AO214" s="478">
        <v>0</v>
      </c>
    </row>
    <row r="215" spans="1:41" x14ac:dyDescent="0.2">
      <c r="A215">
        <v>214</v>
      </c>
      <c r="B215" s="462" t="s">
        <v>1227</v>
      </c>
      <c r="C215" s="162" t="s">
        <v>1229</v>
      </c>
      <c r="D215" s="162" t="s">
        <v>4112</v>
      </c>
      <c r="E215" s="162" t="s">
        <v>2052</v>
      </c>
      <c r="F215" s="162" t="s">
        <v>2053</v>
      </c>
      <c r="G215" s="162" t="s">
        <v>34</v>
      </c>
      <c r="H215" s="162" t="s">
        <v>2128</v>
      </c>
      <c r="I215" s="162" t="s">
        <v>5651</v>
      </c>
      <c r="J215" s="162" t="s">
        <v>2740</v>
      </c>
      <c r="K215" s="162" t="s">
        <v>1905</v>
      </c>
      <c r="L215" s="162" t="s">
        <v>2865</v>
      </c>
      <c r="M215" s="162" t="s">
        <v>2866</v>
      </c>
      <c r="N215" s="162" t="s">
        <v>1229</v>
      </c>
      <c r="O215" s="162" t="s">
        <v>904</v>
      </c>
      <c r="P215" s="162" t="s">
        <v>2522</v>
      </c>
      <c r="Q215" s="162" t="s">
        <v>2204</v>
      </c>
      <c r="R215" s="162" t="s">
        <v>2121</v>
      </c>
      <c r="S215" s="162" t="s">
        <v>2867</v>
      </c>
      <c r="T215" s="162">
        <v>10.1</v>
      </c>
      <c r="U215" s="162" t="s">
        <v>1947</v>
      </c>
      <c r="V215" s="162" t="s">
        <v>2403</v>
      </c>
      <c r="W215" s="162" t="s">
        <v>5365</v>
      </c>
      <c r="X215" s="162" t="s">
        <v>2122</v>
      </c>
      <c r="Y215" s="162" t="s">
        <v>109</v>
      </c>
      <c r="Z215" s="162" t="s">
        <v>109</v>
      </c>
      <c r="AA215" s="162" t="s">
        <v>109</v>
      </c>
      <c r="AB215" s="162" t="s">
        <v>34</v>
      </c>
      <c r="AC215" s="162" t="s">
        <v>2123</v>
      </c>
      <c r="AD215" s="162" t="s">
        <v>2124</v>
      </c>
      <c r="AE215" s="162" t="s">
        <v>1758</v>
      </c>
      <c r="AF215" s="162">
        <v>5</v>
      </c>
      <c r="AG215" s="162">
        <v>0.4</v>
      </c>
      <c r="AH215" s="162">
        <v>0.05</v>
      </c>
      <c r="AI215" s="162" t="s">
        <v>34</v>
      </c>
      <c r="AJ215" s="162" t="s">
        <v>34</v>
      </c>
      <c r="AK215" s="162" t="s">
        <v>2125</v>
      </c>
      <c r="AL215" s="162" t="s">
        <v>3725</v>
      </c>
      <c r="AM215" t="s">
        <v>4804</v>
      </c>
      <c r="AN215" s="478">
        <v>0</v>
      </c>
      <c r="AO215" s="478">
        <v>0</v>
      </c>
    </row>
    <row r="216" spans="1:41" x14ac:dyDescent="0.2">
      <c r="A216">
        <v>215</v>
      </c>
      <c r="B216" s="462" t="s">
        <v>1227</v>
      </c>
      <c r="C216" s="162" t="s">
        <v>1967</v>
      </c>
      <c r="D216" s="162" t="s">
        <v>4113</v>
      </c>
      <c r="E216" s="162" t="s">
        <v>2052</v>
      </c>
      <c r="F216" s="162" t="s">
        <v>2053</v>
      </c>
      <c r="G216" s="162" t="s">
        <v>34</v>
      </c>
      <c r="H216" s="162" t="s">
        <v>2128</v>
      </c>
      <c r="I216" s="162" t="s">
        <v>5651</v>
      </c>
      <c r="J216" s="162" t="s">
        <v>2740</v>
      </c>
      <c r="K216" s="162" t="s">
        <v>2868</v>
      </c>
      <c r="L216" s="162" t="s">
        <v>2243</v>
      </c>
      <c r="M216" s="162">
        <v>156014</v>
      </c>
      <c r="N216" s="162" t="s">
        <v>1967</v>
      </c>
      <c r="O216" s="162" t="s">
        <v>904</v>
      </c>
      <c r="P216" s="162" t="s">
        <v>2245</v>
      </c>
      <c r="Q216" s="162" t="s">
        <v>2204</v>
      </c>
      <c r="R216" s="162" t="s">
        <v>2121</v>
      </c>
      <c r="S216" s="162" t="s">
        <v>2869</v>
      </c>
      <c r="T216" s="162">
        <v>10.4</v>
      </c>
      <c r="U216" s="162" t="s">
        <v>1947</v>
      </c>
      <c r="V216" s="162" t="s">
        <v>2870</v>
      </c>
      <c r="W216" s="162" t="s">
        <v>2871</v>
      </c>
      <c r="X216" s="162" t="s">
        <v>2270</v>
      </c>
      <c r="Y216" s="162" t="s">
        <v>109</v>
      </c>
      <c r="Z216" s="162" t="s">
        <v>109</v>
      </c>
      <c r="AA216" s="162" t="s">
        <v>109</v>
      </c>
      <c r="AB216" s="162" t="s">
        <v>3131</v>
      </c>
      <c r="AC216" s="162" t="s">
        <v>2123</v>
      </c>
      <c r="AD216" s="162" t="s">
        <v>2124</v>
      </c>
      <c r="AE216" s="162" t="s">
        <v>1758</v>
      </c>
      <c r="AF216" s="162" t="s">
        <v>3347</v>
      </c>
      <c r="AG216" s="162" t="s">
        <v>34</v>
      </c>
      <c r="AH216" s="162" t="s">
        <v>34</v>
      </c>
      <c r="AI216" s="162" t="s">
        <v>34</v>
      </c>
      <c r="AJ216" s="162" t="s">
        <v>34</v>
      </c>
      <c r="AK216" s="162" t="s">
        <v>2125</v>
      </c>
      <c r="AL216" s="162" t="s">
        <v>3725</v>
      </c>
      <c r="AM216" t="s">
        <v>4803</v>
      </c>
      <c r="AN216" s="478">
        <v>0</v>
      </c>
      <c r="AO216" s="478">
        <v>0</v>
      </c>
    </row>
    <row r="217" spans="1:41" x14ac:dyDescent="0.2">
      <c r="A217">
        <v>216</v>
      </c>
      <c r="B217" s="462" t="s">
        <v>4734</v>
      </c>
      <c r="C217" s="162" t="s">
        <v>4735</v>
      </c>
      <c r="D217" s="162" t="s">
        <v>4736</v>
      </c>
      <c r="E217" s="162" t="s">
        <v>4737</v>
      </c>
      <c r="F217" s="162" t="s">
        <v>4738</v>
      </c>
      <c r="G217" s="162" t="s">
        <v>4739</v>
      </c>
      <c r="H217" s="162" t="s">
        <v>2128</v>
      </c>
      <c r="I217" s="162" t="s">
        <v>5651</v>
      </c>
      <c r="J217" s="162" t="s">
        <v>1764</v>
      </c>
      <c r="K217" s="162" t="s">
        <v>2214</v>
      </c>
      <c r="L217" s="162" t="s">
        <v>4740</v>
      </c>
      <c r="M217" s="162">
        <v>24005</v>
      </c>
      <c r="N217" s="162" t="s">
        <v>4741</v>
      </c>
      <c r="O217" s="162" t="s">
        <v>109</v>
      </c>
      <c r="P217" s="162" t="s">
        <v>4742</v>
      </c>
      <c r="Q217" s="162" t="s">
        <v>4743</v>
      </c>
      <c r="R217" s="162" t="s">
        <v>4744</v>
      </c>
      <c r="S217" s="162" t="s">
        <v>4745</v>
      </c>
      <c r="T217" s="162">
        <v>488.2</v>
      </c>
      <c r="U217" s="162" t="s">
        <v>4506</v>
      </c>
      <c r="V217" s="162" t="s">
        <v>4746</v>
      </c>
      <c r="W217" s="162">
        <v>224109</v>
      </c>
      <c r="X217" s="162" t="s">
        <v>2230</v>
      </c>
      <c r="Y217" s="162" t="s">
        <v>4747</v>
      </c>
      <c r="Z217" s="162">
        <v>8134133</v>
      </c>
      <c r="AA217" s="162" t="s">
        <v>2230</v>
      </c>
      <c r="AB217" s="162" t="s">
        <v>4748</v>
      </c>
      <c r="AC217" s="162" t="s">
        <v>2123</v>
      </c>
      <c r="AD217" s="162" t="s">
        <v>4501</v>
      </c>
      <c r="AE217" s="162" t="s">
        <v>1758</v>
      </c>
      <c r="AF217" s="162" t="s">
        <v>34</v>
      </c>
      <c r="AG217" s="162" t="s">
        <v>34</v>
      </c>
      <c r="AH217" s="162" t="s">
        <v>34</v>
      </c>
      <c r="AI217" s="162" t="s">
        <v>34</v>
      </c>
      <c r="AJ217" s="162" t="s">
        <v>34</v>
      </c>
      <c r="AK217" s="162" t="s">
        <v>2125</v>
      </c>
      <c r="AL217" s="162" t="s">
        <v>34</v>
      </c>
      <c r="AM217" t="s">
        <v>4803</v>
      </c>
      <c r="AN217" s="478">
        <v>0</v>
      </c>
      <c r="AO217" s="478">
        <v>0</v>
      </c>
    </row>
    <row r="218" spans="1:41" x14ac:dyDescent="0.2">
      <c r="A218">
        <v>217</v>
      </c>
      <c r="B218" s="462" t="s">
        <v>1773</v>
      </c>
      <c r="C218" s="162" t="s">
        <v>1775</v>
      </c>
      <c r="D218" s="162" t="s">
        <v>4114</v>
      </c>
      <c r="E218" s="162" t="s">
        <v>2872</v>
      </c>
      <c r="F218" s="162" t="s">
        <v>2054</v>
      </c>
      <c r="G218" s="162" t="s">
        <v>34</v>
      </c>
      <c r="H218" s="162" t="s">
        <v>2128</v>
      </c>
      <c r="I218" s="162" t="s">
        <v>5651</v>
      </c>
      <c r="J218" s="162" t="s">
        <v>2740</v>
      </c>
      <c r="K218" s="162" t="s">
        <v>1905</v>
      </c>
      <c r="L218" s="162" t="s">
        <v>2873</v>
      </c>
      <c r="M218" s="540" t="s">
        <v>1775</v>
      </c>
      <c r="N218" s="162" t="s">
        <v>1775</v>
      </c>
      <c r="O218" s="162" t="s">
        <v>904</v>
      </c>
      <c r="P218" s="162" t="s">
        <v>2874</v>
      </c>
      <c r="Q218" s="162" t="s">
        <v>2204</v>
      </c>
      <c r="R218" s="162" t="s">
        <v>2185</v>
      </c>
      <c r="S218" s="162" t="s">
        <v>2875</v>
      </c>
      <c r="T218" s="162">
        <v>192.5</v>
      </c>
      <c r="U218" s="162" t="s">
        <v>1947</v>
      </c>
      <c r="V218" s="162" t="s">
        <v>2876</v>
      </c>
      <c r="W218" s="162">
        <v>11110683</v>
      </c>
      <c r="X218" s="162" t="s">
        <v>2122</v>
      </c>
      <c r="Y218" s="162" t="s">
        <v>2877</v>
      </c>
      <c r="Z218" s="162">
        <v>16282890</v>
      </c>
      <c r="AA218" s="162" t="s">
        <v>2122</v>
      </c>
      <c r="AB218" s="162" t="s">
        <v>34</v>
      </c>
      <c r="AC218" s="162" t="s">
        <v>2123</v>
      </c>
      <c r="AD218" s="162" t="s">
        <v>2124</v>
      </c>
      <c r="AE218" s="162" t="s">
        <v>1758</v>
      </c>
      <c r="AF218" s="162" t="s">
        <v>34</v>
      </c>
      <c r="AG218" s="162" t="s">
        <v>34</v>
      </c>
      <c r="AH218" s="162" t="s">
        <v>34</v>
      </c>
      <c r="AI218" s="162" t="s">
        <v>34</v>
      </c>
      <c r="AJ218" s="162" t="s">
        <v>34</v>
      </c>
      <c r="AK218" s="162" t="s">
        <v>2125</v>
      </c>
      <c r="AL218" s="162" t="s">
        <v>34</v>
      </c>
      <c r="AM218" t="s">
        <v>4806</v>
      </c>
      <c r="AN218" s="478">
        <v>0</v>
      </c>
      <c r="AO218" s="478">
        <v>0</v>
      </c>
    </row>
    <row r="219" spans="1:41" x14ac:dyDescent="0.2">
      <c r="A219">
        <v>218</v>
      </c>
      <c r="B219" s="462" t="s">
        <v>1236</v>
      </c>
      <c r="C219" s="162" t="s">
        <v>4657</v>
      </c>
      <c r="D219" s="162" t="s">
        <v>4658</v>
      </c>
      <c r="E219" s="162" t="s">
        <v>2878</v>
      </c>
      <c r="F219" s="162" t="s">
        <v>2879</v>
      </c>
      <c r="G219" s="162" t="s">
        <v>34</v>
      </c>
      <c r="H219" s="162" t="s">
        <v>2128</v>
      </c>
      <c r="I219" s="162" t="s">
        <v>4659</v>
      </c>
      <c r="J219" s="162" t="s">
        <v>2396</v>
      </c>
      <c r="K219" s="162" t="s">
        <v>4657</v>
      </c>
      <c r="L219" s="162" t="s">
        <v>4660</v>
      </c>
      <c r="M219" s="540">
        <v>13849</v>
      </c>
      <c r="N219" s="162" t="s">
        <v>4657</v>
      </c>
      <c r="O219" s="162" t="s">
        <v>904</v>
      </c>
      <c r="P219" s="162" t="s">
        <v>4661</v>
      </c>
      <c r="Q219" s="162" t="s">
        <v>2204</v>
      </c>
      <c r="R219" s="162" t="s">
        <v>2185</v>
      </c>
      <c r="S219" s="162" t="s">
        <v>3576</v>
      </c>
      <c r="T219" s="162">
        <v>6</v>
      </c>
      <c r="U219" s="162" t="s">
        <v>2151</v>
      </c>
      <c r="V219" s="162" t="s">
        <v>3220</v>
      </c>
      <c r="W219" s="162" t="s">
        <v>4662</v>
      </c>
      <c r="X219" s="162" t="s">
        <v>2122</v>
      </c>
      <c r="Y219" s="162" t="s">
        <v>2634</v>
      </c>
      <c r="Z219" s="162" t="s">
        <v>4663</v>
      </c>
      <c r="AA219" s="162" t="s">
        <v>2122</v>
      </c>
      <c r="AB219" s="162" t="s">
        <v>34</v>
      </c>
      <c r="AC219" s="162" t="s">
        <v>2123</v>
      </c>
      <c r="AD219" s="162" t="s">
        <v>2124</v>
      </c>
      <c r="AE219" s="162" t="s">
        <v>1758</v>
      </c>
      <c r="AF219" s="162" t="s">
        <v>4664</v>
      </c>
      <c r="AG219" s="162" t="s">
        <v>4665</v>
      </c>
      <c r="AH219" s="162" t="s">
        <v>4666</v>
      </c>
      <c r="AI219" s="162" t="s">
        <v>34</v>
      </c>
      <c r="AJ219" s="162" t="s">
        <v>34</v>
      </c>
      <c r="AK219" s="162" t="s">
        <v>2125</v>
      </c>
      <c r="AL219" s="162" t="s">
        <v>34</v>
      </c>
      <c r="AM219" t="s">
        <v>4817</v>
      </c>
      <c r="AN219" s="478">
        <v>0</v>
      </c>
      <c r="AO219" s="478">
        <v>0</v>
      </c>
    </row>
    <row r="220" spans="1:41" x14ac:dyDescent="0.2">
      <c r="A220">
        <v>219</v>
      </c>
      <c r="B220" s="462" t="s">
        <v>1236</v>
      </c>
      <c r="C220" s="162" t="s">
        <v>4710</v>
      </c>
      <c r="D220" s="162" t="s">
        <v>4711</v>
      </c>
      <c r="E220" s="162" t="s">
        <v>2878</v>
      </c>
      <c r="F220" s="162" t="s">
        <v>2879</v>
      </c>
      <c r="G220" s="162" t="s">
        <v>34</v>
      </c>
      <c r="H220" s="162" t="s">
        <v>2128</v>
      </c>
      <c r="I220" s="162" t="s">
        <v>4659</v>
      </c>
      <c r="J220" s="162" t="s">
        <v>2396</v>
      </c>
      <c r="K220" s="162" t="s">
        <v>4710</v>
      </c>
      <c r="L220" s="162" t="s">
        <v>4725</v>
      </c>
      <c r="M220" s="540">
        <v>1184</v>
      </c>
      <c r="N220" s="162" t="s">
        <v>4710</v>
      </c>
      <c r="O220" s="162" t="s">
        <v>904</v>
      </c>
      <c r="P220" s="162" t="s">
        <v>2371</v>
      </c>
      <c r="Q220" s="162" t="s">
        <v>2371</v>
      </c>
      <c r="R220" s="162" t="s">
        <v>2185</v>
      </c>
      <c r="S220" s="162" t="s">
        <v>4712</v>
      </c>
      <c r="T220" s="162">
        <v>16.25</v>
      </c>
      <c r="U220" s="162" t="s">
        <v>109</v>
      </c>
      <c r="V220" s="162" t="s">
        <v>2388</v>
      </c>
      <c r="W220" s="162" t="s">
        <v>4662</v>
      </c>
      <c r="X220" s="162" t="s">
        <v>2738</v>
      </c>
      <c r="Y220" s="162" t="s">
        <v>4713</v>
      </c>
      <c r="Z220" s="162" t="s">
        <v>4714</v>
      </c>
      <c r="AA220" s="162" t="s">
        <v>2122</v>
      </c>
      <c r="AB220" s="162" t="s">
        <v>4715</v>
      </c>
      <c r="AC220" s="162" t="s">
        <v>2123</v>
      </c>
      <c r="AD220" s="162" t="s">
        <v>2124</v>
      </c>
      <c r="AE220" s="162" t="s">
        <v>1758</v>
      </c>
      <c r="AF220" s="162" t="s">
        <v>109</v>
      </c>
      <c r="AG220" s="162" t="s">
        <v>109</v>
      </c>
      <c r="AH220" s="162" t="s">
        <v>109</v>
      </c>
      <c r="AI220" s="162" t="s">
        <v>34</v>
      </c>
      <c r="AJ220" s="162" t="s">
        <v>34</v>
      </c>
      <c r="AK220" s="162" t="s">
        <v>2125</v>
      </c>
      <c r="AL220" s="162" t="s">
        <v>34</v>
      </c>
      <c r="AM220" t="s">
        <v>4807</v>
      </c>
      <c r="AN220" s="478">
        <v>0</v>
      </c>
      <c r="AO220" s="478">
        <v>0</v>
      </c>
    </row>
    <row r="221" spans="1:41" x14ac:dyDescent="0.2">
      <c r="A221">
        <v>220</v>
      </c>
      <c r="B221" s="462" t="s">
        <v>1236</v>
      </c>
      <c r="C221" s="162" t="s">
        <v>1240</v>
      </c>
      <c r="D221" s="162" t="s">
        <v>4115</v>
      </c>
      <c r="E221" s="162" t="s">
        <v>2878</v>
      </c>
      <c r="F221" s="162" t="s">
        <v>2879</v>
      </c>
      <c r="G221" s="162" t="s">
        <v>34</v>
      </c>
      <c r="H221" s="162" t="s">
        <v>2128</v>
      </c>
      <c r="I221" s="162" t="s">
        <v>5651</v>
      </c>
      <c r="J221" s="162" t="s">
        <v>2740</v>
      </c>
      <c r="K221" s="162" t="s">
        <v>1120</v>
      </c>
      <c r="L221" s="162" t="s">
        <v>2880</v>
      </c>
      <c r="M221" s="540">
        <v>51811</v>
      </c>
      <c r="N221" s="162" t="s">
        <v>1240</v>
      </c>
      <c r="O221" s="162" t="s">
        <v>904</v>
      </c>
      <c r="P221" s="162" t="s">
        <v>2881</v>
      </c>
      <c r="Q221" s="162" t="s">
        <v>2126</v>
      </c>
      <c r="R221" s="162" t="s">
        <v>2286</v>
      </c>
      <c r="S221" s="162" t="s">
        <v>2882</v>
      </c>
      <c r="T221" s="162">
        <v>132.5</v>
      </c>
      <c r="U221" s="162" t="s">
        <v>2150</v>
      </c>
      <c r="V221" s="162" t="s">
        <v>2883</v>
      </c>
      <c r="W221" s="162">
        <v>11019002</v>
      </c>
      <c r="X221" s="162" t="s">
        <v>2122</v>
      </c>
      <c r="Y221" s="162" t="s">
        <v>2634</v>
      </c>
      <c r="Z221" s="162" t="s">
        <v>2884</v>
      </c>
      <c r="AA221" s="162" t="s">
        <v>2122</v>
      </c>
      <c r="AB221" s="162" t="s">
        <v>34</v>
      </c>
      <c r="AC221" s="162" t="s">
        <v>2123</v>
      </c>
      <c r="AD221" s="162" t="s">
        <v>2124</v>
      </c>
      <c r="AE221" s="162" t="s">
        <v>1758</v>
      </c>
      <c r="AF221" s="162" t="s">
        <v>3347</v>
      </c>
      <c r="AG221" s="162" t="s">
        <v>34</v>
      </c>
      <c r="AH221" s="162" t="s">
        <v>34</v>
      </c>
      <c r="AI221" s="162" t="s">
        <v>34</v>
      </c>
      <c r="AJ221" s="162" t="s">
        <v>34</v>
      </c>
      <c r="AK221" s="162" t="s">
        <v>2125</v>
      </c>
      <c r="AL221" s="162" t="s">
        <v>34</v>
      </c>
      <c r="AM221" t="s">
        <v>4803</v>
      </c>
      <c r="AN221" s="478">
        <v>0</v>
      </c>
      <c r="AO221" s="478">
        <v>0</v>
      </c>
    </row>
    <row r="222" spans="1:41" x14ac:dyDescent="0.2">
      <c r="A222">
        <v>221</v>
      </c>
      <c r="B222" s="462" t="s">
        <v>1236</v>
      </c>
      <c r="C222" s="162" t="s">
        <v>1238</v>
      </c>
      <c r="D222" s="162" t="s">
        <v>4116</v>
      </c>
      <c r="E222" s="162" t="s">
        <v>2878</v>
      </c>
      <c r="F222" s="162" t="s">
        <v>2879</v>
      </c>
      <c r="G222" s="162" t="s">
        <v>34</v>
      </c>
      <c r="H222" s="162" t="s">
        <v>2128</v>
      </c>
      <c r="I222" s="162" t="s">
        <v>5651</v>
      </c>
      <c r="J222" s="162" t="s">
        <v>2740</v>
      </c>
      <c r="K222" s="162" t="s">
        <v>2250</v>
      </c>
      <c r="L222" s="162" t="s">
        <v>2119</v>
      </c>
      <c r="M222" s="540">
        <v>111297</v>
      </c>
      <c r="N222" s="162" t="s">
        <v>1238</v>
      </c>
      <c r="O222" s="162" t="s">
        <v>904</v>
      </c>
      <c r="P222" s="162" t="s">
        <v>2758</v>
      </c>
      <c r="Q222" s="162" t="s">
        <v>2204</v>
      </c>
      <c r="R222" s="162" t="s">
        <v>2185</v>
      </c>
      <c r="S222" s="162" t="s">
        <v>2885</v>
      </c>
      <c r="T222" s="162">
        <v>28</v>
      </c>
      <c r="U222" s="162" t="s">
        <v>2151</v>
      </c>
      <c r="V222" s="162" t="s">
        <v>2886</v>
      </c>
      <c r="W222" s="162">
        <v>431103000</v>
      </c>
      <c r="X222" s="162" t="s">
        <v>2122</v>
      </c>
      <c r="Y222" s="162" t="s">
        <v>2887</v>
      </c>
      <c r="Z222" s="162">
        <v>994010</v>
      </c>
      <c r="AA222" s="162" t="s">
        <v>2230</v>
      </c>
      <c r="AB222" s="162" t="s">
        <v>2888</v>
      </c>
      <c r="AC222" s="162" t="s">
        <v>2123</v>
      </c>
      <c r="AD222" s="162" t="s">
        <v>2124</v>
      </c>
      <c r="AE222" s="162" t="s">
        <v>1758</v>
      </c>
      <c r="AF222" s="162">
        <v>1</v>
      </c>
      <c r="AG222" s="162">
        <v>8</v>
      </c>
      <c r="AH222" s="162">
        <v>4.25</v>
      </c>
      <c r="AI222" s="162" t="s">
        <v>3895</v>
      </c>
      <c r="AJ222" s="162" t="s">
        <v>3926</v>
      </c>
      <c r="AK222" s="162" t="s">
        <v>2125</v>
      </c>
      <c r="AL222" s="162" t="s">
        <v>34</v>
      </c>
      <c r="AM222" t="s">
        <v>4803</v>
      </c>
      <c r="AN222" s="478">
        <v>0</v>
      </c>
      <c r="AO222" s="478">
        <v>0</v>
      </c>
    </row>
    <row r="223" spans="1:41" x14ac:dyDescent="0.2">
      <c r="A223">
        <v>222</v>
      </c>
      <c r="B223" s="462" t="s">
        <v>1242</v>
      </c>
      <c r="C223" s="162" t="s">
        <v>1244</v>
      </c>
      <c r="D223" s="162" t="s">
        <v>4117</v>
      </c>
      <c r="E223" s="162" t="s">
        <v>2055</v>
      </c>
      <c r="F223" s="162" t="s">
        <v>2056</v>
      </c>
      <c r="G223" s="162" t="s">
        <v>34</v>
      </c>
      <c r="H223" s="162" t="s">
        <v>2128</v>
      </c>
      <c r="I223" s="162" t="s">
        <v>5651</v>
      </c>
      <c r="J223" s="162" t="s">
        <v>2396</v>
      </c>
      <c r="K223" s="162" t="s">
        <v>2816</v>
      </c>
      <c r="L223" s="162" t="s">
        <v>2889</v>
      </c>
      <c r="M223" s="540">
        <v>332372</v>
      </c>
      <c r="N223" s="162" t="s">
        <v>1244</v>
      </c>
      <c r="O223" s="162" t="s">
        <v>5682</v>
      </c>
      <c r="P223" s="162" t="s">
        <v>2890</v>
      </c>
      <c r="Q223" s="162" t="s">
        <v>4863</v>
      </c>
      <c r="R223" s="162" t="s">
        <v>2121</v>
      </c>
      <c r="S223" s="162" t="s">
        <v>2891</v>
      </c>
      <c r="T223" s="162">
        <v>13</v>
      </c>
      <c r="U223" s="162" t="s">
        <v>2150</v>
      </c>
      <c r="V223" s="162" t="s">
        <v>2892</v>
      </c>
      <c r="W223" s="162" t="s">
        <v>2893</v>
      </c>
      <c r="X223" s="162" t="s">
        <v>4873</v>
      </c>
      <c r="Y223" s="162" t="s">
        <v>2892</v>
      </c>
      <c r="Z223" s="162" t="s">
        <v>2893</v>
      </c>
      <c r="AA223" s="162" t="s">
        <v>4873</v>
      </c>
      <c r="AB223" s="162" t="s">
        <v>34</v>
      </c>
      <c r="AC223" s="162" t="s">
        <v>2123</v>
      </c>
      <c r="AD223" s="162" t="s">
        <v>2124</v>
      </c>
      <c r="AE223" s="162" t="s">
        <v>1758</v>
      </c>
      <c r="AF223" s="162">
        <v>1</v>
      </c>
      <c r="AG223" s="162">
        <v>360</v>
      </c>
      <c r="AH223" s="162">
        <v>45</v>
      </c>
      <c r="AI223" s="162" t="s">
        <v>3927</v>
      </c>
      <c r="AJ223" s="162" t="s">
        <v>3928</v>
      </c>
      <c r="AK223" s="162" t="s">
        <v>2125</v>
      </c>
      <c r="AL223" s="162" t="s">
        <v>34</v>
      </c>
      <c r="AM223" t="s">
        <v>4818</v>
      </c>
      <c r="AN223" s="478">
        <v>0</v>
      </c>
      <c r="AO223" s="478">
        <v>0</v>
      </c>
    </row>
    <row r="224" spans="1:41" x14ac:dyDescent="0.2">
      <c r="A224">
        <v>223</v>
      </c>
      <c r="B224" s="462" t="s">
        <v>1246</v>
      </c>
      <c r="C224" s="162" t="s">
        <v>817</v>
      </c>
      <c r="D224" s="162" t="s">
        <v>4118</v>
      </c>
      <c r="E224" s="162" t="s">
        <v>2057</v>
      </c>
      <c r="F224" s="162" t="s">
        <v>2058</v>
      </c>
      <c r="G224" s="162" t="s">
        <v>34</v>
      </c>
      <c r="H224" s="162" t="s">
        <v>2128</v>
      </c>
      <c r="I224" s="162" t="s">
        <v>5651</v>
      </c>
      <c r="J224" s="162" t="s">
        <v>2396</v>
      </c>
      <c r="K224" s="162" t="s">
        <v>817</v>
      </c>
      <c r="L224" s="162" t="s">
        <v>2894</v>
      </c>
      <c r="M224" s="540" t="s">
        <v>2895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2123</v>
      </c>
      <c r="AD224" s="162" t="s">
        <v>2124</v>
      </c>
      <c r="AE224" s="162" t="s">
        <v>1758</v>
      </c>
      <c r="AF224" s="162" t="s">
        <v>34</v>
      </c>
      <c r="AG224" s="162" t="s">
        <v>34</v>
      </c>
      <c r="AH224" s="162" t="s">
        <v>34</v>
      </c>
      <c r="AI224" s="162" t="s">
        <v>34</v>
      </c>
      <c r="AJ224" s="162" t="s">
        <v>34</v>
      </c>
      <c r="AK224" s="162" t="s">
        <v>2125</v>
      </c>
      <c r="AL224" s="162" t="s">
        <v>34</v>
      </c>
      <c r="AM224" t="s">
        <v>4803</v>
      </c>
      <c r="AN224" s="478">
        <v>0</v>
      </c>
      <c r="AO224" s="478">
        <v>0</v>
      </c>
    </row>
    <row r="225" spans="1:41" x14ac:dyDescent="0.2">
      <c r="A225">
        <v>224</v>
      </c>
      <c r="B225" s="462" t="s">
        <v>1249</v>
      </c>
      <c r="C225" s="162" t="s">
        <v>1251</v>
      </c>
      <c r="D225" s="162" t="s">
        <v>4119</v>
      </c>
      <c r="E225" s="162" t="s">
        <v>2896</v>
      </c>
      <c r="F225" s="162" t="s">
        <v>2059</v>
      </c>
      <c r="G225" s="162" t="s">
        <v>34</v>
      </c>
      <c r="H225" s="162" t="s">
        <v>2128</v>
      </c>
      <c r="I225" s="162" t="s">
        <v>5651</v>
      </c>
      <c r="J225" s="162" t="s">
        <v>2740</v>
      </c>
      <c r="K225" s="162" t="s">
        <v>2745</v>
      </c>
      <c r="L225" s="162" t="s">
        <v>2243</v>
      </c>
      <c r="M225" s="540" t="s">
        <v>1251</v>
      </c>
      <c r="N225" s="162" t="s">
        <v>1251</v>
      </c>
      <c r="O225" s="162" t="s">
        <v>904</v>
      </c>
      <c r="P225" s="162" t="s">
        <v>2897</v>
      </c>
      <c r="Q225" s="162" t="s">
        <v>5172</v>
      </c>
      <c r="R225" s="162" t="s">
        <v>2121</v>
      </c>
      <c r="S225" s="162" t="s">
        <v>5173</v>
      </c>
      <c r="T225" s="162">
        <v>1.59</v>
      </c>
      <c r="U225" s="162" t="s">
        <v>1947</v>
      </c>
      <c r="V225" s="162" t="s">
        <v>2546</v>
      </c>
      <c r="W225" s="162" t="s">
        <v>2898</v>
      </c>
      <c r="X225" s="162" t="s">
        <v>2122</v>
      </c>
      <c r="Y225" s="162" t="s">
        <v>109</v>
      </c>
      <c r="Z225" s="162" t="s">
        <v>109</v>
      </c>
      <c r="AA225" s="162" t="s">
        <v>109</v>
      </c>
      <c r="AB225" s="162" t="s">
        <v>5174</v>
      </c>
      <c r="AC225" s="162" t="s">
        <v>2123</v>
      </c>
      <c r="AD225" s="162" t="s">
        <v>2124</v>
      </c>
      <c r="AE225" s="162" t="s">
        <v>1758</v>
      </c>
      <c r="AF225" s="162">
        <v>2</v>
      </c>
      <c r="AG225" s="162">
        <v>100</v>
      </c>
      <c r="AH225" s="162">
        <v>10</v>
      </c>
      <c r="AI225" s="162" t="s">
        <v>3929</v>
      </c>
      <c r="AJ225" s="162" t="s">
        <v>34</v>
      </c>
      <c r="AK225" s="162" t="s">
        <v>2125</v>
      </c>
      <c r="AL225" s="162" t="s">
        <v>34</v>
      </c>
      <c r="AM225" t="s">
        <v>4803</v>
      </c>
      <c r="AN225" s="478">
        <v>0</v>
      </c>
      <c r="AO225" s="478">
        <v>0</v>
      </c>
    </row>
    <row r="226" spans="1:41" x14ac:dyDescent="0.2">
      <c r="A226">
        <v>225</v>
      </c>
      <c r="B226" s="462" t="s">
        <v>1857</v>
      </c>
      <c r="C226" s="162" t="s">
        <v>1859</v>
      </c>
      <c r="D226" s="162" t="s">
        <v>4120</v>
      </c>
      <c r="E226" s="162" t="s">
        <v>2060</v>
      </c>
      <c r="F226" s="162" t="s">
        <v>2004</v>
      </c>
      <c r="G226" s="162" t="s">
        <v>34</v>
      </c>
      <c r="H226" s="162" t="s">
        <v>2128</v>
      </c>
      <c r="I226" s="162" t="s">
        <v>5651</v>
      </c>
      <c r="J226" s="162" t="s">
        <v>2740</v>
      </c>
      <c r="K226" s="162" t="s">
        <v>2899</v>
      </c>
      <c r="L226" s="162" t="s">
        <v>2900</v>
      </c>
      <c r="M226" s="540">
        <v>9493308</v>
      </c>
      <c r="N226" s="162" t="s">
        <v>4762</v>
      </c>
      <c r="O226" s="162" t="s">
        <v>904</v>
      </c>
      <c r="P226" s="162" t="s">
        <v>2901</v>
      </c>
      <c r="Q226" s="162" t="s">
        <v>2126</v>
      </c>
      <c r="R226" s="162" t="s">
        <v>2121</v>
      </c>
      <c r="S226" s="162" t="s">
        <v>2902</v>
      </c>
      <c r="T226" s="162">
        <v>0.1</v>
      </c>
      <c r="U226" s="162" t="s">
        <v>1947</v>
      </c>
      <c r="V226" s="162" t="s">
        <v>4763</v>
      </c>
      <c r="W226" s="162">
        <v>9493308</v>
      </c>
      <c r="X226" s="162" t="s">
        <v>2201</v>
      </c>
      <c r="Y226" s="162" t="s">
        <v>109</v>
      </c>
      <c r="Z226" s="162" t="s">
        <v>109</v>
      </c>
      <c r="AA226" s="162" t="s">
        <v>109</v>
      </c>
      <c r="AB226" s="162" t="s">
        <v>4764</v>
      </c>
      <c r="AC226" s="162" t="s">
        <v>2123</v>
      </c>
      <c r="AD226" s="162" t="s">
        <v>2124</v>
      </c>
      <c r="AE226" s="162" t="s">
        <v>1758</v>
      </c>
      <c r="AF226" s="162" t="s">
        <v>3347</v>
      </c>
      <c r="AG226" s="162" t="s">
        <v>34</v>
      </c>
      <c r="AH226" s="162" t="s">
        <v>34</v>
      </c>
      <c r="AI226" s="162" t="s">
        <v>34</v>
      </c>
      <c r="AJ226" s="162" t="s">
        <v>34</v>
      </c>
      <c r="AK226" s="162" t="s">
        <v>2125</v>
      </c>
      <c r="AL226" s="162" t="s">
        <v>34</v>
      </c>
      <c r="AM226" t="s">
        <v>4803</v>
      </c>
      <c r="AN226" s="478">
        <v>0</v>
      </c>
      <c r="AO226" s="478">
        <v>0</v>
      </c>
    </row>
    <row r="227" spans="1:41" x14ac:dyDescent="0.2">
      <c r="A227">
        <v>226</v>
      </c>
      <c r="B227" s="462" t="s">
        <v>1254</v>
      </c>
      <c r="C227" s="162">
        <v>1209</v>
      </c>
      <c r="D227" s="162" t="s">
        <v>4121</v>
      </c>
      <c r="E227" s="162" t="s">
        <v>2903</v>
      </c>
      <c r="F227" s="162" t="s">
        <v>2004</v>
      </c>
      <c r="G227" s="162" t="s">
        <v>34</v>
      </c>
      <c r="H227" s="162" t="s">
        <v>2128</v>
      </c>
      <c r="I227" s="162" t="s">
        <v>5651</v>
      </c>
      <c r="J227" s="162" t="s">
        <v>2740</v>
      </c>
      <c r="K227" s="162" t="s">
        <v>2914</v>
      </c>
      <c r="L227" s="162" t="s">
        <v>2915</v>
      </c>
      <c r="M227" s="540">
        <v>107350701</v>
      </c>
      <c r="N227" s="162">
        <v>1209</v>
      </c>
      <c r="O227" s="162" t="s">
        <v>904</v>
      </c>
      <c r="P227" s="162" t="s">
        <v>2186</v>
      </c>
      <c r="Q227" s="162" t="s">
        <v>2201</v>
      </c>
      <c r="R227" s="162" t="s">
        <v>2121</v>
      </c>
      <c r="S227" s="162" t="s">
        <v>2916</v>
      </c>
      <c r="T227" s="162">
        <v>1196</v>
      </c>
      <c r="U227" s="162" t="s">
        <v>1947</v>
      </c>
      <c r="V227" s="162" t="s">
        <v>2908</v>
      </c>
      <c r="W227" s="162" t="s">
        <v>2917</v>
      </c>
      <c r="X227" s="162" t="s">
        <v>2122</v>
      </c>
      <c r="Y227" s="162" t="s">
        <v>2918</v>
      </c>
      <c r="Z227" s="162" t="s">
        <v>2919</v>
      </c>
      <c r="AA227" s="162" t="s">
        <v>2122</v>
      </c>
      <c r="AB227" s="162" t="s">
        <v>34</v>
      </c>
      <c r="AC227" s="162" t="s">
        <v>2123</v>
      </c>
      <c r="AD227" s="162" t="s">
        <v>2124</v>
      </c>
      <c r="AE227" s="162" t="s">
        <v>1758</v>
      </c>
      <c r="AF227" s="162">
        <v>6</v>
      </c>
      <c r="AG227" s="162">
        <v>0.49</v>
      </c>
      <c r="AH227" s="162">
        <v>0.05</v>
      </c>
      <c r="AI227" s="162" t="s">
        <v>34</v>
      </c>
      <c r="AJ227" s="162" t="s">
        <v>34</v>
      </c>
      <c r="AK227" s="162" t="s">
        <v>2125</v>
      </c>
      <c r="AL227" s="162" t="s">
        <v>34</v>
      </c>
      <c r="AM227" t="s">
        <v>4803</v>
      </c>
      <c r="AN227" s="478">
        <v>0</v>
      </c>
      <c r="AO227" s="478">
        <v>0</v>
      </c>
    </row>
    <row r="228" spans="1:41" x14ac:dyDescent="0.2">
      <c r="A228">
        <v>227</v>
      </c>
      <c r="B228" s="462" t="s">
        <v>1254</v>
      </c>
      <c r="C228" s="162" t="s">
        <v>1262</v>
      </c>
      <c r="D228" s="162" t="s">
        <v>4122</v>
      </c>
      <c r="E228" s="162" t="s">
        <v>2903</v>
      </c>
      <c r="F228" s="162" t="s">
        <v>2004</v>
      </c>
      <c r="G228" s="162" t="s">
        <v>34</v>
      </c>
      <c r="H228" s="162" t="s">
        <v>2128</v>
      </c>
      <c r="I228" s="162" t="s">
        <v>5660</v>
      </c>
      <c r="J228" s="162" t="s">
        <v>2396</v>
      </c>
      <c r="K228" s="162" t="s">
        <v>2132</v>
      </c>
      <c r="L228" s="162" t="s">
        <v>2920</v>
      </c>
      <c r="M228" s="540" t="s">
        <v>2921</v>
      </c>
      <c r="N228" s="162" t="s">
        <v>1262</v>
      </c>
      <c r="O228" s="162" t="s">
        <v>904</v>
      </c>
      <c r="P228" s="162" t="s">
        <v>2906</v>
      </c>
      <c r="Q228" s="162" t="s">
        <v>2204</v>
      </c>
      <c r="R228" s="162" t="s">
        <v>2121</v>
      </c>
      <c r="S228" s="162" t="s">
        <v>2922</v>
      </c>
      <c r="T228" s="162">
        <v>1050</v>
      </c>
      <c r="U228" s="162" t="s">
        <v>1947</v>
      </c>
      <c r="V228" s="162" t="s">
        <v>2908</v>
      </c>
      <c r="W228" s="162">
        <v>20327</v>
      </c>
      <c r="X228" s="162" t="s">
        <v>2122</v>
      </c>
      <c r="Y228" s="162" t="s">
        <v>109</v>
      </c>
      <c r="Z228" s="162" t="s">
        <v>109</v>
      </c>
      <c r="AA228" s="162" t="s">
        <v>2281</v>
      </c>
      <c r="AB228" s="162" t="s">
        <v>2949</v>
      </c>
      <c r="AC228" s="162" t="s">
        <v>2123</v>
      </c>
      <c r="AD228" s="162" t="s">
        <v>2124</v>
      </c>
      <c r="AE228" s="162" t="s">
        <v>1758</v>
      </c>
      <c r="AF228" s="162" t="s">
        <v>3347</v>
      </c>
      <c r="AG228" s="162" t="s">
        <v>34</v>
      </c>
      <c r="AH228" s="162" t="s">
        <v>34</v>
      </c>
      <c r="AI228" s="162" t="s">
        <v>34</v>
      </c>
      <c r="AJ228" s="162" t="s">
        <v>34</v>
      </c>
      <c r="AK228" s="162" t="s">
        <v>2125</v>
      </c>
      <c r="AL228" s="162" t="s">
        <v>34</v>
      </c>
      <c r="AM228" t="s">
        <v>4803</v>
      </c>
      <c r="AN228" s="478">
        <v>0</v>
      </c>
      <c r="AO228" s="478">
        <v>0</v>
      </c>
    </row>
    <row r="229" spans="1:41" x14ac:dyDescent="0.2">
      <c r="A229">
        <v>228</v>
      </c>
      <c r="B229" s="462" t="s">
        <v>1254</v>
      </c>
      <c r="C229" s="162" t="s">
        <v>878</v>
      </c>
      <c r="D229" s="162" t="s">
        <v>4123</v>
      </c>
      <c r="E229" s="162" t="s">
        <v>2903</v>
      </c>
      <c r="F229" s="162" t="s">
        <v>2004</v>
      </c>
      <c r="G229" s="162" t="s">
        <v>34</v>
      </c>
      <c r="H229" s="162" t="s">
        <v>2128</v>
      </c>
      <c r="I229" s="162" t="s">
        <v>5660</v>
      </c>
      <c r="J229" s="162" t="s">
        <v>2396</v>
      </c>
      <c r="K229" s="162" t="s">
        <v>2304</v>
      </c>
      <c r="L229" s="162" t="s">
        <v>2469</v>
      </c>
      <c r="M229" s="540" t="s">
        <v>2960</v>
      </c>
      <c r="N229" s="162" t="s">
        <v>878</v>
      </c>
      <c r="O229" s="162" t="s">
        <v>904</v>
      </c>
      <c r="P229" s="162" t="s">
        <v>2906</v>
      </c>
      <c r="Q229" s="162" t="s">
        <v>2204</v>
      </c>
      <c r="R229" s="162" t="s">
        <v>2121</v>
      </c>
      <c r="S229" s="162" t="s">
        <v>2961</v>
      </c>
      <c r="T229" s="162">
        <v>1011.5</v>
      </c>
      <c r="U229" s="162" t="s">
        <v>1947</v>
      </c>
      <c r="V229" s="162" t="s">
        <v>2403</v>
      </c>
      <c r="W229" s="162" t="s">
        <v>2962</v>
      </c>
      <c r="X229" s="162" t="s">
        <v>2122</v>
      </c>
      <c r="Y229" s="162" t="s">
        <v>109</v>
      </c>
      <c r="Z229" s="162" t="s">
        <v>109</v>
      </c>
      <c r="AA229" s="162" t="s">
        <v>2281</v>
      </c>
      <c r="AB229" s="162" t="s">
        <v>2949</v>
      </c>
      <c r="AC229" s="162" t="s">
        <v>2123</v>
      </c>
      <c r="AD229" s="162" t="s">
        <v>2124</v>
      </c>
      <c r="AE229" s="162" t="s">
        <v>1758</v>
      </c>
      <c r="AF229" s="162">
        <v>10</v>
      </c>
      <c r="AG229" s="162">
        <v>1</v>
      </c>
      <c r="AH229" s="162">
        <v>0</v>
      </c>
      <c r="AI229" s="162" t="s">
        <v>34</v>
      </c>
      <c r="AJ229" s="162" t="s">
        <v>34</v>
      </c>
      <c r="AK229" s="162" t="s">
        <v>2125</v>
      </c>
      <c r="AL229" s="162" t="s">
        <v>34</v>
      </c>
      <c r="AM229" t="s">
        <v>4803</v>
      </c>
      <c r="AN229" s="478">
        <v>0</v>
      </c>
      <c r="AO229" s="478">
        <v>0</v>
      </c>
    </row>
    <row r="230" spans="1:41" x14ac:dyDescent="0.2">
      <c r="A230">
        <v>229</v>
      </c>
      <c r="B230" s="462" t="s">
        <v>1254</v>
      </c>
      <c r="C230" s="162" t="s">
        <v>1742</v>
      </c>
      <c r="D230" s="162" t="s">
        <v>4124</v>
      </c>
      <c r="E230" s="162" t="s">
        <v>2903</v>
      </c>
      <c r="F230" s="162" t="s">
        <v>2004</v>
      </c>
      <c r="G230" s="162" t="s">
        <v>34</v>
      </c>
      <c r="H230" s="162" t="s">
        <v>2128</v>
      </c>
      <c r="I230" s="162" t="s">
        <v>5683</v>
      </c>
      <c r="J230" s="162" t="s">
        <v>2396</v>
      </c>
      <c r="K230" s="162" t="s">
        <v>2304</v>
      </c>
      <c r="L230" s="162" t="s">
        <v>2469</v>
      </c>
      <c r="M230" s="540" t="s">
        <v>2928</v>
      </c>
      <c r="N230" s="162" t="s">
        <v>2956</v>
      </c>
      <c r="O230" s="162" t="s">
        <v>904</v>
      </c>
      <c r="P230" s="162" t="s">
        <v>2906</v>
      </c>
      <c r="Q230" s="162" t="s">
        <v>2204</v>
      </c>
      <c r="R230" s="162" t="s">
        <v>2121</v>
      </c>
      <c r="S230" s="162" t="s">
        <v>2957</v>
      </c>
      <c r="T230" s="162">
        <v>531</v>
      </c>
      <c r="U230" s="162" t="s">
        <v>1947</v>
      </c>
      <c r="V230" s="162" t="s">
        <v>2958</v>
      </c>
      <c r="W230" s="162" t="s">
        <v>2959</v>
      </c>
      <c r="X230" s="162" t="s">
        <v>2122</v>
      </c>
      <c r="Y230" s="162" t="s">
        <v>109</v>
      </c>
      <c r="Z230" s="162" t="s">
        <v>109</v>
      </c>
      <c r="AA230" s="162" t="s">
        <v>2281</v>
      </c>
      <c r="AB230" s="162" t="s">
        <v>2949</v>
      </c>
      <c r="AC230" s="162" t="s">
        <v>2123</v>
      </c>
      <c r="AD230" s="162" t="s">
        <v>2124</v>
      </c>
      <c r="AE230" s="162" t="s">
        <v>1758</v>
      </c>
      <c r="AF230" s="162" t="s">
        <v>3347</v>
      </c>
      <c r="AG230" s="162" t="s">
        <v>34</v>
      </c>
      <c r="AH230" s="162" t="s">
        <v>34</v>
      </c>
      <c r="AI230" s="162" t="s">
        <v>34</v>
      </c>
      <c r="AJ230" s="162" t="s">
        <v>34</v>
      </c>
      <c r="AK230" s="162" t="s">
        <v>2125</v>
      </c>
      <c r="AL230" s="162" t="s">
        <v>34</v>
      </c>
      <c r="AM230" t="s">
        <v>4803</v>
      </c>
      <c r="AN230" s="478">
        <v>0</v>
      </c>
      <c r="AO230" s="478">
        <v>0</v>
      </c>
    </row>
    <row r="231" spans="1:41" x14ac:dyDescent="0.2">
      <c r="A231">
        <v>230</v>
      </c>
      <c r="B231" s="462" t="s">
        <v>1254</v>
      </c>
      <c r="C231" s="162" t="s">
        <v>5742</v>
      </c>
      <c r="D231" s="162" t="s">
        <v>5743</v>
      </c>
      <c r="E231" s="162" t="s">
        <v>2903</v>
      </c>
      <c r="F231" s="162" t="s">
        <v>2004</v>
      </c>
      <c r="G231" s="162" t="s">
        <v>34</v>
      </c>
      <c r="H231" s="162" t="s">
        <v>2128</v>
      </c>
      <c r="I231" s="162" t="s">
        <v>5660</v>
      </c>
      <c r="J231" s="162" t="s">
        <v>2396</v>
      </c>
      <c r="K231" s="162" t="s">
        <v>2304</v>
      </c>
      <c r="L231" s="162" t="s">
        <v>2946</v>
      </c>
      <c r="M231" s="540" t="s">
        <v>2947</v>
      </c>
      <c r="N231" s="162" t="s">
        <v>5742</v>
      </c>
      <c r="O231" s="162" t="s">
        <v>904</v>
      </c>
      <c r="P231" s="162" t="s">
        <v>2906</v>
      </c>
      <c r="Q231" s="162" t="s">
        <v>2204</v>
      </c>
      <c r="R231" s="162" t="s">
        <v>2121</v>
      </c>
      <c r="S231" s="162" t="s">
        <v>2948</v>
      </c>
      <c r="T231" s="162">
        <v>1590.4</v>
      </c>
      <c r="U231" s="162" t="s">
        <v>1947</v>
      </c>
      <c r="V231" s="162" t="s">
        <v>2403</v>
      </c>
      <c r="W231" s="162" t="s">
        <v>2469</v>
      </c>
      <c r="X231" s="162" t="s">
        <v>2122</v>
      </c>
      <c r="Y231" s="162" t="s">
        <v>109</v>
      </c>
      <c r="Z231" s="162" t="s">
        <v>109</v>
      </c>
      <c r="AA231" s="162" t="s">
        <v>2281</v>
      </c>
      <c r="AB231" s="162" t="s">
        <v>2949</v>
      </c>
      <c r="AC231" s="162" t="s">
        <v>2123</v>
      </c>
      <c r="AD231" s="162" t="s">
        <v>2124</v>
      </c>
      <c r="AE231" s="162" t="s">
        <v>1758</v>
      </c>
      <c r="AF231" s="162" t="s">
        <v>3347</v>
      </c>
      <c r="AG231" s="162" t="s">
        <v>34</v>
      </c>
      <c r="AH231" s="162" t="s">
        <v>34</v>
      </c>
      <c r="AI231" s="162" t="s">
        <v>34</v>
      </c>
      <c r="AJ231" s="162" t="s">
        <v>34</v>
      </c>
      <c r="AK231" s="162" t="s">
        <v>2125</v>
      </c>
      <c r="AL231" s="162" t="s">
        <v>34</v>
      </c>
      <c r="AM231" t="s">
        <v>4803</v>
      </c>
      <c r="AN231" s="478">
        <v>0</v>
      </c>
      <c r="AO231" s="478">
        <v>0</v>
      </c>
    </row>
    <row r="232" spans="1:41" x14ac:dyDescent="0.2">
      <c r="A232">
        <v>231</v>
      </c>
      <c r="B232" s="462" t="s">
        <v>1254</v>
      </c>
      <c r="C232" s="162" t="s">
        <v>5713</v>
      </c>
      <c r="D232" s="162" t="s">
        <v>5714</v>
      </c>
      <c r="E232" s="162" t="s">
        <v>2903</v>
      </c>
      <c r="F232" s="162" t="s">
        <v>2004</v>
      </c>
      <c r="G232" s="162" t="s">
        <v>34</v>
      </c>
      <c r="H232" s="162" t="s">
        <v>2128</v>
      </c>
      <c r="I232" s="162" t="s">
        <v>5683</v>
      </c>
      <c r="J232" s="162" t="s">
        <v>2396</v>
      </c>
      <c r="K232" s="162" t="s">
        <v>2304</v>
      </c>
      <c r="L232" s="162" t="s">
        <v>2926</v>
      </c>
      <c r="M232" s="540" t="s">
        <v>2927</v>
      </c>
      <c r="N232" s="162" t="s">
        <v>5713</v>
      </c>
      <c r="O232" s="162" t="s">
        <v>904</v>
      </c>
      <c r="P232" s="162" t="s">
        <v>2906</v>
      </c>
      <c r="Q232" s="162" t="s">
        <v>2929</v>
      </c>
      <c r="R232" s="162" t="s">
        <v>2121</v>
      </c>
      <c r="S232" s="162" t="s">
        <v>2930</v>
      </c>
      <c r="T232" s="162">
        <v>346.4</v>
      </c>
      <c r="U232" s="162" t="s">
        <v>1947</v>
      </c>
      <c r="V232" s="162" t="s">
        <v>4827</v>
      </c>
      <c r="W232" s="162">
        <v>5244</v>
      </c>
      <c r="X232" s="162" t="s">
        <v>2122</v>
      </c>
      <c r="Y232" s="162" t="s">
        <v>5221</v>
      </c>
      <c r="Z232" s="162" t="s">
        <v>2255</v>
      </c>
      <c r="AA232" s="162" t="s">
        <v>2122</v>
      </c>
      <c r="AB232" s="162" t="s">
        <v>5222</v>
      </c>
      <c r="AC232" s="162" t="s">
        <v>2123</v>
      </c>
      <c r="AD232" s="162" t="s">
        <v>2124</v>
      </c>
      <c r="AE232" s="162" t="s">
        <v>1758</v>
      </c>
      <c r="AF232" s="162" t="s">
        <v>3347</v>
      </c>
      <c r="AG232" s="162" t="s">
        <v>34</v>
      </c>
      <c r="AH232" s="162" t="s">
        <v>34</v>
      </c>
      <c r="AI232" s="162" t="s">
        <v>34</v>
      </c>
      <c r="AJ232" s="162" t="s">
        <v>34</v>
      </c>
      <c r="AK232" s="162" t="s">
        <v>2125</v>
      </c>
      <c r="AL232" s="162" t="s">
        <v>34</v>
      </c>
      <c r="AM232" t="s">
        <v>4803</v>
      </c>
      <c r="AN232" s="478">
        <v>0</v>
      </c>
      <c r="AO232" s="478">
        <v>0</v>
      </c>
    </row>
    <row r="233" spans="1:41" x14ac:dyDescent="0.2">
      <c r="A233">
        <v>232</v>
      </c>
      <c r="B233" s="462" t="s">
        <v>1254</v>
      </c>
      <c r="C233" s="162" t="s">
        <v>5715</v>
      </c>
      <c r="D233" s="162" t="s">
        <v>5716</v>
      </c>
      <c r="E233" s="162" t="s">
        <v>2903</v>
      </c>
      <c r="F233" s="162" t="s">
        <v>2004</v>
      </c>
      <c r="G233" s="162" t="s">
        <v>34</v>
      </c>
      <c r="H233" s="162" t="s">
        <v>2128</v>
      </c>
      <c r="I233" s="162" t="s">
        <v>5660</v>
      </c>
      <c r="J233" s="162" t="s">
        <v>2396</v>
      </c>
      <c r="K233" s="162" t="s">
        <v>2304</v>
      </c>
      <c r="L233" s="162" t="s">
        <v>2923</v>
      </c>
      <c r="M233" s="540" t="s">
        <v>2924</v>
      </c>
      <c r="N233" s="162" t="s">
        <v>5717</v>
      </c>
      <c r="O233" s="162" t="s">
        <v>904</v>
      </c>
      <c r="P233" s="162" t="s">
        <v>2906</v>
      </c>
      <c r="Q233" s="162" t="s">
        <v>2204</v>
      </c>
      <c r="R233" s="162" t="s">
        <v>2121</v>
      </c>
      <c r="S233" s="162" t="s">
        <v>2538</v>
      </c>
      <c r="T233" s="162">
        <v>990</v>
      </c>
      <c r="U233" s="162" t="s">
        <v>1947</v>
      </c>
      <c r="V233" s="162" t="s">
        <v>2925</v>
      </c>
      <c r="W233" s="162" t="s">
        <v>5718</v>
      </c>
      <c r="X233" s="162" t="s">
        <v>2122</v>
      </c>
      <c r="Y233" s="162" t="s">
        <v>109</v>
      </c>
      <c r="Z233" s="162" t="s">
        <v>109</v>
      </c>
      <c r="AA233" s="162" t="s">
        <v>2281</v>
      </c>
      <c r="AB233" s="162" t="s">
        <v>4684</v>
      </c>
      <c r="AC233" s="162" t="s">
        <v>2123</v>
      </c>
      <c r="AD233" s="162" t="s">
        <v>2124</v>
      </c>
      <c r="AE233" s="162" t="s">
        <v>1758</v>
      </c>
      <c r="AF233" s="162" t="s">
        <v>3347</v>
      </c>
      <c r="AG233" s="162" t="s">
        <v>34</v>
      </c>
      <c r="AH233" s="162" t="s">
        <v>34</v>
      </c>
      <c r="AI233" s="162" t="s">
        <v>34</v>
      </c>
      <c r="AJ233" s="162" t="s">
        <v>34</v>
      </c>
      <c r="AK233" s="162" t="s">
        <v>2125</v>
      </c>
      <c r="AL233" s="162" t="s">
        <v>34</v>
      </c>
      <c r="AM233" t="s">
        <v>4803</v>
      </c>
      <c r="AN233" s="478">
        <v>0</v>
      </c>
      <c r="AO233" s="478">
        <v>0</v>
      </c>
    </row>
    <row r="234" spans="1:41" x14ac:dyDescent="0.2">
      <c r="A234">
        <v>233</v>
      </c>
      <c r="B234" s="462" t="s">
        <v>1254</v>
      </c>
      <c r="C234" s="162" t="s">
        <v>1268</v>
      </c>
      <c r="D234" s="162" t="s">
        <v>4125</v>
      </c>
      <c r="E234" s="162" t="s">
        <v>2903</v>
      </c>
      <c r="F234" s="162" t="s">
        <v>2004</v>
      </c>
      <c r="G234" s="162" t="s">
        <v>34</v>
      </c>
      <c r="H234" s="162" t="s">
        <v>2128</v>
      </c>
      <c r="I234" s="162" t="s">
        <v>5651</v>
      </c>
      <c r="J234" s="162" t="s">
        <v>2740</v>
      </c>
      <c r="K234" s="162" t="s">
        <v>2745</v>
      </c>
      <c r="L234" s="162" t="s">
        <v>2931</v>
      </c>
      <c r="M234" s="540" t="s">
        <v>2938</v>
      </c>
      <c r="N234" s="162" t="s">
        <v>1268</v>
      </c>
      <c r="O234" s="162" t="s">
        <v>904</v>
      </c>
      <c r="P234" s="162" t="s">
        <v>4399</v>
      </c>
      <c r="Q234" s="162" t="s">
        <v>2934</v>
      </c>
      <c r="R234" s="162" t="s">
        <v>2185</v>
      </c>
      <c r="S234" s="162" t="s">
        <v>2935</v>
      </c>
      <c r="T234" s="162">
        <v>14</v>
      </c>
      <c r="U234" s="162" t="s">
        <v>1947</v>
      </c>
      <c r="V234" s="162" t="s">
        <v>2936</v>
      </c>
      <c r="W234" s="162" t="s">
        <v>2939</v>
      </c>
      <c r="X234" s="162" t="s">
        <v>2258</v>
      </c>
      <c r="Y234" s="162" t="s">
        <v>109</v>
      </c>
      <c r="Z234" s="162" t="s">
        <v>109</v>
      </c>
      <c r="AA234" s="162" t="s">
        <v>2281</v>
      </c>
      <c r="AB234" s="162" t="s">
        <v>4400</v>
      </c>
      <c r="AC234" s="162" t="s">
        <v>2123</v>
      </c>
      <c r="AD234" s="162" t="s">
        <v>2124</v>
      </c>
      <c r="AE234" s="162" t="s">
        <v>1758</v>
      </c>
      <c r="AF234" s="162" t="s">
        <v>3347</v>
      </c>
      <c r="AG234" s="162" t="s">
        <v>34</v>
      </c>
      <c r="AH234" s="162" t="s">
        <v>34</v>
      </c>
      <c r="AI234" s="162" t="s">
        <v>34</v>
      </c>
      <c r="AJ234" s="162" t="s">
        <v>34</v>
      </c>
      <c r="AK234" s="162" t="s">
        <v>2125</v>
      </c>
      <c r="AL234" s="162" t="s">
        <v>34</v>
      </c>
      <c r="AM234" t="s">
        <v>4804</v>
      </c>
      <c r="AN234" s="478">
        <v>0</v>
      </c>
      <c r="AO234" s="478">
        <v>0</v>
      </c>
    </row>
    <row r="235" spans="1:41" x14ac:dyDescent="0.2">
      <c r="A235">
        <v>234</v>
      </c>
      <c r="B235" s="462" t="s">
        <v>1254</v>
      </c>
      <c r="C235" s="162" t="s">
        <v>1270</v>
      </c>
      <c r="D235" s="162" t="s">
        <v>4126</v>
      </c>
      <c r="E235" s="162" t="s">
        <v>2903</v>
      </c>
      <c r="F235" s="162" t="s">
        <v>2004</v>
      </c>
      <c r="G235" s="162" t="s">
        <v>34</v>
      </c>
      <c r="H235" s="162" t="s">
        <v>2128</v>
      </c>
      <c r="I235" s="162" t="s">
        <v>5651</v>
      </c>
      <c r="J235" s="162" t="s">
        <v>2740</v>
      </c>
      <c r="K235" s="162" t="s">
        <v>2745</v>
      </c>
      <c r="L235" s="162" t="s">
        <v>2931</v>
      </c>
      <c r="M235" s="540" t="s">
        <v>2932</v>
      </c>
      <c r="N235" s="162" t="s">
        <v>1270</v>
      </c>
      <c r="O235" s="162" t="s">
        <v>904</v>
      </c>
      <c r="P235" s="162" t="s">
        <v>2933</v>
      </c>
      <c r="Q235" s="162" t="s">
        <v>2934</v>
      </c>
      <c r="R235" s="162" t="s">
        <v>2185</v>
      </c>
      <c r="S235" s="162" t="s">
        <v>2935</v>
      </c>
      <c r="T235" s="162">
        <v>14</v>
      </c>
      <c r="U235" s="162" t="s">
        <v>1947</v>
      </c>
      <c r="V235" s="162" t="s">
        <v>2936</v>
      </c>
      <c r="W235" s="162" t="s">
        <v>2937</v>
      </c>
      <c r="X235" s="162" t="s">
        <v>2258</v>
      </c>
      <c r="Y235" s="162" t="s">
        <v>109</v>
      </c>
      <c r="Z235" s="162" t="s">
        <v>109</v>
      </c>
      <c r="AA235" s="162" t="s">
        <v>2281</v>
      </c>
      <c r="AB235" s="162" t="s">
        <v>4400</v>
      </c>
      <c r="AC235" s="162" t="s">
        <v>2123</v>
      </c>
      <c r="AD235" s="162" t="s">
        <v>2124</v>
      </c>
      <c r="AE235" s="162" t="s">
        <v>1758</v>
      </c>
      <c r="AF235" s="162" t="s">
        <v>3347</v>
      </c>
      <c r="AG235" s="162" t="s">
        <v>34</v>
      </c>
      <c r="AH235" s="162" t="s">
        <v>34</v>
      </c>
      <c r="AI235" s="162" t="s">
        <v>34</v>
      </c>
      <c r="AJ235" s="162" t="s">
        <v>34</v>
      </c>
      <c r="AK235" s="162" t="s">
        <v>2125</v>
      </c>
      <c r="AL235" s="162" t="s">
        <v>34</v>
      </c>
      <c r="AM235" t="s">
        <v>4804</v>
      </c>
      <c r="AN235" s="478">
        <v>0</v>
      </c>
      <c r="AO235" s="478">
        <v>0</v>
      </c>
    </row>
    <row r="236" spans="1:41" x14ac:dyDescent="0.2">
      <c r="A236">
        <v>235</v>
      </c>
      <c r="B236" s="462" t="s">
        <v>1254</v>
      </c>
      <c r="C236" s="162" t="s">
        <v>4667</v>
      </c>
      <c r="D236" s="162" t="s">
        <v>4896</v>
      </c>
      <c r="E236" s="162" t="s">
        <v>2903</v>
      </c>
      <c r="F236" s="162" t="s">
        <v>2004</v>
      </c>
      <c r="G236" s="162" t="s">
        <v>34</v>
      </c>
      <c r="H236" s="162" t="s">
        <v>2128</v>
      </c>
      <c r="I236" s="162" t="s">
        <v>5651</v>
      </c>
      <c r="J236" s="162" t="s">
        <v>2396</v>
      </c>
      <c r="K236" s="162" t="s">
        <v>2950</v>
      </c>
      <c r="L236" s="162" t="s">
        <v>2951</v>
      </c>
      <c r="M236" s="540" t="s">
        <v>2952</v>
      </c>
      <c r="N236" s="162" t="s">
        <v>2953</v>
      </c>
      <c r="O236" s="162" t="s">
        <v>904</v>
      </c>
      <c r="P236" s="162" t="s">
        <v>2445</v>
      </c>
      <c r="Q236" s="162" t="s">
        <v>2204</v>
      </c>
      <c r="R236" s="162" t="s">
        <v>2121</v>
      </c>
      <c r="S236" s="162" t="s">
        <v>2954</v>
      </c>
      <c r="T236" s="162">
        <v>1150</v>
      </c>
      <c r="U236" s="162" t="s">
        <v>2150</v>
      </c>
      <c r="V236" s="162" t="s">
        <v>2541</v>
      </c>
      <c r="W236" s="162" t="s">
        <v>2955</v>
      </c>
      <c r="X236" s="162" t="s">
        <v>2122</v>
      </c>
      <c r="Y236" s="162" t="s">
        <v>109</v>
      </c>
      <c r="Z236" s="162" t="s">
        <v>109</v>
      </c>
      <c r="AA236" s="162" t="s">
        <v>109</v>
      </c>
      <c r="AB236" s="162" t="s">
        <v>34</v>
      </c>
      <c r="AC236" s="162" t="s">
        <v>2123</v>
      </c>
      <c r="AD236" s="162" t="s">
        <v>2124</v>
      </c>
      <c r="AE236" s="162" t="s">
        <v>1758</v>
      </c>
      <c r="AF236" s="162">
        <v>5</v>
      </c>
      <c r="AG236" s="162">
        <v>85</v>
      </c>
      <c r="AH236" s="162">
        <v>12</v>
      </c>
      <c r="AI236" s="162" t="s">
        <v>34</v>
      </c>
      <c r="AJ236" s="162" t="s">
        <v>34</v>
      </c>
      <c r="AK236" s="162" t="s">
        <v>2125</v>
      </c>
      <c r="AL236" s="162" t="s">
        <v>2125</v>
      </c>
      <c r="AM236" t="s">
        <v>4803</v>
      </c>
      <c r="AN236" s="478">
        <v>0</v>
      </c>
      <c r="AO236" s="478">
        <v>0</v>
      </c>
    </row>
    <row r="237" spans="1:41" x14ac:dyDescent="0.2">
      <c r="A237">
        <v>236</v>
      </c>
      <c r="B237" s="462" t="s">
        <v>1254</v>
      </c>
      <c r="C237" s="162" t="s">
        <v>1278</v>
      </c>
      <c r="D237" s="162" t="s">
        <v>4127</v>
      </c>
      <c r="E237" s="162" t="s">
        <v>2903</v>
      </c>
      <c r="F237" s="162" t="s">
        <v>2004</v>
      </c>
      <c r="G237" s="162" t="s">
        <v>34</v>
      </c>
      <c r="H237" s="162" t="s">
        <v>2128</v>
      </c>
      <c r="I237" s="162" t="s">
        <v>5651</v>
      </c>
      <c r="J237" s="162" t="s">
        <v>2396</v>
      </c>
      <c r="K237" s="162" t="s">
        <v>2909</v>
      </c>
      <c r="L237" s="162" t="s">
        <v>2909</v>
      </c>
      <c r="M237" s="540" t="s">
        <v>2910</v>
      </c>
      <c r="N237" s="162" t="s">
        <v>1278</v>
      </c>
      <c r="O237" s="162" t="s">
        <v>904</v>
      </c>
      <c r="P237" s="162" t="s">
        <v>2911</v>
      </c>
      <c r="Q237" s="162" t="s">
        <v>2204</v>
      </c>
      <c r="R237" s="162" t="s">
        <v>2121</v>
      </c>
      <c r="S237" s="162" t="s">
        <v>2912</v>
      </c>
      <c r="T237" s="162">
        <v>378</v>
      </c>
      <c r="U237" s="162" t="s">
        <v>1947</v>
      </c>
      <c r="V237" s="162" t="s">
        <v>2908</v>
      </c>
      <c r="W237" s="162" t="s">
        <v>2913</v>
      </c>
      <c r="X237" s="162" t="s">
        <v>2122</v>
      </c>
      <c r="Y237" s="162" t="s">
        <v>109</v>
      </c>
      <c r="Z237" s="162" t="s">
        <v>109</v>
      </c>
      <c r="AA237" s="162" t="s">
        <v>2281</v>
      </c>
      <c r="AB237" s="162" t="s">
        <v>2949</v>
      </c>
      <c r="AC237" s="162" t="s">
        <v>2123</v>
      </c>
      <c r="AD237" s="162" t="s">
        <v>2124</v>
      </c>
      <c r="AE237" s="162" t="s">
        <v>1758</v>
      </c>
      <c r="AF237" s="162" t="s">
        <v>3347</v>
      </c>
      <c r="AG237" s="162" t="s">
        <v>34</v>
      </c>
      <c r="AH237" s="162" t="s">
        <v>34</v>
      </c>
      <c r="AI237" s="162" t="s">
        <v>34</v>
      </c>
      <c r="AJ237" s="162" t="s">
        <v>34</v>
      </c>
      <c r="AK237" s="162" t="s">
        <v>2125</v>
      </c>
      <c r="AL237" s="162" t="s">
        <v>34</v>
      </c>
      <c r="AM237" t="s">
        <v>4803</v>
      </c>
      <c r="AN237" s="478">
        <v>0</v>
      </c>
      <c r="AO237" s="478">
        <v>0</v>
      </c>
    </row>
    <row r="238" spans="1:41" x14ac:dyDescent="0.2">
      <c r="A238">
        <v>237</v>
      </c>
      <c r="B238" s="462" t="s">
        <v>1254</v>
      </c>
      <c r="C238" s="162" t="s">
        <v>1264</v>
      </c>
      <c r="D238" s="162" t="s">
        <v>4128</v>
      </c>
      <c r="E238" s="162" t="s">
        <v>2903</v>
      </c>
      <c r="F238" s="162" t="s">
        <v>2004</v>
      </c>
      <c r="G238" s="162" t="s">
        <v>34</v>
      </c>
      <c r="H238" s="162" t="s">
        <v>2128</v>
      </c>
      <c r="I238" s="162" t="s">
        <v>5651</v>
      </c>
      <c r="J238" s="162" t="s">
        <v>2740</v>
      </c>
      <c r="K238" s="162" t="s">
        <v>2132</v>
      </c>
      <c r="L238" s="162" t="s">
        <v>2940</v>
      </c>
      <c r="M238" s="540">
        <v>115130901</v>
      </c>
      <c r="N238" s="162" t="s">
        <v>1264</v>
      </c>
      <c r="O238" s="162" t="s">
        <v>904</v>
      </c>
      <c r="P238" s="162" t="s">
        <v>2941</v>
      </c>
      <c r="Q238" s="162" t="s">
        <v>2204</v>
      </c>
      <c r="R238" s="162" t="s">
        <v>2121</v>
      </c>
      <c r="S238" s="162" t="s">
        <v>2942</v>
      </c>
      <c r="T238" s="162">
        <v>61.3</v>
      </c>
      <c r="U238" s="162" t="s">
        <v>1947</v>
      </c>
      <c r="V238" s="162" t="s">
        <v>2403</v>
      </c>
      <c r="W238" s="162" t="s">
        <v>2943</v>
      </c>
      <c r="X238" s="162" t="s">
        <v>2122</v>
      </c>
      <c r="Y238" s="162" t="s">
        <v>2944</v>
      </c>
      <c r="Z238" s="162" t="s">
        <v>2945</v>
      </c>
      <c r="AA238" s="162" t="s">
        <v>2122</v>
      </c>
      <c r="AB238" s="162" t="s">
        <v>34</v>
      </c>
      <c r="AC238" s="162" t="s">
        <v>2123</v>
      </c>
      <c r="AD238" s="162" t="s">
        <v>2124</v>
      </c>
      <c r="AE238" s="162" t="s">
        <v>1758</v>
      </c>
      <c r="AF238" s="162">
        <v>7</v>
      </c>
      <c r="AG238" s="162">
        <v>0.09</v>
      </c>
      <c r="AH238" s="162">
        <v>0.28999999999999998</v>
      </c>
      <c r="AI238" s="162" t="s">
        <v>34</v>
      </c>
      <c r="AJ238" s="162" t="s">
        <v>34</v>
      </c>
      <c r="AK238" s="162" t="s">
        <v>2125</v>
      </c>
      <c r="AL238" s="162" t="s">
        <v>34</v>
      </c>
      <c r="AM238" t="s">
        <v>4806</v>
      </c>
      <c r="AN238" s="478">
        <v>0</v>
      </c>
      <c r="AO238" s="478">
        <v>0</v>
      </c>
    </row>
    <row r="239" spans="1:41" x14ac:dyDescent="0.2">
      <c r="A239">
        <v>238</v>
      </c>
      <c r="B239" s="462" t="s">
        <v>1254</v>
      </c>
      <c r="C239" s="162" t="s">
        <v>1812</v>
      </c>
      <c r="D239" s="162" t="s">
        <v>4129</v>
      </c>
      <c r="E239" s="162" t="s">
        <v>2903</v>
      </c>
      <c r="F239" s="162" t="s">
        <v>2004</v>
      </c>
      <c r="G239" s="162" t="s">
        <v>34</v>
      </c>
      <c r="H239" s="162" t="s">
        <v>2128</v>
      </c>
      <c r="I239" s="162" t="s">
        <v>5660</v>
      </c>
      <c r="J239" s="162" t="s">
        <v>2396</v>
      </c>
      <c r="K239" s="162" t="s">
        <v>2132</v>
      </c>
      <c r="L239" s="162" t="s">
        <v>2904</v>
      </c>
      <c r="M239" s="540" t="s">
        <v>2905</v>
      </c>
      <c r="N239" s="162" t="s">
        <v>1812</v>
      </c>
      <c r="O239" s="162" t="s">
        <v>904</v>
      </c>
      <c r="P239" s="162" t="s">
        <v>2906</v>
      </c>
      <c r="Q239" s="162" t="s">
        <v>2204</v>
      </c>
      <c r="R239" s="162" t="s">
        <v>2121</v>
      </c>
      <c r="S239" s="162" t="s">
        <v>2907</v>
      </c>
      <c r="T239" s="162">
        <v>588</v>
      </c>
      <c r="U239" s="162" t="s">
        <v>1947</v>
      </c>
      <c r="V239" s="162" t="s">
        <v>109</v>
      </c>
      <c r="W239" s="162" t="s">
        <v>109</v>
      </c>
      <c r="X239" s="162" t="s">
        <v>2281</v>
      </c>
      <c r="Y239" s="162" t="s">
        <v>109</v>
      </c>
      <c r="Z239" s="162" t="s">
        <v>109</v>
      </c>
      <c r="AA239" s="162" t="s">
        <v>2281</v>
      </c>
      <c r="AB239" s="162" t="s">
        <v>5769</v>
      </c>
      <c r="AC239" s="162" t="s">
        <v>2123</v>
      </c>
      <c r="AD239" s="162" t="s">
        <v>2124</v>
      </c>
      <c r="AE239" s="162" t="s">
        <v>1758</v>
      </c>
      <c r="AF239" s="162" t="s">
        <v>3347</v>
      </c>
      <c r="AG239" s="162" t="s">
        <v>34</v>
      </c>
      <c r="AH239" s="162" t="s">
        <v>34</v>
      </c>
      <c r="AI239" s="162" t="s">
        <v>34</v>
      </c>
      <c r="AJ239" s="162" t="s">
        <v>34</v>
      </c>
      <c r="AK239" s="162" t="s">
        <v>2125</v>
      </c>
      <c r="AL239" s="162" t="s">
        <v>34</v>
      </c>
      <c r="AM239" t="s">
        <v>4819</v>
      </c>
      <c r="AN239" s="478">
        <v>0</v>
      </c>
      <c r="AO239" s="478">
        <v>0</v>
      </c>
    </row>
    <row r="240" spans="1:41" x14ac:dyDescent="0.2">
      <c r="A240">
        <v>239</v>
      </c>
      <c r="B240" s="462" t="s">
        <v>1254</v>
      </c>
      <c r="C240" s="162" t="s">
        <v>4685</v>
      </c>
      <c r="D240" s="162" t="s">
        <v>4686</v>
      </c>
      <c r="E240" s="162" t="s">
        <v>2903</v>
      </c>
      <c r="F240" s="162" t="s">
        <v>2004</v>
      </c>
      <c r="G240" s="162" t="s">
        <v>34</v>
      </c>
      <c r="H240" s="162" t="s">
        <v>2128</v>
      </c>
      <c r="I240" s="162" t="s">
        <v>5660</v>
      </c>
      <c r="J240" s="162" t="s">
        <v>1764</v>
      </c>
      <c r="K240" s="162" t="s">
        <v>4687</v>
      </c>
      <c r="L240" s="162" t="s">
        <v>2399</v>
      </c>
      <c r="M240" s="540" t="s">
        <v>4688</v>
      </c>
      <c r="N240" s="162" t="s">
        <v>4685</v>
      </c>
      <c r="O240" s="162" t="s">
        <v>109</v>
      </c>
      <c r="P240" s="162" t="s">
        <v>4689</v>
      </c>
      <c r="Q240" s="162" t="s">
        <v>2201</v>
      </c>
      <c r="R240" s="162" t="s">
        <v>2121</v>
      </c>
      <c r="S240" s="162" t="s">
        <v>4690</v>
      </c>
      <c r="T240" s="162">
        <v>896</v>
      </c>
      <c r="U240" s="162" t="s">
        <v>4691</v>
      </c>
      <c r="V240" s="162" t="s">
        <v>109</v>
      </c>
      <c r="W240" s="162" t="s">
        <v>109</v>
      </c>
      <c r="X240" s="162" t="s">
        <v>109</v>
      </c>
      <c r="Y240" s="162" t="s">
        <v>4692</v>
      </c>
      <c r="Z240" s="162" t="s">
        <v>4692</v>
      </c>
      <c r="AA240" s="162" t="s">
        <v>109</v>
      </c>
      <c r="AB240" s="162" t="s">
        <v>4693</v>
      </c>
      <c r="AC240" s="162" t="s">
        <v>2123</v>
      </c>
      <c r="AD240" s="162" t="s">
        <v>2124</v>
      </c>
      <c r="AE240" s="162" t="s">
        <v>1758</v>
      </c>
      <c r="AF240" s="162" t="s">
        <v>3347</v>
      </c>
      <c r="AG240" s="162" t="s">
        <v>34</v>
      </c>
      <c r="AH240" s="162" t="s">
        <v>34</v>
      </c>
      <c r="AI240" s="162" t="s">
        <v>34</v>
      </c>
      <c r="AJ240" s="162" t="s">
        <v>34</v>
      </c>
      <c r="AK240" s="162" t="s">
        <v>2125</v>
      </c>
      <c r="AL240" s="162" t="s">
        <v>34</v>
      </c>
      <c r="AM240" t="s">
        <v>4820</v>
      </c>
      <c r="AN240" s="478">
        <v>0</v>
      </c>
      <c r="AO240" s="478">
        <v>0</v>
      </c>
    </row>
    <row r="241" spans="1:41" x14ac:dyDescent="0.2">
      <c r="A241">
        <v>240</v>
      </c>
      <c r="B241" s="462" t="s">
        <v>1254</v>
      </c>
      <c r="C241" s="162" t="s">
        <v>4694</v>
      </c>
      <c r="D241" s="162" t="s">
        <v>4695</v>
      </c>
      <c r="E241" s="162" t="s">
        <v>2903</v>
      </c>
      <c r="F241" s="162" t="s">
        <v>2004</v>
      </c>
      <c r="G241" s="162" t="s">
        <v>34</v>
      </c>
      <c r="H241" s="162" t="s">
        <v>2128</v>
      </c>
      <c r="I241" s="162" t="s">
        <v>5660</v>
      </c>
      <c r="J241" s="162" t="s">
        <v>1764</v>
      </c>
      <c r="K241" s="162" t="s">
        <v>4687</v>
      </c>
      <c r="L241" s="162" t="s">
        <v>4696</v>
      </c>
      <c r="M241" s="540" t="s">
        <v>4697</v>
      </c>
      <c r="N241" s="162" t="s">
        <v>4694</v>
      </c>
      <c r="O241" s="162" t="s">
        <v>109</v>
      </c>
      <c r="P241" s="162" t="s">
        <v>4689</v>
      </c>
      <c r="Q241" s="162" t="s">
        <v>2201</v>
      </c>
      <c r="R241" s="162" t="s">
        <v>2121</v>
      </c>
      <c r="S241" s="162" t="s">
        <v>4698</v>
      </c>
      <c r="T241" s="162">
        <v>245</v>
      </c>
      <c r="U241" s="162" t="s">
        <v>4691</v>
      </c>
      <c r="V241" s="162" t="s">
        <v>109</v>
      </c>
      <c r="W241" s="162" t="s">
        <v>109</v>
      </c>
      <c r="X241" s="162" t="s">
        <v>109</v>
      </c>
      <c r="Y241" s="162" t="s">
        <v>4692</v>
      </c>
      <c r="Z241" s="162" t="s">
        <v>4692</v>
      </c>
      <c r="AA241" s="162" t="s">
        <v>109</v>
      </c>
      <c r="AB241" s="162" t="s">
        <v>4693</v>
      </c>
      <c r="AC241" s="162" t="s">
        <v>2123</v>
      </c>
      <c r="AD241" s="162" t="s">
        <v>2124</v>
      </c>
      <c r="AE241" s="162" t="s">
        <v>1758</v>
      </c>
      <c r="AF241" s="162" t="s">
        <v>3347</v>
      </c>
      <c r="AG241" s="162" t="s">
        <v>34</v>
      </c>
      <c r="AH241" s="162" t="s">
        <v>34</v>
      </c>
      <c r="AI241" s="162" t="s">
        <v>34</v>
      </c>
      <c r="AJ241" s="162" t="s">
        <v>34</v>
      </c>
      <c r="AK241" s="162" t="s">
        <v>2125</v>
      </c>
      <c r="AL241" s="162" t="s">
        <v>34</v>
      </c>
      <c r="AM241" t="s">
        <v>4820</v>
      </c>
      <c r="AN241" s="478">
        <v>0</v>
      </c>
      <c r="AO241" s="478">
        <v>0</v>
      </c>
    </row>
    <row r="242" spans="1:41" x14ac:dyDescent="0.2">
      <c r="A242">
        <v>241</v>
      </c>
      <c r="B242" s="462" t="s">
        <v>1254</v>
      </c>
      <c r="C242" s="162" t="s">
        <v>4699</v>
      </c>
      <c r="D242" s="162" t="s">
        <v>4700</v>
      </c>
      <c r="E242" s="162" t="s">
        <v>2903</v>
      </c>
      <c r="F242" s="162" t="s">
        <v>2004</v>
      </c>
      <c r="G242" s="162" t="s">
        <v>34</v>
      </c>
      <c r="H242" s="162" t="s">
        <v>2128</v>
      </c>
      <c r="I242" s="162" t="s">
        <v>5660</v>
      </c>
      <c r="J242" s="162" t="s">
        <v>1764</v>
      </c>
      <c r="K242" s="162" t="s">
        <v>4687</v>
      </c>
      <c r="L242" s="162" t="s">
        <v>4701</v>
      </c>
      <c r="M242" s="540" t="s">
        <v>4702</v>
      </c>
      <c r="N242" s="162" t="s">
        <v>4699</v>
      </c>
      <c r="O242" s="162" t="s">
        <v>109</v>
      </c>
      <c r="P242" s="162" t="s">
        <v>4689</v>
      </c>
      <c r="Q242" s="162" t="s">
        <v>2201</v>
      </c>
      <c r="R242" s="162" t="s">
        <v>2121</v>
      </c>
      <c r="S242" s="162" t="s">
        <v>2538</v>
      </c>
      <c r="T242" s="162">
        <v>4544.1000000000004</v>
      </c>
      <c r="U242" s="162" t="s">
        <v>4691</v>
      </c>
      <c r="V242" s="162" t="s">
        <v>109</v>
      </c>
      <c r="W242" s="162" t="s">
        <v>109</v>
      </c>
      <c r="X242" s="162" t="s">
        <v>109</v>
      </c>
      <c r="Y242" s="162" t="s">
        <v>4692</v>
      </c>
      <c r="Z242" s="162" t="s">
        <v>4692</v>
      </c>
      <c r="AA242" s="162" t="s">
        <v>109</v>
      </c>
      <c r="AB242" s="162" t="s">
        <v>4693</v>
      </c>
      <c r="AC242" s="162" t="s">
        <v>2123</v>
      </c>
      <c r="AD242" s="162" t="s">
        <v>2124</v>
      </c>
      <c r="AE242" s="162" t="s">
        <v>1758</v>
      </c>
      <c r="AF242" s="162" t="s">
        <v>3347</v>
      </c>
      <c r="AG242" s="162" t="s">
        <v>34</v>
      </c>
      <c r="AH242" s="162" t="s">
        <v>34</v>
      </c>
      <c r="AI242" s="162" t="s">
        <v>34</v>
      </c>
      <c r="AJ242" s="162" t="s">
        <v>34</v>
      </c>
      <c r="AK242" s="162" t="s">
        <v>2125</v>
      </c>
      <c r="AL242" s="162" t="s">
        <v>34</v>
      </c>
      <c r="AM242" t="s">
        <v>4820</v>
      </c>
      <c r="AN242" s="478">
        <v>0</v>
      </c>
      <c r="AO242" s="478">
        <v>0</v>
      </c>
    </row>
    <row r="243" spans="1:41" x14ac:dyDescent="0.2">
      <c r="A243">
        <v>242</v>
      </c>
      <c r="B243" s="462" t="s">
        <v>1280</v>
      </c>
      <c r="C243" s="162" t="s">
        <v>1282</v>
      </c>
      <c r="D243" s="162" t="s">
        <v>4130</v>
      </c>
      <c r="E243" s="162" t="s">
        <v>2963</v>
      </c>
      <c r="F243" s="162" t="s">
        <v>2008</v>
      </c>
      <c r="G243" s="162" t="s">
        <v>34</v>
      </c>
      <c r="H243" s="162" t="s">
        <v>2128</v>
      </c>
      <c r="I243" s="162" t="s">
        <v>5651</v>
      </c>
      <c r="J243" s="162" t="s">
        <v>2740</v>
      </c>
      <c r="K243" s="162" t="s">
        <v>2964</v>
      </c>
      <c r="L243" s="162" t="s">
        <v>2965</v>
      </c>
      <c r="M243" s="540" t="s">
        <v>2966</v>
      </c>
      <c r="N243" s="162" t="s">
        <v>1282</v>
      </c>
      <c r="O243" s="162" t="s">
        <v>904</v>
      </c>
      <c r="P243" s="162" t="s">
        <v>2967</v>
      </c>
      <c r="Q243" s="162" t="s">
        <v>2201</v>
      </c>
      <c r="R243" s="162" t="s">
        <v>2121</v>
      </c>
      <c r="S243" s="162" t="s">
        <v>2968</v>
      </c>
      <c r="T243" s="162">
        <v>0</v>
      </c>
      <c r="U243" s="162" t="s">
        <v>2151</v>
      </c>
      <c r="V243" s="162" t="s">
        <v>2969</v>
      </c>
      <c r="W243" s="162" t="s">
        <v>2970</v>
      </c>
      <c r="X243" s="162" t="s">
        <v>2122</v>
      </c>
      <c r="Y243" s="162" t="s">
        <v>109</v>
      </c>
      <c r="Z243" s="162" t="s">
        <v>109</v>
      </c>
      <c r="AA243" s="162" t="s">
        <v>109</v>
      </c>
      <c r="AB243" s="162" t="s">
        <v>2971</v>
      </c>
      <c r="AC243" s="162" t="s">
        <v>2123</v>
      </c>
      <c r="AD243" s="162" t="s">
        <v>2124</v>
      </c>
      <c r="AE243" s="162" t="s">
        <v>1758</v>
      </c>
      <c r="AF243" s="162" t="s">
        <v>3347</v>
      </c>
      <c r="AG243" s="162" t="s">
        <v>34</v>
      </c>
      <c r="AH243" s="162" t="s">
        <v>34</v>
      </c>
      <c r="AI243" s="162" t="s">
        <v>34</v>
      </c>
      <c r="AJ243" s="162" t="s">
        <v>34</v>
      </c>
      <c r="AK243" s="162" t="s">
        <v>2125</v>
      </c>
      <c r="AL243" s="162" t="s">
        <v>34</v>
      </c>
      <c r="AM243" t="s">
        <v>4803</v>
      </c>
      <c r="AN243" s="478">
        <v>0</v>
      </c>
      <c r="AO243" s="478">
        <v>0</v>
      </c>
    </row>
    <row r="244" spans="1:41" x14ac:dyDescent="0.2">
      <c r="A244">
        <v>243</v>
      </c>
      <c r="B244" s="462" t="s">
        <v>1903</v>
      </c>
      <c r="C244" s="162" t="s">
        <v>1905</v>
      </c>
      <c r="D244" s="162" t="s">
        <v>4131</v>
      </c>
      <c r="E244" s="162" t="s">
        <v>2061</v>
      </c>
      <c r="F244" s="162" t="s">
        <v>2004</v>
      </c>
      <c r="G244" s="162" t="s">
        <v>34</v>
      </c>
      <c r="H244" s="162" t="s">
        <v>2128</v>
      </c>
      <c r="I244" s="162" t="s">
        <v>5651</v>
      </c>
      <c r="J244" s="162" t="s">
        <v>2740</v>
      </c>
      <c r="K244" s="162" t="s">
        <v>2132</v>
      </c>
      <c r="L244" s="162" t="s">
        <v>2972</v>
      </c>
      <c r="M244" s="540" t="s">
        <v>1905</v>
      </c>
      <c r="N244" s="162" t="s">
        <v>1905</v>
      </c>
      <c r="O244" s="162" t="s">
        <v>904</v>
      </c>
      <c r="P244" s="162" t="s">
        <v>2839</v>
      </c>
      <c r="Q244" s="162" t="s">
        <v>2204</v>
      </c>
      <c r="R244" s="162" t="s">
        <v>2185</v>
      </c>
      <c r="S244" s="162" t="s">
        <v>2973</v>
      </c>
      <c r="T244" s="162">
        <v>432</v>
      </c>
      <c r="U244" s="162" t="s">
        <v>1947</v>
      </c>
      <c r="V244" s="162" t="s">
        <v>2974</v>
      </c>
      <c r="W244" s="162" t="s">
        <v>2975</v>
      </c>
      <c r="X244" s="162" t="s">
        <v>2122</v>
      </c>
      <c r="Y244" s="162" t="s">
        <v>109</v>
      </c>
      <c r="Z244" s="162" t="s">
        <v>109</v>
      </c>
      <c r="AA244" s="162" t="s">
        <v>109</v>
      </c>
      <c r="AB244" s="162" t="s">
        <v>5704</v>
      </c>
      <c r="AC244" s="162" t="s">
        <v>2123</v>
      </c>
      <c r="AD244" s="162" t="s">
        <v>2124</v>
      </c>
      <c r="AE244" s="162" t="s">
        <v>1758</v>
      </c>
      <c r="AF244" s="162" t="s">
        <v>3347</v>
      </c>
      <c r="AG244" s="162" t="s">
        <v>34</v>
      </c>
      <c r="AH244" s="162" t="s">
        <v>34</v>
      </c>
      <c r="AI244" s="162" t="s">
        <v>34</v>
      </c>
      <c r="AJ244" s="162" t="s">
        <v>34</v>
      </c>
      <c r="AK244" s="162" t="s">
        <v>2125</v>
      </c>
      <c r="AL244" s="162" t="s">
        <v>34</v>
      </c>
      <c r="AM244" t="s">
        <v>4806</v>
      </c>
      <c r="AN244" s="478">
        <v>0</v>
      </c>
      <c r="AO244" s="478">
        <v>0</v>
      </c>
    </row>
    <row r="245" spans="1:41" x14ac:dyDescent="0.2">
      <c r="A245">
        <v>244</v>
      </c>
      <c r="B245" s="462" t="s">
        <v>1903</v>
      </c>
      <c r="C245" s="162" t="s">
        <v>1296</v>
      </c>
      <c r="D245" s="162" t="s">
        <v>4324</v>
      </c>
      <c r="E245" s="162" t="s">
        <v>2061</v>
      </c>
      <c r="F245" s="162" t="s">
        <v>2004</v>
      </c>
      <c r="G245" s="162" t="s">
        <v>34</v>
      </c>
      <c r="H245" s="162" t="s">
        <v>2128</v>
      </c>
      <c r="I245" s="162" t="s">
        <v>5651</v>
      </c>
      <c r="J245" s="162" t="s">
        <v>2740</v>
      </c>
      <c r="K245" s="162" t="s">
        <v>1450</v>
      </c>
      <c r="L245" s="162" t="s">
        <v>4325</v>
      </c>
      <c r="M245" s="540" t="s">
        <v>1296</v>
      </c>
      <c r="N245" s="162" t="s">
        <v>1296</v>
      </c>
      <c r="O245" s="162" t="s">
        <v>904</v>
      </c>
      <c r="P245" s="162" t="s">
        <v>4326</v>
      </c>
      <c r="Q245" s="162" t="s">
        <v>3421</v>
      </c>
      <c r="R245" s="162" t="s">
        <v>2185</v>
      </c>
      <c r="S245" s="162" t="s">
        <v>4327</v>
      </c>
      <c r="T245" s="162">
        <v>2.7</v>
      </c>
      <c r="U245" s="162" t="s">
        <v>2150</v>
      </c>
      <c r="V245" s="162" t="s">
        <v>4328</v>
      </c>
      <c r="W245" s="162" t="s">
        <v>4329</v>
      </c>
      <c r="X245" s="162" t="s">
        <v>4330</v>
      </c>
      <c r="Y245" s="162" t="s">
        <v>109</v>
      </c>
      <c r="Z245" s="162" t="s">
        <v>109</v>
      </c>
      <c r="AA245" s="162" t="s">
        <v>109</v>
      </c>
      <c r="AB245" s="162" t="s">
        <v>5705</v>
      </c>
      <c r="AC245" s="162" t="s">
        <v>2123</v>
      </c>
      <c r="AD245" s="162" t="s">
        <v>2124</v>
      </c>
      <c r="AE245" s="162" t="s">
        <v>1758</v>
      </c>
      <c r="AF245" s="162">
        <v>5</v>
      </c>
      <c r="AG245" s="162">
        <v>1</v>
      </c>
      <c r="AH245" s="162">
        <v>75</v>
      </c>
      <c r="AI245" s="162" t="s">
        <v>3911</v>
      </c>
      <c r="AJ245" s="162" t="s">
        <v>34</v>
      </c>
      <c r="AK245" s="162" t="s">
        <v>2125</v>
      </c>
      <c r="AL245" s="162" t="s">
        <v>34</v>
      </c>
      <c r="AM245" t="s">
        <v>4803</v>
      </c>
      <c r="AN245" s="478">
        <v>0</v>
      </c>
      <c r="AO245" s="478">
        <v>0</v>
      </c>
    </row>
    <row r="246" spans="1:41" x14ac:dyDescent="0.2">
      <c r="A246">
        <v>245</v>
      </c>
      <c r="B246" s="462" t="s">
        <v>3772</v>
      </c>
      <c r="C246" s="162" t="s">
        <v>3774</v>
      </c>
      <c r="D246" s="162" t="s">
        <v>4428</v>
      </c>
      <c r="E246" s="162" t="s">
        <v>4429</v>
      </c>
      <c r="F246" s="162" t="s">
        <v>4430</v>
      </c>
      <c r="G246" s="162" t="s">
        <v>34</v>
      </c>
      <c r="H246" s="162" t="s">
        <v>2128</v>
      </c>
      <c r="I246" s="162" t="s">
        <v>5651</v>
      </c>
      <c r="J246" s="162" t="s">
        <v>1764</v>
      </c>
      <c r="K246" s="162" t="s">
        <v>4431</v>
      </c>
      <c r="L246" s="162" t="s">
        <v>4432</v>
      </c>
      <c r="M246" s="540">
        <v>17091325</v>
      </c>
      <c r="N246" s="162" t="s">
        <v>3774</v>
      </c>
      <c r="O246" s="162" t="s">
        <v>904</v>
      </c>
      <c r="P246" s="162" t="s">
        <v>4433</v>
      </c>
      <c r="Q246" s="162" t="s">
        <v>4433</v>
      </c>
      <c r="R246" s="162" t="s">
        <v>2222</v>
      </c>
      <c r="S246" s="162" t="s">
        <v>4434</v>
      </c>
      <c r="T246" s="162">
        <v>12.3</v>
      </c>
      <c r="U246" s="162" t="s">
        <v>2150</v>
      </c>
      <c r="V246" s="162" t="s">
        <v>2196</v>
      </c>
      <c r="W246" s="162">
        <v>17091325</v>
      </c>
      <c r="X246" s="162" t="s">
        <v>4435</v>
      </c>
      <c r="Y246" s="162" t="s">
        <v>109</v>
      </c>
      <c r="Z246" s="162" t="s">
        <v>109</v>
      </c>
      <c r="AA246" s="162" t="s">
        <v>109</v>
      </c>
      <c r="AB246" s="162" t="s">
        <v>4436</v>
      </c>
      <c r="AC246" s="162" t="s">
        <v>4437</v>
      </c>
      <c r="AD246" s="162" t="s">
        <v>2124</v>
      </c>
      <c r="AE246" s="162" t="s">
        <v>1758</v>
      </c>
      <c r="AF246" s="162" t="s">
        <v>109</v>
      </c>
      <c r="AG246" s="162" t="s">
        <v>34</v>
      </c>
      <c r="AH246" s="162" t="s">
        <v>34</v>
      </c>
      <c r="AI246" s="162" t="s">
        <v>34</v>
      </c>
      <c r="AJ246" s="162" t="s">
        <v>34</v>
      </c>
      <c r="AK246" s="162" t="s">
        <v>2125</v>
      </c>
      <c r="AL246" s="162" t="s">
        <v>34</v>
      </c>
      <c r="AM246" t="s">
        <v>4803</v>
      </c>
      <c r="AN246" s="478">
        <v>0</v>
      </c>
      <c r="AO246" s="478">
        <v>0</v>
      </c>
    </row>
    <row r="247" spans="1:41" x14ac:dyDescent="0.2">
      <c r="A247">
        <v>246</v>
      </c>
      <c r="B247" s="462" t="s">
        <v>5515</v>
      </c>
      <c r="C247" s="162" t="s">
        <v>5516</v>
      </c>
      <c r="D247" s="162" t="s">
        <v>5517</v>
      </c>
      <c r="E247" s="162" t="s">
        <v>5518</v>
      </c>
      <c r="F247" s="162" t="s">
        <v>5519</v>
      </c>
      <c r="G247" s="162" t="s">
        <v>34</v>
      </c>
      <c r="H247" s="162" t="s">
        <v>2128</v>
      </c>
      <c r="I247" s="162" t="s">
        <v>5651</v>
      </c>
      <c r="J247" s="162" t="s">
        <v>2396</v>
      </c>
      <c r="K247" s="162" t="s">
        <v>3300</v>
      </c>
      <c r="L247" s="162" t="s">
        <v>5520</v>
      </c>
      <c r="M247" s="540" t="s">
        <v>5521</v>
      </c>
      <c r="N247" s="162" t="s">
        <v>5522</v>
      </c>
      <c r="O247" s="162" t="s">
        <v>2399</v>
      </c>
      <c r="P247" s="162" t="s">
        <v>5523</v>
      </c>
      <c r="Q247" s="162" t="s">
        <v>5524</v>
      </c>
      <c r="R247" s="162" t="s">
        <v>4460</v>
      </c>
      <c r="S247" s="162" t="s">
        <v>5525</v>
      </c>
      <c r="T247" s="162">
        <v>483.9</v>
      </c>
      <c r="U247" s="162" t="s">
        <v>2150</v>
      </c>
      <c r="V247" s="162" t="s">
        <v>5526</v>
      </c>
      <c r="W247" s="162" t="s">
        <v>5539</v>
      </c>
      <c r="X247" s="162" t="s">
        <v>2738</v>
      </c>
      <c r="Y247" s="162" t="s">
        <v>5540</v>
      </c>
      <c r="Z247" s="162" t="s">
        <v>5527</v>
      </c>
      <c r="AA247" s="162" t="s">
        <v>4864</v>
      </c>
      <c r="AB247" s="162" t="s">
        <v>5541</v>
      </c>
      <c r="AC247" s="162" t="s">
        <v>2123</v>
      </c>
      <c r="AD247" s="162" t="s">
        <v>2124</v>
      </c>
      <c r="AE247" s="162" t="s">
        <v>1758</v>
      </c>
      <c r="AF247" s="162" t="s">
        <v>109</v>
      </c>
      <c r="AG247" s="162" t="s">
        <v>109</v>
      </c>
      <c r="AH247" s="162" t="s">
        <v>109</v>
      </c>
      <c r="AI247" s="162" t="s">
        <v>109</v>
      </c>
      <c r="AJ247" s="162" t="s">
        <v>109</v>
      </c>
      <c r="AK247" s="162" t="s">
        <v>2125</v>
      </c>
      <c r="AL247" s="162" t="s">
        <v>34</v>
      </c>
      <c r="AM247" t="s">
        <v>4806</v>
      </c>
      <c r="AN247" s="478">
        <v>0</v>
      </c>
      <c r="AO247" s="478">
        <v>0</v>
      </c>
    </row>
    <row r="248" spans="1:41" x14ac:dyDescent="0.2">
      <c r="A248">
        <v>247</v>
      </c>
      <c r="B248" s="462" t="s">
        <v>1299</v>
      </c>
      <c r="C248" s="162" t="s">
        <v>1310</v>
      </c>
      <c r="D248" s="162" t="s">
        <v>4132</v>
      </c>
      <c r="E248" s="162" t="s">
        <v>2976</v>
      </c>
      <c r="F248" s="162" t="s">
        <v>2062</v>
      </c>
      <c r="G248" s="162" t="s">
        <v>34</v>
      </c>
      <c r="H248" s="162" t="s">
        <v>2128</v>
      </c>
      <c r="I248" s="162" t="s">
        <v>5651</v>
      </c>
      <c r="J248" s="162" t="s">
        <v>2396</v>
      </c>
      <c r="K248" s="162" t="s">
        <v>2250</v>
      </c>
      <c r="L248" s="162" t="s">
        <v>2989</v>
      </c>
      <c r="M248" s="540">
        <v>10282008</v>
      </c>
      <c r="N248" s="162" t="s">
        <v>1310</v>
      </c>
      <c r="O248" s="162" t="s">
        <v>904</v>
      </c>
      <c r="P248" s="162" t="s">
        <v>2862</v>
      </c>
      <c r="Q248" s="162" t="s">
        <v>2204</v>
      </c>
      <c r="R248" s="162" t="s">
        <v>2286</v>
      </c>
      <c r="S248" s="162" t="s">
        <v>2990</v>
      </c>
      <c r="T248" s="162">
        <v>2002</v>
      </c>
      <c r="U248" s="162" t="s">
        <v>2151</v>
      </c>
      <c r="V248" s="162" t="s">
        <v>2991</v>
      </c>
      <c r="W248" s="162" t="s">
        <v>2992</v>
      </c>
      <c r="X248" s="162" t="s">
        <v>2270</v>
      </c>
      <c r="Y248" s="162" t="s">
        <v>2467</v>
      </c>
      <c r="Z248" s="162" t="s">
        <v>2993</v>
      </c>
      <c r="AA248" s="162" t="s">
        <v>2122</v>
      </c>
      <c r="AB248" s="162" t="s">
        <v>2994</v>
      </c>
      <c r="AC248" s="162" t="s">
        <v>2123</v>
      </c>
      <c r="AD248" s="162" t="s">
        <v>2124</v>
      </c>
      <c r="AE248" s="162" t="s">
        <v>1758</v>
      </c>
      <c r="AF248" s="162" t="s">
        <v>3347</v>
      </c>
      <c r="AG248" s="162" t="s">
        <v>34</v>
      </c>
      <c r="AH248" s="162" t="s">
        <v>34</v>
      </c>
      <c r="AI248" s="162" t="s">
        <v>34</v>
      </c>
      <c r="AJ248" s="162" t="s">
        <v>34</v>
      </c>
      <c r="AK248" s="162" t="s">
        <v>2125</v>
      </c>
      <c r="AL248" s="162" t="s">
        <v>34</v>
      </c>
      <c r="AM248" t="s">
        <v>4805</v>
      </c>
      <c r="AN248" s="478">
        <v>0</v>
      </c>
      <c r="AO248" s="478">
        <v>0</v>
      </c>
    </row>
    <row r="249" spans="1:41" x14ac:dyDescent="0.2">
      <c r="A249">
        <v>248</v>
      </c>
      <c r="B249" s="462" t="s">
        <v>1299</v>
      </c>
      <c r="C249" s="162" t="s">
        <v>4378</v>
      </c>
      <c r="D249" s="162" t="s">
        <v>4438</v>
      </c>
      <c r="E249" s="162" t="s">
        <v>2976</v>
      </c>
      <c r="F249" s="162" t="s">
        <v>2062</v>
      </c>
      <c r="G249" s="162" t="s">
        <v>34</v>
      </c>
      <c r="H249" s="162" t="s">
        <v>2128</v>
      </c>
      <c r="I249" s="162" t="s">
        <v>3873</v>
      </c>
      <c r="J249" s="162" t="s">
        <v>1764</v>
      </c>
      <c r="K249" s="162" t="s">
        <v>4378</v>
      </c>
      <c r="L249" s="162" t="s">
        <v>2450</v>
      </c>
      <c r="M249" s="540" t="s">
        <v>4385</v>
      </c>
      <c r="N249" s="162" t="s">
        <v>4439</v>
      </c>
      <c r="O249" s="162" t="s">
        <v>904</v>
      </c>
      <c r="P249" s="162" t="s">
        <v>4380</v>
      </c>
      <c r="Q249" s="162" t="s">
        <v>4380</v>
      </c>
      <c r="R249" s="162" t="s">
        <v>2121</v>
      </c>
      <c r="S249" s="162" t="s">
        <v>4386</v>
      </c>
      <c r="T249" s="162">
        <v>2253.3000000000002</v>
      </c>
      <c r="U249" s="162" t="s">
        <v>2151</v>
      </c>
      <c r="V249" s="162" t="s">
        <v>2453</v>
      </c>
      <c r="W249" s="162">
        <v>43144</v>
      </c>
      <c r="X249" s="162" t="s">
        <v>2738</v>
      </c>
      <c r="Y249" s="162" t="s">
        <v>4387</v>
      </c>
      <c r="Z249" s="162" t="s">
        <v>4388</v>
      </c>
      <c r="AA249" s="162" t="s">
        <v>4389</v>
      </c>
      <c r="AB249" s="162" t="s">
        <v>4390</v>
      </c>
      <c r="AC249" s="162" t="s">
        <v>2123</v>
      </c>
      <c r="AD249" s="162" t="s">
        <v>2124</v>
      </c>
      <c r="AE249" s="162" t="s">
        <v>1758</v>
      </c>
      <c r="AF249" s="162" t="s">
        <v>3347</v>
      </c>
      <c r="AG249" s="162" t="s">
        <v>34</v>
      </c>
      <c r="AH249" s="162" t="s">
        <v>34</v>
      </c>
      <c r="AI249" s="162" t="s">
        <v>34</v>
      </c>
      <c r="AJ249" s="162" t="s">
        <v>34</v>
      </c>
      <c r="AK249" s="162" t="s">
        <v>2125</v>
      </c>
      <c r="AL249" s="162" t="s">
        <v>34</v>
      </c>
      <c r="AM249" t="s">
        <v>4805</v>
      </c>
      <c r="AN249" s="478">
        <v>0</v>
      </c>
      <c r="AO249" s="478">
        <v>0</v>
      </c>
    </row>
    <row r="250" spans="1:41" x14ac:dyDescent="0.2">
      <c r="A250">
        <v>249</v>
      </c>
      <c r="B250" s="462" t="s">
        <v>1299</v>
      </c>
      <c r="C250" s="162" t="s">
        <v>4440</v>
      </c>
      <c r="D250" s="162" t="s">
        <v>4441</v>
      </c>
      <c r="E250" s="162" t="s">
        <v>2976</v>
      </c>
      <c r="F250" s="162" t="s">
        <v>2062</v>
      </c>
      <c r="G250" s="162" t="s">
        <v>34</v>
      </c>
      <c r="H250" s="162" t="s">
        <v>2128</v>
      </c>
      <c r="I250" s="162" t="s">
        <v>5651</v>
      </c>
      <c r="J250" s="162" t="s">
        <v>1764</v>
      </c>
      <c r="K250" s="162" t="s">
        <v>4384</v>
      </c>
      <c r="L250" s="162" t="s">
        <v>2450</v>
      </c>
      <c r="M250" s="540" t="s">
        <v>4379</v>
      </c>
      <c r="N250" s="162" t="s">
        <v>4442</v>
      </c>
      <c r="O250" s="162" t="s">
        <v>904</v>
      </c>
      <c r="P250" s="162" t="s">
        <v>4380</v>
      </c>
      <c r="Q250" s="162" t="s">
        <v>4380</v>
      </c>
      <c r="R250" s="162" t="s">
        <v>2121</v>
      </c>
      <c r="S250" s="162" t="s">
        <v>4381</v>
      </c>
      <c r="T250" s="162">
        <v>2380</v>
      </c>
      <c r="U250" s="162" t="s">
        <v>2151</v>
      </c>
      <c r="V250" s="162" t="s">
        <v>2453</v>
      </c>
      <c r="W250" s="162">
        <v>23131</v>
      </c>
      <c r="X250" s="162" t="s">
        <v>2738</v>
      </c>
      <c r="Y250" s="162" t="s">
        <v>109</v>
      </c>
      <c r="Z250" s="162" t="s">
        <v>4382</v>
      </c>
      <c r="AA250" s="162" t="s">
        <v>109</v>
      </c>
      <c r="AB250" s="162" t="s">
        <v>4383</v>
      </c>
      <c r="AC250" s="162" t="s">
        <v>2123</v>
      </c>
      <c r="AD250" s="162" t="s">
        <v>2124</v>
      </c>
      <c r="AE250" s="162" t="s">
        <v>1758</v>
      </c>
      <c r="AF250" s="162" t="s">
        <v>3347</v>
      </c>
      <c r="AG250" s="162" t="s">
        <v>34</v>
      </c>
      <c r="AH250" s="162" t="s">
        <v>34</v>
      </c>
      <c r="AI250" s="162" t="s">
        <v>34</v>
      </c>
      <c r="AJ250" s="162" t="s">
        <v>34</v>
      </c>
      <c r="AK250" s="162" t="s">
        <v>2125</v>
      </c>
      <c r="AL250" s="162" t="s">
        <v>34</v>
      </c>
      <c r="AM250" t="s">
        <v>4805</v>
      </c>
      <c r="AN250" s="478">
        <v>0</v>
      </c>
      <c r="AO250" s="478">
        <v>0</v>
      </c>
    </row>
    <row r="251" spans="1:41" x14ac:dyDescent="0.2">
      <c r="A251">
        <v>250</v>
      </c>
      <c r="B251" s="462" t="s">
        <v>1299</v>
      </c>
      <c r="C251" s="162" t="s">
        <v>1308</v>
      </c>
      <c r="D251" s="162" t="s">
        <v>4295</v>
      </c>
      <c r="E251" s="162" t="s">
        <v>2976</v>
      </c>
      <c r="F251" s="162" t="s">
        <v>2062</v>
      </c>
      <c r="G251" s="162" t="s">
        <v>34</v>
      </c>
      <c r="H251" s="162" t="s">
        <v>2128</v>
      </c>
      <c r="I251" s="162" t="s">
        <v>5651</v>
      </c>
      <c r="J251" s="162" t="s">
        <v>2740</v>
      </c>
      <c r="K251" s="162" t="s">
        <v>4296</v>
      </c>
      <c r="L251" s="162" t="s">
        <v>2995</v>
      </c>
      <c r="M251" s="540" t="s">
        <v>4296</v>
      </c>
      <c r="N251" s="162" t="s">
        <v>1308</v>
      </c>
      <c r="O251" s="162" t="s">
        <v>2399</v>
      </c>
      <c r="P251" s="162" t="s">
        <v>4297</v>
      </c>
      <c r="Q251" s="162" t="s">
        <v>2120</v>
      </c>
      <c r="R251" s="162" t="s">
        <v>2295</v>
      </c>
      <c r="S251" s="162" t="s">
        <v>4298</v>
      </c>
      <c r="T251" s="162">
        <v>1296</v>
      </c>
      <c r="U251" s="162" t="s">
        <v>2151</v>
      </c>
      <c r="V251" s="162" t="s">
        <v>4299</v>
      </c>
      <c r="W251" s="162" t="s">
        <v>4300</v>
      </c>
      <c r="X251" s="162" t="s">
        <v>2122</v>
      </c>
      <c r="Y251" s="162" t="s">
        <v>2467</v>
      </c>
      <c r="Z251" s="162" t="s">
        <v>4301</v>
      </c>
      <c r="AA251" s="162" t="s">
        <v>2122</v>
      </c>
      <c r="AB251" s="162" t="s">
        <v>34</v>
      </c>
      <c r="AC251" s="162" t="s">
        <v>2123</v>
      </c>
      <c r="AD251" s="162" t="s">
        <v>2124</v>
      </c>
      <c r="AE251" s="162" t="s">
        <v>1758</v>
      </c>
      <c r="AF251" s="162">
        <v>4</v>
      </c>
      <c r="AG251" s="162">
        <v>0.5</v>
      </c>
      <c r="AH251" s="162">
        <v>1</v>
      </c>
      <c r="AI251" s="162" t="s">
        <v>4302</v>
      </c>
      <c r="AJ251" s="162" t="s">
        <v>4303</v>
      </c>
      <c r="AK251" s="162" t="s">
        <v>2125</v>
      </c>
      <c r="AL251" s="162" t="s">
        <v>34</v>
      </c>
      <c r="AM251" t="s">
        <v>4803</v>
      </c>
      <c r="AN251" s="478">
        <v>0</v>
      </c>
      <c r="AO251" s="478">
        <v>0</v>
      </c>
    </row>
    <row r="252" spans="1:41" x14ac:dyDescent="0.2">
      <c r="A252">
        <v>251</v>
      </c>
      <c r="B252" s="462" t="s">
        <v>1299</v>
      </c>
      <c r="C252" s="162" t="s">
        <v>1304</v>
      </c>
      <c r="D252" s="162" t="s">
        <v>4133</v>
      </c>
      <c r="E252" s="162" t="s">
        <v>2976</v>
      </c>
      <c r="F252" s="162" t="s">
        <v>2062</v>
      </c>
      <c r="G252" s="162" t="s">
        <v>34</v>
      </c>
      <c r="H252" s="162" t="s">
        <v>2128</v>
      </c>
      <c r="I252" s="162" t="s">
        <v>5651</v>
      </c>
      <c r="J252" s="162" t="s">
        <v>2740</v>
      </c>
      <c r="K252" s="162" t="s">
        <v>3007</v>
      </c>
      <c r="L252" s="162" t="s">
        <v>109</v>
      </c>
      <c r="M252" s="540">
        <v>260</v>
      </c>
      <c r="N252" s="162" t="s">
        <v>1304</v>
      </c>
      <c r="O252" s="162" t="s">
        <v>4578</v>
      </c>
      <c r="P252" s="162" t="s">
        <v>3008</v>
      </c>
      <c r="Q252" s="162" t="s">
        <v>2120</v>
      </c>
      <c r="R252" s="162" t="s">
        <v>2185</v>
      </c>
      <c r="S252" s="162" t="s">
        <v>3009</v>
      </c>
      <c r="T252" s="162">
        <v>675</v>
      </c>
      <c r="U252" s="162" t="s">
        <v>2150</v>
      </c>
      <c r="V252" s="162" t="s">
        <v>3010</v>
      </c>
      <c r="W252" s="162">
        <v>261</v>
      </c>
      <c r="X252" s="162" t="s">
        <v>3011</v>
      </c>
      <c r="Y252" s="162" t="s">
        <v>3012</v>
      </c>
      <c r="Z252" s="162">
        <v>259</v>
      </c>
      <c r="AA252" s="162" t="s">
        <v>2122</v>
      </c>
      <c r="AB252" s="162" t="s">
        <v>4391</v>
      </c>
      <c r="AC252" s="162" t="s">
        <v>2123</v>
      </c>
      <c r="AD252" s="162" t="s">
        <v>2124</v>
      </c>
      <c r="AE252" s="162" t="s">
        <v>1758</v>
      </c>
      <c r="AF252" s="162" t="s">
        <v>3347</v>
      </c>
      <c r="AG252" s="162" t="s">
        <v>34</v>
      </c>
      <c r="AH252" s="162" t="s">
        <v>34</v>
      </c>
      <c r="AI252" s="162" t="s">
        <v>34</v>
      </c>
      <c r="AJ252" s="162" t="s">
        <v>34</v>
      </c>
      <c r="AK252" s="162" t="s">
        <v>2125</v>
      </c>
      <c r="AL252" s="162" t="s">
        <v>34</v>
      </c>
      <c r="AM252" t="s">
        <v>4806</v>
      </c>
      <c r="AN252" s="478">
        <v>0</v>
      </c>
      <c r="AO252" s="478">
        <v>0</v>
      </c>
    </row>
    <row r="253" spans="1:41" x14ac:dyDescent="0.2">
      <c r="A253">
        <v>252</v>
      </c>
      <c r="B253" s="462" t="s">
        <v>1299</v>
      </c>
      <c r="C253" s="162" t="s">
        <v>1306</v>
      </c>
      <c r="D253" s="162" t="s">
        <v>4134</v>
      </c>
      <c r="E253" s="162" t="s">
        <v>2976</v>
      </c>
      <c r="F253" s="162" t="s">
        <v>2062</v>
      </c>
      <c r="G253" s="162" t="s">
        <v>34</v>
      </c>
      <c r="H253" s="162" t="s">
        <v>2128</v>
      </c>
      <c r="I253" s="162" t="s">
        <v>3873</v>
      </c>
      <c r="J253" s="162" t="s">
        <v>2396</v>
      </c>
      <c r="K253" s="162" t="s">
        <v>1120</v>
      </c>
      <c r="L253" s="162" t="s">
        <v>2996</v>
      </c>
      <c r="M253" s="540">
        <v>98</v>
      </c>
      <c r="N253" s="162" t="s">
        <v>1306</v>
      </c>
      <c r="O253" s="162" t="s">
        <v>904</v>
      </c>
      <c r="P253" s="162" t="s">
        <v>2862</v>
      </c>
      <c r="Q253" s="162" t="s">
        <v>2120</v>
      </c>
      <c r="R253" s="162" t="s">
        <v>2121</v>
      </c>
      <c r="S253" s="162" t="s">
        <v>2997</v>
      </c>
      <c r="T253" s="162">
        <v>4752</v>
      </c>
      <c r="U253" s="162" t="s">
        <v>2151</v>
      </c>
      <c r="V253" s="162" t="s">
        <v>4514</v>
      </c>
      <c r="W253" s="162" t="s">
        <v>2998</v>
      </c>
      <c r="X253" s="162" t="s">
        <v>2122</v>
      </c>
      <c r="Y253" s="162" t="s">
        <v>2944</v>
      </c>
      <c r="Z253" s="162" t="s">
        <v>2999</v>
      </c>
      <c r="AA253" s="162" t="s">
        <v>4528</v>
      </c>
      <c r="AB253" s="162" t="s">
        <v>4515</v>
      </c>
      <c r="AC253" s="162" t="s">
        <v>2123</v>
      </c>
      <c r="AD253" s="162" t="s">
        <v>2124</v>
      </c>
      <c r="AE253" s="162" t="s">
        <v>1758</v>
      </c>
      <c r="AF253" s="162" t="s">
        <v>3347</v>
      </c>
      <c r="AG253" s="162" t="s">
        <v>34</v>
      </c>
      <c r="AH253" s="162" t="s">
        <v>34</v>
      </c>
      <c r="AI253" s="162" t="s">
        <v>34</v>
      </c>
      <c r="AJ253" s="162" t="s">
        <v>34</v>
      </c>
      <c r="AK253" s="162" t="s">
        <v>2125</v>
      </c>
      <c r="AL253" s="162" t="s">
        <v>34</v>
      </c>
      <c r="AM253" t="s">
        <v>4805</v>
      </c>
      <c r="AN253" s="478">
        <v>0</v>
      </c>
      <c r="AO253" s="478">
        <v>0</v>
      </c>
    </row>
    <row r="254" spans="1:41" x14ac:dyDescent="0.2">
      <c r="A254">
        <v>253</v>
      </c>
      <c r="B254" s="462" t="s">
        <v>1299</v>
      </c>
      <c r="C254" s="162" t="s">
        <v>1301</v>
      </c>
      <c r="D254" s="162" t="s">
        <v>4135</v>
      </c>
      <c r="E254" s="162" t="s">
        <v>2976</v>
      </c>
      <c r="F254" s="162" t="s">
        <v>2062</v>
      </c>
      <c r="G254" s="162" t="s">
        <v>34</v>
      </c>
      <c r="H254" s="162" t="s">
        <v>2128</v>
      </c>
      <c r="I254" s="162" t="s">
        <v>5651</v>
      </c>
      <c r="J254" s="162" t="s">
        <v>2740</v>
      </c>
      <c r="K254" s="162" t="s">
        <v>1120</v>
      </c>
      <c r="L254" s="162" t="s">
        <v>2450</v>
      </c>
      <c r="M254" s="540" t="s">
        <v>3000</v>
      </c>
      <c r="N254" s="162" t="s">
        <v>1301</v>
      </c>
      <c r="O254" s="162" t="s">
        <v>904</v>
      </c>
      <c r="P254" s="162" t="s">
        <v>2445</v>
      </c>
      <c r="Q254" s="162" t="s">
        <v>2120</v>
      </c>
      <c r="R254" s="162" t="s">
        <v>2121</v>
      </c>
      <c r="S254" s="162" t="s">
        <v>3001</v>
      </c>
      <c r="T254" s="162">
        <v>2928</v>
      </c>
      <c r="U254" s="162" t="s">
        <v>2151</v>
      </c>
      <c r="V254" s="162" t="s">
        <v>2453</v>
      </c>
      <c r="W254" s="162">
        <v>43144</v>
      </c>
      <c r="X254" s="162" t="s">
        <v>2738</v>
      </c>
      <c r="Y254" s="162" t="s">
        <v>2944</v>
      </c>
      <c r="Z254" s="162" t="s">
        <v>2999</v>
      </c>
      <c r="AA254" s="162" t="s">
        <v>2258</v>
      </c>
      <c r="AB254" s="162" t="s">
        <v>4749</v>
      </c>
      <c r="AC254" s="162" t="s">
        <v>2123</v>
      </c>
      <c r="AD254" s="162" t="s">
        <v>2124</v>
      </c>
      <c r="AE254" s="162" t="s">
        <v>1758</v>
      </c>
      <c r="AF254" s="162" t="s">
        <v>3347</v>
      </c>
      <c r="AG254" s="162" t="s">
        <v>34</v>
      </c>
      <c r="AH254" s="162" t="s">
        <v>34</v>
      </c>
      <c r="AI254" s="162" t="s">
        <v>34</v>
      </c>
      <c r="AJ254" s="162" t="s">
        <v>34</v>
      </c>
      <c r="AK254" s="162" t="s">
        <v>2125</v>
      </c>
      <c r="AL254" s="162" t="s">
        <v>34</v>
      </c>
      <c r="AM254" t="s">
        <v>4805</v>
      </c>
      <c r="AN254" s="478">
        <v>0</v>
      </c>
      <c r="AO254" s="478">
        <v>0</v>
      </c>
    </row>
    <row r="255" spans="1:41" x14ac:dyDescent="0.2">
      <c r="A255">
        <v>254</v>
      </c>
      <c r="B255" s="462" t="s">
        <v>1299</v>
      </c>
      <c r="C255" s="162" t="s">
        <v>4593</v>
      </c>
      <c r="D255" s="162" t="s">
        <v>4594</v>
      </c>
      <c r="E255" s="162" t="s">
        <v>2976</v>
      </c>
      <c r="F255" s="162" t="s">
        <v>2062</v>
      </c>
      <c r="G255" s="162" t="s">
        <v>34</v>
      </c>
      <c r="H255" s="162" t="s">
        <v>2128</v>
      </c>
      <c r="I255" s="162" t="s">
        <v>5651</v>
      </c>
      <c r="J255" s="162" t="s">
        <v>2740</v>
      </c>
      <c r="K255" s="162" t="s">
        <v>4595</v>
      </c>
      <c r="L255" s="162" t="s">
        <v>2995</v>
      </c>
      <c r="M255" s="540">
        <v>1605</v>
      </c>
      <c r="N255" s="162" t="s">
        <v>4593</v>
      </c>
      <c r="O255" s="162" t="s">
        <v>2399</v>
      </c>
      <c r="P255" s="162" t="s">
        <v>3002</v>
      </c>
      <c r="Q255" s="162" t="s">
        <v>2120</v>
      </c>
      <c r="R255" s="162" t="s">
        <v>2295</v>
      </c>
      <c r="S255" s="162" t="s">
        <v>3003</v>
      </c>
      <c r="T255" s="162">
        <v>2320</v>
      </c>
      <c r="U255" s="162" t="s">
        <v>2151</v>
      </c>
      <c r="V255" s="162" t="s">
        <v>3004</v>
      </c>
      <c r="W255" s="162" t="s">
        <v>3005</v>
      </c>
      <c r="X255" s="162" t="s">
        <v>2122</v>
      </c>
      <c r="Y255" s="162" t="s">
        <v>2303</v>
      </c>
      <c r="Z255" s="162" t="s">
        <v>3006</v>
      </c>
      <c r="AA255" s="162" t="s">
        <v>2122</v>
      </c>
      <c r="AB255" s="162" t="s">
        <v>34</v>
      </c>
      <c r="AC255" s="162" t="s">
        <v>2123</v>
      </c>
      <c r="AD255" s="162" t="s">
        <v>2124</v>
      </c>
      <c r="AE255" s="162" t="s">
        <v>1758</v>
      </c>
      <c r="AF255" s="162">
        <v>4</v>
      </c>
      <c r="AG255" s="162">
        <v>0.5</v>
      </c>
      <c r="AH255" s="162">
        <v>1</v>
      </c>
      <c r="AI255" s="162" t="s">
        <v>3930</v>
      </c>
      <c r="AJ255" s="162" t="s">
        <v>3893</v>
      </c>
      <c r="AK255" s="162" t="s">
        <v>2125</v>
      </c>
      <c r="AL255" s="162" t="s">
        <v>34</v>
      </c>
      <c r="AM255" t="s">
        <v>4805</v>
      </c>
      <c r="AN255" s="478">
        <v>0</v>
      </c>
      <c r="AO255" s="478">
        <v>0</v>
      </c>
    </row>
    <row r="256" spans="1:41" x14ac:dyDescent="0.2">
      <c r="A256">
        <v>255</v>
      </c>
      <c r="B256" s="462" t="s">
        <v>1299</v>
      </c>
      <c r="C256" s="162" t="s">
        <v>5109</v>
      </c>
      <c r="D256" s="162" t="s">
        <v>5110</v>
      </c>
      <c r="E256" s="162" t="s">
        <v>2976</v>
      </c>
      <c r="F256" s="162" t="s">
        <v>2062</v>
      </c>
      <c r="G256" s="162" t="s">
        <v>34</v>
      </c>
      <c r="H256" s="162" t="s">
        <v>2128</v>
      </c>
      <c r="I256" s="162" t="s">
        <v>5651</v>
      </c>
      <c r="J256" s="162" t="s">
        <v>2740</v>
      </c>
      <c r="K256" s="162" t="s">
        <v>5109</v>
      </c>
      <c r="L256" s="162" t="s">
        <v>2995</v>
      </c>
      <c r="M256" s="540">
        <v>1605</v>
      </c>
      <c r="N256" s="162" t="s">
        <v>5111</v>
      </c>
      <c r="O256" s="162" t="s">
        <v>4578</v>
      </c>
      <c r="P256" s="162" t="s">
        <v>3008</v>
      </c>
      <c r="Q256" s="162" t="s">
        <v>2120</v>
      </c>
      <c r="R256" s="162" t="s">
        <v>2295</v>
      </c>
      <c r="S256" s="162" t="s">
        <v>3003</v>
      </c>
      <c r="T256" s="162">
        <v>2320</v>
      </c>
      <c r="U256" s="162" t="s">
        <v>2150</v>
      </c>
      <c r="V256" s="162" t="s">
        <v>3004</v>
      </c>
      <c r="W256" s="162" t="s">
        <v>3005</v>
      </c>
      <c r="X256" s="162" t="s">
        <v>2122</v>
      </c>
      <c r="Y256" s="162" t="s">
        <v>2303</v>
      </c>
      <c r="Z256" s="162" t="s">
        <v>3006</v>
      </c>
      <c r="AA256" s="162" t="s">
        <v>2122</v>
      </c>
      <c r="AB256" s="162" t="s">
        <v>34</v>
      </c>
      <c r="AC256" s="162" t="s">
        <v>2123</v>
      </c>
      <c r="AD256" s="162" t="s">
        <v>2124</v>
      </c>
      <c r="AE256" s="162" t="s">
        <v>1758</v>
      </c>
      <c r="AF256" s="162">
        <v>4</v>
      </c>
      <c r="AG256" s="162">
        <v>0.5</v>
      </c>
      <c r="AH256" s="162">
        <v>1</v>
      </c>
      <c r="AI256" s="162" t="s">
        <v>3930</v>
      </c>
      <c r="AJ256" s="162" t="s">
        <v>3893</v>
      </c>
      <c r="AK256" s="162" t="s">
        <v>2125</v>
      </c>
      <c r="AL256" s="162" t="s">
        <v>34</v>
      </c>
      <c r="AM256" t="s">
        <v>4805</v>
      </c>
      <c r="AN256" s="478"/>
      <c r="AO256" s="478"/>
    </row>
    <row r="257" spans="1:41" x14ac:dyDescent="0.2">
      <c r="A257">
        <v>256</v>
      </c>
      <c r="B257" s="462" t="s">
        <v>1299</v>
      </c>
      <c r="C257" s="162" t="s">
        <v>1313</v>
      </c>
      <c r="D257" s="162" t="s">
        <v>4136</v>
      </c>
      <c r="E257" s="162" t="s">
        <v>2976</v>
      </c>
      <c r="F257" s="162" t="s">
        <v>2062</v>
      </c>
      <c r="G257" s="162" t="s">
        <v>34</v>
      </c>
      <c r="H257" s="162" t="s">
        <v>2128</v>
      </c>
      <c r="I257" s="162" t="s">
        <v>5651</v>
      </c>
      <c r="J257" s="162" t="s">
        <v>2740</v>
      </c>
      <c r="K257" s="162" t="s">
        <v>2983</v>
      </c>
      <c r="L257" s="162" t="s">
        <v>2469</v>
      </c>
      <c r="M257" s="540">
        <v>156</v>
      </c>
      <c r="N257" s="162" t="s">
        <v>1313</v>
      </c>
      <c r="O257" s="162" t="s">
        <v>904</v>
      </c>
      <c r="P257" s="162" t="s">
        <v>2984</v>
      </c>
      <c r="Q257" s="162" t="s">
        <v>2201</v>
      </c>
      <c r="R257" s="162" t="s">
        <v>2185</v>
      </c>
      <c r="S257" s="162" t="s">
        <v>2979</v>
      </c>
      <c r="T257" s="162">
        <v>750</v>
      </c>
      <c r="U257" s="162" t="s">
        <v>1947</v>
      </c>
      <c r="V257" s="162" t="s">
        <v>2985</v>
      </c>
      <c r="W257" s="162" t="s">
        <v>2986</v>
      </c>
      <c r="X257" s="162" t="s">
        <v>2122</v>
      </c>
      <c r="Y257" s="162" t="s">
        <v>2467</v>
      </c>
      <c r="Z257" s="162" t="s">
        <v>2987</v>
      </c>
      <c r="AA257" s="162" t="s">
        <v>2261</v>
      </c>
      <c r="AB257" s="162" t="s">
        <v>2988</v>
      </c>
      <c r="AC257" s="162" t="s">
        <v>2123</v>
      </c>
      <c r="AD257" s="162" t="s">
        <v>2124</v>
      </c>
      <c r="AE257" s="162" t="s">
        <v>1758</v>
      </c>
      <c r="AF257" s="162" t="s">
        <v>3347</v>
      </c>
      <c r="AG257" s="162" t="s">
        <v>34</v>
      </c>
      <c r="AH257" s="162" t="s">
        <v>34</v>
      </c>
      <c r="AI257" s="162" t="s">
        <v>34</v>
      </c>
      <c r="AJ257" s="162" t="s">
        <v>34</v>
      </c>
      <c r="AK257" s="162" t="s">
        <v>2125</v>
      </c>
      <c r="AL257" s="162" t="s">
        <v>34</v>
      </c>
      <c r="AM257" t="s">
        <v>4803</v>
      </c>
      <c r="AN257" s="478">
        <v>0</v>
      </c>
      <c r="AO257" s="478">
        <v>0</v>
      </c>
    </row>
    <row r="258" spans="1:41" x14ac:dyDescent="0.2">
      <c r="A258">
        <v>257</v>
      </c>
      <c r="B258" s="462" t="s">
        <v>1299</v>
      </c>
      <c r="C258" s="162" t="s">
        <v>1315</v>
      </c>
      <c r="D258" s="162" t="s">
        <v>4137</v>
      </c>
      <c r="E258" s="162" t="s">
        <v>2976</v>
      </c>
      <c r="F258" s="162" t="s">
        <v>2062</v>
      </c>
      <c r="G258" s="162" t="s">
        <v>34</v>
      </c>
      <c r="H258" s="162" t="s">
        <v>2128</v>
      </c>
      <c r="I258" s="162" t="s">
        <v>5651</v>
      </c>
      <c r="J258" s="162" t="s">
        <v>2740</v>
      </c>
      <c r="K258" s="162" t="s">
        <v>2977</v>
      </c>
      <c r="L258" s="162" t="s">
        <v>2469</v>
      </c>
      <c r="M258" s="540">
        <v>208</v>
      </c>
      <c r="N258" s="162" t="s">
        <v>1315</v>
      </c>
      <c r="O258" s="162" t="s">
        <v>904</v>
      </c>
      <c r="P258" s="162" t="s">
        <v>2978</v>
      </c>
      <c r="Q258" s="162" t="s">
        <v>2201</v>
      </c>
      <c r="R258" s="162" t="s">
        <v>2185</v>
      </c>
      <c r="S258" s="162" t="s">
        <v>2979</v>
      </c>
      <c r="T258" s="162">
        <v>750</v>
      </c>
      <c r="U258" s="162" t="s">
        <v>1947</v>
      </c>
      <c r="V258" s="162" t="s">
        <v>2980</v>
      </c>
      <c r="W258" s="162">
        <v>16416124</v>
      </c>
      <c r="X258" s="162" t="s">
        <v>2122</v>
      </c>
      <c r="Y258" s="162" t="s">
        <v>2981</v>
      </c>
      <c r="Z258" s="162" t="s">
        <v>2982</v>
      </c>
      <c r="AA258" s="162" t="s">
        <v>2122</v>
      </c>
      <c r="AB258" s="162" t="s">
        <v>34</v>
      </c>
      <c r="AC258" s="162" t="s">
        <v>2123</v>
      </c>
      <c r="AD258" s="162" t="s">
        <v>2124</v>
      </c>
      <c r="AE258" s="162" t="s">
        <v>1758</v>
      </c>
      <c r="AF258" s="162" t="s">
        <v>3347</v>
      </c>
      <c r="AG258" s="162" t="s">
        <v>34</v>
      </c>
      <c r="AH258" s="162" t="s">
        <v>34</v>
      </c>
      <c r="AI258" s="162" t="s">
        <v>34</v>
      </c>
      <c r="AJ258" s="162" t="s">
        <v>34</v>
      </c>
      <c r="AK258" s="162" t="s">
        <v>2125</v>
      </c>
      <c r="AL258" s="162" t="s">
        <v>34</v>
      </c>
      <c r="AM258" t="s">
        <v>4803</v>
      </c>
      <c r="AN258" s="478">
        <v>0</v>
      </c>
      <c r="AO258" s="478">
        <v>0</v>
      </c>
    </row>
    <row r="259" spans="1:41" x14ac:dyDescent="0.2">
      <c r="A259">
        <v>258</v>
      </c>
      <c r="B259" s="462" t="s">
        <v>1299</v>
      </c>
      <c r="C259" s="162" t="s">
        <v>4989</v>
      </c>
      <c r="D259" s="162" t="s">
        <v>4990</v>
      </c>
      <c r="E259" s="162" t="s">
        <v>2976</v>
      </c>
      <c r="F259" s="162" t="s">
        <v>2062</v>
      </c>
      <c r="G259" s="162" t="s">
        <v>34</v>
      </c>
      <c r="H259" s="162" t="s">
        <v>2128</v>
      </c>
      <c r="I259" s="162" t="s">
        <v>5651</v>
      </c>
      <c r="J259" s="162" t="s">
        <v>2740</v>
      </c>
      <c r="K259" s="162" t="s">
        <v>4989</v>
      </c>
      <c r="L259" s="162" t="s">
        <v>2255</v>
      </c>
      <c r="M259" s="540" t="s">
        <v>4991</v>
      </c>
      <c r="N259" s="162" t="s">
        <v>4992</v>
      </c>
      <c r="O259" s="162" t="s">
        <v>904</v>
      </c>
      <c r="P259" s="162" t="s">
        <v>2978</v>
      </c>
      <c r="Q259" s="162" t="s">
        <v>2201</v>
      </c>
      <c r="R259" s="162" t="s">
        <v>2121</v>
      </c>
      <c r="S259" s="162" t="s">
        <v>2538</v>
      </c>
      <c r="T259" s="162">
        <v>1473.8</v>
      </c>
      <c r="U259" s="162" t="s">
        <v>1947</v>
      </c>
      <c r="V259" s="162" t="s">
        <v>4993</v>
      </c>
      <c r="W259" s="162" t="s">
        <v>4994</v>
      </c>
      <c r="X259" s="162" t="s">
        <v>2122</v>
      </c>
      <c r="Y259" s="162" t="s">
        <v>109</v>
      </c>
      <c r="Z259" s="162" t="s">
        <v>109</v>
      </c>
      <c r="AA259" s="162" t="s">
        <v>109</v>
      </c>
      <c r="AB259" s="162" t="s">
        <v>34</v>
      </c>
      <c r="AC259" s="162" t="s">
        <v>2123</v>
      </c>
      <c r="AD259" s="162" t="s">
        <v>4622</v>
      </c>
      <c r="AE259" s="162" t="s">
        <v>1758</v>
      </c>
      <c r="AF259" s="162" t="s">
        <v>3347</v>
      </c>
      <c r="AG259" s="162" t="s">
        <v>34</v>
      </c>
      <c r="AH259" s="162" t="s">
        <v>34</v>
      </c>
      <c r="AI259" s="162" t="s">
        <v>34</v>
      </c>
      <c r="AJ259" s="162" t="s">
        <v>34</v>
      </c>
      <c r="AK259" s="162" t="s">
        <v>2125</v>
      </c>
      <c r="AL259" s="162" t="s">
        <v>34</v>
      </c>
      <c r="AM259" t="s">
        <v>4803</v>
      </c>
      <c r="AN259" s="478"/>
      <c r="AO259" s="478"/>
    </row>
    <row r="260" spans="1:41" x14ac:dyDescent="0.2">
      <c r="A260">
        <v>259</v>
      </c>
      <c r="B260" s="462" t="s">
        <v>1299</v>
      </c>
      <c r="C260" s="162" t="s">
        <v>4616</v>
      </c>
      <c r="D260" s="162" t="s">
        <v>4617</v>
      </c>
      <c r="E260" s="162" t="s">
        <v>2976</v>
      </c>
      <c r="F260" s="162" t="s">
        <v>2062</v>
      </c>
      <c r="G260" s="162" t="s">
        <v>34</v>
      </c>
      <c r="H260" s="162" t="s">
        <v>2128</v>
      </c>
      <c r="I260" s="162" t="s">
        <v>5651</v>
      </c>
      <c r="J260" s="162" t="s">
        <v>2740</v>
      </c>
      <c r="K260" s="162" t="s">
        <v>4616</v>
      </c>
      <c r="L260" s="162" t="s">
        <v>2255</v>
      </c>
      <c r="M260" s="540" t="s">
        <v>4618</v>
      </c>
      <c r="N260" s="162">
        <v>326</v>
      </c>
      <c r="O260" s="162" t="s">
        <v>904</v>
      </c>
      <c r="P260" s="162" t="s">
        <v>2978</v>
      </c>
      <c r="Q260" s="162" t="s">
        <v>2201</v>
      </c>
      <c r="R260" s="162" t="s">
        <v>2121</v>
      </c>
      <c r="S260" s="162" t="s">
        <v>4619</v>
      </c>
      <c r="T260" s="162">
        <v>1474</v>
      </c>
      <c r="U260" s="162" t="s">
        <v>1947</v>
      </c>
      <c r="V260" s="162" t="s">
        <v>4620</v>
      </c>
      <c r="W260" s="162" t="s">
        <v>4621</v>
      </c>
      <c r="X260" s="162" t="s">
        <v>2122</v>
      </c>
      <c r="Y260" s="162" t="s">
        <v>109</v>
      </c>
      <c r="Z260" s="162" t="s">
        <v>109</v>
      </c>
      <c r="AA260" s="162" t="s">
        <v>109</v>
      </c>
      <c r="AB260" s="162" t="s">
        <v>34</v>
      </c>
      <c r="AC260" s="162" t="s">
        <v>2123</v>
      </c>
      <c r="AD260" s="162" t="s">
        <v>4622</v>
      </c>
      <c r="AE260" s="162" t="s">
        <v>1758</v>
      </c>
      <c r="AF260" s="162" t="s">
        <v>3347</v>
      </c>
      <c r="AG260" s="162" t="s">
        <v>34</v>
      </c>
      <c r="AH260" s="162" t="s">
        <v>34</v>
      </c>
      <c r="AI260" s="162" t="s">
        <v>34</v>
      </c>
      <c r="AJ260" s="162" t="s">
        <v>34</v>
      </c>
      <c r="AK260" s="162" t="s">
        <v>2125</v>
      </c>
      <c r="AL260" s="162" t="s">
        <v>34</v>
      </c>
      <c r="AM260" t="s">
        <v>4803</v>
      </c>
      <c r="AN260" s="478">
        <v>0</v>
      </c>
      <c r="AO260" s="478">
        <v>0</v>
      </c>
    </row>
    <row r="261" spans="1:41" x14ac:dyDescent="0.2">
      <c r="A261">
        <v>260</v>
      </c>
      <c r="B261" s="462" t="s">
        <v>4412</v>
      </c>
      <c r="C261" s="162" t="s">
        <v>4413</v>
      </c>
      <c r="D261" s="162" t="s">
        <v>4414</v>
      </c>
      <c r="E261" s="162" t="s">
        <v>4415</v>
      </c>
      <c r="F261" s="162" t="s">
        <v>4416</v>
      </c>
      <c r="G261" s="162" t="s">
        <v>34</v>
      </c>
      <c r="H261" s="162" t="s">
        <v>2128</v>
      </c>
      <c r="I261" s="162" t="s">
        <v>5651</v>
      </c>
      <c r="J261" s="162" t="s">
        <v>1764</v>
      </c>
      <c r="K261" s="162" t="s">
        <v>4417</v>
      </c>
      <c r="L261" s="162" t="s">
        <v>2243</v>
      </c>
      <c r="M261" s="540" t="s">
        <v>4413</v>
      </c>
      <c r="N261" s="162" t="s">
        <v>4413</v>
      </c>
      <c r="O261" s="162" t="s">
        <v>4418</v>
      </c>
      <c r="P261" s="162" t="s">
        <v>2459</v>
      </c>
      <c r="Q261" s="162" t="s">
        <v>4419</v>
      </c>
      <c r="R261" s="162" t="s">
        <v>4420</v>
      </c>
      <c r="S261" s="162" t="s">
        <v>4421</v>
      </c>
      <c r="T261" s="162">
        <v>52</v>
      </c>
      <c r="U261" s="162" t="s">
        <v>1947</v>
      </c>
      <c r="V261" s="162" t="s">
        <v>4527</v>
      </c>
      <c r="W261" s="162" t="s">
        <v>4931</v>
      </c>
      <c r="X261" s="162" t="s">
        <v>2122</v>
      </c>
      <c r="Y261" s="162" t="s">
        <v>109</v>
      </c>
      <c r="Z261" s="162" t="s">
        <v>109</v>
      </c>
      <c r="AA261" s="162" t="s">
        <v>109</v>
      </c>
      <c r="AB261" s="162" t="s">
        <v>34</v>
      </c>
      <c r="AC261" s="162" t="s">
        <v>2123</v>
      </c>
      <c r="AD261" s="162" t="s">
        <v>4373</v>
      </c>
      <c r="AE261" s="162" t="s">
        <v>1758</v>
      </c>
      <c r="AF261" s="162" t="s">
        <v>3347</v>
      </c>
      <c r="AG261" s="162"/>
      <c r="AH261" s="162"/>
      <c r="AI261" s="162" t="s">
        <v>34</v>
      </c>
      <c r="AJ261" s="162" t="s">
        <v>34</v>
      </c>
      <c r="AK261" s="162" t="s">
        <v>2125</v>
      </c>
      <c r="AL261" s="162" t="s">
        <v>34</v>
      </c>
      <c r="AM261" t="s">
        <v>4806</v>
      </c>
      <c r="AN261" s="478">
        <v>0</v>
      </c>
      <c r="AO261" s="478">
        <v>0</v>
      </c>
    </row>
    <row r="262" spans="1:41" x14ac:dyDescent="0.2">
      <c r="A262">
        <v>261</v>
      </c>
      <c r="B262" s="462" t="s">
        <v>3013</v>
      </c>
      <c r="C262" s="162" t="s">
        <v>1831</v>
      </c>
      <c r="D262" s="162" t="s">
        <v>5023</v>
      </c>
      <c r="E262" s="162" t="s">
        <v>2063</v>
      </c>
      <c r="F262" s="162" t="s">
        <v>2032</v>
      </c>
      <c r="G262" s="162" t="s">
        <v>34</v>
      </c>
      <c r="H262" s="162" t="s">
        <v>2128</v>
      </c>
      <c r="I262" s="162" t="s">
        <v>5651</v>
      </c>
      <c r="J262" s="162" t="s">
        <v>2396</v>
      </c>
      <c r="K262" s="162" t="s">
        <v>2909</v>
      </c>
      <c r="L262" s="162" t="s">
        <v>5024</v>
      </c>
      <c r="M262" s="540" t="s">
        <v>5025</v>
      </c>
      <c r="N262" s="162" t="s">
        <v>1831</v>
      </c>
      <c r="O262" s="162" t="s">
        <v>5682</v>
      </c>
      <c r="P262" s="162" t="s">
        <v>3043</v>
      </c>
      <c r="Q262" s="162" t="s">
        <v>4863</v>
      </c>
      <c r="R262" s="162" t="s">
        <v>2121</v>
      </c>
      <c r="S262" s="162" t="s">
        <v>5026</v>
      </c>
      <c r="T262" s="162">
        <v>438.1</v>
      </c>
      <c r="U262" s="162" t="s">
        <v>2148</v>
      </c>
      <c r="V262" s="162" t="s">
        <v>5027</v>
      </c>
      <c r="W262" s="162" t="s">
        <v>5028</v>
      </c>
      <c r="X262" s="162" t="s">
        <v>4864</v>
      </c>
      <c r="Y262" s="162" t="s">
        <v>4464</v>
      </c>
      <c r="Z262" s="162" t="s">
        <v>5029</v>
      </c>
      <c r="AA262" s="162" t="s">
        <v>4864</v>
      </c>
      <c r="AB262" s="162" t="s">
        <v>5030</v>
      </c>
      <c r="AC262" s="162" t="s">
        <v>2123</v>
      </c>
      <c r="AD262" s="162" t="s">
        <v>2124</v>
      </c>
      <c r="AE262" s="162" t="s">
        <v>1758</v>
      </c>
      <c r="AF262" s="162" t="s">
        <v>4771</v>
      </c>
      <c r="AG262" s="162" t="s">
        <v>34</v>
      </c>
      <c r="AH262" s="162" t="s">
        <v>34</v>
      </c>
      <c r="AI262" s="162" t="s">
        <v>34</v>
      </c>
      <c r="AJ262" s="162" t="s">
        <v>34</v>
      </c>
      <c r="AK262" s="162" t="s">
        <v>2125</v>
      </c>
      <c r="AL262" s="162" t="s">
        <v>3725</v>
      </c>
      <c r="AM262" t="s">
        <v>4803</v>
      </c>
      <c r="AN262" s="478"/>
      <c r="AO262" s="478"/>
    </row>
    <row r="263" spans="1:41" x14ac:dyDescent="0.2">
      <c r="A263">
        <v>262</v>
      </c>
      <c r="B263" s="462" t="s">
        <v>3013</v>
      </c>
      <c r="C263" s="162" t="s">
        <v>5031</v>
      </c>
      <c r="D263" s="162" t="s">
        <v>5032</v>
      </c>
      <c r="E263" s="162" t="s">
        <v>2063</v>
      </c>
      <c r="F263" s="162" t="s">
        <v>2032</v>
      </c>
      <c r="G263" s="162" t="s">
        <v>34</v>
      </c>
      <c r="H263" s="162" t="s">
        <v>2128</v>
      </c>
      <c r="I263" s="162" t="s">
        <v>3084</v>
      </c>
      <c r="J263" s="162" t="s">
        <v>2396</v>
      </c>
      <c r="K263" s="162" t="s">
        <v>2909</v>
      </c>
      <c r="L263" s="162" t="s">
        <v>5024</v>
      </c>
      <c r="M263" s="540" t="s">
        <v>5025</v>
      </c>
      <c r="N263" s="162" t="s">
        <v>1831</v>
      </c>
      <c r="O263" s="162" t="s">
        <v>3051</v>
      </c>
      <c r="P263" s="162" t="s">
        <v>3043</v>
      </c>
      <c r="Q263" s="162" t="s">
        <v>4863</v>
      </c>
      <c r="R263" s="162" t="s">
        <v>2121</v>
      </c>
      <c r="S263" s="162" t="s">
        <v>5026</v>
      </c>
      <c r="T263" s="162">
        <v>438.1</v>
      </c>
      <c r="U263" s="162" t="s">
        <v>1947</v>
      </c>
      <c r="V263" s="162" t="s">
        <v>5027</v>
      </c>
      <c r="W263" s="162" t="s">
        <v>5028</v>
      </c>
      <c r="X263" s="162" t="s">
        <v>4864</v>
      </c>
      <c r="Y263" s="162" t="s">
        <v>4464</v>
      </c>
      <c r="Z263" s="162" t="s">
        <v>5029</v>
      </c>
      <c r="AA263" s="162" t="s">
        <v>4864</v>
      </c>
      <c r="AB263" s="162" t="s">
        <v>5030</v>
      </c>
      <c r="AC263" s="162" t="s">
        <v>2123</v>
      </c>
      <c r="AD263" s="162" t="s">
        <v>2124</v>
      </c>
      <c r="AE263" s="162" t="s">
        <v>1758</v>
      </c>
      <c r="AF263" s="162" t="s">
        <v>4771</v>
      </c>
      <c r="AG263" s="162" t="s">
        <v>34</v>
      </c>
      <c r="AH263" s="162" t="s">
        <v>34</v>
      </c>
      <c r="AI263" s="162" t="s">
        <v>34</v>
      </c>
      <c r="AJ263" s="162" t="s">
        <v>34</v>
      </c>
      <c r="AK263" s="162" t="s">
        <v>2125</v>
      </c>
      <c r="AL263" s="162" t="s">
        <v>3725</v>
      </c>
      <c r="AM263" t="s">
        <v>4803</v>
      </c>
      <c r="AN263" s="478"/>
      <c r="AO263" s="478"/>
    </row>
    <row r="264" spans="1:41" x14ac:dyDescent="0.2">
      <c r="A264">
        <v>263</v>
      </c>
      <c r="B264" s="462" t="s">
        <v>3013</v>
      </c>
      <c r="C264" s="162" t="s">
        <v>1907</v>
      </c>
      <c r="D264" s="162" t="s">
        <v>4138</v>
      </c>
      <c r="E264" s="162" t="s">
        <v>2063</v>
      </c>
      <c r="F264" s="162" t="s">
        <v>2032</v>
      </c>
      <c r="G264" s="162" t="s">
        <v>34</v>
      </c>
      <c r="H264" s="162" t="s">
        <v>2128</v>
      </c>
      <c r="I264" s="162" t="s">
        <v>5660</v>
      </c>
      <c r="J264" s="162" t="s">
        <v>2396</v>
      </c>
      <c r="K264" s="162" t="s">
        <v>1907</v>
      </c>
      <c r="L264" s="162" t="s">
        <v>3052</v>
      </c>
      <c r="M264" s="540" t="s">
        <v>3053</v>
      </c>
      <c r="N264" s="162" t="s">
        <v>1907</v>
      </c>
      <c r="O264" s="162" t="s">
        <v>3051</v>
      </c>
      <c r="P264" s="162" t="s">
        <v>2906</v>
      </c>
      <c r="Q264" s="162" t="s">
        <v>2204</v>
      </c>
      <c r="R264" s="162" t="s">
        <v>2121</v>
      </c>
      <c r="S264" s="162" t="s">
        <v>3054</v>
      </c>
      <c r="T264" s="162">
        <v>235.6</v>
      </c>
      <c r="U264" s="162" t="s">
        <v>1947</v>
      </c>
      <c r="V264" s="162" t="s">
        <v>2206</v>
      </c>
      <c r="W264" s="162" t="s">
        <v>3049</v>
      </c>
      <c r="X264" s="162" t="s">
        <v>2122</v>
      </c>
      <c r="Y264" s="162" t="s">
        <v>2319</v>
      </c>
      <c r="Z264" s="162" t="s">
        <v>3055</v>
      </c>
      <c r="AA264" s="162" t="s">
        <v>2122</v>
      </c>
      <c r="AB264" s="162" t="s">
        <v>34</v>
      </c>
      <c r="AC264" s="162" t="s">
        <v>2123</v>
      </c>
      <c r="AD264" s="162" t="s">
        <v>2124</v>
      </c>
      <c r="AE264" s="162" t="s">
        <v>1758</v>
      </c>
      <c r="AF264" s="162">
        <v>12</v>
      </c>
      <c r="AG264" s="162" t="s">
        <v>3863</v>
      </c>
      <c r="AH264" s="162" t="s">
        <v>3863</v>
      </c>
      <c r="AI264" s="162" t="s">
        <v>34</v>
      </c>
      <c r="AJ264" s="162" t="s">
        <v>34</v>
      </c>
      <c r="AK264" s="162" t="s">
        <v>2125</v>
      </c>
      <c r="AL264" s="162" t="s">
        <v>3725</v>
      </c>
      <c r="AM264" t="s">
        <v>4821</v>
      </c>
      <c r="AN264" s="478">
        <v>0</v>
      </c>
      <c r="AO264" s="478">
        <v>0</v>
      </c>
    </row>
    <row r="265" spans="1:41" x14ac:dyDescent="0.2">
      <c r="A265">
        <v>264</v>
      </c>
      <c r="B265" s="462" t="s">
        <v>3013</v>
      </c>
      <c r="C265" s="162" t="s">
        <v>878</v>
      </c>
      <c r="D265" s="162" t="s">
        <v>4139</v>
      </c>
      <c r="E265" s="162" t="s">
        <v>2063</v>
      </c>
      <c r="F265" s="162" t="s">
        <v>2032</v>
      </c>
      <c r="G265" s="162" t="s">
        <v>34</v>
      </c>
      <c r="H265" s="162" t="s">
        <v>2128</v>
      </c>
      <c r="I265" s="162" t="s">
        <v>5651</v>
      </c>
      <c r="J265" s="162" t="s">
        <v>2396</v>
      </c>
      <c r="K265" s="162" t="s">
        <v>3040</v>
      </c>
      <c r="L265" s="162" t="s">
        <v>3069</v>
      </c>
      <c r="M265" s="540" t="s">
        <v>3053</v>
      </c>
      <c r="N265" s="162" t="s">
        <v>878</v>
      </c>
      <c r="O265" s="162" t="s">
        <v>5682</v>
      </c>
      <c r="P265" s="162" t="s">
        <v>3070</v>
      </c>
      <c r="Q265" s="162" t="s">
        <v>4897</v>
      </c>
      <c r="R265" s="162" t="s">
        <v>2121</v>
      </c>
      <c r="S265" s="162" t="s">
        <v>5115</v>
      </c>
      <c r="T265" s="162">
        <v>118</v>
      </c>
      <c r="U265" s="162" t="s">
        <v>2150</v>
      </c>
      <c r="V265" s="162" t="s">
        <v>2206</v>
      </c>
      <c r="W265" s="162" t="s">
        <v>3049</v>
      </c>
      <c r="X265" s="162" t="s">
        <v>4864</v>
      </c>
      <c r="Y265" s="162" t="s">
        <v>2319</v>
      </c>
      <c r="Z265" s="162" t="s">
        <v>3055</v>
      </c>
      <c r="AA265" s="162" t="s">
        <v>4864</v>
      </c>
      <c r="AB265" s="162" t="s">
        <v>3071</v>
      </c>
      <c r="AC265" s="162" t="s">
        <v>2123</v>
      </c>
      <c r="AD265" s="162" t="s">
        <v>2124</v>
      </c>
      <c r="AE265" s="162" t="s">
        <v>1758</v>
      </c>
      <c r="AF265" s="162">
        <v>12</v>
      </c>
      <c r="AG265" s="162" t="s">
        <v>3863</v>
      </c>
      <c r="AH265" s="162" t="s">
        <v>3863</v>
      </c>
      <c r="AI265" s="162" t="s">
        <v>34</v>
      </c>
      <c r="AJ265" s="162" t="s">
        <v>34</v>
      </c>
      <c r="AK265" s="162" t="s">
        <v>2125</v>
      </c>
      <c r="AL265" s="162" t="s">
        <v>3725</v>
      </c>
      <c r="AM265" t="s">
        <v>4803</v>
      </c>
      <c r="AN265" s="478">
        <v>0</v>
      </c>
      <c r="AO265" s="478">
        <v>0</v>
      </c>
    </row>
    <row r="266" spans="1:41" x14ac:dyDescent="0.2">
      <c r="A266">
        <v>265</v>
      </c>
      <c r="B266" s="462" t="s">
        <v>3013</v>
      </c>
      <c r="C266" s="162" t="s">
        <v>1919</v>
      </c>
      <c r="D266" s="162" t="s">
        <v>4140</v>
      </c>
      <c r="E266" s="162" t="s">
        <v>2063</v>
      </c>
      <c r="F266" s="162" t="s">
        <v>2032</v>
      </c>
      <c r="G266" s="162" t="s">
        <v>34</v>
      </c>
      <c r="H266" s="162" t="s">
        <v>2128</v>
      </c>
      <c r="I266" s="162" t="s">
        <v>5660</v>
      </c>
      <c r="J266" s="162" t="s">
        <v>2396</v>
      </c>
      <c r="K266" s="162" t="s">
        <v>3040</v>
      </c>
      <c r="L266" s="162" t="s">
        <v>3041</v>
      </c>
      <c r="M266" s="540" t="s">
        <v>3042</v>
      </c>
      <c r="N266" s="162" t="s">
        <v>3048</v>
      </c>
      <c r="O266" s="162" t="s">
        <v>3051</v>
      </c>
      <c r="P266" s="162" t="s">
        <v>2906</v>
      </c>
      <c r="Q266" s="162" t="s">
        <v>2204</v>
      </c>
      <c r="R266" s="162" t="s">
        <v>2295</v>
      </c>
      <c r="S266" s="162" t="s">
        <v>3044</v>
      </c>
      <c r="T266" s="162">
        <v>500</v>
      </c>
      <c r="U266" s="162" t="s">
        <v>1947</v>
      </c>
      <c r="V266" s="162" t="s">
        <v>2206</v>
      </c>
      <c r="W266" s="162" t="s">
        <v>3045</v>
      </c>
      <c r="X266" s="162" t="s">
        <v>2122</v>
      </c>
      <c r="Y266" s="162" t="s">
        <v>2319</v>
      </c>
      <c r="Z266" s="162" t="s">
        <v>3046</v>
      </c>
      <c r="AA266" s="162" t="s">
        <v>2122</v>
      </c>
      <c r="AB266" s="162" t="s">
        <v>3050</v>
      </c>
      <c r="AC266" s="162" t="s">
        <v>2123</v>
      </c>
      <c r="AD266" s="162" t="s">
        <v>2124</v>
      </c>
      <c r="AE266" s="162" t="s">
        <v>1758</v>
      </c>
      <c r="AF266" s="162">
        <v>5</v>
      </c>
      <c r="AG266" s="162" t="s">
        <v>3863</v>
      </c>
      <c r="AH266" s="162">
        <v>35</v>
      </c>
      <c r="AI266" s="162" t="s">
        <v>34</v>
      </c>
      <c r="AJ266" s="162" t="s">
        <v>34</v>
      </c>
      <c r="AK266" s="162" t="s">
        <v>2125</v>
      </c>
      <c r="AL266" s="162" t="s">
        <v>3725</v>
      </c>
      <c r="AM266" t="s">
        <v>4821</v>
      </c>
      <c r="AN266" s="478">
        <v>0</v>
      </c>
      <c r="AO266" s="478">
        <v>0</v>
      </c>
    </row>
    <row r="267" spans="1:41" x14ac:dyDescent="0.2">
      <c r="A267">
        <v>266</v>
      </c>
      <c r="B267" s="462" t="s">
        <v>3013</v>
      </c>
      <c r="C267" s="162" t="s">
        <v>999</v>
      </c>
      <c r="D267" s="162" t="s">
        <v>4141</v>
      </c>
      <c r="E267" s="162" t="s">
        <v>2063</v>
      </c>
      <c r="F267" s="162" t="s">
        <v>2032</v>
      </c>
      <c r="G267" s="162" t="s">
        <v>34</v>
      </c>
      <c r="H267" s="162" t="s">
        <v>2128</v>
      </c>
      <c r="I267" s="162" t="s">
        <v>5651</v>
      </c>
      <c r="J267" s="162" t="s">
        <v>2740</v>
      </c>
      <c r="K267" s="162" t="s">
        <v>3040</v>
      </c>
      <c r="L267" s="162" t="s">
        <v>3041</v>
      </c>
      <c r="M267" s="540" t="s">
        <v>3042</v>
      </c>
      <c r="N267" s="162" t="s">
        <v>999</v>
      </c>
      <c r="O267" s="162" t="s">
        <v>5682</v>
      </c>
      <c r="P267" s="162" t="s">
        <v>3043</v>
      </c>
      <c r="Q267" s="162" t="s">
        <v>4897</v>
      </c>
      <c r="R267" s="162" t="s">
        <v>2295</v>
      </c>
      <c r="S267" s="162" t="s">
        <v>3044</v>
      </c>
      <c r="T267" s="162">
        <v>500</v>
      </c>
      <c r="U267" s="162" t="s">
        <v>2150</v>
      </c>
      <c r="V267" s="162" t="s">
        <v>2206</v>
      </c>
      <c r="W267" s="162" t="s">
        <v>3045</v>
      </c>
      <c r="X267" s="162" t="s">
        <v>4864</v>
      </c>
      <c r="Y267" s="162" t="s">
        <v>2319</v>
      </c>
      <c r="Z267" s="162" t="s">
        <v>3046</v>
      </c>
      <c r="AA267" s="162" t="s">
        <v>4864</v>
      </c>
      <c r="AB267" s="162" t="s">
        <v>3047</v>
      </c>
      <c r="AC267" s="162" t="s">
        <v>2123</v>
      </c>
      <c r="AD267" s="162" t="s">
        <v>2124</v>
      </c>
      <c r="AE267" s="162" t="s">
        <v>1758</v>
      </c>
      <c r="AF267" s="162">
        <v>5</v>
      </c>
      <c r="AG267" s="162" t="s">
        <v>3863</v>
      </c>
      <c r="AH267" s="162">
        <v>35</v>
      </c>
      <c r="AI267" s="162" t="s">
        <v>34</v>
      </c>
      <c r="AJ267" s="162" t="s">
        <v>34</v>
      </c>
      <c r="AK267" s="162" t="s">
        <v>2125</v>
      </c>
      <c r="AL267" s="162" t="s">
        <v>3725</v>
      </c>
      <c r="AM267" t="s">
        <v>4803</v>
      </c>
      <c r="AN267" s="478">
        <v>0</v>
      </c>
      <c r="AO267" s="478">
        <v>0</v>
      </c>
    </row>
    <row r="268" spans="1:41" x14ac:dyDescent="0.2">
      <c r="A268">
        <v>267</v>
      </c>
      <c r="B268" s="462" t="s">
        <v>3013</v>
      </c>
      <c r="C268" s="162" t="s">
        <v>876</v>
      </c>
      <c r="D268" s="162" t="s">
        <v>4898</v>
      </c>
      <c r="E268" s="162" t="s">
        <v>2063</v>
      </c>
      <c r="F268" s="162" t="s">
        <v>2032</v>
      </c>
      <c r="G268" s="162" t="s">
        <v>34</v>
      </c>
      <c r="H268" s="162" t="s">
        <v>2128</v>
      </c>
      <c r="I268" s="162" t="s">
        <v>5651</v>
      </c>
      <c r="J268" s="162" t="s">
        <v>2396</v>
      </c>
      <c r="K268" s="162" t="s">
        <v>2304</v>
      </c>
      <c r="L268" s="162" t="s">
        <v>4899</v>
      </c>
      <c r="M268" s="540" t="s">
        <v>4900</v>
      </c>
      <c r="N268" s="162" t="s">
        <v>876</v>
      </c>
      <c r="O268" s="162" t="s">
        <v>5682</v>
      </c>
      <c r="P268" s="162" t="s">
        <v>4901</v>
      </c>
      <c r="Q268" s="162" t="s">
        <v>4863</v>
      </c>
      <c r="R268" s="162" t="s">
        <v>2185</v>
      </c>
      <c r="S268" s="162" t="s">
        <v>5116</v>
      </c>
      <c r="T268" s="162">
        <v>683.5</v>
      </c>
      <c r="U268" s="162" t="s">
        <v>2150</v>
      </c>
      <c r="V268" s="162" t="s">
        <v>4462</v>
      </c>
      <c r="W268" s="162">
        <v>13730</v>
      </c>
      <c r="X268" s="162" t="s">
        <v>4864</v>
      </c>
      <c r="Y268" s="162" t="s">
        <v>4464</v>
      </c>
      <c r="Z268" s="162" t="s">
        <v>3362</v>
      </c>
      <c r="AA268" s="162" t="s">
        <v>4864</v>
      </c>
      <c r="AB268" s="162" t="s">
        <v>34</v>
      </c>
      <c r="AC268" s="162" t="s">
        <v>2123</v>
      </c>
      <c r="AD268" s="162" t="s">
        <v>2124</v>
      </c>
      <c r="AE268" s="162" t="s">
        <v>1758</v>
      </c>
      <c r="AF268" s="162" t="s">
        <v>4903</v>
      </c>
      <c r="AG268" s="162" t="s">
        <v>4903</v>
      </c>
      <c r="AH268" s="162" t="s">
        <v>4903</v>
      </c>
      <c r="AI268" s="162" t="s">
        <v>34</v>
      </c>
      <c r="AJ268" s="162" t="s">
        <v>34</v>
      </c>
      <c r="AK268" s="162" t="s">
        <v>2125</v>
      </c>
      <c r="AL268" s="162" t="s">
        <v>3725</v>
      </c>
      <c r="AM268" t="s">
        <v>4803</v>
      </c>
      <c r="AN268" s="478">
        <v>0</v>
      </c>
      <c r="AO268" s="478">
        <v>0</v>
      </c>
    </row>
    <row r="269" spans="1:41" x14ac:dyDescent="0.2">
      <c r="A269">
        <v>268</v>
      </c>
      <c r="B269" s="462" t="s">
        <v>3013</v>
      </c>
      <c r="C269" s="162" t="s">
        <v>4904</v>
      </c>
      <c r="D269" s="162" t="s">
        <v>4905</v>
      </c>
      <c r="E269" s="162" t="s">
        <v>2063</v>
      </c>
      <c r="F269" s="162" t="s">
        <v>2032</v>
      </c>
      <c r="G269" s="162" t="s">
        <v>34</v>
      </c>
      <c r="H269" s="162" t="s">
        <v>2128</v>
      </c>
      <c r="I269" s="162" t="s">
        <v>3084</v>
      </c>
      <c r="J269" s="162" t="s">
        <v>2396</v>
      </c>
      <c r="K269" s="162" t="s">
        <v>2304</v>
      </c>
      <c r="L269" s="162" t="s">
        <v>4899</v>
      </c>
      <c r="M269" s="540" t="s">
        <v>4900</v>
      </c>
      <c r="N269" s="162" t="s">
        <v>876</v>
      </c>
      <c r="O269" s="162" t="s">
        <v>5682</v>
      </c>
      <c r="P269" s="162" t="s">
        <v>4901</v>
      </c>
      <c r="Q269" s="162" t="s">
        <v>2204</v>
      </c>
      <c r="R269" s="162" t="s">
        <v>2185</v>
      </c>
      <c r="S269" s="162" t="s">
        <v>4902</v>
      </c>
      <c r="T269" s="162">
        <v>686.55</v>
      </c>
      <c r="U269" s="162" t="s">
        <v>1947</v>
      </c>
      <c r="V269" s="162" t="s">
        <v>4462</v>
      </c>
      <c r="W269" s="162">
        <v>13730</v>
      </c>
      <c r="X269" s="162" t="s">
        <v>2122</v>
      </c>
      <c r="Y269" s="162" t="s">
        <v>4464</v>
      </c>
      <c r="Z269" s="162" t="s">
        <v>3362</v>
      </c>
      <c r="AA269" s="162" t="s">
        <v>2122</v>
      </c>
      <c r="AB269" s="162" t="s">
        <v>34</v>
      </c>
      <c r="AC269" s="162" t="s">
        <v>2123</v>
      </c>
      <c r="AD269" s="162" t="s">
        <v>2124</v>
      </c>
      <c r="AE269" s="162" t="s">
        <v>1758</v>
      </c>
      <c r="AF269" s="162" t="s">
        <v>4903</v>
      </c>
      <c r="AG269" s="162" t="s">
        <v>4903</v>
      </c>
      <c r="AH269" s="162" t="s">
        <v>4903</v>
      </c>
      <c r="AI269" s="162" t="s">
        <v>34</v>
      </c>
      <c r="AJ269" s="162" t="s">
        <v>34</v>
      </c>
      <c r="AK269" s="162" t="s">
        <v>2125</v>
      </c>
      <c r="AL269" s="162" t="s">
        <v>3725</v>
      </c>
      <c r="AM269" t="s">
        <v>4803</v>
      </c>
      <c r="AN269" s="478">
        <v>0</v>
      </c>
      <c r="AO269" s="478">
        <v>0</v>
      </c>
    </row>
    <row r="270" spans="1:41" x14ac:dyDescent="0.2">
      <c r="A270">
        <v>269</v>
      </c>
      <c r="B270" s="462" t="s">
        <v>3013</v>
      </c>
      <c r="C270" s="162" t="s">
        <v>3784</v>
      </c>
      <c r="D270" s="162" t="s">
        <v>4340</v>
      </c>
      <c r="E270" s="162" t="s">
        <v>2063</v>
      </c>
      <c r="F270" s="162" t="s">
        <v>2032</v>
      </c>
      <c r="G270" s="162" t="s">
        <v>34</v>
      </c>
      <c r="H270" s="162" t="s">
        <v>2128</v>
      </c>
      <c r="I270" s="162" t="s">
        <v>5651</v>
      </c>
      <c r="J270" s="162" t="s">
        <v>2396</v>
      </c>
      <c r="K270" s="162" t="s">
        <v>2304</v>
      </c>
      <c r="L270" s="162" t="s">
        <v>2469</v>
      </c>
      <c r="M270" s="540" t="s">
        <v>2927</v>
      </c>
      <c r="N270" s="162" t="s">
        <v>3784</v>
      </c>
      <c r="O270" s="162" t="s">
        <v>5682</v>
      </c>
      <c r="P270" s="162" t="s">
        <v>3043</v>
      </c>
      <c r="Q270" s="162" t="s">
        <v>4863</v>
      </c>
      <c r="R270" s="162" t="s">
        <v>2185</v>
      </c>
      <c r="S270" s="162" t="s">
        <v>4341</v>
      </c>
      <c r="T270" s="162">
        <v>260.39999999999998</v>
      </c>
      <c r="U270" s="162" t="s">
        <v>2150</v>
      </c>
      <c r="V270" s="162" t="s">
        <v>4342</v>
      </c>
      <c r="W270" s="162" t="s">
        <v>2959</v>
      </c>
      <c r="X270" s="162" t="s">
        <v>4864</v>
      </c>
      <c r="Y270" s="162" t="s">
        <v>4343</v>
      </c>
      <c r="Z270" s="162" t="s">
        <v>2927</v>
      </c>
      <c r="AA270" s="162" t="s">
        <v>4864</v>
      </c>
      <c r="AB270" s="162" t="s">
        <v>34</v>
      </c>
      <c r="AC270" s="162" t="s">
        <v>2123</v>
      </c>
      <c r="AD270" s="162" t="s">
        <v>2124</v>
      </c>
      <c r="AE270" s="162" t="s">
        <v>1758</v>
      </c>
      <c r="AF270" s="162" t="s">
        <v>4344</v>
      </c>
      <c r="AG270" s="162" t="s">
        <v>4345</v>
      </c>
      <c r="AH270" s="162" t="s">
        <v>4346</v>
      </c>
      <c r="AI270" s="162" t="s">
        <v>34</v>
      </c>
      <c r="AJ270" s="162" t="s">
        <v>34</v>
      </c>
      <c r="AK270" s="162" t="s">
        <v>2125</v>
      </c>
      <c r="AL270" s="162" t="s">
        <v>3725</v>
      </c>
      <c r="AM270" t="s">
        <v>4803</v>
      </c>
      <c r="AN270" s="478">
        <v>0</v>
      </c>
      <c r="AO270" s="478">
        <v>0</v>
      </c>
    </row>
    <row r="271" spans="1:41" x14ac:dyDescent="0.2">
      <c r="A271">
        <v>270</v>
      </c>
      <c r="B271" s="462" t="s">
        <v>3013</v>
      </c>
      <c r="C271" s="162" t="s">
        <v>4347</v>
      </c>
      <c r="D271" s="162" t="s">
        <v>4348</v>
      </c>
      <c r="E271" s="162" t="s">
        <v>2063</v>
      </c>
      <c r="F271" s="162" t="s">
        <v>2032</v>
      </c>
      <c r="G271" s="162" t="s">
        <v>34</v>
      </c>
      <c r="H271" s="162" t="s">
        <v>2128</v>
      </c>
      <c r="I271" s="162" t="s">
        <v>3084</v>
      </c>
      <c r="J271" s="162" t="s">
        <v>2396</v>
      </c>
      <c r="K271" s="162" t="s">
        <v>2304</v>
      </c>
      <c r="L271" s="162" t="s">
        <v>2469</v>
      </c>
      <c r="M271" s="540" t="s">
        <v>2927</v>
      </c>
      <c r="N271" s="162" t="s">
        <v>3784</v>
      </c>
      <c r="O271" s="162" t="s">
        <v>3051</v>
      </c>
      <c r="P271" s="162" t="s">
        <v>3043</v>
      </c>
      <c r="Q271" s="162" t="s">
        <v>2204</v>
      </c>
      <c r="R271" s="162" t="s">
        <v>2185</v>
      </c>
      <c r="S271" s="162" t="s">
        <v>4341</v>
      </c>
      <c r="T271" s="162">
        <v>260.39999999999998</v>
      </c>
      <c r="U271" s="162" t="s">
        <v>4349</v>
      </c>
      <c r="V271" s="162" t="s">
        <v>4342</v>
      </c>
      <c r="W271" s="162" t="s">
        <v>2959</v>
      </c>
      <c r="X271" s="162" t="s">
        <v>2122</v>
      </c>
      <c r="Y271" s="162" t="s">
        <v>4343</v>
      </c>
      <c r="Z271" s="162" t="s">
        <v>2927</v>
      </c>
      <c r="AA271" s="162" t="s">
        <v>2122</v>
      </c>
      <c r="AB271" s="162" t="s">
        <v>34</v>
      </c>
      <c r="AC271" s="162" t="s">
        <v>2123</v>
      </c>
      <c r="AD271" s="162" t="s">
        <v>2124</v>
      </c>
      <c r="AE271" s="162" t="s">
        <v>1758</v>
      </c>
      <c r="AF271" s="162" t="s">
        <v>4344</v>
      </c>
      <c r="AG271" s="162" t="s">
        <v>4345</v>
      </c>
      <c r="AH271" s="162" t="s">
        <v>4346</v>
      </c>
      <c r="AI271" s="162" t="s">
        <v>34</v>
      </c>
      <c r="AJ271" s="162" t="s">
        <v>34</v>
      </c>
      <c r="AK271" s="162" t="s">
        <v>2125</v>
      </c>
      <c r="AL271" s="162" t="s">
        <v>3725</v>
      </c>
      <c r="AM271" t="s">
        <v>4821</v>
      </c>
      <c r="AN271" s="478">
        <v>0</v>
      </c>
      <c r="AO271" s="478">
        <v>0</v>
      </c>
    </row>
    <row r="272" spans="1:41" x14ac:dyDescent="0.2">
      <c r="A272">
        <v>271</v>
      </c>
      <c r="B272" s="462" t="s">
        <v>3013</v>
      </c>
      <c r="C272" s="162" t="s">
        <v>5744</v>
      </c>
      <c r="D272" s="162" t="s">
        <v>5745</v>
      </c>
      <c r="E272" s="162" t="s">
        <v>2063</v>
      </c>
      <c r="F272" s="162" t="s">
        <v>2032</v>
      </c>
      <c r="G272" s="162"/>
      <c r="H272" s="162" t="s">
        <v>2128</v>
      </c>
      <c r="I272" s="162" t="s">
        <v>5651</v>
      </c>
      <c r="J272" s="162" t="s">
        <v>1764</v>
      </c>
      <c r="K272" s="162" t="s">
        <v>2304</v>
      </c>
      <c r="L272" s="162" t="s">
        <v>3347</v>
      </c>
      <c r="M272" s="540" t="s">
        <v>5746</v>
      </c>
      <c r="N272" s="162" t="s">
        <v>5744</v>
      </c>
      <c r="O272" s="162" t="s">
        <v>2399</v>
      </c>
      <c r="P272" s="162" t="s">
        <v>2522</v>
      </c>
      <c r="Q272" s="162" t="s">
        <v>2204</v>
      </c>
      <c r="R272" s="162" t="s">
        <v>2185</v>
      </c>
      <c r="S272" s="162" t="s">
        <v>5747</v>
      </c>
      <c r="T272" s="162">
        <v>654.88</v>
      </c>
      <c r="U272" s="162" t="s">
        <v>1947</v>
      </c>
      <c r="V272" s="162" t="s">
        <v>2403</v>
      </c>
      <c r="W272" s="162" t="s">
        <v>5748</v>
      </c>
      <c r="X272" s="162" t="s">
        <v>2122</v>
      </c>
      <c r="Y272" s="162" t="s">
        <v>4464</v>
      </c>
      <c r="Z272" s="162" t="s">
        <v>2255</v>
      </c>
      <c r="AA272" s="162" t="s">
        <v>2122</v>
      </c>
      <c r="AB272" s="162" t="s">
        <v>5749</v>
      </c>
      <c r="AC272" s="162" t="s">
        <v>2123</v>
      </c>
      <c r="AD272" s="162" t="s">
        <v>2124</v>
      </c>
      <c r="AE272" s="162" t="s">
        <v>1758</v>
      </c>
      <c r="AF272" s="162" t="s">
        <v>3347</v>
      </c>
      <c r="AG272" s="162"/>
      <c r="AH272" s="162"/>
      <c r="AI272" s="162"/>
      <c r="AJ272" s="162"/>
      <c r="AK272" s="162" t="s">
        <v>2125</v>
      </c>
      <c r="AL272" s="162" t="s">
        <v>3725</v>
      </c>
      <c r="AM272" t="s">
        <v>4803</v>
      </c>
      <c r="AN272" s="478"/>
      <c r="AO272" s="478"/>
    </row>
    <row r="273" spans="1:41" x14ac:dyDescent="0.2">
      <c r="A273">
        <v>272</v>
      </c>
      <c r="B273" s="462" t="s">
        <v>3013</v>
      </c>
      <c r="C273" s="162" t="s">
        <v>3783</v>
      </c>
      <c r="D273" s="162" t="s">
        <v>4362</v>
      </c>
      <c r="E273" s="162" t="s">
        <v>2063</v>
      </c>
      <c r="F273" s="162" t="s">
        <v>2032</v>
      </c>
      <c r="G273" s="162" t="s">
        <v>34</v>
      </c>
      <c r="H273" s="162" t="s">
        <v>2128</v>
      </c>
      <c r="I273" s="162" t="s">
        <v>5651</v>
      </c>
      <c r="J273" s="162" t="s">
        <v>2740</v>
      </c>
      <c r="K273" s="162" t="s">
        <v>3783</v>
      </c>
      <c r="L273" s="162" t="s">
        <v>3108</v>
      </c>
      <c r="M273" s="540" t="s">
        <v>3109</v>
      </c>
      <c r="N273" s="162" t="s">
        <v>3783</v>
      </c>
      <c r="O273" s="162" t="s">
        <v>904</v>
      </c>
      <c r="P273" s="162" t="s">
        <v>2743</v>
      </c>
      <c r="Q273" s="162" t="s">
        <v>4863</v>
      </c>
      <c r="R273" s="162" t="s">
        <v>2222</v>
      </c>
      <c r="S273" s="162" t="s">
        <v>3110</v>
      </c>
      <c r="T273" s="162">
        <v>2.2999999999999998</v>
      </c>
      <c r="U273" s="162" t="s">
        <v>2151</v>
      </c>
      <c r="V273" s="162" t="s">
        <v>3111</v>
      </c>
      <c r="W273" s="162" t="s">
        <v>3112</v>
      </c>
      <c r="X273" s="162" t="s">
        <v>3113</v>
      </c>
      <c r="Y273" s="162" t="s">
        <v>109</v>
      </c>
      <c r="Z273" s="162" t="s">
        <v>109</v>
      </c>
      <c r="AA273" s="162" t="s">
        <v>109</v>
      </c>
      <c r="AB273" s="162" t="s">
        <v>3114</v>
      </c>
      <c r="AC273" s="162" t="s">
        <v>2123</v>
      </c>
      <c r="AD273" s="162" t="s">
        <v>2124</v>
      </c>
      <c r="AE273" s="162" t="s">
        <v>1758</v>
      </c>
      <c r="AF273" s="162" t="s">
        <v>3347</v>
      </c>
      <c r="AG273" s="162" t="s">
        <v>34</v>
      </c>
      <c r="AH273" s="162" t="s">
        <v>34</v>
      </c>
      <c r="AI273" s="162" t="s">
        <v>34</v>
      </c>
      <c r="AJ273" s="162" t="s">
        <v>34</v>
      </c>
      <c r="AK273" s="162" t="s">
        <v>2125</v>
      </c>
      <c r="AL273" s="162" t="s">
        <v>3725</v>
      </c>
      <c r="AM273" t="s">
        <v>4803</v>
      </c>
      <c r="AN273" s="478">
        <v>0</v>
      </c>
      <c r="AO273" s="478">
        <v>0</v>
      </c>
    </row>
    <row r="274" spans="1:41" x14ac:dyDescent="0.2">
      <c r="A274">
        <v>273</v>
      </c>
      <c r="B274" s="462" t="s">
        <v>3013</v>
      </c>
      <c r="C274" s="162" t="s">
        <v>4559</v>
      </c>
      <c r="D274" s="162" t="s">
        <v>4560</v>
      </c>
      <c r="E274" s="162" t="s">
        <v>2063</v>
      </c>
      <c r="F274" s="162" t="s">
        <v>2032</v>
      </c>
      <c r="G274" s="162" t="s">
        <v>34</v>
      </c>
      <c r="H274" s="162" t="s">
        <v>2128</v>
      </c>
      <c r="I274" s="162" t="s">
        <v>5651</v>
      </c>
      <c r="J274" s="162" t="s">
        <v>2740</v>
      </c>
      <c r="K274" s="162" t="s">
        <v>2745</v>
      </c>
      <c r="L274" s="162" t="s">
        <v>4561</v>
      </c>
      <c r="M274" s="540" t="s">
        <v>4562</v>
      </c>
      <c r="N274" s="162" t="s">
        <v>4563</v>
      </c>
      <c r="O274" s="162" t="s">
        <v>904</v>
      </c>
      <c r="P274" s="162" t="s">
        <v>5366</v>
      </c>
      <c r="Q274" s="162" t="s">
        <v>2201</v>
      </c>
      <c r="R274" s="162" t="s">
        <v>2185</v>
      </c>
      <c r="S274" s="162" t="s">
        <v>2786</v>
      </c>
      <c r="T274" s="162">
        <v>8</v>
      </c>
      <c r="U274" s="162" t="s">
        <v>2151</v>
      </c>
      <c r="V274" s="162" t="s">
        <v>2936</v>
      </c>
      <c r="W274" s="162" t="s">
        <v>4564</v>
      </c>
      <c r="X274" s="162" t="s">
        <v>2261</v>
      </c>
      <c r="Y274" s="162" t="s">
        <v>109</v>
      </c>
      <c r="Z274" s="162" t="s">
        <v>109</v>
      </c>
      <c r="AA274" s="162" t="s">
        <v>109</v>
      </c>
      <c r="AB274" s="162" t="s">
        <v>4779</v>
      </c>
      <c r="AC274" s="162" t="s">
        <v>2123</v>
      </c>
      <c r="AD274" s="162" t="s">
        <v>2124</v>
      </c>
      <c r="AE274" s="162" t="s">
        <v>1758</v>
      </c>
      <c r="AF274" s="162" t="s">
        <v>3347</v>
      </c>
      <c r="AG274" s="162" t="s">
        <v>34</v>
      </c>
      <c r="AH274" s="162" t="s">
        <v>34</v>
      </c>
      <c r="AI274" s="162" t="s">
        <v>34</v>
      </c>
      <c r="AJ274" s="162" t="s">
        <v>34</v>
      </c>
      <c r="AK274" s="162" t="s">
        <v>2125</v>
      </c>
      <c r="AL274" s="162" t="s">
        <v>34</v>
      </c>
      <c r="AM274" t="s">
        <v>4804</v>
      </c>
      <c r="AN274" s="478">
        <v>0</v>
      </c>
      <c r="AO274" s="478">
        <v>0</v>
      </c>
    </row>
    <row r="275" spans="1:41" x14ac:dyDescent="0.2">
      <c r="A275">
        <v>274</v>
      </c>
      <c r="B275" s="462" t="s">
        <v>3013</v>
      </c>
      <c r="C275" s="162" t="s">
        <v>4485</v>
      </c>
      <c r="D275" s="162" t="s">
        <v>4486</v>
      </c>
      <c r="E275" s="162" t="s">
        <v>2063</v>
      </c>
      <c r="F275" s="162" t="s">
        <v>2032</v>
      </c>
      <c r="G275" s="162" t="s">
        <v>34</v>
      </c>
      <c r="H275" s="162" t="s">
        <v>2128</v>
      </c>
      <c r="I275" s="162" t="s">
        <v>5660</v>
      </c>
      <c r="J275" s="162" t="s">
        <v>2396</v>
      </c>
      <c r="K275" s="162" t="s">
        <v>3075</v>
      </c>
      <c r="L275" s="162" t="s">
        <v>3076</v>
      </c>
      <c r="M275" s="540" t="s">
        <v>4485</v>
      </c>
      <c r="N275" s="162" t="s">
        <v>4485</v>
      </c>
      <c r="O275" s="162" t="s">
        <v>904</v>
      </c>
      <c r="P275" s="162" t="s">
        <v>2371</v>
      </c>
      <c r="Q275" s="162" t="s">
        <v>2371</v>
      </c>
      <c r="R275" s="162" t="s">
        <v>2185</v>
      </c>
      <c r="S275" s="162" t="s">
        <v>4487</v>
      </c>
      <c r="T275" s="162">
        <v>7837</v>
      </c>
      <c r="U275" s="162" t="s">
        <v>1947</v>
      </c>
      <c r="V275" s="162" t="s">
        <v>4488</v>
      </c>
      <c r="W275" s="162" t="s">
        <v>4485</v>
      </c>
      <c r="X275" s="162" t="s">
        <v>109</v>
      </c>
      <c r="Y275" s="162" t="s">
        <v>4489</v>
      </c>
      <c r="Z275" s="162" t="s">
        <v>4490</v>
      </c>
      <c r="AA275" s="162" t="s">
        <v>2122</v>
      </c>
      <c r="AB275" s="162" t="s">
        <v>5432</v>
      </c>
      <c r="AC275" s="162" t="s">
        <v>2123</v>
      </c>
      <c r="AD275" s="162" t="s">
        <v>2124</v>
      </c>
      <c r="AE275" s="162" t="s">
        <v>1758</v>
      </c>
      <c r="AF275" s="162" t="s">
        <v>3347</v>
      </c>
      <c r="AG275" s="162" t="s">
        <v>34</v>
      </c>
      <c r="AH275" s="162" t="s">
        <v>34</v>
      </c>
      <c r="AI275" s="162" t="s">
        <v>34</v>
      </c>
      <c r="AJ275" s="162" t="s">
        <v>34</v>
      </c>
      <c r="AK275" s="162" t="s">
        <v>2125</v>
      </c>
      <c r="AL275" s="162" t="s">
        <v>3725</v>
      </c>
      <c r="AM275" t="s">
        <v>4820</v>
      </c>
      <c r="AN275" s="478">
        <v>0</v>
      </c>
      <c r="AO275" s="478">
        <v>0</v>
      </c>
    </row>
    <row r="276" spans="1:41" x14ac:dyDescent="0.2">
      <c r="A276">
        <v>275</v>
      </c>
      <c r="B276" s="462" t="s">
        <v>3013</v>
      </c>
      <c r="C276" s="162" t="s">
        <v>912</v>
      </c>
      <c r="D276" s="162" t="s">
        <v>4142</v>
      </c>
      <c r="E276" s="162" t="s">
        <v>2063</v>
      </c>
      <c r="F276" s="162" t="s">
        <v>2032</v>
      </c>
      <c r="G276" s="162" t="s">
        <v>34</v>
      </c>
      <c r="H276" s="162" t="s">
        <v>2128</v>
      </c>
      <c r="I276" s="162" t="s">
        <v>5651</v>
      </c>
      <c r="J276" s="162" t="s">
        <v>2396</v>
      </c>
      <c r="K276" s="162" t="s">
        <v>2305</v>
      </c>
      <c r="L276" s="162" t="s">
        <v>3090</v>
      </c>
      <c r="M276" s="540">
        <v>51644</v>
      </c>
      <c r="N276" s="162" t="s">
        <v>912</v>
      </c>
      <c r="O276" s="162" t="s">
        <v>904</v>
      </c>
      <c r="P276" s="162" t="s">
        <v>2371</v>
      </c>
      <c r="Q276" s="162" t="s">
        <v>2371</v>
      </c>
      <c r="R276" s="162" t="s">
        <v>2222</v>
      </c>
      <c r="S276" s="162" t="s">
        <v>3091</v>
      </c>
      <c r="T276" s="162">
        <v>1585</v>
      </c>
      <c r="U276" s="162" t="s">
        <v>2151</v>
      </c>
      <c r="V276" s="162" t="s">
        <v>3092</v>
      </c>
      <c r="W276" s="162" t="s">
        <v>3093</v>
      </c>
      <c r="X276" s="162" t="s">
        <v>2727</v>
      </c>
      <c r="Y276" s="162" t="s">
        <v>3094</v>
      </c>
      <c r="Z276" s="162" t="s">
        <v>3095</v>
      </c>
      <c r="AA276" s="162" t="s">
        <v>2122</v>
      </c>
      <c r="AB276" s="162" t="s">
        <v>3096</v>
      </c>
      <c r="AC276" s="162" t="s">
        <v>2123</v>
      </c>
      <c r="AD276" s="162" t="s">
        <v>2124</v>
      </c>
      <c r="AE276" s="162" t="s">
        <v>1758</v>
      </c>
      <c r="AF276" s="162" t="s">
        <v>3347</v>
      </c>
      <c r="AG276" s="162" t="s">
        <v>34</v>
      </c>
      <c r="AH276" s="162" t="s">
        <v>34</v>
      </c>
      <c r="AI276" s="162" t="s">
        <v>34</v>
      </c>
      <c r="AJ276" s="162" t="s">
        <v>34</v>
      </c>
      <c r="AK276" s="162" t="s">
        <v>2125</v>
      </c>
      <c r="AL276" s="162" t="s">
        <v>3725</v>
      </c>
      <c r="AM276" t="s">
        <v>4820</v>
      </c>
      <c r="AN276" s="478">
        <v>0</v>
      </c>
      <c r="AO276" s="478">
        <v>0</v>
      </c>
    </row>
    <row r="277" spans="1:41" x14ac:dyDescent="0.2">
      <c r="A277">
        <v>276</v>
      </c>
      <c r="B277" s="462" t="s">
        <v>3013</v>
      </c>
      <c r="C277" s="162" t="s">
        <v>1276</v>
      </c>
      <c r="D277" s="162" t="s">
        <v>4143</v>
      </c>
      <c r="E277" s="162" t="s">
        <v>2063</v>
      </c>
      <c r="F277" s="162" t="s">
        <v>2032</v>
      </c>
      <c r="G277" s="162" t="s">
        <v>34</v>
      </c>
      <c r="H277" s="162" t="s">
        <v>2128</v>
      </c>
      <c r="I277" s="162" t="s">
        <v>5651</v>
      </c>
      <c r="J277" s="162" t="s">
        <v>2740</v>
      </c>
      <c r="K277" s="162" t="s">
        <v>2305</v>
      </c>
      <c r="L277" s="162" t="s">
        <v>3097</v>
      </c>
      <c r="M277" s="540" t="s">
        <v>3098</v>
      </c>
      <c r="N277" s="162" t="s">
        <v>1276</v>
      </c>
      <c r="O277" s="162" t="s">
        <v>904</v>
      </c>
      <c r="P277" s="162" t="s">
        <v>2371</v>
      </c>
      <c r="Q277" s="162" t="s">
        <v>2371</v>
      </c>
      <c r="R277" s="162" t="s">
        <v>2222</v>
      </c>
      <c r="S277" s="162" t="s">
        <v>3099</v>
      </c>
      <c r="T277" s="162">
        <v>1526.5</v>
      </c>
      <c r="U277" s="162" t="s">
        <v>2151</v>
      </c>
      <c r="V277" s="162" t="s">
        <v>109</v>
      </c>
      <c r="W277" s="162" t="s">
        <v>109</v>
      </c>
      <c r="X277" s="162" t="s">
        <v>2281</v>
      </c>
      <c r="Y277" s="162" t="s">
        <v>3100</v>
      </c>
      <c r="Z277" s="162" t="s">
        <v>3101</v>
      </c>
      <c r="AA277" s="162" t="s">
        <v>3102</v>
      </c>
      <c r="AB277" s="162" t="s">
        <v>4550</v>
      </c>
      <c r="AC277" s="162" t="s">
        <v>2123</v>
      </c>
      <c r="AD277" s="162" t="s">
        <v>2124</v>
      </c>
      <c r="AE277" s="162" t="s">
        <v>1758</v>
      </c>
      <c r="AF277" s="162" t="s">
        <v>3347</v>
      </c>
      <c r="AG277" s="162" t="s">
        <v>34</v>
      </c>
      <c r="AH277" s="162" t="s">
        <v>34</v>
      </c>
      <c r="AI277" s="162" t="s">
        <v>34</v>
      </c>
      <c r="AJ277" s="162" t="s">
        <v>34</v>
      </c>
      <c r="AK277" s="162" t="s">
        <v>2125</v>
      </c>
      <c r="AL277" s="162" t="s">
        <v>3725</v>
      </c>
      <c r="AM277" t="s">
        <v>4820</v>
      </c>
      <c r="AN277" s="478">
        <v>0</v>
      </c>
      <c r="AO277" s="478">
        <v>0</v>
      </c>
    </row>
    <row r="278" spans="1:41" x14ac:dyDescent="0.2">
      <c r="A278">
        <v>277</v>
      </c>
      <c r="B278" s="462" t="s">
        <v>3013</v>
      </c>
      <c r="C278" s="162" t="s">
        <v>827</v>
      </c>
      <c r="D278" s="162" t="s">
        <v>4144</v>
      </c>
      <c r="E278" s="162" t="s">
        <v>2063</v>
      </c>
      <c r="F278" s="162" t="s">
        <v>2032</v>
      </c>
      <c r="G278" s="162" t="s">
        <v>34</v>
      </c>
      <c r="H278" s="162" t="s">
        <v>2128</v>
      </c>
      <c r="I278" s="162" t="s">
        <v>5651</v>
      </c>
      <c r="J278" s="162" t="s">
        <v>2740</v>
      </c>
      <c r="K278" s="162" t="s">
        <v>827</v>
      </c>
      <c r="L278" s="162" t="s">
        <v>3103</v>
      </c>
      <c r="M278" s="540" t="s">
        <v>3104</v>
      </c>
      <c r="N278" s="162" t="s">
        <v>827</v>
      </c>
      <c r="O278" s="162" t="s">
        <v>904</v>
      </c>
      <c r="P278" s="162" t="s">
        <v>3105</v>
      </c>
      <c r="Q278" s="162" t="s">
        <v>2204</v>
      </c>
      <c r="R278" s="162" t="s">
        <v>2185</v>
      </c>
      <c r="S278" s="162" t="s">
        <v>3106</v>
      </c>
      <c r="T278" s="162">
        <v>1.33</v>
      </c>
      <c r="U278" s="162" t="s">
        <v>2151</v>
      </c>
      <c r="V278" s="162" t="s">
        <v>3107</v>
      </c>
      <c r="W278" s="162">
        <v>176483</v>
      </c>
      <c r="X278" s="162" t="s">
        <v>2122</v>
      </c>
      <c r="Y278" s="162" t="s">
        <v>109</v>
      </c>
      <c r="Z278" s="162" t="s">
        <v>109</v>
      </c>
      <c r="AA278" s="162" t="s">
        <v>109</v>
      </c>
      <c r="AB278" s="162" t="s">
        <v>34</v>
      </c>
      <c r="AC278" s="162" t="s">
        <v>2123</v>
      </c>
      <c r="AD278" s="162" t="s">
        <v>2124</v>
      </c>
      <c r="AE278" s="162" t="s">
        <v>1758</v>
      </c>
      <c r="AF278" s="162">
        <v>13</v>
      </c>
      <c r="AG278" s="162">
        <v>0.17</v>
      </c>
      <c r="AH278" s="162">
        <v>0.2</v>
      </c>
      <c r="AI278" s="162" t="s">
        <v>3911</v>
      </c>
      <c r="AJ278" s="162" t="s">
        <v>34</v>
      </c>
      <c r="AK278" s="162" t="s">
        <v>2125</v>
      </c>
      <c r="AL278" s="162" t="s">
        <v>3725</v>
      </c>
      <c r="AM278" t="s">
        <v>4803</v>
      </c>
      <c r="AN278" s="478">
        <v>0</v>
      </c>
      <c r="AO278" s="478">
        <v>0</v>
      </c>
    </row>
    <row r="279" spans="1:41" x14ac:dyDescent="0.2">
      <c r="A279">
        <v>278</v>
      </c>
      <c r="B279" s="462" t="s">
        <v>3013</v>
      </c>
      <c r="C279" s="162" t="s">
        <v>1326</v>
      </c>
      <c r="D279" s="162" t="s">
        <v>4145</v>
      </c>
      <c r="E279" s="162" t="s">
        <v>2063</v>
      </c>
      <c r="F279" s="162" t="s">
        <v>2032</v>
      </c>
      <c r="G279" s="162" t="s">
        <v>34</v>
      </c>
      <c r="H279" s="162" t="s">
        <v>2128</v>
      </c>
      <c r="I279" s="162" t="s">
        <v>5651</v>
      </c>
      <c r="J279" s="162" t="s">
        <v>2740</v>
      </c>
      <c r="K279" s="162" t="s">
        <v>1326</v>
      </c>
      <c r="L279" s="162" t="s">
        <v>3108</v>
      </c>
      <c r="M279" s="540" t="s">
        <v>3109</v>
      </c>
      <c r="N279" s="162" t="s">
        <v>1326</v>
      </c>
      <c r="O279" s="162" t="s">
        <v>904</v>
      </c>
      <c r="P279" s="162" t="s">
        <v>2743</v>
      </c>
      <c r="Q279" s="162" t="s">
        <v>2204</v>
      </c>
      <c r="R279" s="162" t="s">
        <v>2222</v>
      </c>
      <c r="S279" s="162" t="s">
        <v>3110</v>
      </c>
      <c r="T279" s="162">
        <v>2.2999999999999998</v>
      </c>
      <c r="U279" s="162" t="s">
        <v>2151</v>
      </c>
      <c r="V279" s="162" t="s">
        <v>3111</v>
      </c>
      <c r="W279" s="162" t="s">
        <v>3112</v>
      </c>
      <c r="X279" s="162" t="s">
        <v>3113</v>
      </c>
      <c r="Y279" s="162" t="s">
        <v>109</v>
      </c>
      <c r="Z279" s="162" t="s">
        <v>109</v>
      </c>
      <c r="AA279" s="162" t="s">
        <v>109</v>
      </c>
      <c r="AB279" s="162" t="s">
        <v>3114</v>
      </c>
      <c r="AC279" s="162" t="s">
        <v>2123</v>
      </c>
      <c r="AD279" s="162" t="s">
        <v>2124</v>
      </c>
      <c r="AE279" s="162" t="s">
        <v>1758</v>
      </c>
      <c r="AF279" s="162" t="s">
        <v>3347</v>
      </c>
      <c r="AG279" s="162" t="s">
        <v>34</v>
      </c>
      <c r="AH279" s="162" t="s">
        <v>34</v>
      </c>
      <c r="AI279" s="162" t="s">
        <v>34</v>
      </c>
      <c r="AJ279" s="162" t="s">
        <v>34</v>
      </c>
      <c r="AK279" s="162" t="s">
        <v>2125</v>
      </c>
      <c r="AL279" s="162" t="s">
        <v>3725</v>
      </c>
      <c r="AM279" t="s">
        <v>4803</v>
      </c>
      <c r="AN279" s="478">
        <v>0</v>
      </c>
      <c r="AO279" s="478">
        <v>0</v>
      </c>
    </row>
    <row r="280" spans="1:41" x14ac:dyDescent="0.2">
      <c r="A280">
        <v>279</v>
      </c>
      <c r="B280" s="462" t="s">
        <v>3013</v>
      </c>
      <c r="C280" s="162" t="s">
        <v>5047</v>
      </c>
      <c r="D280" s="162" t="s">
        <v>5048</v>
      </c>
      <c r="E280" s="162" t="s">
        <v>2063</v>
      </c>
      <c r="F280" s="162" t="s">
        <v>2032</v>
      </c>
      <c r="G280" s="162" t="s">
        <v>34</v>
      </c>
      <c r="H280" s="162" t="s">
        <v>2128</v>
      </c>
      <c r="I280" s="162" t="s">
        <v>5660</v>
      </c>
      <c r="J280" s="162" t="s">
        <v>2396</v>
      </c>
      <c r="K280" s="162" t="s">
        <v>3075</v>
      </c>
      <c r="L280" s="162" t="s">
        <v>3076</v>
      </c>
      <c r="M280" s="540" t="s">
        <v>3077</v>
      </c>
      <c r="N280" s="162" t="s">
        <v>5047</v>
      </c>
      <c r="O280" s="162" t="s">
        <v>904</v>
      </c>
      <c r="P280" s="162" t="s">
        <v>2371</v>
      </c>
      <c r="Q280" s="162" t="s">
        <v>2371</v>
      </c>
      <c r="R280" s="162" t="s">
        <v>2185</v>
      </c>
      <c r="S280" s="162" t="s">
        <v>3078</v>
      </c>
      <c r="T280" s="162">
        <v>7875</v>
      </c>
      <c r="U280" s="162" t="s">
        <v>1947</v>
      </c>
      <c r="V280" s="162" t="s">
        <v>3079</v>
      </c>
      <c r="W280" s="162" t="s">
        <v>3080</v>
      </c>
      <c r="X280" s="162" t="s">
        <v>2201</v>
      </c>
      <c r="Y280" s="162" t="s">
        <v>3081</v>
      </c>
      <c r="Z280" s="162" t="s">
        <v>3082</v>
      </c>
      <c r="AA280" s="162" t="s">
        <v>2201</v>
      </c>
      <c r="AB280" s="162" t="s">
        <v>3083</v>
      </c>
      <c r="AC280" s="162" t="s">
        <v>2123</v>
      </c>
      <c r="AD280" s="162" t="s">
        <v>2124</v>
      </c>
      <c r="AE280" s="162" t="s">
        <v>1758</v>
      </c>
      <c r="AF280" s="162" t="s">
        <v>34</v>
      </c>
      <c r="AG280" s="162" t="s">
        <v>34</v>
      </c>
      <c r="AH280" s="162" t="s">
        <v>34</v>
      </c>
      <c r="AI280" s="162" t="s">
        <v>34</v>
      </c>
      <c r="AJ280" s="162" t="s">
        <v>34</v>
      </c>
      <c r="AK280" s="162" t="s">
        <v>2125</v>
      </c>
      <c r="AL280" s="162" t="s">
        <v>3725</v>
      </c>
      <c r="AM280" t="s">
        <v>4820</v>
      </c>
      <c r="AN280" s="478"/>
      <c r="AO280" s="478"/>
    </row>
    <row r="281" spans="1:41" x14ac:dyDescent="0.2">
      <c r="A281">
        <v>280</v>
      </c>
      <c r="B281" s="462" t="s">
        <v>3013</v>
      </c>
      <c r="C281" s="162" t="s">
        <v>5170</v>
      </c>
      <c r="D281" s="162" t="s">
        <v>5171</v>
      </c>
      <c r="E281" s="162" t="s">
        <v>2063</v>
      </c>
      <c r="F281" s="162" t="s">
        <v>2032</v>
      </c>
      <c r="G281" s="162" t="s">
        <v>34</v>
      </c>
      <c r="H281" s="162" t="s">
        <v>2128</v>
      </c>
      <c r="I281" s="162" t="s">
        <v>5660</v>
      </c>
      <c r="J281" s="162" t="s">
        <v>2396</v>
      </c>
      <c r="K281" s="162" t="s">
        <v>3014</v>
      </c>
      <c r="L281" s="162" t="s">
        <v>3036</v>
      </c>
      <c r="M281" s="540">
        <v>1</v>
      </c>
      <c r="N281" s="162" t="s">
        <v>5033</v>
      </c>
      <c r="O281" s="162" t="s">
        <v>3051</v>
      </c>
      <c r="P281" s="162" t="s">
        <v>4589</v>
      </c>
      <c r="Q281" s="162" t="s">
        <v>2204</v>
      </c>
      <c r="R281" s="162" t="s">
        <v>2121</v>
      </c>
      <c r="S281" s="162" t="s">
        <v>5117</v>
      </c>
      <c r="T281" s="162">
        <v>13.9</v>
      </c>
      <c r="U281" s="162" t="s">
        <v>1947</v>
      </c>
      <c r="V281" s="162" t="s">
        <v>2341</v>
      </c>
      <c r="W281" s="162" t="s">
        <v>4335</v>
      </c>
      <c r="X281" s="162" t="s">
        <v>4864</v>
      </c>
      <c r="Y281" s="162" t="s">
        <v>2319</v>
      </c>
      <c r="Z281" s="162" t="s">
        <v>3015</v>
      </c>
      <c r="AA281" s="162" t="s">
        <v>4864</v>
      </c>
      <c r="AB281" s="162" t="s">
        <v>34</v>
      </c>
      <c r="AC281" s="162" t="s">
        <v>2123</v>
      </c>
      <c r="AD281" s="162" t="s">
        <v>2124</v>
      </c>
      <c r="AE281" s="162" t="s">
        <v>1758</v>
      </c>
      <c r="AF281" s="162">
        <v>3</v>
      </c>
      <c r="AG281" s="162">
        <v>1</v>
      </c>
      <c r="AH281" s="162">
        <v>1</v>
      </c>
      <c r="AI281" s="162" t="s">
        <v>34</v>
      </c>
      <c r="AJ281" s="162" t="s">
        <v>34</v>
      </c>
      <c r="AK281" s="162" t="s">
        <v>2125</v>
      </c>
      <c r="AL281" s="162" t="s">
        <v>3725</v>
      </c>
      <c r="AM281" t="s">
        <v>4975</v>
      </c>
      <c r="AN281" s="478"/>
      <c r="AO281" s="478"/>
    </row>
    <row r="282" spans="1:41" x14ac:dyDescent="0.2">
      <c r="A282">
        <v>281</v>
      </c>
      <c r="B282" s="462" t="s">
        <v>3013</v>
      </c>
      <c r="C282" s="162" t="s">
        <v>5033</v>
      </c>
      <c r="D282" s="162" t="s">
        <v>5034</v>
      </c>
      <c r="E282" s="162" t="s">
        <v>2063</v>
      </c>
      <c r="F282" s="162" t="s">
        <v>2032</v>
      </c>
      <c r="G282" s="162" t="s">
        <v>34</v>
      </c>
      <c r="H282" s="162" t="s">
        <v>2128</v>
      </c>
      <c r="I282" s="162" t="s">
        <v>5660</v>
      </c>
      <c r="J282" s="162" t="s">
        <v>2396</v>
      </c>
      <c r="K282" s="162" t="s">
        <v>3014</v>
      </c>
      <c r="L282" s="162" t="s">
        <v>3036</v>
      </c>
      <c r="M282" s="540">
        <v>1</v>
      </c>
      <c r="N282" s="162" t="s">
        <v>5033</v>
      </c>
      <c r="O282" s="162" t="s">
        <v>5682</v>
      </c>
      <c r="P282" s="162" t="s">
        <v>4589</v>
      </c>
      <c r="Q282" s="162" t="s">
        <v>4897</v>
      </c>
      <c r="R282" s="162" t="s">
        <v>2121</v>
      </c>
      <c r="S282" s="162" t="s">
        <v>5117</v>
      </c>
      <c r="T282" s="162">
        <v>13.9</v>
      </c>
      <c r="U282" s="162" t="s">
        <v>2150</v>
      </c>
      <c r="V282" s="162" t="s">
        <v>2341</v>
      </c>
      <c r="W282" s="162" t="s">
        <v>4335</v>
      </c>
      <c r="X282" s="162" t="s">
        <v>4864</v>
      </c>
      <c r="Y282" s="162" t="s">
        <v>2319</v>
      </c>
      <c r="Z282" s="162" t="s">
        <v>3015</v>
      </c>
      <c r="AA282" s="162" t="s">
        <v>4864</v>
      </c>
      <c r="AB282" s="162" t="s">
        <v>34</v>
      </c>
      <c r="AC282" s="162" t="s">
        <v>2123</v>
      </c>
      <c r="AD282" s="162" t="s">
        <v>2124</v>
      </c>
      <c r="AE282" s="162" t="s">
        <v>1758</v>
      </c>
      <c r="AF282" s="162">
        <v>3</v>
      </c>
      <c r="AG282" s="162">
        <v>1</v>
      </c>
      <c r="AH282" s="162">
        <v>1</v>
      </c>
      <c r="AI282" s="162" t="s">
        <v>34</v>
      </c>
      <c r="AJ282" s="162" t="s">
        <v>34</v>
      </c>
      <c r="AK282" s="162" t="s">
        <v>2125</v>
      </c>
      <c r="AL282" s="162" t="s">
        <v>3725</v>
      </c>
      <c r="AM282" t="s">
        <v>4804</v>
      </c>
      <c r="AN282" s="478"/>
      <c r="AO282" s="478"/>
    </row>
    <row r="283" spans="1:41" x14ac:dyDescent="0.2">
      <c r="A283">
        <v>282</v>
      </c>
      <c r="B283" s="462" t="s">
        <v>3013</v>
      </c>
      <c r="C283" s="162" t="s">
        <v>835</v>
      </c>
      <c r="D283" s="162" t="s">
        <v>4146</v>
      </c>
      <c r="E283" s="162" t="s">
        <v>2063</v>
      </c>
      <c r="F283" s="162" t="s">
        <v>2032</v>
      </c>
      <c r="G283" s="162" t="s">
        <v>34</v>
      </c>
      <c r="H283" s="162" t="s">
        <v>2128</v>
      </c>
      <c r="I283" s="162" t="s">
        <v>5651</v>
      </c>
      <c r="J283" s="162" t="s">
        <v>2396</v>
      </c>
      <c r="K283" s="162" t="s">
        <v>3014</v>
      </c>
      <c r="L283" s="162" t="s">
        <v>2119</v>
      </c>
      <c r="M283" s="540">
        <v>2</v>
      </c>
      <c r="N283" s="162" t="s">
        <v>835</v>
      </c>
      <c r="O283" s="162" t="s">
        <v>5682</v>
      </c>
      <c r="P283" s="162" t="s">
        <v>3070</v>
      </c>
      <c r="Q283" s="162" t="s">
        <v>4863</v>
      </c>
      <c r="R283" s="162" t="s">
        <v>2295</v>
      </c>
      <c r="S283" s="162" t="s">
        <v>3038</v>
      </c>
      <c r="T283" s="162">
        <v>400</v>
      </c>
      <c r="U283" s="162" t="s">
        <v>2150</v>
      </c>
      <c r="V283" s="162" t="s">
        <v>2206</v>
      </c>
      <c r="W283" s="162" t="s">
        <v>3039</v>
      </c>
      <c r="X283" s="162" t="s">
        <v>4864</v>
      </c>
      <c r="Y283" s="162" t="s">
        <v>2319</v>
      </c>
      <c r="Z283" s="162" t="s">
        <v>3015</v>
      </c>
      <c r="AA283" s="162" t="s">
        <v>4864</v>
      </c>
      <c r="AB283" s="162" t="s">
        <v>34</v>
      </c>
      <c r="AC283" s="162" t="s">
        <v>2123</v>
      </c>
      <c r="AD283" s="162" t="s">
        <v>2124</v>
      </c>
      <c r="AE283" s="162" t="s">
        <v>1758</v>
      </c>
      <c r="AF283" s="162">
        <v>1.5</v>
      </c>
      <c r="AG283" s="162">
        <v>3</v>
      </c>
      <c r="AH283" s="162">
        <v>1</v>
      </c>
      <c r="AI283" s="162" t="s">
        <v>3934</v>
      </c>
      <c r="AJ283" s="162" t="s">
        <v>34</v>
      </c>
      <c r="AK283" s="162" t="s">
        <v>2125</v>
      </c>
      <c r="AL283" s="162" t="s">
        <v>3725</v>
      </c>
      <c r="AM283" t="s">
        <v>4803</v>
      </c>
      <c r="AN283" s="478">
        <v>0</v>
      </c>
      <c r="AO283" s="478">
        <v>0</v>
      </c>
    </row>
    <row r="284" spans="1:41" x14ac:dyDescent="0.2">
      <c r="A284">
        <v>283</v>
      </c>
      <c r="B284" s="462" t="s">
        <v>3013</v>
      </c>
      <c r="C284" s="162" t="s">
        <v>837</v>
      </c>
      <c r="D284" s="162" t="s">
        <v>4147</v>
      </c>
      <c r="E284" s="162" t="s">
        <v>2063</v>
      </c>
      <c r="F284" s="162" t="s">
        <v>2032</v>
      </c>
      <c r="G284" s="162" t="s">
        <v>34</v>
      </c>
      <c r="H284" s="162" t="s">
        <v>2128</v>
      </c>
      <c r="I284" s="162" t="s">
        <v>5651</v>
      </c>
      <c r="J284" s="162" t="s">
        <v>2396</v>
      </c>
      <c r="K284" s="162" t="s">
        <v>3014</v>
      </c>
      <c r="L284" s="162" t="s">
        <v>2412</v>
      </c>
      <c r="M284" s="540">
        <v>9321</v>
      </c>
      <c r="N284" s="162" t="s">
        <v>837</v>
      </c>
      <c r="O284" s="162" t="s">
        <v>5682</v>
      </c>
      <c r="P284" s="162" t="s">
        <v>3024</v>
      </c>
      <c r="Q284" s="162" t="s">
        <v>4863</v>
      </c>
      <c r="R284" s="162" t="s">
        <v>2295</v>
      </c>
      <c r="S284" s="162" t="s">
        <v>5118</v>
      </c>
      <c r="T284" s="162">
        <v>640</v>
      </c>
      <c r="U284" s="162" t="s">
        <v>2150</v>
      </c>
      <c r="V284" s="162" t="s">
        <v>2206</v>
      </c>
      <c r="W284" s="162" t="s">
        <v>3025</v>
      </c>
      <c r="X284" s="162" t="s">
        <v>4864</v>
      </c>
      <c r="Y284" s="162" t="s">
        <v>2319</v>
      </c>
      <c r="Z284" s="162" t="s">
        <v>3015</v>
      </c>
      <c r="AA284" s="162" t="s">
        <v>4864</v>
      </c>
      <c r="AB284" s="162" t="s">
        <v>34</v>
      </c>
      <c r="AC284" s="162" t="s">
        <v>2123</v>
      </c>
      <c r="AD284" s="162" t="s">
        <v>2124</v>
      </c>
      <c r="AE284" s="162" t="s">
        <v>1758</v>
      </c>
      <c r="AF284" s="162">
        <v>5.9</v>
      </c>
      <c r="AG284" s="162">
        <v>60</v>
      </c>
      <c r="AH284" s="162">
        <v>2</v>
      </c>
      <c r="AI284" s="162" t="s">
        <v>34</v>
      </c>
      <c r="AJ284" s="162" t="s">
        <v>34</v>
      </c>
      <c r="AK284" s="162" t="s">
        <v>2125</v>
      </c>
      <c r="AL284" s="162" t="s">
        <v>3725</v>
      </c>
      <c r="AM284" t="s">
        <v>4803</v>
      </c>
      <c r="AN284" s="478">
        <v>0</v>
      </c>
      <c r="AO284" s="478">
        <v>0</v>
      </c>
    </row>
    <row r="285" spans="1:41" x14ac:dyDescent="0.2">
      <c r="A285">
        <v>284</v>
      </c>
      <c r="B285" s="462" t="s">
        <v>3013</v>
      </c>
      <c r="C285" s="162" t="s">
        <v>1909</v>
      </c>
      <c r="D285" s="162" t="s">
        <v>4148</v>
      </c>
      <c r="E285" s="162" t="s">
        <v>2063</v>
      </c>
      <c r="F285" s="162" t="s">
        <v>2032</v>
      </c>
      <c r="G285" s="162" t="s">
        <v>34</v>
      </c>
      <c r="H285" s="162" t="s">
        <v>2128</v>
      </c>
      <c r="I285" s="162" t="s">
        <v>5660</v>
      </c>
      <c r="J285" s="162" t="s">
        <v>2396</v>
      </c>
      <c r="K285" s="162" t="s">
        <v>3058</v>
      </c>
      <c r="L285" s="162" t="s">
        <v>2119</v>
      </c>
      <c r="M285" s="540">
        <v>4</v>
      </c>
      <c r="N285" s="162" t="s">
        <v>1909</v>
      </c>
      <c r="O285" s="162" t="s">
        <v>3051</v>
      </c>
      <c r="P285" s="162" t="s">
        <v>2911</v>
      </c>
      <c r="Q285" s="162" t="s">
        <v>2204</v>
      </c>
      <c r="R285" s="162" t="s">
        <v>2295</v>
      </c>
      <c r="S285" s="162" t="s">
        <v>3059</v>
      </c>
      <c r="T285" s="162">
        <v>600</v>
      </c>
      <c r="U285" s="162" t="s">
        <v>1947</v>
      </c>
      <c r="V285" s="162" t="s">
        <v>2206</v>
      </c>
      <c r="W285" s="162" t="s">
        <v>3060</v>
      </c>
      <c r="X285" s="162" t="s">
        <v>2122</v>
      </c>
      <c r="Y285" s="162" t="s">
        <v>2319</v>
      </c>
      <c r="Z285" s="162" t="s">
        <v>3061</v>
      </c>
      <c r="AA285" s="162" t="s">
        <v>2122</v>
      </c>
      <c r="AB285" s="162" t="s">
        <v>34</v>
      </c>
      <c r="AC285" s="162" t="s">
        <v>2123</v>
      </c>
      <c r="AD285" s="162" t="s">
        <v>2124</v>
      </c>
      <c r="AE285" s="162" t="s">
        <v>1758</v>
      </c>
      <c r="AF285" s="162">
        <v>4</v>
      </c>
      <c r="AG285" s="162">
        <v>0</v>
      </c>
      <c r="AH285" s="162">
        <v>0</v>
      </c>
      <c r="AI285" s="162" t="s">
        <v>3935</v>
      </c>
      <c r="AJ285" s="162" t="s">
        <v>3894</v>
      </c>
      <c r="AK285" s="162" t="s">
        <v>2125</v>
      </c>
      <c r="AL285" s="162" t="s">
        <v>3725</v>
      </c>
      <c r="AM285" t="s">
        <v>4803</v>
      </c>
      <c r="AN285" s="478">
        <v>0</v>
      </c>
      <c r="AO285" s="478">
        <v>0</v>
      </c>
    </row>
    <row r="286" spans="1:41" x14ac:dyDescent="0.2">
      <c r="A286">
        <v>285</v>
      </c>
      <c r="B286" s="462" t="s">
        <v>3013</v>
      </c>
      <c r="C286" s="162" t="s">
        <v>825</v>
      </c>
      <c r="D286" s="162" t="s">
        <v>4149</v>
      </c>
      <c r="E286" s="162" t="s">
        <v>2063</v>
      </c>
      <c r="F286" s="162" t="s">
        <v>2032</v>
      </c>
      <c r="G286" s="162" t="s">
        <v>34</v>
      </c>
      <c r="H286" s="162" t="s">
        <v>2128</v>
      </c>
      <c r="I286" s="162" t="s">
        <v>5651</v>
      </c>
      <c r="J286" s="162" t="s">
        <v>2396</v>
      </c>
      <c r="K286" s="162" t="s">
        <v>3014</v>
      </c>
      <c r="L286" s="162" t="s">
        <v>2119</v>
      </c>
      <c r="M286" s="540">
        <v>4</v>
      </c>
      <c r="N286" s="162" t="s">
        <v>825</v>
      </c>
      <c r="O286" s="162" t="s">
        <v>5682</v>
      </c>
      <c r="P286" s="162" t="s">
        <v>3115</v>
      </c>
      <c r="Q286" s="162" t="s">
        <v>4863</v>
      </c>
      <c r="R286" s="162" t="s">
        <v>2295</v>
      </c>
      <c r="S286" s="162" t="s">
        <v>3059</v>
      </c>
      <c r="T286" s="162">
        <v>600</v>
      </c>
      <c r="U286" s="162" t="s">
        <v>2150</v>
      </c>
      <c r="V286" s="162" t="s">
        <v>2206</v>
      </c>
      <c r="W286" s="162" t="s">
        <v>3060</v>
      </c>
      <c r="X286" s="162" t="s">
        <v>4864</v>
      </c>
      <c r="Y286" s="162" t="s">
        <v>2319</v>
      </c>
      <c r="Z286" s="162" t="s">
        <v>3061</v>
      </c>
      <c r="AA286" s="162" t="s">
        <v>4864</v>
      </c>
      <c r="AB286" s="162" t="s">
        <v>34</v>
      </c>
      <c r="AC286" s="162" t="s">
        <v>2123</v>
      </c>
      <c r="AD286" s="162" t="s">
        <v>2124</v>
      </c>
      <c r="AE286" s="162" t="s">
        <v>1758</v>
      </c>
      <c r="AF286" s="162">
        <v>4</v>
      </c>
      <c r="AG286" s="162">
        <v>0</v>
      </c>
      <c r="AH286" s="162">
        <v>0</v>
      </c>
      <c r="AI286" s="162" t="s">
        <v>3935</v>
      </c>
      <c r="AJ286" s="162" t="s">
        <v>3894</v>
      </c>
      <c r="AK286" s="162" t="s">
        <v>2125</v>
      </c>
      <c r="AL286" s="162" t="s">
        <v>3725</v>
      </c>
      <c r="AM286" t="s">
        <v>4803</v>
      </c>
      <c r="AN286" s="478">
        <v>0</v>
      </c>
      <c r="AO286" s="478">
        <v>0</v>
      </c>
    </row>
    <row r="287" spans="1:41" x14ac:dyDescent="0.2">
      <c r="A287">
        <v>286</v>
      </c>
      <c r="B287" s="462" t="s">
        <v>3013</v>
      </c>
      <c r="C287" s="162" t="s">
        <v>829</v>
      </c>
      <c r="D287" s="162" t="s">
        <v>4150</v>
      </c>
      <c r="E287" s="162" t="s">
        <v>2063</v>
      </c>
      <c r="F287" s="162" t="s">
        <v>2032</v>
      </c>
      <c r="G287" s="162" t="s">
        <v>34</v>
      </c>
      <c r="H287" s="162" t="s">
        <v>2128</v>
      </c>
      <c r="I287" s="162" t="s">
        <v>5651</v>
      </c>
      <c r="J287" s="162" t="s">
        <v>2396</v>
      </c>
      <c r="K287" s="162" t="s">
        <v>4553</v>
      </c>
      <c r="L287" s="162" t="s">
        <v>5750</v>
      </c>
      <c r="M287" s="540">
        <v>5</v>
      </c>
      <c r="N287" s="162" t="s">
        <v>829</v>
      </c>
      <c r="O287" s="162" t="s">
        <v>904</v>
      </c>
      <c r="P287" s="162" t="s">
        <v>5751</v>
      </c>
      <c r="Q287" s="162" t="s">
        <v>4863</v>
      </c>
      <c r="R287" s="162" t="s">
        <v>2295</v>
      </c>
      <c r="S287" s="162" t="s">
        <v>5752</v>
      </c>
      <c r="T287" s="162">
        <v>75</v>
      </c>
      <c r="U287" s="162" t="s">
        <v>1947</v>
      </c>
      <c r="V287" s="162" t="s">
        <v>2908</v>
      </c>
      <c r="W287" s="162" t="s">
        <v>5753</v>
      </c>
      <c r="X287" s="162" t="s">
        <v>4864</v>
      </c>
      <c r="Y287" s="162" t="s">
        <v>109</v>
      </c>
      <c r="Z287" s="162" t="s">
        <v>109</v>
      </c>
      <c r="AA287" s="162" t="s">
        <v>109</v>
      </c>
      <c r="AB287" s="162" t="s">
        <v>34</v>
      </c>
      <c r="AC287" s="162" t="s">
        <v>2123</v>
      </c>
      <c r="AD287" s="162" t="s">
        <v>2124</v>
      </c>
      <c r="AE287" s="162" t="s">
        <v>1758</v>
      </c>
      <c r="AF287" s="162" t="s">
        <v>3347</v>
      </c>
      <c r="AG287" s="162" t="s">
        <v>34</v>
      </c>
      <c r="AH287" s="162" t="s">
        <v>34</v>
      </c>
      <c r="AI287" s="162" t="s">
        <v>34</v>
      </c>
      <c r="AJ287" s="162" t="s">
        <v>34</v>
      </c>
      <c r="AK287" s="162" t="s">
        <v>2125</v>
      </c>
      <c r="AL287" s="162" t="s">
        <v>3725</v>
      </c>
      <c r="AM287" t="s">
        <v>4803</v>
      </c>
      <c r="AN287" s="478">
        <v>0</v>
      </c>
      <c r="AO287" s="478">
        <v>0</v>
      </c>
    </row>
    <row r="288" spans="1:41" x14ac:dyDescent="0.2">
      <c r="A288">
        <v>287</v>
      </c>
      <c r="B288" s="462" t="s">
        <v>3013</v>
      </c>
      <c r="C288" s="162" t="s">
        <v>823</v>
      </c>
      <c r="D288" s="162" t="s">
        <v>4151</v>
      </c>
      <c r="E288" s="162" t="s">
        <v>2063</v>
      </c>
      <c r="F288" s="162" t="s">
        <v>2032</v>
      </c>
      <c r="G288" s="162" t="s">
        <v>34</v>
      </c>
      <c r="H288" s="162" t="s">
        <v>2128</v>
      </c>
      <c r="I288" s="162" t="s">
        <v>5651</v>
      </c>
      <c r="J288" s="162" t="s">
        <v>2396</v>
      </c>
      <c r="K288" s="162" t="s">
        <v>3058</v>
      </c>
      <c r="L288" s="162" t="s">
        <v>2544</v>
      </c>
      <c r="M288" s="540">
        <v>78700</v>
      </c>
      <c r="N288" s="162" t="s">
        <v>823</v>
      </c>
      <c r="O288" s="162" t="s">
        <v>5682</v>
      </c>
      <c r="P288" s="162" t="s">
        <v>3062</v>
      </c>
      <c r="Q288" s="162" t="s">
        <v>4863</v>
      </c>
      <c r="R288" s="162" t="s">
        <v>2286</v>
      </c>
      <c r="S288" s="162" t="s">
        <v>3063</v>
      </c>
      <c r="T288" s="162">
        <v>180</v>
      </c>
      <c r="U288" s="162" t="s">
        <v>2150</v>
      </c>
      <c r="V288" s="162" t="s">
        <v>2206</v>
      </c>
      <c r="W288" s="162" t="s">
        <v>3064</v>
      </c>
      <c r="X288" s="162" t="s">
        <v>4864</v>
      </c>
      <c r="Y288" s="162" t="s">
        <v>2319</v>
      </c>
      <c r="Z288" s="162" t="s">
        <v>3015</v>
      </c>
      <c r="AA288" s="162" t="s">
        <v>4864</v>
      </c>
      <c r="AB288" s="162" t="s">
        <v>34</v>
      </c>
      <c r="AC288" s="162" t="s">
        <v>2123</v>
      </c>
      <c r="AD288" s="162" t="s">
        <v>2124</v>
      </c>
      <c r="AE288" s="162" t="s">
        <v>1758</v>
      </c>
      <c r="AF288" s="162">
        <v>42.6</v>
      </c>
      <c r="AG288" s="162">
        <v>68</v>
      </c>
      <c r="AH288" s="162" t="s">
        <v>3863</v>
      </c>
      <c r="AI288" s="162" t="s">
        <v>34</v>
      </c>
      <c r="AJ288" s="162" t="s">
        <v>34</v>
      </c>
      <c r="AK288" s="162" t="s">
        <v>2125</v>
      </c>
      <c r="AL288" s="162" t="s">
        <v>3725</v>
      </c>
      <c r="AM288" t="s">
        <v>4803</v>
      </c>
      <c r="AN288" s="478">
        <v>0</v>
      </c>
      <c r="AO288" s="478">
        <v>0</v>
      </c>
    </row>
    <row r="289" spans="1:41" x14ac:dyDescent="0.2">
      <c r="A289">
        <v>288</v>
      </c>
      <c r="B289" s="462" t="s">
        <v>3013</v>
      </c>
      <c r="C289" s="162" t="s">
        <v>4668</v>
      </c>
      <c r="D289" s="162" t="s">
        <v>4669</v>
      </c>
      <c r="E289" s="162" t="s">
        <v>2063</v>
      </c>
      <c r="F289" s="162" t="s">
        <v>2032</v>
      </c>
      <c r="G289" s="162" t="s">
        <v>34</v>
      </c>
      <c r="H289" s="162" t="s">
        <v>2128</v>
      </c>
      <c r="I289" s="162" t="s">
        <v>5651</v>
      </c>
      <c r="J289" s="162" t="s">
        <v>2396</v>
      </c>
      <c r="K289" s="162" t="s">
        <v>2292</v>
      </c>
      <c r="L289" s="162" t="s">
        <v>4670</v>
      </c>
      <c r="M289" s="540" t="s">
        <v>4671</v>
      </c>
      <c r="N289" s="162" t="s">
        <v>4672</v>
      </c>
      <c r="O289" s="162" t="s">
        <v>3051</v>
      </c>
      <c r="P289" s="162" t="s">
        <v>3486</v>
      </c>
      <c r="Q289" s="162" t="s">
        <v>2204</v>
      </c>
      <c r="R289" s="162" t="s">
        <v>4673</v>
      </c>
      <c r="S289" s="162" t="s">
        <v>4674</v>
      </c>
      <c r="T289" s="162">
        <v>141.6</v>
      </c>
      <c r="U289" s="162" t="s">
        <v>1947</v>
      </c>
      <c r="V289" s="162" t="s">
        <v>2206</v>
      </c>
      <c r="W289" s="162" t="s">
        <v>4675</v>
      </c>
      <c r="X289" s="162" t="s">
        <v>2122</v>
      </c>
      <c r="Y289" s="162" t="s">
        <v>2319</v>
      </c>
      <c r="Z289" s="162" t="s">
        <v>3015</v>
      </c>
      <c r="AA289" s="162" t="s">
        <v>2122</v>
      </c>
      <c r="AB289" s="162" t="s">
        <v>34</v>
      </c>
      <c r="AC289" s="162" t="s">
        <v>2123</v>
      </c>
      <c r="AD289" s="162" t="s">
        <v>2124</v>
      </c>
      <c r="AE289" s="162" t="s">
        <v>1758</v>
      </c>
      <c r="AF289" s="162">
        <v>15.6</v>
      </c>
      <c r="AG289" s="162">
        <v>250</v>
      </c>
      <c r="AH289" s="162">
        <v>40</v>
      </c>
      <c r="AI289" s="162" t="s">
        <v>34</v>
      </c>
      <c r="AJ289" s="162" t="s">
        <v>34</v>
      </c>
      <c r="AK289" s="162" t="s">
        <v>2125</v>
      </c>
      <c r="AL289" s="162" t="s">
        <v>3725</v>
      </c>
      <c r="AM289" t="s">
        <v>4821</v>
      </c>
      <c r="AN289" s="478">
        <v>0</v>
      </c>
      <c r="AO289" s="478">
        <v>0</v>
      </c>
    </row>
    <row r="290" spans="1:41" x14ac:dyDescent="0.2">
      <c r="A290">
        <v>289</v>
      </c>
      <c r="B290" s="462" t="s">
        <v>3013</v>
      </c>
      <c r="C290" s="162" t="s">
        <v>819</v>
      </c>
      <c r="D290" s="162" t="s">
        <v>4152</v>
      </c>
      <c r="E290" s="162" t="s">
        <v>2063</v>
      </c>
      <c r="F290" s="162" t="s">
        <v>2032</v>
      </c>
      <c r="G290" s="162" t="s">
        <v>34</v>
      </c>
      <c r="H290" s="162" t="s">
        <v>2128</v>
      </c>
      <c r="I290" s="162" t="s">
        <v>5651</v>
      </c>
      <c r="J290" s="162" t="s">
        <v>2740</v>
      </c>
      <c r="K290" s="162" t="s">
        <v>3058</v>
      </c>
      <c r="L290" s="162" t="s">
        <v>109</v>
      </c>
      <c r="M290" s="540">
        <v>7</v>
      </c>
      <c r="N290" s="162" t="s">
        <v>819</v>
      </c>
      <c r="O290" s="162" t="s">
        <v>904</v>
      </c>
      <c r="P290" s="162" t="s">
        <v>2630</v>
      </c>
      <c r="Q290" s="162" t="s">
        <v>2204</v>
      </c>
      <c r="R290" s="162" t="s">
        <v>2286</v>
      </c>
      <c r="S290" s="162" t="s">
        <v>3065</v>
      </c>
      <c r="T290" s="162">
        <v>240</v>
      </c>
      <c r="U290" s="162" t="s">
        <v>2151</v>
      </c>
      <c r="V290" s="162" t="s">
        <v>2408</v>
      </c>
      <c r="W290" s="162">
        <v>431103000</v>
      </c>
      <c r="X290" s="162" t="s">
        <v>2122</v>
      </c>
      <c r="Y290" s="162" t="s">
        <v>109</v>
      </c>
      <c r="Z290" s="162" t="s">
        <v>109</v>
      </c>
      <c r="AA290" s="162" t="s">
        <v>109</v>
      </c>
      <c r="AB290" s="162" t="s">
        <v>34</v>
      </c>
      <c r="AC290" s="162" t="s">
        <v>2123</v>
      </c>
      <c r="AD290" s="162" t="s">
        <v>2124</v>
      </c>
      <c r="AE290" s="162" t="s">
        <v>1758</v>
      </c>
      <c r="AF290" s="162">
        <v>2.5</v>
      </c>
      <c r="AG290" s="162">
        <v>2</v>
      </c>
      <c r="AH290" s="162">
        <v>2</v>
      </c>
      <c r="AI290" s="162" t="s">
        <v>3936</v>
      </c>
      <c r="AJ290" s="162" t="s">
        <v>3937</v>
      </c>
      <c r="AK290" s="162" t="s">
        <v>2125</v>
      </c>
      <c r="AL290" s="162" t="s">
        <v>3725</v>
      </c>
      <c r="AM290" t="s">
        <v>4803</v>
      </c>
      <c r="AN290" s="478">
        <v>0</v>
      </c>
      <c r="AO290" s="478">
        <v>0</v>
      </c>
    </row>
    <row r="291" spans="1:41" x14ac:dyDescent="0.2">
      <c r="A291">
        <v>290</v>
      </c>
      <c r="B291" s="462" t="s">
        <v>3013</v>
      </c>
      <c r="C291" s="162" t="s">
        <v>4457</v>
      </c>
      <c r="D291" s="162" t="s">
        <v>4458</v>
      </c>
      <c r="E291" s="162" t="s">
        <v>2063</v>
      </c>
      <c r="F291" s="162" t="s">
        <v>2032</v>
      </c>
      <c r="G291" s="162" t="s">
        <v>34</v>
      </c>
      <c r="H291" s="162" t="s">
        <v>2128</v>
      </c>
      <c r="I291" s="162" t="s">
        <v>5684</v>
      </c>
      <c r="J291" s="162" t="s">
        <v>2396</v>
      </c>
      <c r="K291" s="162" t="s">
        <v>3058</v>
      </c>
      <c r="L291" s="162" t="s">
        <v>2915</v>
      </c>
      <c r="M291" s="540" t="s">
        <v>4459</v>
      </c>
      <c r="N291" s="162" t="s">
        <v>4457</v>
      </c>
      <c r="O291" s="162" t="s">
        <v>5682</v>
      </c>
      <c r="P291" s="162" t="s">
        <v>3483</v>
      </c>
      <c r="Q291" s="162" t="s">
        <v>4863</v>
      </c>
      <c r="R291" s="162" t="s">
        <v>4460</v>
      </c>
      <c r="S291" s="162" t="s">
        <v>4461</v>
      </c>
      <c r="T291" s="162">
        <v>601</v>
      </c>
      <c r="U291" s="162" t="s">
        <v>2150</v>
      </c>
      <c r="V291" s="162" t="s">
        <v>4462</v>
      </c>
      <c r="W291" s="162" t="s">
        <v>4463</v>
      </c>
      <c r="X291" s="162" t="s">
        <v>4864</v>
      </c>
      <c r="Y291" s="162" t="s">
        <v>4464</v>
      </c>
      <c r="Z291" s="162" t="s">
        <v>2255</v>
      </c>
      <c r="AA291" s="162" t="s">
        <v>4864</v>
      </c>
      <c r="AB291" s="162" t="s">
        <v>34</v>
      </c>
      <c r="AC291" s="162" t="s">
        <v>2123</v>
      </c>
      <c r="AD291" s="162" t="s">
        <v>2124</v>
      </c>
      <c r="AE291" s="162" t="s">
        <v>1758</v>
      </c>
      <c r="AF291" s="162" t="s">
        <v>3347</v>
      </c>
      <c r="AG291" s="162" t="s">
        <v>34</v>
      </c>
      <c r="AH291" s="162" t="s">
        <v>34</v>
      </c>
      <c r="AI291" s="162" t="s">
        <v>34</v>
      </c>
      <c r="AJ291" s="162" t="s">
        <v>34</v>
      </c>
      <c r="AK291" s="162" t="s">
        <v>2125</v>
      </c>
      <c r="AL291" s="162" t="s">
        <v>3725</v>
      </c>
      <c r="AM291" t="s">
        <v>4803</v>
      </c>
      <c r="AN291" s="478">
        <v>0</v>
      </c>
      <c r="AO291" s="478">
        <v>0</v>
      </c>
    </row>
    <row r="292" spans="1:41" x14ac:dyDescent="0.2">
      <c r="A292">
        <v>291</v>
      </c>
      <c r="B292" s="462" t="s">
        <v>3013</v>
      </c>
      <c r="C292" s="162" t="s">
        <v>5158</v>
      </c>
      <c r="D292" s="162" t="s">
        <v>5159</v>
      </c>
      <c r="E292" s="162" t="s">
        <v>2063</v>
      </c>
      <c r="F292" s="162" t="s">
        <v>2032</v>
      </c>
      <c r="G292" s="162" t="s">
        <v>34</v>
      </c>
      <c r="H292" s="162" t="s">
        <v>2128</v>
      </c>
      <c r="I292" s="162" t="s">
        <v>5160</v>
      </c>
      <c r="J292" s="162" t="s">
        <v>2396</v>
      </c>
      <c r="K292" s="162" t="s">
        <v>3058</v>
      </c>
      <c r="L292" s="162" t="s">
        <v>2915</v>
      </c>
      <c r="M292" s="540" t="s">
        <v>4459</v>
      </c>
      <c r="N292" s="162" t="s">
        <v>4457</v>
      </c>
      <c r="O292" s="162" t="s">
        <v>3051</v>
      </c>
      <c r="P292" s="162" t="s">
        <v>3483</v>
      </c>
      <c r="Q292" s="162" t="s">
        <v>4863</v>
      </c>
      <c r="R292" s="162" t="s">
        <v>4460</v>
      </c>
      <c r="S292" s="162" t="s">
        <v>4461</v>
      </c>
      <c r="T292" s="162">
        <v>601</v>
      </c>
      <c r="U292" s="162" t="s">
        <v>1947</v>
      </c>
      <c r="V292" s="162" t="s">
        <v>4462</v>
      </c>
      <c r="W292" s="162" t="s">
        <v>4463</v>
      </c>
      <c r="X292" s="162" t="s">
        <v>4864</v>
      </c>
      <c r="Y292" s="162" t="s">
        <v>4464</v>
      </c>
      <c r="Z292" s="162" t="s">
        <v>2255</v>
      </c>
      <c r="AA292" s="162" t="s">
        <v>4864</v>
      </c>
      <c r="AB292" s="162" t="s">
        <v>34</v>
      </c>
      <c r="AC292" s="162" t="s">
        <v>2123</v>
      </c>
      <c r="AD292" s="162" t="s">
        <v>2124</v>
      </c>
      <c r="AE292" s="162" t="s">
        <v>1758</v>
      </c>
      <c r="AF292" s="162" t="s">
        <v>3347</v>
      </c>
      <c r="AG292" s="162" t="s">
        <v>34</v>
      </c>
      <c r="AH292" s="162" t="s">
        <v>34</v>
      </c>
      <c r="AI292" s="162" t="s">
        <v>34</v>
      </c>
      <c r="AJ292" s="162" t="s">
        <v>34</v>
      </c>
      <c r="AK292" s="162" t="s">
        <v>2125</v>
      </c>
      <c r="AL292" s="162" t="s">
        <v>3725</v>
      </c>
      <c r="AM292" t="s">
        <v>4803</v>
      </c>
      <c r="AN292" s="478"/>
      <c r="AO292" s="478"/>
    </row>
    <row r="293" spans="1:41" x14ac:dyDescent="0.2">
      <c r="A293">
        <v>292</v>
      </c>
      <c r="B293" s="462" t="s">
        <v>3013</v>
      </c>
      <c r="C293" s="162" t="s">
        <v>821</v>
      </c>
      <c r="D293" s="162" t="s">
        <v>4153</v>
      </c>
      <c r="E293" s="162" t="s">
        <v>2063</v>
      </c>
      <c r="F293" s="162" t="s">
        <v>2032</v>
      </c>
      <c r="G293" s="162" t="s">
        <v>34</v>
      </c>
      <c r="H293" s="162" t="s">
        <v>2128</v>
      </c>
      <c r="I293" s="162" t="s">
        <v>5651</v>
      </c>
      <c r="J293" s="162" t="s">
        <v>2740</v>
      </c>
      <c r="K293" s="162" t="s">
        <v>3058</v>
      </c>
      <c r="L293" s="162" t="s">
        <v>2119</v>
      </c>
      <c r="M293" s="540">
        <v>8</v>
      </c>
      <c r="N293" s="162" t="s">
        <v>821</v>
      </c>
      <c r="O293" s="162" t="s">
        <v>904</v>
      </c>
      <c r="P293" s="162" t="s">
        <v>3066</v>
      </c>
      <c r="Q293" s="162" t="s">
        <v>2204</v>
      </c>
      <c r="R293" s="162" t="s">
        <v>2295</v>
      </c>
      <c r="S293" s="162" t="s">
        <v>3065</v>
      </c>
      <c r="T293" s="162">
        <v>240</v>
      </c>
      <c r="U293" s="162" t="s">
        <v>2151</v>
      </c>
      <c r="V293" s="162" t="s">
        <v>3067</v>
      </c>
      <c r="W293" s="162" t="s">
        <v>3068</v>
      </c>
      <c r="X293" s="162" t="s">
        <v>2122</v>
      </c>
      <c r="Y293" s="162" t="s">
        <v>109</v>
      </c>
      <c r="Z293" s="162" t="s">
        <v>109</v>
      </c>
      <c r="AA293" s="162" t="s">
        <v>109</v>
      </c>
      <c r="AB293" s="162" t="s">
        <v>34</v>
      </c>
      <c r="AC293" s="162" t="s">
        <v>2123</v>
      </c>
      <c r="AD293" s="162" t="s">
        <v>2124</v>
      </c>
      <c r="AE293" s="162" t="s">
        <v>1758</v>
      </c>
      <c r="AF293" s="162">
        <v>4</v>
      </c>
      <c r="AG293" s="162">
        <v>0</v>
      </c>
      <c r="AH293" s="162">
        <v>0</v>
      </c>
      <c r="AI293" s="162" t="s">
        <v>3935</v>
      </c>
      <c r="AJ293" s="162" t="s">
        <v>34</v>
      </c>
      <c r="AK293" s="162" t="s">
        <v>2125</v>
      </c>
      <c r="AL293" s="162" t="s">
        <v>3725</v>
      </c>
      <c r="AM293" t="s">
        <v>4803</v>
      </c>
      <c r="AN293" s="478">
        <v>0</v>
      </c>
      <c r="AO293" s="478">
        <v>0</v>
      </c>
    </row>
    <row r="294" spans="1:41" x14ac:dyDescent="0.2">
      <c r="A294">
        <v>293</v>
      </c>
      <c r="B294" s="462" t="s">
        <v>3013</v>
      </c>
      <c r="C294" s="162" t="s">
        <v>4623</v>
      </c>
      <c r="D294" s="162" t="s">
        <v>4624</v>
      </c>
      <c r="E294" s="162" t="s">
        <v>2063</v>
      </c>
      <c r="F294" s="162" t="s">
        <v>2032</v>
      </c>
      <c r="G294" s="162" t="s">
        <v>34</v>
      </c>
      <c r="H294" s="162" t="s">
        <v>2128</v>
      </c>
      <c r="I294" s="162" t="s">
        <v>5651</v>
      </c>
      <c r="J294" s="162" t="s">
        <v>2396</v>
      </c>
      <c r="K294" s="162" t="s">
        <v>1117</v>
      </c>
      <c r="L294" s="162" t="s">
        <v>2469</v>
      </c>
      <c r="M294" s="540">
        <v>9</v>
      </c>
      <c r="N294" s="162" t="s">
        <v>839</v>
      </c>
      <c r="O294" s="162" t="s">
        <v>3051</v>
      </c>
      <c r="P294" s="162" t="s">
        <v>3033</v>
      </c>
      <c r="Q294" s="162" t="s">
        <v>2204</v>
      </c>
      <c r="R294" s="162" t="s">
        <v>2121</v>
      </c>
      <c r="S294" s="162" t="s">
        <v>3034</v>
      </c>
      <c r="T294" s="162">
        <v>73.900000000000006</v>
      </c>
      <c r="U294" s="162" t="s">
        <v>1947</v>
      </c>
      <c r="V294" s="162" t="s">
        <v>2360</v>
      </c>
      <c r="W294" s="162" t="s">
        <v>3035</v>
      </c>
      <c r="X294" s="162" t="s">
        <v>2122</v>
      </c>
      <c r="Y294" s="162" t="s">
        <v>3089</v>
      </c>
      <c r="Z294" s="162" t="s">
        <v>5216</v>
      </c>
      <c r="AA294" s="162" t="s">
        <v>2122</v>
      </c>
      <c r="AB294" s="162" t="s">
        <v>34</v>
      </c>
      <c r="AC294" s="162" t="s">
        <v>2123</v>
      </c>
      <c r="AD294" s="162" t="s">
        <v>2124</v>
      </c>
      <c r="AE294" s="162" t="s">
        <v>1758</v>
      </c>
      <c r="AF294" s="162">
        <v>0.8</v>
      </c>
      <c r="AG294" s="162">
        <v>1</v>
      </c>
      <c r="AH294" s="162">
        <v>4.05</v>
      </c>
      <c r="AI294" s="162" t="s">
        <v>3933</v>
      </c>
      <c r="AJ294" s="162" t="s">
        <v>34</v>
      </c>
      <c r="AK294" s="162" t="s">
        <v>2125</v>
      </c>
      <c r="AL294" s="162" t="s">
        <v>3725</v>
      </c>
      <c r="AM294" t="s">
        <v>4821</v>
      </c>
      <c r="AN294" s="478">
        <v>0</v>
      </c>
      <c r="AO294" s="478">
        <v>0</v>
      </c>
    </row>
    <row r="295" spans="1:41" x14ac:dyDescent="0.2">
      <c r="A295">
        <v>294</v>
      </c>
      <c r="B295" s="462" t="s">
        <v>3013</v>
      </c>
      <c r="C295" s="162" t="s">
        <v>839</v>
      </c>
      <c r="D295" s="162" t="s">
        <v>4154</v>
      </c>
      <c r="E295" s="162" t="s">
        <v>2063</v>
      </c>
      <c r="F295" s="162" t="s">
        <v>2032</v>
      </c>
      <c r="G295" s="162" t="s">
        <v>34</v>
      </c>
      <c r="H295" s="162" t="s">
        <v>2128</v>
      </c>
      <c r="I295" s="162" t="s">
        <v>5651</v>
      </c>
      <c r="J295" s="162" t="s">
        <v>2740</v>
      </c>
      <c r="K295" s="162" t="s">
        <v>1117</v>
      </c>
      <c r="L295" s="162" t="s">
        <v>2469</v>
      </c>
      <c r="M295" s="540">
        <v>9</v>
      </c>
      <c r="N295" s="162" t="s">
        <v>839</v>
      </c>
      <c r="O295" s="162" t="s">
        <v>904</v>
      </c>
      <c r="P295" s="162" t="s">
        <v>3033</v>
      </c>
      <c r="Q295" s="162" t="s">
        <v>4863</v>
      </c>
      <c r="R295" s="162" t="s">
        <v>2121</v>
      </c>
      <c r="S295" s="162" t="s">
        <v>3034</v>
      </c>
      <c r="T295" s="162">
        <v>73.900000000000006</v>
      </c>
      <c r="U295" s="162" t="s">
        <v>2151</v>
      </c>
      <c r="V295" s="162" t="s">
        <v>2360</v>
      </c>
      <c r="W295" s="162" t="s">
        <v>3035</v>
      </c>
      <c r="X295" s="162" t="s">
        <v>4864</v>
      </c>
      <c r="Y295" s="162" t="s">
        <v>5049</v>
      </c>
      <c r="Z295" s="162" t="s">
        <v>5216</v>
      </c>
      <c r="AA295" s="162" t="s">
        <v>4864</v>
      </c>
      <c r="AB295" s="162" t="s">
        <v>34</v>
      </c>
      <c r="AC295" s="162" t="s">
        <v>2123</v>
      </c>
      <c r="AD295" s="162" t="s">
        <v>2124</v>
      </c>
      <c r="AE295" s="162" t="s">
        <v>1758</v>
      </c>
      <c r="AF295" s="162">
        <v>0.8</v>
      </c>
      <c r="AG295" s="162">
        <v>1</v>
      </c>
      <c r="AH295" s="162">
        <v>4.05</v>
      </c>
      <c r="AI295" s="162" t="s">
        <v>3933</v>
      </c>
      <c r="AJ295" s="162" t="s">
        <v>34</v>
      </c>
      <c r="AK295" s="162" t="s">
        <v>2125</v>
      </c>
      <c r="AL295" s="162" t="s">
        <v>3725</v>
      </c>
      <c r="AM295" t="s">
        <v>4806</v>
      </c>
      <c r="AN295" s="478">
        <v>0</v>
      </c>
      <c r="AO295" s="478">
        <v>0</v>
      </c>
    </row>
    <row r="296" spans="1:41" x14ac:dyDescent="0.2">
      <c r="A296">
        <v>295</v>
      </c>
      <c r="B296" s="462" t="s">
        <v>3013</v>
      </c>
      <c r="C296" s="162" t="s">
        <v>1969</v>
      </c>
      <c r="D296" s="162" t="s">
        <v>4155</v>
      </c>
      <c r="E296" s="162" t="s">
        <v>2063</v>
      </c>
      <c r="F296" s="162" t="s">
        <v>2032</v>
      </c>
      <c r="G296" s="162" t="s">
        <v>34</v>
      </c>
      <c r="H296" s="162" t="s">
        <v>2128</v>
      </c>
      <c r="I296" s="162" t="s">
        <v>5660</v>
      </c>
      <c r="J296" s="162" t="s">
        <v>2396</v>
      </c>
      <c r="K296" s="162" t="s">
        <v>3026</v>
      </c>
      <c r="L296" s="162" t="s">
        <v>3027</v>
      </c>
      <c r="M296" s="540" t="s">
        <v>3056</v>
      </c>
      <c r="N296" s="162" t="s">
        <v>3057</v>
      </c>
      <c r="O296" s="162" t="s">
        <v>3051</v>
      </c>
      <c r="P296" s="162" t="s">
        <v>5091</v>
      </c>
      <c r="Q296" s="162" t="s">
        <v>2204</v>
      </c>
      <c r="R296" s="162" t="s">
        <v>2295</v>
      </c>
      <c r="S296" s="162" t="s">
        <v>3029</v>
      </c>
      <c r="T296" s="162">
        <v>630</v>
      </c>
      <c r="U296" s="162" t="s">
        <v>1947</v>
      </c>
      <c r="V296" s="162" t="s">
        <v>2206</v>
      </c>
      <c r="W296" s="162" t="s">
        <v>3030</v>
      </c>
      <c r="X296" s="162" t="s">
        <v>2122</v>
      </c>
      <c r="Y296" s="162" t="s">
        <v>2319</v>
      </c>
      <c r="Z296" s="162" t="s">
        <v>3031</v>
      </c>
      <c r="AA296" s="162" t="s">
        <v>2122</v>
      </c>
      <c r="AB296" s="162" t="s">
        <v>3032</v>
      </c>
      <c r="AC296" s="162" t="s">
        <v>2123</v>
      </c>
      <c r="AD296" s="162" t="s">
        <v>2124</v>
      </c>
      <c r="AE296" s="162" t="s">
        <v>1758</v>
      </c>
      <c r="AF296" s="162">
        <v>17</v>
      </c>
      <c r="AG296" s="162">
        <v>60</v>
      </c>
      <c r="AH296" s="162">
        <v>10</v>
      </c>
      <c r="AI296" s="162" t="s">
        <v>3932</v>
      </c>
      <c r="AJ296" s="162" t="s">
        <v>34</v>
      </c>
      <c r="AK296" s="162" t="s">
        <v>2125</v>
      </c>
      <c r="AL296" s="162" t="s">
        <v>3725</v>
      </c>
      <c r="AM296" t="s">
        <v>4821</v>
      </c>
      <c r="AN296" s="478">
        <v>0</v>
      </c>
      <c r="AO296" s="478">
        <v>0</v>
      </c>
    </row>
    <row r="297" spans="1:41" x14ac:dyDescent="0.2">
      <c r="A297">
        <v>296</v>
      </c>
      <c r="B297" s="462" t="s">
        <v>3013</v>
      </c>
      <c r="C297" s="162" t="s">
        <v>841</v>
      </c>
      <c r="D297" s="162" t="s">
        <v>4156</v>
      </c>
      <c r="E297" s="162" t="s">
        <v>2063</v>
      </c>
      <c r="F297" s="162" t="s">
        <v>2032</v>
      </c>
      <c r="G297" s="162" t="s">
        <v>34</v>
      </c>
      <c r="H297" s="162" t="s">
        <v>2128</v>
      </c>
      <c r="I297" s="162" t="s">
        <v>5651</v>
      </c>
      <c r="J297" s="162" t="s">
        <v>2396</v>
      </c>
      <c r="K297" s="162" t="s">
        <v>3026</v>
      </c>
      <c r="L297" s="162" t="s">
        <v>3027</v>
      </c>
      <c r="M297" s="540" t="s">
        <v>3028</v>
      </c>
      <c r="N297" s="162" t="s">
        <v>841</v>
      </c>
      <c r="O297" s="162" t="s">
        <v>5682</v>
      </c>
      <c r="P297" s="162" t="s">
        <v>5112</v>
      </c>
      <c r="Q297" s="162" t="s">
        <v>4863</v>
      </c>
      <c r="R297" s="162" t="s">
        <v>2295</v>
      </c>
      <c r="S297" s="162" t="s">
        <v>3029</v>
      </c>
      <c r="T297" s="162">
        <v>630</v>
      </c>
      <c r="U297" s="162" t="s">
        <v>2150</v>
      </c>
      <c r="V297" s="162" t="s">
        <v>2206</v>
      </c>
      <c r="W297" s="162" t="s">
        <v>3030</v>
      </c>
      <c r="X297" s="162" t="s">
        <v>4864</v>
      </c>
      <c r="Y297" s="162" t="s">
        <v>2319</v>
      </c>
      <c r="Z297" s="162" t="s">
        <v>3031</v>
      </c>
      <c r="AA297" s="162" t="s">
        <v>4864</v>
      </c>
      <c r="AB297" s="162" t="s">
        <v>3032</v>
      </c>
      <c r="AC297" s="162" t="s">
        <v>2123</v>
      </c>
      <c r="AD297" s="162" t="s">
        <v>2124</v>
      </c>
      <c r="AE297" s="162" t="s">
        <v>1758</v>
      </c>
      <c r="AF297" s="162">
        <v>17</v>
      </c>
      <c r="AG297" s="162">
        <v>60</v>
      </c>
      <c r="AH297" s="162">
        <v>10</v>
      </c>
      <c r="AI297" s="162" t="s">
        <v>3932</v>
      </c>
      <c r="AJ297" s="162" t="s">
        <v>34</v>
      </c>
      <c r="AK297" s="162" t="s">
        <v>2125</v>
      </c>
      <c r="AL297" s="162" t="s">
        <v>3725</v>
      </c>
      <c r="AM297" t="s">
        <v>4803</v>
      </c>
      <c r="AN297" s="478">
        <v>0</v>
      </c>
      <c r="AO297" s="478">
        <v>0</v>
      </c>
    </row>
    <row r="298" spans="1:41" x14ac:dyDescent="0.2">
      <c r="A298">
        <v>297</v>
      </c>
      <c r="B298" s="462" t="s">
        <v>3013</v>
      </c>
      <c r="C298" s="162" t="s">
        <v>5161</v>
      </c>
      <c r="D298" s="162" t="s">
        <v>5162</v>
      </c>
      <c r="E298" s="162" t="s">
        <v>2063</v>
      </c>
      <c r="F298" s="162" t="s">
        <v>2032</v>
      </c>
      <c r="G298" s="162" t="s">
        <v>34</v>
      </c>
      <c r="H298" s="162" t="s">
        <v>2128</v>
      </c>
      <c r="I298" s="162" t="s">
        <v>5651</v>
      </c>
      <c r="J298" s="162" t="s">
        <v>2740</v>
      </c>
      <c r="K298" s="162" t="s">
        <v>1120</v>
      </c>
      <c r="L298" s="162" t="s">
        <v>3016</v>
      </c>
      <c r="M298" s="540" t="s">
        <v>3017</v>
      </c>
      <c r="N298" s="162" t="s">
        <v>5161</v>
      </c>
      <c r="O298" s="162" t="s">
        <v>904</v>
      </c>
      <c r="P298" s="162" t="s">
        <v>3018</v>
      </c>
      <c r="Q298" s="162" t="s">
        <v>2204</v>
      </c>
      <c r="R298" s="162" t="s">
        <v>2121</v>
      </c>
      <c r="S298" s="162" t="s">
        <v>3019</v>
      </c>
      <c r="T298" s="162">
        <v>564.6</v>
      </c>
      <c r="U298" s="162" t="s">
        <v>2151</v>
      </c>
      <c r="V298" s="162" t="s">
        <v>3020</v>
      </c>
      <c r="W298" s="162" t="s">
        <v>3021</v>
      </c>
      <c r="X298" s="162" t="s">
        <v>2122</v>
      </c>
      <c r="Y298" s="162" t="s">
        <v>4995</v>
      </c>
      <c r="Z298" s="162">
        <v>12347135</v>
      </c>
      <c r="AA298" s="162" t="s">
        <v>2122</v>
      </c>
      <c r="AB298" s="162" t="s">
        <v>2994</v>
      </c>
      <c r="AC298" s="162" t="s">
        <v>2123</v>
      </c>
      <c r="AD298" s="162" t="s">
        <v>2124</v>
      </c>
      <c r="AE298" s="162" t="s">
        <v>1758</v>
      </c>
      <c r="AF298" s="162" t="s">
        <v>3347</v>
      </c>
      <c r="AG298" s="162" t="s">
        <v>34</v>
      </c>
      <c r="AH298" s="162" t="s">
        <v>34</v>
      </c>
      <c r="AI298" s="162" t="s">
        <v>34</v>
      </c>
      <c r="AJ298" s="162" t="s">
        <v>34</v>
      </c>
      <c r="AK298" s="162" t="s">
        <v>2125</v>
      </c>
      <c r="AL298" s="162" t="s">
        <v>3725</v>
      </c>
      <c r="AM298" t="s">
        <v>4804</v>
      </c>
      <c r="AN298" s="478"/>
      <c r="AO298" s="478"/>
    </row>
    <row r="299" spans="1:41" x14ac:dyDescent="0.2">
      <c r="A299">
        <v>298</v>
      </c>
      <c r="B299" s="462" t="s">
        <v>3013</v>
      </c>
      <c r="C299" s="162" t="s">
        <v>5163</v>
      </c>
      <c r="D299" s="162" t="s">
        <v>5164</v>
      </c>
      <c r="E299" s="162" t="s">
        <v>2063</v>
      </c>
      <c r="F299" s="162" t="s">
        <v>2032</v>
      </c>
      <c r="G299" s="162" t="s">
        <v>34</v>
      </c>
      <c r="H299" s="162" t="s">
        <v>2128</v>
      </c>
      <c r="I299" s="162" t="s">
        <v>5660</v>
      </c>
      <c r="J299" s="162" t="s">
        <v>2740</v>
      </c>
      <c r="K299" s="162" t="s">
        <v>1120</v>
      </c>
      <c r="L299" s="162" t="s">
        <v>3016</v>
      </c>
      <c r="M299" s="540" t="s">
        <v>3017</v>
      </c>
      <c r="N299" s="162" t="s">
        <v>5161</v>
      </c>
      <c r="O299" s="162" t="s">
        <v>904</v>
      </c>
      <c r="P299" s="162" t="s">
        <v>3018</v>
      </c>
      <c r="Q299" s="162" t="s">
        <v>2204</v>
      </c>
      <c r="R299" s="162" t="s">
        <v>2121</v>
      </c>
      <c r="S299" s="162" t="s">
        <v>3019</v>
      </c>
      <c r="T299" s="162">
        <v>564.6</v>
      </c>
      <c r="U299" s="162" t="s">
        <v>1947</v>
      </c>
      <c r="V299" s="162" t="s">
        <v>4841</v>
      </c>
      <c r="W299" s="162" t="s">
        <v>3021</v>
      </c>
      <c r="X299" s="162" t="s">
        <v>2261</v>
      </c>
      <c r="Y299" s="162" t="s">
        <v>3022</v>
      </c>
      <c r="Z299" s="162" t="s">
        <v>3023</v>
      </c>
      <c r="AA299" s="162" t="s">
        <v>2122</v>
      </c>
      <c r="AB299" s="162" t="s">
        <v>4842</v>
      </c>
      <c r="AC299" s="162" t="s">
        <v>2123</v>
      </c>
      <c r="AD299" s="162" t="s">
        <v>2124</v>
      </c>
      <c r="AE299" s="162" t="s">
        <v>1758</v>
      </c>
      <c r="AF299" s="162" t="s">
        <v>3347</v>
      </c>
      <c r="AG299" s="162" t="s">
        <v>34</v>
      </c>
      <c r="AH299" s="162" t="s">
        <v>34</v>
      </c>
      <c r="AI299" s="162" t="s">
        <v>34</v>
      </c>
      <c r="AJ299" s="162" t="s">
        <v>34</v>
      </c>
      <c r="AK299" s="162" t="s">
        <v>2125</v>
      </c>
      <c r="AL299" s="162" t="s">
        <v>3725</v>
      </c>
      <c r="AM299" t="s">
        <v>4821</v>
      </c>
      <c r="AN299" s="478"/>
      <c r="AO299" s="478"/>
    </row>
    <row r="300" spans="1:41" x14ac:dyDescent="0.2">
      <c r="A300">
        <v>299</v>
      </c>
      <c r="B300" s="462" t="s">
        <v>3013</v>
      </c>
      <c r="C300" s="162" t="s">
        <v>4750</v>
      </c>
      <c r="D300" s="162" t="s">
        <v>4751</v>
      </c>
      <c r="E300" s="162" t="s">
        <v>2063</v>
      </c>
      <c r="F300" s="162" t="s">
        <v>2032</v>
      </c>
      <c r="G300" s="162" t="s">
        <v>34</v>
      </c>
      <c r="H300" s="162" t="s">
        <v>2128</v>
      </c>
      <c r="I300" s="162" t="s">
        <v>5684</v>
      </c>
      <c r="J300" s="162" t="s">
        <v>2396</v>
      </c>
      <c r="K300" s="162" t="s">
        <v>4752</v>
      </c>
      <c r="L300" s="162" t="s">
        <v>4753</v>
      </c>
      <c r="M300" s="540" t="s">
        <v>4754</v>
      </c>
      <c r="N300" s="162" t="s">
        <v>4755</v>
      </c>
      <c r="O300" s="162" t="s">
        <v>3051</v>
      </c>
      <c r="P300" s="162" t="s">
        <v>4756</v>
      </c>
      <c r="Q300" s="162" t="s">
        <v>2204</v>
      </c>
      <c r="R300" s="162" t="s">
        <v>4460</v>
      </c>
      <c r="S300" s="162" t="s">
        <v>4757</v>
      </c>
      <c r="T300" s="162">
        <v>538.70000000000005</v>
      </c>
      <c r="U300" s="162" t="s">
        <v>1947</v>
      </c>
      <c r="V300" s="162" t="s">
        <v>2541</v>
      </c>
      <c r="W300" s="162" t="s">
        <v>4758</v>
      </c>
      <c r="X300" s="162" t="s">
        <v>2122</v>
      </c>
      <c r="Y300" s="162" t="s">
        <v>3089</v>
      </c>
      <c r="Z300" s="162">
        <v>12347139</v>
      </c>
      <c r="AA300" s="162" t="s">
        <v>2122</v>
      </c>
      <c r="AB300" s="162" t="s">
        <v>4759</v>
      </c>
      <c r="AC300" s="162" t="s">
        <v>2123</v>
      </c>
      <c r="AD300" s="162" t="s">
        <v>2124</v>
      </c>
      <c r="AE300" s="162" t="s">
        <v>1758</v>
      </c>
      <c r="AF300" s="162">
        <v>123</v>
      </c>
      <c r="AG300" s="162">
        <v>1.6</v>
      </c>
      <c r="AH300" s="162">
        <v>2.62</v>
      </c>
      <c r="AI300" s="162" t="s">
        <v>109</v>
      </c>
      <c r="AJ300" s="162" t="s">
        <v>109</v>
      </c>
      <c r="AK300" s="162" t="s">
        <v>2125</v>
      </c>
      <c r="AL300" s="162" t="s">
        <v>3725</v>
      </c>
      <c r="AM300" t="s">
        <v>4821</v>
      </c>
      <c r="AN300" s="478">
        <v>0</v>
      </c>
      <c r="AO300" s="478">
        <v>0</v>
      </c>
    </row>
    <row r="301" spans="1:41" x14ac:dyDescent="0.2">
      <c r="A301">
        <v>300</v>
      </c>
      <c r="B301" s="462" t="s">
        <v>3013</v>
      </c>
      <c r="C301" s="162" t="s">
        <v>4551</v>
      </c>
      <c r="D301" s="162" t="s">
        <v>4552</v>
      </c>
      <c r="E301" s="162" t="s">
        <v>2063</v>
      </c>
      <c r="F301" s="162" t="s">
        <v>2032</v>
      </c>
      <c r="G301" s="162" t="s">
        <v>34</v>
      </c>
      <c r="H301" s="162" t="s">
        <v>2128</v>
      </c>
      <c r="I301" s="162" t="s">
        <v>5651</v>
      </c>
      <c r="J301" s="162" t="s">
        <v>2396</v>
      </c>
      <c r="K301" s="162" t="s">
        <v>4553</v>
      </c>
      <c r="L301" s="162" t="s">
        <v>3085</v>
      </c>
      <c r="M301" s="540" t="s">
        <v>3086</v>
      </c>
      <c r="N301" s="162" t="s">
        <v>3074</v>
      </c>
      <c r="O301" s="162" t="s">
        <v>904</v>
      </c>
      <c r="P301" s="162" t="s">
        <v>5113</v>
      </c>
      <c r="Q301" s="162" t="s">
        <v>2204</v>
      </c>
      <c r="R301" s="162" t="s">
        <v>2121</v>
      </c>
      <c r="S301" s="162" t="s">
        <v>3087</v>
      </c>
      <c r="T301" s="162">
        <v>528</v>
      </c>
      <c r="U301" s="162" t="s">
        <v>2151</v>
      </c>
      <c r="V301" s="162" t="s">
        <v>2541</v>
      </c>
      <c r="W301" s="162" t="s">
        <v>3088</v>
      </c>
      <c r="X301" s="162" t="s">
        <v>2122</v>
      </c>
      <c r="Y301" s="162" t="s">
        <v>3089</v>
      </c>
      <c r="Z301" s="162" t="s">
        <v>4558</v>
      </c>
      <c r="AA301" s="162" t="s">
        <v>2122</v>
      </c>
      <c r="AB301" s="162" t="s">
        <v>34</v>
      </c>
      <c r="AC301" s="162" t="s">
        <v>2123</v>
      </c>
      <c r="AD301" s="162" t="s">
        <v>2124</v>
      </c>
      <c r="AE301" s="162" t="s">
        <v>1758</v>
      </c>
      <c r="AF301" s="162">
        <v>25</v>
      </c>
      <c r="AG301" s="162">
        <v>385</v>
      </c>
      <c r="AH301" s="162">
        <v>8</v>
      </c>
      <c r="AI301" s="162" t="s">
        <v>3931</v>
      </c>
      <c r="AJ301" s="162" t="s">
        <v>34</v>
      </c>
      <c r="AK301" s="162" t="s">
        <v>2125</v>
      </c>
      <c r="AL301" s="162" t="s">
        <v>3725</v>
      </c>
      <c r="AM301" t="s">
        <v>4806</v>
      </c>
      <c r="AN301" s="478">
        <v>0</v>
      </c>
      <c r="AO301" s="478">
        <v>0</v>
      </c>
    </row>
    <row r="302" spans="1:41" x14ac:dyDescent="0.2">
      <c r="A302">
        <v>301</v>
      </c>
      <c r="B302" s="462" t="s">
        <v>3013</v>
      </c>
      <c r="C302" s="162" t="s">
        <v>4554</v>
      </c>
      <c r="D302" s="162" t="s">
        <v>4555</v>
      </c>
      <c r="E302" s="162" t="s">
        <v>2063</v>
      </c>
      <c r="F302" s="162" t="s">
        <v>2032</v>
      </c>
      <c r="G302" s="162" t="s">
        <v>34</v>
      </c>
      <c r="H302" s="162" t="s">
        <v>2128</v>
      </c>
      <c r="I302" s="162" t="s">
        <v>5660</v>
      </c>
      <c r="J302" s="162" t="s">
        <v>2396</v>
      </c>
      <c r="K302" s="162" t="s">
        <v>4556</v>
      </c>
      <c r="L302" s="162" t="s">
        <v>3085</v>
      </c>
      <c r="M302" s="540" t="s">
        <v>3086</v>
      </c>
      <c r="N302" s="162" t="s">
        <v>3074</v>
      </c>
      <c r="O302" s="162" t="s">
        <v>3051</v>
      </c>
      <c r="P302" s="162" t="s">
        <v>5113</v>
      </c>
      <c r="Q302" s="162" t="s">
        <v>2204</v>
      </c>
      <c r="R302" s="162" t="s">
        <v>2121</v>
      </c>
      <c r="S302" s="162" t="s">
        <v>3087</v>
      </c>
      <c r="T302" s="162">
        <v>528</v>
      </c>
      <c r="U302" s="162" t="s">
        <v>1947</v>
      </c>
      <c r="V302" s="162" t="s">
        <v>2541</v>
      </c>
      <c r="W302" s="162" t="s">
        <v>3088</v>
      </c>
      <c r="X302" s="162" t="s">
        <v>2122</v>
      </c>
      <c r="Y302" s="162" t="s">
        <v>3089</v>
      </c>
      <c r="Z302" s="162" t="s">
        <v>4558</v>
      </c>
      <c r="AA302" s="162" t="s">
        <v>2122</v>
      </c>
      <c r="AB302" s="162" t="s">
        <v>34</v>
      </c>
      <c r="AC302" s="162" t="s">
        <v>2123</v>
      </c>
      <c r="AD302" s="162" t="s">
        <v>2124</v>
      </c>
      <c r="AE302" s="162" t="s">
        <v>1758</v>
      </c>
      <c r="AF302" s="162">
        <v>25</v>
      </c>
      <c r="AG302" s="162">
        <v>385</v>
      </c>
      <c r="AH302" s="162">
        <v>8</v>
      </c>
      <c r="AI302" s="162" t="s">
        <v>3931</v>
      </c>
      <c r="AJ302" s="162" t="s">
        <v>34</v>
      </c>
      <c r="AK302" s="162" t="s">
        <v>2125</v>
      </c>
      <c r="AL302" s="162" t="s">
        <v>3725</v>
      </c>
      <c r="AM302" t="s">
        <v>4821</v>
      </c>
      <c r="AN302" s="478">
        <v>0</v>
      </c>
      <c r="AO302" s="478">
        <v>0</v>
      </c>
    </row>
    <row r="303" spans="1:41" x14ac:dyDescent="0.2">
      <c r="A303">
        <v>302</v>
      </c>
      <c r="B303" s="462" t="s">
        <v>3013</v>
      </c>
      <c r="C303" s="162" t="s">
        <v>2536</v>
      </c>
      <c r="D303" s="162" t="s">
        <v>4787</v>
      </c>
      <c r="E303" s="162" t="s">
        <v>2063</v>
      </c>
      <c r="F303" s="162" t="s">
        <v>2032</v>
      </c>
      <c r="G303" s="162" t="s">
        <v>34</v>
      </c>
      <c r="H303" s="162" t="s">
        <v>2128</v>
      </c>
      <c r="I303" s="162" t="s">
        <v>5684</v>
      </c>
      <c r="J303" s="162" t="s">
        <v>2396</v>
      </c>
      <c r="K303" s="162" t="s">
        <v>3325</v>
      </c>
      <c r="L303" s="162" t="s">
        <v>4788</v>
      </c>
      <c r="M303" s="540" t="s">
        <v>4789</v>
      </c>
      <c r="N303" s="162" t="s">
        <v>4790</v>
      </c>
      <c r="O303" s="162" t="s">
        <v>5656</v>
      </c>
      <c r="P303" s="162" t="s">
        <v>3018</v>
      </c>
      <c r="Q303" s="162" t="s">
        <v>4863</v>
      </c>
      <c r="R303" s="162" t="s">
        <v>4460</v>
      </c>
      <c r="S303" s="162" t="s">
        <v>5125</v>
      </c>
      <c r="T303" s="162">
        <v>692.5</v>
      </c>
      <c r="U303" s="162" t="s">
        <v>2149</v>
      </c>
      <c r="V303" s="162" t="s">
        <v>2541</v>
      </c>
      <c r="W303" s="162" t="s">
        <v>4792</v>
      </c>
      <c r="X303" s="162" t="s">
        <v>4864</v>
      </c>
      <c r="Y303" s="162" t="s">
        <v>3089</v>
      </c>
      <c r="Z303" s="162">
        <v>19134057</v>
      </c>
      <c r="AA303" s="162" t="s">
        <v>4864</v>
      </c>
      <c r="AB303" s="162" t="s">
        <v>34</v>
      </c>
      <c r="AC303" s="162" t="s">
        <v>2123</v>
      </c>
      <c r="AD303" s="162" t="s">
        <v>2124</v>
      </c>
      <c r="AE303" s="162" t="s">
        <v>1758</v>
      </c>
      <c r="AF303" s="162">
        <v>25.6</v>
      </c>
      <c r="AG303" s="162">
        <v>385</v>
      </c>
      <c r="AH303" s="162">
        <v>8</v>
      </c>
      <c r="AI303" s="162" t="s">
        <v>109</v>
      </c>
      <c r="AJ303" s="162" t="s">
        <v>109</v>
      </c>
      <c r="AK303" s="162" t="s">
        <v>2125</v>
      </c>
      <c r="AL303" s="162" t="s">
        <v>34</v>
      </c>
      <c r="AM303" t="s">
        <v>4803</v>
      </c>
      <c r="AN303" s="478">
        <v>0</v>
      </c>
      <c r="AO303" s="478">
        <v>0</v>
      </c>
    </row>
    <row r="304" spans="1:41" x14ac:dyDescent="0.2">
      <c r="A304">
        <v>303</v>
      </c>
      <c r="B304" s="462" t="s">
        <v>3013</v>
      </c>
      <c r="C304" s="162" t="s">
        <v>4793</v>
      </c>
      <c r="D304" s="162" t="s">
        <v>4794</v>
      </c>
      <c r="E304" s="162" t="s">
        <v>2063</v>
      </c>
      <c r="F304" s="162" t="s">
        <v>2032</v>
      </c>
      <c r="G304" s="162" t="s">
        <v>34</v>
      </c>
      <c r="H304" s="162" t="s">
        <v>2128</v>
      </c>
      <c r="I304" s="162" t="s">
        <v>5684</v>
      </c>
      <c r="J304" s="162" t="s">
        <v>2396</v>
      </c>
      <c r="K304" s="162" t="s">
        <v>3325</v>
      </c>
      <c r="L304" s="162" t="s">
        <v>4788</v>
      </c>
      <c r="M304" s="540" t="s">
        <v>4789</v>
      </c>
      <c r="N304" s="162" t="s">
        <v>4790</v>
      </c>
      <c r="O304" s="162" t="s">
        <v>3051</v>
      </c>
      <c r="P304" s="162" t="s">
        <v>3018</v>
      </c>
      <c r="Q304" s="162" t="s">
        <v>2204</v>
      </c>
      <c r="R304" s="162" t="s">
        <v>4460</v>
      </c>
      <c r="S304" s="162" t="s">
        <v>4791</v>
      </c>
      <c r="T304" s="162">
        <v>722.1</v>
      </c>
      <c r="U304" s="162" t="s">
        <v>1947</v>
      </c>
      <c r="V304" s="162" t="s">
        <v>2541</v>
      </c>
      <c r="W304" s="162" t="s">
        <v>4792</v>
      </c>
      <c r="X304" s="162" t="s">
        <v>2122</v>
      </c>
      <c r="Y304" s="162" t="s">
        <v>3089</v>
      </c>
      <c r="Z304" s="162">
        <v>19134057</v>
      </c>
      <c r="AA304" s="162" t="s">
        <v>2122</v>
      </c>
      <c r="AB304" s="162" t="s">
        <v>4759</v>
      </c>
      <c r="AC304" s="162" t="s">
        <v>2123</v>
      </c>
      <c r="AD304" s="162" t="s">
        <v>2124</v>
      </c>
      <c r="AE304" s="162" t="s">
        <v>1758</v>
      </c>
      <c r="AF304" s="162">
        <v>25.6</v>
      </c>
      <c r="AG304" s="162">
        <v>385</v>
      </c>
      <c r="AH304" s="162">
        <v>8</v>
      </c>
      <c r="AI304" s="162" t="s">
        <v>109</v>
      </c>
      <c r="AJ304" s="162" t="s">
        <v>109</v>
      </c>
      <c r="AK304" s="162" t="s">
        <v>2125</v>
      </c>
      <c r="AL304" s="162" t="s">
        <v>34</v>
      </c>
      <c r="AM304" t="s">
        <v>4821</v>
      </c>
      <c r="AN304" s="478">
        <v>0</v>
      </c>
      <c r="AO304" s="478">
        <v>0</v>
      </c>
    </row>
    <row r="305" spans="1:41" x14ac:dyDescent="0.2">
      <c r="A305">
        <v>304</v>
      </c>
      <c r="B305" s="462" t="s">
        <v>3013</v>
      </c>
      <c r="C305" s="162" t="s">
        <v>4966</v>
      </c>
      <c r="D305" s="162" t="s">
        <v>4967</v>
      </c>
      <c r="E305" s="162" t="s">
        <v>2063</v>
      </c>
      <c r="F305" s="162" t="s">
        <v>2032</v>
      </c>
      <c r="G305" s="162" t="s">
        <v>34</v>
      </c>
      <c r="H305" s="162" t="s">
        <v>2128</v>
      </c>
      <c r="I305" s="162" t="s">
        <v>5684</v>
      </c>
      <c r="J305" s="162" t="s">
        <v>2396</v>
      </c>
      <c r="K305" s="162" t="s">
        <v>3325</v>
      </c>
      <c r="L305" s="162" t="s">
        <v>4788</v>
      </c>
      <c r="M305" s="540" t="s">
        <v>4968</v>
      </c>
      <c r="N305" s="162" t="s">
        <v>4969</v>
      </c>
      <c r="O305" s="162" t="s">
        <v>3051</v>
      </c>
      <c r="P305" s="162" t="s">
        <v>3018</v>
      </c>
      <c r="Q305" s="162" t="s">
        <v>4863</v>
      </c>
      <c r="R305" s="162" t="s">
        <v>4460</v>
      </c>
      <c r="S305" s="162" t="s">
        <v>4970</v>
      </c>
      <c r="T305" s="162">
        <v>781.4</v>
      </c>
      <c r="U305" s="162" t="s">
        <v>1947</v>
      </c>
      <c r="V305" s="162" t="s">
        <v>2541</v>
      </c>
      <c r="W305" s="162" t="s">
        <v>4971</v>
      </c>
      <c r="X305" s="162" t="s">
        <v>4864</v>
      </c>
      <c r="Y305" s="162" t="s">
        <v>4972</v>
      </c>
      <c r="Z305" s="162">
        <v>16455738</v>
      </c>
      <c r="AA305" s="162" t="s">
        <v>4864</v>
      </c>
      <c r="AB305" s="162" t="s">
        <v>4973</v>
      </c>
      <c r="AC305" s="162" t="s">
        <v>2123</v>
      </c>
      <c r="AD305" s="162" t="s">
        <v>2124</v>
      </c>
      <c r="AE305" s="162" t="s">
        <v>1758</v>
      </c>
      <c r="AF305" s="162">
        <v>25</v>
      </c>
      <c r="AG305" s="162">
        <v>385</v>
      </c>
      <c r="AH305" s="162">
        <v>8</v>
      </c>
      <c r="AI305" s="162" t="s">
        <v>4974</v>
      </c>
      <c r="AJ305" s="162" t="s">
        <v>109</v>
      </c>
      <c r="AK305" s="162" t="s">
        <v>2125</v>
      </c>
      <c r="AL305" s="162" t="s">
        <v>34</v>
      </c>
      <c r="AM305" t="s">
        <v>4975</v>
      </c>
      <c r="AN305" s="478"/>
      <c r="AO305" s="478"/>
    </row>
    <row r="306" spans="1:41" x14ac:dyDescent="0.2">
      <c r="A306">
        <v>305</v>
      </c>
      <c r="B306" s="462" t="s">
        <v>3013</v>
      </c>
      <c r="C306" s="162" t="s">
        <v>2532</v>
      </c>
      <c r="D306" s="162" t="s">
        <v>4976</v>
      </c>
      <c r="E306" s="162" t="s">
        <v>2063</v>
      </c>
      <c r="F306" s="162" t="s">
        <v>2032</v>
      </c>
      <c r="G306" s="162" t="s">
        <v>34</v>
      </c>
      <c r="H306" s="162" t="s">
        <v>2128</v>
      </c>
      <c r="I306" s="162" t="s">
        <v>5684</v>
      </c>
      <c r="J306" s="162" t="s">
        <v>2396</v>
      </c>
      <c r="K306" s="162" t="s">
        <v>3325</v>
      </c>
      <c r="L306" s="162" t="s">
        <v>4788</v>
      </c>
      <c r="M306" s="540" t="s">
        <v>4968</v>
      </c>
      <c r="N306" s="162" t="s">
        <v>4969</v>
      </c>
      <c r="O306" s="162" t="s">
        <v>5656</v>
      </c>
      <c r="P306" s="162" t="s">
        <v>3018</v>
      </c>
      <c r="Q306" s="162" t="s">
        <v>4863</v>
      </c>
      <c r="R306" s="162" t="s">
        <v>4460</v>
      </c>
      <c r="S306" s="162" t="s">
        <v>4970</v>
      </c>
      <c r="T306" s="162">
        <v>781.4</v>
      </c>
      <c r="U306" s="162" t="s">
        <v>2149</v>
      </c>
      <c r="V306" s="162" t="s">
        <v>2541</v>
      </c>
      <c r="W306" s="162" t="s">
        <v>4971</v>
      </c>
      <c r="X306" s="162" t="s">
        <v>4864</v>
      </c>
      <c r="Y306" s="162" t="s">
        <v>4972</v>
      </c>
      <c r="Z306" s="162" t="s">
        <v>5083</v>
      </c>
      <c r="AA306" s="162" t="s">
        <v>4864</v>
      </c>
      <c r="AB306" s="162" t="s">
        <v>4973</v>
      </c>
      <c r="AC306" s="162" t="s">
        <v>2123</v>
      </c>
      <c r="AD306" s="162" t="s">
        <v>2124</v>
      </c>
      <c r="AE306" s="162" t="s">
        <v>1758</v>
      </c>
      <c r="AF306" s="162">
        <v>25</v>
      </c>
      <c r="AG306" s="162">
        <v>385</v>
      </c>
      <c r="AH306" s="162">
        <v>8</v>
      </c>
      <c r="AI306" s="162" t="s">
        <v>4974</v>
      </c>
      <c r="AJ306" s="162" t="s">
        <v>109</v>
      </c>
      <c r="AK306" s="162" t="s">
        <v>2125</v>
      </c>
      <c r="AL306" s="162" t="s">
        <v>34</v>
      </c>
      <c r="AM306" t="s">
        <v>4803</v>
      </c>
      <c r="AN306" s="478"/>
      <c r="AO306" s="478"/>
    </row>
    <row r="307" spans="1:41" x14ac:dyDescent="0.2">
      <c r="A307">
        <v>306</v>
      </c>
      <c r="B307" s="462" t="s">
        <v>3013</v>
      </c>
      <c r="C307" s="162">
        <v>11303</v>
      </c>
      <c r="D307" s="162" t="s">
        <v>4157</v>
      </c>
      <c r="E307" s="162" t="s">
        <v>2063</v>
      </c>
      <c r="F307" s="162" t="s">
        <v>2032</v>
      </c>
      <c r="G307" s="162" t="s">
        <v>34</v>
      </c>
      <c r="H307" s="162" t="s">
        <v>2128</v>
      </c>
      <c r="I307" s="162" t="s">
        <v>5651</v>
      </c>
      <c r="J307" s="162" t="s">
        <v>2740</v>
      </c>
      <c r="K307" s="162" t="s">
        <v>2745</v>
      </c>
      <c r="L307" s="162" t="s">
        <v>3072</v>
      </c>
      <c r="M307" s="540">
        <v>11303</v>
      </c>
      <c r="N307" s="162">
        <v>11303</v>
      </c>
      <c r="O307" s="162" t="s">
        <v>904</v>
      </c>
      <c r="P307" s="162" t="s">
        <v>2515</v>
      </c>
      <c r="Q307" s="162" t="s">
        <v>2204</v>
      </c>
      <c r="R307" s="162" t="s">
        <v>2185</v>
      </c>
      <c r="S307" s="162" t="s">
        <v>3073</v>
      </c>
      <c r="T307" s="162">
        <v>0.125</v>
      </c>
      <c r="U307" s="162" t="s">
        <v>1947</v>
      </c>
      <c r="V307" s="162" t="s">
        <v>2760</v>
      </c>
      <c r="W307" s="162">
        <v>7329</v>
      </c>
      <c r="X307" s="162" t="s">
        <v>2122</v>
      </c>
      <c r="Y307" s="162" t="s">
        <v>109</v>
      </c>
      <c r="Z307" s="162" t="s">
        <v>109</v>
      </c>
      <c r="AA307" s="162" t="s">
        <v>109</v>
      </c>
      <c r="AB307" s="162" t="s">
        <v>34</v>
      </c>
      <c r="AC307" s="162" t="s">
        <v>2123</v>
      </c>
      <c r="AD307" s="162" t="s">
        <v>2124</v>
      </c>
      <c r="AE307" s="162" t="s">
        <v>1758</v>
      </c>
      <c r="AF307" s="162" t="s">
        <v>3347</v>
      </c>
      <c r="AG307" s="162" t="s">
        <v>34</v>
      </c>
      <c r="AH307" s="162" t="s">
        <v>34</v>
      </c>
      <c r="AI307" s="162" t="s">
        <v>34</v>
      </c>
      <c r="AJ307" s="162" t="s">
        <v>34</v>
      </c>
      <c r="AK307" s="162" t="s">
        <v>2125</v>
      </c>
      <c r="AL307" s="162" t="s">
        <v>3725</v>
      </c>
      <c r="AM307" t="s">
        <v>4803</v>
      </c>
      <c r="AN307" s="478">
        <v>0</v>
      </c>
      <c r="AO307" s="478">
        <v>0</v>
      </c>
    </row>
    <row r="308" spans="1:41" x14ac:dyDescent="0.2">
      <c r="A308">
        <v>307</v>
      </c>
      <c r="B308" s="462" t="s">
        <v>3013</v>
      </c>
      <c r="C308" s="162" t="s">
        <v>4646</v>
      </c>
      <c r="D308" s="162" t="s">
        <v>4647</v>
      </c>
      <c r="E308" s="162" t="s">
        <v>2063</v>
      </c>
      <c r="F308" s="162" t="s">
        <v>2032</v>
      </c>
      <c r="G308" s="162" t="s">
        <v>34</v>
      </c>
      <c r="H308" s="162" t="s">
        <v>2128</v>
      </c>
      <c r="I308" s="162" t="s">
        <v>5660</v>
      </c>
      <c r="J308" s="162" t="s">
        <v>2396</v>
      </c>
      <c r="K308" s="162" t="s">
        <v>4648</v>
      </c>
      <c r="L308" s="162" t="s">
        <v>2255</v>
      </c>
      <c r="M308" s="540">
        <v>411620</v>
      </c>
      <c r="N308" s="162" t="s">
        <v>4648</v>
      </c>
      <c r="O308" s="162" t="s">
        <v>4614</v>
      </c>
      <c r="P308" s="162" t="s">
        <v>5433</v>
      </c>
      <c r="Q308" s="162" t="s">
        <v>2204</v>
      </c>
      <c r="R308" s="162" t="s">
        <v>2185</v>
      </c>
      <c r="S308" s="162" t="s">
        <v>4649</v>
      </c>
      <c r="T308" s="162">
        <v>56.1</v>
      </c>
      <c r="U308" s="162" t="s">
        <v>1947</v>
      </c>
      <c r="V308" s="162" t="s">
        <v>4650</v>
      </c>
      <c r="W308" s="162">
        <v>391488</v>
      </c>
      <c r="X308" s="162" t="s">
        <v>2122</v>
      </c>
      <c r="Y308" s="162" t="s">
        <v>3089</v>
      </c>
      <c r="Z308" s="162" t="s">
        <v>4651</v>
      </c>
      <c r="AA308" s="162" t="s">
        <v>2122</v>
      </c>
      <c r="AB308" s="162" t="s">
        <v>34</v>
      </c>
      <c r="AC308" s="162" t="s">
        <v>2123</v>
      </c>
      <c r="AD308" s="162" t="s">
        <v>2124</v>
      </c>
      <c r="AE308" s="162" t="s">
        <v>1758</v>
      </c>
      <c r="AF308" s="162" t="s">
        <v>4576</v>
      </c>
      <c r="AG308" s="162" t="s">
        <v>34</v>
      </c>
      <c r="AH308" s="162" t="s">
        <v>34</v>
      </c>
      <c r="AI308" s="162" t="s">
        <v>34</v>
      </c>
      <c r="AJ308" s="162" t="s">
        <v>34</v>
      </c>
      <c r="AK308" s="162" t="s">
        <v>2125</v>
      </c>
      <c r="AL308" s="162" t="s">
        <v>3725</v>
      </c>
      <c r="AM308" t="s">
        <v>4821</v>
      </c>
      <c r="AN308" s="478">
        <v>0</v>
      </c>
      <c r="AO308" s="478">
        <v>0</v>
      </c>
    </row>
    <row r="309" spans="1:41" x14ac:dyDescent="0.2">
      <c r="A309">
        <v>308</v>
      </c>
      <c r="B309" s="462" t="s">
        <v>3013</v>
      </c>
      <c r="C309" s="162" t="s">
        <v>4612</v>
      </c>
      <c r="D309" s="162" t="s">
        <v>4613</v>
      </c>
      <c r="E309" s="162" t="s">
        <v>2063</v>
      </c>
      <c r="F309" s="162" t="s">
        <v>2032</v>
      </c>
      <c r="G309" s="162" t="s">
        <v>34</v>
      </c>
      <c r="H309" s="162" t="s">
        <v>2128</v>
      </c>
      <c r="I309" s="162" t="s">
        <v>5660</v>
      </c>
      <c r="J309" s="162" t="s">
        <v>2396</v>
      </c>
      <c r="K309" s="162" t="s">
        <v>4581</v>
      </c>
      <c r="L309" s="162" t="s">
        <v>2243</v>
      </c>
      <c r="M309" s="540" t="s">
        <v>4579</v>
      </c>
      <c r="N309" s="162" t="s">
        <v>4579</v>
      </c>
      <c r="O309" s="162" t="s">
        <v>4614</v>
      </c>
      <c r="P309" s="162" t="s">
        <v>3229</v>
      </c>
      <c r="Q309" s="162" t="s">
        <v>2204</v>
      </c>
      <c r="R309" s="162" t="s">
        <v>2185</v>
      </c>
      <c r="S309" s="162" t="s">
        <v>5576</v>
      </c>
      <c r="T309" s="162">
        <v>826.67</v>
      </c>
      <c r="U309" s="162" t="s">
        <v>1947</v>
      </c>
      <c r="V309" s="162" t="s">
        <v>4582</v>
      </c>
      <c r="W309" s="162">
        <v>188905</v>
      </c>
      <c r="X309" s="162" t="s">
        <v>2122</v>
      </c>
      <c r="Y309" s="162" t="s">
        <v>4583</v>
      </c>
      <c r="Z309" s="162">
        <v>16386514</v>
      </c>
      <c r="AA309" s="162" t="s">
        <v>2122</v>
      </c>
      <c r="AB309" s="162" t="s">
        <v>34</v>
      </c>
      <c r="AC309" s="162" t="s">
        <v>2123</v>
      </c>
      <c r="AD309" s="162" t="s">
        <v>2124</v>
      </c>
      <c r="AE309" s="162" t="s">
        <v>1758</v>
      </c>
      <c r="AF309" s="162" t="s">
        <v>4576</v>
      </c>
      <c r="AG309" s="162" t="s">
        <v>34</v>
      </c>
      <c r="AH309" s="162" t="s">
        <v>34</v>
      </c>
      <c r="AI309" s="162" t="s">
        <v>34</v>
      </c>
      <c r="AJ309" s="162" t="s">
        <v>34</v>
      </c>
      <c r="AK309" s="162" t="s">
        <v>2125</v>
      </c>
      <c r="AL309" s="162" t="s">
        <v>3725</v>
      </c>
      <c r="AM309" t="s">
        <v>4821</v>
      </c>
      <c r="AN309" s="478">
        <v>0</v>
      </c>
      <c r="AO309" s="478">
        <v>0</v>
      </c>
    </row>
    <row r="310" spans="1:41" x14ac:dyDescent="0.2">
      <c r="A310">
        <v>309</v>
      </c>
      <c r="B310" s="462" t="s">
        <v>3013</v>
      </c>
      <c r="C310" s="162" t="s">
        <v>4579</v>
      </c>
      <c r="D310" s="162" t="s">
        <v>4580</v>
      </c>
      <c r="E310" s="162" t="s">
        <v>2063</v>
      </c>
      <c r="F310" s="162" t="s">
        <v>2032</v>
      </c>
      <c r="G310" s="162" t="s">
        <v>34</v>
      </c>
      <c r="H310" s="162" t="s">
        <v>2128</v>
      </c>
      <c r="I310" s="162" t="s">
        <v>5651</v>
      </c>
      <c r="J310" s="162" t="s">
        <v>2396</v>
      </c>
      <c r="K310" s="162" t="s">
        <v>4581</v>
      </c>
      <c r="L310" s="162" t="s">
        <v>2243</v>
      </c>
      <c r="M310" s="540" t="s">
        <v>4579</v>
      </c>
      <c r="N310" s="162" t="s">
        <v>4579</v>
      </c>
      <c r="O310" s="162" t="s">
        <v>904</v>
      </c>
      <c r="P310" s="162" t="s">
        <v>3229</v>
      </c>
      <c r="Q310" s="162" t="s">
        <v>2204</v>
      </c>
      <c r="R310" s="162" t="s">
        <v>2185</v>
      </c>
      <c r="S310" s="162" t="s">
        <v>5576</v>
      </c>
      <c r="T310" s="162">
        <v>826.67</v>
      </c>
      <c r="U310" s="162" t="s">
        <v>2150</v>
      </c>
      <c r="V310" s="162" t="s">
        <v>4582</v>
      </c>
      <c r="W310" s="162">
        <v>188905</v>
      </c>
      <c r="X310" s="162" t="s">
        <v>2122</v>
      </c>
      <c r="Y310" s="162" t="s">
        <v>4583</v>
      </c>
      <c r="Z310" s="162">
        <v>16386514</v>
      </c>
      <c r="AA310" s="162" t="s">
        <v>2122</v>
      </c>
      <c r="AB310" s="162" t="s">
        <v>34</v>
      </c>
      <c r="AC310" s="162" t="s">
        <v>2123</v>
      </c>
      <c r="AD310" s="162" t="s">
        <v>2124</v>
      </c>
      <c r="AE310" s="162" t="s">
        <v>1758</v>
      </c>
      <c r="AF310" s="162" t="s">
        <v>4576</v>
      </c>
      <c r="AG310" s="162" t="s">
        <v>34</v>
      </c>
      <c r="AH310" s="162" t="s">
        <v>34</v>
      </c>
      <c r="AI310" s="162" t="s">
        <v>34</v>
      </c>
      <c r="AJ310" s="162" t="s">
        <v>34</v>
      </c>
      <c r="AK310" s="162" t="s">
        <v>2125</v>
      </c>
      <c r="AL310" s="162" t="s">
        <v>3725</v>
      </c>
      <c r="AM310" t="s">
        <v>4804</v>
      </c>
      <c r="AN310" s="478">
        <v>0</v>
      </c>
      <c r="AO310" s="478">
        <v>0</v>
      </c>
    </row>
    <row r="311" spans="1:41" x14ac:dyDescent="0.2">
      <c r="A311">
        <v>310</v>
      </c>
      <c r="B311" s="462" t="s">
        <v>3013</v>
      </c>
      <c r="C311" s="162" t="s">
        <v>4596</v>
      </c>
      <c r="D311" s="162" t="s">
        <v>4597</v>
      </c>
      <c r="E311" s="162" t="s">
        <v>2063</v>
      </c>
      <c r="F311" s="162" t="s">
        <v>2032</v>
      </c>
      <c r="G311" s="162" t="s">
        <v>34</v>
      </c>
      <c r="H311" s="162" t="s">
        <v>2128</v>
      </c>
      <c r="I311" s="162" t="s">
        <v>5651</v>
      </c>
      <c r="J311" s="162" t="s">
        <v>2396</v>
      </c>
      <c r="K311" s="162" t="s">
        <v>4581</v>
      </c>
      <c r="L311" s="162" t="s">
        <v>2243</v>
      </c>
      <c r="M311" s="540" t="s">
        <v>4598</v>
      </c>
      <c r="N311" s="162" t="s">
        <v>4598</v>
      </c>
      <c r="O311" s="162" t="s">
        <v>5656</v>
      </c>
      <c r="P311" s="162" t="s">
        <v>3229</v>
      </c>
      <c r="Q311" s="162" t="s">
        <v>4863</v>
      </c>
      <c r="R311" s="162" t="s">
        <v>2185</v>
      </c>
      <c r="S311" s="162" t="s">
        <v>4599</v>
      </c>
      <c r="T311" s="162">
        <v>1178.5999999999999</v>
      </c>
      <c r="U311" s="162" t="s">
        <v>2149</v>
      </c>
      <c r="V311" s="162" t="s">
        <v>2908</v>
      </c>
      <c r="W311" s="162">
        <v>43420</v>
      </c>
      <c r="X311" s="162" t="s">
        <v>4864</v>
      </c>
      <c r="Y311" s="162" t="s">
        <v>5487</v>
      </c>
      <c r="Z311" s="162">
        <v>16461118</v>
      </c>
      <c r="AA311" s="162" t="s">
        <v>4864</v>
      </c>
      <c r="AB311" s="162" t="s">
        <v>34</v>
      </c>
      <c r="AC311" s="162" t="s">
        <v>2123</v>
      </c>
      <c r="AD311" s="162" t="s">
        <v>2124</v>
      </c>
      <c r="AE311" s="162" t="s">
        <v>1758</v>
      </c>
      <c r="AF311" s="162">
        <v>7</v>
      </c>
      <c r="AG311" s="162">
        <v>0.09</v>
      </c>
      <c r="AH311" s="162">
        <v>0.28999999999999998</v>
      </c>
      <c r="AI311" s="162" t="s">
        <v>34</v>
      </c>
      <c r="AJ311" s="162" t="s">
        <v>34</v>
      </c>
      <c r="AK311" s="162" t="s">
        <v>2125</v>
      </c>
      <c r="AL311" s="162" t="s">
        <v>3725</v>
      </c>
      <c r="AM311" t="s">
        <v>4804</v>
      </c>
      <c r="AN311" s="478">
        <v>0</v>
      </c>
      <c r="AO311" s="478">
        <v>0</v>
      </c>
    </row>
    <row r="312" spans="1:41" x14ac:dyDescent="0.2">
      <c r="A312">
        <v>311</v>
      </c>
      <c r="B312" s="462" t="s">
        <v>3013</v>
      </c>
      <c r="C312" s="162" t="s">
        <v>4600</v>
      </c>
      <c r="D312" s="162" t="s">
        <v>4601</v>
      </c>
      <c r="E312" s="162" t="s">
        <v>2063</v>
      </c>
      <c r="F312" s="162" t="s">
        <v>2032</v>
      </c>
      <c r="G312" s="162" t="s">
        <v>34</v>
      </c>
      <c r="H312" s="162" t="s">
        <v>2128</v>
      </c>
      <c r="I312" s="162" t="s">
        <v>5651</v>
      </c>
      <c r="J312" s="162" t="s">
        <v>2396</v>
      </c>
      <c r="K312" s="162" t="s">
        <v>4581</v>
      </c>
      <c r="L312" s="162" t="s">
        <v>2243</v>
      </c>
      <c r="M312" s="540" t="s">
        <v>4598</v>
      </c>
      <c r="N312" s="162" t="s">
        <v>4598</v>
      </c>
      <c r="O312" s="162" t="s">
        <v>3051</v>
      </c>
      <c r="P312" s="162" t="s">
        <v>3229</v>
      </c>
      <c r="Q312" s="162" t="s">
        <v>2204</v>
      </c>
      <c r="R312" s="162" t="s">
        <v>2185</v>
      </c>
      <c r="S312" s="162" t="s">
        <v>4599</v>
      </c>
      <c r="T312" s="162">
        <v>1178.5999999999999</v>
      </c>
      <c r="U312" s="162" t="s">
        <v>1947</v>
      </c>
      <c r="V312" s="162" t="s">
        <v>2908</v>
      </c>
      <c r="W312" s="162">
        <v>43420</v>
      </c>
      <c r="X312" s="162" t="s">
        <v>2122</v>
      </c>
      <c r="Y312" s="162" t="s">
        <v>4583</v>
      </c>
      <c r="Z312" s="162">
        <v>16446054</v>
      </c>
      <c r="AA312" s="162" t="s">
        <v>2122</v>
      </c>
      <c r="AB312" s="162" t="s">
        <v>34</v>
      </c>
      <c r="AC312" s="162" t="s">
        <v>2123</v>
      </c>
      <c r="AD312" s="162" t="s">
        <v>2124</v>
      </c>
      <c r="AE312" s="162" t="s">
        <v>1758</v>
      </c>
      <c r="AF312" s="162">
        <v>7</v>
      </c>
      <c r="AG312" s="162">
        <v>0.09</v>
      </c>
      <c r="AH312" s="162">
        <v>0.28999999999999998</v>
      </c>
      <c r="AI312" s="162" t="s">
        <v>34</v>
      </c>
      <c r="AJ312" s="162" t="s">
        <v>34</v>
      </c>
      <c r="AK312" s="162" t="s">
        <v>2125</v>
      </c>
      <c r="AL312" s="162" t="s">
        <v>3725</v>
      </c>
      <c r="AM312" t="s">
        <v>4821</v>
      </c>
      <c r="AN312" s="478">
        <v>0</v>
      </c>
      <c r="AO312" s="478">
        <v>0</v>
      </c>
    </row>
    <row r="313" spans="1:41" x14ac:dyDescent="0.2">
      <c r="A313">
        <v>312</v>
      </c>
      <c r="B313" s="462" t="s">
        <v>3013</v>
      </c>
      <c r="C313" s="162" t="s">
        <v>4917</v>
      </c>
      <c r="D313" s="162" t="s">
        <v>4918</v>
      </c>
      <c r="E313" s="162" t="s">
        <v>2063</v>
      </c>
      <c r="F313" s="162" t="s">
        <v>2032</v>
      </c>
      <c r="G313" s="162" t="s">
        <v>34</v>
      </c>
      <c r="H313" s="162" t="s">
        <v>2128</v>
      </c>
      <c r="I313" s="162" t="s">
        <v>3084</v>
      </c>
      <c r="J313" s="162" t="s">
        <v>2396</v>
      </c>
      <c r="K313" s="162" t="s">
        <v>4581</v>
      </c>
      <c r="L313" s="162" t="s">
        <v>4919</v>
      </c>
      <c r="M313" s="540">
        <v>144582</v>
      </c>
      <c r="N313" s="162" t="s">
        <v>4920</v>
      </c>
      <c r="O313" s="162" t="s">
        <v>3051</v>
      </c>
      <c r="P313" s="162" t="s">
        <v>4921</v>
      </c>
      <c r="Q313" s="162" t="s">
        <v>2204</v>
      </c>
      <c r="R313" s="162" t="s">
        <v>2185</v>
      </c>
      <c r="S313" s="162" t="s">
        <v>4922</v>
      </c>
      <c r="T313" s="162">
        <v>25.5</v>
      </c>
      <c r="U313" s="162" t="s">
        <v>1947</v>
      </c>
      <c r="V313" s="162" t="s">
        <v>4923</v>
      </c>
      <c r="W313" s="162" t="s">
        <v>4924</v>
      </c>
      <c r="X313" s="162" t="s">
        <v>2122</v>
      </c>
      <c r="Y313" s="162" t="s">
        <v>4925</v>
      </c>
      <c r="Z313" s="162" t="s">
        <v>4926</v>
      </c>
      <c r="AA313" s="162" t="s">
        <v>2122</v>
      </c>
      <c r="AB313" s="162" t="s">
        <v>34</v>
      </c>
      <c r="AC313" s="162" t="s">
        <v>2123</v>
      </c>
      <c r="AD313" s="162" t="s">
        <v>2124</v>
      </c>
      <c r="AE313" s="162" t="s">
        <v>1758</v>
      </c>
      <c r="AF313" s="162" t="s">
        <v>3347</v>
      </c>
      <c r="AG313" s="162" t="s">
        <v>34</v>
      </c>
      <c r="AH313" s="162" t="s">
        <v>34</v>
      </c>
      <c r="AI313" s="162" t="s">
        <v>34</v>
      </c>
      <c r="AJ313" s="162" t="s">
        <v>34</v>
      </c>
      <c r="AK313" s="162" t="s">
        <v>2125</v>
      </c>
      <c r="AL313" s="162" t="s">
        <v>3725</v>
      </c>
      <c r="AM313" t="s">
        <v>4821</v>
      </c>
      <c r="AN313" s="478">
        <v>0</v>
      </c>
      <c r="AO313" s="478">
        <v>0</v>
      </c>
    </row>
    <row r="314" spans="1:41" x14ac:dyDescent="0.2">
      <c r="A314">
        <v>313</v>
      </c>
      <c r="B314" s="462" t="s">
        <v>3013</v>
      </c>
      <c r="C314" s="162" t="s">
        <v>4716</v>
      </c>
      <c r="D314" s="162" t="s">
        <v>4717</v>
      </c>
      <c r="E314" s="162" t="s">
        <v>2063</v>
      </c>
      <c r="F314" s="162" t="s">
        <v>2032</v>
      </c>
      <c r="G314" s="162" t="s">
        <v>34</v>
      </c>
      <c r="H314" s="162" t="s">
        <v>2128</v>
      </c>
      <c r="I314" s="162" t="s">
        <v>5651</v>
      </c>
      <c r="J314" s="162" t="s">
        <v>2396</v>
      </c>
      <c r="K314" s="162" t="s">
        <v>4581</v>
      </c>
      <c r="L314" s="162" t="s">
        <v>2243</v>
      </c>
      <c r="M314" s="540" t="s">
        <v>4718</v>
      </c>
      <c r="N314" s="162" t="s">
        <v>4719</v>
      </c>
      <c r="O314" s="162" t="s">
        <v>3051</v>
      </c>
      <c r="P314" s="162" t="s">
        <v>2245</v>
      </c>
      <c r="Q314" s="162" t="s">
        <v>2204</v>
      </c>
      <c r="R314" s="162" t="s">
        <v>2185</v>
      </c>
      <c r="S314" s="162" t="s">
        <v>4720</v>
      </c>
      <c r="T314" s="162">
        <v>73.900000000000006</v>
      </c>
      <c r="U314" s="162" t="s">
        <v>1947</v>
      </c>
      <c r="V314" s="162" t="s">
        <v>4721</v>
      </c>
      <c r="W314" s="162" t="s">
        <v>4722</v>
      </c>
      <c r="X314" s="162" t="s">
        <v>2122</v>
      </c>
      <c r="Y314" s="162" t="s">
        <v>4583</v>
      </c>
      <c r="Z314" s="162">
        <v>16279345</v>
      </c>
      <c r="AA314" s="162" t="s">
        <v>2122</v>
      </c>
      <c r="AB314" s="162" t="s">
        <v>34</v>
      </c>
      <c r="AC314" s="162" t="s">
        <v>2123</v>
      </c>
      <c r="AD314" s="162" t="s">
        <v>2124</v>
      </c>
      <c r="AE314" s="162" t="s">
        <v>1758</v>
      </c>
      <c r="AF314" s="162">
        <v>1</v>
      </c>
      <c r="AG314" s="162">
        <v>4</v>
      </c>
      <c r="AH314" s="162">
        <v>1</v>
      </c>
      <c r="AI314" s="162" t="s">
        <v>4723</v>
      </c>
      <c r="AJ314" s="162" t="s">
        <v>34</v>
      </c>
      <c r="AK314" s="162" t="s">
        <v>2125</v>
      </c>
      <c r="AL314" s="162" t="s">
        <v>3725</v>
      </c>
      <c r="AM314" t="s">
        <v>4821</v>
      </c>
      <c r="AN314" s="478">
        <v>0</v>
      </c>
      <c r="AO314" s="478">
        <v>0</v>
      </c>
    </row>
    <row r="315" spans="1:41" x14ac:dyDescent="0.2">
      <c r="A315">
        <v>314</v>
      </c>
      <c r="B315" s="462" t="s">
        <v>3013</v>
      </c>
      <c r="C315" s="162" t="s">
        <v>4765</v>
      </c>
      <c r="D315" s="162" t="s">
        <v>4766</v>
      </c>
      <c r="E315" s="162" t="s">
        <v>2063</v>
      </c>
      <c r="F315" s="162" t="s">
        <v>2032</v>
      </c>
      <c r="G315" s="162" t="s">
        <v>34</v>
      </c>
      <c r="H315" s="162" t="s">
        <v>2128</v>
      </c>
      <c r="I315" s="162" t="s">
        <v>3084</v>
      </c>
      <c r="J315" s="162" t="s">
        <v>2396</v>
      </c>
      <c r="K315" s="162" t="s">
        <v>2909</v>
      </c>
      <c r="L315" s="162" t="s">
        <v>4767</v>
      </c>
      <c r="M315" s="540" t="s">
        <v>4768</v>
      </c>
      <c r="N315" s="162" t="s">
        <v>4769</v>
      </c>
      <c r="O315" s="162" t="s">
        <v>3051</v>
      </c>
      <c r="P315" s="162" t="s">
        <v>3037</v>
      </c>
      <c r="Q315" s="162" t="s">
        <v>2204</v>
      </c>
      <c r="R315" s="162" t="s">
        <v>2121</v>
      </c>
      <c r="S315" s="162" t="s">
        <v>2912</v>
      </c>
      <c r="T315" s="162">
        <v>378</v>
      </c>
      <c r="U315" s="162" t="s">
        <v>1947</v>
      </c>
      <c r="V315" s="162" t="s">
        <v>2908</v>
      </c>
      <c r="W315" s="162">
        <v>19259</v>
      </c>
      <c r="X315" s="162" t="s">
        <v>2122</v>
      </c>
      <c r="Y315" s="162" t="s">
        <v>4464</v>
      </c>
      <c r="Z315" s="162" t="s">
        <v>4770</v>
      </c>
      <c r="AA315" s="162" t="s">
        <v>2122</v>
      </c>
      <c r="AB315" s="162" t="s">
        <v>34</v>
      </c>
      <c r="AC315" s="162" t="s">
        <v>2123</v>
      </c>
      <c r="AD315" s="162" t="s">
        <v>2124</v>
      </c>
      <c r="AE315" s="162" t="s">
        <v>1758</v>
      </c>
      <c r="AF315" s="162" t="s">
        <v>4771</v>
      </c>
      <c r="AG315" s="162" t="s">
        <v>34</v>
      </c>
      <c r="AH315" s="162" t="s">
        <v>34</v>
      </c>
      <c r="AI315" s="162" t="s">
        <v>34</v>
      </c>
      <c r="AJ315" s="162" t="s">
        <v>34</v>
      </c>
      <c r="AK315" s="162" t="s">
        <v>2125</v>
      </c>
      <c r="AL315" s="162" t="s">
        <v>34</v>
      </c>
      <c r="AM315" t="s">
        <v>4821</v>
      </c>
      <c r="AN315" s="478">
        <v>0</v>
      </c>
      <c r="AO315" s="478">
        <v>0</v>
      </c>
    </row>
    <row r="316" spans="1:41" x14ac:dyDescent="0.2">
      <c r="A316">
        <v>315</v>
      </c>
      <c r="B316" s="541" t="s">
        <v>3013</v>
      </c>
      <c r="C316" s="542" t="s">
        <v>4769</v>
      </c>
      <c r="D316" s="541" t="s">
        <v>4772</v>
      </c>
      <c r="E316" s="541" t="s">
        <v>2063</v>
      </c>
      <c r="F316" s="542" t="s">
        <v>2032</v>
      </c>
      <c r="G316" s="541" t="s">
        <v>34</v>
      </c>
      <c r="H316" s="543" t="s">
        <v>2128</v>
      </c>
      <c r="I316" s="541" t="s">
        <v>5651</v>
      </c>
      <c r="J316" s="542" t="s">
        <v>2396</v>
      </c>
      <c r="K316" s="541" t="s">
        <v>2909</v>
      </c>
      <c r="L316" s="542" t="s">
        <v>4767</v>
      </c>
      <c r="M316" s="544" t="s">
        <v>4768</v>
      </c>
      <c r="N316" s="542" t="s">
        <v>4769</v>
      </c>
      <c r="O316" s="541" t="s">
        <v>5682</v>
      </c>
      <c r="P316" s="542" t="s">
        <v>3037</v>
      </c>
      <c r="Q316" s="420" t="s">
        <v>4863</v>
      </c>
      <c r="R316" s="542" t="s">
        <v>2121</v>
      </c>
      <c r="S316" s="541" t="s">
        <v>5685</v>
      </c>
      <c r="T316" s="542">
        <v>378</v>
      </c>
      <c r="U316" s="541" t="s">
        <v>2150</v>
      </c>
      <c r="V316" s="541" t="s">
        <v>2908</v>
      </c>
      <c r="W316" s="545" t="s">
        <v>4780</v>
      </c>
      <c r="X316" s="545" t="s">
        <v>4864</v>
      </c>
      <c r="Y316" s="542" t="s">
        <v>4464</v>
      </c>
      <c r="Z316" s="541" t="s">
        <v>4770</v>
      </c>
      <c r="AA316" s="545" t="s">
        <v>4864</v>
      </c>
      <c r="AB316" s="541" t="s">
        <v>34</v>
      </c>
      <c r="AC316" s="541" t="s">
        <v>2123</v>
      </c>
      <c r="AD316" s="546" t="s">
        <v>2124</v>
      </c>
      <c r="AE316" s="541" t="s">
        <v>1758</v>
      </c>
      <c r="AF316" s="541" t="s">
        <v>4771</v>
      </c>
      <c r="AG316" s="541" t="s">
        <v>34</v>
      </c>
      <c r="AH316" s="541" t="s">
        <v>34</v>
      </c>
      <c r="AI316" s="541" t="s">
        <v>34</v>
      </c>
      <c r="AJ316" s="541" t="s">
        <v>34</v>
      </c>
      <c r="AK316" s="542" t="s">
        <v>2125</v>
      </c>
      <c r="AL316" t="s">
        <v>34</v>
      </c>
      <c r="AM316" s="547" t="s">
        <v>4803</v>
      </c>
      <c r="AN316">
        <v>0</v>
      </c>
      <c r="AO316">
        <v>0</v>
      </c>
    </row>
    <row r="317" spans="1:41" x14ac:dyDescent="0.2">
      <c r="A317">
        <v>316</v>
      </c>
      <c r="B317" s="462" t="s">
        <v>3013</v>
      </c>
      <c r="C317" s="162" t="s">
        <v>5754</v>
      </c>
      <c r="D317" s="162" t="s">
        <v>5755</v>
      </c>
      <c r="E317" s="162" t="s">
        <v>2063</v>
      </c>
      <c r="F317" s="162" t="s">
        <v>2032</v>
      </c>
      <c r="G317" s="162"/>
      <c r="H317" s="162" t="s">
        <v>2128</v>
      </c>
      <c r="I317" s="162" t="s">
        <v>5651</v>
      </c>
      <c r="J317" s="162" t="s">
        <v>2396</v>
      </c>
      <c r="K317" s="162" t="s">
        <v>2132</v>
      </c>
      <c r="L317" s="162" t="s">
        <v>2920</v>
      </c>
      <c r="M317" s="540" t="s">
        <v>2952</v>
      </c>
      <c r="N317" s="162" t="s">
        <v>5754</v>
      </c>
      <c r="O317" s="162" t="s">
        <v>904</v>
      </c>
      <c r="P317" s="162" t="s">
        <v>3018</v>
      </c>
      <c r="Q317" s="162" t="s">
        <v>2204</v>
      </c>
      <c r="R317" s="162" t="s">
        <v>2121</v>
      </c>
      <c r="S317" s="162" t="s">
        <v>5756</v>
      </c>
      <c r="T317" s="162">
        <v>1150</v>
      </c>
      <c r="U317" s="162" t="s">
        <v>1947</v>
      </c>
      <c r="V317" s="162" t="s">
        <v>2541</v>
      </c>
      <c r="W317" s="162" t="s">
        <v>2955</v>
      </c>
      <c r="X317" s="162" t="s">
        <v>2122</v>
      </c>
      <c r="Y317" s="162" t="s">
        <v>109</v>
      </c>
      <c r="Z317" s="162" t="s">
        <v>109</v>
      </c>
      <c r="AA317" s="162" t="s">
        <v>109</v>
      </c>
      <c r="AB317" s="162"/>
      <c r="AC317" s="162" t="s">
        <v>2123</v>
      </c>
      <c r="AD317" s="162" t="s">
        <v>2124</v>
      </c>
      <c r="AE317" s="162" t="s">
        <v>1758</v>
      </c>
      <c r="AF317" s="162" t="s">
        <v>3347</v>
      </c>
      <c r="AG317" s="162"/>
      <c r="AH317" s="162"/>
      <c r="AI317" s="162"/>
      <c r="AJ317" s="162"/>
      <c r="AK317" s="162" t="s">
        <v>2125</v>
      </c>
      <c r="AL317" s="162"/>
      <c r="AM317" t="s">
        <v>4803</v>
      </c>
      <c r="AN317" s="478"/>
      <c r="AO317" s="478"/>
    </row>
    <row r="318" spans="1:41" x14ac:dyDescent="0.2">
      <c r="A318">
        <v>317</v>
      </c>
      <c r="B318" s="462" t="s">
        <v>1338</v>
      </c>
      <c r="C318" s="162" t="s">
        <v>1971</v>
      </c>
      <c r="D318" s="162" t="s">
        <v>4158</v>
      </c>
      <c r="E318" s="162" t="s">
        <v>2064</v>
      </c>
      <c r="F318" s="162" t="s">
        <v>2065</v>
      </c>
      <c r="G318" s="162" t="s">
        <v>34</v>
      </c>
      <c r="H318" s="162" t="s">
        <v>2128</v>
      </c>
      <c r="I318" s="162" t="s">
        <v>5651</v>
      </c>
      <c r="J318" s="162" t="s">
        <v>2396</v>
      </c>
      <c r="K318" s="162" t="s">
        <v>1971</v>
      </c>
      <c r="L318" s="162" t="s">
        <v>1971</v>
      </c>
      <c r="M318" s="540" t="s">
        <v>3116</v>
      </c>
      <c r="N318" s="162" t="s">
        <v>1971</v>
      </c>
      <c r="O318" s="162" t="s">
        <v>5658</v>
      </c>
      <c r="P318" s="162" t="s">
        <v>3117</v>
      </c>
      <c r="Q318" s="162" t="s">
        <v>4861</v>
      </c>
      <c r="R318" s="162" t="s">
        <v>2185</v>
      </c>
      <c r="S318" s="162" t="s">
        <v>3118</v>
      </c>
      <c r="T318" s="162">
        <v>5.7</v>
      </c>
      <c r="U318" s="162" t="s">
        <v>2150</v>
      </c>
      <c r="V318" s="162" t="s">
        <v>3119</v>
      </c>
      <c r="W318" s="162" t="s">
        <v>3120</v>
      </c>
      <c r="X318" s="162" t="s">
        <v>4978</v>
      </c>
      <c r="Y318" s="162" t="s">
        <v>2319</v>
      </c>
      <c r="Z318" s="162" t="s">
        <v>3121</v>
      </c>
      <c r="AA318" s="162" t="s">
        <v>4978</v>
      </c>
      <c r="AB318" s="162" t="s">
        <v>34</v>
      </c>
      <c r="AC318" s="162" t="s">
        <v>2123</v>
      </c>
      <c r="AD318" s="162" t="s">
        <v>2124</v>
      </c>
      <c r="AE318" s="162" t="s">
        <v>1758</v>
      </c>
      <c r="AF318" s="162" t="s">
        <v>3874</v>
      </c>
      <c r="AG318" s="162">
        <v>0.5</v>
      </c>
      <c r="AH318" s="162">
        <v>0.99</v>
      </c>
      <c r="AI318" s="162" t="s">
        <v>34</v>
      </c>
      <c r="AJ318" s="162" t="s">
        <v>34</v>
      </c>
      <c r="AK318" s="162" t="s">
        <v>2125</v>
      </c>
      <c r="AL318" s="162" t="s">
        <v>3725</v>
      </c>
      <c r="AM318" t="s">
        <v>4803</v>
      </c>
      <c r="AN318" s="478">
        <v>0</v>
      </c>
      <c r="AO318" s="478">
        <v>0</v>
      </c>
    </row>
    <row r="319" spans="1:41" x14ac:dyDescent="0.2">
      <c r="A319">
        <v>318</v>
      </c>
      <c r="B319" s="462" t="s">
        <v>1338</v>
      </c>
      <c r="C319" s="162" t="s">
        <v>1340</v>
      </c>
      <c r="D319" s="162" t="s">
        <v>4159</v>
      </c>
      <c r="E319" s="162" t="s">
        <v>2064</v>
      </c>
      <c r="F319" s="162" t="s">
        <v>2065</v>
      </c>
      <c r="G319" s="162" t="s">
        <v>34</v>
      </c>
      <c r="H319" s="162" t="s">
        <v>2128</v>
      </c>
      <c r="I319" s="162" t="s">
        <v>5651</v>
      </c>
      <c r="J319" s="162" t="s">
        <v>2396</v>
      </c>
      <c r="K319" s="162" t="s">
        <v>3122</v>
      </c>
      <c r="L319" s="162" t="s">
        <v>3125</v>
      </c>
      <c r="M319" s="540" t="s">
        <v>3126</v>
      </c>
      <c r="N319" s="162" t="s">
        <v>1340</v>
      </c>
      <c r="O319" s="162" t="s">
        <v>5658</v>
      </c>
      <c r="P319" s="162" t="s">
        <v>3117</v>
      </c>
      <c r="Q319" s="162" t="s">
        <v>4861</v>
      </c>
      <c r="R319" s="162" t="s">
        <v>2121</v>
      </c>
      <c r="S319" s="162" t="s">
        <v>3127</v>
      </c>
      <c r="T319" s="162">
        <v>17.5</v>
      </c>
      <c r="U319" s="162" t="s">
        <v>2150</v>
      </c>
      <c r="V319" s="162" t="s">
        <v>2467</v>
      </c>
      <c r="W319" s="162" t="s">
        <v>3128</v>
      </c>
      <c r="X319" s="162" t="s">
        <v>4890</v>
      </c>
      <c r="Y319" s="162" t="s">
        <v>2319</v>
      </c>
      <c r="Z319" s="162" t="s">
        <v>3121</v>
      </c>
      <c r="AA319" s="162" t="s">
        <v>4890</v>
      </c>
      <c r="AB319" s="162" t="s">
        <v>34</v>
      </c>
      <c r="AC319" s="162" t="s">
        <v>2123</v>
      </c>
      <c r="AD319" s="162" t="s">
        <v>2124</v>
      </c>
      <c r="AE319" s="162" t="s">
        <v>1758</v>
      </c>
      <c r="AF319" s="162">
        <v>3</v>
      </c>
      <c r="AG319" s="162">
        <v>0.2</v>
      </c>
      <c r="AH319" s="162">
        <v>2</v>
      </c>
      <c r="AI319" s="162" t="s">
        <v>34</v>
      </c>
      <c r="AJ319" s="162" t="s">
        <v>34</v>
      </c>
      <c r="AK319" s="162" t="s">
        <v>2125</v>
      </c>
      <c r="AL319" s="162" t="s">
        <v>3725</v>
      </c>
      <c r="AM319" t="s">
        <v>4806</v>
      </c>
      <c r="AN319" s="478">
        <v>0</v>
      </c>
      <c r="AO319" s="478">
        <v>0</v>
      </c>
    </row>
    <row r="320" spans="1:41" x14ac:dyDescent="0.2">
      <c r="A320">
        <v>319</v>
      </c>
      <c r="B320" s="462" t="s">
        <v>1338</v>
      </c>
      <c r="C320" s="162" t="s">
        <v>837</v>
      </c>
      <c r="D320" s="162" t="s">
        <v>4160</v>
      </c>
      <c r="E320" s="162" t="s">
        <v>2064</v>
      </c>
      <c r="F320" s="162" t="s">
        <v>2065</v>
      </c>
      <c r="G320" s="162" t="s">
        <v>34</v>
      </c>
      <c r="H320" s="162" t="s">
        <v>2128</v>
      </c>
      <c r="I320" s="162" t="s">
        <v>5651</v>
      </c>
      <c r="J320" s="162" t="s">
        <v>2396</v>
      </c>
      <c r="K320" s="162" t="s">
        <v>3122</v>
      </c>
      <c r="L320" s="162">
        <v>332</v>
      </c>
      <c r="M320" s="540">
        <v>3</v>
      </c>
      <c r="N320" s="162" t="s">
        <v>837</v>
      </c>
      <c r="O320" s="162" t="s">
        <v>5658</v>
      </c>
      <c r="P320" s="162" t="s">
        <v>3123</v>
      </c>
      <c r="Q320" s="162" t="s">
        <v>4861</v>
      </c>
      <c r="R320" s="162" t="s">
        <v>2295</v>
      </c>
      <c r="S320" s="162" t="s">
        <v>5156</v>
      </c>
      <c r="T320" s="162">
        <v>0.7</v>
      </c>
      <c r="U320" s="162" t="s">
        <v>2151</v>
      </c>
      <c r="V320" s="162" t="s">
        <v>3124</v>
      </c>
      <c r="W320" s="162">
        <v>12199403014</v>
      </c>
      <c r="X320" s="162" t="s">
        <v>4890</v>
      </c>
      <c r="Y320" s="162" t="s">
        <v>2319</v>
      </c>
      <c r="Z320" s="162" t="s">
        <v>3121</v>
      </c>
      <c r="AA320" s="162" t="s">
        <v>4890</v>
      </c>
      <c r="AB320" s="162" t="s">
        <v>34</v>
      </c>
      <c r="AC320" s="162" t="s">
        <v>2123</v>
      </c>
      <c r="AD320" s="162" t="s">
        <v>2124</v>
      </c>
      <c r="AE320" s="162" t="s">
        <v>1758</v>
      </c>
      <c r="AF320" s="162" t="s">
        <v>3347</v>
      </c>
      <c r="AG320" s="162" t="s">
        <v>34</v>
      </c>
      <c r="AH320" s="162" t="s">
        <v>34</v>
      </c>
      <c r="AI320" s="162" t="s">
        <v>34</v>
      </c>
      <c r="AJ320" s="162" t="s">
        <v>34</v>
      </c>
      <c r="AK320" s="162" t="s">
        <v>2125</v>
      </c>
      <c r="AL320" s="162" t="s">
        <v>3725</v>
      </c>
      <c r="AM320" t="s">
        <v>4803</v>
      </c>
      <c r="AN320" s="478">
        <v>0</v>
      </c>
      <c r="AO320" s="478">
        <v>0</v>
      </c>
    </row>
    <row r="321" spans="1:41" x14ac:dyDescent="0.2">
      <c r="A321">
        <v>320</v>
      </c>
      <c r="B321" s="462" t="s">
        <v>1777</v>
      </c>
      <c r="C321" s="162" t="s">
        <v>972</v>
      </c>
      <c r="D321" s="162" t="s">
        <v>4161</v>
      </c>
      <c r="E321" s="162" t="s">
        <v>2066</v>
      </c>
      <c r="F321" s="162" t="s">
        <v>2010</v>
      </c>
      <c r="G321" s="162" t="s">
        <v>34</v>
      </c>
      <c r="H321" s="162" t="s">
        <v>2128</v>
      </c>
      <c r="I321" s="162" t="s">
        <v>5686</v>
      </c>
      <c r="J321" s="162" t="s">
        <v>2740</v>
      </c>
      <c r="K321" s="162" t="s">
        <v>1238</v>
      </c>
      <c r="L321" s="162" t="s">
        <v>3154</v>
      </c>
      <c r="M321" s="540">
        <v>896034</v>
      </c>
      <c r="N321" s="162" t="s">
        <v>972</v>
      </c>
      <c r="O321" s="162" t="s">
        <v>904</v>
      </c>
      <c r="P321" s="162" t="s">
        <v>3155</v>
      </c>
      <c r="Q321" s="162" t="s">
        <v>2120</v>
      </c>
      <c r="R321" s="162" t="s">
        <v>2121</v>
      </c>
      <c r="S321" s="162" t="s">
        <v>3156</v>
      </c>
      <c r="T321" s="162">
        <v>22.2</v>
      </c>
      <c r="U321" s="162" t="s">
        <v>2150</v>
      </c>
      <c r="V321" s="162" t="s">
        <v>3157</v>
      </c>
      <c r="W321" s="162">
        <v>5890</v>
      </c>
      <c r="X321" s="162" t="s">
        <v>2120</v>
      </c>
      <c r="Y321" s="162" t="s">
        <v>109</v>
      </c>
      <c r="Z321" s="162" t="s">
        <v>109</v>
      </c>
      <c r="AA321" s="162" t="s">
        <v>109</v>
      </c>
      <c r="AB321" s="162" t="s">
        <v>3158</v>
      </c>
      <c r="AC321" s="162" t="s">
        <v>2123</v>
      </c>
      <c r="AD321" s="162" t="s">
        <v>2124</v>
      </c>
      <c r="AE321" s="162" t="s">
        <v>1758</v>
      </c>
      <c r="AF321" s="162" t="s">
        <v>3347</v>
      </c>
      <c r="AG321" s="162" t="s">
        <v>34</v>
      </c>
      <c r="AH321" s="162" t="s">
        <v>34</v>
      </c>
      <c r="AI321" s="162" t="s">
        <v>34</v>
      </c>
      <c r="AJ321" s="162" t="s">
        <v>34</v>
      </c>
      <c r="AK321" s="162" t="s">
        <v>2125</v>
      </c>
      <c r="AL321" s="162" t="s">
        <v>34</v>
      </c>
      <c r="AM321" t="s">
        <v>4803</v>
      </c>
      <c r="AN321" s="478">
        <v>0</v>
      </c>
      <c r="AO321" s="478">
        <v>0</v>
      </c>
    </row>
    <row r="322" spans="1:41" x14ac:dyDescent="0.2">
      <c r="A322">
        <v>321</v>
      </c>
      <c r="B322" s="462" t="s">
        <v>1777</v>
      </c>
      <c r="C322" s="162" t="s">
        <v>969</v>
      </c>
      <c r="D322" s="162" t="s">
        <v>4162</v>
      </c>
      <c r="E322" s="162" t="s">
        <v>2066</v>
      </c>
      <c r="F322" s="162" t="s">
        <v>2010</v>
      </c>
      <c r="G322" s="162" t="s">
        <v>34</v>
      </c>
      <c r="H322" s="162" t="s">
        <v>2128</v>
      </c>
      <c r="I322" s="162" t="s">
        <v>5687</v>
      </c>
      <c r="J322" s="162" t="s">
        <v>2740</v>
      </c>
      <c r="K322" s="162" t="s">
        <v>3159</v>
      </c>
      <c r="L322" s="162" t="s">
        <v>2469</v>
      </c>
      <c r="M322" s="540" t="s">
        <v>969</v>
      </c>
      <c r="N322" s="162" t="s">
        <v>969</v>
      </c>
      <c r="O322" s="162" t="s">
        <v>904</v>
      </c>
      <c r="P322" s="162" t="s">
        <v>3155</v>
      </c>
      <c r="Q322" s="162" t="s">
        <v>2120</v>
      </c>
      <c r="R322" s="162" t="s">
        <v>2295</v>
      </c>
      <c r="S322" s="162" t="s">
        <v>3160</v>
      </c>
      <c r="T322" s="162">
        <v>87.5</v>
      </c>
      <c r="U322" s="162" t="s">
        <v>2150</v>
      </c>
      <c r="V322" s="162" t="s">
        <v>5367</v>
      </c>
      <c r="W322" s="162" t="s">
        <v>5368</v>
      </c>
      <c r="X322" s="162" t="s">
        <v>2120</v>
      </c>
      <c r="Y322" s="162" t="s">
        <v>109</v>
      </c>
      <c r="Z322" s="162" t="s">
        <v>109</v>
      </c>
      <c r="AA322" s="162" t="s">
        <v>109</v>
      </c>
      <c r="AB322" s="162" t="s">
        <v>3161</v>
      </c>
      <c r="AC322" s="162" t="s">
        <v>2123</v>
      </c>
      <c r="AD322" s="162" t="s">
        <v>2124</v>
      </c>
      <c r="AE322" s="162" t="s">
        <v>1758</v>
      </c>
      <c r="AF322" s="162">
        <v>1</v>
      </c>
      <c r="AG322" s="162">
        <v>0.32</v>
      </c>
      <c r="AH322" s="162">
        <v>0.08</v>
      </c>
      <c r="AI322" s="162" t="s">
        <v>3895</v>
      </c>
      <c r="AJ322" s="162" t="s">
        <v>34</v>
      </c>
      <c r="AK322" s="162" t="s">
        <v>2125</v>
      </c>
      <c r="AL322" s="162" t="s">
        <v>34</v>
      </c>
      <c r="AM322" t="s">
        <v>4803</v>
      </c>
      <c r="AN322" s="478">
        <v>0</v>
      </c>
      <c r="AO322" s="478">
        <v>0</v>
      </c>
    </row>
    <row r="323" spans="1:41" x14ac:dyDescent="0.2">
      <c r="A323">
        <v>322</v>
      </c>
      <c r="B323" s="462" t="s">
        <v>1777</v>
      </c>
      <c r="C323" s="162" t="s">
        <v>960</v>
      </c>
      <c r="D323" s="162" t="s">
        <v>4163</v>
      </c>
      <c r="E323" s="162" t="s">
        <v>2066</v>
      </c>
      <c r="F323" s="162" t="s">
        <v>2010</v>
      </c>
      <c r="G323" s="162" t="s">
        <v>34</v>
      </c>
      <c r="H323" s="162" t="s">
        <v>2128</v>
      </c>
      <c r="I323" s="162" t="s">
        <v>5651</v>
      </c>
      <c r="J323" s="162" t="s">
        <v>2396</v>
      </c>
      <c r="K323" s="162" t="s">
        <v>3135</v>
      </c>
      <c r="L323" s="162" t="s">
        <v>3136</v>
      </c>
      <c r="M323" s="540" t="s">
        <v>3137</v>
      </c>
      <c r="N323" s="162" t="s">
        <v>960</v>
      </c>
      <c r="O323" s="162" t="s">
        <v>5652</v>
      </c>
      <c r="P323" s="162" t="s">
        <v>2421</v>
      </c>
      <c r="Q323" s="162" t="s">
        <v>4863</v>
      </c>
      <c r="R323" s="162" t="s">
        <v>2295</v>
      </c>
      <c r="S323" s="162" t="s">
        <v>3138</v>
      </c>
      <c r="T323" s="162">
        <v>302.5</v>
      </c>
      <c r="U323" s="162" t="s">
        <v>2150</v>
      </c>
      <c r="V323" s="162" t="s">
        <v>3328</v>
      </c>
      <c r="W323" s="162" t="s">
        <v>5434</v>
      </c>
      <c r="X323" s="162" t="s">
        <v>4864</v>
      </c>
      <c r="Y323" s="162" t="s">
        <v>3328</v>
      </c>
      <c r="Z323" s="162" t="s">
        <v>5434</v>
      </c>
      <c r="AA323" s="162" t="s">
        <v>4864</v>
      </c>
      <c r="AB323" s="162" t="s">
        <v>34</v>
      </c>
      <c r="AC323" s="162" t="s">
        <v>2123</v>
      </c>
      <c r="AD323" s="162" t="s">
        <v>2124</v>
      </c>
      <c r="AE323" s="162" t="s">
        <v>1758</v>
      </c>
      <c r="AF323" s="162">
        <v>31.4</v>
      </c>
      <c r="AG323" s="162">
        <v>68</v>
      </c>
      <c r="AH323" s="162">
        <v>11</v>
      </c>
      <c r="AI323" s="162" t="s">
        <v>34</v>
      </c>
      <c r="AJ323" s="162" t="s">
        <v>34</v>
      </c>
      <c r="AK323" s="162" t="s">
        <v>2125</v>
      </c>
      <c r="AL323" s="162" t="s">
        <v>34</v>
      </c>
      <c r="AM323" t="s">
        <v>4803</v>
      </c>
      <c r="AN323" s="478"/>
      <c r="AO323" s="478"/>
    </row>
    <row r="324" spans="1:41" x14ac:dyDescent="0.2">
      <c r="A324">
        <v>323</v>
      </c>
      <c r="B324" s="462" t="s">
        <v>1777</v>
      </c>
      <c r="C324" s="162" t="s">
        <v>983</v>
      </c>
      <c r="D324" s="162" t="s">
        <v>4164</v>
      </c>
      <c r="E324" s="162" t="s">
        <v>2066</v>
      </c>
      <c r="F324" s="162" t="s">
        <v>2010</v>
      </c>
      <c r="G324" s="162" t="s">
        <v>34</v>
      </c>
      <c r="H324" s="162" t="s">
        <v>2128</v>
      </c>
      <c r="I324" s="162" t="s">
        <v>5651</v>
      </c>
      <c r="J324" s="162" t="s">
        <v>2396</v>
      </c>
      <c r="K324" s="162" t="s">
        <v>2851</v>
      </c>
      <c r="L324" s="162" t="s">
        <v>3139</v>
      </c>
      <c r="M324" s="540" t="s">
        <v>3140</v>
      </c>
      <c r="N324" s="162" t="s">
        <v>983</v>
      </c>
      <c r="O324" s="162" t="s">
        <v>5652</v>
      </c>
      <c r="P324" s="162" t="s">
        <v>3141</v>
      </c>
      <c r="Q324" s="162" t="s">
        <v>4863</v>
      </c>
      <c r="R324" s="162" t="s">
        <v>2295</v>
      </c>
      <c r="S324" s="162" t="s">
        <v>3142</v>
      </c>
      <c r="T324" s="162">
        <v>196</v>
      </c>
      <c r="U324" s="162" t="s">
        <v>2150</v>
      </c>
      <c r="V324" s="162" t="s">
        <v>3143</v>
      </c>
      <c r="W324" s="162" t="s">
        <v>2196</v>
      </c>
      <c r="X324" s="162" t="s">
        <v>4864</v>
      </c>
      <c r="Y324" s="162" t="s">
        <v>3143</v>
      </c>
      <c r="Z324" s="162" t="s">
        <v>2196</v>
      </c>
      <c r="AA324" s="162" t="s">
        <v>4864</v>
      </c>
      <c r="AB324" s="162" t="s">
        <v>34</v>
      </c>
      <c r="AC324" s="162" t="s">
        <v>2123</v>
      </c>
      <c r="AD324" s="162" t="s">
        <v>2124</v>
      </c>
      <c r="AE324" s="162" t="s">
        <v>1758</v>
      </c>
      <c r="AF324" s="162">
        <v>30000</v>
      </c>
      <c r="AG324" s="162">
        <v>10</v>
      </c>
      <c r="AH324" s="162">
        <v>1000</v>
      </c>
      <c r="AI324" s="162" t="s">
        <v>34</v>
      </c>
      <c r="AJ324" s="162" t="s">
        <v>34</v>
      </c>
      <c r="AK324" s="162" t="s">
        <v>2125</v>
      </c>
      <c r="AL324" s="162" t="s">
        <v>34</v>
      </c>
      <c r="AM324" t="s">
        <v>4806</v>
      </c>
      <c r="AN324" s="478">
        <v>1.4583333333333332E-2</v>
      </c>
      <c r="AO324" s="478">
        <v>0</v>
      </c>
    </row>
    <row r="325" spans="1:41" x14ac:dyDescent="0.2">
      <c r="A325">
        <v>324</v>
      </c>
      <c r="B325" s="462" t="s">
        <v>1777</v>
      </c>
      <c r="C325" s="162" t="s">
        <v>974</v>
      </c>
      <c r="D325" s="162" t="s">
        <v>4165</v>
      </c>
      <c r="E325" s="162" t="s">
        <v>2066</v>
      </c>
      <c r="F325" s="162" t="s">
        <v>2010</v>
      </c>
      <c r="G325" s="162" t="s">
        <v>34</v>
      </c>
      <c r="H325" s="162" t="s">
        <v>2128</v>
      </c>
      <c r="I325" s="162" t="s">
        <v>5651</v>
      </c>
      <c r="J325" s="162" t="s">
        <v>2396</v>
      </c>
      <c r="K325" s="162" t="s">
        <v>3166</v>
      </c>
      <c r="L325" s="162" t="s">
        <v>3167</v>
      </c>
      <c r="M325" s="540" t="s">
        <v>974</v>
      </c>
      <c r="N325" s="162" t="s">
        <v>974</v>
      </c>
      <c r="O325" s="162" t="s">
        <v>5046</v>
      </c>
      <c r="P325" s="162" t="s">
        <v>3168</v>
      </c>
      <c r="Q325" s="162" t="s">
        <v>4861</v>
      </c>
      <c r="R325" s="162" t="s">
        <v>2295</v>
      </c>
      <c r="S325" s="162" t="s">
        <v>3169</v>
      </c>
      <c r="T325" s="162">
        <v>390</v>
      </c>
      <c r="U325" s="162" t="s">
        <v>2150</v>
      </c>
      <c r="V325" s="162" t="s">
        <v>5369</v>
      </c>
      <c r="W325" s="162" t="s">
        <v>5370</v>
      </c>
      <c r="X325" s="162" t="s">
        <v>4864</v>
      </c>
      <c r="Y325" s="162" t="s">
        <v>5369</v>
      </c>
      <c r="Z325" s="162" t="s">
        <v>5370</v>
      </c>
      <c r="AA325" s="162" t="s">
        <v>4864</v>
      </c>
      <c r="AB325" s="162" t="s">
        <v>34</v>
      </c>
      <c r="AC325" s="162" t="s">
        <v>2123</v>
      </c>
      <c r="AD325" s="162" t="s">
        <v>2124</v>
      </c>
      <c r="AE325" s="162" t="s">
        <v>1758</v>
      </c>
      <c r="AF325" s="162" t="s">
        <v>3347</v>
      </c>
      <c r="AG325" s="162" t="s">
        <v>34</v>
      </c>
      <c r="AH325" s="162" t="s">
        <v>34</v>
      </c>
      <c r="AI325" s="162" t="s">
        <v>34</v>
      </c>
      <c r="AJ325" s="162" t="s">
        <v>34</v>
      </c>
      <c r="AK325" s="162" t="s">
        <v>2125</v>
      </c>
      <c r="AL325" s="162" t="s">
        <v>34</v>
      </c>
      <c r="AM325" t="s">
        <v>4803</v>
      </c>
      <c r="AN325" s="478">
        <v>0</v>
      </c>
      <c r="AO325" s="478">
        <v>2.1527777777777781E-2</v>
      </c>
    </row>
    <row r="326" spans="1:41" x14ac:dyDescent="0.2">
      <c r="A326">
        <v>325</v>
      </c>
      <c r="B326" s="462" t="s">
        <v>1777</v>
      </c>
      <c r="C326" s="162" t="s">
        <v>976</v>
      </c>
      <c r="D326" s="162" t="s">
        <v>4166</v>
      </c>
      <c r="E326" s="162" t="s">
        <v>2066</v>
      </c>
      <c r="F326" s="162" t="s">
        <v>2010</v>
      </c>
      <c r="G326" s="162" t="s">
        <v>34</v>
      </c>
      <c r="H326" s="162" t="s">
        <v>2128</v>
      </c>
      <c r="I326" s="162" t="s">
        <v>5651</v>
      </c>
      <c r="J326" s="162" t="s">
        <v>2396</v>
      </c>
      <c r="K326" s="162" t="s">
        <v>3170</v>
      </c>
      <c r="L326" s="162" t="s">
        <v>3167</v>
      </c>
      <c r="M326" s="540" t="s">
        <v>976</v>
      </c>
      <c r="N326" s="162" t="s">
        <v>976</v>
      </c>
      <c r="O326" s="162" t="s">
        <v>5688</v>
      </c>
      <c r="P326" s="162" t="s">
        <v>3171</v>
      </c>
      <c r="Q326" s="162" t="s">
        <v>4861</v>
      </c>
      <c r="R326" s="162" t="s">
        <v>2295</v>
      </c>
      <c r="S326" s="162" t="s">
        <v>3172</v>
      </c>
      <c r="T326" s="162">
        <v>382.3</v>
      </c>
      <c r="U326" s="162" t="s">
        <v>2150</v>
      </c>
      <c r="V326" s="162" t="s">
        <v>5369</v>
      </c>
      <c r="W326" s="162" t="s">
        <v>5371</v>
      </c>
      <c r="X326" s="162" t="s">
        <v>4864</v>
      </c>
      <c r="Y326" s="162" t="s">
        <v>5369</v>
      </c>
      <c r="Z326" s="162" t="s">
        <v>5371</v>
      </c>
      <c r="AA326" s="162" t="s">
        <v>4864</v>
      </c>
      <c r="AB326" s="162" t="s">
        <v>34</v>
      </c>
      <c r="AC326" s="162" t="s">
        <v>2123</v>
      </c>
      <c r="AD326" s="162" t="s">
        <v>2124</v>
      </c>
      <c r="AE326" s="162" t="s">
        <v>1758</v>
      </c>
      <c r="AF326" s="162" t="s">
        <v>3347</v>
      </c>
      <c r="AG326" s="162" t="s">
        <v>34</v>
      </c>
      <c r="AH326" s="162" t="s">
        <v>34</v>
      </c>
      <c r="AI326" s="162" t="s">
        <v>34</v>
      </c>
      <c r="AJ326" s="162" t="s">
        <v>34</v>
      </c>
      <c r="AK326" s="162" t="s">
        <v>2125</v>
      </c>
      <c r="AL326" s="162" t="s">
        <v>34</v>
      </c>
      <c r="AM326" t="s">
        <v>4803</v>
      </c>
      <c r="AN326" s="478">
        <v>0</v>
      </c>
      <c r="AO326" s="478">
        <v>0</v>
      </c>
    </row>
    <row r="327" spans="1:41" x14ac:dyDescent="0.2">
      <c r="A327">
        <v>326</v>
      </c>
      <c r="B327" s="462" t="s">
        <v>1777</v>
      </c>
      <c r="C327" s="162" t="s">
        <v>978</v>
      </c>
      <c r="D327" s="162" t="s">
        <v>4167</v>
      </c>
      <c r="E327" s="162" t="s">
        <v>2066</v>
      </c>
      <c r="F327" s="162" t="s">
        <v>2010</v>
      </c>
      <c r="G327" s="162" t="s">
        <v>34</v>
      </c>
      <c r="H327" s="162" t="s">
        <v>2128</v>
      </c>
      <c r="I327" s="162" t="s">
        <v>5686</v>
      </c>
      <c r="J327" s="162" t="s">
        <v>2396</v>
      </c>
      <c r="K327" s="162" t="s">
        <v>3152</v>
      </c>
      <c r="L327" s="162" t="s">
        <v>2255</v>
      </c>
      <c r="M327" s="540" t="s">
        <v>978</v>
      </c>
      <c r="N327" s="162" t="s">
        <v>978</v>
      </c>
      <c r="O327" s="162" t="s">
        <v>109</v>
      </c>
      <c r="P327" s="162" t="s">
        <v>2245</v>
      </c>
      <c r="Q327" s="162" t="s">
        <v>2126</v>
      </c>
      <c r="R327" s="162" t="s">
        <v>3151</v>
      </c>
      <c r="S327" s="162" t="s">
        <v>3153</v>
      </c>
      <c r="T327" s="162">
        <v>100</v>
      </c>
      <c r="U327" s="162" t="s">
        <v>2150</v>
      </c>
      <c r="V327" s="162" t="s">
        <v>5360</v>
      </c>
      <c r="W327" s="162" t="s">
        <v>5719</v>
      </c>
      <c r="X327" s="162" t="s">
        <v>2122</v>
      </c>
      <c r="Y327" s="162" t="s">
        <v>5360</v>
      </c>
      <c r="Z327" s="162" t="s">
        <v>5719</v>
      </c>
      <c r="AA327" s="162" t="s">
        <v>2122</v>
      </c>
      <c r="AB327" s="162" t="s">
        <v>5720</v>
      </c>
      <c r="AC327" s="162" t="s">
        <v>2123</v>
      </c>
      <c r="AD327" s="162" t="s">
        <v>2124</v>
      </c>
      <c r="AE327" s="162" t="s">
        <v>1758</v>
      </c>
      <c r="AF327" s="162" t="s">
        <v>3347</v>
      </c>
      <c r="AG327" s="162" t="s">
        <v>34</v>
      </c>
      <c r="AH327" s="162" t="s">
        <v>34</v>
      </c>
      <c r="AI327" s="162" t="s">
        <v>34</v>
      </c>
      <c r="AJ327" s="162" t="s">
        <v>34</v>
      </c>
      <c r="AK327" s="162" t="s">
        <v>2125</v>
      </c>
      <c r="AL327" s="162" t="s">
        <v>34</v>
      </c>
      <c r="AM327" t="s">
        <v>4822</v>
      </c>
      <c r="AN327" s="478">
        <v>0</v>
      </c>
      <c r="AO327" s="478">
        <v>0</v>
      </c>
    </row>
    <row r="328" spans="1:41" x14ac:dyDescent="0.2">
      <c r="A328">
        <v>327</v>
      </c>
      <c r="B328" s="462" t="s">
        <v>1777</v>
      </c>
      <c r="C328" s="162" t="s">
        <v>981</v>
      </c>
      <c r="D328" s="162" t="s">
        <v>4168</v>
      </c>
      <c r="E328" s="162" t="s">
        <v>2066</v>
      </c>
      <c r="F328" s="162" t="s">
        <v>2010</v>
      </c>
      <c r="G328" s="162" t="s">
        <v>34</v>
      </c>
      <c r="H328" s="162" t="s">
        <v>2128</v>
      </c>
      <c r="I328" s="162" t="s">
        <v>5651</v>
      </c>
      <c r="J328" s="162" t="s">
        <v>2396</v>
      </c>
      <c r="K328" s="162" t="s">
        <v>3144</v>
      </c>
      <c r="L328" s="162" t="s">
        <v>3145</v>
      </c>
      <c r="M328" s="540" t="s">
        <v>3146</v>
      </c>
      <c r="N328" s="162" t="s">
        <v>981</v>
      </c>
      <c r="O328" s="162" t="s">
        <v>4927</v>
      </c>
      <c r="P328" s="162" t="s">
        <v>3147</v>
      </c>
      <c r="Q328" s="162" t="s">
        <v>4876</v>
      </c>
      <c r="R328" s="162" t="s">
        <v>2295</v>
      </c>
      <c r="S328" s="162" t="s">
        <v>3148</v>
      </c>
      <c r="T328" s="162">
        <v>270</v>
      </c>
      <c r="U328" s="162" t="s">
        <v>2150</v>
      </c>
      <c r="V328" s="162" t="s">
        <v>2799</v>
      </c>
      <c r="W328" s="162" t="s">
        <v>3149</v>
      </c>
      <c r="X328" s="162" t="s">
        <v>4864</v>
      </c>
      <c r="Y328" s="162" t="s">
        <v>2981</v>
      </c>
      <c r="Z328" s="162" t="s">
        <v>3150</v>
      </c>
      <c r="AA328" s="162" t="s">
        <v>4864</v>
      </c>
      <c r="AB328" s="162" t="s">
        <v>34</v>
      </c>
      <c r="AC328" s="162" t="s">
        <v>2123</v>
      </c>
      <c r="AD328" s="162" t="s">
        <v>2124</v>
      </c>
      <c r="AE328" s="162" t="s">
        <v>1758</v>
      </c>
      <c r="AF328" s="162" t="s">
        <v>3875</v>
      </c>
      <c r="AG328" s="162" t="s">
        <v>3876</v>
      </c>
      <c r="AH328" s="162" t="s">
        <v>3938</v>
      </c>
      <c r="AI328" s="162" t="s">
        <v>3939</v>
      </c>
      <c r="AJ328" s="162" t="s">
        <v>3940</v>
      </c>
      <c r="AK328" s="162" t="s">
        <v>2125</v>
      </c>
      <c r="AL328" s="162" t="s">
        <v>34</v>
      </c>
      <c r="AM328" t="s">
        <v>4806</v>
      </c>
      <c r="AN328" s="478">
        <v>0</v>
      </c>
      <c r="AO328" s="478">
        <v>0</v>
      </c>
    </row>
    <row r="329" spans="1:41" x14ac:dyDescent="0.2">
      <c r="A329">
        <v>328</v>
      </c>
      <c r="B329" s="462" t="s">
        <v>1777</v>
      </c>
      <c r="C329" s="162" t="s">
        <v>3789</v>
      </c>
      <c r="D329" s="162" t="s">
        <v>4443</v>
      </c>
      <c r="E329" s="162" t="s">
        <v>2066</v>
      </c>
      <c r="F329" s="162" t="s">
        <v>2010</v>
      </c>
      <c r="G329" s="162" t="s">
        <v>34</v>
      </c>
      <c r="H329" s="162" t="s">
        <v>2128</v>
      </c>
      <c r="I329" s="162" t="s">
        <v>5651</v>
      </c>
      <c r="J329" s="162" t="s">
        <v>2116</v>
      </c>
      <c r="K329" s="162" t="s">
        <v>4444</v>
      </c>
      <c r="L329" s="162" t="s">
        <v>904</v>
      </c>
      <c r="M329" s="540" t="s">
        <v>3789</v>
      </c>
      <c r="N329" s="162" t="s">
        <v>3789</v>
      </c>
      <c r="O329" s="162" t="s">
        <v>904</v>
      </c>
      <c r="P329" s="162" t="s">
        <v>2771</v>
      </c>
      <c r="Q329" s="162" t="s">
        <v>2201</v>
      </c>
      <c r="R329" s="162" t="s">
        <v>2121</v>
      </c>
      <c r="S329" s="162" t="s">
        <v>3129</v>
      </c>
      <c r="T329" s="162">
        <v>189</v>
      </c>
      <c r="U329" s="162" t="s">
        <v>2151</v>
      </c>
      <c r="V329" s="162" t="s">
        <v>2243</v>
      </c>
      <c r="W329" s="162" t="s">
        <v>4445</v>
      </c>
      <c r="X329" s="162" t="s">
        <v>2261</v>
      </c>
      <c r="Y329" s="162" t="s">
        <v>109</v>
      </c>
      <c r="Z329" s="162" t="s">
        <v>109</v>
      </c>
      <c r="AA329" s="162" t="s">
        <v>109</v>
      </c>
      <c r="AB329" s="162" t="s">
        <v>3131</v>
      </c>
      <c r="AC329" s="162" t="s">
        <v>2123</v>
      </c>
      <c r="AD329" s="162" t="s">
        <v>2124</v>
      </c>
      <c r="AE329" s="162" t="s">
        <v>1758</v>
      </c>
      <c r="AF329" s="162" t="s">
        <v>34</v>
      </c>
      <c r="AG329" s="162" t="s">
        <v>34</v>
      </c>
      <c r="AH329" s="162" t="s">
        <v>34</v>
      </c>
      <c r="AI329" s="162" t="s">
        <v>34</v>
      </c>
      <c r="AJ329" s="162" t="s">
        <v>34</v>
      </c>
      <c r="AK329" s="162" t="s">
        <v>2125</v>
      </c>
      <c r="AL329" s="162" t="s">
        <v>34</v>
      </c>
      <c r="AM329" t="s">
        <v>4803</v>
      </c>
      <c r="AN329" s="478">
        <v>0</v>
      </c>
      <c r="AO329" s="478">
        <v>0</v>
      </c>
    </row>
    <row r="330" spans="1:41" x14ac:dyDescent="0.2">
      <c r="A330">
        <v>329</v>
      </c>
      <c r="B330" s="462" t="s">
        <v>1777</v>
      </c>
      <c r="C330" s="162" t="s">
        <v>1925</v>
      </c>
      <c r="D330" s="162" t="s">
        <v>4169</v>
      </c>
      <c r="E330" s="162" t="s">
        <v>2066</v>
      </c>
      <c r="F330" s="162" t="s">
        <v>2010</v>
      </c>
      <c r="G330" s="162" t="s">
        <v>34</v>
      </c>
      <c r="H330" s="162" t="s">
        <v>2128</v>
      </c>
      <c r="I330" s="162" t="s">
        <v>5687</v>
      </c>
      <c r="J330" s="162" t="s">
        <v>2740</v>
      </c>
      <c r="K330" s="162" t="s">
        <v>3162</v>
      </c>
      <c r="L330" s="162" t="s">
        <v>2255</v>
      </c>
      <c r="M330" s="540" t="s">
        <v>1925</v>
      </c>
      <c r="N330" s="162" t="s">
        <v>1925</v>
      </c>
      <c r="O330" s="162" t="s">
        <v>904</v>
      </c>
      <c r="P330" s="162" t="s">
        <v>3163</v>
      </c>
      <c r="Q330" s="162" t="s">
        <v>2204</v>
      </c>
      <c r="R330" s="162" t="s">
        <v>2121</v>
      </c>
      <c r="S330" s="162" t="s">
        <v>3164</v>
      </c>
      <c r="T330" s="162">
        <v>346.5</v>
      </c>
      <c r="U330" s="162" t="s">
        <v>2151</v>
      </c>
      <c r="V330" s="162" t="s">
        <v>2255</v>
      </c>
      <c r="W330" s="162" t="s">
        <v>3165</v>
      </c>
      <c r="X330" s="162" t="s">
        <v>2270</v>
      </c>
      <c r="Y330" s="162" t="s">
        <v>109</v>
      </c>
      <c r="Z330" s="162" t="s">
        <v>109</v>
      </c>
      <c r="AA330" s="162" t="s">
        <v>109</v>
      </c>
      <c r="AB330" s="162" t="s">
        <v>3131</v>
      </c>
      <c r="AC330" s="162" t="s">
        <v>2123</v>
      </c>
      <c r="AD330" s="162" t="s">
        <v>2124</v>
      </c>
      <c r="AE330" s="162" t="s">
        <v>1758</v>
      </c>
      <c r="AF330" s="162" t="s">
        <v>3347</v>
      </c>
      <c r="AG330" s="162" t="s">
        <v>34</v>
      </c>
      <c r="AH330" s="162" t="s">
        <v>34</v>
      </c>
      <c r="AI330" s="162" t="s">
        <v>34</v>
      </c>
      <c r="AJ330" s="162" t="s">
        <v>34</v>
      </c>
      <c r="AK330" s="162" t="s">
        <v>2125</v>
      </c>
      <c r="AL330" s="162" t="s">
        <v>34</v>
      </c>
      <c r="AM330" t="s">
        <v>4803</v>
      </c>
      <c r="AN330" s="478">
        <v>0</v>
      </c>
      <c r="AO330" s="478">
        <v>0</v>
      </c>
    </row>
    <row r="331" spans="1:41" x14ac:dyDescent="0.2">
      <c r="A331">
        <v>330</v>
      </c>
      <c r="B331" s="462" t="s">
        <v>1777</v>
      </c>
      <c r="C331" s="162" t="s">
        <v>3791</v>
      </c>
      <c r="D331" s="162" t="s">
        <v>4331</v>
      </c>
      <c r="E331" s="162" t="s">
        <v>2066</v>
      </c>
      <c r="F331" s="162" t="s">
        <v>2010</v>
      </c>
      <c r="G331" s="162" t="s">
        <v>34</v>
      </c>
      <c r="H331" s="162" t="s">
        <v>2128</v>
      </c>
      <c r="I331" s="162" t="s">
        <v>5651</v>
      </c>
      <c r="J331" s="162" t="s">
        <v>2740</v>
      </c>
      <c r="K331" s="162" t="s">
        <v>4332</v>
      </c>
      <c r="L331" s="162" t="s">
        <v>2255</v>
      </c>
      <c r="M331" s="540" t="s">
        <v>3791</v>
      </c>
      <c r="N331" s="162" t="s">
        <v>3791</v>
      </c>
      <c r="O331" s="162" t="s">
        <v>904</v>
      </c>
      <c r="P331" s="162" t="s">
        <v>5689</v>
      </c>
      <c r="Q331" s="162" t="s">
        <v>2204</v>
      </c>
      <c r="R331" s="162" t="s">
        <v>2121</v>
      </c>
      <c r="S331" s="162" t="s">
        <v>3164</v>
      </c>
      <c r="T331" s="162">
        <v>346.5</v>
      </c>
      <c r="U331" s="162" t="s">
        <v>2151</v>
      </c>
      <c r="V331" s="162" t="s">
        <v>2255</v>
      </c>
      <c r="W331" s="162" t="s">
        <v>4333</v>
      </c>
      <c r="X331" s="162" t="s">
        <v>2191</v>
      </c>
      <c r="Y331" s="162" t="s">
        <v>109</v>
      </c>
      <c r="Z331" s="162" t="s">
        <v>109</v>
      </c>
      <c r="AA331" s="162" t="s">
        <v>109</v>
      </c>
      <c r="AB331" s="162" t="s">
        <v>5690</v>
      </c>
      <c r="AC331" s="162" t="s">
        <v>2123</v>
      </c>
      <c r="AD331" s="162" t="s">
        <v>2124</v>
      </c>
      <c r="AE331" s="162" t="s">
        <v>1758</v>
      </c>
      <c r="AF331" s="162" t="s">
        <v>3347</v>
      </c>
      <c r="AG331" s="162" t="s">
        <v>34</v>
      </c>
      <c r="AH331" s="162" t="s">
        <v>34</v>
      </c>
      <c r="AI331" s="162" t="s">
        <v>34</v>
      </c>
      <c r="AJ331" s="162" t="s">
        <v>34</v>
      </c>
      <c r="AK331" s="162" t="s">
        <v>2125</v>
      </c>
      <c r="AL331" s="162" t="s">
        <v>34</v>
      </c>
      <c r="AM331" t="s">
        <v>4803</v>
      </c>
      <c r="AN331" s="478">
        <v>0</v>
      </c>
      <c r="AO331" s="478">
        <v>0</v>
      </c>
    </row>
    <row r="332" spans="1:41" x14ac:dyDescent="0.2">
      <c r="A332">
        <v>331</v>
      </c>
      <c r="B332" s="462" t="s">
        <v>1777</v>
      </c>
      <c r="C332" s="162" t="s">
        <v>964</v>
      </c>
      <c r="D332" s="162" t="s">
        <v>4170</v>
      </c>
      <c r="E332" s="162" t="s">
        <v>2066</v>
      </c>
      <c r="F332" s="162" t="s">
        <v>2010</v>
      </c>
      <c r="G332" s="162" t="s">
        <v>34</v>
      </c>
      <c r="H332" s="162" t="s">
        <v>2128</v>
      </c>
      <c r="I332" s="162" t="s">
        <v>5651</v>
      </c>
      <c r="J332" s="162" t="s">
        <v>2396</v>
      </c>
      <c r="K332" s="162" t="s">
        <v>2775</v>
      </c>
      <c r="L332" s="162" t="s">
        <v>904</v>
      </c>
      <c r="M332" s="540" t="s">
        <v>964</v>
      </c>
      <c r="N332" s="162" t="s">
        <v>964</v>
      </c>
      <c r="O332" s="162" t="s">
        <v>904</v>
      </c>
      <c r="P332" s="162" t="s">
        <v>2551</v>
      </c>
      <c r="Q332" s="162" t="s">
        <v>4863</v>
      </c>
      <c r="R332" s="162" t="s">
        <v>2121</v>
      </c>
      <c r="S332" s="162" t="s">
        <v>3129</v>
      </c>
      <c r="T332" s="162">
        <v>189</v>
      </c>
      <c r="U332" s="162" t="s">
        <v>2151</v>
      </c>
      <c r="V332" s="162" t="s">
        <v>2243</v>
      </c>
      <c r="W332" s="162" t="s">
        <v>3130</v>
      </c>
      <c r="X332" s="162" t="s">
        <v>4871</v>
      </c>
      <c r="Y332" s="162" t="s">
        <v>109</v>
      </c>
      <c r="Z332" s="162" t="s">
        <v>109</v>
      </c>
      <c r="AA332" s="162" t="s">
        <v>109</v>
      </c>
      <c r="AB332" s="162" t="s">
        <v>3131</v>
      </c>
      <c r="AC332" s="162" t="s">
        <v>2123</v>
      </c>
      <c r="AD332" s="162" t="s">
        <v>2124</v>
      </c>
      <c r="AE332" s="162" t="s">
        <v>1758</v>
      </c>
      <c r="AF332" s="162" t="s">
        <v>34</v>
      </c>
      <c r="AG332" s="162" t="s">
        <v>34</v>
      </c>
      <c r="AH332" s="162" t="s">
        <v>34</v>
      </c>
      <c r="AI332" s="162" t="s">
        <v>34</v>
      </c>
      <c r="AJ332" s="162" t="s">
        <v>34</v>
      </c>
      <c r="AK332" s="162" t="s">
        <v>2125</v>
      </c>
      <c r="AL332" s="162" t="s">
        <v>34</v>
      </c>
      <c r="AM332" t="s">
        <v>4803</v>
      </c>
      <c r="AN332" s="478">
        <v>0</v>
      </c>
      <c r="AO332" s="478">
        <v>0</v>
      </c>
    </row>
    <row r="333" spans="1:41" x14ac:dyDescent="0.2">
      <c r="A333">
        <v>332</v>
      </c>
      <c r="B333" s="462" t="s">
        <v>1777</v>
      </c>
      <c r="C333" s="162" t="s">
        <v>962</v>
      </c>
      <c r="D333" s="162" t="s">
        <v>4171</v>
      </c>
      <c r="E333" s="162" t="s">
        <v>2066</v>
      </c>
      <c r="F333" s="162" t="s">
        <v>2010</v>
      </c>
      <c r="G333" s="162" t="s">
        <v>34</v>
      </c>
      <c r="H333" s="162" t="s">
        <v>2128</v>
      </c>
      <c r="I333" s="162" t="s">
        <v>5651</v>
      </c>
      <c r="J333" s="162" t="s">
        <v>2396</v>
      </c>
      <c r="K333" s="162" t="s">
        <v>3132</v>
      </c>
      <c r="L333" s="162" t="s">
        <v>904</v>
      </c>
      <c r="M333" s="540" t="s">
        <v>962</v>
      </c>
      <c r="N333" s="162" t="s">
        <v>962</v>
      </c>
      <c r="O333" s="162" t="s">
        <v>904</v>
      </c>
      <c r="P333" s="162" t="s">
        <v>3133</v>
      </c>
      <c r="Q333" s="162" t="s">
        <v>2201</v>
      </c>
      <c r="R333" s="162" t="s">
        <v>2121</v>
      </c>
      <c r="S333" s="162" t="s">
        <v>3129</v>
      </c>
      <c r="T333" s="162">
        <v>189</v>
      </c>
      <c r="U333" s="162" t="s">
        <v>2151</v>
      </c>
      <c r="V333" s="162" t="s">
        <v>2243</v>
      </c>
      <c r="W333" s="162" t="s">
        <v>3134</v>
      </c>
      <c r="X333" s="162" t="s">
        <v>2261</v>
      </c>
      <c r="Y333" s="162" t="s">
        <v>109</v>
      </c>
      <c r="Z333" s="162" t="s">
        <v>109</v>
      </c>
      <c r="AA333" s="162" t="s">
        <v>109</v>
      </c>
      <c r="AB333" s="162" t="s">
        <v>3131</v>
      </c>
      <c r="AC333" s="162" t="s">
        <v>2123</v>
      </c>
      <c r="AD333" s="162" t="s">
        <v>2124</v>
      </c>
      <c r="AE333" s="162" t="s">
        <v>1758</v>
      </c>
      <c r="AF333" s="162" t="s">
        <v>34</v>
      </c>
      <c r="AG333" s="162" t="s">
        <v>34</v>
      </c>
      <c r="AH333" s="162" t="s">
        <v>34</v>
      </c>
      <c r="AI333" s="162" t="s">
        <v>34</v>
      </c>
      <c r="AJ333" s="162" t="s">
        <v>34</v>
      </c>
      <c r="AK333" s="162" t="s">
        <v>2125</v>
      </c>
      <c r="AL333" s="162" t="s">
        <v>34</v>
      </c>
      <c r="AM333" t="s">
        <v>4803</v>
      </c>
      <c r="AN333" s="478">
        <v>0</v>
      </c>
      <c r="AO333" s="478">
        <v>0</v>
      </c>
    </row>
    <row r="334" spans="1:41" x14ac:dyDescent="0.2">
      <c r="A334">
        <v>333</v>
      </c>
      <c r="B334" s="462" t="s">
        <v>1343</v>
      </c>
      <c r="C334" s="162">
        <v>3037</v>
      </c>
      <c r="D334" s="162" t="s">
        <v>4172</v>
      </c>
      <c r="E334" s="162" t="s">
        <v>2067</v>
      </c>
      <c r="F334" s="162" t="s">
        <v>2068</v>
      </c>
      <c r="G334" s="162" t="s">
        <v>34</v>
      </c>
      <c r="H334" s="162" t="s">
        <v>2128</v>
      </c>
      <c r="I334" s="162" t="s">
        <v>5651</v>
      </c>
      <c r="J334" s="162" t="s">
        <v>2396</v>
      </c>
      <c r="K334" s="162" t="s">
        <v>1120</v>
      </c>
      <c r="L334" s="162" t="s">
        <v>3181</v>
      </c>
      <c r="M334" s="540">
        <v>82216</v>
      </c>
      <c r="N334" s="162">
        <v>3037</v>
      </c>
      <c r="O334" s="162" t="s">
        <v>5669</v>
      </c>
      <c r="P334" s="162" t="s">
        <v>3175</v>
      </c>
      <c r="Q334" s="162" t="s">
        <v>4861</v>
      </c>
      <c r="R334" s="162" t="s">
        <v>2121</v>
      </c>
      <c r="S334" s="162" t="s">
        <v>3182</v>
      </c>
      <c r="T334" s="162">
        <v>248.9</v>
      </c>
      <c r="U334" s="162" t="s">
        <v>2150</v>
      </c>
      <c r="V334" s="162" t="s">
        <v>3335</v>
      </c>
      <c r="W334" s="162">
        <v>305939</v>
      </c>
      <c r="X334" s="162" t="s">
        <v>4864</v>
      </c>
      <c r="Y334" s="162" t="s">
        <v>5435</v>
      </c>
      <c r="Z334" s="162" t="s">
        <v>5436</v>
      </c>
      <c r="AA334" s="162" t="s">
        <v>4864</v>
      </c>
      <c r="AB334" s="162" t="s">
        <v>34</v>
      </c>
      <c r="AC334" s="162" t="s">
        <v>2123</v>
      </c>
      <c r="AD334" s="162" t="s">
        <v>2124</v>
      </c>
      <c r="AE334" s="162" t="s">
        <v>1758</v>
      </c>
      <c r="AF334" s="162">
        <v>6</v>
      </c>
      <c r="AG334" s="162">
        <v>0.17</v>
      </c>
      <c r="AH334" s="162">
        <v>0.28000000000000003</v>
      </c>
      <c r="AI334" s="162" t="s">
        <v>34</v>
      </c>
      <c r="AJ334" s="162" t="s">
        <v>34</v>
      </c>
      <c r="AK334" s="162" t="s">
        <v>2125</v>
      </c>
      <c r="AL334" s="162" t="s">
        <v>34</v>
      </c>
      <c r="AM334" t="s">
        <v>4806</v>
      </c>
      <c r="AN334" s="478">
        <v>0</v>
      </c>
      <c r="AO334" s="478">
        <v>0</v>
      </c>
    </row>
    <row r="335" spans="1:41" x14ac:dyDescent="0.2">
      <c r="A335">
        <v>334</v>
      </c>
      <c r="B335" s="462" t="s">
        <v>1343</v>
      </c>
      <c r="C335" s="162" t="s">
        <v>1346</v>
      </c>
      <c r="D335" s="162" t="s">
        <v>4173</v>
      </c>
      <c r="E335" s="162" t="s">
        <v>2067</v>
      </c>
      <c r="F335" s="162" t="s">
        <v>2068</v>
      </c>
      <c r="G335" s="162" t="s">
        <v>34</v>
      </c>
      <c r="H335" s="162" t="s">
        <v>2128</v>
      </c>
      <c r="I335" s="162" t="s">
        <v>5651</v>
      </c>
      <c r="J335" s="162" t="s">
        <v>2396</v>
      </c>
      <c r="K335" s="162" t="s">
        <v>1120</v>
      </c>
      <c r="L335" s="162" t="s">
        <v>3173</v>
      </c>
      <c r="M335" s="540" t="s">
        <v>3174</v>
      </c>
      <c r="N335" s="162" t="s">
        <v>1346</v>
      </c>
      <c r="O335" s="162" t="s">
        <v>5669</v>
      </c>
      <c r="P335" s="162" t="s">
        <v>3175</v>
      </c>
      <c r="Q335" s="162" t="s">
        <v>4861</v>
      </c>
      <c r="R335" s="162" t="s">
        <v>2121</v>
      </c>
      <c r="S335" s="162" t="s">
        <v>3176</v>
      </c>
      <c r="T335" s="162">
        <v>292.5</v>
      </c>
      <c r="U335" s="162" t="s">
        <v>2151</v>
      </c>
      <c r="V335" s="162" t="s">
        <v>3177</v>
      </c>
      <c r="W335" s="162" t="s">
        <v>3178</v>
      </c>
      <c r="X335" s="162" t="s">
        <v>4864</v>
      </c>
      <c r="Y335" s="162" t="s">
        <v>3179</v>
      </c>
      <c r="Z335" s="162" t="s">
        <v>3180</v>
      </c>
      <c r="AA335" s="162" t="s">
        <v>4864</v>
      </c>
      <c r="AB335" s="162" t="s">
        <v>34</v>
      </c>
      <c r="AC335" s="162" t="s">
        <v>2123</v>
      </c>
      <c r="AD335" s="162" t="s">
        <v>2124</v>
      </c>
      <c r="AE335" s="162" t="s">
        <v>1758</v>
      </c>
      <c r="AF335" s="162" t="s">
        <v>3347</v>
      </c>
      <c r="AG335" s="162" t="s">
        <v>34</v>
      </c>
      <c r="AH335" s="162" t="s">
        <v>34</v>
      </c>
      <c r="AI335" s="162" t="s">
        <v>34</v>
      </c>
      <c r="AJ335" s="162" t="s">
        <v>34</v>
      </c>
      <c r="AK335" s="162" t="s">
        <v>2125</v>
      </c>
      <c r="AL335" s="162" t="s">
        <v>34</v>
      </c>
      <c r="AM335" t="s">
        <v>4806</v>
      </c>
      <c r="AN335" s="478">
        <v>0</v>
      </c>
      <c r="AO335" s="478">
        <v>0</v>
      </c>
    </row>
    <row r="336" spans="1:41" x14ac:dyDescent="0.2">
      <c r="A336">
        <v>335</v>
      </c>
      <c r="B336" s="462" t="s">
        <v>1378</v>
      </c>
      <c r="C336" s="162" t="s">
        <v>1382</v>
      </c>
      <c r="D336" s="162" t="s">
        <v>4174</v>
      </c>
      <c r="E336" s="162" t="s">
        <v>3239</v>
      </c>
      <c r="F336" s="162" t="s">
        <v>2019</v>
      </c>
      <c r="G336" s="162" t="s">
        <v>34</v>
      </c>
      <c r="H336" s="162" t="s">
        <v>2128</v>
      </c>
      <c r="I336" s="162" t="s">
        <v>5651</v>
      </c>
      <c r="J336" s="162" t="s">
        <v>2740</v>
      </c>
      <c r="K336" s="162" t="s">
        <v>3240</v>
      </c>
      <c r="L336" s="162" t="s">
        <v>3241</v>
      </c>
      <c r="M336" s="540" t="s">
        <v>3242</v>
      </c>
      <c r="N336" s="162" t="s">
        <v>1382</v>
      </c>
      <c r="O336" s="162" t="s">
        <v>904</v>
      </c>
      <c r="P336" s="162" t="s">
        <v>3243</v>
      </c>
      <c r="Q336" s="162" t="s">
        <v>2204</v>
      </c>
      <c r="R336" s="162" t="s">
        <v>2295</v>
      </c>
      <c r="S336" s="162" t="s">
        <v>3244</v>
      </c>
      <c r="T336" s="162">
        <v>840</v>
      </c>
      <c r="U336" s="162" t="s">
        <v>2150</v>
      </c>
      <c r="V336" s="162" t="s">
        <v>3119</v>
      </c>
      <c r="W336" s="162" t="s">
        <v>3245</v>
      </c>
      <c r="X336" s="162" t="s">
        <v>2122</v>
      </c>
      <c r="Y336" s="162" t="s">
        <v>2794</v>
      </c>
      <c r="Z336" s="162" t="s">
        <v>3246</v>
      </c>
      <c r="AA336" s="162" t="s">
        <v>2122</v>
      </c>
      <c r="AB336" s="162" t="s">
        <v>34</v>
      </c>
      <c r="AC336" s="162" t="s">
        <v>2123</v>
      </c>
      <c r="AD336" s="162" t="s">
        <v>2124</v>
      </c>
      <c r="AE336" s="162" t="s">
        <v>1758</v>
      </c>
      <c r="AF336" s="162" t="s">
        <v>4401</v>
      </c>
      <c r="AG336" s="162">
        <v>1</v>
      </c>
      <c r="AH336" s="162">
        <v>1</v>
      </c>
      <c r="AI336" s="162" t="s">
        <v>4402</v>
      </c>
      <c r="AJ336" s="162" t="s">
        <v>34</v>
      </c>
      <c r="AK336" s="162" t="s">
        <v>2125</v>
      </c>
      <c r="AL336" s="162" t="s">
        <v>34</v>
      </c>
      <c r="AM336" t="s">
        <v>4805</v>
      </c>
      <c r="AN336" s="478">
        <v>0</v>
      </c>
      <c r="AO336" s="478">
        <v>0</v>
      </c>
    </row>
    <row r="337" spans="1:41" x14ac:dyDescent="0.2">
      <c r="A337">
        <v>336</v>
      </c>
      <c r="B337" s="462" t="s">
        <v>1378</v>
      </c>
      <c r="C337" s="162" t="s">
        <v>1862</v>
      </c>
      <c r="D337" s="162" t="s">
        <v>4175</v>
      </c>
      <c r="E337" s="162" t="s">
        <v>3239</v>
      </c>
      <c r="F337" s="162" t="s">
        <v>2019</v>
      </c>
      <c r="G337" s="162" t="s">
        <v>34</v>
      </c>
      <c r="H337" s="162" t="s">
        <v>2128</v>
      </c>
      <c r="I337" s="162" t="s">
        <v>5651</v>
      </c>
      <c r="J337" s="162" t="s">
        <v>2740</v>
      </c>
      <c r="K337" s="162" t="s">
        <v>3240</v>
      </c>
      <c r="L337" s="162" t="s">
        <v>2443</v>
      </c>
      <c r="M337" s="540" t="s">
        <v>3252</v>
      </c>
      <c r="N337" s="162" t="s">
        <v>3253</v>
      </c>
      <c r="O337" s="162" t="s">
        <v>904</v>
      </c>
      <c r="P337" s="162" t="s">
        <v>3198</v>
      </c>
      <c r="Q337" s="162" t="s">
        <v>2204</v>
      </c>
      <c r="R337" s="162" t="s">
        <v>2286</v>
      </c>
      <c r="S337" s="162" t="s">
        <v>3254</v>
      </c>
      <c r="T337" s="162">
        <v>1481</v>
      </c>
      <c r="U337" s="162" t="s">
        <v>2150</v>
      </c>
      <c r="V337" s="162" t="s">
        <v>3255</v>
      </c>
      <c r="W337" s="162" t="s">
        <v>3256</v>
      </c>
      <c r="X337" s="162" t="s">
        <v>2281</v>
      </c>
      <c r="Y337" s="162" t="s">
        <v>109</v>
      </c>
      <c r="Z337" s="162" t="s">
        <v>109</v>
      </c>
      <c r="AA337" s="162" t="s">
        <v>109</v>
      </c>
      <c r="AB337" s="162" t="s">
        <v>3257</v>
      </c>
      <c r="AC337" s="162" t="s">
        <v>2123</v>
      </c>
      <c r="AD337" s="162" t="s">
        <v>2124</v>
      </c>
      <c r="AE337" s="162" t="s">
        <v>1758</v>
      </c>
      <c r="AF337" s="162" t="s">
        <v>34</v>
      </c>
      <c r="AG337" s="162" t="s">
        <v>34</v>
      </c>
      <c r="AH337" s="162" t="s">
        <v>34</v>
      </c>
      <c r="AI337" s="162" t="s">
        <v>34</v>
      </c>
      <c r="AJ337" s="162" t="s">
        <v>34</v>
      </c>
      <c r="AK337" s="162" t="s">
        <v>2125</v>
      </c>
      <c r="AL337" s="162" t="s">
        <v>34</v>
      </c>
      <c r="AM337" t="s">
        <v>4805</v>
      </c>
      <c r="AN337" s="478">
        <v>0</v>
      </c>
      <c r="AO337" s="478">
        <v>0</v>
      </c>
    </row>
    <row r="338" spans="1:41" x14ac:dyDescent="0.2">
      <c r="A338">
        <v>337</v>
      </c>
      <c r="B338" s="462" t="s">
        <v>1378</v>
      </c>
      <c r="C338" s="162" t="s">
        <v>1380</v>
      </c>
      <c r="D338" s="162" t="s">
        <v>4176</v>
      </c>
      <c r="E338" s="162" t="s">
        <v>3239</v>
      </c>
      <c r="F338" s="162" t="s">
        <v>2019</v>
      </c>
      <c r="G338" s="162" t="s">
        <v>34</v>
      </c>
      <c r="H338" s="162" t="s">
        <v>2128</v>
      </c>
      <c r="I338" s="162" t="s">
        <v>5651</v>
      </c>
      <c r="J338" s="162" t="s">
        <v>2396</v>
      </c>
      <c r="K338" s="162" t="s">
        <v>1120</v>
      </c>
      <c r="L338" s="162" t="s">
        <v>3247</v>
      </c>
      <c r="M338" s="540">
        <v>92063</v>
      </c>
      <c r="N338" s="162" t="s">
        <v>1380</v>
      </c>
      <c r="O338" s="162" t="s">
        <v>904</v>
      </c>
      <c r="P338" s="162" t="s">
        <v>3243</v>
      </c>
      <c r="Q338" s="162" t="s">
        <v>4861</v>
      </c>
      <c r="R338" s="162" t="s">
        <v>2286</v>
      </c>
      <c r="S338" s="162" t="s">
        <v>3248</v>
      </c>
      <c r="T338" s="162">
        <v>742.5</v>
      </c>
      <c r="U338" s="162" t="s">
        <v>2151</v>
      </c>
      <c r="V338" s="162" t="s">
        <v>3249</v>
      </c>
      <c r="W338" s="162" t="s">
        <v>3250</v>
      </c>
      <c r="X338" s="162" t="s">
        <v>4864</v>
      </c>
      <c r="Y338" s="162" t="s">
        <v>2794</v>
      </c>
      <c r="Z338" s="162" t="s">
        <v>3251</v>
      </c>
      <c r="AA338" s="162" t="s">
        <v>4864</v>
      </c>
      <c r="AB338" s="162" t="s">
        <v>34</v>
      </c>
      <c r="AC338" s="162" t="s">
        <v>2123</v>
      </c>
      <c r="AD338" s="162" t="s">
        <v>2124</v>
      </c>
      <c r="AE338" s="162" t="s">
        <v>1758</v>
      </c>
      <c r="AF338" s="162">
        <v>5</v>
      </c>
      <c r="AG338" s="162">
        <v>5</v>
      </c>
      <c r="AH338" s="162">
        <v>0</v>
      </c>
      <c r="AI338" s="162">
        <v>30</v>
      </c>
      <c r="AJ338" s="162" t="s">
        <v>34</v>
      </c>
      <c r="AK338" s="162" t="s">
        <v>2125</v>
      </c>
      <c r="AL338" s="162" t="s">
        <v>34</v>
      </c>
      <c r="AM338" t="s">
        <v>4805</v>
      </c>
      <c r="AN338" s="478">
        <v>0</v>
      </c>
      <c r="AO338" s="478">
        <v>0</v>
      </c>
    </row>
    <row r="339" spans="1:41" x14ac:dyDescent="0.2">
      <c r="A339">
        <v>338</v>
      </c>
      <c r="B339" s="462" t="s">
        <v>1348</v>
      </c>
      <c r="C339" s="162" t="s">
        <v>1351</v>
      </c>
      <c r="D339" s="162" t="s">
        <v>4177</v>
      </c>
      <c r="E339" s="162" t="s">
        <v>2069</v>
      </c>
      <c r="F339" s="162" t="s">
        <v>2004</v>
      </c>
      <c r="G339" s="162" t="s">
        <v>34</v>
      </c>
      <c r="H339" s="162" t="s">
        <v>2128</v>
      </c>
      <c r="I339" s="162" t="s">
        <v>5651</v>
      </c>
      <c r="J339" s="162" t="s">
        <v>2740</v>
      </c>
      <c r="K339" s="162" t="s">
        <v>1117</v>
      </c>
      <c r="L339" s="162" t="s">
        <v>3187</v>
      </c>
      <c r="M339" s="540" t="s">
        <v>1351</v>
      </c>
      <c r="N339" s="162" t="s">
        <v>1351</v>
      </c>
      <c r="O339" s="162" t="s">
        <v>904</v>
      </c>
      <c r="P339" s="162" t="s">
        <v>2911</v>
      </c>
      <c r="Q339" s="162" t="s">
        <v>2204</v>
      </c>
      <c r="R339" s="162" t="s">
        <v>2185</v>
      </c>
      <c r="S339" s="162" t="s">
        <v>3188</v>
      </c>
      <c r="T339" s="162">
        <v>0.3</v>
      </c>
      <c r="U339" s="162" t="s">
        <v>1947</v>
      </c>
      <c r="V339" s="162" t="s">
        <v>3189</v>
      </c>
      <c r="W339" s="162" t="s">
        <v>3190</v>
      </c>
      <c r="X339" s="162" t="s">
        <v>4435</v>
      </c>
      <c r="Y339" s="162" t="s">
        <v>109</v>
      </c>
      <c r="Z339" s="162" t="s">
        <v>109</v>
      </c>
      <c r="AA339" s="162" t="s">
        <v>109</v>
      </c>
      <c r="AB339" s="162" t="s">
        <v>5259</v>
      </c>
      <c r="AC339" s="162" t="s">
        <v>2123</v>
      </c>
      <c r="AD339" s="162" t="s">
        <v>2124</v>
      </c>
      <c r="AE339" s="162" t="s">
        <v>1758</v>
      </c>
      <c r="AF339" s="162" t="s">
        <v>3347</v>
      </c>
      <c r="AG339" s="162" t="s">
        <v>34</v>
      </c>
      <c r="AH339" s="162" t="s">
        <v>34</v>
      </c>
      <c r="AI339" s="162" t="s">
        <v>34</v>
      </c>
      <c r="AJ339" s="162" t="s">
        <v>34</v>
      </c>
      <c r="AK339" s="162" t="s">
        <v>2125</v>
      </c>
      <c r="AL339" s="162" t="s">
        <v>34</v>
      </c>
      <c r="AM339" t="s">
        <v>4823</v>
      </c>
      <c r="AN339" s="478">
        <v>0</v>
      </c>
      <c r="AO339" s="478">
        <v>0</v>
      </c>
    </row>
    <row r="340" spans="1:41" x14ac:dyDescent="0.2">
      <c r="A340">
        <v>339</v>
      </c>
      <c r="B340" s="462" t="s">
        <v>1348</v>
      </c>
      <c r="C340" s="162" t="s">
        <v>1376</v>
      </c>
      <c r="D340" s="162" t="s">
        <v>4178</v>
      </c>
      <c r="E340" s="162" t="s">
        <v>2069</v>
      </c>
      <c r="F340" s="162" t="s">
        <v>2004</v>
      </c>
      <c r="G340" s="162" t="s">
        <v>34</v>
      </c>
      <c r="H340" s="162" t="s">
        <v>2128</v>
      </c>
      <c r="I340" s="162" t="s">
        <v>5651</v>
      </c>
      <c r="J340" s="162" t="s">
        <v>2396</v>
      </c>
      <c r="K340" s="162" t="s">
        <v>1117</v>
      </c>
      <c r="L340" s="162" t="s">
        <v>3183</v>
      </c>
      <c r="M340" s="540" t="s">
        <v>3184</v>
      </c>
      <c r="N340" s="162" t="s">
        <v>1376</v>
      </c>
      <c r="O340" s="162" t="s">
        <v>904</v>
      </c>
      <c r="P340" s="162" t="s">
        <v>2459</v>
      </c>
      <c r="Q340" s="162" t="s">
        <v>2204</v>
      </c>
      <c r="R340" s="162" t="s">
        <v>2295</v>
      </c>
      <c r="S340" s="162" t="s">
        <v>3185</v>
      </c>
      <c r="T340" s="162">
        <v>120</v>
      </c>
      <c r="U340" s="162" t="s">
        <v>2150</v>
      </c>
      <c r="V340" s="162" t="s">
        <v>5437</v>
      </c>
      <c r="W340" s="162" t="s">
        <v>5438</v>
      </c>
      <c r="X340" s="162" t="s">
        <v>2122</v>
      </c>
      <c r="Y340" s="162" t="s">
        <v>5437</v>
      </c>
      <c r="Z340" s="162" t="s">
        <v>5438</v>
      </c>
      <c r="AA340" s="162" t="s">
        <v>109</v>
      </c>
      <c r="AB340" s="162" t="s">
        <v>34</v>
      </c>
      <c r="AC340" s="162" t="s">
        <v>2123</v>
      </c>
      <c r="AD340" s="162" t="s">
        <v>2124</v>
      </c>
      <c r="AE340" s="162" t="s">
        <v>1758</v>
      </c>
      <c r="AF340" s="162" t="s">
        <v>3877</v>
      </c>
      <c r="AG340" s="162">
        <v>0.5</v>
      </c>
      <c r="AH340" s="162">
        <v>0.75</v>
      </c>
      <c r="AI340" s="162" t="s">
        <v>34</v>
      </c>
      <c r="AJ340" s="162" t="s">
        <v>34</v>
      </c>
      <c r="AK340" s="162" t="s">
        <v>2125</v>
      </c>
      <c r="AL340" s="162" t="s">
        <v>34</v>
      </c>
      <c r="AM340" t="s">
        <v>4803</v>
      </c>
      <c r="AN340" s="478"/>
      <c r="AO340" s="478"/>
    </row>
    <row r="341" spans="1:41" x14ac:dyDescent="0.2">
      <c r="A341">
        <v>340</v>
      </c>
      <c r="B341" s="462" t="s">
        <v>1348</v>
      </c>
      <c r="C341" s="162" t="s">
        <v>4932</v>
      </c>
      <c r="D341" s="162" t="s">
        <v>4933</v>
      </c>
      <c r="E341" s="162" t="s">
        <v>2069</v>
      </c>
      <c r="F341" s="162" t="s">
        <v>2004</v>
      </c>
      <c r="G341" s="162" t="s">
        <v>34</v>
      </c>
      <c r="H341" s="162" t="s">
        <v>2128</v>
      </c>
      <c r="I341" s="162" t="s">
        <v>5651</v>
      </c>
      <c r="J341" s="162" t="s">
        <v>2396</v>
      </c>
      <c r="K341" s="162" t="s">
        <v>1117</v>
      </c>
      <c r="L341" s="162" t="s">
        <v>4934</v>
      </c>
      <c r="M341" s="540" t="s">
        <v>4935</v>
      </c>
      <c r="N341" s="162" t="s">
        <v>4932</v>
      </c>
      <c r="O341" s="162" t="s">
        <v>904</v>
      </c>
      <c r="P341" s="162" t="s">
        <v>2459</v>
      </c>
      <c r="Q341" s="162" t="s">
        <v>2204</v>
      </c>
      <c r="R341" s="162" t="s">
        <v>4497</v>
      </c>
      <c r="S341" s="162" t="s">
        <v>4936</v>
      </c>
      <c r="T341" s="162">
        <v>395</v>
      </c>
      <c r="U341" s="162" t="s">
        <v>2150</v>
      </c>
      <c r="V341" s="162" t="s">
        <v>5143</v>
      </c>
      <c r="W341" s="162" t="s">
        <v>5144</v>
      </c>
      <c r="X341" s="162" t="s">
        <v>2122</v>
      </c>
      <c r="Y341" s="162" t="s">
        <v>5143</v>
      </c>
      <c r="Z341" s="162" t="s">
        <v>5144</v>
      </c>
      <c r="AA341" s="162" t="s">
        <v>2122</v>
      </c>
      <c r="AB341" s="162" t="s">
        <v>34</v>
      </c>
      <c r="AC341" s="162" t="s">
        <v>2123</v>
      </c>
      <c r="AD341" s="162" t="s">
        <v>2124</v>
      </c>
      <c r="AE341" s="162" t="s">
        <v>1758</v>
      </c>
      <c r="AF341" s="162">
        <v>21.5</v>
      </c>
      <c r="AG341" s="162">
        <v>230</v>
      </c>
      <c r="AH341" s="162" t="s">
        <v>5145</v>
      </c>
      <c r="AI341" s="162" t="s">
        <v>5146</v>
      </c>
      <c r="AJ341" s="162" t="s">
        <v>5147</v>
      </c>
      <c r="AK341" s="162" t="s">
        <v>2125</v>
      </c>
      <c r="AL341" s="162" t="s">
        <v>34</v>
      </c>
      <c r="AM341" t="s">
        <v>4803</v>
      </c>
      <c r="AN341" s="478">
        <v>0</v>
      </c>
      <c r="AO341" s="478">
        <v>0</v>
      </c>
    </row>
    <row r="342" spans="1:41" x14ac:dyDescent="0.2">
      <c r="A342">
        <v>341</v>
      </c>
      <c r="B342" s="462" t="s">
        <v>1348</v>
      </c>
      <c r="C342" s="162" t="s">
        <v>1353</v>
      </c>
      <c r="D342" s="162" t="s">
        <v>4179</v>
      </c>
      <c r="E342" s="162" t="s">
        <v>2069</v>
      </c>
      <c r="F342" s="162" t="s">
        <v>2004</v>
      </c>
      <c r="G342" s="162" t="s">
        <v>34</v>
      </c>
      <c r="H342" s="162" t="s">
        <v>2128</v>
      </c>
      <c r="I342" s="162" t="s">
        <v>5651</v>
      </c>
      <c r="J342" s="162" t="s">
        <v>2396</v>
      </c>
      <c r="K342" s="162" t="s">
        <v>1117</v>
      </c>
      <c r="L342" s="162" t="s">
        <v>3191</v>
      </c>
      <c r="M342" s="540" t="s">
        <v>3192</v>
      </c>
      <c r="N342" s="162" t="s">
        <v>1353</v>
      </c>
      <c r="O342" s="162" t="s">
        <v>904</v>
      </c>
      <c r="P342" s="162" t="s">
        <v>3193</v>
      </c>
      <c r="Q342" s="162" t="s">
        <v>4876</v>
      </c>
      <c r="R342" s="162" t="s">
        <v>2121</v>
      </c>
      <c r="S342" s="162" t="s">
        <v>3194</v>
      </c>
      <c r="T342" s="162">
        <v>4.5999999999999996</v>
      </c>
      <c r="U342" s="162" t="s">
        <v>2150</v>
      </c>
      <c r="V342" s="162" t="s">
        <v>5119</v>
      </c>
      <c r="W342" s="162" t="s">
        <v>5120</v>
      </c>
      <c r="X342" s="162" t="s">
        <v>4864</v>
      </c>
      <c r="Y342" s="162" t="s">
        <v>5232</v>
      </c>
      <c r="Z342" s="162" t="s">
        <v>5372</v>
      </c>
      <c r="AA342" s="162" t="s">
        <v>4864</v>
      </c>
      <c r="AB342" s="162" t="s">
        <v>34</v>
      </c>
      <c r="AC342" s="162" t="s">
        <v>2123</v>
      </c>
      <c r="AD342" s="162" t="s">
        <v>2124</v>
      </c>
      <c r="AE342" s="162" t="s">
        <v>1758</v>
      </c>
      <c r="AF342" s="162">
        <v>10</v>
      </c>
      <c r="AG342" s="162">
        <v>1</v>
      </c>
      <c r="AH342" s="162">
        <v>0.1</v>
      </c>
      <c r="AI342" s="162" t="s">
        <v>3941</v>
      </c>
      <c r="AJ342" s="162" t="s">
        <v>3919</v>
      </c>
      <c r="AK342" s="162" t="s">
        <v>2125</v>
      </c>
      <c r="AL342" s="162" t="s">
        <v>34</v>
      </c>
      <c r="AM342" t="s">
        <v>4803</v>
      </c>
      <c r="AN342" s="478">
        <v>0</v>
      </c>
      <c r="AO342" s="478">
        <v>0</v>
      </c>
    </row>
    <row r="343" spans="1:41" x14ac:dyDescent="0.2">
      <c r="A343">
        <v>342</v>
      </c>
      <c r="B343" s="462" t="s">
        <v>1348</v>
      </c>
      <c r="C343" s="162" t="s">
        <v>1356</v>
      </c>
      <c r="D343" s="162" t="s">
        <v>4180</v>
      </c>
      <c r="E343" s="162" t="s">
        <v>2069</v>
      </c>
      <c r="F343" s="162" t="s">
        <v>2004</v>
      </c>
      <c r="G343" s="162" t="s">
        <v>34</v>
      </c>
      <c r="H343" s="162" t="s">
        <v>2128</v>
      </c>
      <c r="I343" s="162" t="s">
        <v>5651</v>
      </c>
      <c r="J343" s="162" t="s">
        <v>2396</v>
      </c>
      <c r="K343" s="162" t="s">
        <v>1117</v>
      </c>
      <c r="L343" s="162" t="s">
        <v>3195</v>
      </c>
      <c r="M343" s="540">
        <v>54064</v>
      </c>
      <c r="N343" s="162" t="s">
        <v>1356</v>
      </c>
      <c r="O343" s="162" t="s">
        <v>904</v>
      </c>
      <c r="P343" s="162" t="s">
        <v>3196</v>
      </c>
      <c r="Q343" s="162" t="s">
        <v>4861</v>
      </c>
      <c r="R343" s="162" t="s">
        <v>2121</v>
      </c>
      <c r="S343" s="162" t="s">
        <v>3197</v>
      </c>
      <c r="T343" s="162">
        <v>5.3</v>
      </c>
      <c r="U343" s="162" t="s">
        <v>2151</v>
      </c>
      <c r="V343" s="162" t="s">
        <v>5355</v>
      </c>
      <c r="W343" s="162" t="s">
        <v>5356</v>
      </c>
      <c r="X343" s="162" t="s">
        <v>4864</v>
      </c>
      <c r="Y343" s="162" t="s">
        <v>109</v>
      </c>
      <c r="Z343" s="162" t="s">
        <v>109</v>
      </c>
      <c r="AA343" s="162" t="s">
        <v>109</v>
      </c>
      <c r="AB343" s="162" t="s">
        <v>34</v>
      </c>
      <c r="AC343" s="162" t="s">
        <v>2123</v>
      </c>
      <c r="AD343" s="162" t="s">
        <v>2124</v>
      </c>
      <c r="AE343" s="162" t="s">
        <v>1758</v>
      </c>
      <c r="AF343" s="162">
        <v>20</v>
      </c>
      <c r="AG343" s="162">
        <v>360</v>
      </c>
      <c r="AH343" s="162">
        <v>60</v>
      </c>
      <c r="AI343" s="162" t="s">
        <v>34</v>
      </c>
      <c r="AJ343" s="162" t="s">
        <v>34</v>
      </c>
      <c r="AK343" s="162" t="s">
        <v>2125</v>
      </c>
      <c r="AL343" s="162" t="s">
        <v>34</v>
      </c>
      <c r="AM343" t="s">
        <v>4803</v>
      </c>
      <c r="AN343" s="478">
        <v>0</v>
      </c>
      <c r="AO343" s="478">
        <v>0</v>
      </c>
    </row>
    <row r="344" spans="1:41" x14ac:dyDescent="0.2">
      <c r="A344">
        <v>343</v>
      </c>
      <c r="B344" s="462" t="s">
        <v>1348</v>
      </c>
      <c r="C344" s="162" t="s">
        <v>1358</v>
      </c>
      <c r="D344" s="162" t="s">
        <v>4181</v>
      </c>
      <c r="E344" s="162" t="s">
        <v>2069</v>
      </c>
      <c r="F344" s="162" t="s">
        <v>2004</v>
      </c>
      <c r="G344" s="162" t="s">
        <v>34</v>
      </c>
      <c r="H344" s="162" t="s">
        <v>2128</v>
      </c>
      <c r="I344" s="162" t="s">
        <v>5651</v>
      </c>
      <c r="J344" s="162" t="s">
        <v>2740</v>
      </c>
      <c r="K344" s="162" t="s">
        <v>1117</v>
      </c>
      <c r="L344" s="162" t="s">
        <v>3139</v>
      </c>
      <c r="M344" s="540" t="s">
        <v>3212</v>
      </c>
      <c r="N344" s="162" t="s">
        <v>1358</v>
      </c>
      <c r="O344" s="162" t="s">
        <v>904</v>
      </c>
      <c r="P344" s="162" t="s">
        <v>2522</v>
      </c>
      <c r="Q344" s="162" t="s">
        <v>2204</v>
      </c>
      <c r="R344" s="162" t="s">
        <v>2185</v>
      </c>
      <c r="S344" s="162" t="s">
        <v>3213</v>
      </c>
      <c r="T344" s="162">
        <v>232.9</v>
      </c>
      <c r="U344" s="162" t="s">
        <v>2150</v>
      </c>
      <c r="V344" s="162" t="s">
        <v>3214</v>
      </c>
      <c r="W344" s="162" t="s">
        <v>3215</v>
      </c>
      <c r="X344" s="162" t="s">
        <v>2122</v>
      </c>
      <c r="Y344" s="162" t="s">
        <v>2634</v>
      </c>
      <c r="Z344" s="162" t="s">
        <v>3216</v>
      </c>
      <c r="AA344" s="162" t="s">
        <v>2122</v>
      </c>
      <c r="AB344" s="162" t="s">
        <v>34</v>
      </c>
      <c r="AC344" s="162" t="s">
        <v>2123</v>
      </c>
      <c r="AD344" s="162" t="s">
        <v>2124</v>
      </c>
      <c r="AE344" s="162" t="s">
        <v>1758</v>
      </c>
      <c r="AF344" s="162">
        <v>1.3</v>
      </c>
      <c r="AG344" s="162">
        <v>1.08</v>
      </c>
      <c r="AH344" s="162">
        <v>0.17</v>
      </c>
      <c r="AI344" s="162" t="s">
        <v>3916</v>
      </c>
      <c r="AJ344" s="162" t="s">
        <v>3944</v>
      </c>
      <c r="AK344" s="162" t="s">
        <v>2125</v>
      </c>
      <c r="AL344" s="162" t="s">
        <v>34</v>
      </c>
      <c r="AM344" t="s">
        <v>4803</v>
      </c>
      <c r="AN344" s="478">
        <v>0</v>
      </c>
      <c r="AO344" s="478">
        <v>0</v>
      </c>
    </row>
    <row r="345" spans="1:41" x14ac:dyDescent="0.2">
      <c r="A345">
        <v>344</v>
      </c>
      <c r="B345" s="462" t="s">
        <v>1348</v>
      </c>
      <c r="C345" s="162" t="s">
        <v>1360</v>
      </c>
      <c r="D345" s="162" t="s">
        <v>4182</v>
      </c>
      <c r="E345" s="162" t="s">
        <v>2069</v>
      </c>
      <c r="F345" s="162" t="s">
        <v>2004</v>
      </c>
      <c r="G345" s="162" t="s">
        <v>34</v>
      </c>
      <c r="H345" s="162" t="s">
        <v>2128</v>
      </c>
      <c r="I345" s="162" t="s">
        <v>5651</v>
      </c>
      <c r="J345" s="162" t="s">
        <v>2740</v>
      </c>
      <c r="K345" s="162" t="s">
        <v>1117</v>
      </c>
      <c r="L345" s="162" t="s">
        <v>3217</v>
      </c>
      <c r="M345" s="540" t="s">
        <v>3218</v>
      </c>
      <c r="N345" s="162" t="s">
        <v>1360</v>
      </c>
      <c r="O345" s="162" t="s">
        <v>904</v>
      </c>
      <c r="P345" s="162" t="s">
        <v>2522</v>
      </c>
      <c r="Q345" s="162" t="s">
        <v>2204</v>
      </c>
      <c r="R345" s="162" t="s">
        <v>2185</v>
      </c>
      <c r="S345" s="162" t="s">
        <v>3219</v>
      </c>
      <c r="T345" s="162">
        <v>8.25</v>
      </c>
      <c r="U345" s="162" t="s">
        <v>2150</v>
      </c>
      <c r="V345" s="162" t="s">
        <v>3220</v>
      </c>
      <c r="W345" s="162" t="s">
        <v>3221</v>
      </c>
      <c r="X345" s="162" t="s">
        <v>2122</v>
      </c>
      <c r="Y345" s="162" t="s">
        <v>2634</v>
      </c>
      <c r="Z345" s="162" t="s">
        <v>3222</v>
      </c>
      <c r="AA345" s="162" t="s">
        <v>2122</v>
      </c>
      <c r="AB345" s="162" t="s">
        <v>34</v>
      </c>
      <c r="AC345" s="162" t="s">
        <v>2123</v>
      </c>
      <c r="AD345" s="162" t="s">
        <v>2124</v>
      </c>
      <c r="AE345" s="162" t="s">
        <v>1758</v>
      </c>
      <c r="AF345" s="162">
        <v>5</v>
      </c>
      <c r="AG345" s="162">
        <v>2</v>
      </c>
      <c r="AH345" s="162">
        <v>0.1</v>
      </c>
      <c r="AI345" s="162" t="s">
        <v>3941</v>
      </c>
      <c r="AJ345" s="162" t="s">
        <v>3945</v>
      </c>
      <c r="AK345" s="162" t="s">
        <v>2125</v>
      </c>
      <c r="AL345" s="162" t="s">
        <v>34</v>
      </c>
      <c r="AM345" t="s">
        <v>4803</v>
      </c>
      <c r="AN345" s="478">
        <v>0</v>
      </c>
      <c r="AO345" s="478">
        <v>0</v>
      </c>
    </row>
    <row r="346" spans="1:41" x14ac:dyDescent="0.2">
      <c r="A346">
        <v>345</v>
      </c>
      <c r="B346" s="462" t="s">
        <v>1348</v>
      </c>
      <c r="C346" s="162" t="s">
        <v>1366</v>
      </c>
      <c r="D346" s="162" t="s">
        <v>4183</v>
      </c>
      <c r="E346" s="162" t="s">
        <v>2069</v>
      </c>
      <c r="F346" s="162" t="s">
        <v>2004</v>
      </c>
      <c r="G346" s="162" t="s">
        <v>34</v>
      </c>
      <c r="H346" s="162" t="s">
        <v>2128</v>
      </c>
      <c r="I346" s="162" t="s">
        <v>5651</v>
      </c>
      <c r="J346" s="162" t="s">
        <v>2740</v>
      </c>
      <c r="K346" s="162" t="s">
        <v>3232</v>
      </c>
      <c r="L346" s="162" t="s">
        <v>3233</v>
      </c>
      <c r="M346" s="540" t="s">
        <v>3234</v>
      </c>
      <c r="N346" s="162" t="s">
        <v>1366</v>
      </c>
      <c r="O346" s="162" t="s">
        <v>904</v>
      </c>
      <c r="P346" s="162" t="s">
        <v>2459</v>
      </c>
      <c r="Q346" s="162" t="s">
        <v>2120</v>
      </c>
      <c r="R346" s="162" t="s">
        <v>2185</v>
      </c>
      <c r="S346" s="162" t="s">
        <v>3235</v>
      </c>
      <c r="T346" s="162">
        <v>10.4</v>
      </c>
      <c r="U346" s="162" t="s">
        <v>2150</v>
      </c>
      <c r="V346" s="162" t="s">
        <v>3236</v>
      </c>
      <c r="W346" s="162" t="s">
        <v>3237</v>
      </c>
      <c r="X346" s="162" t="s">
        <v>2122</v>
      </c>
      <c r="Y346" s="162" t="s">
        <v>3238</v>
      </c>
      <c r="Z346" s="162">
        <v>7961820</v>
      </c>
      <c r="AA346" s="162" t="s">
        <v>2258</v>
      </c>
      <c r="AB346" s="162" t="s">
        <v>2192</v>
      </c>
      <c r="AC346" s="162" t="s">
        <v>2123</v>
      </c>
      <c r="AD346" s="162" t="s">
        <v>2124</v>
      </c>
      <c r="AE346" s="162" t="s">
        <v>1758</v>
      </c>
      <c r="AF346" s="162" t="s">
        <v>3347</v>
      </c>
      <c r="AG346" s="162" t="s">
        <v>34</v>
      </c>
      <c r="AH346" s="162" t="s">
        <v>34</v>
      </c>
      <c r="AI346" s="162" t="s">
        <v>34</v>
      </c>
      <c r="AJ346" s="162" t="s">
        <v>34</v>
      </c>
      <c r="AK346" s="162" t="s">
        <v>2125</v>
      </c>
      <c r="AL346" s="162" t="s">
        <v>34</v>
      </c>
      <c r="AM346" t="s">
        <v>4804</v>
      </c>
      <c r="AN346" s="478">
        <v>0</v>
      </c>
      <c r="AO346" s="478">
        <v>0</v>
      </c>
    </row>
    <row r="347" spans="1:41" x14ac:dyDescent="0.2">
      <c r="A347">
        <v>346</v>
      </c>
      <c r="B347" s="462" t="s">
        <v>1348</v>
      </c>
      <c r="C347" s="162" t="s">
        <v>1362</v>
      </c>
      <c r="D347" s="162" t="s">
        <v>4184</v>
      </c>
      <c r="E347" s="162" t="s">
        <v>2069</v>
      </c>
      <c r="F347" s="162" t="s">
        <v>2004</v>
      </c>
      <c r="G347" s="162" t="s">
        <v>34</v>
      </c>
      <c r="H347" s="162" t="s">
        <v>2128</v>
      </c>
      <c r="I347" s="162" t="s">
        <v>5651</v>
      </c>
      <c r="J347" s="162" t="s">
        <v>2740</v>
      </c>
      <c r="K347" s="162" t="s">
        <v>2132</v>
      </c>
      <c r="L347" s="162" t="s">
        <v>3223</v>
      </c>
      <c r="M347" s="540">
        <v>87914</v>
      </c>
      <c r="N347" s="162" t="s">
        <v>1362</v>
      </c>
      <c r="O347" s="162" t="s">
        <v>904</v>
      </c>
      <c r="P347" s="162" t="s">
        <v>3224</v>
      </c>
      <c r="Q347" s="162" t="s">
        <v>2204</v>
      </c>
      <c r="R347" s="162" t="s">
        <v>2185</v>
      </c>
      <c r="S347" s="162" t="s">
        <v>3225</v>
      </c>
      <c r="T347" s="162">
        <v>42.7</v>
      </c>
      <c r="U347" s="162" t="s">
        <v>2151</v>
      </c>
      <c r="V347" s="162" t="s">
        <v>3226</v>
      </c>
      <c r="W347" s="162">
        <v>97.39</v>
      </c>
      <c r="X347" s="162" t="s">
        <v>2122</v>
      </c>
      <c r="Y347" s="162" t="s">
        <v>2634</v>
      </c>
      <c r="Z347" s="162" t="s">
        <v>3227</v>
      </c>
      <c r="AA347" s="162" t="s">
        <v>2122</v>
      </c>
      <c r="AB347" s="162" t="s">
        <v>34</v>
      </c>
      <c r="AC347" s="162" t="s">
        <v>2123</v>
      </c>
      <c r="AD347" s="162" t="s">
        <v>2124</v>
      </c>
      <c r="AE347" s="162" t="s">
        <v>1758</v>
      </c>
      <c r="AF347" s="162">
        <v>6.5</v>
      </c>
      <c r="AG347" s="162">
        <v>0.3</v>
      </c>
      <c r="AH347" s="162">
        <v>0.08</v>
      </c>
      <c r="AI347" s="162" t="s">
        <v>3926</v>
      </c>
      <c r="AJ347" s="162" t="s">
        <v>3946</v>
      </c>
      <c r="AK347" s="162" t="s">
        <v>2125</v>
      </c>
      <c r="AL347" s="162" t="s">
        <v>34</v>
      </c>
      <c r="AM347" t="s">
        <v>4806</v>
      </c>
      <c r="AN347" s="478">
        <v>0</v>
      </c>
      <c r="AO347" s="478">
        <v>0</v>
      </c>
    </row>
    <row r="348" spans="1:41" x14ac:dyDescent="0.2">
      <c r="A348">
        <v>347</v>
      </c>
      <c r="B348" s="462" t="s">
        <v>1348</v>
      </c>
      <c r="C348" s="162" t="s">
        <v>5439</v>
      </c>
      <c r="D348" s="162" t="s">
        <v>5440</v>
      </c>
      <c r="E348" s="162" t="s">
        <v>2069</v>
      </c>
      <c r="F348" s="162" t="s">
        <v>2004</v>
      </c>
      <c r="G348" s="162"/>
      <c r="H348" s="162" t="s">
        <v>2128</v>
      </c>
      <c r="I348" s="162" t="s">
        <v>5045</v>
      </c>
      <c r="J348" s="162" t="s">
        <v>2396</v>
      </c>
      <c r="K348" s="162" t="s">
        <v>1117</v>
      </c>
      <c r="L348" s="162" t="s">
        <v>5441</v>
      </c>
      <c r="M348" s="540">
        <v>630195</v>
      </c>
      <c r="N348" s="162" t="s">
        <v>5439</v>
      </c>
      <c r="O348" s="162" t="s">
        <v>904</v>
      </c>
      <c r="P348" s="162" t="s">
        <v>2459</v>
      </c>
      <c r="Q348" s="162" t="s">
        <v>2204</v>
      </c>
      <c r="R348" s="162" t="s">
        <v>4497</v>
      </c>
      <c r="S348" s="162" t="s">
        <v>5442</v>
      </c>
      <c r="T348" s="162">
        <v>70.83</v>
      </c>
      <c r="U348" s="162" t="s">
        <v>2150</v>
      </c>
      <c r="V348" s="162" t="s">
        <v>5119</v>
      </c>
      <c r="W348" s="162" t="s">
        <v>5443</v>
      </c>
      <c r="X348" s="162" t="s">
        <v>2122</v>
      </c>
      <c r="Y348" s="162" t="s">
        <v>5437</v>
      </c>
      <c r="Z348" s="162" t="s">
        <v>5443</v>
      </c>
      <c r="AA348" s="162" t="s">
        <v>2122</v>
      </c>
      <c r="AB348" s="162"/>
      <c r="AC348" s="162" t="s">
        <v>2123</v>
      </c>
      <c r="AD348" s="162" t="s">
        <v>2124</v>
      </c>
      <c r="AE348" s="162" t="s">
        <v>1758</v>
      </c>
      <c r="AF348" s="162">
        <v>14.1</v>
      </c>
      <c r="AG348" s="162">
        <v>189</v>
      </c>
      <c r="AH348" s="162" t="s">
        <v>4398</v>
      </c>
      <c r="AI348" s="162" t="s">
        <v>5444</v>
      </c>
      <c r="AJ348" s="162"/>
      <c r="AK348" s="162" t="s">
        <v>2125</v>
      </c>
      <c r="AL348" s="162"/>
      <c r="AM348" t="s">
        <v>4803</v>
      </c>
      <c r="AN348" s="478"/>
      <c r="AO348" s="478"/>
    </row>
    <row r="349" spans="1:41" x14ac:dyDescent="0.2">
      <c r="A349">
        <v>348</v>
      </c>
      <c r="B349" s="462" t="s">
        <v>1348</v>
      </c>
      <c r="C349" s="162" t="s">
        <v>1364</v>
      </c>
      <c r="D349" s="162" t="s">
        <v>4185</v>
      </c>
      <c r="E349" s="162" t="s">
        <v>2069</v>
      </c>
      <c r="F349" s="162" t="s">
        <v>2004</v>
      </c>
      <c r="G349" s="162" t="s">
        <v>34</v>
      </c>
      <c r="H349" s="162" t="s">
        <v>2128</v>
      </c>
      <c r="I349" s="162" t="s">
        <v>5651</v>
      </c>
      <c r="J349" s="162" t="s">
        <v>2740</v>
      </c>
      <c r="K349" s="162" t="s">
        <v>2250</v>
      </c>
      <c r="L349" s="162" t="s">
        <v>3228</v>
      </c>
      <c r="M349" s="540">
        <v>122026</v>
      </c>
      <c r="N349" s="162" t="s">
        <v>1364</v>
      </c>
      <c r="O349" s="162" t="s">
        <v>904</v>
      </c>
      <c r="P349" s="162" t="s">
        <v>3229</v>
      </c>
      <c r="Q349" s="162" t="s">
        <v>2126</v>
      </c>
      <c r="R349" s="162" t="s">
        <v>2295</v>
      </c>
      <c r="S349" s="162" t="s">
        <v>3230</v>
      </c>
      <c r="T349" s="162">
        <v>1380</v>
      </c>
      <c r="U349" s="162" t="s">
        <v>2151</v>
      </c>
      <c r="V349" s="162" t="s">
        <v>3231</v>
      </c>
      <c r="W349" s="162">
        <v>133569</v>
      </c>
      <c r="X349" s="162" t="s">
        <v>2122</v>
      </c>
      <c r="Y349" s="162" t="s">
        <v>109</v>
      </c>
      <c r="Z349" s="162" t="s">
        <v>109</v>
      </c>
      <c r="AA349" s="162" t="s">
        <v>109</v>
      </c>
      <c r="AB349" s="162" t="s">
        <v>34</v>
      </c>
      <c r="AC349" s="162" t="s">
        <v>2123</v>
      </c>
      <c r="AD349" s="162" t="s">
        <v>2124</v>
      </c>
      <c r="AE349" s="162" t="s">
        <v>1758</v>
      </c>
      <c r="AF349" s="162">
        <v>25</v>
      </c>
      <c r="AG349" s="162">
        <v>180</v>
      </c>
      <c r="AH349" s="162">
        <v>0</v>
      </c>
      <c r="AI349" s="162" t="s">
        <v>3947</v>
      </c>
      <c r="AJ349" s="162" t="s">
        <v>34</v>
      </c>
      <c r="AK349" s="162" t="s">
        <v>2125</v>
      </c>
      <c r="AL349" s="162" t="s">
        <v>34</v>
      </c>
      <c r="AM349" t="s">
        <v>4805</v>
      </c>
      <c r="AN349" s="478">
        <v>0</v>
      </c>
      <c r="AO349" s="478">
        <v>0</v>
      </c>
    </row>
    <row r="350" spans="1:41" x14ac:dyDescent="0.2">
      <c r="A350">
        <v>349</v>
      </c>
      <c r="B350" s="462" t="s">
        <v>1348</v>
      </c>
      <c r="C350" s="162" t="s">
        <v>1369</v>
      </c>
      <c r="D350" s="162" t="s">
        <v>4186</v>
      </c>
      <c r="E350" s="162" t="s">
        <v>2069</v>
      </c>
      <c r="F350" s="162" t="s">
        <v>2004</v>
      </c>
      <c r="G350" s="162" t="s">
        <v>34</v>
      </c>
      <c r="H350" s="162" t="s">
        <v>2128</v>
      </c>
      <c r="I350" s="162" t="s">
        <v>5651</v>
      </c>
      <c r="J350" s="162" t="s">
        <v>2396</v>
      </c>
      <c r="K350" s="162" t="s">
        <v>1120</v>
      </c>
      <c r="L350" s="162" t="s">
        <v>3206</v>
      </c>
      <c r="M350" s="540">
        <v>18318</v>
      </c>
      <c r="N350" s="162" t="s">
        <v>1369</v>
      </c>
      <c r="O350" s="162" t="s">
        <v>904</v>
      </c>
      <c r="P350" s="162" t="s">
        <v>2533</v>
      </c>
      <c r="Q350" s="162" t="s">
        <v>4861</v>
      </c>
      <c r="R350" s="162" t="s">
        <v>2286</v>
      </c>
      <c r="S350" s="162" t="s">
        <v>3207</v>
      </c>
      <c r="T350" s="162">
        <v>1440</v>
      </c>
      <c r="U350" s="162" t="s">
        <v>2151</v>
      </c>
      <c r="V350" s="162" t="s">
        <v>3208</v>
      </c>
      <c r="W350" s="162" t="s">
        <v>3209</v>
      </c>
      <c r="X350" s="162" t="s">
        <v>4864</v>
      </c>
      <c r="Y350" s="162" t="s">
        <v>3210</v>
      </c>
      <c r="Z350" s="162" t="s">
        <v>3211</v>
      </c>
      <c r="AA350" s="162" t="s">
        <v>4864</v>
      </c>
      <c r="AB350" s="162" t="s">
        <v>34</v>
      </c>
      <c r="AC350" s="162" t="s">
        <v>2123</v>
      </c>
      <c r="AD350" s="162" t="s">
        <v>2124</v>
      </c>
      <c r="AE350" s="162" t="s">
        <v>1758</v>
      </c>
      <c r="AF350" s="162" t="s">
        <v>3347</v>
      </c>
      <c r="AG350" s="162" t="s">
        <v>34</v>
      </c>
      <c r="AH350" s="162" t="s">
        <v>34</v>
      </c>
      <c r="AI350" s="162" t="s">
        <v>34</v>
      </c>
      <c r="AJ350" s="162" t="s">
        <v>34</v>
      </c>
      <c r="AK350" s="162" t="s">
        <v>2125</v>
      </c>
      <c r="AL350" s="162" t="s">
        <v>34</v>
      </c>
      <c r="AM350" t="s">
        <v>4805</v>
      </c>
      <c r="AN350" s="478">
        <v>0</v>
      </c>
      <c r="AO350" s="478">
        <v>0</v>
      </c>
    </row>
    <row r="351" spans="1:41" x14ac:dyDescent="0.2">
      <c r="A351">
        <v>350</v>
      </c>
      <c r="B351" s="462" t="s">
        <v>1348</v>
      </c>
      <c r="C351" s="162" t="s">
        <v>2293</v>
      </c>
      <c r="D351" s="162" t="s">
        <v>5226</v>
      </c>
      <c r="E351" s="162" t="s">
        <v>2069</v>
      </c>
      <c r="F351" s="162" t="s">
        <v>2004</v>
      </c>
      <c r="G351" s="162" t="s">
        <v>34</v>
      </c>
      <c r="H351" s="162" t="s">
        <v>2128</v>
      </c>
      <c r="I351" s="162" t="s">
        <v>5651</v>
      </c>
      <c r="J351" s="162" t="s">
        <v>1764</v>
      </c>
      <c r="K351" s="162" t="s">
        <v>5227</v>
      </c>
      <c r="L351" s="162" t="s">
        <v>5228</v>
      </c>
      <c r="M351" s="540" t="s">
        <v>5229</v>
      </c>
      <c r="N351" s="162" t="s">
        <v>2293</v>
      </c>
      <c r="O351" s="162" t="s">
        <v>2399</v>
      </c>
      <c r="P351" s="162" t="s">
        <v>5230</v>
      </c>
      <c r="Q351" s="162" t="s">
        <v>4861</v>
      </c>
      <c r="R351" s="162" t="s">
        <v>2121</v>
      </c>
      <c r="S351" s="162" t="s">
        <v>5231</v>
      </c>
      <c r="T351" s="162">
        <v>154.04</v>
      </c>
      <c r="U351" s="162" t="s">
        <v>5179</v>
      </c>
      <c r="V351" s="162" t="s">
        <v>5232</v>
      </c>
      <c r="W351" s="162" t="s">
        <v>5233</v>
      </c>
      <c r="X351" s="162" t="s">
        <v>4864</v>
      </c>
      <c r="Y351" s="162" t="s">
        <v>109</v>
      </c>
      <c r="Z351" s="162" t="s">
        <v>109</v>
      </c>
      <c r="AA351" s="162" t="s">
        <v>109</v>
      </c>
      <c r="AB351" s="162" t="s">
        <v>34</v>
      </c>
      <c r="AC351" s="162" t="s">
        <v>2123</v>
      </c>
      <c r="AD351" s="162" t="s">
        <v>5234</v>
      </c>
      <c r="AE351" s="162" t="s">
        <v>1757</v>
      </c>
      <c r="AF351" s="162">
        <v>26.9</v>
      </c>
      <c r="AG351" s="162">
        <v>377</v>
      </c>
      <c r="AH351" s="162" t="s">
        <v>3863</v>
      </c>
      <c r="AI351" s="162" t="s">
        <v>5235</v>
      </c>
      <c r="AJ351" s="162" t="s">
        <v>5236</v>
      </c>
      <c r="AK351" s="162" t="s">
        <v>2125</v>
      </c>
      <c r="AL351" s="162" t="s">
        <v>34</v>
      </c>
      <c r="AM351" t="s">
        <v>4806</v>
      </c>
      <c r="AN351" s="478"/>
      <c r="AO351" s="478"/>
    </row>
    <row r="352" spans="1:41" x14ac:dyDescent="0.2">
      <c r="A352">
        <v>351</v>
      </c>
      <c r="B352" s="462" t="s">
        <v>1348</v>
      </c>
      <c r="C352" s="162" t="s">
        <v>823</v>
      </c>
      <c r="D352" s="162" t="s">
        <v>4187</v>
      </c>
      <c r="E352" s="162" t="s">
        <v>2069</v>
      </c>
      <c r="F352" s="162" t="s">
        <v>2004</v>
      </c>
      <c r="G352" s="162" t="s">
        <v>34</v>
      </c>
      <c r="H352" s="162" t="s">
        <v>2128</v>
      </c>
      <c r="I352" s="162" t="s">
        <v>5651</v>
      </c>
      <c r="J352" s="162" t="s">
        <v>1764</v>
      </c>
      <c r="K352" s="162" t="s">
        <v>1168</v>
      </c>
      <c r="L352" s="162" t="s">
        <v>3199</v>
      </c>
      <c r="M352" s="540">
        <v>380028</v>
      </c>
      <c r="N352" s="162" t="s">
        <v>823</v>
      </c>
      <c r="O352" s="162" t="s">
        <v>904</v>
      </c>
      <c r="P352" s="162" t="s">
        <v>5181</v>
      </c>
      <c r="Q352" s="162" t="s">
        <v>4861</v>
      </c>
      <c r="R352" s="162" t="s">
        <v>2185</v>
      </c>
      <c r="S352" s="162" t="s">
        <v>5182</v>
      </c>
      <c r="T352" s="162">
        <v>10</v>
      </c>
      <c r="U352" s="162" t="s">
        <v>2151</v>
      </c>
      <c r="V352" s="162" t="s">
        <v>2886</v>
      </c>
      <c r="W352" s="162" t="s">
        <v>3200</v>
      </c>
      <c r="X352" s="162" t="s">
        <v>4864</v>
      </c>
      <c r="Y352" s="162" t="s">
        <v>109</v>
      </c>
      <c r="Z352" s="162" t="s">
        <v>109</v>
      </c>
      <c r="AA352" s="162" t="s">
        <v>109</v>
      </c>
      <c r="AB352" s="162" t="s">
        <v>34</v>
      </c>
      <c r="AC352" s="162" t="s">
        <v>2123</v>
      </c>
      <c r="AD352" s="162" t="s">
        <v>2124</v>
      </c>
      <c r="AE352" s="162" t="s">
        <v>1758</v>
      </c>
      <c r="AF352" s="162">
        <v>2</v>
      </c>
      <c r="AG352" s="162">
        <v>0.05</v>
      </c>
      <c r="AH352" s="162">
        <v>0.05</v>
      </c>
      <c r="AI352" s="162" t="s">
        <v>3942</v>
      </c>
      <c r="AJ352" s="162" t="s">
        <v>3943</v>
      </c>
      <c r="AK352" s="162" t="s">
        <v>2125</v>
      </c>
      <c r="AL352" s="162" t="s">
        <v>34</v>
      </c>
      <c r="AM352" t="s">
        <v>4803</v>
      </c>
      <c r="AN352" s="478">
        <v>0</v>
      </c>
      <c r="AO352" s="478">
        <v>0</v>
      </c>
    </row>
    <row r="353" spans="1:41" x14ac:dyDescent="0.2">
      <c r="A353">
        <v>352</v>
      </c>
      <c r="B353" s="462" t="s">
        <v>1348</v>
      </c>
      <c r="C353" s="162" t="s">
        <v>1371</v>
      </c>
      <c r="D353" s="162" t="s">
        <v>4188</v>
      </c>
      <c r="E353" s="162" t="s">
        <v>2069</v>
      </c>
      <c r="F353" s="162" t="s">
        <v>2004</v>
      </c>
      <c r="G353" s="162" t="s">
        <v>34</v>
      </c>
      <c r="H353" s="162" t="s">
        <v>2128</v>
      </c>
      <c r="I353" s="162" t="s">
        <v>5651</v>
      </c>
      <c r="J353" s="162" t="s">
        <v>2396</v>
      </c>
      <c r="K353" s="162" t="s">
        <v>1120</v>
      </c>
      <c r="L353" s="162" t="s">
        <v>2243</v>
      </c>
      <c r="M353" s="540" t="s">
        <v>3201</v>
      </c>
      <c r="N353" s="162" t="s">
        <v>1371</v>
      </c>
      <c r="O353" s="162" t="s">
        <v>904</v>
      </c>
      <c r="P353" s="162" t="s">
        <v>2881</v>
      </c>
      <c r="Q353" s="162" t="s">
        <v>2126</v>
      </c>
      <c r="R353" s="162" t="s">
        <v>2127</v>
      </c>
      <c r="S353" s="162" t="s">
        <v>3202</v>
      </c>
      <c r="T353" s="162">
        <v>840</v>
      </c>
      <c r="U353" s="162" t="s">
        <v>2151</v>
      </c>
      <c r="V353" s="162" t="s">
        <v>3203</v>
      </c>
      <c r="W353" s="162" t="s">
        <v>3204</v>
      </c>
      <c r="X353" s="162" t="s">
        <v>2122</v>
      </c>
      <c r="Y353" s="162" t="s">
        <v>3205</v>
      </c>
      <c r="Z353" s="162">
        <v>4303967</v>
      </c>
      <c r="AA353" s="162" t="s">
        <v>2201</v>
      </c>
      <c r="AB353" s="162" t="s">
        <v>34</v>
      </c>
      <c r="AC353" s="162" t="s">
        <v>2123</v>
      </c>
      <c r="AD353" s="162" t="s">
        <v>2124</v>
      </c>
      <c r="AE353" s="162" t="s">
        <v>1758</v>
      </c>
      <c r="AF353" s="162" t="s">
        <v>3347</v>
      </c>
      <c r="AG353" s="162" t="s">
        <v>34</v>
      </c>
      <c r="AH353" s="162" t="s">
        <v>34</v>
      </c>
      <c r="AI353" s="162" t="s">
        <v>34</v>
      </c>
      <c r="AJ353" s="162" t="s">
        <v>34</v>
      </c>
      <c r="AK353" s="162" t="s">
        <v>2125</v>
      </c>
      <c r="AL353" s="162" t="s">
        <v>34</v>
      </c>
      <c r="AM353" t="s">
        <v>4805</v>
      </c>
      <c r="AN353" s="478">
        <v>0</v>
      </c>
      <c r="AO353" s="478">
        <v>0</v>
      </c>
    </row>
    <row r="354" spans="1:41" x14ac:dyDescent="0.2">
      <c r="A354">
        <v>353</v>
      </c>
      <c r="B354" s="462" t="s">
        <v>1348</v>
      </c>
      <c r="C354" s="162" t="s">
        <v>4529</v>
      </c>
      <c r="D354" s="162" t="s">
        <v>4530</v>
      </c>
      <c r="E354" s="162" t="s">
        <v>2069</v>
      </c>
      <c r="F354" s="162" t="s">
        <v>2004</v>
      </c>
      <c r="G354" s="162" t="s">
        <v>34</v>
      </c>
      <c r="H354" s="162" t="s">
        <v>2128</v>
      </c>
      <c r="I354" s="162" t="s">
        <v>5651</v>
      </c>
      <c r="J354" s="162" t="s">
        <v>1764</v>
      </c>
      <c r="K354" s="162" t="s">
        <v>1120</v>
      </c>
      <c r="L354" s="162" t="s">
        <v>4531</v>
      </c>
      <c r="M354" s="540" t="s">
        <v>4532</v>
      </c>
      <c r="N354" s="162" t="s">
        <v>4533</v>
      </c>
      <c r="O354" s="162" t="s">
        <v>904</v>
      </c>
      <c r="P354" s="162" t="s">
        <v>4534</v>
      </c>
      <c r="Q354" s="162" t="s">
        <v>2126</v>
      </c>
      <c r="R354" s="162" t="s">
        <v>2286</v>
      </c>
      <c r="S354" s="162" t="s">
        <v>4535</v>
      </c>
      <c r="T354" s="162">
        <v>1771</v>
      </c>
      <c r="U354" s="162" t="s">
        <v>2151</v>
      </c>
      <c r="V354" s="162" t="s">
        <v>2288</v>
      </c>
      <c r="W354" s="162" t="s">
        <v>4536</v>
      </c>
      <c r="X354" s="162" t="s">
        <v>2738</v>
      </c>
      <c r="Y354" s="162" t="s">
        <v>2794</v>
      </c>
      <c r="Z354" s="162" t="s">
        <v>4732</v>
      </c>
      <c r="AA354" s="162" t="s">
        <v>2122</v>
      </c>
      <c r="AB354" s="162" t="s">
        <v>4733</v>
      </c>
      <c r="AC354" s="162" t="s">
        <v>2123</v>
      </c>
      <c r="AD354" s="162" t="s">
        <v>2124</v>
      </c>
      <c r="AE354" s="162" t="s">
        <v>1758</v>
      </c>
      <c r="AF354" s="162" t="s">
        <v>3347</v>
      </c>
      <c r="AG354" s="162" t="s">
        <v>34</v>
      </c>
      <c r="AH354" s="162" t="s">
        <v>34</v>
      </c>
      <c r="AI354" s="162" t="s">
        <v>34</v>
      </c>
      <c r="AJ354" s="162" t="s">
        <v>34</v>
      </c>
      <c r="AK354" s="162" t="s">
        <v>2125</v>
      </c>
      <c r="AL354" s="162" t="s">
        <v>34</v>
      </c>
      <c r="AM354" t="s">
        <v>4805</v>
      </c>
      <c r="AN354" s="478">
        <v>0</v>
      </c>
      <c r="AO354" s="478">
        <v>0</v>
      </c>
    </row>
    <row r="355" spans="1:41" x14ac:dyDescent="0.2">
      <c r="A355">
        <v>354</v>
      </c>
      <c r="B355" s="462" t="s">
        <v>1348</v>
      </c>
      <c r="C355" s="162" t="s">
        <v>837</v>
      </c>
      <c r="D355" s="162" t="s">
        <v>5260</v>
      </c>
      <c r="E355" s="162" t="s">
        <v>2069</v>
      </c>
      <c r="F355" s="162" t="s">
        <v>2004</v>
      </c>
      <c r="G355" s="162" t="s">
        <v>34</v>
      </c>
      <c r="H355" s="162" t="s">
        <v>2128</v>
      </c>
      <c r="I355" s="162" t="s">
        <v>5651</v>
      </c>
      <c r="J355" s="162" t="s">
        <v>1764</v>
      </c>
      <c r="K355" s="162" t="s">
        <v>1168</v>
      </c>
      <c r="L355" s="162" t="s">
        <v>5261</v>
      </c>
      <c r="M355" s="540">
        <v>330453</v>
      </c>
      <c r="N355" s="162" t="s">
        <v>837</v>
      </c>
      <c r="O355" s="162" t="s">
        <v>904</v>
      </c>
      <c r="P355" s="162" t="s">
        <v>5262</v>
      </c>
      <c r="Q355" s="162" t="s">
        <v>4861</v>
      </c>
      <c r="R355" s="162" t="s">
        <v>2185</v>
      </c>
      <c r="S355" s="162" t="s">
        <v>2786</v>
      </c>
      <c r="T355" s="162">
        <v>10</v>
      </c>
      <c r="U355" s="162" t="s">
        <v>2151</v>
      </c>
      <c r="V355" s="162" t="s">
        <v>5263</v>
      </c>
      <c r="W355" s="162" t="s">
        <v>5264</v>
      </c>
      <c r="X355" s="162" t="s">
        <v>4864</v>
      </c>
      <c r="Y355" s="162" t="s">
        <v>109</v>
      </c>
      <c r="Z355" s="162" t="s">
        <v>109</v>
      </c>
      <c r="AA355" s="162" t="s">
        <v>109</v>
      </c>
      <c r="AB355" s="162" t="s">
        <v>34</v>
      </c>
      <c r="AC355" s="162" t="s">
        <v>2123</v>
      </c>
      <c r="AD355" s="162" t="s">
        <v>2124</v>
      </c>
      <c r="AE355" s="162" t="s">
        <v>1758</v>
      </c>
      <c r="AF355" s="162">
        <v>2</v>
      </c>
      <c r="AG355" s="162">
        <v>0.05</v>
      </c>
      <c r="AH355" s="162">
        <v>0.05</v>
      </c>
      <c r="AI355" s="162" t="s">
        <v>3942</v>
      </c>
      <c r="AJ355" s="162" t="s">
        <v>3943</v>
      </c>
      <c r="AK355" s="162" t="s">
        <v>2125</v>
      </c>
      <c r="AL355" s="162" t="s">
        <v>34</v>
      </c>
      <c r="AM355" t="s">
        <v>4803</v>
      </c>
      <c r="AN355" s="478"/>
      <c r="AO355" s="478"/>
    </row>
    <row r="356" spans="1:41" x14ac:dyDescent="0.2">
      <c r="A356">
        <v>355</v>
      </c>
      <c r="B356" s="462" t="s">
        <v>1384</v>
      </c>
      <c r="C356" s="162" t="s">
        <v>1386</v>
      </c>
      <c r="D356" s="162" t="s">
        <v>4189</v>
      </c>
      <c r="E356" s="162" t="s">
        <v>2070</v>
      </c>
      <c r="F356" s="162" t="s">
        <v>2010</v>
      </c>
      <c r="G356" s="162" t="s">
        <v>34</v>
      </c>
      <c r="H356" s="162" t="s">
        <v>2128</v>
      </c>
      <c r="I356" s="162" t="s">
        <v>5651</v>
      </c>
      <c r="J356" s="162" t="s">
        <v>1764</v>
      </c>
      <c r="K356" s="162" t="s">
        <v>2132</v>
      </c>
      <c r="L356" s="162" t="s">
        <v>3258</v>
      </c>
      <c r="M356" s="540">
        <v>112047</v>
      </c>
      <c r="N356" s="162" t="s">
        <v>1386</v>
      </c>
      <c r="O356" s="162" t="s">
        <v>904</v>
      </c>
      <c r="P356" s="162" t="s">
        <v>4446</v>
      </c>
      <c r="Q356" s="162" t="s">
        <v>2204</v>
      </c>
      <c r="R356" s="162" t="s">
        <v>2295</v>
      </c>
      <c r="S356" s="162" t="s">
        <v>4906</v>
      </c>
      <c r="T356" s="162">
        <v>143.75</v>
      </c>
      <c r="U356" s="162" t="s">
        <v>1947</v>
      </c>
      <c r="V356" s="162" t="s">
        <v>4447</v>
      </c>
      <c r="W356" s="162">
        <v>2009104701</v>
      </c>
      <c r="X356" s="162" t="s">
        <v>2122</v>
      </c>
      <c r="Y356" s="162" t="s">
        <v>4447</v>
      </c>
      <c r="Z356" s="162">
        <v>2009104701</v>
      </c>
      <c r="AA356" s="162" t="s">
        <v>2122</v>
      </c>
      <c r="AB356" s="162" t="s">
        <v>34</v>
      </c>
      <c r="AC356" s="162" t="s">
        <v>2123</v>
      </c>
      <c r="AD356" s="162" t="s">
        <v>2124</v>
      </c>
      <c r="AE356" s="162" t="s">
        <v>1758</v>
      </c>
      <c r="AF356" s="162">
        <v>10.5</v>
      </c>
      <c r="AG356" s="162">
        <v>400</v>
      </c>
      <c r="AH356" s="162">
        <v>8</v>
      </c>
      <c r="AI356" s="162" t="s">
        <v>34</v>
      </c>
      <c r="AJ356" s="162" t="s">
        <v>34</v>
      </c>
      <c r="AK356" s="162" t="s">
        <v>2125</v>
      </c>
      <c r="AL356" s="162" t="s">
        <v>34</v>
      </c>
      <c r="AM356" t="s">
        <v>4803</v>
      </c>
      <c r="AN356" s="478">
        <v>0</v>
      </c>
      <c r="AO356" s="478">
        <v>0</v>
      </c>
    </row>
    <row r="357" spans="1:41" x14ac:dyDescent="0.2">
      <c r="A357">
        <v>356</v>
      </c>
      <c r="B357" s="462" t="s">
        <v>1384</v>
      </c>
      <c r="C357" s="162" t="s">
        <v>4448</v>
      </c>
      <c r="D357" s="162" t="s">
        <v>4449</v>
      </c>
      <c r="E357" s="162" t="s">
        <v>2070</v>
      </c>
      <c r="F357" s="162" t="s">
        <v>2010</v>
      </c>
      <c r="G357" s="162" t="s">
        <v>34</v>
      </c>
      <c r="H357" s="162" t="s">
        <v>2128</v>
      </c>
      <c r="I357" s="162" t="s">
        <v>5660</v>
      </c>
      <c r="J357" s="162" t="s">
        <v>1764</v>
      </c>
      <c r="K357" s="162" t="s">
        <v>2132</v>
      </c>
      <c r="L357" s="162" t="s">
        <v>3258</v>
      </c>
      <c r="M357" s="540">
        <v>112047</v>
      </c>
      <c r="N357" s="162" t="s">
        <v>1386</v>
      </c>
      <c r="O357" s="162" t="s">
        <v>904</v>
      </c>
      <c r="P357" s="162" t="s">
        <v>4491</v>
      </c>
      <c r="Q357" s="162" t="s">
        <v>2204</v>
      </c>
      <c r="R357" s="162" t="s">
        <v>2295</v>
      </c>
      <c r="S357" s="162" t="s">
        <v>3475</v>
      </c>
      <c r="T357" s="162">
        <v>402.3</v>
      </c>
      <c r="U357" s="162" t="s">
        <v>1947</v>
      </c>
      <c r="V357" s="162" t="s">
        <v>4492</v>
      </c>
      <c r="W357" s="162">
        <v>2009104701</v>
      </c>
      <c r="X357" s="162" t="s">
        <v>2122</v>
      </c>
      <c r="Y357" s="162" t="s">
        <v>4492</v>
      </c>
      <c r="Z357" s="162">
        <v>2009104701</v>
      </c>
      <c r="AA357" s="162" t="s">
        <v>2122</v>
      </c>
      <c r="AB357" s="162" t="s">
        <v>34</v>
      </c>
      <c r="AC357" s="162" t="s">
        <v>2123</v>
      </c>
      <c r="AD357" s="162" t="s">
        <v>2124</v>
      </c>
      <c r="AE357" s="162" t="s">
        <v>1758</v>
      </c>
      <c r="AF357" s="162">
        <v>10.5</v>
      </c>
      <c r="AG357" s="162">
        <v>400</v>
      </c>
      <c r="AH357" s="162">
        <v>8</v>
      </c>
      <c r="AI357" s="162" t="s">
        <v>34</v>
      </c>
      <c r="AJ357" s="162" t="s">
        <v>34</v>
      </c>
      <c r="AK357" s="162" t="s">
        <v>2125</v>
      </c>
      <c r="AL357" s="162" t="s">
        <v>34</v>
      </c>
      <c r="AM357" t="s">
        <v>4821</v>
      </c>
      <c r="AN357" s="478">
        <v>0</v>
      </c>
      <c r="AO357" s="478">
        <v>0</v>
      </c>
    </row>
    <row r="358" spans="1:41" x14ac:dyDescent="0.2">
      <c r="A358">
        <v>357</v>
      </c>
      <c r="B358" s="462" t="s">
        <v>1384</v>
      </c>
      <c r="C358" s="162" t="s">
        <v>1911</v>
      </c>
      <c r="D358" s="162" t="s">
        <v>4190</v>
      </c>
      <c r="E358" s="162" t="s">
        <v>2070</v>
      </c>
      <c r="F358" s="162" t="s">
        <v>2010</v>
      </c>
      <c r="G358" s="162" t="s">
        <v>34</v>
      </c>
      <c r="H358" s="162" t="s">
        <v>2128</v>
      </c>
      <c r="I358" s="162" t="s">
        <v>5651</v>
      </c>
      <c r="J358" s="162" t="s">
        <v>1764</v>
      </c>
      <c r="K358" s="162" t="s">
        <v>3265</v>
      </c>
      <c r="L358" s="162" t="s">
        <v>3266</v>
      </c>
      <c r="M358" s="540" t="s">
        <v>1911</v>
      </c>
      <c r="N358" s="162" t="s">
        <v>1911</v>
      </c>
      <c r="O358" s="162" t="s">
        <v>2399</v>
      </c>
      <c r="P358" s="162" t="s">
        <v>3478</v>
      </c>
      <c r="Q358" s="162" t="s">
        <v>3478</v>
      </c>
      <c r="R358" s="162" t="s">
        <v>2280</v>
      </c>
      <c r="S358" s="162" t="s">
        <v>3479</v>
      </c>
      <c r="T358" s="162">
        <v>3168</v>
      </c>
      <c r="U358" s="162" t="s">
        <v>1947</v>
      </c>
      <c r="V358" s="162" t="s">
        <v>109</v>
      </c>
      <c r="W358" s="162" t="s">
        <v>109</v>
      </c>
      <c r="X358" s="162" t="s">
        <v>109</v>
      </c>
      <c r="Y358" s="162" t="s">
        <v>3267</v>
      </c>
      <c r="Z358" s="162" t="s">
        <v>3259</v>
      </c>
      <c r="AA358" s="162" t="s">
        <v>2122</v>
      </c>
      <c r="AB358" s="162" t="s">
        <v>34</v>
      </c>
      <c r="AC358" s="162" t="s">
        <v>2123</v>
      </c>
      <c r="AD358" s="162" t="s">
        <v>2124</v>
      </c>
      <c r="AE358" s="162" t="s">
        <v>1758</v>
      </c>
      <c r="AF358" s="162" t="s">
        <v>3347</v>
      </c>
      <c r="AG358" s="162" t="s">
        <v>34</v>
      </c>
      <c r="AH358" s="162" t="s">
        <v>34</v>
      </c>
      <c r="AI358" s="162" t="s">
        <v>34</v>
      </c>
      <c r="AJ358" s="162" t="s">
        <v>34</v>
      </c>
      <c r="AK358" s="162" t="s">
        <v>2125</v>
      </c>
      <c r="AL358" s="162" t="s">
        <v>34</v>
      </c>
      <c r="AM358" t="s">
        <v>4820</v>
      </c>
      <c r="AN358" s="478">
        <v>0</v>
      </c>
      <c r="AO358" s="478">
        <v>0</v>
      </c>
    </row>
    <row r="359" spans="1:41" x14ac:dyDescent="0.2">
      <c r="A359">
        <v>358</v>
      </c>
      <c r="B359" s="462" t="s">
        <v>1384</v>
      </c>
      <c r="C359" s="162" t="s">
        <v>1973</v>
      </c>
      <c r="D359" s="162" t="s">
        <v>4191</v>
      </c>
      <c r="E359" s="162" t="s">
        <v>2070</v>
      </c>
      <c r="F359" s="162" t="s">
        <v>2010</v>
      </c>
      <c r="G359" s="162" t="s">
        <v>34</v>
      </c>
      <c r="H359" s="162" t="s">
        <v>2128</v>
      </c>
      <c r="I359" s="162" t="s">
        <v>5651</v>
      </c>
      <c r="J359" s="162" t="s">
        <v>1764</v>
      </c>
      <c r="K359" s="162" t="s">
        <v>3260</v>
      </c>
      <c r="L359" s="162" t="s">
        <v>3261</v>
      </c>
      <c r="M359" s="540" t="s">
        <v>1973</v>
      </c>
      <c r="N359" s="162" t="s">
        <v>1973</v>
      </c>
      <c r="O359" s="162" t="s">
        <v>2399</v>
      </c>
      <c r="P359" s="162" t="s">
        <v>3476</v>
      </c>
      <c r="Q359" s="162" t="s">
        <v>2204</v>
      </c>
      <c r="R359" s="162" t="s">
        <v>2121</v>
      </c>
      <c r="S359" s="162" t="s">
        <v>3477</v>
      </c>
      <c r="T359" s="162">
        <v>96</v>
      </c>
      <c r="U359" s="162" t="s">
        <v>1947</v>
      </c>
      <c r="V359" s="162" t="s">
        <v>3262</v>
      </c>
      <c r="W359" s="162" t="s">
        <v>3263</v>
      </c>
      <c r="X359" s="162" t="s">
        <v>3264</v>
      </c>
      <c r="Y359" s="162" t="s">
        <v>109</v>
      </c>
      <c r="Z359" s="162" t="s">
        <v>109</v>
      </c>
      <c r="AA359" s="162" t="s">
        <v>109</v>
      </c>
      <c r="AB359" s="162" t="s">
        <v>34</v>
      </c>
      <c r="AC359" s="162" t="s">
        <v>2123</v>
      </c>
      <c r="AD359" s="162" t="s">
        <v>2124</v>
      </c>
      <c r="AE359" s="162" t="s">
        <v>1758</v>
      </c>
      <c r="AF359" s="162" t="s">
        <v>3347</v>
      </c>
      <c r="AG359" s="162" t="s">
        <v>34</v>
      </c>
      <c r="AH359" s="162" t="s">
        <v>34</v>
      </c>
      <c r="AI359" s="162" t="s">
        <v>34</v>
      </c>
      <c r="AJ359" s="162" t="s">
        <v>34</v>
      </c>
      <c r="AK359" s="162" t="s">
        <v>2125</v>
      </c>
      <c r="AL359" s="162" t="s">
        <v>34</v>
      </c>
      <c r="AM359" t="s">
        <v>4803</v>
      </c>
      <c r="AN359" s="478">
        <v>0</v>
      </c>
      <c r="AO359" s="478">
        <v>0</v>
      </c>
    </row>
    <row r="360" spans="1:41" x14ac:dyDescent="0.2">
      <c r="A360">
        <v>359</v>
      </c>
      <c r="B360" s="462" t="s">
        <v>1384</v>
      </c>
      <c r="C360" s="162" t="s">
        <v>5528</v>
      </c>
      <c r="D360" s="162" t="s">
        <v>5529</v>
      </c>
      <c r="E360" s="162" t="s">
        <v>5530</v>
      </c>
      <c r="F360" s="162" t="s">
        <v>2023</v>
      </c>
      <c r="G360" s="162"/>
      <c r="H360" s="162" t="s">
        <v>2128</v>
      </c>
      <c r="I360" s="162" t="s">
        <v>5712</v>
      </c>
      <c r="J360" s="162" t="s">
        <v>2116</v>
      </c>
      <c r="K360" s="162" t="s">
        <v>4553</v>
      </c>
      <c r="L360" s="162" t="s">
        <v>5531</v>
      </c>
      <c r="M360" s="540" t="s">
        <v>5532</v>
      </c>
      <c r="N360" s="162" t="s">
        <v>5528</v>
      </c>
      <c r="O360" s="162" t="s">
        <v>3051</v>
      </c>
      <c r="P360" s="162" t="s">
        <v>5533</v>
      </c>
      <c r="Q360" s="162" t="s">
        <v>2204</v>
      </c>
      <c r="R360" s="162" t="s">
        <v>4776</v>
      </c>
      <c r="S360" s="162" t="s">
        <v>5534</v>
      </c>
      <c r="T360" s="162">
        <v>1067.2</v>
      </c>
      <c r="U360" s="162" t="s">
        <v>1947</v>
      </c>
      <c r="V360" s="162" t="s">
        <v>2541</v>
      </c>
      <c r="W360" s="162" t="s">
        <v>5535</v>
      </c>
      <c r="X360" s="162" t="s">
        <v>2122</v>
      </c>
      <c r="Y360" s="162" t="s">
        <v>4586</v>
      </c>
      <c r="Z360" s="162" t="s">
        <v>5536</v>
      </c>
      <c r="AA360" s="162" t="s">
        <v>2122</v>
      </c>
      <c r="AB360" s="162"/>
      <c r="AC360" s="162" t="s">
        <v>2123</v>
      </c>
      <c r="AD360" s="162" t="s">
        <v>5537</v>
      </c>
      <c r="AE360" s="162" t="s">
        <v>1758</v>
      </c>
      <c r="AF360" s="162" t="s">
        <v>3347</v>
      </c>
      <c r="AG360" s="162"/>
      <c r="AH360" s="162"/>
      <c r="AI360" s="162"/>
      <c r="AJ360" s="162"/>
      <c r="AK360" s="162" t="s">
        <v>2125</v>
      </c>
      <c r="AL360" s="162"/>
      <c r="AM360" t="s">
        <v>4975</v>
      </c>
      <c r="AN360" s="478"/>
      <c r="AO360" s="478"/>
    </row>
    <row r="361" spans="1:41" x14ac:dyDescent="0.2">
      <c r="A361">
        <v>360</v>
      </c>
      <c r="B361" s="462" t="s">
        <v>1388</v>
      </c>
      <c r="C361" s="162" t="s">
        <v>878</v>
      </c>
      <c r="D361" s="162" t="s">
        <v>5691</v>
      </c>
      <c r="E361" s="162" t="s">
        <v>2071</v>
      </c>
      <c r="F361" s="162" t="s">
        <v>2008</v>
      </c>
      <c r="G361" s="162" t="s">
        <v>34</v>
      </c>
      <c r="H361" s="162" t="s">
        <v>2128</v>
      </c>
      <c r="I361" s="162" t="s">
        <v>5651</v>
      </c>
      <c r="J361" s="162" t="s">
        <v>1764</v>
      </c>
      <c r="K361" s="162" t="s">
        <v>2304</v>
      </c>
      <c r="L361" s="162" t="s">
        <v>3268</v>
      </c>
      <c r="M361" s="540">
        <v>9261</v>
      </c>
      <c r="N361" s="162" t="s">
        <v>878</v>
      </c>
      <c r="O361" s="162" t="s">
        <v>904</v>
      </c>
      <c r="P361" s="162" t="s">
        <v>2323</v>
      </c>
      <c r="Q361" s="162" t="s">
        <v>2204</v>
      </c>
      <c r="R361" s="162" t="s">
        <v>2121</v>
      </c>
      <c r="S361" s="162" t="s">
        <v>3480</v>
      </c>
      <c r="T361" s="162">
        <v>339.3</v>
      </c>
      <c r="U361" s="162" t="s">
        <v>1947</v>
      </c>
      <c r="V361" s="162" t="s">
        <v>3268</v>
      </c>
      <c r="W361" s="162" t="s">
        <v>2243</v>
      </c>
      <c r="X361" s="162" t="s">
        <v>2122</v>
      </c>
      <c r="Y361" s="162" t="s">
        <v>3268</v>
      </c>
      <c r="Z361" s="162" t="s">
        <v>2243</v>
      </c>
      <c r="AA361" s="162" t="s">
        <v>2122</v>
      </c>
      <c r="AB361" s="162" t="s">
        <v>34</v>
      </c>
      <c r="AC361" s="162" t="s">
        <v>2123</v>
      </c>
      <c r="AD361" s="162" t="s">
        <v>2124</v>
      </c>
      <c r="AE361" s="162" t="s">
        <v>1758</v>
      </c>
      <c r="AF361" s="162" t="s">
        <v>3347</v>
      </c>
      <c r="AG361" s="162" t="s">
        <v>34</v>
      </c>
      <c r="AH361" s="162" t="s">
        <v>34</v>
      </c>
      <c r="AI361" s="162" t="s">
        <v>34</v>
      </c>
      <c r="AJ361" s="162" t="s">
        <v>34</v>
      </c>
      <c r="AK361" s="162" t="s">
        <v>2125</v>
      </c>
      <c r="AL361" s="162" t="s">
        <v>34</v>
      </c>
      <c r="AM361" t="s">
        <v>4803</v>
      </c>
      <c r="AN361" s="478">
        <v>0</v>
      </c>
      <c r="AO361" s="478">
        <v>0</v>
      </c>
    </row>
    <row r="362" spans="1:41" x14ac:dyDescent="0.2">
      <c r="A362">
        <v>361</v>
      </c>
      <c r="B362" s="462" t="s">
        <v>1388</v>
      </c>
      <c r="C362" s="162" t="s">
        <v>1927</v>
      </c>
      <c r="D362" s="162" t="s">
        <v>4192</v>
      </c>
      <c r="E362" s="162" t="s">
        <v>2071</v>
      </c>
      <c r="F362" s="162" t="s">
        <v>2008</v>
      </c>
      <c r="G362" s="162" t="s">
        <v>34</v>
      </c>
      <c r="H362" s="162" t="s">
        <v>2128</v>
      </c>
      <c r="I362" s="162" t="s">
        <v>5651</v>
      </c>
      <c r="J362" s="162" t="s">
        <v>1764</v>
      </c>
      <c r="K362" s="162" t="s">
        <v>1927</v>
      </c>
      <c r="L362" s="162" t="s">
        <v>3268</v>
      </c>
      <c r="M362" s="540">
        <v>17160</v>
      </c>
      <c r="N362" s="162" t="s">
        <v>1927</v>
      </c>
      <c r="O362" s="162" t="s">
        <v>2399</v>
      </c>
      <c r="P362" s="162" t="s">
        <v>2323</v>
      </c>
      <c r="Q362" s="162" t="s">
        <v>2204</v>
      </c>
      <c r="R362" s="162" t="s">
        <v>2121</v>
      </c>
      <c r="S362" s="162" t="s">
        <v>3480</v>
      </c>
      <c r="T362" s="162">
        <v>339.3</v>
      </c>
      <c r="U362" s="162" t="s">
        <v>1947</v>
      </c>
      <c r="V362" s="162" t="s">
        <v>3268</v>
      </c>
      <c r="W362" s="162" t="s">
        <v>2255</v>
      </c>
      <c r="X362" s="162" t="s">
        <v>2122</v>
      </c>
      <c r="Y362" s="162" t="s">
        <v>3268</v>
      </c>
      <c r="Z362" s="162" t="s">
        <v>2255</v>
      </c>
      <c r="AA362" s="162" t="s">
        <v>2122</v>
      </c>
      <c r="AB362" s="162" t="s">
        <v>34</v>
      </c>
      <c r="AC362" s="162" t="s">
        <v>2123</v>
      </c>
      <c r="AD362" s="162" t="s">
        <v>2124</v>
      </c>
      <c r="AE362" s="162" t="s">
        <v>1758</v>
      </c>
      <c r="AF362" s="162" t="s">
        <v>3347</v>
      </c>
      <c r="AG362" s="162" t="s">
        <v>34</v>
      </c>
      <c r="AH362" s="162" t="s">
        <v>34</v>
      </c>
      <c r="AI362" s="162" t="s">
        <v>34</v>
      </c>
      <c r="AJ362" s="162" t="s">
        <v>34</v>
      </c>
      <c r="AK362" s="162" t="s">
        <v>2125</v>
      </c>
      <c r="AL362" s="162" t="s">
        <v>34</v>
      </c>
      <c r="AM362" t="s">
        <v>4803</v>
      </c>
      <c r="AN362" s="478">
        <v>0</v>
      </c>
      <c r="AO362" s="478">
        <v>0</v>
      </c>
    </row>
    <row r="363" spans="1:41" x14ac:dyDescent="0.2">
      <c r="A363">
        <v>362</v>
      </c>
      <c r="B363" s="462" t="s">
        <v>1388</v>
      </c>
      <c r="C363" s="162" t="s">
        <v>1400</v>
      </c>
      <c r="D363" s="162" t="s">
        <v>4193</v>
      </c>
      <c r="E363" s="162" t="s">
        <v>2071</v>
      </c>
      <c r="F363" s="162" t="s">
        <v>2008</v>
      </c>
      <c r="G363" s="162" t="s">
        <v>34</v>
      </c>
      <c r="H363" s="162" t="s">
        <v>2128</v>
      </c>
      <c r="I363" s="162" t="s">
        <v>5665</v>
      </c>
      <c r="J363" s="162" t="s">
        <v>2116</v>
      </c>
      <c r="K363" s="162" t="s">
        <v>2305</v>
      </c>
      <c r="L363" s="162" t="s">
        <v>3277</v>
      </c>
      <c r="M363" s="540" t="s">
        <v>1400</v>
      </c>
      <c r="N363" s="162" t="s">
        <v>1400</v>
      </c>
      <c r="O363" s="162" t="s">
        <v>3278</v>
      </c>
      <c r="P363" s="162" t="s">
        <v>2371</v>
      </c>
      <c r="Q363" s="162" t="s">
        <v>2204</v>
      </c>
      <c r="R363" s="162" t="s">
        <v>2280</v>
      </c>
      <c r="S363" s="162" t="s">
        <v>3481</v>
      </c>
      <c r="T363" s="162">
        <v>2744</v>
      </c>
      <c r="U363" s="162" t="s">
        <v>1947</v>
      </c>
      <c r="V363" s="162" t="s">
        <v>3279</v>
      </c>
      <c r="W363" s="162" t="s">
        <v>1400</v>
      </c>
      <c r="X363" s="162" t="s">
        <v>2230</v>
      </c>
      <c r="Y363" s="162" t="s">
        <v>3280</v>
      </c>
      <c r="Z363" s="162">
        <v>500445</v>
      </c>
      <c r="AA363" s="162" t="s">
        <v>2122</v>
      </c>
      <c r="AB363" s="162" t="s">
        <v>4843</v>
      </c>
      <c r="AC363" s="162" t="s">
        <v>2123</v>
      </c>
      <c r="AD363" s="162" t="s">
        <v>2124</v>
      </c>
      <c r="AE363" s="162" t="s">
        <v>1758</v>
      </c>
      <c r="AF363" s="162" t="s">
        <v>3347</v>
      </c>
      <c r="AG363" s="162" t="s">
        <v>34</v>
      </c>
      <c r="AH363" s="162" t="s">
        <v>34</v>
      </c>
      <c r="AI363" s="162" t="s">
        <v>34</v>
      </c>
      <c r="AJ363" s="162" t="s">
        <v>34</v>
      </c>
      <c r="AK363" s="162" t="s">
        <v>2125</v>
      </c>
      <c r="AL363" s="162" t="s">
        <v>34</v>
      </c>
      <c r="AM363" t="s">
        <v>4820</v>
      </c>
      <c r="AN363" s="478">
        <v>0</v>
      </c>
      <c r="AO363" s="478">
        <v>0</v>
      </c>
    </row>
    <row r="364" spans="1:41" x14ac:dyDescent="0.2">
      <c r="A364">
        <v>363</v>
      </c>
      <c r="B364" s="462" t="s">
        <v>1388</v>
      </c>
      <c r="C364" s="162" t="s">
        <v>1394</v>
      </c>
      <c r="D364" s="162" t="s">
        <v>4194</v>
      </c>
      <c r="E364" s="162" t="s">
        <v>2071</v>
      </c>
      <c r="F364" s="162" t="s">
        <v>2008</v>
      </c>
      <c r="G364" s="162" t="s">
        <v>34</v>
      </c>
      <c r="H364" s="162" t="s">
        <v>2128</v>
      </c>
      <c r="I364" s="162" t="s">
        <v>5651</v>
      </c>
      <c r="J364" s="162" t="s">
        <v>1764</v>
      </c>
      <c r="K364" s="162" t="s">
        <v>2132</v>
      </c>
      <c r="L364" s="162" t="s">
        <v>2803</v>
      </c>
      <c r="M364" s="540" t="s">
        <v>3271</v>
      </c>
      <c r="N364" s="162" t="s">
        <v>1394</v>
      </c>
      <c r="O364" s="162" t="s">
        <v>109</v>
      </c>
      <c r="P364" s="162" t="s">
        <v>2677</v>
      </c>
      <c r="Q364" s="162" t="s">
        <v>2204</v>
      </c>
      <c r="R364" s="162" t="s">
        <v>2121</v>
      </c>
      <c r="S364" s="162" t="s">
        <v>3485</v>
      </c>
      <c r="T364" s="162">
        <v>19.3</v>
      </c>
      <c r="U364" s="162" t="s">
        <v>1947</v>
      </c>
      <c r="V364" s="162" t="s">
        <v>2908</v>
      </c>
      <c r="W364" s="162" t="s">
        <v>3272</v>
      </c>
      <c r="X364" s="162" t="s">
        <v>2122</v>
      </c>
      <c r="Y364" s="162" t="s">
        <v>109</v>
      </c>
      <c r="Z364" s="162" t="s">
        <v>109</v>
      </c>
      <c r="AA364" s="162" t="s">
        <v>109</v>
      </c>
      <c r="AB364" s="162" t="s">
        <v>34</v>
      </c>
      <c r="AC364" s="162" t="s">
        <v>2123</v>
      </c>
      <c r="AD364" s="162" t="s">
        <v>2124</v>
      </c>
      <c r="AE364" s="162" t="s">
        <v>1758</v>
      </c>
      <c r="AF364" s="162">
        <v>10</v>
      </c>
      <c r="AG364" s="162">
        <v>0.1</v>
      </c>
      <c r="AH364" s="162">
        <v>0.15</v>
      </c>
      <c r="AI364" s="162" t="s">
        <v>34</v>
      </c>
      <c r="AJ364" s="162" t="s">
        <v>34</v>
      </c>
      <c r="AK364" s="162" t="s">
        <v>2125</v>
      </c>
      <c r="AL364" s="162" t="s">
        <v>34</v>
      </c>
      <c r="AM364" t="s">
        <v>4806</v>
      </c>
      <c r="AN364" s="478">
        <v>0</v>
      </c>
      <c r="AO364" s="478">
        <v>0</v>
      </c>
    </row>
    <row r="365" spans="1:41" x14ac:dyDescent="0.2">
      <c r="A365">
        <v>364</v>
      </c>
      <c r="B365" s="462" t="s">
        <v>1388</v>
      </c>
      <c r="C365" s="162" t="s">
        <v>1396</v>
      </c>
      <c r="D365" s="162" t="s">
        <v>4195</v>
      </c>
      <c r="E365" s="162" t="s">
        <v>2071</v>
      </c>
      <c r="F365" s="162" t="s">
        <v>2008</v>
      </c>
      <c r="G365" s="162" t="s">
        <v>34</v>
      </c>
      <c r="H365" s="162" t="s">
        <v>2128</v>
      </c>
      <c r="I365" s="162" t="s">
        <v>5651</v>
      </c>
      <c r="J365" s="162" t="s">
        <v>1764</v>
      </c>
      <c r="K365" s="162" t="s">
        <v>2132</v>
      </c>
      <c r="L365" s="162" t="s">
        <v>3273</v>
      </c>
      <c r="M365" s="540" t="s">
        <v>3274</v>
      </c>
      <c r="N365" s="162" t="s">
        <v>1396</v>
      </c>
      <c r="O365" s="162" t="s">
        <v>2399</v>
      </c>
      <c r="P365" s="162" t="s">
        <v>3486</v>
      </c>
      <c r="Q365" s="162" t="s">
        <v>2204</v>
      </c>
      <c r="R365" s="162" t="s">
        <v>2121</v>
      </c>
      <c r="S365" s="162" t="s">
        <v>3487</v>
      </c>
      <c r="T365" s="162">
        <v>169</v>
      </c>
      <c r="U365" s="162" t="s">
        <v>1947</v>
      </c>
      <c r="V365" s="162" t="s">
        <v>3275</v>
      </c>
      <c r="W365" s="162">
        <v>156602</v>
      </c>
      <c r="X365" s="162" t="s">
        <v>2122</v>
      </c>
      <c r="Y365" s="162" t="s">
        <v>3275</v>
      </c>
      <c r="Z365" s="162">
        <v>156602</v>
      </c>
      <c r="AA365" s="162" t="s">
        <v>2122</v>
      </c>
      <c r="AB365" s="162" t="s">
        <v>34</v>
      </c>
      <c r="AC365" s="162" t="s">
        <v>2123</v>
      </c>
      <c r="AD365" s="162" t="s">
        <v>2124</v>
      </c>
      <c r="AE365" s="162" t="s">
        <v>1758</v>
      </c>
      <c r="AF365" s="162" t="s">
        <v>3347</v>
      </c>
      <c r="AG365" s="162" t="s">
        <v>34</v>
      </c>
      <c r="AH365" s="162" t="s">
        <v>34</v>
      </c>
      <c r="AI365" s="162" t="s">
        <v>34</v>
      </c>
      <c r="AJ365" s="162" t="s">
        <v>34</v>
      </c>
      <c r="AK365" s="162" t="s">
        <v>2125</v>
      </c>
      <c r="AL365" s="162" t="s">
        <v>34</v>
      </c>
      <c r="AM365" t="s">
        <v>4806</v>
      </c>
      <c r="AN365" s="478">
        <v>0</v>
      </c>
      <c r="AO365" s="478">
        <v>0</v>
      </c>
    </row>
    <row r="366" spans="1:41" x14ac:dyDescent="0.2">
      <c r="A366">
        <v>365</v>
      </c>
      <c r="B366" s="462" t="s">
        <v>1388</v>
      </c>
      <c r="C366" s="162" t="s">
        <v>1398</v>
      </c>
      <c r="D366" s="162" t="s">
        <v>4196</v>
      </c>
      <c r="E366" s="162" t="s">
        <v>2071</v>
      </c>
      <c r="F366" s="162" t="s">
        <v>2008</v>
      </c>
      <c r="G366" s="162" t="s">
        <v>34</v>
      </c>
      <c r="H366" s="162" t="s">
        <v>2128</v>
      </c>
      <c r="I366" s="162" t="s">
        <v>5651</v>
      </c>
      <c r="J366" s="162" t="s">
        <v>1764</v>
      </c>
      <c r="K366" s="162" t="s">
        <v>2132</v>
      </c>
      <c r="L366" s="162" t="s">
        <v>3273</v>
      </c>
      <c r="M366" s="540" t="s">
        <v>3276</v>
      </c>
      <c r="N366" s="162" t="s">
        <v>1398</v>
      </c>
      <c r="O366" s="162" t="s">
        <v>2399</v>
      </c>
      <c r="P366" s="162" t="s">
        <v>3486</v>
      </c>
      <c r="Q366" s="162" t="s">
        <v>2204</v>
      </c>
      <c r="R366" s="162" t="s">
        <v>2121</v>
      </c>
      <c r="S366" s="162" t="s">
        <v>3487</v>
      </c>
      <c r="T366" s="162">
        <v>169</v>
      </c>
      <c r="U366" s="162" t="s">
        <v>1947</v>
      </c>
      <c r="V366" s="162" t="s">
        <v>3275</v>
      </c>
      <c r="W366" s="162">
        <v>156603002</v>
      </c>
      <c r="X366" s="162" t="s">
        <v>2122</v>
      </c>
      <c r="Y366" s="162" t="s">
        <v>3275</v>
      </c>
      <c r="Z366" s="162">
        <v>156603002</v>
      </c>
      <c r="AA366" s="162" t="s">
        <v>2122</v>
      </c>
      <c r="AB366" s="162" t="s">
        <v>34</v>
      </c>
      <c r="AC366" s="162" t="s">
        <v>2123</v>
      </c>
      <c r="AD366" s="162" t="s">
        <v>2124</v>
      </c>
      <c r="AE366" s="162" t="s">
        <v>1758</v>
      </c>
      <c r="AF366" s="162" t="s">
        <v>3347</v>
      </c>
      <c r="AG366" s="162" t="s">
        <v>34</v>
      </c>
      <c r="AH366" s="162" t="s">
        <v>34</v>
      </c>
      <c r="AI366" s="162" t="s">
        <v>34</v>
      </c>
      <c r="AJ366" s="162" t="s">
        <v>34</v>
      </c>
      <c r="AK366" s="162" t="s">
        <v>2125</v>
      </c>
      <c r="AL366" s="162" t="s">
        <v>34</v>
      </c>
      <c r="AM366" t="s">
        <v>4806</v>
      </c>
      <c r="AN366" s="478">
        <v>0</v>
      </c>
      <c r="AO366" s="478">
        <v>0</v>
      </c>
    </row>
    <row r="367" spans="1:41" x14ac:dyDescent="0.2">
      <c r="A367">
        <v>366</v>
      </c>
      <c r="B367" s="462" t="s">
        <v>1388</v>
      </c>
      <c r="C367" s="162" t="s">
        <v>4627</v>
      </c>
      <c r="D367" s="162" t="s">
        <v>4628</v>
      </c>
      <c r="E367" s="162" t="s">
        <v>2071</v>
      </c>
      <c r="F367" s="162" t="s">
        <v>2008</v>
      </c>
      <c r="G367" s="162" t="s">
        <v>34</v>
      </c>
      <c r="H367" s="162" t="s">
        <v>2128</v>
      </c>
      <c r="I367" s="162" t="s">
        <v>5651</v>
      </c>
      <c r="J367" s="162" t="s">
        <v>1764</v>
      </c>
      <c r="K367" s="162" t="s">
        <v>4627</v>
      </c>
      <c r="L367" s="162" t="s">
        <v>2255</v>
      </c>
      <c r="M367" s="540">
        <v>1234</v>
      </c>
      <c r="N367" s="162" t="s">
        <v>4627</v>
      </c>
      <c r="O367" s="162" t="s">
        <v>2399</v>
      </c>
      <c r="P367" s="162" t="s">
        <v>4629</v>
      </c>
      <c r="Q367" s="162" t="s">
        <v>4629</v>
      </c>
      <c r="R367" s="162" t="s">
        <v>2121</v>
      </c>
      <c r="S367" s="162" t="s">
        <v>4630</v>
      </c>
      <c r="T367" s="162">
        <v>800</v>
      </c>
      <c r="U367" s="162" t="s">
        <v>1947</v>
      </c>
      <c r="V367" s="162" t="s">
        <v>109</v>
      </c>
      <c r="W367" s="162" t="s">
        <v>109</v>
      </c>
      <c r="X367" s="162" t="s">
        <v>109</v>
      </c>
      <c r="Y367" s="162" t="s">
        <v>4631</v>
      </c>
      <c r="Z367" s="162">
        <v>50048</v>
      </c>
      <c r="AA367" s="162" t="s">
        <v>2201</v>
      </c>
      <c r="AB367" s="162" t="s">
        <v>34</v>
      </c>
      <c r="AC367" s="162" t="s">
        <v>2123</v>
      </c>
      <c r="AD367" s="162" t="s">
        <v>2124</v>
      </c>
      <c r="AE367" s="162" t="s">
        <v>1758</v>
      </c>
      <c r="AF367" s="162" t="s">
        <v>34</v>
      </c>
      <c r="AG367" s="162" t="s">
        <v>34</v>
      </c>
      <c r="AH367" s="162" t="s">
        <v>34</v>
      </c>
      <c r="AI367" s="162" t="s">
        <v>34</v>
      </c>
      <c r="AJ367" s="162" t="s">
        <v>34</v>
      </c>
      <c r="AK367" s="162" t="s">
        <v>2125</v>
      </c>
      <c r="AL367" s="162" t="s">
        <v>34</v>
      </c>
      <c r="AM367" t="s">
        <v>4820</v>
      </c>
      <c r="AN367" s="478">
        <v>0</v>
      </c>
      <c r="AO367" s="478">
        <v>0</v>
      </c>
    </row>
    <row r="368" spans="1:41" x14ac:dyDescent="0.2">
      <c r="A368">
        <v>367</v>
      </c>
      <c r="B368" s="462" t="s">
        <v>1388</v>
      </c>
      <c r="C368" s="162" t="s">
        <v>1391</v>
      </c>
      <c r="D368" s="162" t="s">
        <v>4197</v>
      </c>
      <c r="E368" s="162" t="s">
        <v>2071</v>
      </c>
      <c r="F368" s="162" t="s">
        <v>2008</v>
      </c>
      <c r="G368" s="162" t="s">
        <v>34</v>
      </c>
      <c r="H368" s="162" t="s">
        <v>2128</v>
      </c>
      <c r="I368" s="162" t="s">
        <v>5651</v>
      </c>
      <c r="J368" s="162" t="s">
        <v>1764</v>
      </c>
      <c r="K368" s="162" t="s">
        <v>2304</v>
      </c>
      <c r="L368" s="162" t="s">
        <v>3268</v>
      </c>
      <c r="M368" s="540">
        <v>9139</v>
      </c>
      <c r="N368" s="162" t="s">
        <v>1391</v>
      </c>
      <c r="O368" s="162" t="s">
        <v>2399</v>
      </c>
      <c r="P368" s="162" t="s">
        <v>2421</v>
      </c>
      <c r="Q368" s="162" t="s">
        <v>2204</v>
      </c>
      <c r="R368" s="162" t="s">
        <v>2121</v>
      </c>
      <c r="S368" s="162" t="s">
        <v>3482</v>
      </c>
      <c r="T368" s="162">
        <v>42.4</v>
      </c>
      <c r="U368" s="162" t="s">
        <v>1947</v>
      </c>
      <c r="V368" s="162" t="s">
        <v>3269</v>
      </c>
      <c r="W368" s="162" t="s">
        <v>2243</v>
      </c>
      <c r="X368" s="162" t="s">
        <v>2738</v>
      </c>
      <c r="Y368" s="162" t="s">
        <v>3269</v>
      </c>
      <c r="Z368" s="162" t="s">
        <v>2243</v>
      </c>
      <c r="AA368" s="162" t="s">
        <v>2738</v>
      </c>
      <c r="AB368" s="162" t="s">
        <v>4403</v>
      </c>
      <c r="AC368" s="162" t="s">
        <v>2123</v>
      </c>
      <c r="AD368" s="162" t="s">
        <v>2124</v>
      </c>
      <c r="AE368" s="162" t="s">
        <v>1758</v>
      </c>
      <c r="AF368" s="162" t="s">
        <v>3878</v>
      </c>
      <c r="AG368" s="162" t="s">
        <v>3879</v>
      </c>
      <c r="AH368" s="162" t="s">
        <v>34</v>
      </c>
      <c r="AI368" s="162" t="s">
        <v>34</v>
      </c>
      <c r="AJ368" s="162" t="s">
        <v>34</v>
      </c>
      <c r="AK368" s="162" t="s">
        <v>2125</v>
      </c>
      <c r="AL368" s="162" t="s">
        <v>34</v>
      </c>
      <c r="AM368" t="s">
        <v>4824</v>
      </c>
      <c r="AN368" s="478">
        <v>0</v>
      </c>
      <c r="AO368" s="478">
        <v>0</v>
      </c>
    </row>
    <row r="369" spans="1:85" x14ac:dyDescent="0.2">
      <c r="A369">
        <v>368</v>
      </c>
      <c r="B369" s="462" t="s">
        <v>5265</v>
      </c>
      <c r="C369" s="162" t="s">
        <v>5266</v>
      </c>
      <c r="D369" s="162" t="s">
        <v>5267</v>
      </c>
      <c r="E369" s="162" t="s">
        <v>5268</v>
      </c>
      <c r="F369" s="162" t="s">
        <v>5269</v>
      </c>
      <c r="G369" s="162" t="s">
        <v>34</v>
      </c>
      <c r="H369" s="162" t="s">
        <v>2128</v>
      </c>
      <c r="I369" s="162" t="s">
        <v>5651</v>
      </c>
      <c r="J369" s="162" t="s">
        <v>1764</v>
      </c>
      <c r="K369" s="162" t="s">
        <v>5266</v>
      </c>
      <c r="L369" s="162" t="s">
        <v>5270</v>
      </c>
      <c r="M369" s="540" t="s">
        <v>5271</v>
      </c>
      <c r="N369" s="162" t="s">
        <v>5266</v>
      </c>
      <c r="O369" s="162" t="s">
        <v>2399</v>
      </c>
      <c r="P369" s="162" t="s">
        <v>4629</v>
      </c>
      <c r="Q369" s="162" t="s">
        <v>4629</v>
      </c>
      <c r="R369" s="162" t="s">
        <v>2121</v>
      </c>
      <c r="S369" s="162" t="s">
        <v>5272</v>
      </c>
      <c r="T369" s="162">
        <v>4725.9526999999998</v>
      </c>
      <c r="U369" s="162" t="s">
        <v>1947</v>
      </c>
      <c r="V369" s="162" t="s">
        <v>109</v>
      </c>
      <c r="W369" s="162" t="s">
        <v>109</v>
      </c>
      <c r="X369" s="162" t="s">
        <v>109</v>
      </c>
      <c r="Y369" s="162" t="s">
        <v>5273</v>
      </c>
      <c r="Z369" s="162" t="s">
        <v>5274</v>
      </c>
      <c r="AA369" s="162" t="s">
        <v>2201</v>
      </c>
      <c r="AB369" s="162" t="s">
        <v>34</v>
      </c>
      <c r="AC369" s="162" t="s">
        <v>2123</v>
      </c>
      <c r="AD369" s="162" t="s">
        <v>2124</v>
      </c>
      <c r="AE369" s="162" t="s">
        <v>1758</v>
      </c>
      <c r="AF369" s="162" t="s">
        <v>109</v>
      </c>
      <c r="AG369" s="162" t="s">
        <v>34</v>
      </c>
      <c r="AH369" s="162" t="s">
        <v>34</v>
      </c>
      <c r="AI369" s="162" t="s">
        <v>34</v>
      </c>
      <c r="AJ369" s="162" t="s">
        <v>34</v>
      </c>
      <c r="AK369" s="162" t="s">
        <v>2125</v>
      </c>
      <c r="AL369" s="162" t="s">
        <v>34</v>
      </c>
      <c r="AM369" t="s">
        <v>4820</v>
      </c>
      <c r="AN369" s="478"/>
      <c r="AO369" s="478"/>
    </row>
    <row r="370" spans="1:85" x14ac:dyDescent="0.2">
      <c r="A370">
        <v>369</v>
      </c>
      <c r="B370" s="462" t="s">
        <v>1402</v>
      </c>
      <c r="C370" s="162" t="s">
        <v>1975</v>
      </c>
      <c r="D370" s="162" t="s">
        <v>4198</v>
      </c>
      <c r="E370" s="162" t="s">
        <v>2072</v>
      </c>
      <c r="F370" s="162" t="s">
        <v>2073</v>
      </c>
      <c r="G370" s="162" t="s">
        <v>34</v>
      </c>
      <c r="H370" s="162" t="s">
        <v>2128</v>
      </c>
      <c r="I370" s="162" t="s">
        <v>5651</v>
      </c>
      <c r="J370" s="162" t="s">
        <v>1764</v>
      </c>
      <c r="K370" s="162" t="s">
        <v>3281</v>
      </c>
      <c r="L370" s="162" t="s">
        <v>3282</v>
      </c>
      <c r="M370" s="540">
        <v>127568</v>
      </c>
      <c r="N370" s="162" t="s">
        <v>1975</v>
      </c>
      <c r="O370" s="162" t="s">
        <v>2399</v>
      </c>
      <c r="P370" s="162" t="s">
        <v>3488</v>
      </c>
      <c r="Q370" s="162" t="s">
        <v>2204</v>
      </c>
      <c r="R370" s="162" t="s">
        <v>2121</v>
      </c>
      <c r="S370" s="162" t="s">
        <v>3489</v>
      </c>
      <c r="T370" s="162">
        <v>35.299999999999997</v>
      </c>
      <c r="U370" s="162" t="s">
        <v>1947</v>
      </c>
      <c r="V370" s="162" t="s">
        <v>3283</v>
      </c>
      <c r="W370" s="162">
        <v>152326</v>
      </c>
      <c r="X370" s="162" t="s">
        <v>2122</v>
      </c>
      <c r="Y370" s="162" t="s">
        <v>3284</v>
      </c>
      <c r="Z370" s="162">
        <v>12758</v>
      </c>
      <c r="AA370" s="162" t="s">
        <v>2122</v>
      </c>
      <c r="AB370" s="162" t="s">
        <v>34</v>
      </c>
      <c r="AC370" s="162" t="s">
        <v>2123</v>
      </c>
      <c r="AD370" s="162" t="s">
        <v>2124</v>
      </c>
      <c r="AE370" s="162" t="s">
        <v>1758</v>
      </c>
      <c r="AF370" s="162" t="s">
        <v>3347</v>
      </c>
      <c r="AG370" s="162" t="s">
        <v>34</v>
      </c>
      <c r="AH370" s="162" t="s">
        <v>34</v>
      </c>
      <c r="AI370" s="162" t="s">
        <v>34</v>
      </c>
      <c r="AJ370" s="162" t="s">
        <v>34</v>
      </c>
      <c r="AK370" s="162" t="s">
        <v>2125</v>
      </c>
      <c r="AL370" s="162" t="s">
        <v>34</v>
      </c>
      <c r="AM370" t="s">
        <v>4803</v>
      </c>
      <c r="AN370" s="478">
        <v>0</v>
      </c>
      <c r="AO370" s="478">
        <v>0</v>
      </c>
    </row>
    <row r="371" spans="1:85" x14ac:dyDescent="0.2">
      <c r="A371">
        <v>370</v>
      </c>
      <c r="B371" s="462" t="s">
        <v>1402</v>
      </c>
      <c r="C371" s="162" t="s">
        <v>1406</v>
      </c>
      <c r="D371" s="162" t="s">
        <v>4199</v>
      </c>
      <c r="E371" s="162" t="s">
        <v>2072</v>
      </c>
      <c r="F371" s="162" t="s">
        <v>2073</v>
      </c>
      <c r="G371" s="162" t="s">
        <v>34</v>
      </c>
      <c r="H371" s="162" t="s">
        <v>2128</v>
      </c>
      <c r="I371" s="162" t="s">
        <v>5651</v>
      </c>
      <c r="J371" s="162" t="s">
        <v>1764</v>
      </c>
      <c r="K371" s="162" t="s">
        <v>3285</v>
      </c>
      <c r="L371" s="162" t="s">
        <v>3286</v>
      </c>
      <c r="M371" s="540" t="s">
        <v>1406</v>
      </c>
      <c r="N371" s="162" t="s">
        <v>1406</v>
      </c>
      <c r="O371" s="162" t="s">
        <v>2399</v>
      </c>
      <c r="P371" s="162" t="s">
        <v>3490</v>
      </c>
      <c r="Q371" s="162" t="s">
        <v>2126</v>
      </c>
      <c r="R371" s="162" t="s">
        <v>2121</v>
      </c>
      <c r="S371" s="162" t="s">
        <v>3491</v>
      </c>
      <c r="T371" s="162">
        <v>2.6</v>
      </c>
      <c r="U371" s="162" t="s">
        <v>1947</v>
      </c>
      <c r="V371" s="162" t="s">
        <v>3287</v>
      </c>
      <c r="W371" s="162" t="s">
        <v>1406</v>
      </c>
      <c r="X371" s="162" t="s">
        <v>2201</v>
      </c>
      <c r="Y371" s="162" t="s">
        <v>109</v>
      </c>
      <c r="Z371" s="162" t="s">
        <v>109</v>
      </c>
      <c r="AA371" s="162" t="s">
        <v>109</v>
      </c>
      <c r="AB371" s="162" t="s">
        <v>2994</v>
      </c>
      <c r="AC371" s="162" t="s">
        <v>2123</v>
      </c>
      <c r="AD371" s="162" t="s">
        <v>2124</v>
      </c>
      <c r="AE371" s="162" t="s">
        <v>1758</v>
      </c>
      <c r="AF371" s="162" t="s">
        <v>3347</v>
      </c>
      <c r="AG371" s="162" t="s">
        <v>34</v>
      </c>
      <c r="AH371" s="162" t="s">
        <v>34</v>
      </c>
      <c r="AI371" s="162" t="s">
        <v>34</v>
      </c>
      <c r="AJ371" s="162" t="s">
        <v>34</v>
      </c>
      <c r="AK371" s="162" t="s">
        <v>2125</v>
      </c>
      <c r="AL371" s="162" t="s">
        <v>34</v>
      </c>
      <c r="AM371" t="s">
        <v>4803</v>
      </c>
      <c r="AN371" s="478">
        <v>0</v>
      </c>
      <c r="AO371" s="478">
        <v>0</v>
      </c>
    </row>
    <row r="372" spans="1:85" x14ac:dyDescent="0.2">
      <c r="A372">
        <v>371</v>
      </c>
      <c r="B372" s="462" t="s">
        <v>1402</v>
      </c>
      <c r="C372" s="162">
        <v>411462</v>
      </c>
      <c r="D372" s="162" t="s">
        <v>4830</v>
      </c>
      <c r="E372" s="162" t="s">
        <v>2072</v>
      </c>
      <c r="F372" s="162" t="s">
        <v>2073</v>
      </c>
      <c r="G372" s="162" t="s">
        <v>34</v>
      </c>
      <c r="H372" s="162" t="s">
        <v>2128</v>
      </c>
      <c r="I372" s="162" t="s">
        <v>5651</v>
      </c>
      <c r="J372" s="162" t="s">
        <v>1764</v>
      </c>
      <c r="K372" s="162" t="s">
        <v>2132</v>
      </c>
      <c r="L372" s="162" t="s">
        <v>3270</v>
      </c>
      <c r="M372" s="540">
        <v>411462</v>
      </c>
      <c r="N372" s="162">
        <v>411462</v>
      </c>
      <c r="O372" s="162" t="s">
        <v>904</v>
      </c>
      <c r="P372" s="162" t="s">
        <v>3115</v>
      </c>
      <c r="Q372" s="162" t="s">
        <v>2204</v>
      </c>
      <c r="R372" s="162" t="s">
        <v>2185</v>
      </c>
      <c r="S372" s="162" t="s">
        <v>3484</v>
      </c>
      <c r="T372" s="162">
        <v>117.1</v>
      </c>
      <c r="U372" s="162" t="s">
        <v>1947</v>
      </c>
      <c r="V372" s="162" t="s">
        <v>3361</v>
      </c>
      <c r="W372" s="162">
        <v>411462</v>
      </c>
      <c r="X372" s="162" t="s">
        <v>2270</v>
      </c>
      <c r="Y372" s="162" t="s">
        <v>3361</v>
      </c>
      <c r="Z372" s="162">
        <v>411462</v>
      </c>
      <c r="AA372" s="162" t="s">
        <v>2270</v>
      </c>
      <c r="AB372" s="162" t="s">
        <v>4363</v>
      </c>
      <c r="AC372" s="162" t="s">
        <v>2123</v>
      </c>
      <c r="AD372" s="162" t="s">
        <v>2124</v>
      </c>
      <c r="AE372" s="162" t="s">
        <v>1758</v>
      </c>
      <c r="AF372" s="162" t="s">
        <v>3347</v>
      </c>
      <c r="AG372" s="162" t="s">
        <v>34</v>
      </c>
      <c r="AH372" s="162" t="s">
        <v>34</v>
      </c>
      <c r="AI372" s="162" t="s">
        <v>34</v>
      </c>
      <c r="AJ372" s="162" t="s">
        <v>34</v>
      </c>
      <c r="AK372" s="162" t="s">
        <v>2125</v>
      </c>
      <c r="AL372" s="162" t="s">
        <v>34</v>
      </c>
      <c r="AM372" t="s">
        <v>4806</v>
      </c>
      <c r="AN372" s="478">
        <v>0</v>
      </c>
      <c r="AO372" s="478">
        <v>0</v>
      </c>
    </row>
    <row r="373" spans="1:85" x14ac:dyDescent="0.2">
      <c r="A373">
        <v>372</v>
      </c>
      <c r="B373" s="462" t="s">
        <v>1402</v>
      </c>
      <c r="C373" s="162" t="s">
        <v>1404</v>
      </c>
      <c r="D373" s="162" t="s">
        <v>4200</v>
      </c>
      <c r="E373" s="162" t="s">
        <v>2072</v>
      </c>
      <c r="F373" s="162" t="s">
        <v>2073</v>
      </c>
      <c r="G373" s="162" t="s">
        <v>34</v>
      </c>
      <c r="H373" s="162" t="s">
        <v>2128</v>
      </c>
      <c r="I373" s="162" t="s">
        <v>5651</v>
      </c>
      <c r="J373" s="162" t="s">
        <v>1764</v>
      </c>
      <c r="K373" s="162" t="s">
        <v>1905</v>
      </c>
      <c r="L373" s="162" t="s">
        <v>3288</v>
      </c>
      <c r="M373" s="540" t="s">
        <v>1404</v>
      </c>
      <c r="N373" s="162" t="s">
        <v>1404</v>
      </c>
      <c r="O373" s="162" t="s">
        <v>904</v>
      </c>
      <c r="P373" s="162" t="s">
        <v>4781</v>
      </c>
      <c r="Q373" s="162" t="s">
        <v>2126</v>
      </c>
      <c r="R373" s="162" t="s">
        <v>2121</v>
      </c>
      <c r="S373" s="162" t="s">
        <v>3492</v>
      </c>
      <c r="T373" s="162">
        <v>5.6</v>
      </c>
      <c r="U373" s="162" t="s">
        <v>1947</v>
      </c>
      <c r="V373" s="162" t="s">
        <v>3289</v>
      </c>
      <c r="W373" s="162" t="s">
        <v>1404</v>
      </c>
      <c r="X373" s="162" t="s">
        <v>3011</v>
      </c>
      <c r="Y373" s="162" t="s">
        <v>109</v>
      </c>
      <c r="Z373" s="162" t="s">
        <v>109</v>
      </c>
      <c r="AA373" s="162" t="s">
        <v>109</v>
      </c>
      <c r="AB373" s="162" t="s">
        <v>3290</v>
      </c>
      <c r="AC373" s="162" t="s">
        <v>2123</v>
      </c>
      <c r="AD373" s="162" t="s">
        <v>2124</v>
      </c>
      <c r="AE373" s="162" t="s">
        <v>1758</v>
      </c>
      <c r="AF373" s="162" t="s">
        <v>3347</v>
      </c>
      <c r="AG373" s="162" t="s">
        <v>34</v>
      </c>
      <c r="AH373" s="162" t="s">
        <v>34</v>
      </c>
      <c r="AI373" s="162" t="s">
        <v>34</v>
      </c>
      <c r="AJ373" s="162" t="s">
        <v>34</v>
      </c>
      <c r="AK373" s="162" t="s">
        <v>2125</v>
      </c>
      <c r="AL373" s="162" t="s">
        <v>34</v>
      </c>
      <c r="AM373" t="s">
        <v>4806</v>
      </c>
      <c r="AN373" s="478">
        <v>0</v>
      </c>
      <c r="AO373" s="478">
        <v>0</v>
      </c>
    </row>
    <row r="374" spans="1:85" x14ac:dyDescent="0.2">
      <c r="A374">
        <v>373</v>
      </c>
      <c r="B374" s="462" t="s">
        <v>1977</v>
      </c>
      <c r="C374" s="162" t="s">
        <v>817</v>
      </c>
      <c r="D374" s="162" t="s">
        <v>4201</v>
      </c>
      <c r="E374" s="162" t="s">
        <v>3493</v>
      </c>
      <c r="F374" s="162" t="s">
        <v>3494</v>
      </c>
      <c r="G374" s="162" t="s">
        <v>34</v>
      </c>
      <c r="H374" s="162" t="s">
        <v>2128</v>
      </c>
      <c r="I374" s="162" t="s">
        <v>5692</v>
      </c>
      <c r="J374" s="162" t="s">
        <v>2116</v>
      </c>
      <c r="K374" s="162" t="s">
        <v>2745</v>
      </c>
      <c r="L374" s="162" t="s">
        <v>3291</v>
      </c>
      <c r="M374" s="540" t="s">
        <v>3292</v>
      </c>
      <c r="N374" s="162" t="s">
        <v>817</v>
      </c>
      <c r="O374" s="162" t="s">
        <v>5693</v>
      </c>
      <c r="P374" s="162" t="s">
        <v>3495</v>
      </c>
      <c r="Q374" s="162" t="s">
        <v>4876</v>
      </c>
      <c r="R374" s="162" t="s">
        <v>2121</v>
      </c>
      <c r="S374" s="162" t="s">
        <v>3496</v>
      </c>
      <c r="T374" s="162">
        <v>22.5</v>
      </c>
      <c r="U374" s="162" t="s">
        <v>2151</v>
      </c>
      <c r="V374" s="162" t="s">
        <v>3293</v>
      </c>
      <c r="W374" s="162" t="s">
        <v>3294</v>
      </c>
      <c r="X374" s="162" t="s">
        <v>4864</v>
      </c>
      <c r="Y374" s="162" t="s">
        <v>3295</v>
      </c>
      <c r="Z374" s="162">
        <v>17350177</v>
      </c>
      <c r="AA374" s="162" t="s">
        <v>4864</v>
      </c>
      <c r="AB374" s="162" t="s">
        <v>34</v>
      </c>
      <c r="AC374" s="162" t="s">
        <v>2123</v>
      </c>
      <c r="AD374" s="162" t="s">
        <v>2124</v>
      </c>
      <c r="AE374" s="162" t="s">
        <v>1758</v>
      </c>
      <c r="AF374" s="162">
        <v>8</v>
      </c>
      <c r="AG374" s="162">
        <v>2</v>
      </c>
      <c r="AH374" s="162" t="s">
        <v>34</v>
      </c>
      <c r="AI374" s="162" t="s">
        <v>34</v>
      </c>
      <c r="AJ374" s="162" t="s">
        <v>34</v>
      </c>
      <c r="AK374" s="162" t="s">
        <v>2125</v>
      </c>
      <c r="AL374" s="162" t="s">
        <v>34</v>
      </c>
      <c r="AM374" t="s">
        <v>4806</v>
      </c>
      <c r="AN374" s="478">
        <v>0</v>
      </c>
      <c r="AO374" s="478">
        <v>0</v>
      </c>
    </row>
    <row r="375" spans="1:85" s="493" customFormat="1" x14ac:dyDescent="0.2">
      <c r="A375" s="493">
        <v>374</v>
      </c>
      <c r="B375" s="462" t="s">
        <v>1977</v>
      </c>
      <c r="C375" s="162" t="s">
        <v>835</v>
      </c>
      <c r="D375" s="162" t="s">
        <v>4202</v>
      </c>
      <c r="E375" s="162" t="s">
        <v>3493</v>
      </c>
      <c r="F375" s="162" t="s">
        <v>3494</v>
      </c>
      <c r="G375" s="162" t="s">
        <v>34</v>
      </c>
      <c r="H375" s="162" t="s">
        <v>2128</v>
      </c>
      <c r="I375" s="162" t="s">
        <v>5692</v>
      </c>
      <c r="J375" s="162" t="s">
        <v>2116</v>
      </c>
      <c r="K375" s="162" t="s">
        <v>2745</v>
      </c>
      <c r="L375" s="162" t="s">
        <v>3296</v>
      </c>
      <c r="M375" s="540">
        <v>12989</v>
      </c>
      <c r="N375" s="162" t="s">
        <v>835</v>
      </c>
      <c r="O375" s="162" t="s">
        <v>5694</v>
      </c>
      <c r="P375" s="162" t="s">
        <v>3497</v>
      </c>
      <c r="Q375" s="162" t="s">
        <v>4876</v>
      </c>
      <c r="R375" s="162" t="s">
        <v>2121</v>
      </c>
      <c r="S375" s="162" t="s">
        <v>3496</v>
      </c>
      <c r="T375" s="162">
        <v>22.5</v>
      </c>
      <c r="U375" s="162" t="s">
        <v>2150</v>
      </c>
      <c r="V375" s="162" t="s">
        <v>3297</v>
      </c>
      <c r="W375" s="162" t="s">
        <v>3298</v>
      </c>
      <c r="X375" s="162" t="s">
        <v>4864</v>
      </c>
      <c r="Y375" s="162" t="s">
        <v>3299</v>
      </c>
      <c r="Z375" s="162">
        <v>18380123</v>
      </c>
      <c r="AA375" s="162" t="s">
        <v>4864</v>
      </c>
      <c r="AB375" s="162" t="s">
        <v>34</v>
      </c>
      <c r="AC375" s="162" t="s">
        <v>2123</v>
      </c>
      <c r="AD375" s="162" t="s">
        <v>2124</v>
      </c>
      <c r="AE375" s="162" t="s">
        <v>1758</v>
      </c>
      <c r="AF375" s="162">
        <v>8</v>
      </c>
      <c r="AG375" s="162">
        <v>2</v>
      </c>
      <c r="AH375" s="162" t="s">
        <v>34</v>
      </c>
      <c r="AI375" s="162" t="s">
        <v>34</v>
      </c>
      <c r="AJ375" s="162" t="s">
        <v>34</v>
      </c>
      <c r="AK375" s="162" t="s">
        <v>2125</v>
      </c>
      <c r="AL375" s="162" t="s">
        <v>34</v>
      </c>
      <c r="AM375" t="s">
        <v>4806</v>
      </c>
      <c r="AN375" s="478">
        <v>0</v>
      </c>
      <c r="AO375" s="478">
        <v>0</v>
      </c>
      <c r="CG375"/>
    </row>
    <row r="376" spans="1:85" x14ac:dyDescent="0.2">
      <c r="A376">
        <v>375</v>
      </c>
      <c r="B376" s="462" t="s">
        <v>5165</v>
      </c>
      <c r="C376" s="162" t="s">
        <v>5445</v>
      </c>
      <c r="D376" s="162" t="s">
        <v>5446</v>
      </c>
      <c r="E376" s="162" t="s">
        <v>3498</v>
      </c>
      <c r="F376" s="162" t="s">
        <v>2074</v>
      </c>
      <c r="G376" s="162" t="s">
        <v>34</v>
      </c>
      <c r="H376" s="162" t="s">
        <v>2128</v>
      </c>
      <c r="I376" s="162" t="s">
        <v>5651</v>
      </c>
      <c r="J376" s="162" t="s">
        <v>2116</v>
      </c>
      <c r="K376" s="162" t="s">
        <v>5445</v>
      </c>
      <c r="L376" s="162" t="s">
        <v>5148</v>
      </c>
      <c r="M376" s="540" t="s">
        <v>5149</v>
      </c>
      <c r="N376" s="162" t="s">
        <v>5445</v>
      </c>
      <c r="O376" s="162" t="s">
        <v>2399</v>
      </c>
      <c r="P376" s="162" t="s">
        <v>2445</v>
      </c>
      <c r="Q376" s="162" t="s">
        <v>2201</v>
      </c>
      <c r="R376" s="162" t="s">
        <v>2121</v>
      </c>
      <c r="S376" s="162" t="s">
        <v>5150</v>
      </c>
      <c r="T376" s="162">
        <v>5730.7</v>
      </c>
      <c r="U376" s="162" t="s">
        <v>2150</v>
      </c>
      <c r="V376" s="162" t="s">
        <v>5151</v>
      </c>
      <c r="W376" s="162" t="s">
        <v>5152</v>
      </c>
      <c r="X376" s="162" t="s">
        <v>2738</v>
      </c>
      <c r="Y376" s="162" t="s">
        <v>5153</v>
      </c>
      <c r="Z376" s="162" t="s">
        <v>5154</v>
      </c>
      <c r="AA376" s="162" t="s">
        <v>2122</v>
      </c>
      <c r="AB376" s="162" t="s">
        <v>2994</v>
      </c>
      <c r="AC376" s="162" t="s">
        <v>2123</v>
      </c>
      <c r="AD376" s="162" t="s">
        <v>2124</v>
      </c>
      <c r="AE376" s="162" t="s">
        <v>1758</v>
      </c>
      <c r="AF376" s="162" t="s">
        <v>5155</v>
      </c>
      <c r="AG376" s="162" t="s">
        <v>34</v>
      </c>
      <c r="AH376" s="162" t="s">
        <v>34</v>
      </c>
      <c r="AI376" s="162" t="s">
        <v>34</v>
      </c>
      <c r="AJ376" s="162" t="s">
        <v>34</v>
      </c>
      <c r="AK376" s="162" t="s">
        <v>2125</v>
      </c>
      <c r="AL376" s="162" t="s">
        <v>34</v>
      </c>
      <c r="AM376" t="s">
        <v>4803</v>
      </c>
      <c r="AN376" s="478">
        <v>0</v>
      </c>
      <c r="AO376" s="478">
        <v>0</v>
      </c>
    </row>
    <row r="377" spans="1:85" x14ac:dyDescent="0.2">
      <c r="A377">
        <v>376</v>
      </c>
      <c r="B377" s="462" t="s">
        <v>1743</v>
      </c>
      <c r="C377" s="162" t="s">
        <v>1827</v>
      </c>
      <c r="D377" s="162" t="s">
        <v>4203</v>
      </c>
      <c r="E377" s="162" t="s">
        <v>3498</v>
      </c>
      <c r="F377" s="162" t="s">
        <v>2074</v>
      </c>
      <c r="G377" s="162" t="s">
        <v>34</v>
      </c>
      <c r="H377" s="162" t="s">
        <v>2128</v>
      </c>
      <c r="I377" s="162" t="s">
        <v>5651</v>
      </c>
      <c r="J377" s="162" t="s">
        <v>1764</v>
      </c>
      <c r="K377" s="162" t="s">
        <v>3321</v>
      </c>
      <c r="L377" s="162" t="s">
        <v>2255</v>
      </c>
      <c r="M377" s="540" t="s">
        <v>1827</v>
      </c>
      <c r="N377" s="162" t="s">
        <v>1827</v>
      </c>
      <c r="O377" s="162" t="s">
        <v>2399</v>
      </c>
      <c r="P377" s="162" t="s">
        <v>3514</v>
      </c>
      <c r="Q377" s="162" t="s">
        <v>2201</v>
      </c>
      <c r="R377" s="162" t="s">
        <v>2185</v>
      </c>
      <c r="S377" s="162" t="s">
        <v>3515</v>
      </c>
      <c r="T377" s="162">
        <v>1220</v>
      </c>
      <c r="U377" s="162" t="s">
        <v>109</v>
      </c>
      <c r="V377" s="162" t="s">
        <v>3305</v>
      </c>
      <c r="W377" s="162" t="s">
        <v>3306</v>
      </c>
      <c r="X377" s="162" t="s">
        <v>2122</v>
      </c>
      <c r="Y377" s="162" t="s">
        <v>3305</v>
      </c>
      <c r="Z377" s="162" t="s">
        <v>3306</v>
      </c>
      <c r="AA377" s="162" t="s">
        <v>2122</v>
      </c>
      <c r="AB377" s="162" t="s">
        <v>34</v>
      </c>
      <c r="AC377" s="162" t="s">
        <v>2123</v>
      </c>
      <c r="AD377" s="162" t="s">
        <v>2124</v>
      </c>
      <c r="AE377" s="162" t="s">
        <v>1758</v>
      </c>
      <c r="AF377" s="162" t="s">
        <v>34</v>
      </c>
      <c r="AG377" s="162" t="s">
        <v>34</v>
      </c>
      <c r="AH377" s="162" t="s">
        <v>34</v>
      </c>
      <c r="AI377" s="162" t="s">
        <v>34</v>
      </c>
      <c r="AJ377" s="162" t="s">
        <v>34</v>
      </c>
      <c r="AK377" s="162" t="s">
        <v>2125</v>
      </c>
      <c r="AL377" s="162" t="s">
        <v>34</v>
      </c>
      <c r="AM377" t="s">
        <v>4803</v>
      </c>
      <c r="AN377" s="478">
        <v>0</v>
      </c>
      <c r="AO377" s="478">
        <v>0</v>
      </c>
    </row>
    <row r="378" spans="1:85" x14ac:dyDescent="0.2">
      <c r="A378">
        <v>377</v>
      </c>
      <c r="B378" s="462" t="s">
        <v>1743</v>
      </c>
      <c r="C378" s="162" t="s">
        <v>1818</v>
      </c>
      <c r="D378" s="162" t="s">
        <v>4204</v>
      </c>
      <c r="E378" s="162" t="s">
        <v>3498</v>
      </c>
      <c r="F378" s="162" t="s">
        <v>2074</v>
      </c>
      <c r="G378" s="162" t="s">
        <v>34</v>
      </c>
      <c r="H378" s="162" t="s">
        <v>2128</v>
      </c>
      <c r="I378" s="162" t="s">
        <v>5651</v>
      </c>
      <c r="J378" s="162" t="s">
        <v>1764</v>
      </c>
      <c r="K378" s="162" t="s">
        <v>3307</v>
      </c>
      <c r="L378" s="162" t="s">
        <v>3308</v>
      </c>
      <c r="M378" s="540">
        <v>42118153</v>
      </c>
      <c r="N378" s="162" t="s">
        <v>1818</v>
      </c>
      <c r="O378" s="162" t="s">
        <v>2399</v>
      </c>
      <c r="P378" s="162" t="s">
        <v>3501</v>
      </c>
      <c r="Q378" s="162" t="s">
        <v>3502</v>
      </c>
      <c r="R378" s="162" t="s">
        <v>2121</v>
      </c>
      <c r="S378" s="162" t="s">
        <v>3503</v>
      </c>
      <c r="T378" s="162">
        <v>0.98</v>
      </c>
      <c r="U378" s="162" t="s">
        <v>2150</v>
      </c>
      <c r="V378" s="162" t="s">
        <v>2196</v>
      </c>
      <c r="W378" s="162" t="s">
        <v>1818</v>
      </c>
      <c r="X378" s="162" t="s">
        <v>3309</v>
      </c>
      <c r="Y378" s="162" t="s">
        <v>109</v>
      </c>
      <c r="Z378" s="162" t="s">
        <v>109</v>
      </c>
      <c r="AA378" s="162" t="s">
        <v>109</v>
      </c>
      <c r="AB378" s="162" t="s">
        <v>3310</v>
      </c>
      <c r="AC378" s="162" t="s">
        <v>2123</v>
      </c>
      <c r="AD378" s="162" t="s">
        <v>2124</v>
      </c>
      <c r="AE378" s="162" t="s">
        <v>1758</v>
      </c>
      <c r="AF378" s="162" t="s">
        <v>34</v>
      </c>
      <c r="AG378" s="162" t="s">
        <v>34</v>
      </c>
      <c r="AH378" s="162" t="s">
        <v>34</v>
      </c>
      <c r="AI378" s="162" t="s">
        <v>34</v>
      </c>
      <c r="AJ378" s="162" t="s">
        <v>34</v>
      </c>
      <c r="AK378" s="162" t="s">
        <v>2125</v>
      </c>
      <c r="AL378" s="162" t="s">
        <v>34</v>
      </c>
      <c r="AM378" t="s">
        <v>4803</v>
      </c>
      <c r="AN378" s="478">
        <v>0</v>
      </c>
      <c r="AO378" s="478">
        <v>0</v>
      </c>
    </row>
    <row r="379" spans="1:85" x14ac:dyDescent="0.2">
      <c r="A379">
        <v>378</v>
      </c>
      <c r="B379" s="462" t="s">
        <v>1743</v>
      </c>
      <c r="C379" s="162" t="s">
        <v>1822</v>
      </c>
      <c r="D379" s="162" t="s">
        <v>4205</v>
      </c>
      <c r="E379" s="162" t="s">
        <v>3498</v>
      </c>
      <c r="F379" s="162" t="s">
        <v>2074</v>
      </c>
      <c r="G379" s="162" t="s">
        <v>34</v>
      </c>
      <c r="H379" s="162" t="s">
        <v>2128</v>
      </c>
      <c r="I379" s="162" t="s">
        <v>5651</v>
      </c>
      <c r="J379" s="162" t="s">
        <v>1764</v>
      </c>
      <c r="K379" s="162" t="s">
        <v>3504</v>
      </c>
      <c r="L379" s="162" t="s">
        <v>3505</v>
      </c>
      <c r="M379" s="540" t="s">
        <v>3506</v>
      </c>
      <c r="N379" s="162" t="s">
        <v>1822</v>
      </c>
      <c r="O379" s="162" t="s">
        <v>2399</v>
      </c>
      <c r="P379" s="162" t="s">
        <v>2445</v>
      </c>
      <c r="Q379" s="162" t="s">
        <v>2120</v>
      </c>
      <c r="R379" s="162" t="s">
        <v>2121</v>
      </c>
      <c r="S379" s="162" t="s">
        <v>3507</v>
      </c>
      <c r="T379" s="162">
        <v>1517</v>
      </c>
      <c r="U379" s="162" t="s">
        <v>2150</v>
      </c>
      <c r="V379" s="162" t="s">
        <v>3508</v>
      </c>
      <c r="W379" s="162" t="s">
        <v>3509</v>
      </c>
      <c r="X379" s="162" t="s">
        <v>2122</v>
      </c>
      <c r="Y379" s="162" t="s">
        <v>109</v>
      </c>
      <c r="Z379" s="162" t="s">
        <v>109</v>
      </c>
      <c r="AA379" s="162" t="s">
        <v>109</v>
      </c>
      <c r="AB379" s="162" t="s">
        <v>3510</v>
      </c>
      <c r="AC379" s="162" t="s">
        <v>2123</v>
      </c>
      <c r="AD379" s="162" t="s">
        <v>2124</v>
      </c>
      <c r="AE379" s="162" t="s">
        <v>1758</v>
      </c>
      <c r="AF379" s="162" t="s">
        <v>34</v>
      </c>
      <c r="AG379" s="162" t="s">
        <v>34</v>
      </c>
      <c r="AH379" s="162" t="s">
        <v>34</v>
      </c>
      <c r="AI379" s="162" t="s">
        <v>34</v>
      </c>
      <c r="AJ379" s="162" t="s">
        <v>34</v>
      </c>
      <c r="AK379" s="162" t="s">
        <v>2125</v>
      </c>
      <c r="AL379" s="162" t="s">
        <v>34</v>
      </c>
      <c r="AM379" t="s">
        <v>4806</v>
      </c>
      <c r="AN379" s="478">
        <v>0</v>
      </c>
      <c r="AO379" s="478">
        <v>0</v>
      </c>
    </row>
    <row r="380" spans="1:85" x14ac:dyDescent="0.2">
      <c r="A380">
        <v>379</v>
      </c>
      <c r="B380" s="462" t="s">
        <v>1743</v>
      </c>
      <c r="C380" s="162" t="s">
        <v>1820</v>
      </c>
      <c r="D380" s="162" t="s">
        <v>4206</v>
      </c>
      <c r="E380" s="162" t="s">
        <v>3498</v>
      </c>
      <c r="F380" s="162" t="s">
        <v>2074</v>
      </c>
      <c r="G380" s="162" t="s">
        <v>34</v>
      </c>
      <c r="H380" s="162" t="s">
        <v>2128</v>
      </c>
      <c r="I380" s="162" t="s">
        <v>5651</v>
      </c>
      <c r="J380" s="162" t="s">
        <v>1764</v>
      </c>
      <c r="K380" s="162" t="s">
        <v>3300</v>
      </c>
      <c r="L380" s="162" t="s">
        <v>3301</v>
      </c>
      <c r="M380" s="540" t="s">
        <v>1820</v>
      </c>
      <c r="N380" s="162" t="s">
        <v>1820</v>
      </c>
      <c r="O380" s="162" t="s">
        <v>2399</v>
      </c>
      <c r="P380" s="162" t="s">
        <v>2188</v>
      </c>
      <c r="Q380" s="162" t="s">
        <v>2126</v>
      </c>
      <c r="R380" s="162" t="s">
        <v>2185</v>
      </c>
      <c r="S380" s="162" t="s">
        <v>3499</v>
      </c>
      <c r="T380" s="162">
        <v>4719</v>
      </c>
      <c r="U380" s="162" t="s">
        <v>2150</v>
      </c>
      <c r="V380" s="162" t="s">
        <v>4364</v>
      </c>
      <c r="W380" s="162" t="s">
        <v>3311</v>
      </c>
      <c r="X380" s="162" t="s">
        <v>2122</v>
      </c>
      <c r="Y380" s="162" t="s">
        <v>4364</v>
      </c>
      <c r="Z380" s="162" t="s">
        <v>3311</v>
      </c>
      <c r="AA380" s="162" t="s">
        <v>2122</v>
      </c>
      <c r="AB380" s="162" t="s">
        <v>3312</v>
      </c>
      <c r="AC380" s="162" t="s">
        <v>2123</v>
      </c>
      <c r="AD380" s="162" t="s">
        <v>2124</v>
      </c>
      <c r="AE380" s="162" t="s">
        <v>1758</v>
      </c>
      <c r="AF380" s="162" t="s">
        <v>34</v>
      </c>
      <c r="AG380" s="162" t="s">
        <v>34</v>
      </c>
      <c r="AH380" s="162" t="s">
        <v>34</v>
      </c>
      <c r="AI380" s="162" t="s">
        <v>34</v>
      </c>
      <c r="AJ380" s="162" t="s">
        <v>34</v>
      </c>
      <c r="AK380" s="162" t="s">
        <v>2125</v>
      </c>
      <c r="AL380" s="162" t="s">
        <v>34</v>
      </c>
      <c r="AM380" t="s">
        <v>4805</v>
      </c>
      <c r="AN380" s="478">
        <v>0</v>
      </c>
      <c r="AO380" s="478">
        <v>0</v>
      </c>
    </row>
    <row r="381" spans="1:85" x14ac:dyDescent="0.2">
      <c r="A381">
        <v>380</v>
      </c>
      <c r="B381" s="462" t="s">
        <v>1743</v>
      </c>
      <c r="C381" s="162" t="s">
        <v>1814</v>
      </c>
      <c r="D381" s="162" t="s">
        <v>4207</v>
      </c>
      <c r="E381" s="162" t="s">
        <v>3498</v>
      </c>
      <c r="F381" s="162" t="s">
        <v>2074</v>
      </c>
      <c r="G381" s="162" t="s">
        <v>34</v>
      </c>
      <c r="H381" s="162" t="s">
        <v>2128</v>
      </c>
      <c r="I381" s="162" t="s">
        <v>5651</v>
      </c>
      <c r="J381" s="162" t="s">
        <v>1764</v>
      </c>
      <c r="K381" s="162" t="s">
        <v>3300</v>
      </c>
      <c r="L381" s="162" t="s">
        <v>3301</v>
      </c>
      <c r="M381" s="540" t="s">
        <v>1814</v>
      </c>
      <c r="N381" s="162" t="s">
        <v>1814</v>
      </c>
      <c r="O381" s="162" t="s">
        <v>2399</v>
      </c>
      <c r="P381" s="162" t="s">
        <v>2188</v>
      </c>
      <c r="Q381" s="162" t="s">
        <v>2126</v>
      </c>
      <c r="R381" s="162" t="s">
        <v>2185</v>
      </c>
      <c r="S381" s="162" t="s">
        <v>3499</v>
      </c>
      <c r="T381" s="162">
        <v>4719</v>
      </c>
      <c r="U381" s="162" t="s">
        <v>2150</v>
      </c>
      <c r="V381" s="162" t="s">
        <v>4364</v>
      </c>
      <c r="W381" s="162" t="s">
        <v>3302</v>
      </c>
      <c r="X381" s="162" t="s">
        <v>2122</v>
      </c>
      <c r="Y381" s="162" t="s">
        <v>4364</v>
      </c>
      <c r="Z381" s="162" t="s">
        <v>3302</v>
      </c>
      <c r="AA381" s="162" t="s">
        <v>2122</v>
      </c>
      <c r="AB381" s="162" t="s">
        <v>3303</v>
      </c>
      <c r="AC381" s="162" t="s">
        <v>2123</v>
      </c>
      <c r="AD381" s="162" t="s">
        <v>2124</v>
      </c>
      <c r="AE381" s="162" t="s">
        <v>1758</v>
      </c>
      <c r="AF381" s="162" t="s">
        <v>34</v>
      </c>
      <c r="AG381" s="162" t="s">
        <v>34</v>
      </c>
      <c r="AH381" s="162" t="s">
        <v>34</v>
      </c>
      <c r="AI381" s="162" t="s">
        <v>34</v>
      </c>
      <c r="AJ381" s="162" t="s">
        <v>34</v>
      </c>
      <c r="AK381" s="162" t="s">
        <v>2125</v>
      </c>
      <c r="AL381" s="162" t="s">
        <v>34</v>
      </c>
      <c r="AM381" t="s">
        <v>4805</v>
      </c>
      <c r="AN381" s="478">
        <v>0</v>
      </c>
      <c r="AO381" s="478">
        <v>0</v>
      </c>
    </row>
    <row r="382" spans="1:85" ht="15" customHeight="1" x14ac:dyDescent="0.2">
      <c r="A382">
        <v>381</v>
      </c>
      <c r="B382" s="462" t="s">
        <v>1743</v>
      </c>
      <c r="C382" s="162" t="s">
        <v>1825</v>
      </c>
      <c r="D382" s="162" t="s">
        <v>4208</v>
      </c>
      <c r="E382" s="162" t="s">
        <v>3498</v>
      </c>
      <c r="F382" s="162" t="s">
        <v>2074</v>
      </c>
      <c r="G382" s="162" t="s">
        <v>34</v>
      </c>
      <c r="H382" s="162" t="s">
        <v>2128</v>
      </c>
      <c r="I382" s="162" t="s">
        <v>5651</v>
      </c>
      <c r="J382" s="162" t="s">
        <v>1764</v>
      </c>
      <c r="K382" s="162" t="s">
        <v>3300</v>
      </c>
      <c r="L382" s="162" t="s">
        <v>3301</v>
      </c>
      <c r="M382" s="540" t="s">
        <v>1825</v>
      </c>
      <c r="N382" s="162" t="s">
        <v>1825</v>
      </c>
      <c r="O382" s="162" t="s">
        <v>2399</v>
      </c>
      <c r="P382" s="162" t="s">
        <v>2188</v>
      </c>
      <c r="Q382" s="162" t="s">
        <v>2126</v>
      </c>
      <c r="R382" s="162" t="s">
        <v>2185</v>
      </c>
      <c r="S382" s="162" t="s">
        <v>3511</v>
      </c>
      <c r="T382" s="162">
        <v>1917</v>
      </c>
      <c r="U382" s="162" t="s">
        <v>2150</v>
      </c>
      <c r="V382" s="162" t="s">
        <v>4364</v>
      </c>
      <c r="W382" s="162" t="s">
        <v>3313</v>
      </c>
      <c r="X382" s="162" t="s">
        <v>2122</v>
      </c>
      <c r="Y382" s="162" t="s">
        <v>4364</v>
      </c>
      <c r="Z382" s="162" t="s">
        <v>3313</v>
      </c>
      <c r="AA382" s="162" t="s">
        <v>2122</v>
      </c>
      <c r="AB382" s="162" t="s">
        <v>34</v>
      </c>
      <c r="AC382" s="162" t="s">
        <v>2123</v>
      </c>
      <c r="AD382" s="162" t="s">
        <v>2124</v>
      </c>
      <c r="AE382" s="162" t="s">
        <v>1758</v>
      </c>
      <c r="AF382" s="162" t="s">
        <v>34</v>
      </c>
      <c r="AG382" s="162" t="s">
        <v>34</v>
      </c>
      <c r="AH382" s="162" t="s">
        <v>34</v>
      </c>
      <c r="AI382" s="162" t="s">
        <v>34</v>
      </c>
      <c r="AJ382" s="162" t="s">
        <v>34</v>
      </c>
      <c r="AK382" s="162" t="s">
        <v>2125</v>
      </c>
      <c r="AL382" s="162" t="s">
        <v>34</v>
      </c>
      <c r="AM382" t="s">
        <v>4805</v>
      </c>
      <c r="AN382" s="478">
        <v>0</v>
      </c>
      <c r="AO382" s="478">
        <v>0</v>
      </c>
    </row>
    <row r="383" spans="1:85" ht="15" customHeight="1" x14ac:dyDescent="0.2">
      <c r="A383">
        <v>382</v>
      </c>
      <c r="B383" s="462" t="s">
        <v>1743</v>
      </c>
      <c r="C383" s="162" t="s">
        <v>1824</v>
      </c>
      <c r="D383" s="162" t="s">
        <v>4209</v>
      </c>
      <c r="E383" s="162" t="s">
        <v>3498</v>
      </c>
      <c r="F383" s="162" t="s">
        <v>2074</v>
      </c>
      <c r="G383" s="162" t="s">
        <v>34</v>
      </c>
      <c r="H383" s="162" t="s">
        <v>2128</v>
      </c>
      <c r="I383" s="162" t="s">
        <v>5651</v>
      </c>
      <c r="J383" s="162" t="s">
        <v>2116</v>
      </c>
      <c r="K383" s="162" t="s">
        <v>3314</v>
      </c>
      <c r="L383" s="162" t="s">
        <v>3315</v>
      </c>
      <c r="M383" s="540" t="s">
        <v>3316</v>
      </c>
      <c r="N383" s="162" t="s">
        <v>4404</v>
      </c>
      <c r="O383" s="162" t="s">
        <v>3317</v>
      </c>
      <c r="P383" s="162" t="s">
        <v>2445</v>
      </c>
      <c r="Q383" s="162" t="s">
        <v>2120</v>
      </c>
      <c r="R383" s="162" t="s">
        <v>2121</v>
      </c>
      <c r="S383" s="162" t="s">
        <v>3512</v>
      </c>
      <c r="T383" s="162">
        <v>61.6</v>
      </c>
      <c r="U383" s="162" t="s">
        <v>2150</v>
      </c>
      <c r="V383" s="162" t="s">
        <v>3318</v>
      </c>
      <c r="W383" s="162" t="s">
        <v>3319</v>
      </c>
      <c r="X383" s="162" t="s">
        <v>2122</v>
      </c>
      <c r="Y383" s="162" t="s">
        <v>109</v>
      </c>
      <c r="Z383" s="162" t="s">
        <v>109</v>
      </c>
      <c r="AA383" s="162" t="s">
        <v>109</v>
      </c>
      <c r="AB383" s="162" t="s">
        <v>34</v>
      </c>
      <c r="AC383" s="162" t="s">
        <v>2123</v>
      </c>
      <c r="AD383" s="162" t="s">
        <v>2124</v>
      </c>
      <c r="AE383" s="162" t="s">
        <v>1758</v>
      </c>
      <c r="AF383" s="162" t="s">
        <v>34</v>
      </c>
      <c r="AG383" s="162" t="s">
        <v>34</v>
      </c>
      <c r="AH383" s="162" t="s">
        <v>34</v>
      </c>
      <c r="AI383" s="162" t="s">
        <v>34</v>
      </c>
      <c r="AJ383" s="162" t="s">
        <v>34</v>
      </c>
      <c r="AK383" s="162" t="s">
        <v>2125</v>
      </c>
      <c r="AL383" s="162" t="s">
        <v>34</v>
      </c>
      <c r="AM383" t="s">
        <v>4803</v>
      </c>
      <c r="AN383" s="478">
        <v>0</v>
      </c>
      <c r="AO383" s="478">
        <v>0</v>
      </c>
    </row>
    <row r="384" spans="1:85" ht="15" customHeight="1" x14ac:dyDescent="0.2">
      <c r="A384">
        <v>383</v>
      </c>
      <c r="B384" s="462" t="s">
        <v>1743</v>
      </c>
      <c r="C384" s="162" t="s">
        <v>3794</v>
      </c>
      <c r="D384" s="162" t="s">
        <v>4356</v>
      </c>
      <c r="E384" s="162" t="s">
        <v>4357</v>
      </c>
      <c r="F384" s="162" t="s">
        <v>2074</v>
      </c>
      <c r="G384" s="162" t="s">
        <v>34</v>
      </c>
      <c r="H384" s="162" t="s">
        <v>2128</v>
      </c>
      <c r="I384" s="162" t="s">
        <v>5651</v>
      </c>
      <c r="J384" s="162" t="s">
        <v>1764</v>
      </c>
      <c r="K384" s="162" t="s">
        <v>3300</v>
      </c>
      <c r="L384" s="162" t="s">
        <v>3301</v>
      </c>
      <c r="M384" s="540" t="s">
        <v>3794</v>
      </c>
      <c r="N384" s="162" t="s">
        <v>3794</v>
      </c>
      <c r="O384" s="162" t="s">
        <v>2399</v>
      </c>
      <c r="P384" s="162" t="s">
        <v>2188</v>
      </c>
      <c r="Q384" s="162" t="s">
        <v>4358</v>
      </c>
      <c r="R384" s="162" t="s">
        <v>2185</v>
      </c>
      <c r="S384" s="162" t="s">
        <v>2538</v>
      </c>
      <c r="T384" s="162">
        <v>4900</v>
      </c>
      <c r="U384" s="162" t="s">
        <v>2150</v>
      </c>
      <c r="V384" s="162" t="s">
        <v>4364</v>
      </c>
      <c r="W384" s="162" t="s">
        <v>4359</v>
      </c>
      <c r="X384" s="162" t="s">
        <v>2122</v>
      </c>
      <c r="Y384" s="162" t="s">
        <v>4364</v>
      </c>
      <c r="Z384" s="162" t="s">
        <v>4359</v>
      </c>
      <c r="AA384" s="162" t="s">
        <v>2122</v>
      </c>
      <c r="AB384" s="162" t="s">
        <v>34</v>
      </c>
      <c r="AC384" s="162" t="s">
        <v>2123</v>
      </c>
      <c r="AD384" s="162" t="s">
        <v>4360</v>
      </c>
      <c r="AE384" s="162" t="s">
        <v>1758</v>
      </c>
      <c r="AF384" s="162" t="s">
        <v>34</v>
      </c>
      <c r="AG384" s="162" t="s">
        <v>34</v>
      </c>
      <c r="AH384" s="162" t="s">
        <v>34</v>
      </c>
      <c r="AI384" s="162" t="s">
        <v>34</v>
      </c>
      <c r="AJ384" s="162" t="s">
        <v>34</v>
      </c>
      <c r="AK384" s="162">
        <v>0</v>
      </c>
      <c r="AL384" s="162" t="s">
        <v>34</v>
      </c>
      <c r="AM384" t="s">
        <v>4805</v>
      </c>
      <c r="AN384" s="478">
        <v>0</v>
      </c>
      <c r="AO384" s="478">
        <v>0</v>
      </c>
    </row>
    <row r="385" spans="1:41" ht="15" customHeight="1" x14ac:dyDescent="0.2">
      <c r="A385">
        <v>384</v>
      </c>
      <c r="B385" t="s">
        <v>1743</v>
      </c>
      <c r="C385" t="s">
        <v>1913</v>
      </c>
      <c r="D385" t="s">
        <v>4210</v>
      </c>
      <c r="E385" t="s">
        <v>3498</v>
      </c>
      <c r="F385" t="s">
        <v>2074</v>
      </c>
      <c r="G385" t="s">
        <v>34</v>
      </c>
      <c r="H385" t="s">
        <v>2128</v>
      </c>
      <c r="I385" t="s">
        <v>5651</v>
      </c>
      <c r="J385" t="s">
        <v>1764</v>
      </c>
      <c r="K385" t="s">
        <v>3320</v>
      </c>
      <c r="L385" t="s">
        <v>2255</v>
      </c>
      <c r="M385" t="s">
        <v>3320</v>
      </c>
      <c r="N385" t="s">
        <v>1913</v>
      </c>
      <c r="O385" t="s">
        <v>2399</v>
      </c>
      <c r="P385" t="s">
        <v>2771</v>
      </c>
      <c r="Q385" t="s">
        <v>2201</v>
      </c>
      <c r="R385" t="s">
        <v>2127</v>
      </c>
      <c r="S385" t="s">
        <v>3513</v>
      </c>
      <c r="T385">
        <v>1200</v>
      </c>
      <c r="U385" t="s">
        <v>1947</v>
      </c>
      <c r="V385" t="s">
        <v>3305</v>
      </c>
      <c r="W385" t="s">
        <v>109</v>
      </c>
      <c r="X385" t="s">
        <v>2261</v>
      </c>
      <c r="Y385" t="s">
        <v>3305</v>
      </c>
      <c r="Z385" t="s">
        <v>109</v>
      </c>
      <c r="AA385" t="s">
        <v>2261</v>
      </c>
      <c r="AB385" t="s">
        <v>3083</v>
      </c>
      <c r="AC385" t="s">
        <v>2123</v>
      </c>
      <c r="AD385" t="s">
        <v>2124</v>
      </c>
      <c r="AE385" t="s">
        <v>1758</v>
      </c>
      <c r="AF385" t="s">
        <v>34</v>
      </c>
      <c r="AG385" t="s">
        <v>34</v>
      </c>
      <c r="AH385" t="s">
        <v>34</v>
      </c>
      <c r="AI385" t="s">
        <v>34</v>
      </c>
      <c r="AJ385" t="s">
        <v>34</v>
      </c>
      <c r="AK385" t="s">
        <v>2125</v>
      </c>
      <c r="AL385" t="s">
        <v>34</v>
      </c>
      <c r="AM385" t="s">
        <v>4803</v>
      </c>
      <c r="AN385" s="478">
        <v>0</v>
      </c>
      <c r="AO385" s="478">
        <v>0</v>
      </c>
    </row>
    <row r="386" spans="1:41" ht="15" customHeight="1" x14ac:dyDescent="0.2">
      <c r="A386">
        <v>385</v>
      </c>
      <c r="B386" t="s">
        <v>1743</v>
      </c>
      <c r="C386" t="s">
        <v>1816</v>
      </c>
      <c r="D386" t="s">
        <v>4211</v>
      </c>
      <c r="E386" t="s">
        <v>3498</v>
      </c>
      <c r="F386" t="s">
        <v>2074</v>
      </c>
      <c r="G386" t="s">
        <v>34</v>
      </c>
      <c r="H386" t="s">
        <v>2128</v>
      </c>
      <c r="I386" t="s">
        <v>5651</v>
      </c>
      <c r="J386" t="s">
        <v>1764</v>
      </c>
      <c r="K386" t="s">
        <v>3304</v>
      </c>
      <c r="L386" t="s">
        <v>2255</v>
      </c>
      <c r="M386" t="s">
        <v>1816</v>
      </c>
      <c r="N386" t="s">
        <v>1816</v>
      </c>
      <c r="O386" t="s">
        <v>2399</v>
      </c>
      <c r="P386" t="s">
        <v>2758</v>
      </c>
      <c r="Q386" t="s">
        <v>2126</v>
      </c>
      <c r="R386" t="s">
        <v>2121</v>
      </c>
      <c r="S386" t="s">
        <v>3500</v>
      </c>
      <c r="T386">
        <v>262.5</v>
      </c>
      <c r="U386" t="s">
        <v>109</v>
      </c>
      <c r="V386" t="s">
        <v>3305</v>
      </c>
      <c r="W386" t="s">
        <v>3306</v>
      </c>
      <c r="X386" t="s">
        <v>109</v>
      </c>
      <c r="Y386" t="s">
        <v>3305</v>
      </c>
      <c r="Z386" t="s">
        <v>3306</v>
      </c>
      <c r="AA386" t="s">
        <v>109</v>
      </c>
      <c r="AB386" t="s">
        <v>34</v>
      </c>
      <c r="AC386" t="s">
        <v>2123</v>
      </c>
      <c r="AD386" t="s">
        <v>2124</v>
      </c>
      <c r="AE386" t="s">
        <v>1758</v>
      </c>
      <c r="AF386" t="s">
        <v>34</v>
      </c>
      <c r="AG386" t="s">
        <v>34</v>
      </c>
      <c r="AH386" t="s">
        <v>34</v>
      </c>
      <c r="AI386" t="s">
        <v>34</v>
      </c>
      <c r="AJ386" t="s">
        <v>34</v>
      </c>
      <c r="AK386" t="s">
        <v>2125</v>
      </c>
      <c r="AL386" t="s">
        <v>34</v>
      </c>
      <c r="AM386" t="s">
        <v>4803</v>
      </c>
      <c r="AN386" s="478">
        <v>0</v>
      </c>
      <c r="AO386" s="478">
        <v>0</v>
      </c>
    </row>
    <row r="387" spans="1:41" ht="15" customHeight="1" x14ac:dyDescent="0.2">
      <c r="A387">
        <v>386</v>
      </c>
      <c r="B387" t="s">
        <v>1415</v>
      </c>
      <c r="C387" t="s">
        <v>1419</v>
      </c>
      <c r="D387" t="s">
        <v>4212</v>
      </c>
      <c r="E387" t="s">
        <v>2075</v>
      </c>
      <c r="F387" t="s">
        <v>2038</v>
      </c>
      <c r="G387" t="s">
        <v>34</v>
      </c>
      <c r="H387" t="s">
        <v>2128</v>
      </c>
      <c r="I387" t="s">
        <v>5651</v>
      </c>
      <c r="J387" t="s">
        <v>2116</v>
      </c>
      <c r="K387" t="s">
        <v>2620</v>
      </c>
      <c r="L387" t="s">
        <v>2544</v>
      </c>
      <c r="M387">
        <v>41745</v>
      </c>
      <c r="N387" t="s">
        <v>1419</v>
      </c>
      <c r="O387" t="s">
        <v>5652</v>
      </c>
      <c r="P387" t="s">
        <v>3517</v>
      </c>
      <c r="Q387" t="s">
        <v>4863</v>
      </c>
      <c r="R387" t="s">
        <v>2295</v>
      </c>
      <c r="S387" t="s">
        <v>3518</v>
      </c>
      <c r="T387">
        <v>147</v>
      </c>
      <c r="U387" t="s">
        <v>2148</v>
      </c>
      <c r="V387" t="s">
        <v>2467</v>
      </c>
      <c r="W387" t="s">
        <v>3324</v>
      </c>
      <c r="X387" t="s">
        <v>4864</v>
      </c>
      <c r="Y387" t="s">
        <v>2467</v>
      </c>
      <c r="Z387" t="s">
        <v>3324</v>
      </c>
      <c r="AA387" t="s">
        <v>4864</v>
      </c>
      <c r="AB387" t="s">
        <v>34</v>
      </c>
      <c r="AC387" t="s">
        <v>2123</v>
      </c>
      <c r="AD387" t="s">
        <v>2124</v>
      </c>
      <c r="AE387" t="s">
        <v>1758</v>
      </c>
      <c r="AF387" t="s">
        <v>3880</v>
      </c>
      <c r="AG387">
        <v>10</v>
      </c>
      <c r="AH387">
        <v>0.8</v>
      </c>
      <c r="AI387" t="s">
        <v>34</v>
      </c>
      <c r="AJ387" t="s">
        <v>34</v>
      </c>
      <c r="AK387" t="s">
        <v>2125</v>
      </c>
      <c r="AL387" t="s">
        <v>34</v>
      </c>
      <c r="AM387" t="s">
        <v>4806</v>
      </c>
      <c r="AN387" s="478">
        <v>0.21</v>
      </c>
      <c r="AO387" s="478">
        <v>0</v>
      </c>
    </row>
    <row r="388" spans="1:41" ht="15" customHeight="1" x14ac:dyDescent="0.2">
      <c r="A388">
        <v>387</v>
      </c>
      <c r="B388" t="s">
        <v>1415</v>
      </c>
      <c r="C388" t="s">
        <v>1417</v>
      </c>
      <c r="D388" t="s">
        <v>4213</v>
      </c>
      <c r="E388" t="s">
        <v>2075</v>
      </c>
      <c r="F388" t="s">
        <v>2038</v>
      </c>
      <c r="G388" t="s">
        <v>34</v>
      </c>
      <c r="H388" t="s">
        <v>2128</v>
      </c>
      <c r="I388" t="s">
        <v>5651</v>
      </c>
      <c r="J388" t="s">
        <v>2116</v>
      </c>
      <c r="K388" t="s">
        <v>2326</v>
      </c>
      <c r="L388" t="s">
        <v>2119</v>
      </c>
      <c r="M388" t="s">
        <v>1417</v>
      </c>
      <c r="N388" t="s">
        <v>1417</v>
      </c>
      <c r="O388" t="s">
        <v>5652</v>
      </c>
      <c r="P388" t="s">
        <v>2327</v>
      </c>
      <c r="Q388" t="s">
        <v>4863</v>
      </c>
      <c r="R388" t="s">
        <v>2286</v>
      </c>
      <c r="S388" t="s">
        <v>3516</v>
      </c>
      <c r="T388">
        <v>112</v>
      </c>
      <c r="U388" t="s">
        <v>2148</v>
      </c>
      <c r="V388" t="s">
        <v>3322</v>
      </c>
      <c r="W388" t="s">
        <v>3323</v>
      </c>
      <c r="X388" t="s">
        <v>4864</v>
      </c>
      <c r="Y388" t="s">
        <v>3322</v>
      </c>
      <c r="Z388" t="s">
        <v>3323</v>
      </c>
      <c r="AA388" t="s">
        <v>4864</v>
      </c>
      <c r="AB388" t="s">
        <v>34</v>
      </c>
      <c r="AC388" t="s">
        <v>2123</v>
      </c>
      <c r="AD388" t="s">
        <v>2124</v>
      </c>
      <c r="AE388" t="s">
        <v>1758</v>
      </c>
      <c r="AF388">
        <v>1</v>
      </c>
      <c r="AG388">
        <v>6</v>
      </c>
      <c r="AH388">
        <v>1</v>
      </c>
      <c r="AI388" t="s">
        <v>34</v>
      </c>
      <c r="AJ388" t="s">
        <v>34</v>
      </c>
      <c r="AK388" t="s">
        <v>2125</v>
      </c>
      <c r="AL388" t="s">
        <v>34</v>
      </c>
      <c r="AM388" t="s">
        <v>4803</v>
      </c>
      <c r="AN388" s="478">
        <v>1.4583333333333332E-2</v>
      </c>
      <c r="AO388" s="478">
        <v>0</v>
      </c>
    </row>
    <row r="389" spans="1:41" ht="15" customHeight="1" x14ac:dyDescent="0.2">
      <c r="A389">
        <v>388</v>
      </c>
      <c r="B389" t="s">
        <v>1783</v>
      </c>
      <c r="C389" t="s">
        <v>5323</v>
      </c>
      <c r="D389" t="s">
        <v>5324</v>
      </c>
      <c r="E389" t="s">
        <v>2076</v>
      </c>
      <c r="F389" t="s">
        <v>2004</v>
      </c>
      <c r="G389" t="s">
        <v>34</v>
      </c>
      <c r="H389" t="s">
        <v>2128</v>
      </c>
      <c r="I389" t="s">
        <v>5651</v>
      </c>
      <c r="J389" t="s">
        <v>1764</v>
      </c>
      <c r="K389" t="s">
        <v>3325</v>
      </c>
      <c r="L389" t="s">
        <v>2255</v>
      </c>
      <c r="M389" t="s">
        <v>5323</v>
      </c>
      <c r="N389" t="s">
        <v>5323</v>
      </c>
      <c r="O389" t="s">
        <v>2399</v>
      </c>
      <c r="P389" t="s">
        <v>2186</v>
      </c>
      <c r="Q389" t="s">
        <v>2120</v>
      </c>
      <c r="R389" t="s">
        <v>2185</v>
      </c>
      <c r="S389" t="s">
        <v>5325</v>
      </c>
      <c r="T389">
        <v>382.4</v>
      </c>
      <c r="U389" t="s">
        <v>2150</v>
      </c>
      <c r="V389" t="s">
        <v>5326</v>
      </c>
      <c r="W389" t="s">
        <v>4903</v>
      </c>
      <c r="X389" t="s">
        <v>2258</v>
      </c>
      <c r="Y389" t="s">
        <v>3328</v>
      </c>
      <c r="Z389" t="s">
        <v>3329</v>
      </c>
      <c r="AA389" t="s">
        <v>2258</v>
      </c>
      <c r="AB389" t="s">
        <v>4392</v>
      </c>
      <c r="AC389" t="s">
        <v>2123</v>
      </c>
      <c r="AD389" t="s">
        <v>2124</v>
      </c>
      <c r="AE389" t="s">
        <v>1758</v>
      </c>
      <c r="AF389" t="s">
        <v>3347</v>
      </c>
      <c r="AG389" t="s">
        <v>34</v>
      </c>
      <c r="AH389" t="s">
        <v>34</v>
      </c>
      <c r="AI389" t="s">
        <v>34</v>
      </c>
      <c r="AJ389" t="s">
        <v>34</v>
      </c>
      <c r="AK389" t="s">
        <v>2125</v>
      </c>
      <c r="AL389" t="s">
        <v>34</v>
      </c>
      <c r="AM389" t="s">
        <v>4806</v>
      </c>
      <c r="AN389" s="478"/>
      <c r="AO389" s="478"/>
    </row>
    <row r="390" spans="1:41" ht="15" customHeight="1" x14ac:dyDescent="0.2">
      <c r="A390">
        <v>389</v>
      </c>
      <c r="B390" t="s">
        <v>1783</v>
      </c>
      <c r="C390" t="s">
        <v>1785</v>
      </c>
      <c r="D390" t="s">
        <v>4214</v>
      </c>
      <c r="E390" t="s">
        <v>2076</v>
      </c>
      <c r="F390" t="s">
        <v>2004</v>
      </c>
      <c r="G390" t="s">
        <v>34</v>
      </c>
      <c r="H390" t="s">
        <v>2128</v>
      </c>
      <c r="I390" t="s">
        <v>5651</v>
      </c>
      <c r="J390" t="s">
        <v>1764</v>
      </c>
      <c r="K390" t="s">
        <v>3325</v>
      </c>
      <c r="L390" t="s">
        <v>3326</v>
      </c>
      <c r="M390" t="s">
        <v>1785</v>
      </c>
      <c r="N390" t="s">
        <v>1785</v>
      </c>
      <c r="O390" t="s">
        <v>2399</v>
      </c>
      <c r="P390" t="s">
        <v>2186</v>
      </c>
      <c r="Q390" t="s">
        <v>2120</v>
      </c>
      <c r="R390" t="s">
        <v>2185</v>
      </c>
      <c r="S390" t="s">
        <v>3519</v>
      </c>
      <c r="T390">
        <v>78</v>
      </c>
      <c r="U390" t="s">
        <v>2150</v>
      </c>
      <c r="V390" t="s">
        <v>3326</v>
      </c>
      <c r="W390" t="s">
        <v>3327</v>
      </c>
      <c r="X390" t="s">
        <v>2258</v>
      </c>
      <c r="Y390" t="s">
        <v>3328</v>
      </c>
      <c r="Z390" t="s">
        <v>3329</v>
      </c>
      <c r="AA390" t="s">
        <v>2258</v>
      </c>
      <c r="AB390" t="s">
        <v>4392</v>
      </c>
      <c r="AC390" t="s">
        <v>2123</v>
      </c>
      <c r="AD390" t="s">
        <v>2124</v>
      </c>
      <c r="AE390" t="s">
        <v>1758</v>
      </c>
      <c r="AF390">
        <v>0.15</v>
      </c>
      <c r="AG390" t="s">
        <v>3881</v>
      </c>
      <c r="AH390">
        <v>1.5</v>
      </c>
      <c r="AI390" t="s">
        <v>3948</v>
      </c>
      <c r="AJ390" t="s">
        <v>34</v>
      </c>
      <c r="AK390" t="s">
        <v>2125</v>
      </c>
      <c r="AL390" t="s">
        <v>34</v>
      </c>
      <c r="AM390" t="s">
        <v>4806</v>
      </c>
      <c r="AN390" s="478">
        <v>0</v>
      </c>
      <c r="AO390" s="478">
        <v>2.1527777777777781E-2</v>
      </c>
    </row>
    <row r="391" spans="1:41" ht="15" customHeight="1" x14ac:dyDescent="0.2">
      <c r="A391">
        <v>390</v>
      </c>
      <c r="B391" t="s">
        <v>1421</v>
      </c>
      <c r="C391" t="s">
        <v>1429</v>
      </c>
      <c r="D391" t="s">
        <v>4215</v>
      </c>
      <c r="E391" t="s">
        <v>3520</v>
      </c>
      <c r="F391" t="s">
        <v>2004</v>
      </c>
      <c r="G391" t="s">
        <v>34</v>
      </c>
      <c r="H391" t="s">
        <v>2128</v>
      </c>
      <c r="I391" t="s">
        <v>2722</v>
      </c>
      <c r="J391" t="s">
        <v>1764</v>
      </c>
      <c r="K391" t="s">
        <v>2292</v>
      </c>
      <c r="L391" t="s">
        <v>2255</v>
      </c>
      <c r="M391">
        <v>1</v>
      </c>
      <c r="N391" t="s">
        <v>5577</v>
      </c>
      <c r="O391" t="s">
        <v>2399</v>
      </c>
      <c r="P391" t="s">
        <v>2445</v>
      </c>
      <c r="Q391" t="s">
        <v>2204</v>
      </c>
      <c r="R391" t="s">
        <v>4776</v>
      </c>
      <c r="S391" t="s">
        <v>3522</v>
      </c>
      <c r="T391">
        <v>2730</v>
      </c>
      <c r="U391" t="s">
        <v>2151</v>
      </c>
      <c r="V391" t="s">
        <v>4721</v>
      </c>
      <c r="W391" t="s">
        <v>5578</v>
      </c>
      <c r="X391" t="s">
        <v>2261</v>
      </c>
      <c r="Y391" t="s">
        <v>5579</v>
      </c>
      <c r="Z391" t="s">
        <v>5580</v>
      </c>
      <c r="AA391" t="s">
        <v>2261</v>
      </c>
      <c r="AB391" t="s">
        <v>5581</v>
      </c>
      <c r="AC391" t="s">
        <v>2123</v>
      </c>
      <c r="AD391" t="s">
        <v>4360</v>
      </c>
      <c r="AE391" t="s">
        <v>1758</v>
      </c>
      <c r="AF391" t="s">
        <v>3347</v>
      </c>
      <c r="AG391" t="s">
        <v>34</v>
      </c>
      <c r="AH391" t="s">
        <v>34</v>
      </c>
      <c r="AI391" t="s">
        <v>34</v>
      </c>
      <c r="AJ391" t="s">
        <v>34</v>
      </c>
      <c r="AK391" t="s">
        <v>2125</v>
      </c>
      <c r="AL391" t="s">
        <v>34</v>
      </c>
      <c r="AM391" t="s">
        <v>4803</v>
      </c>
      <c r="AN391" s="478">
        <v>0</v>
      </c>
      <c r="AO391" s="478">
        <v>0</v>
      </c>
    </row>
    <row r="392" spans="1:41" ht="15" customHeight="1" x14ac:dyDescent="0.2">
      <c r="A392">
        <v>391</v>
      </c>
      <c r="B392" t="s">
        <v>1421</v>
      </c>
      <c r="C392" t="s">
        <v>990</v>
      </c>
      <c r="D392" t="s">
        <v>4216</v>
      </c>
      <c r="E392" t="s">
        <v>3520</v>
      </c>
      <c r="F392" t="s">
        <v>2004</v>
      </c>
      <c r="G392" t="s">
        <v>34</v>
      </c>
      <c r="H392" t="s">
        <v>2128</v>
      </c>
      <c r="I392" t="s">
        <v>2722</v>
      </c>
      <c r="J392" t="s">
        <v>1764</v>
      </c>
      <c r="K392" t="s">
        <v>2292</v>
      </c>
      <c r="L392" t="s">
        <v>2255</v>
      </c>
      <c r="M392">
        <v>2</v>
      </c>
      <c r="N392" t="s">
        <v>5582</v>
      </c>
      <c r="O392" t="s">
        <v>2399</v>
      </c>
      <c r="P392" t="s">
        <v>2445</v>
      </c>
      <c r="Q392" t="s">
        <v>2204</v>
      </c>
      <c r="R392" t="s">
        <v>4776</v>
      </c>
      <c r="S392" t="s">
        <v>5583</v>
      </c>
      <c r="T392">
        <v>3290</v>
      </c>
      <c r="U392" t="s">
        <v>2151</v>
      </c>
      <c r="V392" t="s">
        <v>5584</v>
      </c>
      <c r="W392" t="s">
        <v>5585</v>
      </c>
      <c r="X392" t="s">
        <v>2261</v>
      </c>
      <c r="Y392" t="s">
        <v>5579</v>
      </c>
      <c r="Z392" t="s">
        <v>5580</v>
      </c>
      <c r="AA392" t="s">
        <v>2261</v>
      </c>
      <c r="AB392" t="s">
        <v>5586</v>
      </c>
      <c r="AC392" t="s">
        <v>2123</v>
      </c>
      <c r="AD392" t="s">
        <v>4360</v>
      </c>
      <c r="AE392" t="s">
        <v>1758</v>
      </c>
      <c r="AF392" t="s">
        <v>3347</v>
      </c>
      <c r="AG392" t="s">
        <v>34</v>
      </c>
      <c r="AH392" t="s">
        <v>34</v>
      </c>
      <c r="AI392" t="s">
        <v>34</v>
      </c>
      <c r="AJ392" t="s">
        <v>34</v>
      </c>
      <c r="AK392" t="s">
        <v>2125</v>
      </c>
      <c r="AL392" t="s">
        <v>34</v>
      </c>
      <c r="AM392" t="s">
        <v>4803</v>
      </c>
      <c r="AN392" s="478">
        <v>0</v>
      </c>
      <c r="AO392" s="478">
        <v>0</v>
      </c>
    </row>
    <row r="393" spans="1:41" x14ac:dyDescent="0.2">
      <c r="A393">
        <v>392</v>
      </c>
      <c r="B393" t="s">
        <v>1421</v>
      </c>
      <c r="C393" t="s">
        <v>1423</v>
      </c>
      <c r="D393" t="s">
        <v>4217</v>
      </c>
      <c r="E393" t="s">
        <v>3520</v>
      </c>
      <c r="F393" t="s">
        <v>2004</v>
      </c>
      <c r="G393" t="s">
        <v>34</v>
      </c>
      <c r="H393" t="s">
        <v>2128</v>
      </c>
      <c r="I393" t="s">
        <v>2722</v>
      </c>
      <c r="J393" t="s">
        <v>1764</v>
      </c>
      <c r="K393" t="s">
        <v>2292</v>
      </c>
      <c r="L393" t="s">
        <v>2469</v>
      </c>
      <c r="M393">
        <v>3</v>
      </c>
      <c r="N393" t="s">
        <v>1423</v>
      </c>
      <c r="O393" t="s">
        <v>2399</v>
      </c>
      <c r="P393" t="s">
        <v>2186</v>
      </c>
      <c r="Q393" t="s">
        <v>2120</v>
      </c>
      <c r="R393" t="s">
        <v>2185</v>
      </c>
      <c r="S393" t="s">
        <v>3521</v>
      </c>
      <c r="T393">
        <v>294</v>
      </c>
      <c r="U393">
        <v>0</v>
      </c>
      <c r="V393">
        <v>0</v>
      </c>
      <c r="W393">
        <v>0</v>
      </c>
      <c r="X393">
        <v>0</v>
      </c>
      <c r="Y393">
        <v>0</v>
      </c>
      <c r="Z393">
        <v>0</v>
      </c>
      <c r="AA393">
        <v>0</v>
      </c>
      <c r="AB393" t="s">
        <v>34</v>
      </c>
      <c r="AC393" t="s">
        <v>2123</v>
      </c>
      <c r="AD393" t="s">
        <v>2124</v>
      </c>
      <c r="AE393" t="s">
        <v>1758</v>
      </c>
      <c r="AF393" t="s">
        <v>34</v>
      </c>
      <c r="AG393" t="s">
        <v>34</v>
      </c>
      <c r="AH393" t="s">
        <v>34</v>
      </c>
      <c r="AI393" t="s">
        <v>34</v>
      </c>
      <c r="AJ393" t="s">
        <v>34</v>
      </c>
      <c r="AK393" t="s">
        <v>2125</v>
      </c>
      <c r="AL393" t="s">
        <v>34</v>
      </c>
      <c r="AM393" t="s">
        <v>4803</v>
      </c>
      <c r="AN393" s="478">
        <v>0</v>
      </c>
      <c r="AO393" s="478">
        <v>0</v>
      </c>
    </row>
    <row r="394" spans="1:41" ht="15" customHeight="1" x14ac:dyDescent="0.2">
      <c r="A394">
        <v>393</v>
      </c>
      <c r="B394" t="s">
        <v>1421</v>
      </c>
      <c r="C394" t="s">
        <v>5176</v>
      </c>
      <c r="D394" t="s">
        <v>5177</v>
      </c>
      <c r="E394" t="s">
        <v>3520</v>
      </c>
      <c r="F394" t="s">
        <v>2004</v>
      </c>
      <c r="G394" t="s">
        <v>34</v>
      </c>
      <c r="H394" t="s">
        <v>2128</v>
      </c>
      <c r="I394" t="s">
        <v>2722</v>
      </c>
      <c r="J394" t="s">
        <v>1764</v>
      </c>
      <c r="K394" t="s">
        <v>2292</v>
      </c>
      <c r="L394" t="s">
        <v>2469</v>
      </c>
      <c r="M394">
        <v>4</v>
      </c>
      <c r="N394" t="s">
        <v>5176</v>
      </c>
      <c r="O394" t="s">
        <v>2399</v>
      </c>
      <c r="P394" t="s">
        <v>2445</v>
      </c>
      <c r="Q394" t="s">
        <v>2204</v>
      </c>
      <c r="R394" t="s">
        <v>2185</v>
      </c>
      <c r="S394" t="s">
        <v>5178</v>
      </c>
      <c r="T394">
        <v>3872</v>
      </c>
      <c r="U394" t="s">
        <v>5179</v>
      </c>
      <c r="V394">
        <v>0</v>
      </c>
      <c r="W394">
        <v>0</v>
      </c>
      <c r="X394">
        <v>0</v>
      </c>
      <c r="Y394">
        <v>0</v>
      </c>
      <c r="Z394">
        <v>0</v>
      </c>
      <c r="AA394">
        <v>0</v>
      </c>
      <c r="AB394" t="s">
        <v>34</v>
      </c>
      <c r="AC394" t="s">
        <v>2123</v>
      </c>
      <c r="AD394" t="s">
        <v>2124</v>
      </c>
      <c r="AE394" t="s">
        <v>1758</v>
      </c>
      <c r="AF394" t="s">
        <v>34</v>
      </c>
      <c r="AG394" t="s">
        <v>34</v>
      </c>
      <c r="AH394" t="s">
        <v>34</v>
      </c>
      <c r="AI394" t="s">
        <v>34</v>
      </c>
      <c r="AJ394" t="s">
        <v>34</v>
      </c>
      <c r="AK394" t="s">
        <v>2125</v>
      </c>
      <c r="AL394" t="s">
        <v>34</v>
      </c>
      <c r="AM394" t="s">
        <v>4803</v>
      </c>
      <c r="AN394" s="478"/>
      <c r="AO394" s="478"/>
    </row>
    <row r="395" spans="1:41" ht="15" customHeight="1" x14ac:dyDescent="0.2">
      <c r="A395">
        <v>394</v>
      </c>
      <c r="B395" t="s">
        <v>1421</v>
      </c>
      <c r="C395" t="s">
        <v>1427</v>
      </c>
      <c r="D395" t="s">
        <v>4218</v>
      </c>
      <c r="E395" t="s">
        <v>3520</v>
      </c>
      <c r="F395" t="s">
        <v>2004</v>
      </c>
      <c r="G395" t="s">
        <v>34</v>
      </c>
      <c r="H395" t="s">
        <v>2128</v>
      </c>
      <c r="I395" t="s">
        <v>2722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2123</v>
      </c>
      <c r="AD395" t="s">
        <v>2124</v>
      </c>
      <c r="AE395" t="s">
        <v>1758</v>
      </c>
      <c r="AF395" t="s">
        <v>34</v>
      </c>
      <c r="AG395" t="s">
        <v>34</v>
      </c>
      <c r="AH395" t="s">
        <v>34</v>
      </c>
      <c r="AI395" t="s">
        <v>34</v>
      </c>
      <c r="AJ395" t="s">
        <v>34</v>
      </c>
      <c r="AK395" t="s">
        <v>2125</v>
      </c>
      <c r="AL395" t="s">
        <v>34</v>
      </c>
      <c r="AM395" t="s">
        <v>4803</v>
      </c>
      <c r="AN395" s="478">
        <v>0</v>
      </c>
      <c r="AO395" s="478">
        <v>0</v>
      </c>
    </row>
    <row r="396" spans="1:41" x14ac:dyDescent="0.2">
      <c r="A396">
        <v>395</v>
      </c>
      <c r="B396" t="s">
        <v>1421</v>
      </c>
      <c r="C396" t="s">
        <v>1238</v>
      </c>
      <c r="D396" t="s">
        <v>4219</v>
      </c>
      <c r="E396" t="s">
        <v>3520</v>
      </c>
      <c r="F396" t="s">
        <v>2004</v>
      </c>
      <c r="G396" t="s">
        <v>34</v>
      </c>
      <c r="H396" t="s">
        <v>2128</v>
      </c>
      <c r="I396" t="s">
        <v>2722</v>
      </c>
      <c r="J396" t="s">
        <v>1764</v>
      </c>
      <c r="K396" t="s">
        <v>3325</v>
      </c>
      <c r="L396" t="s">
        <v>2255</v>
      </c>
      <c r="M396" t="s">
        <v>5617</v>
      </c>
      <c r="N396" t="s">
        <v>5587</v>
      </c>
      <c r="O396" t="s">
        <v>2399</v>
      </c>
      <c r="P396" t="s">
        <v>2186</v>
      </c>
      <c r="Q396" t="s">
        <v>2120</v>
      </c>
      <c r="R396" t="s">
        <v>4776</v>
      </c>
      <c r="S396" t="s">
        <v>3523</v>
      </c>
      <c r="T396">
        <v>1470</v>
      </c>
      <c r="U396" t="s">
        <v>2151</v>
      </c>
      <c r="V396" t="s">
        <v>5588</v>
      </c>
      <c r="W396" t="s">
        <v>5589</v>
      </c>
      <c r="X396" t="s">
        <v>2261</v>
      </c>
      <c r="Y396" t="s">
        <v>4586</v>
      </c>
      <c r="Z396" t="s">
        <v>5590</v>
      </c>
      <c r="AA396" t="s">
        <v>2261</v>
      </c>
      <c r="AB396" t="s">
        <v>5586</v>
      </c>
      <c r="AC396" t="s">
        <v>2123</v>
      </c>
      <c r="AD396" t="s">
        <v>4360</v>
      </c>
      <c r="AE396" t="s">
        <v>1758</v>
      </c>
      <c r="AF396" t="s">
        <v>3347</v>
      </c>
      <c r="AG396" t="s">
        <v>34</v>
      </c>
      <c r="AH396" t="s">
        <v>34</v>
      </c>
      <c r="AI396" t="s">
        <v>34</v>
      </c>
      <c r="AJ396" t="s">
        <v>34</v>
      </c>
      <c r="AK396" t="s">
        <v>2125</v>
      </c>
      <c r="AL396" t="s">
        <v>34</v>
      </c>
      <c r="AM396" t="s">
        <v>4803</v>
      </c>
      <c r="AN396" s="478">
        <v>0</v>
      </c>
      <c r="AO396" s="478">
        <v>0</v>
      </c>
    </row>
    <row r="397" spans="1:41" x14ac:dyDescent="0.2">
      <c r="A397">
        <v>396</v>
      </c>
      <c r="B397" t="s">
        <v>1421</v>
      </c>
      <c r="C397" t="s">
        <v>5591</v>
      </c>
      <c r="D397" t="s">
        <v>5592</v>
      </c>
      <c r="E397" t="s">
        <v>3520</v>
      </c>
      <c r="F397" t="s">
        <v>2004</v>
      </c>
      <c r="G397" t="s">
        <v>34</v>
      </c>
      <c r="H397" t="s">
        <v>2128</v>
      </c>
      <c r="I397" t="s">
        <v>2722</v>
      </c>
      <c r="J397" t="s">
        <v>1764</v>
      </c>
      <c r="K397" t="s">
        <v>5593</v>
      </c>
      <c r="L397" t="s">
        <v>5594</v>
      </c>
      <c r="M397" t="s">
        <v>5618</v>
      </c>
      <c r="N397" t="s">
        <v>5595</v>
      </c>
      <c r="O397" t="s">
        <v>2399</v>
      </c>
      <c r="P397" t="s">
        <v>5596</v>
      </c>
      <c r="Q397" t="s">
        <v>2120</v>
      </c>
      <c r="R397" t="s">
        <v>4776</v>
      </c>
      <c r="S397" t="s">
        <v>5597</v>
      </c>
      <c r="T397">
        <v>390</v>
      </c>
      <c r="U397" t="s">
        <v>2151</v>
      </c>
      <c r="V397" t="s">
        <v>4721</v>
      </c>
      <c r="W397" t="s">
        <v>3347</v>
      </c>
      <c r="X397" t="s">
        <v>2261</v>
      </c>
      <c r="Y397" t="s">
        <v>4586</v>
      </c>
      <c r="Z397" t="s">
        <v>5590</v>
      </c>
      <c r="AA397" t="s">
        <v>2270</v>
      </c>
      <c r="AB397" t="s">
        <v>5598</v>
      </c>
      <c r="AC397" t="s">
        <v>2123</v>
      </c>
      <c r="AD397" t="s">
        <v>4360</v>
      </c>
      <c r="AE397" t="s">
        <v>1758</v>
      </c>
      <c r="AF397" t="s">
        <v>3347</v>
      </c>
      <c r="AG397" t="s">
        <v>34</v>
      </c>
      <c r="AH397" t="s">
        <v>34</v>
      </c>
      <c r="AI397" t="s">
        <v>34</v>
      </c>
      <c r="AJ397" t="s">
        <v>34</v>
      </c>
      <c r="AK397" t="s">
        <v>2125</v>
      </c>
      <c r="AL397" t="s">
        <v>34</v>
      </c>
      <c r="AM397" t="s">
        <v>4803</v>
      </c>
      <c r="AN397" s="478">
        <v>0</v>
      </c>
      <c r="AO397" s="478">
        <v>0</v>
      </c>
    </row>
    <row r="398" spans="1:41" x14ac:dyDescent="0.2">
      <c r="A398">
        <v>397</v>
      </c>
      <c r="B398" t="s">
        <v>1421</v>
      </c>
      <c r="C398" t="s">
        <v>5599</v>
      </c>
      <c r="D398" t="s">
        <v>5600</v>
      </c>
      <c r="E398" t="s">
        <v>3520</v>
      </c>
      <c r="F398" t="s">
        <v>2004</v>
      </c>
      <c r="G398" t="s">
        <v>34</v>
      </c>
      <c r="H398" t="s">
        <v>2128</v>
      </c>
      <c r="I398" t="s">
        <v>2722</v>
      </c>
      <c r="J398" t="s">
        <v>1764</v>
      </c>
      <c r="K398" t="s">
        <v>5601</v>
      </c>
      <c r="L398" t="s">
        <v>5594</v>
      </c>
      <c r="M398" t="s">
        <v>5619</v>
      </c>
      <c r="N398" t="s">
        <v>5599</v>
      </c>
      <c r="O398" t="s">
        <v>2399</v>
      </c>
      <c r="P398" t="s">
        <v>5602</v>
      </c>
      <c r="Q398" t="s">
        <v>2120</v>
      </c>
      <c r="R398" t="s">
        <v>4776</v>
      </c>
      <c r="S398" t="s">
        <v>5597</v>
      </c>
      <c r="T398">
        <v>390</v>
      </c>
      <c r="U398" t="s">
        <v>2151</v>
      </c>
      <c r="V398" t="s">
        <v>4721</v>
      </c>
      <c r="W398" t="s">
        <v>3347</v>
      </c>
      <c r="X398" t="s">
        <v>2261</v>
      </c>
      <c r="Y398" t="s">
        <v>4586</v>
      </c>
      <c r="Z398" t="s">
        <v>5590</v>
      </c>
      <c r="AA398" t="s">
        <v>2270</v>
      </c>
      <c r="AB398" t="s">
        <v>5603</v>
      </c>
      <c r="AC398" t="s">
        <v>2123</v>
      </c>
      <c r="AD398" t="s">
        <v>4360</v>
      </c>
      <c r="AE398" t="s">
        <v>1758</v>
      </c>
      <c r="AF398" t="s">
        <v>3347</v>
      </c>
      <c r="AG398" t="s">
        <v>34</v>
      </c>
      <c r="AH398" t="s">
        <v>34</v>
      </c>
      <c r="AI398" t="s">
        <v>34</v>
      </c>
      <c r="AJ398" t="s">
        <v>34</v>
      </c>
      <c r="AK398" t="s">
        <v>2125</v>
      </c>
      <c r="AL398" t="s">
        <v>34</v>
      </c>
      <c r="AM398" t="s">
        <v>4803</v>
      </c>
      <c r="AN398" s="478">
        <v>0</v>
      </c>
      <c r="AO398" s="478">
        <v>0</v>
      </c>
    </row>
    <row r="399" spans="1:41" x14ac:dyDescent="0.2">
      <c r="A399">
        <v>398</v>
      </c>
      <c r="B399" t="s">
        <v>1421</v>
      </c>
      <c r="C399" t="s">
        <v>5604</v>
      </c>
      <c r="D399" t="s">
        <v>5605</v>
      </c>
      <c r="E399" t="s">
        <v>3520</v>
      </c>
      <c r="F399" t="s">
        <v>2004</v>
      </c>
      <c r="G399" t="s">
        <v>34</v>
      </c>
      <c r="H399" t="s">
        <v>2128</v>
      </c>
      <c r="I399" t="s">
        <v>2722</v>
      </c>
      <c r="J399" t="s">
        <v>1764</v>
      </c>
      <c r="K399" t="s">
        <v>5606</v>
      </c>
      <c r="L399" t="s">
        <v>5594</v>
      </c>
      <c r="M399" t="s">
        <v>1427</v>
      </c>
      <c r="N399" t="s">
        <v>5604</v>
      </c>
      <c r="O399" t="s">
        <v>2399</v>
      </c>
      <c r="P399" t="s">
        <v>5607</v>
      </c>
      <c r="Q399" t="s">
        <v>2120</v>
      </c>
      <c r="R399" t="s">
        <v>4776</v>
      </c>
      <c r="S399" t="s">
        <v>5597</v>
      </c>
      <c r="T399">
        <v>390</v>
      </c>
      <c r="U399" t="s">
        <v>2151</v>
      </c>
      <c r="V399" t="s">
        <v>4721</v>
      </c>
      <c r="W399" t="s">
        <v>3347</v>
      </c>
      <c r="X399" t="s">
        <v>2261</v>
      </c>
      <c r="Y399" t="s">
        <v>4586</v>
      </c>
      <c r="Z399" t="s">
        <v>5590</v>
      </c>
      <c r="AA399" t="s">
        <v>2270</v>
      </c>
      <c r="AB399" t="s">
        <v>5603</v>
      </c>
      <c r="AC399" t="s">
        <v>2123</v>
      </c>
      <c r="AD399" t="s">
        <v>4360</v>
      </c>
      <c r="AE399" t="s">
        <v>1758</v>
      </c>
      <c r="AF399" t="s">
        <v>3347</v>
      </c>
      <c r="AG399" t="s">
        <v>34</v>
      </c>
      <c r="AH399" t="s">
        <v>34</v>
      </c>
      <c r="AI399" t="s">
        <v>34</v>
      </c>
      <c r="AJ399" t="s">
        <v>34</v>
      </c>
      <c r="AK399" t="s">
        <v>2125</v>
      </c>
      <c r="AL399" t="s">
        <v>34</v>
      </c>
      <c r="AM399" t="s">
        <v>4803</v>
      </c>
      <c r="AN399" s="478">
        <v>0</v>
      </c>
      <c r="AO399" s="478">
        <v>0</v>
      </c>
    </row>
    <row r="400" spans="1:41" x14ac:dyDescent="0.2">
      <c r="A400">
        <v>399</v>
      </c>
      <c r="B400" t="s">
        <v>1421</v>
      </c>
      <c r="C400" t="s">
        <v>5608</v>
      </c>
      <c r="D400" t="s">
        <v>5609</v>
      </c>
      <c r="E400" t="s">
        <v>3520</v>
      </c>
      <c r="F400" t="s">
        <v>2004</v>
      </c>
      <c r="G400" t="s">
        <v>34</v>
      </c>
      <c r="H400" t="s">
        <v>2128</v>
      </c>
      <c r="I400" t="s">
        <v>2722</v>
      </c>
      <c r="J400" t="s">
        <v>1764</v>
      </c>
      <c r="K400" t="s">
        <v>5610</v>
      </c>
      <c r="L400" t="s">
        <v>5594</v>
      </c>
      <c r="M400" t="s">
        <v>5608</v>
      </c>
      <c r="N400" t="s">
        <v>5608</v>
      </c>
      <c r="O400" t="s">
        <v>2399</v>
      </c>
      <c r="P400" t="s">
        <v>5611</v>
      </c>
      <c r="Q400" t="s">
        <v>2120</v>
      </c>
      <c r="R400" t="s">
        <v>4776</v>
      </c>
      <c r="S400" t="s">
        <v>5597</v>
      </c>
      <c r="T400">
        <v>390</v>
      </c>
      <c r="U400" t="s">
        <v>2151</v>
      </c>
      <c r="V400" t="s">
        <v>4721</v>
      </c>
      <c r="W400" t="s">
        <v>3347</v>
      </c>
      <c r="X400" t="s">
        <v>2261</v>
      </c>
      <c r="Y400" t="s">
        <v>4586</v>
      </c>
      <c r="Z400" t="s">
        <v>5590</v>
      </c>
      <c r="AA400" t="s">
        <v>2270</v>
      </c>
      <c r="AB400" t="s">
        <v>5612</v>
      </c>
      <c r="AC400" t="s">
        <v>2123</v>
      </c>
      <c r="AD400" t="s">
        <v>4360</v>
      </c>
      <c r="AE400" t="s">
        <v>1758</v>
      </c>
      <c r="AF400" t="s">
        <v>3347</v>
      </c>
      <c r="AG400" t="s">
        <v>34</v>
      </c>
      <c r="AH400" t="s">
        <v>34</v>
      </c>
      <c r="AI400" t="s">
        <v>34</v>
      </c>
      <c r="AJ400" t="s">
        <v>34</v>
      </c>
      <c r="AK400" t="s">
        <v>2125</v>
      </c>
      <c r="AL400" t="s">
        <v>34</v>
      </c>
      <c r="AM400" t="s">
        <v>4803</v>
      </c>
      <c r="AN400" s="478">
        <v>0</v>
      </c>
      <c r="AO400" s="478">
        <v>0</v>
      </c>
    </row>
    <row r="401" spans="1:41" ht="15" customHeight="1" x14ac:dyDescent="0.2">
      <c r="A401">
        <v>400</v>
      </c>
      <c r="B401" t="s">
        <v>1421</v>
      </c>
      <c r="C401" t="s">
        <v>5613</v>
      </c>
      <c r="D401" t="s">
        <v>5614</v>
      </c>
      <c r="E401" t="s">
        <v>3520</v>
      </c>
      <c r="F401" t="s">
        <v>2004</v>
      </c>
      <c r="G401" t="s">
        <v>34</v>
      </c>
      <c r="H401" t="s">
        <v>2128</v>
      </c>
      <c r="I401" t="s">
        <v>2722</v>
      </c>
      <c r="J401" t="s">
        <v>1764</v>
      </c>
      <c r="K401" t="s">
        <v>5615</v>
      </c>
      <c r="L401" t="s">
        <v>5594</v>
      </c>
      <c r="M401" t="s">
        <v>5620</v>
      </c>
      <c r="N401" t="s">
        <v>5613</v>
      </c>
      <c r="O401" t="s">
        <v>2399</v>
      </c>
      <c r="P401" t="s">
        <v>5602</v>
      </c>
      <c r="Q401" t="s">
        <v>2120</v>
      </c>
      <c r="R401" t="s">
        <v>4776</v>
      </c>
      <c r="S401" t="s">
        <v>5616</v>
      </c>
      <c r="T401">
        <v>78</v>
      </c>
      <c r="U401" t="s">
        <v>2151</v>
      </c>
      <c r="V401" t="s">
        <v>4721</v>
      </c>
      <c r="W401" t="s">
        <v>3347</v>
      </c>
      <c r="X401" t="s">
        <v>2261</v>
      </c>
      <c r="Y401" t="s">
        <v>4586</v>
      </c>
      <c r="Z401" t="s">
        <v>5590</v>
      </c>
      <c r="AA401" t="s">
        <v>2270</v>
      </c>
      <c r="AB401" t="s">
        <v>5603</v>
      </c>
      <c r="AC401" t="s">
        <v>2123</v>
      </c>
      <c r="AD401" t="s">
        <v>4360</v>
      </c>
      <c r="AE401" t="s">
        <v>1758</v>
      </c>
      <c r="AF401" t="s">
        <v>3347</v>
      </c>
      <c r="AG401" t="s">
        <v>34</v>
      </c>
      <c r="AH401" t="s">
        <v>34</v>
      </c>
      <c r="AI401" t="s">
        <v>34</v>
      </c>
      <c r="AJ401" t="s">
        <v>34</v>
      </c>
      <c r="AK401" t="s">
        <v>2125</v>
      </c>
      <c r="AL401" t="s">
        <v>34</v>
      </c>
      <c r="AM401" t="s">
        <v>4803</v>
      </c>
      <c r="AN401" s="478">
        <v>0</v>
      </c>
      <c r="AO401" s="478">
        <v>0</v>
      </c>
    </row>
    <row r="402" spans="1:41" ht="15" customHeight="1" x14ac:dyDescent="0.2">
      <c r="A402">
        <v>401</v>
      </c>
      <c r="B402" t="s">
        <v>5447</v>
      </c>
      <c r="C402" t="s">
        <v>5448</v>
      </c>
      <c r="D402" t="s">
        <v>5449</v>
      </c>
      <c r="E402" t="s">
        <v>5450</v>
      </c>
      <c r="F402" t="s">
        <v>2032</v>
      </c>
      <c r="G402" t="s">
        <v>34</v>
      </c>
      <c r="H402" t="s">
        <v>2128</v>
      </c>
      <c r="I402" t="s">
        <v>2722</v>
      </c>
      <c r="J402" t="s">
        <v>1764</v>
      </c>
      <c r="K402" t="s">
        <v>5451</v>
      </c>
      <c r="L402" t="s">
        <v>2469</v>
      </c>
      <c r="M402" t="s">
        <v>5452</v>
      </c>
      <c r="N402" t="s">
        <v>5451</v>
      </c>
      <c r="O402" t="s">
        <v>2399</v>
      </c>
      <c r="P402" t="s">
        <v>5453</v>
      </c>
      <c r="Q402" t="s">
        <v>2120</v>
      </c>
      <c r="R402">
        <v>0</v>
      </c>
      <c r="S402">
        <v>0</v>
      </c>
      <c r="T402">
        <v>0</v>
      </c>
      <c r="U402">
        <v>0</v>
      </c>
      <c r="V402">
        <v>0</v>
      </c>
      <c r="W402">
        <v>0</v>
      </c>
      <c r="X402">
        <v>0</v>
      </c>
      <c r="Y402">
        <v>0</v>
      </c>
      <c r="Z402">
        <v>0</v>
      </c>
      <c r="AA402">
        <v>0</v>
      </c>
      <c r="AB402" t="s">
        <v>34</v>
      </c>
      <c r="AC402" t="s">
        <v>2123</v>
      </c>
      <c r="AD402" t="s">
        <v>2124</v>
      </c>
      <c r="AE402" t="s">
        <v>1758</v>
      </c>
      <c r="AF402" t="s">
        <v>34</v>
      </c>
      <c r="AG402" t="s">
        <v>34</v>
      </c>
      <c r="AH402" t="s">
        <v>34</v>
      </c>
      <c r="AI402" t="s">
        <v>34</v>
      </c>
      <c r="AJ402" t="s">
        <v>34</v>
      </c>
      <c r="AK402" t="s">
        <v>2125</v>
      </c>
      <c r="AL402" t="s">
        <v>34</v>
      </c>
      <c r="AM402" t="s">
        <v>4803</v>
      </c>
      <c r="AN402" s="478"/>
      <c r="AO402" s="478"/>
    </row>
    <row r="403" spans="1:41" ht="15" customHeight="1" x14ac:dyDescent="0.2">
      <c r="A403">
        <v>402</v>
      </c>
      <c r="B403" t="s">
        <v>5447</v>
      </c>
      <c r="C403" t="s">
        <v>5454</v>
      </c>
      <c r="D403" t="s">
        <v>5455</v>
      </c>
      <c r="E403" t="s">
        <v>5450</v>
      </c>
      <c r="F403" t="s">
        <v>2032</v>
      </c>
      <c r="G403" t="s">
        <v>34</v>
      </c>
      <c r="H403" t="s">
        <v>2128</v>
      </c>
      <c r="I403" t="s">
        <v>2722</v>
      </c>
      <c r="J403" t="s">
        <v>1764</v>
      </c>
      <c r="K403" t="s">
        <v>5456</v>
      </c>
      <c r="L403" t="s">
        <v>2469</v>
      </c>
      <c r="M403" t="s">
        <v>5457</v>
      </c>
      <c r="N403" t="s">
        <v>5456</v>
      </c>
      <c r="O403" t="s">
        <v>2399</v>
      </c>
      <c r="P403" t="s">
        <v>5458</v>
      </c>
      <c r="Q403" t="s">
        <v>2120</v>
      </c>
      <c r="R403">
        <v>0</v>
      </c>
      <c r="S403">
        <v>0</v>
      </c>
      <c r="T403">
        <v>0</v>
      </c>
      <c r="U403">
        <v>0</v>
      </c>
      <c r="V403">
        <v>0</v>
      </c>
      <c r="W403">
        <v>0</v>
      </c>
      <c r="X403">
        <v>0</v>
      </c>
      <c r="Y403">
        <v>0</v>
      </c>
      <c r="Z403">
        <v>0</v>
      </c>
      <c r="AA403">
        <v>0</v>
      </c>
      <c r="AB403" t="s">
        <v>34</v>
      </c>
      <c r="AC403" t="s">
        <v>2123</v>
      </c>
      <c r="AD403" t="s">
        <v>2124</v>
      </c>
      <c r="AE403" t="s">
        <v>1758</v>
      </c>
      <c r="AF403" t="s">
        <v>34</v>
      </c>
      <c r="AG403" t="s">
        <v>34</v>
      </c>
      <c r="AH403" t="s">
        <v>34</v>
      </c>
      <c r="AI403" t="s">
        <v>34</v>
      </c>
      <c r="AJ403" t="s">
        <v>34</v>
      </c>
      <c r="AK403" t="s">
        <v>2125</v>
      </c>
      <c r="AL403" t="s">
        <v>34</v>
      </c>
      <c r="AM403" t="s">
        <v>4803</v>
      </c>
      <c r="AN403" s="478"/>
      <c r="AO403" s="478"/>
    </row>
    <row r="404" spans="1:41" ht="15" customHeight="1" x14ac:dyDescent="0.2">
      <c r="A404">
        <v>403</v>
      </c>
      <c r="B404" t="s">
        <v>1431</v>
      </c>
      <c r="C404" t="s">
        <v>4985</v>
      </c>
      <c r="D404" t="s">
        <v>4986</v>
      </c>
      <c r="E404" t="s">
        <v>3524</v>
      </c>
      <c r="F404" t="s">
        <v>2077</v>
      </c>
      <c r="G404" t="s">
        <v>34</v>
      </c>
      <c r="H404" t="s">
        <v>2128</v>
      </c>
      <c r="I404" t="s">
        <v>5651</v>
      </c>
      <c r="J404" t="s">
        <v>1764</v>
      </c>
      <c r="K404" t="s">
        <v>2304</v>
      </c>
      <c r="L404" t="s">
        <v>3363</v>
      </c>
      <c r="M404">
        <v>10229</v>
      </c>
      <c r="N404" t="s">
        <v>999</v>
      </c>
      <c r="O404" t="s">
        <v>2399</v>
      </c>
      <c r="P404" t="s">
        <v>3536</v>
      </c>
      <c r="Q404" t="s">
        <v>2204</v>
      </c>
      <c r="R404" t="s">
        <v>2121</v>
      </c>
      <c r="S404" t="s">
        <v>3538</v>
      </c>
      <c r="T404">
        <v>476.3</v>
      </c>
      <c r="U404" t="s">
        <v>2151</v>
      </c>
      <c r="V404" t="s">
        <v>3364</v>
      </c>
      <c r="W404" t="s">
        <v>3365</v>
      </c>
      <c r="X404" t="s">
        <v>2122</v>
      </c>
      <c r="Y404" t="s">
        <v>3364</v>
      </c>
      <c r="Z404" t="s">
        <v>3366</v>
      </c>
      <c r="AA404" t="s">
        <v>2122</v>
      </c>
      <c r="AB404" t="s">
        <v>34</v>
      </c>
      <c r="AC404" t="s">
        <v>2123</v>
      </c>
      <c r="AD404" t="s">
        <v>2124</v>
      </c>
      <c r="AE404" t="s">
        <v>1758</v>
      </c>
      <c r="AF404" t="s">
        <v>3347</v>
      </c>
      <c r="AG404" t="s">
        <v>34</v>
      </c>
      <c r="AH404" t="s">
        <v>34</v>
      </c>
      <c r="AI404" t="s">
        <v>34</v>
      </c>
      <c r="AJ404" t="s">
        <v>34</v>
      </c>
      <c r="AK404" t="s">
        <v>2125</v>
      </c>
      <c r="AL404" t="s">
        <v>34</v>
      </c>
      <c r="AM404" t="s">
        <v>4803</v>
      </c>
      <c r="AN404" s="478"/>
      <c r="AO404" s="478"/>
    </row>
    <row r="405" spans="1:41" ht="15" customHeight="1" x14ac:dyDescent="0.2">
      <c r="A405">
        <v>404</v>
      </c>
      <c r="B405" t="s">
        <v>1431</v>
      </c>
      <c r="C405" t="s">
        <v>876</v>
      </c>
      <c r="D405" t="s">
        <v>4220</v>
      </c>
      <c r="E405" t="s">
        <v>3524</v>
      </c>
      <c r="F405" t="s">
        <v>2077</v>
      </c>
      <c r="G405" t="s">
        <v>34</v>
      </c>
      <c r="H405" t="s">
        <v>2128</v>
      </c>
      <c r="I405" t="s">
        <v>5651</v>
      </c>
      <c r="J405" t="s">
        <v>1764</v>
      </c>
      <c r="K405" t="s">
        <v>2304</v>
      </c>
      <c r="L405" t="s">
        <v>3359</v>
      </c>
      <c r="M405" t="s">
        <v>3360</v>
      </c>
      <c r="N405" t="s">
        <v>876</v>
      </c>
      <c r="O405" t="s">
        <v>904</v>
      </c>
      <c r="P405" t="s">
        <v>3483</v>
      </c>
      <c r="Q405" t="s">
        <v>4863</v>
      </c>
      <c r="R405" t="s">
        <v>2121</v>
      </c>
      <c r="S405" t="s">
        <v>3537</v>
      </c>
      <c r="T405">
        <v>115.4</v>
      </c>
      <c r="U405" t="s">
        <v>2151</v>
      </c>
      <c r="V405" t="s">
        <v>3361</v>
      </c>
      <c r="W405" t="s">
        <v>3362</v>
      </c>
      <c r="X405" t="s">
        <v>4864</v>
      </c>
      <c r="Y405" t="s">
        <v>3361</v>
      </c>
      <c r="Z405" t="s">
        <v>3362</v>
      </c>
      <c r="AA405" t="s">
        <v>4864</v>
      </c>
      <c r="AB405" t="s">
        <v>34</v>
      </c>
      <c r="AC405" t="s">
        <v>2123</v>
      </c>
      <c r="AD405" t="s">
        <v>2124</v>
      </c>
      <c r="AE405" t="s">
        <v>1758</v>
      </c>
      <c r="AF405" t="s">
        <v>3347</v>
      </c>
      <c r="AG405" t="s">
        <v>34</v>
      </c>
      <c r="AH405" t="s">
        <v>34</v>
      </c>
      <c r="AI405" t="s">
        <v>34</v>
      </c>
      <c r="AJ405" t="s">
        <v>34</v>
      </c>
      <c r="AK405" t="s">
        <v>2125</v>
      </c>
      <c r="AL405" t="s">
        <v>34</v>
      </c>
      <c r="AM405" t="s">
        <v>4803</v>
      </c>
      <c r="AN405" s="478">
        <v>0</v>
      </c>
      <c r="AO405" s="478">
        <v>0</v>
      </c>
    </row>
    <row r="406" spans="1:41" ht="15" customHeight="1" x14ac:dyDescent="0.2">
      <c r="A406">
        <v>405</v>
      </c>
      <c r="B406" t="s">
        <v>1431</v>
      </c>
      <c r="C406" t="s">
        <v>4987</v>
      </c>
      <c r="D406" t="s">
        <v>4988</v>
      </c>
      <c r="E406" t="s">
        <v>3524</v>
      </c>
      <c r="F406" t="s">
        <v>2077</v>
      </c>
      <c r="G406" t="s">
        <v>34</v>
      </c>
      <c r="H406" t="s">
        <v>2128</v>
      </c>
      <c r="I406" t="s">
        <v>5695</v>
      </c>
      <c r="J406" t="s">
        <v>2116</v>
      </c>
      <c r="K406" t="s">
        <v>2304</v>
      </c>
      <c r="L406" t="s">
        <v>3359</v>
      </c>
      <c r="M406" t="s">
        <v>3360</v>
      </c>
      <c r="N406" t="s">
        <v>876</v>
      </c>
      <c r="O406" t="s">
        <v>5696</v>
      </c>
      <c r="P406" t="s">
        <v>3536</v>
      </c>
      <c r="Q406" t="s">
        <v>4863</v>
      </c>
      <c r="R406" t="s">
        <v>2121</v>
      </c>
      <c r="S406" t="s">
        <v>3537</v>
      </c>
      <c r="T406">
        <v>115.4</v>
      </c>
      <c r="U406" t="s">
        <v>2151</v>
      </c>
      <c r="V406" t="s">
        <v>3361</v>
      </c>
      <c r="W406" t="s">
        <v>3362</v>
      </c>
      <c r="X406" t="s">
        <v>4864</v>
      </c>
      <c r="Y406" t="s">
        <v>3361</v>
      </c>
      <c r="Z406" t="s">
        <v>3362</v>
      </c>
      <c r="AA406" t="s">
        <v>4864</v>
      </c>
      <c r="AB406" t="s">
        <v>34</v>
      </c>
      <c r="AC406" t="s">
        <v>2123</v>
      </c>
      <c r="AD406" t="s">
        <v>2124</v>
      </c>
      <c r="AE406" t="s">
        <v>1758</v>
      </c>
      <c r="AF406" t="s">
        <v>3347</v>
      </c>
      <c r="AG406" t="s">
        <v>34</v>
      </c>
      <c r="AH406" t="s">
        <v>34</v>
      </c>
      <c r="AI406" t="s">
        <v>34</v>
      </c>
      <c r="AJ406" t="s">
        <v>34</v>
      </c>
      <c r="AK406" t="s">
        <v>2125</v>
      </c>
      <c r="AL406" t="s">
        <v>34</v>
      </c>
      <c r="AM406" t="s">
        <v>4803</v>
      </c>
      <c r="AN406" s="478"/>
      <c r="AO406" s="478"/>
    </row>
    <row r="407" spans="1:41" ht="15" customHeight="1" x14ac:dyDescent="0.2">
      <c r="A407">
        <v>406</v>
      </c>
      <c r="B407" t="s">
        <v>1431</v>
      </c>
      <c r="C407" t="s">
        <v>1979</v>
      </c>
      <c r="D407" t="s">
        <v>4221</v>
      </c>
      <c r="E407" t="s">
        <v>3524</v>
      </c>
      <c r="F407" t="s">
        <v>2077</v>
      </c>
      <c r="G407" t="s">
        <v>34</v>
      </c>
      <c r="H407" t="s">
        <v>2128</v>
      </c>
      <c r="I407" t="s">
        <v>5651</v>
      </c>
      <c r="J407" t="s">
        <v>1764</v>
      </c>
      <c r="K407" t="s">
        <v>1979</v>
      </c>
      <c r="L407" t="s">
        <v>3330</v>
      </c>
      <c r="M407">
        <v>639997</v>
      </c>
      <c r="N407" t="s">
        <v>1979</v>
      </c>
      <c r="O407" t="s">
        <v>2399</v>
      </c>
      <c r="P407" t="s">
        <v>4590</v>
      </c>
      <c r="Q407" t="s">
        <v>3463</v>
      </c>
      <c r="R407" t="s">
        <v>2185</v>
      </c>
      <c r="S407" t="s">
        <v>3525</v>
      </c>
      <c r="T407">
        <v>3.8</v>
      </c>
      <c r="U407" t="s">
        <v>1947</v>
      </c>
      <c r="V407" t="s">
        <v>3331</v>
      </c>
      <c r="W407">
        <v>639997</v>
      </c>
      <c r="X407" t="s">
        <v>3332</v>
      </c>
      <c r="Y407" t="s">
        <v>109</v>
      </c>
      <c r="Z407" t="s">
        <v>109</v>
      </c>
      <c r="AA407" t="s">
        <v>109</v>
      </c>
      <c r="AB407" t="s">
        <v>3333</v>
      </c>
      <c r="AC407" t="s">
        <v>2123</v>
      </c>
      <c r="AD407" t="s">
        <v>2124</v>
      </c>
      <c r="AE407" t="s">
        <v>1758</v>
      </c>
      <c r="AF407" t="s">
        <v>34</v>
      </c>
      <c r="AG407" t="s">
        <v>34</v>
      </c>
      <c r="AH407" t="s">
        <v>34</v>
      </c>
      <c r="AI407" t="s">
        <v>34</v>
      </c>
      <c r="AJ407" t="s">
        <v>34</v>
      </c>
      <c r="AK407" t="s">
        <v>2125</v>
      </c>
      <c r="AL407" t="s">
        <v>34</v>
      </c>
      <c r="AM407" t="s">
        <v>4803</v>
      </c>
      <c r="AN407" s="478">
        <v>0</v>
      </c>
      <c r="AO407" s="478">
        <v>0</v>
      </c>
    </row>
    <row r="408" spans="1:41" ht="15" customHeight="1" x14ac:dyDescent="0.2">
      <c r="A408">
        <v>407</v>
      </c>
      <c r="B408" t="s">
        <v>1431</v>
      </c>
      <c r="C408" t="s">
        <v>1929</v>
      </c>
      <c r="D408" t="s">
        <v>4222</v>
      </c>
      <c r="E408" t="s">
        <v>3524</v>
      </c>
      <c r="F408" t="s">
        <v>2077</v>
      </c>
      <c r="G408" t="s">
        <v>34</v>
      </c>
      <c r="H408" t="s">
        <v>2128</v>
      </c>
      <c r="I408" t="s">
        <v>5651</v>
      </c>
      <c r="J408" t="s">
        <v>1764</v>
      </c>
      <c r="K408" t="s">
        <v>2214</v>
      </c>
      <c r="L408" t="s">
        <v>3344</v>
      </c>
      <c r="M408">
        <v>89786</v>
      </c>
      <c r="N408" t="s">
        <v>1929</v>
      </c>
      <c r="O408" t="s">
        <v>2399</v>
      </c>
      <c r="P408" t="s">
        <v>3528</v>
      </c>
      <c r="Q408" t="s">
        <v>3530</v>
      </c>
      <c r="R408" t="s">
        <v>2121</v>
      </c>
      <c r="S408" t="s">
        <v>3529</v>
      </c>
      <c r="T408">
        <v>0.37</v>
      </c>
      <c r="U408" t="s">
        <v>1947</v>
      </c>
      <c r="V408" t="s">
        <v>2423</v>
      </c>
      <c r="W408" t="s">
        <v>3345</v>
      </c>
      <c r="X408" t="s">
        <v>2122</v>
      </c>
      <c r="Y408" t="s">
        <v>109</v>
      </c>
      <c r="Z408" t="s">
        <v>109</v>
      </c>
      <c r="AA408" t="s">
        <v>109</v>
      </c>
      <c r="AB408" t="s">
        <v>3346</v>
      </c>
      <c r="AC408" t="s">
        <v>2123</v>
      </c>
      <c r="AD408" t="s">
        <v>2124</v>
      </c>
      <c r="AE408" t="s">
        <v>1758</v>
      </c>
      <c r="AF408">
        <v>5</v>
      </c>
      <c r="AG408">
        <v>87</v>
      </c>
      <c r="AH408">
        <v>14</v>
      </c>
      <c r="AI408" t="s">
        <v>34</v>
      </c>
      <c r="AJ408" t="s">
        <v>34</v>
      </c>
      <c r="AK408" t="s">
        <v>2125</v>
      </c>
      <c r="AL408" t="s">
        <v>34</v>
      </c>
      <c r="AM408" t="s">
        <v>4803</v>
      </c>
      <c r="AN408" s="478">
        <v>0</v>
      </c>
      <c r="AO408" s="478">
        <v>0</v>
      </c>
    </row>
    <row r="409" spans="1:41" ht="15" customHeight="1" x14ac:dyDescent="0.2">
      <c r="A409">
        <v>408</v>
      </c>
      <c r="B409" t="s">
        <v>1431</v>
      </c>
      <c r="C409" t="s">
        <v>1931</v>
      </c>
      <c r="D409" t="s">
        <v>4223</v>
      </c>
      <c r="E409" t="s">
        <v>3524</v>
      </c>
      <c r="F409" t="s">
        <v>2077</v>
      </c>
      <c r="G409" t="s">
        <v>34</v>
      </c>
      <c r="H409" t="s">
        <v>2128</v>
      </c>
      <c r="I409" t="s">
        <v>5651</v>
      </c>
      <c r="J409" t="s">
        <v>1764</v>
      </c>
      <c r="K409" t="s">
        <v>2214</v>
      </c>
      <c r="L409" t="s">
        <v>3344</v>
      </c>
      <c r="M409">
        <v>1111556</v>
      </c>
      <c r="N409" t="s">
        <v>1931</v>
      </c>
      <c r="O409" t="s">
        <v>2399</v>
      </c>
      <c r="P409" t="s">
        <v>3528</v>
      </c>
      <c r="Q409" t="s">
        <v>3530</v>
      </c>
      <c r="R409" t="s">
        <v>2121</v>
      </c>
      <c r="S409" t="s">
        <v>3529</v>
      </c>
      <c r="T409">
        <v>0.37</v>
      </c>
      <c r="U409" t="s">
        <v>1947</v>
      </c>
      <c r="V409" t="s">
        <v>2423</v>
      </c>
      <c r="W409" t="s">
        <v>3347</v>
      </c>
      <c r="X409" t="s">
        <v>2122</v>
      </c>
      <c r="Y409" t="s">
        <v>109</v>
      </c>
      <c r="Z409" t="s">
        <v>109</v>
      </c>
      <c r="AA409" t="s">
        <v>109</v>
      </c>
      <c r="AB409" t="s">
        <v>3346</v>
      </c>
      <c r="AC409" t="s">
        <v>2123</v>
      </c>
      <c r="AD409" t="s">
        <v>2124</v>
      </c>
      <c r="AE409" t="s">
        <v>1758</v>
      </c>
      <c r="AF409" t="s">
        <v>5275</v>
      </c>
      <c r="AG409" t="s">
        <v>34</v>
      </c>
      <c r="AH409" t="s">
        <v>34</v>
      </c>
      <c r="AI409" t="s">
        <v>34</v>
      </c>
      <c r="AJ409" t="s">
        <v>34</v>
      </c>
      <c r="AK409" t="s">
        <v>2125</v>
      </c>
      <c r="AL409" t="s">
        <v>34</v>
      </c>
      <c r="AM409" t="s">
        <v>4803</v>
      </c>
      <c r="AN409" s="478">
        <v>0</v>
      </c>
      <c r="AO409" s="478">
        <v>0</v>
      </c>
    </row>
    <row r="410" spans="1:41" ht="15" customHeight="1" x14ac:dyDescent="0.2">
      <c r="A410">
        <v>409</v>
      </c>
      <c r="B410" t="s">
        <v>1431</v>
      </c>
      <c r="C410" t="s">
        <v>1442</v>
      </c>
      <c r="D410" t="s">
        <v>4224</v>
      </c>
      <c r="E410" t="s">
        <v>3524</v>
      </c>
      <c r="F410" t="s">
        <v>2077</v>
      </c>
      <c r="G410" t="s">
        <v>34</v>
      </c>
      <c r="H410" t="s">
        <v>2128</v>
      </c>
      <c r="I410" t="s">
        <v>5651</v>
      </c>
      <c r="J410" t="s">
        <v>2116</v>
      </c>
      <c r="K410" t="s">
        <v>2132</v>
      </c>
      <c r="L410" t="s">
        <v>3356</v>
      </c>
      <c r="M410" t="s">
        <v>1442</v>
      </c>
      <c r="N410" t="s">
        <v>1442</v>
      </c>
      <c r="O410" t="s">
        <v>904</v>
      </c>
      <c r="P410" t="s">
        <v>2941</v>
      </c>
      <c r="Q410" t="s">
        <v>2204</v>
      </c>
      <c r="R410" t="s">
        <v>2121</v>
      </c>
      <c r="S410" t="s">
        <v>3535</v>
      </c>
      <c r="T410">
        <v>264.39999999999998</v>
      </c>
      <c r="U410" t="s">
        <v>1947</v>
      </c>
      <c r="V410" t="s">
        <v>2403</v>
      </c>
      <c r="W410">
        <v>6233</v>
      </c>
      <c r="X410" t="s">
        <v>2122</v>
      </c>
      <c r="Y410" t="s">
        <v>2467</v>
      </c>
      <c r="Z410" t="s">
        <v>3357</v>
      </c>
      <c r="AA410" t="s">
        <v>2122</v>
      </c>
      <c r="AB410" t="s">
        <v>3358</v>
      </c>
      <c r="AC410" t="s">
        <v>2123</v>
      </c>
      <c r="AD410" t="s">
        <v>2124</v>
      </c>
      <c r="AE410" t="s">
        <v>1758</v>
      </c>
      <c r="AF410" t="s">
        <v>34</v>
      </c>
      <c r="AG410" t="s">
        <v>34</v>
      </c>
      <c r="AH410" t="s">
        <v>34</v>
      </c>
      <c r="AI410" t="s">
        <v>34</v>
      </c>
      <c r="AJ410" t="s">
        <v>34</v>
      </c>
      <c r="AK410" t="s">
        <v>2125</v>
      </c>
      <c r="AL410" t="s">
        <v>34</v>
      </c>
      <c r="AM410" t="s">
        <v>4803</v>
      </c>
      <c r="AN410" s="478">
        <v>0</v>
      </c>
      <c r="AO410" s="478">
        <v>0</v>
      </c>
    </row>
    <row r="411" spans="1:41" ht="15" customHeight="1" x14ac:dyDescent="0.2">
      <c r="A411">
        <v>410</v>
      </c>
      <c r="B411" t="s">
        <v>1431</v>
      </c>
      <c r="C411" t="s">
        <v>1440</v>
      </c>
      <c r="D411" t="s">
        <v>4225</v>
      </c>
      <c r="E411" t="s">
        <v>3524</v>
      </c>
      <c r="F411" t="s">
        <v>2077</v>
      </c>
      <c r="G411" t="s">
        <v>34</v>
      </c>
      <c r="H411" t="s">
        <v>2128</v>
      </c>
      <c r="I411" t="s">
        <v>5651</v>
      </c>
      <c r="J411" t="s">
        <v>2116</v>
      </c>
      <c r="K411" t="s">
        <v>3348</v>
      </c>
      <c r="L411" t="s">
        <v>3349</v>
      </c>
      <c r="M411">
        <v>64583</v>
      </c>
      <c r="N411" t="s">
        <v>1440</v>
      </c>
      <c r="O411" t="s">
        <v>904</v>
      </c>
      <c r="P411" t="s">
        <v>3531</v>
      </c>
      <c r="Q411" t="s">
        <v>2204</v>
      </c>
      <c r="R411" t="s">
        <v>2286</v>
      </c>
      <c r="S411" t="s">
        <v>3532</v>
      </c>
      <c r="T411">
        <v>318.7</v>
      </c>
      <c r="U411" t="s">
        <v>1947</v>
      </c>
      <c r="V411" t="s">
        <v>3350</v>
      </c>
      <c r="W411" t="s">
        <v>4796</v>
      </c>
      <c r="X411" t="s">
        <v>2122</v>
      </c>
      <c r="Y411" t="s">
        <v>2557</v>
      </c>
      <c r="Z411" t="s">
        <v>5092</v>
      </c>
      <c r="AA411" t="s">
        <v>2122</v>
      </c>
      <c r="AB411" t="s">
        <v>34</v>
      </c>
      <c r="AC411" t="s">
        <v>2123</v>
      </c>
      <c r="AD411" t="s">
        <v>2124</v>
      </c>
      <c r="AE411" t="s">
        <v>1758</v>
      </c>
      <c r="AF411" t="s">
        <v>3882</v>
      </c>
      <c r="AG411">
        <v>0.66</v>
      </c>
      <c r="AH411">
        <v>0.5</v>
      </c>
      <c r="AI411" t="s">
        <v>3949</v>
      </c>
      <c r="AJ411" t="s">
        <v>34</v>
      </c>
      <c r="AK411" t="s">
        <v>2125</v>
      </c>
      <c r="AL411" t="s">
        <v>34</v>
      </c>
      <c r="AM411" t="s">
        <v>4803</v>
      </c>
      <c r="AN411" s="478">
        <v>0</v>
      </c>
      <c r="AO411" s="478">
        <v>0</v>
      </c>
    </row>
    <row r="412" spans="1:41" ht="15" customHeight="1" x14ac:dyDescent="0.2">
      <c r="A412">
        <v>411</v>
      </c>
      <c r="B412" t="s">
        <v>1431</v>
      </c>
      <c r="C412" t="s">
        <v>1980</v>
      </c>
      <c r="D412" t="s">
        <v>4226</v>
      </c>
      <c r="E412" t="s">
        <v>3524</v>
      </c>
      <c r="F412" t="s">
        <v>2077</v>
      </c>
      <c r="G412" t="s">
        <v>34</v>
      </c>
      <c r="H412" t="s">
        <v>2128</v>
      </c>
      <c r="I412" t="s">
        <v>5651</v>
      </c>
      <c r="J412" t="s">
        <v>2116</v>
      </c>
      <c r="K412" t="s">
        <v>1905</v>
      </c>
      <c r="L412" t="s">
        <v>3334</v>
      </c>
      <c r="M412">
        <v>27265</v>
      </c>
      <c r="N412" t="s">
        <v>1980</v>
      </c>
      <c r="O412" t="s">
        <v>2399</v>
      </c>
      <c r="P412" t="s">
        <v>4615</v>
      </c>
      <c r="Q412" t="s">
        <v>4468</v>
      </c>
      <c r="R412" t="s">
        <v>2295</v>
      </c>
      <c r="S412" t="s">
        <v>3526</v>
      </c>
      <c r="T412">
        <v>67.400000000000006</v>
      </c>
      <c r="U412" t="s">
        <v>1947</v>
      </c>
      <c r="V412" t="s">
        <v>3335</v>
      </c>
      <c r="W412" t="s">
        <v>3336</v>
      </c>
      <c r="X412" t="s">
        <v>2122</v>
      </c>
      <c r="Y412" t="s">
        <v>3337</v>
      </c>
      <c r="Z412" t="s">
        <v>3338</v>
      </c>
      <c r="AA412" t="s">
        <v>2122</v>
      </c>
      <c r="AB412" t="s">
        <v>34</v>
      </c>
      <c r="AC412" t="s">
        <v>2123</v>
      </c>
      <c r="AD412" t="s">
        <v>2124</v>
      </c>
      <c r="AE412" t="s">
        <v>1758</v>
      </c>
      <c r="AF412">
        <v>20</v>
      </c>
      <c r="AG412">
        <v>0.98</v>
      </c>
      <c r="AH412">
        <v>0</v>
      </c>
      <c r="AI412" t="s">
        <v>34</v>
      </c>
      <c r="AJ412" t="s">
        <v>34</v>
      </c>
      <c r="AK412" t="s">
        <v>2125</v>
      </c>
      <c r="AL412" t="s">
        <v>34</v>
      </c>
      <c r="AM412" t="s">
        <v>4803</v>
      </c>
      <c r="AN412" s="478">
        <v>0</v>
      </c>
      <c r="AO412" s="478">
        <v>0</v>
      </c>
    </row>
    <row r="413" spans="1:41" ht="15" customHeight="1" x14ac:dyDescent="0.2">
      <c r="A413">
        <v>412</v>
      </c>
      <c r="B413" t="s">
        <v>1431</v>
      </c>
      <c r="C413" t="s">
        <v>5061</v>
      </c>
      <c r="D413" t="s">
        <v>5062</v>
      </c>
      <c r="E413" t="s">
        <v>3524</v>
      </c>
      <c r="F413" t="s">
        <v>2077</v>
      </c>
      <c r="G413" t="s">
        <v>34</v>
      </c>
      <c r="H413" t="s">
        <v>2128</v>
      </c>
      <c r="I413" t="s">
        <v>5651</v>
      </c>
      <c r="J413" t="s">
        <v>1764</v>
      </c>
      <c r="K413" t="s">
        <v>5061</v>
      </c>
      <c r="L413" t="s">
        <v>5063</v>
      </c>
      <c r="M413">
        <v>19008</v>
      </c>
      <c r="N413" t="s">
        <v>5061</v>
      </c>
      <c r="O413" t="s">
        <v>2399</v>
      </c>
      <c r="P413" t="s">
        <v>5064</v>
      </c>
      <c r="Q413" t="s">
        <v>2204</v>
      </c>
      <c r="R413" t="s">
        <v>2121</v>
      </c>
      <c r="S413" t="s">
        <v>5065</v>
      </c>
      <c r="T413">
        <v>22.2</v>
      </c>
      <c r="U413" t="s">
        <v>1947</v>
      </c>
      <c r="V413" t="s">
        <v>2908</v>
      </c>
      <c r="W413" t="s">
        <v>5066</v>
      </c>
      <c r="X413" t="s">
        <v>2122</v>
      </c>
      <c r="Y413" t="s">
        <v>4586</v>
      </c>
      <c r="Z413" t="s">
        <v>5067</v>
      </c>
      <c r="AA413" t="s">
        <v>2122</v>
      </c>
      <c r="AB413" t="s">
        <v>4886</v>
      </c>
      <c r="AC413" t="s">
        <v>2123</v>
      </c>
      <c r="AD413" t="s">
        <v>2124</v>
      </c>
      <c r="AE413" t="s">
        <v>1758</v>
      </c>
      <c r="AF413">
        <v>1</v>
      </c>
      <c r="AG413" t="s">
        <v>5068</v>
      </c>
      <c r="AH413" t="s">
        <v>5068</v>
      </c>
      <c r="AI413" t="s">
        <v>34</v>
      </c>
      <c r="AJ413" t="s">
        <v>34</v>
      </c>
      <c r="AK413" t="s">
        <v>2125</v>
      </c>
      <c r="AL413" t="s">
        <v>34</v>
      </c>
      <c r="AM413" t="s">
        <v>4804</v>
      </c>
      <c r="AN413" s="478"/>
      <c r="AO413" s="478"/>
    </row>
    <row r="414" spans="1:41" ht="15" customHeight="1" x14ac:dyDescent="0.2">
      <c r="A414">
        <v>413</v>
      </c>
      <c r="B414" t="s">
        <v>1431</v>
      </c>
      <c r="C414" t="s">
        <v>5121</v>
      </c>
      <c r="D414" t="s">
        <v>5122</v>
      </c>
      <c r="E414" t="s">
        <v>3524</v>
      </c>
      <c r="F414" t="s">
        <v>2077</v>
      </c>
      <c r="G414" t="s">
        <v>34</v>
      </c>
      <c r="H414" t="s">
        <v>2128</v>
      </c>
      <c r="I414" t="s">
        <v>5651</v>
      </c>
      <c r="J414" t="s">
        <v>1764</v>
      </c>
      <c r="K414" t="s">
        <v>5121</v>
      </c>
      <c r="L414" t="s">
        <v>4879</v>
      </c>
      <c r="M414" t="s">
        <v>4880</v>
      </c>
      <c r="N414" t="s">
        <v>5121</v>
      </c>
      <c r="O414" t="s">
        <v>2399</v>
      </c>
      <c r="P414" t="s">
        <v>4881</v>
      </c>
      <c r="Q414" t="s">
        <v>2204</v>
      </c>
      <c r="R414" t="s">
        <v>4882</v>
      </c>
      <c r="S414" t="s">
        <v>4883</v>
      </c>
      <c r="T414">
        <v>306.94</v>
      </c>
      <c r="U414" t="s">
        <v>1947</v>
      </c>
      <c r="V414" t="s">
        <v>4884</v>
      </c>
      <c r="W414" t="s">
        <v>4885</v>
      </c>
      <c r="X414" t="s">
        <v>2122</v>
      </c>
      <c r="Y414" t="s">
        <v>109</v>
      </c>
      <c r="Z414" t="s">
        <v>109</v>
      </c>
      <c r="AA414" t="s">
        <v>109</v>
      </c>
      <c r="AB414" t="s">
        <v>4886</v>
      </c>
      <c r="AC414" t="s">
        <v>2123</v>
      </c>
      <c r="AD414" t="s">
        <v>2124</v>
      </c>
      <c r="AE414" t="s">
        <v>1758</v>
      </c>
      <c r="AF414" t="s">
        <v>109</v>
      </c>
      <c r="AG414" t="s">
        <v>34</v>
      </c>
      <c r="AH414" t="s">
        <v>34</v>
      </c>
      <c r="AI414" t="s">
        <v>34</v>
      </c>
      <c r="AJ414" t="s">
        <v>34</v>
      </c>
      <c r="AK414" t="s">
        <v>2125</v>
      </c>
      <c r="AL414" t="s">
        <v>34</v>
      </c>
      <c r="AM414" t="s">
        <v>4803</v>
      </c>
      <c r="AN414" s="478"/>
      <c r="AO414" s="478"/>
    </row>
    <row r="415" spans="1:41" x14ac:dyDescent="0.2">
      <c r="A415">
        <v>414</v>
      </c>
      <c r="B415" t="s">
        <v>1431</v>
      </c>
      <c r="C415" t="s">
        <v>4877</v>
      </c>
      <c r="D415" t="s">
        <v>4878</v>
      </c>
      <c r="E415" t="s">
        <v>3524</v>
      </c>
      <c r="F415" t="s">
        <v>2077</v>
      </c>
      <c r="G415" t="s">
        <v>34</v>
      </c>
      <c r="H415" t="s">
        <v>2128</v>
      </c>
      <c r="I415" t="s">
        <v>5651</v>
      </c>
      <c r="J415" t="s">
        <v>1764</v>
      </c>
      <c r="K415" t="s">
        <v>4877</v>
      </c>
      <c r="L415" t="s">
        <v>4879</v>
      </c>
      <c r="M415" t="s">
        <v>4880</v>
      </c>
      <c r="N415" t="s">
        <v>4877</v>
      </c>
      <c r="O415" t="s">
        <v>2399</v>
      </c>
      <c r="P415" t="s">
        <v>4881</v>
      </c>
      <c r="Q415" t="s">
        <v>2204</v>
      </c>
      <c r="R415" t="s">
        <v>4882</v>
      </c>
      <c r="S415" t="s">
        <v>4883</v>
      </c>
      <c r="T415">
        <v>306.94</v>
      </c>
      <c r="U415" t="s">
        <v>1947</v>
      </c>
      <c r="V415" t="s">
        <v>4884</v>
      </c>
      <c r="W415" t="s">
        <v>4885</v>
      </c>
      <c r="X415" t="s">
        <v>2122</v>
      </c>
      <c r="Y415" t="s">
        <v>109</v>
      </c>
      <c r="Z415" t="s">
        <v>109</v>
      </c>
      <c r="AA415" t="s">
        <v>109</v>
      </c>
      <c r="AB415" t="s">
        <v>4886</v>
      </c>
      <c r="AC415" t="s">
        <v>2123</v>
      </c>
      <c r="AD415" t="s">
        <v>2124</v>
      </c>
      <c r="AE415" t="s">
        <v>1758</v>
      </c>
      <c r="AF415" t="s">
        <v>109</v>
      </c>
      <c r="AG415" t="s">
        <v>34</v>
      </c>
      <c r="AH415" t="s">
        <v>34</v>
      </c>
      <c r="AI415" t="s">
        <v>34</v>
      </c>
      <c r="AJ415" t="s">
        <v>34</v>
      </c>
      <c r="AK415" t="s">
        <v>2125</v>
      </c>
      <c r="AL415" t="s">
        <v>34</v>
      </c>
      <c r="AM415" t="s">
        <v>4803</v>
      </c>
      <c r="AN415" s="478">
        <v>0</v>
      </c>
      <c r="AO415" s="478">
        <v>0</v>
      </c>
    </row>
    <row r="416" spans="1:41" x14ac:dyDescent="0.2">
      <c r="A416">
        <v>415</v>
      </c>
      <c r="B416" t="s">
        <v>1431</v>
      </c>
      <c r="C416" t="s">
        <v>4365</v>
      </c>
      <c r="D416" t="s">
        <v>4366</v>
      </c>
      <c r="E416" t="s">
        <v>3524</v>
      </c>
      <c r="F416" t="s">
        <v>2077</v>
      </c>
      <c r="G416" t="s">
        <v>34</v>
      </c>
      <c r="H416" t="s">
        <v>2128</v>
      </c>
      <c r="I416" t="s">
        <v>5651</v>
      </c>
      <c r="J416" t="s">
        <v>1764</v>
      </c>
      <c r="K416" t="s">
        <v>2909</v>
      </c>
      <c r="L416" t="s">
        <v>4367</v>
      </c>
      <c r="M416">
        <v>113240809</v>
      </c>
      <c r="N416" t="s">
        <v>4365</v>
      </c>
      <c r="O416" t="s">
        <v>904</v>
      </c>
      <c r="P416" t="s">
        <v>4368</v>
      </c>
      <c r="Q416" t="s">
        <v>2204</v>
      </c>
      <c r="R416" t="s">
        <v>2121</v>
      </c>
      <c r="S416" t="s">
        <v>2538</v>
      </c>
      <c r="T416">
        <v>18</v>
      </c>
      <c r="U416" t="s">
        <v>1947</v>
      </c>
      <c r="V416" t="s">
        <v>4369</v>
      </c>
      <c r="W416">
        <v>113240809</v>
      </c>
      <c r="X416" t="s">
        <v>2230</v>
      </c>
      <c r="Y416" t="s">
        <v>109</v>
      </c>
      <c r="Z416" t="s">
        <v>109</v>
      </c>
      <c r="AA416" t="s">
        <v>109</v>
      </c>
      <c r="AB416" t="s">
        <v>2192</v>
      </c>
      <c r="AC416" t="s">
        <v>2123</v>
      </c>
      <c r="AD416" t="s">
        <v>4370</v>
      </c>
      <c r="AE416" t="s">
        <v>1758</v>
      </c>
      <c r="AF416">
        <v>10</v>
      </c>
      <c r="AG416">
        <v>5</v>
      </c>
      <c r="AH416">
        <v>1.1499999999999999</v>
      </c>
      <c r="AI416" t="s">
        <v>34</v>
      </c>
      <c r="AJ416" t="s">
        <v>34</v>
      </c>
      <c r="AK416" t="s">
        <v>2125</v>
      </c>
      <c r="AL416" t="s">
        <v>34</v>
      </c>
      <c r="AM416" t="s">
        <v>4803</v>
      </c>
      <c r="AN416" s="478">
        <v>0</v>
      </c>
      <c r="AO416" s="478">
        <v>0</v>
      </c>
    </row>
    <row r="417" spans="1:88" x14ac:dyDescent="0.2">
      <c r="A417">
        <v>416</v>
      </c>
      <c r="B417" t="s">
        <v>1431</v>
      </c>
      <c r="C417" t="s">
        <v>1864</v>
      </c>
      <c r="D417" t="s">
        <v>4227</v>
      </c>
      <c r="E417" t="s">
        <v>3524</v>
      </c>
      <c r="F417" t="s">
        <v>2077</v>
      </c>
      <c r="G417" t="s">
        <v>34</v>
      </c>
      <c r="H417" t="s">
        <v>2128</v>
      </c>
      <c r="I417" t="s">
        <v>5651</v>
      </c>
      <c r="J417" t="s">
        <v>1764</v>
      </c>
      <c r="K417" t="s">
        <v>2132</v>
      </c>
      <c r="L417" t="s">
        <v>2909</v>
      </c>
      <c r="M417" t="s">
        <v>3339</v>
      </c>
      <c r="N417" t="s">
        <v>1864</v>
      </c>
      <c r="O417" t="s">
        <v>2399</v>
      </c>
      <c r="P417" t="s">
        <v>4996</v>
      </c>
      <c r="Q417" t="s">
        <v>2611</v>
      </c>
      <c r="R417" t="s">
        <v>2286</v>
      </c>
      <c r="S417" t="s">
        <v>3527</v>
      </c>
      <c r="T417">
        <v>2893</v>
      </c>
      <c r="U417" t="s">
        <v>1947</v>
      </c>
      <c r="V417" t="s">
        <v>3340</v>
      </c>
      <c r="W417" t="s">
        <v>3341</v>
      </c>
      <c r="X417" t="s">
        <v>2122</v>
      </c>
      <c r="Y417" t="s">
        <v>3342</v>
      </c>
      <c r="Z417" t="s">
        <v>2255</v>
      </c>
      <c r="AA417" t="s">
        <v>2122</v>
      </c>
      <c r="AB417" t="s">
        <v>3343</v>
      </c>
      <c r="AC417" t="s">
        <v>2123</v>
      </c>
      <c r="AD417" t="s">
        <v>2124</v>
      </c>
      <c r="AE417" t="s">
        <v>1758</v>
      </c>
      <c r="AF417" t="s">
        <v>34</v>
      </c>
      <c r="AG417" t="s">
        <v>34</v>
      </c>
      <c r="AH417" t="s">
        <v>34</v>
      </c>
      <c r="AI417" t="s">
        <v>34</v>
      </c>
      <c r="AJ417" t="s">
        <v>34</v>
      </c>
      <c r="AK417" t="s">
        <v>2125</v>
      </c>
      <c r="AL417" t="s">
        <v>34</v>
      </c>
      <c r="AM417" t="s">
        <v>4803</v>
      </c>
      <c r="AN417" s="478">
        <v>0</v>
      </c>
      <c r="AO417" s="478">
        <v>0</v>
      </c>
    </row>
    <row r="418" spans="1:88" s="548" customFormat="1" x14ac:dyDescent="0.2">
      <c r="A418" s="548">
        <v>417</v>
      </c>
      <c r="B418" t="s">
        <v>1431</v>
      </c>
      <c r="C418" t="s">
        <v>1436</v>
      </c>
      <c r="D418" t="s">
        <v>4228</v>
      </c>
      <c r="E418" t="s">
        <v>3524</v>
      </c>
      <c r="F418" t="s">
        <v>2077</v>
      </c>
      <c r="G418" t="s">
        <v>34</v>
      </c>
      <c r="H418" t="s">
        <v>2128</v>
      </c>
      <c r="I418" t="s">
        <v>5651</v>
      </c>
      <c r="J418" t="s">
        <v>1764</v>
      </c>
      <c r="K418" t="s">
        <v>2132</v>
      </c>
      <c r="L418" t="s">
        <v>2909</v>
      </c>
      <c r="M418" t="s">
        <v>3354</v>
      </c>
      <c r="N418" t="s">
        <v>1436</v>
      </c>
      <c r="O418" t="s">
        <v>2399</v>
      </c>
      <c r="P418" t="s">
        <v>5276</v>
      </c>
      <c r="Q418" t="s">
        <v>2204</v>
      </c>
      <c r="R418" t="s">
        <v>2286</v>
      </c>
      <c r="S418" t="s">
        <v>3534</v>
      </c>
      <c r="T418">
        <v>1584</v>
      </c>
      <c r="U418" t="s">
        <v>1947</v>
      </c>
      <c r="V418" t="s">
        <v>2341</v>
      </c>
      <c r="W418" t="s">
        <v>3355</v>
      </c>
      <c r="X418" t="s">
        <v>2122</v>
      </c>
      <c r="Y418" t="s">
        <v>3352</v>
      </c>
      <c r="Z418" t="s">
        <v>2243</v>
      </c>
      <c r="AA418" t="s">
        <v>2122</v>
      </c>
      <c r="AB418" t="s">
        <v>3353</v>
      </c>
      <c r="AC418" t="s">
        <v>2123</v>
      </c>
      <c r="AD418" t="s">
        <v>2124</v>
      </c>
      <c r="AE418" t="s">
        <v>1758</v>
      </c>
      <c r="AF418" t="s">
        <v>3347</v>
      </c>
      <c r="AG418" t="s">
        <v>34</v>
      </c>
      <c r="AH418" t="s">
        <v>34</v>
      </c>
      <c r="AI418" t="s">
        <v>34</v>
      </c>
      <c r="AJ418" t="s">
        <v>34</v>
      </c>
      <c r="AK418" t="s">
        <v>2125</v>
      </c>
      <c r="AL418" t="s">
        <v>34</v>
      </c>
      <c r="AM418" t="s">
        <v>4803</v>
      </c>
      <c r="AN418" s="478">
        <v>0</v>
      </c>
      <c r="AO418" s="478">
        <v>0</v>
      </c>
      <c r="CG418"/>
    </row>
    <row r="419" spans="1:88" x14ac:dyDescent="0.2">
      <c r="A419">
        <v>418</v>
      </c>
      <c r="B419" t="s">
        <v>1431</v>
      </c>
      <c r="C419" t="s">
        <v>1438</v>
      </c>
      <c r="D419" t="s">
        <v>4229</v>
      </c>
      <c r="E419" t="s">
        <v>3524</v>
      </c>
      <c r="F419" t="s">
        <v>2077</v>
      </c>
      <c r="G419" t="s">
        <v>34</v>
      </c>
      <c r="H419" t="s">
        <v>2128</v>
      </c>
      <c r="I419" t="s">
        <v>5651</v>
      </c>
      <c r="J419" t="s">
        <v>1764</v>
      </c>
      <c r="K419" t="s">
        <v>2132</v>
      </c>
      <c r="L419" t="s">
        <v>2909</v>
      </c>
      <c r="M419" t="s">
        <v>3339</v>
      </c>
      <c r="N419" t="s">
        <v>1438</v>
      </c>
      <c r="O419" t="s">
        <v>2399</v>
      </c>
      <c r="P419" t="s">
        <v>5277</v>
      </c>
      <c r="Q419" t="s">
        <v>2611</v>
      </c>
      <c r="R419" t="s">
        <v>2286</v>
      </c>
      <c r="S419" t="s">
        <v>3533</v>
      </c>
      <c r="T419">
        <v>1254</v>
      </c>
      <c r="U419" t="s">
        <v>1947</v>
      </c>
      <c r="V419" t="s">
        <v>3351</v>
      </c>
      <c r="W419" t="s">
        <v>5278</v>
      </c>
      <c r="X419" t="s">
        <v>2122</v>
      </c>
      <c r="Y419" t="s">
        <v>3352</v>
      </c>
      <c r="Z419" t="s">
        <v>2243</v>
      </c>
      <c r="AA419" t="s">
        <v>2122</v>
      </c>
      <c r="AB419" t="s">
        <v>3353</v>
      </c>
      <c r="AC419" t="s">
        <v>2123</v>
      </c>
      <c r="AD419" t="s">
        <v>2124</v>
      </c>
      <c r="AE419" t="s">
        <v>1758</v>
      </c>
      <c r="AF419" t="s">
        <v>3347</v>
      </c>
      <c r="AG419" t="s">
        <v>34</v>
      </c>
      <c r="AH419" t="s">
        <v>34</v>
      </c>
      <c r="AI419" t="s">
        <v>34</v>
      </c>
      <c r="AJ419" t="s">
        <v>34</v>
      </c>
      <c r="AK419" t="s">
        <v>2125</v>
      </c>
      <c r="AL419" t="s">
        <v>34</v>
      </c>
      <c r="AM419" t="s">
        <v>4803</v>
      </c>
      <c r="AN419" s="478">
        <v>0</v>
      </c>
      <c r="AO419" s="478">
        <v>0</v>
      </c>
    </row>
    <row r="420" spans="1:88" ht="15" customHeight="1" x14ac:dyDescent="0.2">
      <c r="A420">
        <v>419</v>
      </c>
      <c r="B420" t="s">
        <v>1444</v>
      </c>
      <c r="C420" t="s">
        <v>1446</v>
      </c>
      <c r="D420" t="s">
        <v>4230</v>
      </c>
      <c r="E420" t="s">
        <v>2078</v>
      </c>
      <c r="F420" t="s">
        <v>2019</v>
      </c>
      <c r="G420" t="s">
        <v>34</v>
      </c>
      <c r="H420" t="s">
        <v>2128</v>
      </c>
      <c r="I420" t="s">
        <v>5651</v>
      </c>
      <c r="J420" t="s">
        <v>2116</v>
      </c>
      <c r="K420" t="s">
        <v>3367</v>
      </c>
      <c r="L420" t="s">
        <v>3368</v>
      </c>
      <c r="M420" t="s">
        <v>3369</v>
      </c>
      <c r="N420" t="s">
        <v>1446</v>
      </c>
      <c r="O420" t="s">
        <v>5669</v>
      </c>
      <c r="P420" t="s">
        <v>3539</v>
      </c>
      <c r="Q420" t="s">
        <v>4861</v>
      </c>
      <c r="R420" t="s">
        <v>2185</v>
      </c>
      <c r="S420" t="s">
        <v>3540</v>
      </c>
      <c r="T420">
        <v>0.44</v>
      </c>
      <c r="U420" t="s">
        <v>2151</v>
      </c>
      <c r="V420" t="s">
        <v>3370</v>
      </c>
      <c r="W420">
        <v>4179702002</v>
      </c>
      <c r="X420" t="s">
        <v>4890</v>
      </c>
      <c r="Y420" t="s">
        <v>2208</v>
      </c>
      <c r="Z420" t="s">
        <v>3371</v>
      </c>
      <c r="AA420" t="s">
        <v>4890</v>
      </c>
      <c r="AB420" t="s">
        <v>34</v>
      </c>
      <c r="AC420" t="s">
        <v>2123</v>
      </c>
      <c r="AD420" t="s">
        <v>2124</v>
      </c>
      <c r="AE420" t="s">
        <v>1758</v>
      </c>
      <c r="AF420">
        <v>2.5</v>
      </c>
      <c r="AG420" t="s">
        <v>3883</v>
      </c>
      <c r="AH420" t="s">
        <v>34</v>
      </c>
      <c r="AI420" t="s">
        <v>34</v>
      </c>
      <c r="AJ420" t="s">
        <v>34</v>
      </c>
      <c r="AK420" t="s">
        <v>2125</v>
      </c>
      <c r="AL420" t="s">
        <v>34</v>
      </c>
      <c r="AM420" t="s">
        <v>4803</v>
      </c>
      <c r="AN420" s="478">
        <v>0</v>
      </c>
      <c r="AO420" s="478">
        <v>0</v>
      </c>
    </row>
    <row r="421" spans="1:88" ht="15" customHeight="1" x14ac:dyDescent="0.2">
      <c r="A421">
        <v>420</v>
      </c>
      <c r="B421" t="s">
        <v>1448</v>
      </c>
      <c r="C421" t="s">
        <v>1450</v>
      </c>
      <c r="D421" t="s">
        <v>4231</v>
      </c>
      <c r="E421" t="s">
        <v>3541</v>
      </c>
      <c r="F421" t="s">
        <v>2079</v>
      </c>
      <c r="G421" t="s">
        <v>34</v>
      </c>
      <c r="H421" t="s">
        <v>2128</v>
      </c>
      <c r="I421" t="s">
        <v>5651</v>
      </c>
      <c r="J421" t="s">
        <v>1764</v>
      </c>
      <c r="K421" t="s">
        <v>1450</v>
      </c>
      <c r="L421" t="s">
        <v>3376</v>
      </c>
      <c r="M421" t="s">
        <v>3377</v>
      </c>
      <c r="N421" t="s">
        <v>1450</v>
      </c>
      <c r="O421" t="s">
        <v>904</v>
      </c>
      <c r="P421" t="s">
        <v>2777</v>
      </c>
      <c r="Q421" t="s">
        <v>2204</v>
      </c>
      <c r="R421" t="s">
        <v>2121</v>
      </c>
      <c r="S421" t="s">
        <v>3543</v>
      </c>
      <c r="T421">
        <v>1290</v>
      </c>
      <c r="U421" t="s">
        <v>2151</v>
      </c>
      <c r="V421" t="s">
        <v>3249</v>
      </c>
      <c r="W421" t="s">
        <v>3378</v>
      </c>
      <c r="X421" t="s">
        <v>2122</v>
      </c>
      <c r="Y421" t="s">
        <v>2208</v>
      </c>
      <c r="Z421" t="s">
        <v>3379</v>
      </c>
      <c r="AA421" t="s">
        <v>2122</v>
      </c>
      <c r="AB421" t="s">
        <v>34</v>
      </c>
      <c r="AC421" t="s">
        <v>2123</v>
      </c>
      <c r="AD421" t="s">
        <v>2124</v>
      </c>
      <c r="AE421" t="s">
        <v>1758</v>
      </c>
      <c r="AF421">
        <v>10.199999999999999</v>
      </c>
      <c r="AG421" t="s">
        <v>3884</v>
      </c>
      <c r="AH421">
        <v>1.36</v>
      </c>
      <c r="AI421" t="s">
        <v>3950</v>
      </c>
      <c r="AJ421" t="s">
        <v>34</v>
      </c>
      <c r="AK421" t="s">
        <v>2125</v>
      </c>
      <c r="AL421" t="s">
        <v>34</v>
      </c>
      <c r="AM421" t="s">
        <v>4805</v>
      </c>
      <c r="AN421" s="478">
        <v>0</v>
      </c>
      <c r="AO421" s="478">
        <v>0</v>
      </c>
    </row>
    <row r="422" spans="1:88" s="421" customFormat="1" ht="15" customHeight="1" x14ac:dyDescent="0.2">
      <c r="A422">
        <v>421</v>
      </c>
      <c r="B422" t="s">
        <v>1448</v>
      </c>
      <c r="C422" t="s">
        <v>5721</v>
      </c>
      <c r="D422" t="s">
        <v>5722</v>
      </c>
      <c r="E422" t="s">
        <v>3541</v>
      </c>
      <c r="F422" t="s">
        <v>2079</v>
      </c>
      <c r="G422"/>
      <c r="H422" t="s">
        <v>2128</v>
      </c>
      <c r="I422" t="s">
        <v>5651</v>
      </c>
      <c r="J422" t="s">
        <v>1764</v>
      </c>
      <c r="K422" t="s">
        <v>3300</v>
      </c>
      <c r="L422" t="s">
        <v>5723</v>
      </c>
      <c r="M422" t="s">
        <v>5724</v>
      </c>
      <c r="N422" t="s">
        <v>5725</v>
      </c>
      <c r="O422" t="s">
        <v>904</v>
      </c>
      <c r="P422" t="s">
        <v>5726</v>
      </c>
      <c r="Q422" t="s">
        <v>2204</v>
      </c>
      <c r="R422" t="s">
        <v>2295</v>
      </c>
      <c r="S422" t="s">
        <v>5727</v>
      </c>
      <c r="T422">
        <v>1959</v>
      </c>
      <c r="U422" t="s">
        <v>2151</v>
      </c>
      <c r="V422" t="s">
        <v>3474</v>
      </c>
      <c r="W422" t="s">
        <v>2196</v>
      </c>
      <c r="X422" t="s">
        <v>3405</v>
      </c>
      <c r="Y422" t="s">
        <v>109</v>
      </c>
      <c r="Z422" t="s">
        <v>109</v>
      </c>
      <c r="AA422" t="s">
        <v>109</v>
      </c>
      <c r="AB422" t="s">
        <v>5728</v>
      </c>
      <c r="AC422" t="s">
        <v>2123</v>
      </c>
      <c r="AD422" t="s">
        <v>2124</v>
      </c>
      <c r="AE422" t="s">
        <v>1758</v>
      </c>
      <c r="AF422" t="s">
        <v>5729</v>
      </c>
      <c r="AG422"/>
      <c r="AH422"/>
      <c r="AI422"/>
      <c r="AJ422"/>
      <c r="AK422" t="s">
        <v>2125</v>
      </c>
      <c r="AL422"/>
      <c r="AM422" t="s">
        <v>4803</v>
      </c>
      <c r="AN422" s="478">
        <v>0</v>
      </c>
      <c r="AO422" s="478">
        <v>0</v>
      </c>
      <c r="AP422"/>
      <c r="AQ422"/>
      <c r="AR422"/>
      <c r="CE422"/>
      <c r="CG422"/>
      <c r="CI422"/>
      <c r="CJ422"/>
    </row>
    <row r="423" spans="1:88" s="420" customFormat="1" ht="15" customHeight="1" x14ac:dyDescent="0.2">
      <c r="A423">
        <v>422</v>
      </c>
      <c r="B423" t="s">
        <v>1448</v>
      </c>
      <c r="C423" t="s">
        <v>1452</v>
      </c>
      <c r="D423" t="s">
        <v>4232</v>
      </c>
      <c r="E423" t="s">
        <v>3541</v>
      </c>
      <c r="F423" t="s">
        <v>2079</v>
      </c>
      <c r="G423" t="s">
        <v>34</v>
      </c>
      <c r="H423" t="s">
        <v>2128</v>
      </c>
      <c r="I423" t="s">
        <v>5651</v>
      </c>
      <c r="J423" t="s">
        <v>1764</v>
      </c>
      <c r="K423" t="s">
        <v>3382</v>
      </c>
      <c r="L423" t="s">
        <v>3383</v>
      </c>
      <c r="M423" t="s">
        <v>1452</v>
      </c>
      <c r="N423" t="s">
        <v>1452</v>
      </c>
      <c r="O423" t="s">
        <v>904</v>
      </c>
      <c r="P423" t="s">
        <v>3545</v>
      </c>
      <c r="Q423" t="s">
        <v>2204</v>
      </c>
      <c r="R423" t="s">
        <v>2295</v>
      </c>
      <c r="S423" t="s">
        <v>3546</v>
      </c>
      <c r="T423">
        <v>702</v>
      </c>
      <c r="U423" t="s">
        <v>2150</v>
      </c>
      <c r="V423" t="s">
        <v>3384</v>
      </c>
      <c r="W423" t="s">
        <v>1452</v>
      </c>
      <c r="X423" t="s">
        <v>2281</v>
      </c>
      <c r="Y423" t="s">
        <v>109</v>
      </c>
      <c r="Z423" t="s">
        <v>109</v>
      </c>
      <c r="AA423" t="s">
        <v>109</v>
      </c>
      <c r="AB423" t="s">
        <v>3385</v>
      </c>
      <c r="AC423" t="s">
        <v>2123</v>
      </c>
      <c r="AD423" t="s">
        <v>2124</v>
      </c>
      <c r="AE423" t="s">
        <v>1758</v>
      </c>
      <c r="AF423" t="s">
        <v>34</v>
      </c>
      <c r="AG423" t="s">
        <v>34</v>
      </c>
      <c r="AH423" t="s">
        <v>34</v>
      </c>
      <c r="AI423" t="s">
        <v>34</v>
      </c>
      <c r="AJ423" t="s">
        <v>34</v>
      </c>
      <c r="AK423" t="s">
        <v>2125</v>
      </c>
      <c r="AL423" t="s">
        <v>34</v>
      </c>
      <c r="AM423" t="s">
        <v>4803</v>
      </c>
      <c r="AN423" s="478">
        <v>0</v>
      </c>
      <c r="AO423" s="478">
        <v>0</v>
      </c>
      <c r="AP423"/>
      <c r="AQ423"/>
      <c r="AR423"/>
      <c r="CE423"/>
      <c r="CG423"/>
      <c r="CI423"/>
      <c r="CJ423"/>
    </row>
    <row r="424" spans="1:88" s="421" customFormat="1" ht="15" customHeight="1" x14ac:dyDescent="0.2">
      <c r="A424">
        <v>423</v>
      </c>
      <c r="B424" t="s">
        <v>1448</v>
      </c>
      <c r="C424" t="s">
        <v>1454</v>
      </c>
      <c r="D424" t="s">
        <v>4233</v>
      </c>
      <c r="E424" t="s">
        <v>3541</v>
      </c>
      <c r="F424" t="s">
        <v>2079</v>
      </c>
      <c r="G424" t="s">
        <v>34</v>
      </c>
      <c r="H424" t="s">
        <v>2128</v>
      </c>
      <c r="I424" t="s">
        <v>5651</v>
      </c>
      <c r="J424" t="s">
        <v>1764</v>
      </c>
      <c r="K424" t="s">
        <v>1211</v>
      </c>
      <c r="L424" t="s">
        <v>2243</v>
      </c>
      <c r="M424" t="s">
        <v>3380</v>
      </c>
      <c r="N424" t="s">
        <v>1454</v>
      </c>
      <c r="O424" t="s">
        <v>2399</v>
      </c>
      <c r="P424" t="s">
        <v>2758</v>
      </c>
      <c r="Q424" t="s">
        <v>2120</v>
      </c>
      <c r="R424" t="s">
        <v>2121</v>
      </c>
      <c r="S424" t="s">
        <v>3544</v>
      </c>
      <c r="T424">
        <v>25.1</v>
      </c>
      <c r="U424" t="s">
        <v>2150</v>
      </c>
      <c r="V424" t="s">
        <v>3373</v>
      </c>
      <c r="W424" t="s">
        <v>3381</v>
      </c>
      <c r="X424" t="s">
        <v>2122</v>
      </c>
      <c r="Y424" t="s">
        <v>109</v>
      </c>
      <c r="Z424" t="s">
        <v>109</v>
      </c>
      <c r="AA424" t="s">
        <v>109</v>
      </c>
      <c r="AB424" t="s">
        <v>34</v>
      </c>
      <c r="AC424" t="s">
        <v>2123</v>
      </c>
      <c r="AD424" t="s">
        <v>2124</v>
      </c>
      <c r="AE424" t="s">
        <v>1758</v>
      </c>
      <c r="AF424">
        <v>25</v>
      </c>
      <c r="AG424" t="s">
        <v>3885</v>
      </c>
      <c r="AH424" t="s">
        <v>3951</v>
      </c>
      <c r="AI424" t="s">
        <v>3952</v>
      </c>
      <c r="AJ424" t="s">
        <v>34</v>
      </c>
      <c r="AK424" t="s">
        <v>2125</v>
      </c>
      <c r="AL424" t="s">
        <v>34</v>
      </c>
      <c r="AM424" t="s">
        <v>4803</v>
      </c>
      <c r="AN424" s="478">
        <v>0</v>
      </c>
      <c r="AO424" s="478">
        <v>0</v>
      </c>
      <c r="AP424"/>
      <c r="AQ424"/>
      <c r="AR424"/>
      <c r="CE424"/>
      <c r="CG424"/>
      <c r="CI424"/>
      <c r="CJ424"/>
    </row>
    <row r="425" spans="1:88" s="420" customFormat="1" ht="15" customHeight="1" x14ac:dyDescent="0.2">
      <c r="A425">
        <v>424</v>
      </c>
      <c r="B425" t="s">
        <v>1448</v>
      </c>
      <c r="C425" t="s">
        <v>1982</v>
      </c>
      <c r="D425" t="s">
        <v>4234</v>
      </c>
      <c r="E425" t="s">
        <v>3541</v>
      </c>
      <c r="F425" t="s">
        <v>2079</v>
      </c>
      <c r="G425" t="s">
        <v>34</v>
      </c>
      <c r="H425" t="s">
        <v>2128</v>
      </c>
      <c r="I425" t="s">
        <v>5680</v>
      </c>
      <c r="J425" t="s">
        <v>2116</v>
      </c>
      <c r="K425" t="s">
        <v>3372</v>
      </c>
      <c r="L425" t="s">
        <v>2255</v>
      </c>
      <c r="M425" t="s">
        <v>1982</v>
      </c>
      <c r="N425" t="s">
        <v>1982</v>
      </c>
      <c r="O425" t="s">
        <v>4915</v>
      </c>
      <c r="P425" t="s">
        <v>2445</v>
      </c>
      <c r="Q425" t="s">
        <v>2120</v>
      </c>
      <c r="R425" t="s">
        <v>2185</v>
      </c>
      <c r="S425" t="s">
        <v>3542</v>
      </c>
      <c r="T425">
        <v>177.6</v>
      </c>
      <c r="U425" t="s">
        <v>2150</v>
      </c>
      <c r="V425" t="s">
        <v>3373</v>
      </c>
      <c r="W425" t="s">
        <v>3374</v>
      </c>
      <c r="X425" t="s">
        <v>2204</v>
      </c>
      <c r="Y425" t="s">
        <v>109</v>
      </c>
      <c r="Z425" t="s">
        <v>109</v>
      </c>
      <c r="AA425" t="s">
        <v>109</v>
      </c>
      <c r="AB425" t="s">
        <v>3375</v>
      </c>
      <c r="AC425" t="s">
        <v>2123</v>
      </c>
      <c r="AD425" t="s">
        <v>2124</v>
      </c>
      <c r="AE425" t="s">
        <v>1758</v>
      </c>
      <c r="AF425" t="s">
        <v>3347</v>
      </c>
      <c r="AG425" t="s">
        <v>34</v>
      </c>
      <c r="AH425" t="s">
        <v>34</v>
      </c>
      <c r="AI425" t="s">
        <v>34</v>
      </c>
      <c r="AJ425" t="s">
        <v>34</v>
      </c>
      <c r="AK425" t="s">
        <v>2125</v>
      </c>
      <c r="AL425" t="s">
        <v>34</v>
      </c>
      <c r="AM425" t="s">
        <v>4803</v>
      </c>
      <c r="AN425" s="478"/>
      <c r="AO425" s="478"/>
      <c r="AP425"/>
      <c r="AQ425"/>
      <c r="AR425"/>
      <c r="CE425"/>
      <c r="CG425"/>
      <c r="CI425"/>
      <c r="CJ425"/>
    </row>
    <row r="426" spans="1:88" s="421" customFormat="1" ht="15" customHeight="1" x14ac:dyDescent="0.2">
      <c r="A426">
        <v>425</v>
      </c>
      <c r="B426" t="s">
        <v>1448</v>
      </c>
      <c r="C426" t="s">
        <v>5000</v>
      </c>
      <c r="D426" t="s">
        <v>5001</v>
      </c>
      <c r="E426" t="s">
        <v>3541</v>
      </c>
      <c r="F426" t="s">
        <v>2079</v>
      </c>
      <c r="G426" t="s">
        <v>34</v>
      </c>
      <c r="H426" t="s">
        <v>2128</v>
      </c>
      <c r="I426" t="s">
        <v>5651</v>
      </c>
      <c r="J426" t="s">
        <v>1764</v>
      </c>
      <c r="K426" t="s">
        <v>5002</v>
      </c>
      <c r="L426" t="s">
        <v>5003</v>
      </c>
      <c r="M426" t="s">
        <v>5004</v>
      </c>
      <c r="N426" t="s">
        <v>5005</v>
      </c>
      <c r="O426" t="s">
        <v>5006</v>
      </c>
      <c r="P426" t="s">
        <v>2188</v>
      </c>
      <c r="Q426" t="s">
        <v>2204</v>
      </c>
      <c r="R426" t="s">
        <v>2121</v>
      </c>
      <c r="S426" t="s">
        <v>5007</v>
      </c>
      <c r="T426">
        <v>2340.4</v>
      </c>
      <c r="U426" t="s">
        <v>2151</v>
      </c>
      <c r="V426" t="s">
        <v>2541</v>
      </c>
      <c r="W426" t="s">
        <v>5008</v>
      </c>
      <c r="X426" t="s">
        <v>2122</v>
      </c>
      <c r="Y426" t="s">
        <v>4586</v>
      </c>
      <c r="Z426" t="s">
        <v>5009</v>
      </c>
      <c r="AA426" t="s">
        <v>2122</v>
      </c>
      <c r="AB426" t="s">
        <v>34</v>
      </c>
      <c r="AC426" t="s">
        <v>2123</v>
      </c>
      <c r="AD426" t="s">
        <v>2124</v>
      </c>
      <c r="AE426" t="s">
        <v>1758</v>
      </c>
      <c r="AF426" t="s">
        <v>3347</v>
      </c>
      <c r="AG426" t="s">
        <v>34</v>
      </c>
      <c r="AH426" t="s">
        <v>34</v>
      </c>
      <c r="AI426" t="s">
        <v>34</v>
      </c>
      <c r="AJ426" t="s">
        <v>34</v>
      </c>
      <c r="AK426" t="s">
        <v>2125</v>
      </c>
      <c r="AL426" t="s">
        <v>34</v>
      </c>
      <c r="AM426" t="s">
        <v>4803</v>
      </c>
      <c r="AN426" s="478">
        <v>0</v>
      </c>
      <c r="AO426" s="478">
        <v>0</v>
      </c>
      <c r="AP426"/>
      <c r="AQ426"/>
      <c r="AR426"/>
      <c r="CE426"/>
      <c r="CG426"/>
      <c r="CI426"/>
      <c r="CJ426"/>
    </row>
    <row r="427" spans="1:88" s="420" customFormat="1" ht="15" customHeight="1" x14ac:dyDescent="0.2">
      <c r="A427">
        <v>426</v>
      </c>
      <c r="B427" t="s">
        <v>1448</v>
      </c>
      <c r="C427" t="s">
        <v>5770</v>
      </c>
      <c r="D427" t="s">
        <v>5771</v>
      </c>
      <c r="E427" t="s">
        <v>3541</v>
      </c>
      <c r="F427" t="s">
        <v>2079</v>
      </c>
      <c r="G427"/>
      <c r="H427" t="s">
        <v>2128</v>
      </c>
      <c r="I427" t="s">
        <v>5651</v>
      </c>
      <c r="J427" t="s">
        <v>1764</v>
      </c>
      <c r="K427" t="s">
        <v>5772</v>
      </c>
      <c r="L427" t="s">
        <v>5773</v>
      </c>
      <c r="M427" t="s">
        <v>5774</v>
      </c>
      <c r="N427" t="s">
        <v>5770</v>
      </c>
      <c r="O427" t="s">
        <v>2399</v>
      </c>
      <c r="P427" t="s">
        <v>5775</v>
      </c>
      <c r="Q427" t="s">
        <v>2204</v>
      </c>
      <c r="R427" t="s">
        <v>4776</v>
      </c>
      <c r="S427" t="s">
        <v>5776</v>
      </c>
      <c r="T427">
        <v>190.3</v>
      </c>
      <c r="U427"/>
      <c r="V427" t="s">
        <v>2255</v>
      </c>
      <c r="W427" t="s">
        <v>5777</v>
      </c>
      <c r="X427" t="s">
        <v>2122</v>
      </c>
      <c r="Y427" t="s">
        <v>2255</v>
      </c>
      <c r="Z427" t="s">
        <v>5777</v>
      </c>
      <c r="AA427" t="s">
        <v>2122</v>
      </c>
      <c r="AB427"/>
      <c r="AC427" t="s">
        <v>2123</v>
      </c>
      <c r="AD427" t="s">
        <v>2124</v>
      </c>
      <c r="AE427" t="s">
        <v>1758</v>
      </c>
      <c r="AF427" t="s">
        <v>3347</v>
      </c>
      <c r="AG427"/>
      <c r="AH427"/>
      <c r="AI427"/>
      <c r="AJ427"/>
      <c r="AK427" t="s">
        <v>2125</v>
      </c>
      <c r="AL427"/>
      <c r="AM427" t="s">
        <v>4803</v>
      </c>
      <c r="AN427" s="478"/>
      <c r="AO427" s="478"/>
      <c r="AP427"/>
      <c r="AQ427"/>
      <c r="AR427"/>
      <c r="CE427"/>
      <c r="CG427"/>
      <c r="CI427"/>
      <c r="CJ427"/>
    </row>
    <row r="428" spans="1:88" s="421" customFormat="1" ht="15" customHeight="1" x14ac:dyDescent="0.2">
      <c r="A428">
        <v>427</v>
      </c>
      <c r="B428" t="s">
        <v>1448</v>
      </c>
      <c r="C428" t="s">
        <v>5778</v>
      </c>
      <c r="D428" t="s">
        <v>5779</v>
      </c>
      <c r="E428" t="s">
        <v>3541</v>
      </c>
      <c r="F428" t="s">
        <v>2079</v>
      </c>
      <c r="G428"/>
      <c r="H428" t="s">
        <v>2128</v>
      </c>
      <c r="I428" t="s">
        <v>5651</v>
      </c>
      <c r="J428" t="s">
        <v>1764</v>
      </c>
      <c r="K428" t="s">
        <v>5780</v>
      </c>
      <c r="L428" t="s">
        <v>5773</v>
      </c>
      <c r="M428" t="s">
        <v>5781</v>
      </c>
      <c r="N428" t="s">
        <v>5778</v>
      </c>
      <c r="O428" t="s">
        <v>2399</v>
      </c>
      <c r="P428" t="s">
        <v>5775</v>
      </c>
      <c r="Q428" t="s">
        <v>2204</v>
      </c>
      <c r="R428" t="s">
        <v>4776</v>
      </c>
      <c r="S428" t="s">
        <v>5776</v>
      </c>
      <c r="T428">
        <v>190.3</v>
      </c>
      <c r="U428"/>
      <c r="V428" t="s">
        <v>2255</v>
      </c>
      <c r="W428" t="s">
        <v>5777</v>
      </c>
      <c r="X428" t="s">
        <v>2122</v>
      </c>
      <c r="Y428" t="s">
        <v>2255</v>
      </c>
      <c r="Z428" t="s">
        <v>5777</v>
      </c>
      <c r="AA428" t="s">
        <v>2122</v>
      </c>
      <c r="AB428"/>
      <c r="AC428" t="s">
        <v>2123</v>
      </c>
      <c r="AD428" t="s">
        <v>2124</v>
      </c>
      <c r="AE428" t="s">
        <v>1758</v>
      </c>
      <c r="AF428" t="s">
        <v>3347</v>
      </c>
      <c r="AG428"/>
      <c r="AH428"/>
      <c r="AI428"/>
      <c r="AJ428"/>
      <c r="AK428" t="s">
        <v>2125</v>
      </c>
      <c r="AL428"/>
      <c r="AM428" t="s">
        <v>4803</v>
      </c>
      <c r="AN428" s="478"/>
      <c r="AO428" s="478"/>
      <c r="AP428"/>
      <c r="AQ428"/>
      <c r="AR428"/>
      <c r="CE428"/>
      <c r="CG428"/>
      <c r="CI428"/>
      <c r="CJ428"/>
    </row>
    <row r="429" spans="1:88" s="420" customFormat="1" ht="15" customHeight="1" x14ac:dyDescent="0.2">
      <c r="A429">
        <v>428</v>
      </c>
      <c r="B429" t="s">
        <v>1448</v>
      </c>
      <c r="C429" t="s">
        <v>5782</v>
      </c>
      <c r="D429" t="s">
        <v>5783</v>
      </c>
      <c r="E429" t="s">
        <v>3541</v>
      </c>
      <c r="F429" t="s">
        <v>2079</v>
      </c>
      <c r="G429"/>
      <c r="H429" t="s">
        <v>2128</v>
      </c>
      <c r="I429" t="s">
        <v>5651</v>
      </c>
      <c r="J429" t="s">
        <v>1764</v>
      </c>
      <c r="K429" t="s">
        <v>5784</v>
      </c>
      <c r="L429" t="s">
        <v>5773</v>
      </c>
      <c r="M429" t="s">
        <v>5785</v>
      </c>
      <c r="N429" t="s">
        <v>5782</v>
      </c>
      <c r="O429" t="s">
        <v>2399</v>
      </c>
      <c r="P429" t="s">
        <v>5786</v>
      </c>
      <c r="Q429" t="s">
        <v>2204</v>
      </c>
      <c r="R429" t="s">
        <v>4776</v>
      </c>
      <c r="S429" t="s">
        <v>5776</v>
      </c>
      <c r="T429">
        <v>190.3</v>
      </c>
      <c r="U429"/>
      <c r="V429" t="s">
        <v>2255</v>
      </c>
      <c r="W429" t="s">
        <v>5777</v>
      </c>
      <c r="X429" t="s">
        <v>2122</v>
      </c>
      <c r="Y429" t="s">
        <v>2255</v>
      </c>
      <c r="Z429" t="s">
        <v>5777</v>
      </c>
      <c r="AA429" t="s">
        <v>2122</v>
      </c>
      <c r="AB429"/>
      <c r="AC429" t="s">
        <v>2123</v>
      </c>
      <c r="AD429" t="s">
        <v>2124</v>
      </c>
      <c r="AE429" t="s">
        <v>1758</v>
      </c>
      <c r="AF429" t="s">
        <v>3347</v>
      </c>
      <c r="AG429"/>
      <c r="AH429"/>
      <c r="AI429"/>
      <c r="AJ429"/>
      <c r="AK429" t="s">
        <v>2125</v>
      </c>
      <c r="AL429"/>
      <c r="AM429" t="s">
        <v>4803</v>
      </c>
      <c r="AN429" s="478"/>
      <c r="AO429" s="478"/>
      <c r="AP429"/>
      <c r="AQ429"/>
      <c r="AR429"/>
      <c r="CE429"/>
      <c r="CG429"/>
      <c r="CI429"/>
      <c r="CJ429"/>
    </row>
    <row r="430" spans="1:88" s="421" customFormat="1" ht="12.75" customHeight="1" x14ac:dyDescent="0.2">
      <c r="A430">
        <v>429</v>
      </c>
      <c r="B430" t="s">
        <v>1448</v>
      </c>
      <c r="C430" t="s">
        <v>5787</v>
      </c>
      <c r="D430" t="s">
        <v>5788</v>
      </c>
      <c r="E430" t="s">
        <v>3541</v>
      </c>
      <c r="F430" t="s">
        <v>2079</v>
      </c>
      <c r="G430"/>
      <c r="H430" t="s">
        <v>2128</v>
      </c>
      <c r="I430" t="s">
        <v>5651</v>
      </c>
      <c r="J430" t="s">
        <v>1764</v>
      </c>
      <c r="K430" t="s">
        <v>5789</v>
      </c>
      <c r="L430" t="s">
        <v>5773</v>
      </c>
      <c r="M430" t="s">
        <v>5790</v>
      </c>
      <c r="N430" t="s">
        <v>5787</v>
      </c>
      <c r="O430" t="s">
        <v>2399</v>
      </c>
      <c r="P430" t="s">
        <v>5786</v>
      </c>
      <c r="Q430" t="s">
        <v>2204</v>
      </c>
      <c r="R430" t="s">
        <v>4776</v>
      </c>
      <c r="S430" t="s">
        <v>5776</v>
      </c>
      <c r="T430">
        <v>190.3</v>
      </c>
      <c r="U430"/>
      <c r="V430" t="s">
        <v>2255</v>
      </c>
      <c r="W430" t="s">
        <v>5777</v>
      </c>
      <c r="X430" t="s">
        <v>2122</v>
      </c>
      <c r="Y430" t="s">
        <v>2255</v>
      </c>
      <c r="Z430" t="s">
        <v>5777</v>
      </c>
      <c r="AA430" t="s">
        <v>2122</v>
      </c>
      <c r="AB430"/>
      <c r="AC430" t="s">
        <v>2123</v>
      </c>
      <c r="AD430" t="s">
        <v>2124</v>
      </c>
      <c r="AE430" t="s">
        <v>1758</v>
      </c>
      <c r="AF430" t="s">
        <v>3347</v>
      </c>
      <c r="AG430"/>
      <c r="AH430"/>
      <c r="AI430"/>
      <c r="AJ430"/>
      <c r="AK430" t="s">
        <v>2125</v>
      </c>
      <c r="AL430"/>
      <c r="AM430" t="s">
        <v>4803</v>
      </c>
      <c r="AN430" s="478"/>
      <c r="AO430" s="478"/>
      <c r="AP430"/>
      <c r="AQ430"/>
      <c r="AR430"/>
      <c r="CE430"/>
      <c r="CG430"/>
      <c r="CI430"/>
      <c r="CJ430"/>
    </row>
    <row r="431" spans="1:88" s="420" customFormat="1" ht="15" customHeight="1" x14ac:dyDescent="0.2">
      <c r="A431">
        <v>430</v>
      </c>
      <c r="B431" t="s">
        <v>1448</v>
      </c>
      <c r="C431" t="s">
        <v>5791</v>
      </c>
      <c r="D431" t="s">
        <v>5792</v>
      </c>
      <c r="E431" t="s">
        <v>3541</v>
      </c>
      <c r="F431" t="s">
        <v>2079</v>
      </c>
      <c r="G431"/>
      <c r="H431" t="s">
        <v>2128</v>
      </c>
      <c r="I431" t="s">
        <v>5651</v>
      </c>
      <c r="J431" t="s">
        <v>1764</v>
      </c>
      <c r="K431" t="s">
        <v>5793</v>
      </c>
      <c r="L431" t="s">
        <v>5773</v>
      </c>
      <c r="M431" t="s">
        <v>5794</v>
      </c>
      <c r="N431" t="s">
        <v>5791</v>
      </c>
      <c r="O431" t="s">
        <v>2399</v>
      </c>
      <c r="P431" t="s">
        <v>5795</v>
      </c>
      <c r="Q431" t="s">
        <v>2204</v>
      </c>
      <c r="R431" t="s">
        <v>4776</v>
      </c>
      <c r="S431" t="s">
        <v>5776</v>
      </c>
      <c r="T431">
        <v>190.3</v>
      </c>
      <c r="U431"/>
      <c r="V431" t="s">
        <v>2255</v>
      </c>
      <c r="W431" t="s">
        <v>5777</v>
      </c>
      <c r="X431" t="s">
        <v>2122</v>
      </c>
      <c r="Y431" t="s">
        <v>2255</v>
      </c>
      <c r="Z431" t="s">
        <v>5777</v>
      </c>
      <c r="AA431" t="s">
        <v>2122</v>
      </c>
      <c r="AB431"/>
      <c r="AC431" t="s">
        <v>2123</v>
      </c>
      <c r="AD431" t="s">
        <v>2124</v>
      </c>
      <c r="AE431" t="s">
        <v>1758</v>
      </c>
      <c r="AF431" t="s">
        <v>3347</v>
      </c>
      <c r="AG431"/>
      <c r="AH431"/>
      <c r="AI431"/>
      <c r="AJ431"/>
      <c r="AK431" t="s">
        <v>2125</v>
      </c>
      <c r="AL431"/>
      <c r="AM431" t="s">
        <v>4803</v>
      </c>
      <c r="AN431" s="478"/>
      <c r="AO431" s="478"/>
      <c r="AP431"/>
      <c r="AQ431"/>
      <c r="AR431"/>
      <c r="CE431"/>
      <c r="CG431"/>
      <c r="CI431"/>
      <c r="CJ431"/>
    </row>
    <row r="432" spans="1:88" s="421" customFormat="1" ht="15" customHeight="1" x14ac:dyDescent="0.2">
      <c r="A432">
        <v>431</v>
      </c>
      <c r="B432" t="s">
        <v>1448</v>
      </c>
      <c r="C432" t="s">
        <v>5796</v>
      </c>
      <c r="D432" t="s">
        <v>5797</v>
      </c>
      <c r="E432" t="s">
        <v>3541</v>
      </c>
      <c r="F432" t="s">
        <v>2079</v>
      </c>
      <c r="G432"/>
      <c r="H432" t="s">
        <v>2128</v>
      </c>
      <c r="I432" t="s">
        <v>5651</v>
      </c>
      <c r="J432" t="s">
        <v>1764</v>
      </c>
      <c r="K432" t="s">
        <v>5798</v>
      </c>
      <c r="L432" t="s">
        <v>5773</v>
      </c>
      <c r="M432" t="s">
        <v>5799</v>
      </c>
      <c r="N432" t="s">
        <v>5796</v>
      </c>
      <c r="O432" t="s">
        <v>2399</v>
      </c>
      <c r="P432" t="s">
        <v>5800</v>
      </c>
      <c r="Q432" t="s">
        <v>2204</v>
      </c>
      <c r="R432" t="s">
        <v>4776</v>
      </c>
      <c r="S432" t="s">
        <v>5776</v>
      </c>
      <c r="T432">
        <v>190.3</v>
      </c>
      <c r="U432"/>
      <c r="V432" t="s">
        <v>2255</v>
      </c>
      <c r="W432" t="s">
        <v>5777</v>
      </c>
      <c r="X432" t="s">
        <v>2122</v>
      </c>
      <c r="Y432" t="s">
        <v>2255</v>
      </c>
      <c r="Z432" t="s">
        <v>5777</v>
      </c>
      <c r="AA432" t="s">
        <v>2122</v>
      </c>
      <c r="AB432"/>
      <c r="AC432" t="s">
        <v>2123</v>
      </c>
      <c r="AD432" t="s">
        <v>2124</v>
      </c>
      <c r="AE432" t="s">
        <v>1758</v>
      </c>
      <c r="AF432" t="s">
        <v>3347</v>
      </c>
      <c r="AG432"/>
      <c r="AH432"/>
      <c r="AI432"/>
      <c r="AJ432"/>
      <c r="AK432" t="s">
        <v>2125</v>
      </c>
      <c r="AL432"/>
      <c r="AM432" t="s">
        <v>4803</v>
      </c>
      <c r="AN432" s="478"/>
      <c r="AO432" s="478"/>
      <c r="AP432"/>
      <c r="AQ432"/>
      <c r="AR432"/>
      <c r="CE432"/>
      <c r="CG432"/>
      <c r="CI432"/>
      <c r="CJ432"/>
    </row>
    <row r="433" spans="1:88" s="420" customFormat="1" ht="15" customHeight="1" x14ac:dyDescent="0.2">
      <c r="A433">
        <v>432</v>
      </c>
      <c r="B433" t="s">
        <v>1448</v>
      </c>
      <c r="C433" t="s">
        <v>5801</v>
      </c>
      <c r="D433" t="s">
        <v>5802</v>
      </c>
      <c r="E433" t="s">
        <v>3541</v>
      </c>
      <c r="F433" t="s">
        <v>2079</v>
      </c>
      <c r="G433"/>
      <c r="H433" t="s">
        <v>2128</v>
      </c>
      <c r="I433" t="s">
        <v>5651</v>
      </c>
      <c r="J433" t="s">
        <v>1764</v>
      </c>
      <c r="K433" t="s">
        <v>5803</v>
      </c>
      <c r="L433" t="s">
        <v>5773</v>
      </c>
      <c r="M433" t="s">
        <v>5804</v>
      </c>
      <c r="N433" t="s">
        <v>5801</v>
      </c>
      <c r="O433" t="s">
        <v>2399</v>
      </c>
      <c r="P433" t="s">
        <v>5795</v>
      </c>
      <c r="Q433" t="s">
        <v>2204</v>
      </c>
      <c r="R433" t="s">
        <v>4776</v>
      </c>
      <c r="S433" t="s">
        <v>5776</v>
      </c>
      <c r="T433">
        <v>190.3</v>
      </c>
      <c r="U433"/>
      <c r="V433" t="s">
        <v>2255</v>
      </c>
      <c r="W433" t="s">
        <v>5777</v>
      </c>
      <c r="X433" t="s">
        <v>2122</v>
      </c>
      <c r="Y433" t="s">
        <v>2255</v>
      </c>
      <c r="Z433" t="s">
        <v>5777</v>
      </c>
      <c r="AA433" t="s">
        <v>2122</v>
      </c>
      <c r="AB433"/>
      <c r="AC433" t="s">
        <v>2123</v>
      </c>
      <c r="AD433" t="s">
        <v>2124</v>
      </c>
      <c r="AE433" t="s">
        <v>1758</v>
      </c>
      <c r="AF433" t="s">
        <v>3347</v>
      </c>
      <c r="AG433"/>
      <c r="AH433"/>
      <c r="AI433"/>
      <c r="AJ433"/>
      <c r="AK433" t="s">
        <v>2125</v>
      </c>
      <c r="AL433"/>
      <c r="AM433" t="s">
        <v>4803</v>
      </c>
      <c r="AN433" s="478"/>
      <c r="AO433" s="478"/>
      <c r="AP433"/>
      <c r="AQ433"/>
      <c r="AR433"/>
      <c r="CE433"/>
      <c r="CG433"/>
      <c r="CI433"/>
      <c r="CJ433"/>
    </row>
    <row r="434" spans="1:88" s="421" customFormat="1" ht="15" customHeight="1" x14ac:dyDescent="0.2">
      <c r="A434">
        <v>433</v>
      </c>
      <c r="B434" t="s">
        <v>1448</v>
      </c>
      <c r="C434" t="s">
        <v>5805</v>
      </c>
      <c r="D434" t="s">
        <v>5806</v>
      </c>
      <c r="E434" t="s">
        <v>3541</v>
      </c>
      <c r="F434" t="s">
        <v>2079</v>
      </c>
      <c r="G434"/>
      <c r="H434" t="s">
        <v>2128</v>
      </c>
      <c r="I434" t="s">
        <v>5651</v>
      </c>
      <c r="J434" t="s">
        <v>1764</v>
      </c>
      <c r="K434" t="s">
        <v>5807</v>
      </c>
      <c r="L434" t="s">
        <v>5773</v>
      </c>
      <c r="M434" t="s">
        <v>5808</v>
      </c>
      <c r="N434" t="s">
        <v>5805</v>
      </c>
      <c r="O434" t="s">
        <v>2399</v>
      </c>
      <c r="P434" t="s">
        <v>5775</v>
      </c>
      <c r="Q434" t="s">
        <v>2204</v>
      </c>
      <c r="R434" t="s">
        <v>4776</v>
      </c>
      <c r="S434" t="s">
        <v>5776</v>
      </c>
      <c r="T434">
        <v>190.3</v>
      </c>
      <c r="U434"/>
      <c r="V434" t="s">
        <v>2255</v>
      </c>
      <c r="W434" t="s">
        <v>5777</v>
      </c>
      <c r="X434" t="s">
        <v>2122</v>
      </c>
      <c r="Y434" t="s">
        <v>2255</v>
      </c>
      <c r="Z434" t="s">
        <v>5777</v>
      </c>
      <c r="AA434" t="s">
        <v>2122</v>
      </c>
      <c r="AB434"/>
      <c r="AC434" t="s">
        <v>2123</v>
      </c>
      <c r="AD434" t="s">
        <v>2124</v>
      </c>
      <c r="AE434" t="s">
        <v>1758</v>
      </c>
      <c r="AF434" t="s">
        <v>3347</v>
      </c>
      <c r="AG434"/>
      <c r="AH434"/>
      <c r="AI434"/>
      <c r="AJ434"/>
      <c r="AK434" t="s">
        <v>2125</v>
      </c>
      <c r="AL434"/>
      <c r="AM434" t="s">
        <v>4803</v>
      </c>
      <c r="AN434" s="478"/>
      <c r="AO434" s="478"/>
      <c r="AP434"/>
      <c r="AQ434"/>
      <c r="AR434"/>
      <c r="CE434"/>
      <c r="CG434"/>
      <c r="CI434"/>
      <c r="CJ434"/>
    </row>
    <row r="435" spans="1:88" s="420" customFormat="1" ht="15" customHeight="1" x14ac:dyDescent="0.2">
      <c r="A435">
        <v>434</v>
      </c>
      <c r="B435" t="s">
        <v>1448</v>
      </c>
      <c r="C435" t="s">
        <v>5809</v>
      </c>
      <c r="D435" t="s">
        <v>5810</v>
      </c>
      <c r="E435" t="s">
        <v>3541</v>
      </c>
      <c r="F435" t="s">
        <v>2079</v>
      </c>
      <c r="G435"/>
      <c r="H435" t="s">
        <v>2128</v>
      </c>
      <c r="I435" t="s">
        <v>5651</v>
      </c>
      <c r="J435" t="s">
        <v>1764</v>
      </c>
      <c r="K435" t="s">
        <v>5811</v>
      </c>
      <c r="L435" t="s">
        <v>5773</v>
      </c>
      <c r="M435" t="s">
        <v>5812</v>
      </c>
      <c r="N435" t="s">
        <v>5809</v>
      </c>
      <c r="O435" t="s">
        <v>2399</v>
      </c>
      <c r="P435" t="s">
        <v>5775</v>
      </c>
      <c r="Q435" t="s">
        <v>2204</v>
      </c>
      <c r="R435" t="s">
        <v>4776</v>
      </c>
      <c r="S435" t="s">
        <v>5776</v>
      </c>
      <c r="T435">
        <v>190.3</v>
      </c>
      <c r="U435"/>
      <c r="V435" t="s">
        <v>2255</v>
      </c>
      <c r="W435" t="s">
        <v>5777</v>
      </c>
      <c r="X435" t="s">
        <v>2122</v>
      </c>
      <c r="Y435" t="s">
        <v>2255</v>
      </c>
      <c r="Z435" t="s">
        <v>5777</v>
      </c>
      <c r="AA435" t="s">
        <v>2122</v>
      </c>
      <c r="AB435"/>
      <c r="AC435" t="s">
        <v>2123</v>
      </c>
      <c r="AD435" t="s">
        <v>2124</v>
      </c>
      <c r="AE435" t="s">
        <v>1758</v>
      </c>
      <c r="AF435" t="s">
        <v>3347</v>
      </c>
      <c r="AG435"/>
      <c r="AH435"/>
      <c r="AI435"/>
      <c r="AJ435"/>
      <c r="AK435" t="s">
        <v>2125</v>
      </c>
      <c r="AL435"/>
      <c r="AM435" t="s">
        <v>4803</v>
      </c>
      <c r="AN435" s="478"/>
      <c r="AO435" s="478"/>
      <c r="AP435"/>
      <c r="AQ435"/>
      <c r="AR435"/>
      <c r="CE435"/>
      <c r="CG435"/>
      <c r="CI435"/>
      <c r="CJ435"/>
    </row>
    <row r="436" spans="1:88" s="421" customFormat="1" ht="15" customHeight="1" x14ac:dyDescent="0.2">
      <c r="A436">
        <v>435</v>
      </c>
      <c r="B436" t="s">
        <v>1448</v>
      </c>
      <c r="C436" t="s">
        <v>5813</v>
      </c>
      <c r="D436" t="s">
        <v>5814</v>
      </c>
      <c r="E436" t="s">
        <v>3541</v>
      </c>
      <c r="F436" t="s">
        <v>2079</v>
      </c>
      <c r="G436"/>
      <c r="H436" t="s">
        <v>2128</v>
      </c>
      <c r="I436" t="s">
        <v>5651</v>
      </c>
      <c r="J436" t="s">
        <v>1764</v>
      </c>
      <c r="K436" t="s">
        <v>5815</v>
      </c>
      <c r="L436" t="s">
        <v>5773</v>
      </c>
      <c r="M436" t="s">
        <v>5816</v>
      </c>
      <c r="N436" t="s">
        <v>5813</v>
      </c>
      <c r="O436" t="s">
        <v>2399</v>
      </c>
      <c r="P436" t="s">
        <v>5817</v>
      </c>
      <c r="Q436" t="s">
        <v>2204</v>
      </c>
      <c r="R436" t="s">
        <v>4776</v>
      </c>
      <c r="S436" t="s">
        <v>5776</v>
      </c>
      <c r="T436">
        <v>190.3</v>
      </c>
      <c r="U436"/>
      <c r="V436" t="s">
        <v>2255</v>
      </c>
      <c r="W436" t="s">
        <v>5777</v>
      </c>
      <c r="X436" t="s">
        <v>2122</v>
      </c>
      <c r="Y436" t="s">
        <v>2255</v>
      </c>
      <c r="Z436" t="s">
        <v>5777</v>
      </c>
      <c r="AA436" t="s">
        <v>2122</v>
      </c>
      <c r="AB436"/>
      <c r="AC436" t="s">
        <v>2123</v>
      </c>
      <c r="AD436" t="s">
        <v>2124</v>
      </c>
      <c r="AE436" t="s">
        <v>1758</v>
      </c>
      <c r="AF436" t="s">
        <v>3347</v>
      </c>
      <c r="AG436"/>
      <c r="AH436"/>
      <c r="AI436"/>
      <c r="AJ436"/>
      <c r="AK436" t="s">
        <v>2125</v>
      </c>
      <c r="AL436"/>
      <c r="AM436" t="s">
        <v>4803</v>
      </c>
      <c r="AN436" s="478"/>
      <c r="AO436" s="478"/>
      <c r="AP436"/>
      <c r="AQ436"/>
      <c r="AR436"/>
      <c r="CE436"/>
      <c r="CG436"/>
      <c r="CI436"/>
      <c r="CJ436"/>
    </row>
    <row r="437" spans="1:88" s="420" customFormat="1" ht="15" customHeight="1" x14ac:dyDescent="0.2">
      <c r="A437">
        <v>436</v>
      </c>
      <c r="B437" t="s">
        <v>1448</v>
      </c>
      <c r="C437" t="s">
        <v>5818</v>
      </c>
      <c r="D437" t="s">
        <v>5819</v>
      </c>
      <c r="E437" t="s">
        <v>3541</v>
      </c>
      <c r="F437" t="s">
        <v>2079</v>
      </c>
      <c r="G437"/>
      <c r="H437" t="s">
        <v>2128</v>
      </c>
      <c r="I437" t="s">
        <v>5651</v>
      </c>
      <c r="J437" t="s">
        <v>1764</v>
      </c>
      <c r="K437" t="s">
        <v>5820</v>
      </c>
      <c r="L437" t="s">
        <v>5773</v>
      </c>
      <c r="M437" t="s">
        <v>5821</v>
      </c>
      <c r="N437" t="s">
        <v>5818</v>
      </c>
      <c r="O437" t="s">
        <v>2399</v>
      </c>
      <c r="P437" t="s">
        <v>5822</v>
      </c>
      <c r="Q437" t="s">
        <v>2204</v>
      </c>
      <c r="R437" t="s">
        <v>4776</v>
      </c>
      <c r="S437" t="s">
        <v>5776</v>
      </c>
      <c r="T437">
        <v>190.3</v>
      </c>
      <c r="U437"/>
      <c r="V437" t="s">
        <v>2255</v>
      </c>
      <c r="W437" t="s">
        <v>5777</v>
      </c>
      <c r="X437" t="s">
        <v>2122</v>
      </c>
      <c r="Y437" t="s">
        <v>2255</v>
      </c>
      <c r="Z437" t="s">
        <v>5777</v>
      </c>
      <c r="AA437" t="s">
        <v>2122</v>
      </c>
      <c r="AB437"/>
      <c r="AC437" t="s">
        <v>2123</v>
      </c>
      <c r="AD437" t="s">
        <v>2124</v>
      </c>
      <c r="AE437" t="s">
        <v>1758</v>
      </c>
      <c r="AF437" t="s">
        <v>3347</v>
      </c>
      <c r="AG437"/>
      <c r="AH437"/>
      <c r="AI437"/>
      <c r="AJ437"/>
      <c r="AK437" t="s">
        <v>2125</v>
      </c>
      <c r="AL437"/>
      <c r="AM437" t="s">
        <v>4803</v>
      </c>
      <c r="AN437" s="478"/>
      <c r="AO437" s="478"/>
      <c r="AP437"/>
      <c r="AQ437"/>
      <c r="AR437"/>
      <c r="CE437"/>
      <c r="CG437"/>
      <c r="CI437"/>
      <c r="CJ437"/>
    </row>
    <row r="438" spans="1:88" s="421" customFormat="1" ht="15" customHeight="1" x14ac:dyDescent="0.2">
      <c r="A438">
        <v>437</v>
      </c>
      <c r="B438" t="s">
        <v>1448</v>
      </c>
      <c r="C438" t="s">
        <v>5823</v>
      </c>
      <c r="D438" t="s">
        <v>5824</v>
      </c>
      <c r="E438" t="s">
        <v>3541</v>
      </c>
      <c r="F438" t="s">
        <v>2079</v>
      </c>
      <c r="G438"/>
      <c r="H438" t="s">
        <v>2128</v>
      </c>
      <c r="I438" t="s">
        <v>5651</v>
      </c>
      <c r="J438" t="s">
        <v>1764</v>
      </c>
      <c r="K438" t="s">
        <v>5825</v>
      </c>
      <c r="L438" t="s">
        <v>5773</v>
      </c>
      <c r="M438" t="s">
        <v>5826</v>
      </c>
      <c r="N438" t="s">
        <v>5823</v>
      </c>
      <c r="O438" t="s">
        <v>2399</v>
      </c>
      <c r="P438" t="s">
        <v>5822</v>
      </c>
      <c r="Q438" t="s">
        <v>2204</v>
      </c>
      <c r="R438" t="s">
        <v>4776</v>
      </c>
      <c r="S438" t="s">
        <v>5776</v>
      </c>
      <c r="T438">
        <v>190.3</v>
      </c>
      <c r="U438"/>
      <c r="V438" t="s">
        <v>2255</v>
      </c>
      <c r="W438" t="s">
        <v>5777</v>
      </c>
      <c r="X438" t="s">
        <v>2122</v>
      </c>
      <c r="Y438" t="s">
        <v>2255</v>
      </c>
      <c r="Z438" t="s">
        <v>5777</v>
      </c>
      <c r="AA438" t="s">
        <v>2122</v>
      </c>
      <c r="AB438"/>
      <c r="AC438" t="s">
        <v>2123</v>
      </c>
      <c r="AD438" t="s">
        <v>2124</v>
      </c>
      <c r="AE438" t="s">
        <v>1758</v>
      </c>
      <c r="AF438" t="s">
        <v>3347</v>
      </c>
      <c r="AG438"/>
      <c r="AH438"/>
      <c r="AI438"/>
      <c r="AJ438"/>
      <c r="AK438" t="s">
        <v>2125</v>
      </c>
      <c r="AL438"/>
      <c r="AM438" t="s">
        <v>4803</v>
      </c>
      <c r="AN438" s="478"/>
      <c r="AO438" s="478"/>
      <c r="AP438"/>
      <c r="AQ438"/>
      <c r="AR438"/>
      <c r="CE438"/>
      <c r="CG438"/>
      <c r="CI438"/>
      <c r="CJ438"/>
    </row>
    <row r="439" spans="1:88" ht="15" customHeight="1" x14ac:dyDescent="0.2">
      <c r="A439">
        <v>438</v>
      </c>
      <c r="B439" t="s">
        <v>1448</v>
      </c>
      <c r="C439" t="s">
        <v>5827</v>
      </c>
      <c r="D439" t="s">
        <v>5828</v>
      </c>
      <c r="E439" t="s">
        <v>3541</v>
      </c>
      <c r="F439" t="s">
        <v>2079</v>
      </c>
      <c r="H439" t="s">
        <v>2128</v>
      </c>
      <c r="I439" t="s">
        <v>5651</v>
      </c>
      <c r="J439" t="s">
        <v>1764</v>
      </c>
      <c r="K439" t="s">
        <v>5829</v>
      </c>
      <c r="L439" t="s">
        <v>5773</v>
      </c>
      <c r="M439" t="s">
        <v>5830</v>
      </c>
      <c r="N439" t="s">
        <v>5827</v>
      </c>
      <c r="O439" t="s">
        <v>2399</v>
      </c>
      <c r="P439" t="s">
        <v>5831</v>
      </c>
      <c r="Q439" t="s">
        <v>2204</v>
      </c>
      <c r="R439" t="s">
        <v>4776</v>
      </c>
      <c r="S439" t="s">
        <v>5776</v>
      </c>
      <c r="T439">
        <v>190.3</v>
      </c>
      <c r="V439" t="s">
        <v>2255</v>
      </c>
      <c r="W439" t="s">
        <v>5777</v>
      </c>
      <c r="X439" t="s">
        <v>2122</v>
      </c>
      <c r="Y439" t="s">
        <v>2255</v>
      </c>
      <c r="Z439" t="s">
        <v>5777</v>
      </c>
      <c r="AA439" t="s">
        <v>2122</v>
      </c>
      <c r="AC439" t="s">
        <v>2123</v>
      </c>
      <c r="AD439" t="s">
        <v>2124</v>
      </c>
      <c r="AE439" t="s">
        <v>1758</v>
      </c>
      <c r="AF439" t="s">
        <v>3347</v>
      </c>
      <c r="AK439" t="s">
        <v>2125</v>
      </c>
      <c r="AM439" t="s">
        <v>4803</v>
      </c>
      <c r="AN439" s="478"/>
      <c r="AO439" s="478"/>
    </row>
    <row r="440" spans="1:88" s="421" customFormat="1" ht="15" customHeight="1" x14ac:dyDescent="0.2">
      <c r="A440">
        <v>439</v>
      </c>
      <c r="B440" t="s">
        <v>1448</v>
      </c>
      <c r="C440" t="s">
        <v>5832</v>
      </c>
      <c r="D440" t="s">
        <v>5833</v>
      </c>
      <c r="E440" t="s">
        <v>3541</v>
      </c>
      <c r="F440" t="s">
        <v>2079</v>
      </c>
      <c r="G440"/>
      <c r="H440" t="s">
        <v>2128</v>
      </c>
      <c r="I440" t="s">
        <v>5651</v>
      </c>
      <c r="J440" t="s">
        <v>1764</v>
      </c>
      <c r="K440" t="s">
        <v>5834</v>
      </c>
      <c r="L440" t="s">
        <v>5773</v>
      </c>
      <c r="M440" t="s">
        <v>5835</v>
      </c>
      <c r="N440" t="s">
        <v>5832</v>
      </c>
      <c r="O440" t="s">
        <v>2399</v>
      </c>
      <c r="P440" t="s">
        <v>5836</v>
      </c>
      <c r="Q440" t="s">
        <v>2204</v>
      </c>
      <c r="R440" t="s">
        <v>4776</v>
      </c>
      <c r="S440" t="s">
        <v>5776</v>
      </c>
      <c r="T440">
        <v>190.3</v>
      </c>
      <c r="U440"/>
      <c r="V440" t="s">
        <v>2255</v>
      </c>
      <c r="W440" t="s">
        <v>5777</v>
      </c>
      <c r="X440" t="s">
        <v>2122</v>
      </c>
      <c r="Y440" t="s">
        <v>2255</v>
      </c>
      <c r="Z440" t="s">
        <v>5777</v>
      </c>
      <c r="AA440" t="s">
        <v>2122</v>
      </c>
      <c r="AB440"/>
      <c r="AC440" t="s">
        <v>2123</v>
      </c>
      <c r="AD440" t="s">
        <v>2124</v>
      </c>
      <c r="AE440" t="s">
        <v>1758</v>
      </c>
      <c r="AF440" t="s">
        <v>3347</v>
      </c>
      <c r="AG440"/>
      <c r="AH440"/>
      <c r="AI440"/>
      <c r="AJ440"/>
      <c r="AK440" t="s">
        <v>2125</v>
      </c>
      <c r="AL440"/>
      <c r="AM440" t="s">
        <v>4803</v>
      </c>
      <c r="AN440" s="478"/>
      <c r="AO440" s="478"/>
      <c r="AP440"/>
      <c r="AQ440"/>
      <c r="AR440"/>
      <c r="CE440"/>
      <c r="CG440"/>
      <c r="CI440"/>
      <c r="CJ440"/>
    </row>
    <row r="441" spans="1:88" s="420" customFormat="1" ht="15" customHeight="1" x14ac:dyDescent="0.2">
      <c r="A441">
        <v>440</v>
      </c>
      <c r="B441" t="s">
        <v>1456</v>
      </c>
      <c r="C441">
        <v>330735</v>
      </c>
      <c r="D441" t="s">
        <v>4797</v>
      </c>
      <c r="E441" t="s">
        <v>4798</v>
      </c>
      <c r="F441" t="s">
        <v>2045</v>
      </c>
      <c r="G441" t="s">
        <v>34</v>
      </c>
      <c r="H441" t="s">
        <v>2128</v>
      </c>
      <c r="I441" t="s">
        <v>5651</v>
      </c>
      <c r="J441" t="s">
        <v>2740</v>
      </c>
      <c r="K441" t="s">
        <v>1060</v>
      </c>
      <c r="L441" t="s">
        <v>2785</v>
      </c>
      <c r="M441">
        <v>330735</v>
      </c>
      <c r="N441">
        <v>330735</v>
      </c>
      <c r="O441" t="s">
        <v>904</v>
      </c>
      <c r="P441" t="s">
        <v>2194</v>
      </c>
      <c r="Q441" t="s">
        <v>2201</v>
      </c>
      <c r="R441" t="s">
        <v>2185</v>
      </c>
      <c r="S441" t="s">
        <v>2786</v>
      </c>
      <c r="T441">
        <v>8</v>
      </c>
      <c r="U441" t="s">
        <v>1947</v>
      </c>
      <c r="V441" t="s">
        <v>5459</v>
      </c>
      <c r="W441" t="s">
        <v>5460</v>
      </c>
      <c r="X441" t="s">
        <v>2122</v>
      </c>
      <c r="Y441" t="s">
        <v>5461</v>
      </c>
      <c r="Z441" t="s">
        <v>4376</v>
      </c>
      <c r="AA441" t="s">
        <v>2122</v>
      </c>
      <c r="AB441" t="s">
        <v>34</v>
      </c>
      <c r="AC441" t="s">
        <v>2123</v>
      </c>
      <c r="AD441" t="s">
        <v>2124</v>
      </c>
      <c r="AE441" t="s">
        <v>1758</v>
      </c>
      <c r="AF441">
        <v>0.5</v>
      </c>
      <c r="AG441">
        <v>15</v>
      </c>
      <c r="AH441" t="s">
        <v>34</v>
      </c>
      <c r="AI441" t="s">
        <v>34</v>
      </c>
      <c r="AJ441" t="s">
        <v>34</v>
      </c>
      <c r="AK441" t="s">
        <v>2125</v>
      </c>
      <c r="AL441" t="s">
        <v>34</v>
      </c>
      <c r="AM441" t="s">
        <v>4803</v>
      </c>
      <c r="AN441" s="478"/>
      <c r="AO441" s="478"/>
      <c r="AP441"/>
      <c r="AQ441"/>
      <c r="AR441"/>
      <c r="CE441"/>
      <c r="CG441"/>
      <c r="CI441"/>
      <c r="CJ441"/>
    </row>
    <row r="442" spans="1:88" s="421" customFormat="1" ht="15" customHeight="1" x14ac:dyDescent="0.2">
      <c r="A442">
        <v>441</v>
      </c>
      <c r="B442" t="s">
        <v>1456</v>
      </c>
      <c r="C442" t="s">
        <v>1843</v>
      </c>
      <c r="D442" t="s">
        <v>5035</v>
      </c>
      <c r="E442" t="s">
        <v>2080</v>
      </c>
      <c r="F442" t="s">
        <v>2010</v>
      </c>
      <c r="G442" t="s">
        <v>34</v>
      </c>
      <c r="H442" t="s">
        <v>2128</v>
      </c>
      <c r="I442" t="s">
        <v>5651</v>
      </c>
      <c r="J442" t="s">
        <v>1764</v>
      </c>
      <c r="K442" t="s">
        <v>1843</v>
      </c>
      <c r="L442" t="s">
        <v>5036</v>
      </c>
      <c r="M442" t="s">
        <v>2782</v>
      </c>
      <c r="N442" t="s">
        <v>1843</v>
      </c>
      <c r="O442" t="s">
        <v>2399</v>
      </c>
      <c r="P442" t="s">
        <v>5037</v>
      </c>
      <c r="Q442" t="s">
        <v>2204</v>
      </c>
      <c r="R442" t="s">
        <v>4497</v>
      </c>
      <c r="S442" t="s">
        <v>3485</v>
      </c>
      <c r="T442">
        <v>19.28</v>
      </c>
      <c r="U442" t="s">
        <v>1947</v>
      </c>
      <c r="V442" t="s">
        <v>2196</v>
      </c>
      <c r="W442" t="s">
        <v>5038</v>
      </c>
      <c r="X442" t="s">
        <v>2122</v>
      </c>
      <c r="Y442" t="s">
        <v>2196</v>
      </c>
      <c r="Z442" t="s">
        <v>5038</v>
      </c>
      <c r="AA442" t="s">
        <v>2122</v>
      </c>
      <c r="AB442" t="s">
        <v>34</v>
      </c>
      <c r="AC442" t="s">
        <v>2123</v>
      </c>
      <c r="AD442" t="s">
        <v>4501</v>
      </c>
      <c r="AE442" t="s">
        <v>1758</v>
      </c>
      <c r="AF442" t="s">
        <v>3347</v>
      </c>
      <c r="AG442" t="s">
        <v>34</v>
      </c>
      <c r="AH442" t="s">
        <v>34</v>
      </c>
      <c r="AI442" t="s">
        <v>34</v>
      </c>
      <c r="AJ442" t="s">
        <v>34</v>
      </c>
      <c r="AK442" t="s">
        <v>2125</v>
      </c>
      <c r="AL442" t="s">
        <v>34</v>
      </c>
      <c r="AM442" t="s">
        <v>4804</v>
      </c>
      <c r="AN442" s="478">
        <v>0</v>
      </c>
      <c r="AO442" s="478">
        <v>0</v>
      </c>
      <c r="AP442"/>
      <c r="AQ442"/>
      <c r="AR442"/>
      <c r="CE442"/>
      <c r="CG442"/>
      <c r="CI442"/>
      <c r="CJ442"/>
    </row>
    <row r="443" spans="1:88" s="420" customFormat="1" ht="15" customHeight="1" x14ac:dyDescent="0.2">
      <c r="A443">
        <v>442</v>
      </c>
      <c r="B443" t="s">
        <v>1456</v>
      </c>
      <c r="C443" t="s">
        <v>1464</v>
      </c>
      <c r="D443" t="s">
        <v>4235</v>
      </c>
      <c r="E443" t="s">
        <v>2080</v>
      </c>
      <c r="F443" t="s">
        <v>2010</v>
      </c>
      <c r="G443" t="s">
        <v>34</v>
      </c>
      <c r="H443" t="s">
        <v>2128</v>
      </c>
      <c r="I443" t="s">
        <v>5651</v>
      </c>
      <c r="J443" t="s">
        <v>1764</v>
      </c>
      <c r="K443" t="s">
        <v>3415</v>
      </c>
      <c r="L443" t="s">
        <v>3416</v>
      </c>
      <c r="M443" t="s">
        <v>3417</v>
      </c>
      <c r="N443" t="s">
        <v>1866</v>
      </c>
      <c r="O443" t="s">
        <v>109</v>
      </c>
      <c r="P443" t="s">
        <v>3559</v>
      </c>
      <c r="Q443" t="s">
        <v>3559</v>
      </c>
      <c r="R443" t="s">
        <v>2185</v>
      </c>
      <c r="S443" t="s">
        <v>3560</v>
      </c>
      <c r="T443">
        <v>13.6</v>
      </c>
      <c r="U443" t="s">
        <v>1947</v>
      </c>
      <c r="V443" t="s">
        <v>2388</v>
      </c>
      <c r="W443" t="s">
        <v>3417</v>
      </c>
      <c r="X443">
        <v>0</v>
      </c>
      <c r="Y443">
        <v>0</v>
      </c>
      <c r="Z443">
        <v>0</v>
      </c>
      <c r="AA443">
        <v>0</v>
      </c>
      <c r="AB443" t="s">
        <v>34</v>
      </c>
      <c r="AC443" t="s">
        <v>109</v>
      </c>
      <c r="AD443">
        <v>0</v>
      </c>
      <c r="AE443" t="s">
        <v>1758</v>
      </c>
      <c r="AF443" t="s">
        <v>34</v>
      </c>
      <c r="AG443" t="s">
        <v>34</v>
      </c>
      <c r="AH443" t="s">
        <v>34</v>
      </c>
      <c r="AI443" t="s">
        <v>34</v>
      </c>
      <c r="AJ443" t="s">
        <v>34</v>
      </c>
      <c r="AK443" t="s">
        <v>2125</v>
      </c>
      <c r="AL443" t="s">
        <v>34</v>
      </c>
      <c r="AM443" t="s">
        <v>4820</v>
      </c>
      <c r="AN443" s="478">
        <v>0</v>
      </c>
      <c r="AO443" s="478">
        <v>0</v>
      </c>
      <c r="AP443"/>
      <c r="AQ443"/>
      <c r="AR443"/>
      <c r="CE443"/>
      <c r="CG443"/>
      <c r="CI443"/>
      <c r="CJ443"/>
    </row>
    <row r="444" spans="1:88" s="421" customFormat="1" ht="15" customHeight="1" x14ac:dyDescent="0.2">
      <c r="A444">
        <v>443</v>
      </c>
      <c r="B444" t="s">
        <v>1456</v>
      </c>
      <c r="C444" t="s">
        <v>4887</v>
      </c>
      <c r="D444" t="s">
        <v>4888</v>
      </c>
      <c r="E444" t="s">
        <v>2080</v>
      </c>
      <c r="F444" t="s">
        <v>2010</v>
      </c>
      <c r="G444" t="s">
        <v>34</v>
      </c>
      <c r="H444" t="s">
        <v>2128</v>
      </c>
      <c r="I444" t="s">
        <v>5651</v>
      </c>
      <c r="J444" t="s">
        <v>1764</v>
      </c>
      <c r="K444" t="s">
        <v>2305</v>
      </c>
      <c r="L444" t="s">
        <v>3407</v>
      </c>
      <c r="M444" t="s">
        <v>3408</v>
      </c>
      <c r="N444" t="s">
        <v>4887</v>
      </c>
      <c r="O444" t="s">
        <v>109</v>
      </c>
      <c r="P444" t="s">
        <v>5462</v>
      </c>
      <c r="Q444" t="s">
        <v>5462</v>
      </c>
      <c r="R444" t="s">
        <v>2185</v>
      </c>
      <c r="S444" t="s">
        <v>3556</v>
      </c>
      <c r="T444">
        <v>136</v>
      </c>
      <c r="U444" t="s">
        <v>1947</v>
      </c>
      <c r="V444" t="s">
        <v>2388</v>
      </c>
      <c r="W444" t="s">
        <v>3408</v>
      </c>
      <c r="X444" t="s">
        <v>3011</v>
      </c>
      <c r="Y444" t="s">
        <v>4844</v>
      </c>
      <c r="Z444" t="s">
        <v>4845</v>
      </c>
      <c r="AA444" t="s">
        <v>5463</v>
      </c>
      <c r="AB444" t="s">
        <v>4846</v>
      </c>
      <c r="AC444" t="s">
        <v>2123</v>
      </c>
      <c r="AD444" t="s">
        <v>2124</v>
      </c>
      <c r="AE444" t="s">
        <v>1758</v>
      </c>
      <c r="AF444" t="s">
        <v>34</v>
      </c>
      <c r="AG444" t="s">
        <v>34</v>
      </c>
      <c r="AH444" t="s">
        <v>34</v>
      </c>
      <c r="AI444" t="s">
        <v>34</v>
      </c>
      <c r="AJ444" t="s">
        <v>34</v>
      </c>
      <c r="AK444" t="s">
        <v>2125</v>
      </c>
      <c r="AL444" t="s">
        <v>34</v>
      </c>
      <c r="AM444" t="s">
        <v>4820</v>
      </c>
      <c r="AN444" s="478"/>
      <c r="AO444" s="478"/>
      <c r="AP444"/>
      <c r="AQ444"/>
      <c r="AR444"/>
      <c r="CE444"/>
      <c r="CG444"/>
      <c r="CI444"/>
      <c r="CJ444"/>
    </row>
    <row r="445" spans="1:88" s="420" customFormat="1" ht="15" customHeight="1" x14ac:dyDescent="0.2">
      <c r="A445">
        <v>444</v>
      </c>
      <c r="B445" t="s">
        <v>1456</v>
      </c>
      <c r="C445" t="s">
        <v>5464</v>
      </c>
      <c r="D445" t="s">
        <v>5465</v>
      </c>
      <c r="E445" t="s">
        <v>2080</v>
      </c>
      <c r="F445" t="s">
        <v>2010</v>
      </c>
      <c r="G445" t="s">
        <v>34</v>
      </c>
      <c r="H445" t="s">
        <v>2128</v>
      </c>
      <c r="I445" t="s">
        <v>5651</v>
      </c>
      <c r="J445" t="s">
        <v>1764</v>
      </c>
      <c r="K445" t="s">
        <v>1464</v>
      </c>
      <c r="L445" t="s">
        <v>5466</v>
      </c>
      <c r="M445" t="s">
        <v>5467</v>
      </c>
      <c r="N445" t="s">
        <v>5464</v>
      </c>
      <c r="O445" t="s">
        <v>109</v>
      </c>
      <c r="P445" t="s">
        <v>3559</v>
      </c>
      <c r="Q445" t="s">
        <v>3559</v>
      </c>
      <c r="R445" t="s">
        <v>2185</v>
      </c>
      <c r="S445" t="s">
        <v>5468</v>
      </c>
      <c r="T445">
        <v>56.25</v>
      </c>
      <c r="U445" t="s">
        <v>1947</v>
      </c>
      <c r="V445" t="s">
        <v>5469</v>
      </c>
      <c r="W445" t="s">
        <v>5470</v>
      </c>
      <c r="X445" t="s">
        <v>2738</v>
      </c>
      <c r="Y445" t="s">
        <v>5104</v>
      </c>
      <c r="Z445" t="s">
        <v>4903</v>
      </c>
      <c r="AA445" t="s">
        <v>5105</v>
      </c>
      <c r="AB445" t="s">
        <v>3406</v>
      </c>
      <c r="AC445" t="s">
        <v>2123</v>
      </c>
      <c r="AD445" t="s">
        <v>5471</v>
      </c>
      <c r="AE445" t="s">
        <v>1758</v>
      </c>
      <c r="AF445" t="s">
        <v>4382</v>
      </c>
      <c r="AG445" t="s">
        <v>34</v>
      </c>
      <c r="AH445" t="s">
        <v>34</v>
      </c>
      <c r="AI445" t="s">
        <v>34</v>
      </c>
      <c r="AJ445" t="s">
        <v>34</v>
      </c>
      <c r="AK445" t="s">
        <v>2125</v>
      </c>
      <c r="AL445" t="s">
        <v>34</v>
      </c>
      <c r="AM445" t="s">
        <v>4820</v>
      </c>
      <c r="AN445" s="478">
        <v>0</v>
      </c>
      <c r="AO445" s="478">
        <v>0</v>
      </c>
      <c r="AP445"/>
      <c r="AQ445"/>
      <c r="AR445"/>
      <c r="CE445"/>
      <c r="CG445"/>
      <c r="CI445"/>
      <c r="CJ445"/>
    </row>
    <row r="446" spans="1:88" s="421" customFormat="1" ht="15" customHeight="1" x14ac:dyDescent="0.2">
      <c r="A446">
        <v>445</v>
      </c>
      <c r="B446" t="s">
        <v>1456</v>
      </c>
      <c r="C446" t="s">
        <v>1276</v>
      </c>
      <c r="D446" t="s">
        <v>5106</v>
      </c>
      <c r="E446" t="s">
        <v>2080</v>
      </c>
      <c r="F446" t="s">
        <v>2010</v>
      </c>
      <c r="G446" t="s">
        <v>34</v>
      </c>
      <c r="H446" t="s">
        <v>2128</v>
      </c>
      <c r="I446" t="s">
        <v>5651</v>
      </c>
      <c r="J446" t="s">
        <v>1764</v>
      </c>
      <c r="K446" t="s">
        <v>2305</v>
      </c>
      <c r="L446" t="s">
        <v>3410</v>
      </c>
      <c r="M446" t="s">
        <v>3411</v>
      </c>
      <c r="N446" t="s">
        <v>1276</v>
      </c>
      <c r="O446" t="s">
        <v>109</v>
      </c>
      <c r="P446" t="s">
        <v>3553</v>
      </c>
      <c r="Q446" t="s">
        <v>3553</v>
      </c>
      <c r="R446" t="s">
        <v>2185</v>
      </c>
      <c r="S446" t="s">
        <v>3557</v>
      </c>
      <c r="T446">
        <v>19.600000000000001</v>
      </c>
      <c r="U446" t="s">
        <v>1947</v>
      </c>
      <c r="V446" t="s">
        <v>2388</v>
      </c>
      <c r="W446" t="s">
        <v>3411</v>
      </c>
      <c r="X446" t="s">
        <v>2738</v>
      </c>
      <c r="Y446" t="s">
        <v>5104</v>
      </c>
      <c r="Z446" t="s">
        <v>4376</v>
      </c>
      <c r="AA446" t="s">
        <v>5105</v>
      </c>
      <c r="AB446" t="s">
        <v>3406</v>
      </c>
      <c r="AC446" t="s">
        <v>2123</v>
      </c>
      <c r="AD446" t="s">
        <v>2124</v>
      </c>
      <c r="AE446" t="s">
        <v>1758</v>
      </c>
      <c r="AF446" t="s">
        <v>34</v>
      </c>
      <c r="AG446" t="s">
        <v>34</v>
      </c>
      <c r="AH446" t="s">
        <v>34</v>
      </c>
      <c r="AI446" t="s">
        <v>34</v>
      </c>
      <c r="AJ446" t="s">
        <v>34</v>
      </c>
      <c r="AK446" t="s">
        <v>2125</v>
      </c>
      <c r="AL446" t="s">
        <v>34</v>
      </c>
      <c r="AM446" t="s">
        <v>4820</v>
      </c>
      <c r="AN446" s="478">
        <v>0</v>
      </c>
      <c r="AO446" s="478">
        <v>0</v>
      </c>
      <c r="AP446"/>
      <c r="AQ446"/>
      <c r="AR446"/>
      <c r="CE446"/>
      <c r="CG446"/>
      <c r="CI446"/>
      <c r="CJ446"/>
    </row>
    <row r="447" spans="1:88" s="420" customFormat="1" ht="15" customHeight="1" x14ac:dyDescent="0.2">
      <c r="A447">
        <v>446</v>
      </c>
      <c r="B447" t="s">
        <v>1456</v>
      </c>
      <c r="C447" t="s">
        <v>1466</v>
      </c>
      <c r="D447" t="s">
        <v>4236</v>
      </c>
      <c r="E447" t="s">
        <v>2080</v>
      </c>
      <c r="F447" t="s">
        <v>2010</v>
      </c>
      <c r="G447" t="s">
        <v>34</v>
      </c>
      <c r="H447" t="s">
        <v>2128</v>
      </c>
      <c r="I447" t="s">
        <v>5651</v>
      </c>
      <c r="J447" t="s">
        <v>1764</v>
      </c>
      <c r="K447" t="s">
        <v>2305</v>
      </c>
      <c r="L447" t="s">
        <v>3412</v>
      </c>
      <c r="M447" t="s">
        <v>3413</v>
      </c>
      <c r="N447" t="s">
        <v>1466</v>
      </c>
      <c r="O447" t="s">
        <v>109</v>
      </c>
      <c r="P447" t="s">
        <v>3553</v>
      </c>
      <c r="Q447" t="s">
        <v>3553</v>
      </c>
      <c r="R447" t="s">
        <v>2185</v>
      </c>
      <c r="S447" t="s">
        <v>3558</v>
      </c>
      <c r="T447">
        <v>19.899999999999999</v>
      </c>
      <c r="U447" t="s">
        <v>1947</v>
      </c>
      <c r="V447" t="s">
        <v>2388</v>
      </c>
      <c r="W447" t="s">
        <v>3414</v>
      </c>
      <c r="X447" t="s">
        <v>2738</v>
      </c>
      <c r="Y447" t="s">
        <v>4393</v>
      </c>
      <c r="Z447" t="s">
        <v>4376</v>
      </c>
      <c r="AA447" t="s">
        <v>3405</v>
      </c>
      <c r="AB447" t="s">
        <v>3409</v>
      </c>
      <c r="AC447" t="s">
        <v>2123</v>
      </c>
      <c r="AD447" t="s">
        <v>2124</v>
      </c>
      <c r="AE447" t="s">
        <v>1758</v>
      </c>
      <c r="AF447" t="s">
        <v>34</v>
      </c>
      <c r="AG447" t="s">
        <v>34</v>
      </c>
      <c r="AH447" t="s">
        <v>34</v>
      </c>
      <c r="AI447" t="s">
        <v>34</v>
      </c>
      <c r="AJ447" t="s">
        <v>34</v>
      </c>
      <c r="AK447" t="s">
        <v>2125</v>
      </c>
      <c r="AL447" t="s">
        <v>34</v>
      </c>
      <c r="AM447" t="s">
        <v>4820</v>
      </c>
      <c r="AN447" s="478">
        <v>0</v>
      </c>
      <c r="AO447" s="478">
        <v>0</v>
      </c>
      <c r="AP447"/>
      <c r="AQ447"/>
      <c r="AR447"/>
      <c r="CE447"/>
      <c r="CG447"/>
      <c r="CI447"/>
      <c r="CJ447"/>
    </row>
    <row r="448" spans="1:88" s="421" customFormat="1" ht="15" customHeight="1" x14ac:dyDescent="0.2">
      <c r="A448">
        <v>447</v>
      </c>
      <c r="B448" t="s">
        <v>1456</v>
      </c>
      <c r="C448" t="s">
        <v>1472</v>
      </c>
      <c r="D448" t="s">
        <v>4237</v>
      </c>
      <c r="E448" t="s">
        <v>2080</v>
      </c>
      <c r="F448" t="s">
        <v>2010</v>
      </c>
      <c r="G448" t="s">
        <v>34</v>
      </c>
      <c r="H448" t="s">
        <v>2128</v>
      </c>
      <c r="I448" t="s">
        <v>5651</v>
      </c>
      <c r="J448" t="s">
        <v>1764</v>
      </c>
      <c r="K448" t="s">
        <v>1464</v>
      </c>
      <c r="L448" t="s">
        <v>3398</v>
      </c>
      <c r="M448" t="s">
        <v>3399</v>
      </c>
      <c r="N448" t="s">
        <v>1472</v>
      </c>
      <c r="O448" t="s">
        <v>2399</v>
      </c>
      <c r="P448" t="s">
        <v>3553</v>
      </c>
      <c r="Q448" t="s">
        <v>3553</v>
      </c>
      <c r="R448" t="s">
        <v>2185</v>
      </c>
      <c r="S448" t="s">
        <v>3554</v>
      </c>
      <c r="T448">
        <v>34.9</v>
      </c>
      <c r="U448" t="s">
        <v>1947</v>
      </c>
      <c r="V448" t="s">
        <v>3400</v>
      </c>
      <c r="W448" t="s">
        <v>3401</v>
      </c>
      <c r="X448" t="s">
        <v>3011</v>
      </c>
      <c r="Y448" t="s">
        <v>3397</v>
      </c>
      <c r="Z448" t="s">
        <v>3402</v>
      </c>
      <c r="AA448" t="s">
        <v>2201</v>
      </c>
      <c r="AB448" t="s">
        <v>3403</v>
      </c>
      <c r="AC448" t="s">
        <v>2123</v>
      </c>
      <c r="AD448" t="s">
        <v>2124</v>
      </c>
      <c r="AE448" t="s">
        <v>1758</v>
      </c>
      <c r="AF448" t="s">
        <v>34</v>
      </c>
      <c r="AG448" t="s">
        <v>34</v>
      </c>
      <c r="AH448" t="s">
        <v>34</v>
      </c>
      <c r="AI448" t="s">
        <v>34</v>
      </c>
      <c r="AJ448" t="s">
        <v>34</v>
      </c>
      <c r="AK448" t="s">
        <v>2125</v>
      </c>
      <c r="AL448" t="s">
        <v>34</v>
      </c>
      <c r="AM448" t="s">
        <v>4820</v>
      </c>
      <c r="AN448" s="478">
        <v>0</v>
      </c>
      <c r="AO448" s="478">
        <v>0</v>
      </c>
      <c r="AP448"/>
      <c r="AQ448"/>
      <c r="AR448"/>
      <c r="CE448"/>
      <c r="CG448"/>
      <c r="CI448"/>
      <c r="CJ448"/>
    </row>
    <row r="449" spans="1:88" ht="15" customHeight="1" x14ac:dyDescent="0.2">
      <c r="A449">
        <v>448</v>
      </c>
      <c r="B449" t="s">
        <v>1456</v>
      </c>
      <c r="C449" t="s">
        <v>4847</v>
      </c>
      <c r="D449" t="s">
        <v>4848</v>
      </c>
      <c r="E449" t="s">
        <v>2080</v>
      </c>
      <c r="F449" t="s">
        <v>2010</v>
      </c>
      <c r="G449" t="s">
        <v>34</v>
      </c>
      <c r="H449" t="s">
        <v>2128</v>
      </c>
      <c r="I449" t="s">
        <v>5651</v>
      </c>
      <c r="J449" t="s">
        <v>1764</v>
      </c>
      <c r="K449" t="s">
        <v>4849</v>
      </c>
      <c r="L449" t="s">
        <v>5550</v>
      </c>
      <c r="M449" t="s">
        <v>3417</v>
      </c>
      <c r="N449" t="s">
        <v>4850</v>
      </c>
      <c r="O449" t="s">
        <v>109</v>
      </c>
      <c r="P449" t="s">
        <v>2371</v>
      </c>
      <c r="Q449" t="s">
        <v>2371</v>
      </c>
      <c r="R449" t="s">
        <v>2185</v>
      </c>
      <c r="S449" t="s">
        <v>3560</v>
      </c>
      <c r="T449">
        <v>13.6</v>
      </c>
      <c r="U449" t="s">
        <v>1947</v>
      </c>
      <c r="V449" t="s">
        <v>2388</v>
      </c>
      <c r="W449" t="s">
        <v>109</v>
      </c>
      <c r="X449" t="s">
        <v>2738</v>
      </c>
      <c r="Y449" t="s">
        <v>4844</v>
      </c>
      <c r="Z449" t="s">
        <v>4845</v>
      </c>
      <c r="AA449" t="s">
        <v>2201</v>
      </c>
      <c r="AB449" t="s">
        <v>4851</v>
      </c>
      <c r="AC449" t="s">
        <v>4437</v>
      </c>
      <c r="AD449" t="s">
        <v>4360</v>
      </c>
      <c r="AE449" t="s">
        <v>1758</v>
      </c>
      <c r="AF449" t="s">
        <v>4795</v>
      </c>
      <c r="AG449" t="s">
        <v>34</v>
      </c>
      <c r="AH449" t="s">
        <v>34</v>
      </c>
      <c r="AI449" t="s">
        <v>34</v>
      </c>
      <c r="AJ449" t="s">
        <v>34</v>
      </c>
      <c r="AK449" t="s">
        <v>2125</v>
      </c>
      <c r="AL449" t="s">
        <v>34</v>
      </c>
      <c r="AM449" t="s">
        <v>4820</v>
      </c>
      <c r="AN449" s="478">
        <v>0</v>
      </c>
      <c r="AO449" s="478">
        <v>0</v>
      </c>
    </row>
    <row r="450" spans="1:88" s="421" customFormat="1" ht="15" customHeight="1" x14ac:dyDescent="0.2">
      <c r="A450">
        <v>449</v>
      </c>
      <c r="B450" t="s">
        <v>1456</v>
      </c>
      <c r="C450" t="s">
        <v>1470</v>
      </c>
      <c r="D450" t="s">
        <v>4238</v>
      </c>
      <c r="E450" t="s">
        <v>2080</v>
      </c>
      <c r="F450" t="s">
        <v>2010</v>
      </c>
      <c r="G450" t="s">
        <v>34</v>
      </c>
      <c r="H450" t="s">
        <v>2128</v>
      </c>
      <c r="I450" t="s">
        <v>5651</v>
      </c>
      <c r="J450" t="s">
        <v>1764</v>
      </c>
      <c r="K450" t="s">
        <v>1464</v>
      </c>
      <c r="L450" t="s">
        <v>3393</v>
      </c>
      <c r="M450">
        <v>8091238</v>
      </c>
      <c r="N450" t="s">
        <v>1470</v>
      </c>
      <c r="O450" t="s">
        <v>109</v>
      </c>
      <c r="P450" t="s">
        <v>3555</v>
      </c>
      <c r="Q450" t="s">
        <v>3555</v>
      </c>
      <c r="R450" t="s">
        <v>2121</v>
      </c>
      <c r="S450" t="s">
        <v>3552</v>
      </c>
      <c r="T450">
        <v>4.3</v>
      </c>
      <c r="U450" t="s">
        <v>1947</v>
      </c>
      <c r="V450" t="s">
        <v>3395</v>
      </c>
      <c r="W450" t="s">
        <v>3404</v>
      </c>
      <c r="X450" t="s">
        <v>2738</v>
      </c>
      <c r="Y450" t="s">
        <v>4393</v>
      </c>
      <c r="Z450" t="s">
        <v>4376</v>
      </c>
      <c r="AA450" t="s">
        <v>3405</v>
      </c>
      <c r="AB450" t="s">
        <v>3406</v>
      </c>
      <c r="AC450" t="s">
        <v>2123</v>
      </c>
      <c r="AD450" t="s">
        <v>2124</v>
      </c>
      <c r="AE450" t="s">
        <v>1758</v>
      </c>
      <c r="AF450" t="s">
        <v>3871</v>
      </c>
      <c r="AG450" t="s">
        <v>34</v>
      </c>
      <c r="AH450" t="s">
        <v>34</v>
      </c>
      <c r="AI450" t="s">
        <v>34</v>
      </c>
      <c r="AJ450" t="s">
        <v>34</v>
      </c>
      <c r="AK450" t="s">
        <v>2125</v>
      </c>
      <c r="AL450" t="s">
        <v>34</v>
      </c>
      <c r="AM450" t="s">
        <v>4820</v>
      </c>
      <c r="AN450" s="478">
        <v>0</v>
      </c>
      <c r="AO450" s="478">
        <v>0</v>
      </c>
      <c r="AP450"/>
      <c r="AQ450"/>
      <c r="AR450"/>
      <c r="CE450"/>
      <c r="CG450"/>
      <c r="CI450"/>
      <c r="CJ450"/>
    </row>
    <row r="451" spans="1:88" s="420" customFormat="1" ht="15" customHeight="1" x14ac:dyDescent="0.2">
      <c r="A451">
        <v>450</v>
      </c>
      <c r="B451" t="s">
        <v>1456</v>
      </c>
      <c r="C451" t="s">
        <v>1476</v>
      </c>
      <c r="D451" t="s">
        <v>4239</v>
      </c>
      <c r="E451" t="s">
        <v>2080</v>
      </c>
      <c r="F451" t="s">
        <v>2010</v>
      </c>
      <c r="G451" t="s">
        <v>34</v>
      </c>
      <c r="H451" t="s">
        <v>2128</v>
      </c>
      <c r="I451" t="s">
        <v>5651</v>
      </c>
      <c r="J451" t="s">
        <v>1764</v>
      </c>
      <c r="K451" t="s">
        <v>1464</v>
      </c>
      <c r="L451" t="s">
        <v>3393</v>
      </c>
      <c r="M451">
        <v>910619</v>
      </c>
      <c r="N451" t="s">
        <v>1476</v>
      </c>
      <c r="O451" t="s">
        <v>2399</v>
      </c>
      <c r="P451" t="s">
        <v>3555</v>
      </c>
      <c r="Q451" t="s">
        <v>3555</v>
      </c>
      <c r="R451" t="s">
        <v>2185</v>
      </c>
      <c r="S451" t="s">
        <v>3551</v>
      </c>
      <c r="T451">
        <v>7.5</v>
      </c>
      <c r="U451" t="s">
        <v>1947</v>
      </c>
      <c r="V451" t="s">
        <v>3394</v>
      </c>
      <c r="W451">
        <v>910619</v>
      </c>
      <c r="X451" t="s">
        <v>3011</v>
      </c>
      <c r="Y451" t="s">
        <v>4393</v>
      </c>
      <c r="Z451" t="s">
        <v>4376</v>
      </c>
      <c r="AA451" t="s">
        <v>5183</v>
      </c>
      <c r="AB451" t="s">
        <v>5184</v>
      </c>
      <c r="AC451" t="s">
        <v>2123</v>
      </c>
      <c r="AD451" t="s">
        <v>2124</v>
      </c>
      <c r="AE451" t="s">
        <v>1758</v>
      </c>
      <c r="AF451" t="s">
        <v>109</v>
      </c>
      <c r="AG451" t="s">
        <v>34</v>
      </c>
      <c r="AH451" t="s">
        <v>34</v>
      </c>
      <c r="AI451" t="s">
        <v>34</v>
      </c>
      <c r="AJ451" t="s">
        <v>34</v>
      </c>
      <c r="AK451" t="s">
        <v>2125</v>
      </c>
      <c r="AL451" t="s">
        <v>34</v>
      </c>
      <c r="AM451" t="s">
        <v>4820</v>
      </c>
      <c r="AN451" s="478">
        <v>0</v>
      </c>
      <c r="AO451" s="478">
        <v>0</v>
      </c>
      <c r="AP451"/>
      <c r="AQ451"/>
      <c r="AR451"/>
      <c r="CE451"/>
      <c r="CG451"/>
      <c r="CI451"/>
      <c r="CJ451"/>
    </row>
    <row r="452" spans="1:88" s="421" customFormat="1" ht="15" customHeight="1" x14ac:dyDescent="0.2">
      <c r="A452">
        <v>451</v>
      </c>
      <c r="B452" t="s">
        <v>1456</v>
      </c>
      <c r="C452" t="s">
        <v>1474</v>
      </c>
      <c r="D452" t="s">
        <v>4240</v>
      </c>
      <c r="E452" t="s">
        <v>2080</v>
      </c>
      <c r="F452" t="s">
        <v>2010</v>
      </c>
      <c r="G452" t="s">
        <v>34</v>
      </c>
      <c r="H452" t="s">
        <v>2128</v>
      </c>
      <c r="I452" t="s">
        <v>5651</v>
      </c>
      <c r="J452" t="s">
        <v>1764</v>
      </c>
      <c r="K452" t="s">
        <v>1464</v>
      </c>
      <c r="L452" t="s">
        <v>3393</v>
      </c>
      <c r="M452">
        <v>910620</v>
      </c>
      <c r="N452" t="s">
        <v>1474</v>
      </c>
      <c r="O452" t="s">
        <v>109</v>
      </c>
      <c r="P452" t="s">
        <v>3550</v>
      </c>
      <c r="Q452" t="s">
        <v>3550</v>
      </c>
      <c r="R452" t="s">
        <v>2121</v>
      </c>
      <c r="S452" t="s">
        <v>3552</v>
      </c>
      <c r="T452">
        <v>4.3</v>
      </c>
      <c r="U452" t="s">
        <v>1947</v>
      </c>
      <c r="V452" t="s">
        <v>5373</v>
      </c>
      <c r="W452" t="s">
        <v>3396</v>
      </c>
      <c r="X452" t="s">
        <v>2738</v>
      </c>
      <c r="Y452" t="s">
        <v>4393</v>
      </c>
      <c r="Z452" t="s">
        <v>4376</v>
      </c>
      <c r="AA452" t="s">
        <v>5374</v>
      </c>
      <c r="AB452" t="s">
        <v>5375</v>
      </c>
      <c r="AC452" t="s">
        <v>2123</v>
      </c>
      <c r="AD452" t="s">
        <v>2124</v>
      </c>
      <c r="AE452" t="s">
        <v>1758</v>
      </c>
      <c r="AF452" t="s">
        <v>34</v>
      </c>
      <c r="AG452" t="s">
        <v>34</v>
      </c>
      <c r="AH452" t="s">
        <v>34</v>
      </c>
      <c r="AI452" t="s">
        <v>34</v>
      </c>
      <c r="AJ452" t="s">
        <v>34</v>
      </c>
      <c r="AK452" t="s">
        <v>2125</v>
      </c>
      <c r="AL452" t="s">
        <v>34</v>
      </c>
      <c r="AM452" t="s">
        <v>4820</v>
      </c>
      <c r="AN452" s="478"/>
      <c r="AO452" s="478"/>
      <c r="AP452"/>
      <c r="AQ452"/>
      <c r="AR452"/>
      <c r="CE452"/>
      <c r="CG452"/>
      <c r="CI452"/>
      <c r="CJ452"/>
    </row>
    <row r="453" spans="1:88" s="420" customFormat="1" ht="15" customHeight="1" x14ac:dyDescent="0.2">
      <c r="A453">
        <v>452</v>
      </c>
      <c r="B453" t="s">
        <v>1456</v>
      </c>
      <c r="C453" t="s">
        <v>5472</v>
      </c>
      <c r="D453" t="s">
        <v>5473</v>
      </c>
      <c r="E453" t="s">
        <v>2080</v>
      </c>
      <c r="F453" t="s">
        <v>2010</v>
      </c>
      <c r="G453" t="s">
        <v>34</v>
      </c>
      <c r="H453" t="s">
        <v>2128</v>
      </c>
      <c r="I453" t="s">
        <v>5651</v>
      </c>
      <c r="J453" t="s">
        <v>1764</v>
      </c>
      <c r="K453" t="s">
        <v>1464</v>
      </c>
      <c r="L453" t="s">
        <v>5474</v>
      </c>
      <c r="M453">
        <v>506311</v>
      </c>
      <c r="N453" t="s">
        <v>5472</v>
      </c>
      <c r="O453" t="s">
        <v>109</v>
      </c>
      <c r="P453" t="s">
        <v>3555</v>
      </c>
      <c r="Q453" t="s">
        <v>5475</v>
      </c>
      <c r="R453" t="s">
        <v>2185</v>
      </c>
      <c r="S453" t="s">
        <v>5476</v>
      </c>
      <c r="T453">
        <v>14.35</v>
      </c>
      <c r="U453" t="s">
        <v>1947</v>
      </c>
      <c r="V453" t="s">
        <v>5373</v>
      </c>
      <c r="W453" t="s">
        <v>5477</v>
      </c>
      <c r="X453" t="s">
        <v>2738</v>
      </c>
      <c r="Y453" t="s">
        <v>5104</v>
      </c>
      <c r="Z453" t="s">
        <v>4903</v>
      </c>
      <c r="AA453" t="s">
        <v>5478</v>
      </c>
      <c r="AB453" t="s">
        <v>3406</v>
      </c>
      <c r="AC453" t="s">
        <v>2123</v>
      </c>
      <c r="AD453" t="s">
        <v>5479</v>
      </c>
      <c r="AE453" t="s">
        <v>1758</v>
      </c>
      <c r="AF453" t="s">
        <v>4382</v>
      </c>
      <c r="AG453" t="s">
        <v>34</v>
      </c>
      <c r="AH453" t="s">
        <v>34</v>
      </c>
      <c r="AI453" t="s">
        <v>34</v>
      </c>
      <c r="AJ453" t="s">
        <v>34</v>
      </c>
      <c r="AK453" t="s">
        <v>2125</v>
      </c>
      <c r="AL453" t="s">
        <v>34</v>
      </c>
      <c r="AM453" t="s">
        <v>4820</v>
      </c>
      <c r="AN453" s="478">
        <v>0</v>
      </c>
      <c r="AO453" s="478">
        <v>0</v>
      </c>
      <c r="AP453"/>
      <c r="AQ453"/>
      <c r="AR453"/>
      <c r="CE453"/>
      <c r="CG453"/>
      <c r="CI453"/>
      <c r="CJ453"/>
    </row>
    <row r="454" spans="1:88" s="421" customFormat="1" x14ac:dyDescent="0.2">
      <c r="A454">
        <v>453</v>
      </c>
      <c r="B454" t="s">
        <v>1456</v>
      </c>
      <c r="C454" t="s">
        <v>1480</v>
      </c>
      <c r="D454" t="s">
        <v>4241</v>
      </c>
      <c r="E454" t="s">
        <v>2080</v>
      </c>
      <c r="F454" t="s">
        <v>2010</v>
      </c>
      <c r="G454" t="s">
        <v>34</v>
      </c>
      <c r="H454" t="s">
        <v>2128</v>
      </c>
      <c r="I454" t="s">
        <v>5651</v>
      </c>
      <c r="J454" t="s">
        <v>1764</v>
      </c>
      <c r="K454" t="s">
        <v>1060</v>
      </c>
      <c r="L454" t="s">
        <v>3436</v>
      </c>
      <c r="M454">
        <v>157157</v>
      </c>
      <c r="N454" t="s">
        <v>1480</v>
      </c>
      <c r="O454" t="s">
        <v>2399</v>
      </c>
      <c r="P454" t="s">
        <v>3566</v>
      </c>
      <c r="Q454" t="s">
        <v>2126</v>
      </c>
      <c r="R454" t="s">
        <v>2185</v>
      </c>
      <c r="S454" t="s">
        <v>3567</v>
      </c>
      <c r="T454">
        <v>12</v>
      </c>
      <c r="U454" t="s">
        <v>1947</v>
      </c>
      <c r="V454" t="s">
        <v>3437</v>
      </c>
      <c r="W454" t="s">
        <v>2469</v>
      </c>
      <c r="X454" t="s">
        <v>2201</v>
      </c>
      <c r="Y454" t="s">
        <v>3438</v>
      </c>
      <c r="Z454" t="s">
        <v>3439</v>
      </c>
      <c r="AA454" t="s">
        <v>2201</v>
      </c>
      <c r="AB454" t="s">
        <v>34</v>
      </c>
      <c r="AC454" t="s">
        <v>2123</v>
      </c>
      <c r="AD454" t="s">
        <v>2124</v>
      </c>
      <c r="AE454" t="s">
        <v>1758</v>
      </c>
      <c r="AF454" t="s">
        <v>34</v>
      </c>
      <c r="AG454" t="s">
        <v>34</v>
      </c>
      <c r="AH454" t="s">
        <v>34</v>
      </c>
      <c r="AI454" t="s">
        <v>34</v>
      </c>
      <c r="AJ454" t="s">
        <v>34</v>
      </c>
      <c r="AK454" t="s">
        <v>2125</v>
      </c>
      <c r="AL454" t="s">
        <v>34</v>
      </c>
      <c r="AM454" t="s">
        <v>4803</v>
      </c>
      <c r="AN454" s="478">
        <v>0</v>
      </c>
      <c r="AO454" s="478">
        <v>0</v>
      </c>
      <c r="AP454"/>
      <c r="AQ454"/>
      <c r="AR454"/>
      <c r="CE454"/>
      <c r="CG454"/>
      <c r="CI454"/>
      <c r="CJ454"/>
    </row>
    <row r="455" spans="1:88" s="420" customFormat="1" ht="15" customHeight="1" x14ac:dyDescent="0.2">
      <c r="A455">
        <v>454</v>
      </c>
      <c r="B455" t="s">
        <v>1456</v>
      </c>
      <c r="C455" t="s">
        <v>1458</v>
      </c>
      <c r="D455" t="s">
        <v>4242</v>
      </c>
      <c r="E455" t="s">
        <v>2080</v>
      </c>
      <c r="F455" t="s">
        <v>2010</v>
      </c>
      <c r="G455" t="s">
        <v>34</v>
      </c>
      <c r="H455" t="s">
        <v>2128</v>
      </c>
      <c r="I455" t="s">
        <v>5651</v>
      </c>
      <c r="J455" t="s">
        <v>2116</v>
      </c>
      <c r="K455" t="s">
        <v>3418</v>
      </c>
      <c r="L455" t="s">
        <v>3419</v>
      </c>
      <c r="M455" t="s">
        <v>4306</v>
      </c>
      <c r="N455" t="s">
        <v>1458</v>
      </c>
      <c r="O455" t="s">
        <v>2399</v>
      </c>
      <c r="P455" t="s">
        <v>3561</v>
      </c>
      <c r="Q455" t="s">
        <v>3502</v>
      </c>
      <c r="R455" t="s">
        <v>2121</v>
      </c>
      <c r="S455" t="s">
        <v>3562</v>
      </c>
      <c r="T455">
        <v>15.3</v>
      </c>
      <c r="U455" t="s">
        <v>1947</v>
      </c>
      <c r="V455" t="s">
        <v>3420</v>
      </c>
      <c r="W455" t="s">
        <v>2469</v>
      </c>
      <c r="X455" t="s">
        <v>3421</v>
      </c>
      <c r="Y455" t="s">
        <v>4307</v>
      </c>
      <c r="Z455" t="s">
        <v>4308</v>
      </c>
      <c r="AA455" t="s">
        <v>3421</v>
      </c>
      <c r="AB455" t="s">
        <v>3422</v>
      </c>
      <c r="AC455" t="s">
        <v>2123</v>
      </c>
      <c r="AD455" t="s">
        <v>2124</v>
      </c>
      <c r="AE455" t="s">
        <v>1758</v>
      </c>
      <c r="AF455" t="s">
        <v>34</v>
      </c>
      <c r="AG455" t="s">
        <v>34</v>
      </c>
      <c r="AH455" t="s">
        <v>34</v>
      </c>
      <c r="AI455" t="s">
        <v>34</v>
      </c>
      <c r="AJ455" t="s">
        <v>34</v>
      </c>
      <c r="AK455" t="s">
        <v>2125</v>
      </c>
      <c r="AL455" t="s">
        <v>34</v>
      </c>
      <c r="AM455" t="s">
        <v>4804</v>
      </c>
      <c r="AN455" s="478">
        <v>0</v>
      </c>
      <c r="AO455" s="478">
        <v>0</v>
      </c>
      <c r="AP455"/>
      <c r="AQ455"/>
      <c r="AR455"/>
      <c r="CE455"/>
      <c r="CG455"/>
      <c r="CI455"/>
      <c r="CJ455"/>
    </row>
    <row r="456" spans="1:88" s="421" customFormat="1" ht="15" customHeight="1" x14ac:dyDescent="0.2">
      <c r="A456">
        <v>455</v>
      </c>
      <c r="B456" t="s">
        <v>1456</v>
      </c>
      <c r="C456" t="s">
        <v>1460</v>
      </c>
      <c r="D456" t="s">
        <v>4243</v>
      </c>
      <c r="E456" t="s">
        <v>2080</v>
      </c>
      <c r="F456" t="s">
        <v>2010</v>
      </c>
      <c r="G456" t="s">
        <v>34</v>
      </c>
      <c r="H456" t="s">
        <v>2128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2123</v>
      </c>
      <c r="AD456" t="s">
        <v>2124</v>
      </c>
      <c r="AE456" t="s">
        <v>1758</v>
      </c>
      <c r="AF456" t="s">
        <v>34</v>
      </c>
      <c r="AG456" t="s">
        <v>34</v>
      </c>
      <c r="AH456" t="s">
        <v>34</v>
      </c>
      <c r="AI456" t="s">
        <v>34</v>
      </c>
      <c r="AJ456" t="s">
        <v>34</v>
      </c>
      <c r="AK456" t="s">
        <v>2125</v>
      </c>
      <c r="AL456" t="s">
        <v>34</v>
      </c>
      <c r="AM456" t="s">
        <v>4803</v>
      </c>
      <c r="AN456" s="478">
        <v>0</v>
      </c>
      <c r="AO456" s="478">
        <v>0</v>
      </c>
      <c r="AP456"/>
      <c r="AQ456"/>
      <c r="AR456"/>
      <c r="CE456"/>
      <c r="CG456"/>
      <c r="CI456"/>
      <c r="CJ456"/>
    </row>
    <row r="457" spans="1:88" s="420" customFormat="1" ht="15" customHeight="1" x14ac:dyDescent="0.2">
      <c r="A457">
        <v>456</v>
      </c>
      <c r="B457" t="s">
        <v>1456</v>
      </c>
      <c r="C457" t="s">
        <v>4493</v>
      </c>
      <c r="D457" t="s">
        <v>4494</v>
      </c>
      <c r="E457" t="s">
        <v>2080</v>
      </c>
      <c r="F457" t="s">
        <v>2010</v>
      </c>
      <c r="G457" t="s">
        <v>34</v>
      </c>
      <c r="H457" t="s">
        <v>2128</v>
      </c>
      <c r="I457" t="s">
        <v>5651</v>
      </c>
      <c r="J457" t="s">
        <v>1764</v>
      </c>
      <c r="K457" t="s">
        <v>1060</v>
      </c>
      <c r="L457" t="s">
        <v>4495</v>
      </c>
      <c r="M457">
        <v>142142</v>
      </c>
      <c r="N457" t="s">
        <v>4493</v>
      </c>
      <c r="O457" t="s">
        <v>2399</v>
      </c>
      <c r="P457" t="s">
        <v>4496</v>
      </c>
      <c r="Q457" t="s">
        <v>3309</v>
      </c>
      <c r="R457" t="s">
        <v>4497</v>
      </c>
      <c r="S457" t="s">
        <v>4498</v>
      </c>
      <c r="T457">
        <v>25</v>
      </c>
      <c r="U457" t="s">
        <v>1947</v>
      </c>
      <c r="V457" t="s">
        <v>4495</v>
      </c>
      <c r="W457">
        <v>142142</v>
      </c>
      <c r="X457" t="s">
        <v>4374</v>
      </c>
      <c r="Y457" t="s">
        <v>4499</v>
      </c>
      <c r="Z457" t="s">
        <v>4500</v>
      </c>
      <c r="AA457" t="s">
        <v>4374</v>
      </c>
      <c r="AB457" t="s">
        <v>2192</v>
      </c>
      <c r="AC457" t="s">
        <v>2123</v>
      </c>
      <c r="AD457" t="s">
        <v>4501</v>
      </c>
      <c r="AE457" t="s">
        <v>1758</v>
      </c>
      <c r="AF457" t="s">
        <v>3347</v>
      </c>
      <c r="AG457" t="s">
        <v>34</v>
      </c>
      <c r="AH457" t="s">
        <v>34</v>
      </c>
      <c r="AI457" t="s">
        <v>34</v>
      </c>
      <c r="AJ457" t="s">
        <v>34</v>
      </c>
      <c r="AK457" t="s">
        <v>2125</v>
      </c>
      <c r="AL457" t="s">
        <v>34</v>
      </c>
      <c r="AM457" t="s">
        <v>4803</v>
      </c>
      <c r="AN457" s="478">
        <v>0</v>
      </c>
      <c r="AO457" s="478">
        <v>0</v>
      </c>
      <c r="AP457"/>
      <c r="AQ457"/>
      <c r="AR457"/>
      <c r="CE457"/>
      <c r="CG457"/>
      <c r="CI457"/>
      <c r="CJ457"/>
    </row>
    <row r="458" spans="1:88" x14ac:dyDescent="0.2">
      <c r="A458">
        <v>457</v>
      </c>
      <c r="B458" t="s">
        <v>1456</v>
      </c>
      <c r="C458" t="s">
        <v>1489</v>
      </c>
      <c r="D458" t="s">
        <v>4244</v>
      </c>
      <c r="E458" t="s">
        <v>2080</v>
      </c>
      <c r="F458" t="s">
        <v>2010</v>
      </c>
      <c r="G458" t="s">
        <v>34</v>
      </c>
      <c r="H458" t="s">
        <v>2128</v>
      </c>
      <c r="I458" t="s">
        <v>5651</v>
      </c>
      <c r="J458" t="s">
        <v>1764</v>
      </c>
      <c r="K458" t="s">
        <v>3386</v>
      </c>
      <c r="L458" t="s">
        <v>3387</v>
      </c>
      <c r="M458" t="s">
        <v>3388</v>
      </c>
      <c r="N458" t="s">
        <v>1489</v>
      </c>
      <c r="O458" t="s">
        <v>109</v>
      </c>
      <c r="P458" t="s">
        <v>3547</v>
      </c>
      <c r="Q458" t="s">
        <v>3548</v>
      </c>
      <c r="R458" t="s">
        <v>2280</v>
      </c>
      <c r="S458" t="s">
        <v>3549</v>
      </c>
      <c r="T458">
        <v>236</v>
      </c>
      <c r="U458" t="s">
        <v>1947</v>
      </c>
      <c r="V458" t="s">
        <v>3387</v>
      </c>
      <c r="W458" t="s">
        <v>3388</v>
      </c>
      <c r="X458" t="s">
        <v>2727</v>
      </c>
      <c r="Y458" t="s">
        <v>3389</v>
      </c>
      <c r="Z458" t="s">
        <v>3390</v>
      </c>
      <c r="AA458" t="s">
        <v>3391</v>
      </c>
      <c r="AB458" t="s">
        <v>3392</v>
      </c>
      <c r="AC458" t="s">
        <v>2123</v>
      </c>
      <c r="AD458" t="s">
        <v>2124</v>
      </c>
      <c r="AE458" t="s">
        <v>1758</v>
      </c>
      <c r="AF458" t="s">
        <v>34</v>
      </c>
      <c r="AG458" t="s">
        <v>34</v>
      </c>
      <c r="AH458" t="s">
        <v>34</v>
      </c>
      <c r="AI458" t="s">
        <v>34</v>
      </c>
      <c r="AJ458" t="s">
        <v>34</v>
      </c>
      <c r="AK458" t="s">
        <v>2125</v>
      </c>
      <c r="AL458" t="s">
        <v>34</v>
      </c>
      <c r="AM458" t="s">
        <v>4820</v>
      </c>
      <c r="AN458" s="478">
        <v>0</v>
      </c>
      <c r="AO458" s="478">
        <v>0</v>
      </c>
    </row>
    <row r="459" spans="1:88" s="420" customFormat="1" ht="15" customHeight="1" x14ac:dyDescent="0.2">
      <c r="A459">
        <v>458</v>
      </c>
      <c r="B459" t="s">
        <v>1456</v>
      </c>
      <c r="C459" t="s">
        <v>1462</v>
      </c>
      <c r="D459" t="s">
        <v>4245</v>
      </c>
      <c r="E459" t="s">
        <v>2080</v>
      </c>
      <c r="F459" t="s">
        <v>2010</v>
      </c>
      <c r="G459" t="s">
        <v>34</v>
      </c>
      <c r="H459" t="s">
        <v>2128</v>
      </c>
      <c r="I459" t="s">
        <v>5651</v>
      </c>
      <c r="J459" t="s">
        <v>1764</v>
      </c>
      <c r="K459" t="s">
        <v>3386</v>
      </c>
      <c r="L459" t="s">
        <v>3387</v>
      </c>
      <c r="M459" t="s">
        <v>3423</v>
      </c>
      <c r="N459" t="s">
        <v>1462</v>
      </c>
      <c r="O459" t="s">
        <v>109</v>
      </c>
      <c r="P459" t="s">
        <v>3563</v>
      </c>
      <c r="Q459" t="s">
        <v>3548</v>
      </c>
      <c r="R459" t="s">
        <v>2280</v>
      </c>
      <c r="S459" t="s">
        <v>3549</v>
      </c>
      <c r="T459">
        <v>23.6</v>
      </c>
      <c r="U459" t="s">
        <v>1947</v>
      </c>
      <c r="V459" t="s">
        <v>3424</v>
      </c>
      <c r="W459" t="s">
        <v>3423</v>
      </c>
      <c r="X459" t="s">
        <v>2251</v>
      </c>
      <c r="Y459" t="s">
        <v>3425</v>
      </c>
      <c r="Z459" t="s">
        <v>3425</v>
      </c>
      <c r="AA459" t="s">
        <v>2251</v>
      </c>
      <c r="AB459" t="s">
        <v>3426</v>
      </c>
      <c r="AC459" t="s">
        <v>2123</v>
      </c>
      <c r="AD459" t="s">
        <v>2124</v>
      </c>
      <c r="AE459" t="s">
        <v>1758</v>
      </c>
      <c r="AF459" t="s">
        <v>34</v>
      </c>
      <c r="AG459" t="s">
        <v>34</v>
      </c>
      <c r="AH459" t="s">
        <v>34</v>
      </c>
      <c r="AI459" t="s">
        <v>34</v>
      </c>
      <c r="AJ459" t="s">
        <v>34</v>
      </c>
      <c r="AK459" t="s">
        <v>2125</v>
      </c>
      <c r="AL459" t="s">
        <v>34</v>
      </c>
      <c r="AM459" t="s">
        <v>4820</v>
      </c>
      <c r="AN459" s="478">
        <v>0</v>
      </c>
      <c r="AO459" s="478">
        <v>0</v>
      </c>
      <c r="AP459"/>
      <c r="AQ459"/>
      <c r="AR459"/>
      <c r="CE459"/>
      <c r="CG459"/>
      <c r="CI459"/>
      <c r="CJ459"/>
    </row>
    <row r="460" spans="1:88" s="421" customFormat="1" ht="15" customHeight="1" x14ac:dyDescent="0.2">
      <c r="A460">
        <v>459</v>
      </c>
      <c r="B460" t="s">
        <v>1456</v>
      </c>
      <c r="C460" t="s">
        <v>1487</v>
      </c>
      <c r="D460" t="s">
        <v>4246</v>
      </c>
      <c r="E460" t="s">
        <v>2080</v>
      </c>
      <c r="F460" t="s">
        <v>2010</v>
      </c>
      <c r="G460" t="s">
        <v>34</v>
      </c>
      <c r="H460" t="s">
        <v>2128</v>
      </c>
      <c r="I460" t="s">
        <v>5651</v>
      </c>
      <c r="J460" t="s">
        <v>1764</v>
      </c>
      <c r="K460" t="s">
        <v>3386</v>
      </c>
      <c r="L460" t="s">
        <v>3427</v>
      </c>
      <c r="M460" t="s">
        <v>3428</v>
      </c>
      <c r="N460" t="s">
        <v>1487</v>
      </c>
      <c r="O460" t="s">
        <v>109</v>
      </c>
      <c r="P460" t="s">
        <v>3563</v>
      </c>
      <c r="Q460" t="s">
        <v>3548</v>
      </c>
      <c r="R460" t="s">
        <v>2280</v>
      </c>
      <c r="S460" t="s">
        <v>3549</v>
      </c>
      <c r="T460">
        <v>23.6</v>
      </c>
      <c r="U460" t="s">
        <v>1947</v>
      </c>
      <c r="V460" t="s">
        <v>3427</v>
      </c>
      <c r="W460" t="s">
        <v>3428</v>
      </c>
      <c r="X460" t="s">
        <v>2727</v>
      </c>
      <c r="Y460" t="s">
        <v>5376</v>
      </c>
      <c r="Z460" t="s">
        <v>4308</v>
      </c>
      <c r="AA460" t="s">
        <v>3391</v>
      </c>
      <c r="AB460" t="s">
        <v>3429</v>
      </c>
      <c r="AC460" t="s">
        <v>2123</v>
      </c>
      <c r="AD460" t="s">
        <v>2124</v>
      </c>
      <c r="AE460" t="s">
        <v>1758</v>
      </c>
      <c r="AF460" t="s">
        <v>34</v>
      </c>
      <c r="AG460" t="s">
        <v>34</v>
      </c>
      <c r="AH460" t="s">
        <v>34</v>
      </c>
      <c r="AI460" t="s">
        <v>34</v>
      </c>
      <c r="AJ460" t="s">
        <v>34</v>
      </c>
      <c r="AK460" t="s">
        <v>2125</v>
      </c>
      <c r="AL460" t="s">
        <v>34</v>
      </c>
      <c r="AM460" t="s">
        <v>4820</v>
      </c>
      <c r="AN460" s="478">
        <v>0</v>
      </c>
      <c r="AO460" s="478">
        <v>0</v>
      </c>
      <c r="AP460"/>
      <c r="AQ460"/>
      <c r="AR460"/>
      <c r="CE460"/>
      <c r="CG460"/>
      <c r="CI460"/>
      <c r="CJ460"/>
    </row>
    <row r="461" spans="1:88" x14ac:dyDescent="0.2">
      <c r="A461">
        <v>460</v>
      </c>
      <c r="B461" t="s">
        <v>1456</v>
      </c>
      <c r="C461" t="s">
        <v>1491</v>
      </c>
      <c r="D461" t="s">
        <v>4247</v>
      </c>
      <c r="E461" t="s">
        <v>2080</v>
      </c>
      <c r="F461" t="s">
        <v>2010</v>
      </c>
      <c r="G461" t="s">
        <v>34</v>
      </c>
      <c r="H461" t="s">
        <v>2128</v>
      </c>
      <c r="I461" t="s">
        <v>5651</v>
      </c>
      <c r="J461" t="s">
        <v>1764</v>
      </c>
      <c r="K461" t="s">
        <v>3386</v>
      </c>
      <c r="L461" t="s">
        <v>3430</v>
      </c>
      <c r="M461">
        <v>300085972</v>
      </c>
      <c r="N461" t="s">
        <v>1491</v>
      </c>
      <c r="O461" t="s">
        <v>109</v>
      </c>
      <c r="P461" t="s">
        <v>3548</v>
      </c>
      <c r="Q461" t="s">
        <v>3548</v>
      </c>
      <c r="R461" t="s">
        <v>2280</v>
      </c>
      <c r="S461" t="s">
        <v>3549</v>
      </c>
      <c r="T461">
        <v>23.6</v>
      </c>
      <c r="U461" t="s">
        <v>1947</v>
      </c>
      <c r="V461" t="s">
        <v>3387</v>
      </c>
      <c r="W461" t="s">
        <v>3388</v>
      </c>
      <c r="X461" t="s">
        <v>2727</v>
      </c>
      <c r="Y461" t="s">
        <v>3389</v>
      </c>
      <c r="Z461" t="s">
        <v>3390</v>
      </c>
      <c r="AA461" t="s">
        <v>3391</v>
      </c>
      <c r="AB461" t="s">
        <v>3429</v>
      </c>
      <c r="AC461" t="s">
        <v>2123</v>
      </c>
      <c r="AD461" t="s">
        <v>2124</v>
      </c>
      <c r="AE461" t="s">
        <v>1758</v>
      </c>
      <c r="AF461" t="s">
        <v>34</v>
      </c>
      <c r="AG461" t="s">
        <v>34</v>
      </c>
      <c r="AH461" t="s">
        <v>34</v>
      </c>
      <c r="AI461" t="s">
        <v>34</v>
      </c>
      <c r="AJ461" t="s">
        <v>34</v>
      </c>
      <c r="AK461" t="s">
        <v>2125</v>
      </c>
      <c r="AL461" t="s">
        <v>34</v>
      </c>
      <c r="AM461" t="s">
        <v>4820</v>
      </c>
      <c r="AN461" s="478">
        <v>0</v>
      </c>
      <c r="AO461" s="478">
        <v>0</v>
      </c>
    </row>
    <row r="462" spans="1:88" s="421" customFormat="1" x14ac:dyDescent="0.2">
      <c r="A462">
        <v>461</v>
      </c>
      <c r="B462" t="s">
        <v>1456</v>
      </c>
      <c r="C462" t="s">
        <v>4852</v>
      </c>
      <c r="D462" t="s">
        <v>4853</v>
      </c>
      <c r="E462" t="s">
        <v>2080</v>
      </c>
      <c r="F462" t="s">
        <v>2010</v>
      </c>
      <c r="G462" t="s">
        <v>34</v>
      </c>
      <c r="H462" t="s">
        <v>2128</v>
      </c>
      <c r="I462" t="s">
        <v>5651</v>
      </c>
      <c r="J462" t="s">
        <v>1764</v>
      </c>
      <c r="K462" t="s">
        <v>3386</v>
      </c>
      <c r="L462" t="s">
        <v>3435</v>
      </c>
      <c r="M462">
        <v>300072009</v>
      </c>
      <c r="N462" t="s">
        <v>4852</v>
      </c>
      <c r="O462" t="s">
        <v>109</v>
      </c>
      <c r="P462" t="s">
        <v>4854</v>
      </c>
      <c r="Q462" t="s">
        <v>4855</v>
      </c>
      <c r="R462" t="s">
        <v>2280</v>
      </c>
      <c r="S462" t="s">
        <v>2538</v>
      </c>
      <c r="T462">
        <v>23.6</v>
      </c>
      <c r="U462" t="s">
        <v>1947</v>
      </c>
      <c r="V462" t="s">
        <v>4856</v>
      </c>
      <c r="W462">
        <v>300072009</v>
      </c>
      <c r="X462" t="s">
        <v>2251</v>
      </c>
      <c r="Y462" t="s">
        <v>4857</v>
      </c>
      <c r="Z462" t="s">
        <v>3425</v>
      </c>
      <c r="AA462" t="s">
        <v>2251</v>
      </c>
      <c r="AB462" t="s">
        <v>3426</v>
      </c>
      <c r="AC462" t="s">
        <v>2123</v>
      </c>
      <c r="AD462" t="s">
        <v>2124</v>
      </c>
      <c r="AE462" t="s">
        <v>1758</v>
      </c>
      <c r="AF462" t="s">
        <v>109</v>
      </c>
      <c r="AG462" t="s">
        <v>109</v>
      </c>
      <c r="AH462" t="s">
        <v>109</v>
      </c>
      <c r="AI462" t="s">
        <v>109</v>
      </c>
      <c r="AJ462" t="s">
        <v>109</v>
      </c>
      <c r="AK462" t="s">
        <v>2125</v>
      </c>
      <c r="AL462" t="s">
        <v>34</v>
      </c>
      <c r="AM462" t="s">
        <v>4820</v>
      </c>
      <c r="AN462" s="478">
        <v>0</v>
      </c>
      <c r="AO462" s="478">
        <v>0</v>
      </c>
      <c r="AP462"/>
      <c r="AQ462"/>
      <c r="AR462"/>
      <c r="CE462"/>
      <c r="CG462"/>
      <c r="CI462"/>
      <c r="CJ462"/>
    </row>
    <row r="463" spans="1:88" x14ac:dyDescent="0.2">
      <c r="A463">
        <v>462</v>
      </c>
      <c r="B463" t="s">
        <v>1456</v>
      </c>
      <c r="C463" t="s">
        <v>1484</v>
      </c>
      <c r="D463" t="s">
        <v>4248</v>
      </c>
      <c r="E463" t="s">
        <v>2080</v>
      </c>
      <c r="F463" t="s">
        <v>2010</v>
      </c>
      <c r="G463" t="s">
        <v>34</v>
      </c>
      <c r="H463" t="s">
        <v>2128</v>
      </c>
      <c r="I463" t="s">
        <v>5651</v>
      </c>
      <c r="J463" t="s">
        <v>1764</v>
      </c>
      <c r="K463" t="s">
        <v>3440</v>
      </c>
      <c r="L463" t="s">
        <v>3441</v>
      </c>
      <c r="M463">
        <v>300135477</v>
      </c>
      <c r="N463" t="s">
        <v>1484</v>
      </c>
      <c r="O463" t="s">
        <v>109</v>
      </c>
      <c r="P463" t="s">
        <v>5480</v>
      </c>
      <c r="Q463" t="s">
        <v>5480</v>
      </c>
      <c r="R463" t="s">
        <v>2280</v>
      </c>
      <c r="S463" t="s">
        <v>3568</v>
      </c>
      <c r="T463">
        <v>23.6</v>
      </c>
      <c r="U463" t="s">
        <v>1947</v>
      </c>
      <c r="V463" t="s">
        <v>3435</v>
      </c>
      <c r="W463">
        <v>300135477</v>
      </c>
      <c r="X463" t="s">
        <v>4374</v>
      </c>
      <c r="Y463" t="s">
        <v>4375</v>
      </c>
      <c r="Z463" t="s">
        <v>4376</v>
      </c>
      <c r="AA463" t="s">
        <v>3391</v>
      </c>
      <c r="AB463" t="s">
        <v>4858</v>
      </c>
      <c r="AC463" t="s">
        <v>2123</v>
      </c>
      <c r="AD463" t="s">
        <v>2124</v>
      </c>
      <c r="AE463" t="s">
        <v>1758</v>
      </c>
      <c r="AF463" t="s">
        <v>34</v>
      </c>
      <c r="AG463" t="s">
        <v>34</v>
      </c>
      <c r="AH463" t="s">
        <v>34</v>
      </c>
      <c r="AI463" t="s">
        <v>34</v>
      </c>
      <c r="AJ463" t="s">
        <v>34</v>
      </c>
      <c r="AK463" t="s">
        <v>2125</v>
      </c>
      <c r="AL463" t="s">
        <v>34</v>
      </c>
      <c r="AM463" t="s">
        <v>4820</v>
      </c>
      <c r="AN463" s="478">
        <v>0</v>
      </c>
      <c r="AO463" s="478">
        <v>0</v>
      </c>
    </row>
    <row r="464" spans="1:88" x14ac:dyDescent="0.2">
      <c r="A464">
        <v>463</v>
      </c>
      <c r="B464" t="s">
        <v>1456</v>
      </c>
      <c r="C464" t="s">
        <v>1934</v>
      </c>
      <c r="D464" t="s">
        <v>4249</v>
      </c>
      <c r="E464" t="s">
        <v>2080</v>
      </c>
      <c r="F464" t="s">
        <v>2010</v>
      </c>
      <c r="G464" t="s">
        <v>34</v>
      </c>
      <c r="H464" t="s">
        <v>2128</v>
      </c>
      <c r="I464" t="s">
        <v>5651</v>
      </c>
      <c r="J464" t="s">
        <v>1764</v>
      </c>
      <c r="K464" t="s">
        <v>3386</v>
      </c>
      <c r="L464" t="s">
        <v>3430</v>
      </c>
      <c r="M464">
        <v>300152049</v>
      </c>
      <c r="N464" t="s">
        <v>1934</v>
      </c>
      <c r="O464" t="s">
        <v>2399</v>
      </c>
      <c r="P464" t="s">
        <v>3548</v>
      </c>
      <c r="Q464" t="s">
        <v>3548</v>
      </c>
      <c r="R464" t="s">
        <v>2280</v>
      </c>
      <c r="S464" t="s">
        <v>3549</v>
      </c>
      <c r="T464">
        <v>23.6</v>
      </c>
      <c r="U464" t="s">
        <v>1947</v>
      </c>
      <c r="V464" t="s">
        <v>3431</v>
      </c>
      <c r="W464" t="s">
        <v>3388</v>
      </c>
      <c r="X464" t="s">
        <v>2738</v>
      </c>
      <c r="Y464" t="s">
        <v>5104</v>
      </c>
      <c r="Z464" t="s">
        <v>4376</v>
      </c>
      <c r="AA464" t="s">
        <v>3391</v>
      </c>
      <c r="AB464" t="s">
        <v>3432</v>
      </c>
      <c r="AC464" t="s">
        <v>2123</v>
      </c>
      <c r="AD464" t="s">
        <v>2124</v>
      </c>
      <c r="AE464" t="s">
        <v>1758</v>
      </c>
      <c r="AF464" t="s">
        <v>34</v>
      </c>
      <c r="AG464" t="s">
        <v>34</v>
      </c>
      <c r="AH464" t="s">
        <v>34</v>
      </c>
      <c r="AI464" t="s">
        <v>34</v>
      </c>
      <c r="AJ464" t="s">
        <v>34</v>
      </c>
      <c r="AK464" t="s">
        <v>2125</v>
      </c>
      <c r="AL464" t="s">
        <v>34</v>
      </c>
      <c r="AM464" t="s">
        <v>4820</v>
      </c>
      <c r="AN464" s="478">
        <v>0</v>
      </c>
      <c r="AO464" s="478">
        <v>0</v>
      </c>
    </row>
    <row r="465" spans="1:88" s="420" customFormat="1" ht="15" customHeight="1" x14ac:dyDescent="0.2">
      <c r="A465">
        <v>464</v>
      </c>
      <c r="B465" t="s">
        <v>1456</v>
      </c>
      <c r="C465" t="s">
        <v>4405</v>
      </c>
      <c r="D465" t="s">
        <v>4406</v>
      </c>
      <c r="E465" t="s">
        <v>2080</v>
      </c>
      <c r="F465" t="s">
        <v>2010</v>
      </c>
      <c r="G465" t="s">
        <v>34</v>
      </c>
      <c r="H465" t="s">
        <v>2128</v>
      </c>
      <c r="I465" t="s">
        <v>5651</v>
      </c>
      <c r="J465" t="s">
        <v>1764</v>
      </c>
      <c r="K465" t="s">
        <v>4405</v>
      </c>
      <c r="L465" t="s">
        <v>4407</v>
      </c>
      <c r="M465" t="s">
        <v>4408</v>
      </c>
      <c r="N465" t="s">
        <v>4408</v>
      </c>
      <c r="O465" t="s">
        <v>2399</v>
      </c>
      <c r="P465" t="s">
        <v>3559</v>
      </c>
      <c r="Q465" t="s">
        <v>3559</v>
      </c>
      <c r="R465" t="s">
        <v>2280</v>
      </c>
      <c r="S465" t="s">
        <v>4409</v>
      </c>
      <c r="T465">
        <v>539</v>
      </c>
      <c r="U465" t="s">
        <v>1947</v>
      </c>
      <c r="V465" t="s">
        <v>4410</v>
      </c>
      <c r="W465" t="s">
        <v>4411</v>
      </c>
      <c r="X465" t="s">
        <v>2738</v>
      </c>
      <c r="Y465" t="s">
        <v>4844</v>
      </c>
      <c r="Z465" t="s">
        <v>4845</v>
      </c>
      <c r="AA465" t="s">
        <v>4859</v>
      </c>
      <c r="AB465" t="s">
        <v>4860</v>
      </c>
      <c r="AC465" t="s">
        <v>2123</v>
      </c>
      <c r="AD465" t="s">
        <v>2124</v>
      </c>
      <c r="AE465" t="s">
        <v>1758</v>
      </c>
      <c r="AF465" t="s">
        <v>34</v>
      </c>
      <c r="AG465" t="s">
        <v>34</v>
      </c>
      <c r="AH465" t="s">
        <v>34</v>
      </c>
      <c r="AI465" t="s">
        <v>34</v>
      </c>
      <c r="AJ465" t="s">
        <v>34</v>
      </c>
      <c r="AK465" t="s">
        <v>2125</v>
      </c>
      <c r="AL465" t="s">
        <v>34</v>
      </c>
      <c r="AM465" t="s">
        <v>4820</v>
      </c>
      <c r="AN465" s="478">
        <v>0</v>
      </c>
      <c r="AO465" s="478">
        <v>0</v>
      </c>
      <c r="AP465"/>
      <c r="AQ465"/>
      <c r="AR465"/>
      <c r="CE465"/>
      <c r="CG465"/>
      <c r="CI465"/>
      <c r="CJ465"/>
    </row>
    <row r="466" spans="1:88" s="421" customFormat="1" ht="15" customHeight="1" x14ac:dyDescent="0.2">
      <c r="A466">
        <v>465</v>
      </c>
      <c r="B466" t="s">
        <v>1456</v>
      </c>
      <c r="C466" t="s">
        <v>4537</v>
      </c>
      <c r="D466" t="s">
        <v>4538</v>
      </c>
      <c r="E466" t="s">
        <v>2080</v>
      </c>
      <c r="F466" t="s">
        <v>2010</v>
      </c>
      <c r="G466" t="s">
        <v>34</v>
      </c>
      <c r="H466" t="s">
        <v>2128</v>
      </c>
      <c r="I466" t="s">
        <v>5651</v>
      </c>
      <c r="J466" t="s">
        <v>1764</v>
      </c>
      <c r="K466" t="s">
        <v>4539</v>
      </c>
      <c r="L466" t="s">
        <v>4540</v>
      </c>
      <c r="M466" t="s">
        <v>4545</v>
      </c>
      <c r="N466" t="s">
        <v>4541</v>
      </c>
      <c r="O466" t="s">
        <v>109</v>
      </c>
      <c r="P466" t="s">
        <v>4542</v>
      </c>
      <c r="Q466" t="s">
        <v>4543</v>
      </c>
      <c r="R466" t="s">
        <v>2280</v>
      </c>
      <c r="S466" t="s">
        <v>2538</v>
      </c>
      <c r="T466">
        <v>23.6</v>
      </c>
      <c r="U466" t="s">
        <v>1947</v>
      </c>
      <c r="V466" t="s">
        <v>4544</v>
      </c>
      <c r="W466" t="s">
        <v>4545</v>
      </c>
      <c r="X466" t="s">
        <v>3421</v>
      </c>
      <c r="Y466" t="s">
        <v>4546</v>
      </c>
      <c r="Z466" t="s">
        <v>4547</v>
      </c>
      <c r="AA466" t="s">
        <v>3421</v>
      </c>
      <c r="AB466" t="s">
        <v>4548</v>
      </c>
      <c r="AC466" t="s">
        <v>2123</v>
      </c>
      <c r="AD466" t="s">
        <v>4549</v>
      </c>
      <c r="AE466" t="s">
        <v>1758</v>
      </c>
      <c r="AF466" t="s">
        <v>109</v>
      </c>
      <c r="AG466" t="s">
        <v>109</v>
      </c>
      <c r="AH466" t="s">
        <v>109</v>
      </c>
      <c r="AI466" t="s">
        <v>109</v>
      </c>
      <c r="AJ466" t="s">
        <v>109</v>
      </c>
      <c r="AK466" t="s">
        <v>2125</v>
      </c>
      <c r="AL466" t="s">
        <v>34</v>
      </c>
      <c r="AM466" t="s">
        <v>4820</v>
      </c>
      <c r="AN466" s="478">
        <v>0</v>
      </c>
      <c r="AO466" s="478">
        <v>0</v>
      </c>
      <c r="AP466"/>
      <c r="AQ466"/>
      <c r="AR466"/>
      <c r="CE466"/>
      <c r="CG466"/>
      <c r="CI466"/>
      <c r="CJ466"/>
    </row>
    <row r="467" spans="1:88" s="420" customFormat="1" ht="15" customHeight="1" x14ac:dyDescent="0.2">
      <c r="A467">
        <v>466</v>
      </c>
      <c r="B467" t="s">
        <v>1493</v>
      </c>
      <c r="C467" t="s">
        <v>4516</v>
      </c>
      <c r="D467" t="s">
        <v>4517</v>
      </c>
      <c r="E467" t="s">
        <v>2081</v>
      </c>
      <c r="F467" t="s">
        <v>2010</v>
      </c>
      <c r="G467" t="s">
        <v>34</v>
      </c>
      <c r="H467" t="s">
        <v>2128</v>
      </c>
      <c r="I467" t="s">
        <v>5651</v>
      </c>
      <c r="J467" t="s">
        <v>3445</v>
      </c>
      <c r="K467" t="s">
        <v>2382</v>
      </c>
      <c r="L467" t="s">
        <v>4518</v>
      </c>
      <c r="M467" t="s">
        <v>4516</v>
      </c>
      <c r="N467" t="s">
        <v>4516</v>
      </c>
      <c r="O467" t="s">
        <v>109</v>
      </c>
      <c r="P467" t="s">
        <v>4519</v>
      </c>
      <c r="Q467" t="s">
        <v>4520</v>
      </c>
      <c r="R467" t="s">
        <v>2121</v>
      </c>
      <c r="S467" t="s">
        <v>4521</v>
      </c>
      <c r="T467">
        <v>0</v>
      </c>
      <c r="U467" t="s">
        <v>2151</v>
      </c>
      <c r="V467" t="s">
        <v>2252</v>
      </c>
      <c r="W467" t="s">
        <v>4516</v>
      </c>
      <c r="X467" t="s">
        <v>3451</v>
      </c>
      <c r="Y467" t="s">
        <v>109</v>
      </c>
      <c r="Z467" t="s">
        <v>109</v>
      </c>
      <c r="AA467" t="s">
        <v>109</v>
      </c>
      <c r="AB467" t="s">
        <v>4522</v>
      </c>
      <c r="AC467" t="s">
        <v>2123</v>
      </c>
      <c r="AD467" t="s">
        <v>2124</v>
      </c>
      <c r="AE467" t="s">
        <v>1758</v>
      </c>
      <c r="AF467" t="s">
        <v>3347</v>
      </c>
      <c r="AG467" t="s">
        <v>34</v>
      </c>
      <c r="AH467" t="s">
        <v>34</v>
      </c>
      <c r="AI467" t="s">
        <v>34</v>
      </c>
      <c r="AJ467" t="s">
        <v>34</v>
      </c>
      <c r="AK467" t="s">
        <v>2125</v>
      </c>
      <c r="AL467" t="s">
        <v>34</v>
      </c>
      <c r="AM467" t="s">
        <v>4808</v>
      </c>
      <c r="AN467" s="478">
        <v>0</v>
      </c>
      <c r="AO467" s="478">
        <v>0</v>
      </c>
      <c r="AP467"/>
      <c r="AQ467"/>
      <c r="AR467"/>
      <c r="CE467"/>
      <c r="CG467"/>
      <c r="CI467"/>
      <c r="CJ467"/>
    </row>
    <row r="468" spans="1:88" s="421" customFormat="1" ht="15" customHeight="1" x14ac:dyDescent="0.2">
      <c r="A468">
        <v>467</v>
      </c>
      <c r="B468" t="s">
        <v>1493</v>
      </c>
      <c r="C468" t="s">
        <v>4703</v>
      </c>
      <c r="D468" t="s">
        <v>4704</v>
      </c>
      <c r="E468" t="s">
        <v>2081</v>
      </c>
      <c r="F468" t="s">
        <v>2010</v>
      </c>
      <c r="G468" t="s">
        <v>34</v>
      </c>
      <c r="H468" t="s">
        <v>2128</v>
      </c>
      <c r="I468" t="s">
        <v>5651</v>
      </c>
      <c r="J468" t="s">
        <v>4705</v>
      </c>
      <c r="K468" t="s">
        <v>2382</v>
      </c>
      <c r="L468" t="s">
        <v>3462</v>
      </c>
      <c r="M468" t="s">
        <v>4703</v>
      </c>
      <c r="N468" t="s">
        <v>4703</v>
      </c>
      <c r="O468" t="s">
        <v>109</v>
      </c>
      <c r="P468" t="s">
        <v>2385</v>
      </c>
      <c r="Q468" t="s">
        <v>3575</v>
      </c>
      <c r="R468" t="s">
        <v>2121</v>
      </c>
      <c r="S468" t="s">
        <v>3576</v>
      </c>
      <c r="T468">
        <v>6</v>
      </c>
      <c r="U468" t="s">
        <v>2151</v>
      </c>
      <c r="V468" t="s">
        <v>2252</v>
      </c>
      <c r="W468" t="s">
        <v>1498</v>
      </c>
      <c r="X468" t="s">
        <v>3463</v>
      </c>
      <c r="Y468" t="s">
        <v>109</v>
      </c>
      <c r="Z468" t="s">
        <v>109</v>
      </c>
      <c r="AA468" t="s">
        <v>109</v>
      </c>
      <c r="AB468" t="s">
        <v>5513</v>
      </c>
      <c r="AC468" t="s">
        <v>2123</v>
      </c>
      <c r="AD468" t="s">
        <v>2124</v>
      </c>
      <c r="AE468" t="s">
        <v>1758</v>
      </c>
      <c r="AF468" t="s">
        <v>34</v>
      </c>
      <c r="AG468" t="s">
        <v>34</v>
      </c>
      <c r="AH468" t="s">
        <v>34</v>
      </c>
      <c r="AI468" t="s">
        <v>34</v>
      </c>
      <c r="AJ468" t="s">
        <v>34</v>
      </c>
      <c r="AK468" t="s">
        <v>2125</v>
      </c>
      <c r="AL468" t="s">
        <v>34</v>
      </c>
      <c r="AM468" t="s">
        <v>4808</v>
      </c>
      <c r="AN468" s="478">
        <v>0</v>
      </c>
      <c r="AO468" s="478">
        <v>0</v>
      </c>
      <c r="AP468"/>
      <c r="AQ468"/>
      <c r="AR468"/>
      <c r="CE468"/>
      <c r="CG468"/>
      <c r="CI468"/>
      <c r="CJ468"/>
    </row>
    <row r="469" spans="1:88" s="420" customFormat="1" ht="15" customHeight="1" x14ac:dyDescent="0.2">
      <c r="A469">
        <v>468</v>
      </c>
      <c r="B469" t="s">
        <v>1493</v>
      </c>
      <c r="C469" t="s">
        <v>1500</v>
      </c>
      <c r="D469" t="s">
        <v>4250</v>
      </c>
      <c r="E469" t="s">
        <v>2081</v>
      </c>
      <c r="F469" t="s">
        <v>2010</v>
      </c>
      <c r="G469" t="s">
        <v>34</v>
      </c>
      <c r="H469" t="s">
        <v>2128</v>
      </c>
      <c r="I469" t="s">
        <v>5651</v>
      </c>
      <c r="J469" t="s">
        <v>4705</v>
      </c>
      <c r="K469" t="s">
        <v>2382</v>
      </c>
      <c r="L469" t="s">
        <v>3462</v>
      </c>
      <c r="M469" t="s">
        <v>1500</v>
      </c>
      <c r="N469" t="s">
        <v>1500</v>
      </c>
      <c r="O469" t="s">
        <v>109</v>
      </c>
      <c r="P469" t="s">
        <v>2385</v>
      </c>
      <c r="Q469" t="s">
        <v>3575</v>
      </c>
      <c r="R469" t="s">
        <v>2121</v>
      </c>
      <c r="S469" t="s">
        <v>3576</v>
      </c>
      <c r="T469">
        <v>6</v>
      </c>
      <c r="U469" t="s">
        <v>2151</v>
      </c>
      <c r="V469" t="s">
        <v>2252</v>
      </c>
      <c r="W469" t="s">
        <v>1500</v>
      </c>
      <c r="X469" t="s">
        <v>3465</v>
      </c>
      <c r="Y469" t="s">
        <v>109</v>
      </c>
      <c r="Z469" t="s">
        <v>109</v>
      </c>
      <c r="AA469" t="s">
        <v>109</v>
      </c>
      <c r="AB469" t="s">
        <v>3456</v>
      </c>
      <c r="AC469" t="s">
        <v>2123</v>
      </c>
      <c r="AD469" t="s">
        <v>2124</v>
      </c>
      <c r="AE469" t="s">
        <v>1758</v>
      </c>
      <c r="AF469" t="s">
        <v>34</v>
      </c>
      <c r="AG469" t="s">
        <v>34</v>
      </c>
      <c r="AH469" t="s">
        <v>34</v>
      </c>
      <c r="AI469" t="s">
        <v>34</v>
      </c>
      <c r="AJ469" t="s">
        <v>34</v>
      </c>
      <c r="AK469" t="s">
        <v>2125</v>
      </c>
      <c r="AL469" t="s">
        <v>34</v>
      </c>
      <c r="AM469" t="s">
        <v>4808</v>
      </c>
      <c r="AN469" s="478">
        <v>0</v>
      </c>
      <c r="AO469" s="478">
        <v>0</v>
      </c>
      <c r="AP469"/>
      <c r="AQ469"/>
      <c r="AR469"/>
      <c r="CE469"/>
      <c r="CG469"/>
      <c r="CI469"/>
      <c r="CJ469"/>
    </row>
    <row r="470" spans="1:88" s="421" customFormat="1" ht="15" customHeight="1" x14ac:dyDescent="0.2">
      <c r="A470">
        <v>469</v>
      </c>
      <c r="B470" t="s">
        <v>1493</v>
      </c>
      <c r="C470" t="s">
        <v>1502</v>
      </c>
      <c r="D470" t="s">
        <v>4251</v>
      </c>
      <c r="E470" t="s">
        <v>2081</v>
      </c>
      <c r="F470" t="s">
        <v>2010</v>
      </c>
      <c r="G470" t="s">
        <v>34</v>
      </c>
      <c r="H470" t="s">
        <v>2128</v>
      </c>
      <c r="I470" t="s">
        <v>5697</v>
      </c>
      <c r="J470" t="s">
        <v>4705</v>
      </c>
      <c r="K470" t="s">
        <v>2382</v>
      </c>
      <c r="L470" t="s">
        <v>3462</v>
      </c>
      <c r="M470" t="s">
        <v>1502</v>
      </c>
      <c r="N470" t="s">
        <v>1502</v>
      </c>
      <c r="O470" t="s">
        <v>2399</v>
      </c>
      <c r="P470" t="s">
        <v>2385</v>
      </c>
      <c r="Q470" t="s">
        <v>3575</v>
      </c>
      <c r="R470" t="s">
        <v>2121</v>
      </c>
      <c r="S470" t="s">
        <v>3576</v>
      </c>
      <c r="T470">
        <v>6</v>
      </c>
      <c r="U470" t="s">
        <v>2151</v>
      </c>
      <c r="V470" t="s">
        <v>2252</v>
      </c>
      <c r="W470" t="s">
        <v>1502</v>
      </c>
      <c r="X470" t="s">
        <v>3465</v>
      </c>
      <c r="Y470" t="s">
        <v>109</v>
      </c>
      <c r="Z470" t="s">
        <v>109</v>
      </c>
      <c r="AA470" t="s">
        <v>109</v>
      </c>
      <c r="AB470" t="s">
        <v>3466</v>
      </c>
      <c r="AC470" t="s">
        <v>2123</v>
      </c>
      <c r="AD470" t="s">
        <v>2124</v>
      </c>
      <c r="AE470" t="s">
        <v>1758</v>
      </c>
      <c r="AF470" t="s">
        <v>34</v>
      </c>
      <c r="AG470" t="s">
        <v>34</v>
      </c>
      <c r="AH470" t="s">
        <v>34</v>
      </c>
      <c r="AI470" t="s">
        <v>34</v>
      </c>
      <c r="AJ470" t="s">
        <v>34</v>
      </c>
      <c r="AK470" t="s">
        <v>2125</v>
      </c>
      <c r="AL470" t="s">
        <v>34</v>
      </c>
      <c r="AM470" t="s">
        <v>4808</v>
      </c>
      <c r="AN470" s="478">
        <v>0</v>
      </c>
      <c r="AO470" s="478">
        <v>0</v>
      </c>
      <c r="AP470"/>
      <c r="AQ470"/>
      <c r="AR470"/>
      <c r="CE470"/>
      <c r="CG470"/>
      <c r="CI470"/>
      <c r="CJ470"/>
    </row>
    <row r="471" spans="1:88" s="420" customFormat="1" ht="15" customHeight="1" x14ac:dyDescent="0.2">
      <c r="A471">
        <v>470</v>
      </c>
      <c r="B471" t="s">
        <v>1493</v>
      </c>
      <c r="C471" t="s">
        <v>1504</v>
      </c>
      <c r="D471" t="s">
        <v>4252</v>
      </c>
      <c r="E471" t="s">
        <v>2081</v>
      </c>
      <c r="F471" t="s">
        <v>2010</v>
      </c>
      <c r="G471" t="s">
        <v>34</v>
      </c>
      <c r="H471" t="s">
        <v>2128</v>
      </c>
      <c r="I471" t="s">
        <v>5651</v>
      </c>
      <c r="J471" t="s">
        <v>4705</v>
      </c>
      <c r="K471" t="s">
        <v>2382</v>
      </c>
      <c r="L471" t="s">
        <v>3462</v>
      </c>
      <c r="M471" t="s">
        <v>1504</v>
      </c>
      <c r="N471" t="s">
        <v>1504</v>
      </c>
      <c r="O471" t="s">
        <v>109</v>
      </c>
      <c r="P471" t="s">
        <v>2385</v>
      </c>
      <c r="Q471" t="s">
        <v>3575</v>
      </c>
      <c r="R471" t="s">
        <v>2121</v>
      </c>
      <c r="S471" t="s">
        <v>3576</v>
      </c>
      <c r="T471">
        <v>6</v>
      </c>
      <c r="U471" t="s">
        <v>2151</v>
      </c>
      <c r="V471" t="s">
        <v>2252</v>
      </c>
      <c r="W471" t="s">
        <v>1504</v>
      </c>
      <c r="X471" t="s">
        <v>3463</v>
      </c>
      <c r="Y471" t="s">
        <v>109</v>
      </c>
      <c r="Z471" t="s">
        <v>109</v>
      </c>
      <c r="AA471" t="s">
        <v>109</v>
      </c>
      <c r="AB471" t="s">
        <v>3468</v>
      </c>
      <c r="AC471" t="s">
        <v>2123</v>
      </c>
      <c r="AD471" t="s">
        <v>2124</v>
      </c>
      <c r="AE471" t="s">
        <v>1758</v>
      </c>
      <c r="AF471" t="s">
        <v>34</v>
      </c>
      <c r="AG471" t="s">
        <v>34</v>
      </c>
      <c r="AH471" t="s">
        <v>34</v>
      </c>
      <c r="AI471" t="s">
        <v>34</v>
      </c>
      <c r="AJ471" t="s">
        <v>34</v>
      </c>
      <c r="AK471" t="s">
        <v>2125</v>
      </c>
      <c r="AL471" t="s">
        <v>34</v>
      </c>
      <c r="AM471" t="s">
        <v>4808</v>
      </c>
      <c r="AN471" s="478">
        <v>0</v>
      </c>
      <c r="AO471" s="478">
        <v>0</v>
      </c>
      <c r="AP471"/>
      <c r="AQ471"/>
      <c r="AR471"/>
      <c r="CE471"/>
      <c r="CG471"/>
      <c r="CI471"/>
      <c r="CJ471"/>
    </row>
    <row r="472" spans="1:88" s="421" customFormat="1" ht="15" customHeight="1" x14ac:dyDescent="0.2">
      <c r="A472">
        <v>471</v>
      </c>
      <c r="B472" t="s">
        <v>1493</v>
      </c>
      <c r="C472" t="s">
        <v>1506</v>
      </c>
      <c r="D472" t="s">
        <v>4253</v>
      </c>
      <c r="E472" t="s">
        <v>2081</v>
      </c>
      <c r="F472" t="s">
        <v>2010</v>
      </c>
      <c r="G472" t="s">
        <v>34</v>
      </c>
      <c r="H472" t="s">
        <v>2128</v>
      </c>
      <c r="I472" t="s">
        <v>5651</v>
      </c>
      <c r="J472" t="s">
        <v>4705</v>
      </c>
      <c r="K472" t="s">
        <v>2382</v>
      </c>
      <c r="L472" t="s">
        <v>3462</v>
      </c>
      <c r="M472" t="s">
        <v>1506</v>
      </c>
      <c r="N472" t="s">
        <v>1506</v>
      </c>
      <c r="O472" t="s">
        <v>109</v>
      </c>
      <c r="P472" t="s">
        <v>2385</v>
      </c>
      <c r="Q472" t="s">
        <v>3575</v>
      </c>
      <c r="R472" t="s">
        <v>2121</v>
      </c>
      <c r="S472" t="s">
        <v>3576</v>
      </c>
      <c r="T472">
        <v>6</v>
      </c>
      <c r="U472" t="s">
        <v>2151</v>
      </c>
      <c r="V472" t="s">
        <v>2196</v>
      </c>
      <c r="W472" t="s">
        <v>1506</v>
      </c>
      <c r="X472" t="s">
        <v>3463</v>
      </c>
      <c r="Y472" t="s">
        <v>109</v>
      </c>
      <c r="Z472" t="s">
        <v>109</v>
      </c>
      <c r="AA472" t="s">
        <v>109</v>
      </c>
      <c r="AB472" t="s">
        <v>3467</v>
      </c>
      <c r="AC472" t="s">
        <v>2123</v>
      </c>
      <c r="AD472" t="s">
        <v>2124</v>
      </c>
      <c r="AE472" t="s">
        <v>1758</v>
      </c>
      <c r="AF472" t="s">
        <v>34</v>
      </c>
      <c r="AG472" t="s">
        <v>34</v>
      </c>
      <c r="AH472" t="s">
        <v>34</v>
      </c>
      <c r="AI472" t="s">
        <v>34</v>
      </c>
      <c r="AJ472" t="s">
        <v>34</v>
      </c>
      <c r="AK472" t="s">
        <v>2125</v>
      </c>
      <c r="AL472" t="s">
        <v>34</v>
      </c>
      <c r="AM472" t="s">
        <v>4808</v>
      </c>
      <c r="AN472" s="478">
        <v>0</v>
      </c>
      <c r="AO472" s="478">
        <v>0</v>
      </c>
      <c r="AP472"/>
      <c r="AQ472"/>
      <c r="AR472"/>
      <c r="CE472"/>
      <c r="CG472"/>
      <c r="CI472"/>
      <c r="CJ472"/>
    </row>
    <row r="473" spans="1:88" s="420" customFormat="1" ht="15" customHeight="1" x14ac:dyDescent="0.2">
      <c r="A473">
        <v>472</v>
      </c>
      <c r="B473" t="s">
        <v>1493</v>
      </c>
      <c r="C473" t="s">
        <v>1508</v>
      </c>
      <c r="D473" t="s">
        <v>4254</v>
      </c>
      <c r="E473" t="s">
        <v>2081</v>
      </c>
      <c r="F473" t="s">
        <v>2010</v>
      </c>
      <c r="G473" t="s">
        <v>34</v>
      </c>
      <c r="H473" t="s">
        <v>2128</v>
      </c>
      <c r="I473" t="s">
        <v>5697</v>
      </c>
      <c r="J473" t="s">
        <v>4705</v>
      </c>
      <c r="K473" t="s">
        <v>2382</v>
      </c>
      <c r="L473" t="s">
        <v>2383</v>
      </c>
      <c r="M473" t="s">
        <v>1508</v>
      </c>
      <c r="N473" t="s">
        <v>1508</v>
      </c>
      <c r="O473" t="s">
        <v>2399</v>
      </c>
      <c r="P473" t="s">
        <v>2385</v>
      </c>
      <c r="Q473" t="s">
        <v>3575</v>
      </c>
      <c r="R473" t="s">
        <v>2121</v>
      </c>
      <c r="S473" t="s">
        <v>3576</v>
      </c>
      <c r="T473">
        <v>6</v>
      </c>
      <c r="U473" t="s">
        <v>2151</v>
      </c>
      <c r="V473" t="s">
        <v>2252</v>
      </c>
      <c r="W473" t="s">
        <v>1508</v>
      </c>
      <c r="X473" t="s">
        <v>3465</v>
      </c>
      <c r="Y473" t="s">
        <v>109</v>
      </c>
      <c r="Z473" t="s">
        <v>109</v>
      </c>
      <c r="AA473" t="s">
        <v>109</v>
      </c>
      <c r="AB473" t="s">
        <v>3466</v>
      </c>
      <c r="AC473" t="s">
        <v>2123</v>
      </c>
      <c r="AD473" t="s">
        <v>2124</v>
      </c>
      <c r="AE473" t="s">
        <v>1758</v>
      </c>
      <c r="AF473" t="s">
        <v>34</v>
      </c>
      <c r="AG473" t="s">
        <v>34</v>
      </c>
      <c r="AH473" t="s">
        <v>34</v>
      </c>
      <c r="AI473" t="s">
        <v>34</v>
      </c>
      <c r="AJ473" t="s">
        <v>34</v>
      </c>
      <c r="AK473" t="s">
        <v>2125</v>
      </c>
      <c r="AL473" t="s">
        <v>34</v>
      </c>
      <c r="AM473" t="s">
        <v>4808</v>
      </c>
      <c r="AN473" s="478">
        <v>0</v>
      </c>
      <c r="AO473" s="478">
        <v>0</v>
      </c>
      <c r="AP473"/>
      <c r="AQ473"/>
      <c r="AR473"/>
      <c r="CE473"/>
      <c r="CG473"/>
      <c r="CI473"/>
      <c r="CJ473"/>
    </row>
    <row r="474" spans="1:88" s="421" customFormat="1" ht="15" customHeight="1" x14ac:dyDescent="0.2">
      <c r="A474">
        <v>473</v>
      </c>
      <c r="B474" t="s">
        <v>1493</v>
      </c>
      <c r="C474" t="s">
        <v>1510</v>
      </c>
      <c r="D474" t="s">
        <v>4255</v>
      </c>
      <c r="E474" t="s">
        <v>2081</v>
      </c>
      <c r="F474" t="s">
        <v>2010</v>
      </c>
      <c r="G474" t="s">
        <v>34</v>
      </c>
      <c r="H474" t="s">
        <v>2128</v>
      </c>
      <c r="I474" t="s">
        <v>5651</v>
      </c>
      <c r="J474" t="s">
        <v>4705</v>
      </c>
      <c r="K474" t="s">
        <v>2382</v>
      </c>
      <c r="L474" t="s">
        <v>3462</v>
      </c>
      <c r="M474" t="s">
        <v>1510</v>
      </c>
      <c r="N474" t="s">
        <v>1510</v>
      </c>
      <c r="O474" t="s">
        <v>109</v>
      </c>
      <c r="P474" t="s">
        <v>2385</v>
      </c>
      <c r="Q474" t="s">
        <v>3575</v>
      </c>
      <c r="R474" t="s">
        <v>2121</v>
      </c>
      <c r="S474" t="s">
        <v>3576</v>
      </c>
      <c r="T474">
        <v>6</v>
      </c>
      <c r="U474" t="s">
        <v>2151</v>
      </c>
      <c r="V474" t="s">
        <v>2252</v>
      </c>
      <c r="W474" t="s">
        <v>1498</v>
      </c>
      <c r="X474" t="s">
        <v>3463</v>
      </c>
      <c r="Y474" t="s">
        <v>109</v>
      </c>
      <c r="Z474" t="s">
        <v>109</v>
      </c>
      <c r="AA474" t="s">
        <v>109</v>
      </c>
      <c r="AB474" t="s">
        <v>3464</v>
      </c>
      <c r="AC474" t="s">
        <v>2123</v>
      </c>
      <c r="AD474" t="s">
        <v>2124</v>
      </c>
      <c r="AE474" t="s">
        <v>1758</v>
      </c>
      <c r="AF474" t="s">
        <v>34</v>
      </c>
      <c r="AG474" t="s">
        <v>34</v>
      </c>
      <c r="AH474" t="s">
        <v>34</v>
      </c>
      <c r="AI474" t="s">
        <v>34</v>
      </c>
      <c r="AJ474" t="s">
        <v>34</v>
      </c>
      <c r="AK474" t="s">
        <v>2125</v>
      </c>
      <c r="AL474" t="s">
        <v>34</v>
      </c>
      <c r="AM474" t="s">
        <v>4808</v>
      </c>
      <c r="AN474" s="478">
        <v>0</v>
      </c>
      <c r="AO474" s="478">
        <v>0</v>
      </c>
      <c r="AP474"/>
      <c r="AQ474"/>
      <c r="AR474"/>
      <c r="CE474"/>
      <c r="CG474"/>
      <c r="CI474"/>
      <c r="CJ474"/>
    </row>
    <row r="475" spans="1:88" s="420" customFormat="1" ht="15" customHeight="1" x14ac:dyDescent="0.2">
      <c r="A475">
        <v>474</v>
      </c>
      <c r="B475" t="s">
        <v>1493</v>
      </c>
      <c r="C475" t="s">
        <v>4602</v>
      </c>
      <c r="D475" t="s">
        <v>4603</v>
      </c>
      <c r="E475" t="s">
        <v>2081</v>
      </c>
      <c r="F475" t="s">
        <v>2010</v>
      </c>
      <c r="G475" t="s">
        <v>34</v>
      </c>
      <c r="H475" t="s">
        <v>2128</v>
      </c>
      <c r="I475" t="s">
        <v>5651</v>
      </c>
      <c r="J475" t="s">
        <v>4705</v>
      </c>
      <c r="K475" t="s">
        <v>2382</v>
      </c>
      <c r="L475" t="s">
        <v>3462</v>
      </c>
      <c r="M475" t="s">
        <v>4602</v>
      </c>
      <c r="N475" t="s">
        <v>4602</v>
      </c>
      <c r="O475" t="s">
        <v>109</v>
      </c>
      <c r="P475" t="s">
        <v>2385</v>
      </c>
      <c r="Q475" t="s">
        <v>3575</v>
      </c>
      <c r="R475" t="s">
        <v>2121</v>
      </c>
      <c r="S475" t="s">
        <v>3576</v>
      </c>
      <c r="T475">
        <v>6</v>
      </c>
      <c r="U475" t="s">
        <v>2151</v>
      </c>
      <c r="V475" t="s">
        <v>2252</v>
      </c>
      <c r="W475" t="s">
        <v>4602</v>
      </c>
      <c r="X475" t="s">
        <v>3463</v>
      </c>
      <c r="Y475" t="s">
        <v>109</v>
      </c>
      <c r="Z475" t="s">
        <v>109</v>
      </c>
      <c r="AA475" t="s">
        <v>109</v>
      </c>
      <c r="AB475" t="s">
        <v>3464</v>
      </c>
      <c r="AC475" t="s">
        <v>2123</v>
      </c>
      <c r="AD475" t="s">
        <v>2124</v>
      </c>
      <c r="AE475" t="s">
        <v>1758</v>
      </c>
      <c r="AF475" t="s">
        <v>3347</v>
      </c>
      <c r="AG475" t="s">
        <v>34</v>
      </c>
      <c r="AH475" t="s">
        <v>34</v>
      </c>
      <c r="AI475" t="s">
        <v>34</v>
      </c>
      <c r="AJ475" t="s">
        <v>34</v>
      </c>
      <c r="AK475" t="s">
        <v>2125</v>
      </c>
      <c r="AL475" t="s">
        <v>34</v>
      </c>
      <c r="AM475" t="s">
        <v>4808</v>
      </c>
      <c r="AN475" s="478">
        <v>0</v>
      </c>
      <c r="AO475" s="478">
        <v>0</v>
      </c>
      <c r="AP475"/>
      <c r="AQ475"/>
      <c r="AR475"/>
      <c r="CE475"/>
      <c r="CG475"/>
      <c r="CI475"/>
      <c r="CJ475"/>
    </row>
    <row r="476" spans="1:88" s="421" customFormat="1" ht="15" customHeight="1" x14ac:dyDescent="0.2">
      <c r="A476">
        <v>475</v>
      </c>
      <c r="B476" t="s">
        <v>1493</v>
      </c>
      <c r="C476" t="s">
        <v>817</v>
      </c>
      <c r="D476" t="s">
        <v>4256</v>
      </c>
      <c r="E476" t="s">
        <v>2081</v>
      </c>
      <c r="F476" t="s">
        <v>2010</v>
      </c>
      <c r="G476" t="s">
        <v>34</v>
      </c>
      <c r="H476" t="s">
        <v>2128</v>
      </c>
      <c r="I476" t="s">
        <v>5651</v>
      </c>
      <c r="J476" t="s">
        <v>1764</v>
      </c>
      <c r="K476" t="s">
        <v>2132</v>
      </c>
      <c r="L476" t="s">
        <v>3442</v>
      </c>
      <c r="M476">
        <v>176667</v>
      </c>
      <c r="N476" t="s">
        <v>817</v>
      </c>
      <c r="O476" t="s">
        <v>2399</v>
      </c>
      <c r="P476" t="s">
        <v>3571</v>
      </c>
      <c r="Q476" t="s">
        <v>2204</v>
      </c>
      <c r="R476" t="s">
        <v>2185</v>
      </c>
      <c r="S476" t="s">
        <v>3572</v>
      </c>
      <c r="T476">
        <v>27.2</v>
      </c>
      <c r="U476" t="s">
        <v>1947</v>
      </c>
      <c r="V476" t="s">
        <v>3443</v>
      </c>
      <c r="W476" t="s">
        <v>3444</v>
      </c>
      <c r="X476" t="s">
        <v>2122</v>
      </c>
      <c r="Y476" t="s">
        <v>109</v>
      </c>
      <c r="Z476" t="s">
        <v>109</v>
      </c>
      <c r="AA476" t="s">
        <v>109</v>
      </c>
      <c r="AB476" t="s">
        <v>34</v>
      </c>
      <c r="AC476" t="s">
        <v>2123</v>
      </c>
      <c r="AD476" t="s">
        <v>2124</v>
      </c>
      <c r="AE476" t="s">
        <v>1758</v>
      </c>
      <c r="AF476">
        <v>10</v>
      </c>
      <c r="AG476">
        <v>2</v>
      </c>
      <c r="AH476">
        <v>0</v>
      </c>
      <c r="AI476" t="s">
        <v>3945</v>
      </c>
      <c r="AJ476" t="s">
        <v>34</v>
      </c>
      <c r="AK476" t="s">
        <v>2125</v>
      </c>
      <c r="AL476" t="s">
        <v>34</v>
      </c>
      <c r="AM476" t="s">
        <v>4803</v>
      </c>
      <c r="AN476" s="478">
        <v>0</v>
      </c>
      <c r="AO476" s="478">
        <v>0</v>
      </c>
      <c r="AP476"/>
      <c r="AQ476"/>
      <c r="AR476"/>
      <c r="CE476"/>
      <c r="CG476"/>
      <c r="CI476"/>
      <c r="CJ476"/>
    </row>
    <row r="477" spans="1:88" s="420" customFormat="1" ht="15" customHeight="1" x14ac:dyDescent="0.2">
      <c r="A477">
        <v>476</v>
      </c>
      <c r="B477" t="s">
        <v>1493</v>
      </c>
      <c r="C477" t="s">
        <v>835</v>
      </c>
      <c r="D477" t="s">
        <v>4257</v>
      </c>
      <c r="E477" t="s">
        <v>2081</v>
      </c>
      <c r="F477" t="s">
        <v>2010</v>
      </c>
      <c r="G477" t="s">
        <v>34</v>
      </c>
      <c r="H477" t="s">
        <v>2128</v>
      </c>
      <c r="I477" t="s">
        <v>5651</v>
      </c>
      <c r="J477" t="s">
        <v>2116</v>
      </c>
      <c r="K477" t="s">
        <v>1450</v>
      </c>
      <c r="L477" t="s">
        <v>3469</v>
      </c>
      <c r="M477" t="s">
        <v>3470</v>
      </c>
      <c r="N477" t="s">
        <v>835</v>
      </c>
      <c r="O477" t="s">
        <v>2399</v>
      </c>
      <c r="P477" t="s">
        <v>3577</v>
      </c>
      <c r="Q477" t="s">
        <v>2204</v>
      </c>
      <c r="R477" t="s">
        <v>2185</v>
      </c>
      <c r="S477" t="s">
        <v>3572</v>
      </c>
      <c r="T477">
        <v>26.1</v>
      </c>
      <c r="U477" t="s">
        <v>1947</v>
      </c>
      <c r="V477" t="s">
        <v>3443</v>
      </c>
      <c r="W477" t="s">
        <v>3471</v>
      </c>
      <c r="X477" t="s">
        <v>2122</v>
      </c>
      <c r="Y477" t="s">
        <v>109</v>
      </c>
      <c r="Z477" t="s">
        <v>109</v>
      </c>
      <c r="AA477" t="s">
        <v>109</v>
      </c>
      <c r="AB477" t="s">
        <v>34</v>
      </c>
      <c r="AC477" t="s">
        <v>2123</v>
      </c>
      <c r="AD477" t="s">
        <v>2124</v>
      </c>
      <c r="AE477" t="s">
        <v>1758</v>
      </c>
      <c r="AF477">
        <v>10</v>
      </c>
      <c r="AG477">
        <v>2</v>
      </c>
      <c r="AH477">
        <v>0</v>
      </c>
      <c r="AI477" t="s">
        <v>3945</v>
      </c>
      <c r="AJ477" t="s">
        <v>34</v>
      </c>
      <c r="AK477" t="s">
        <v>2125</v>
      </c>
      <c r="AL477" t="s">
        <v>34</v>
      </c>
      <c r="AM477" t="s">
        <v>4803</v>
      </c>
      <c r="AN477" s="478">
        <v>0</v>
      </c>
      <c r="AO477" s="478">
        <v>0</v>
      </c>
      <c r="AP477"/>
      <c r="AQ477"/>
      <c r="AR477"/>
      <c r="CE477"/>
      <c r="CG477"/>
      <c r="CI477"/>
      <c r="CJ477"/>
    </row>
    <row r="478" spans="1:88" s="421" customFormat="1" ht="15" customHeight="1" x14ac:dyDescent="0.2">
      <c r="A478">
        <v>477</v>
      </c>
      <c r="B478" t="s">
        <v>1493</v>
      </c>
      <c r="C478" t="s">
        <v>1869</v>
      </c>
      <c r="D478" t="s">
        <v>4258</v>
      </c>
      <c r="E478" t="s">
        <v>2081</v>
      </c>
      <c r="F478" t="s">
        <v>2010</v>
      </c>
      <c r="G478" t="s">
        <v>34</v>
      </c>
      <c r="H478" t="s">
        <v>2128</v>
      </c>
      <c r="I478" t="s">
        <v>5651</v>
      </c>
      <c r="J478" t="s">
        <v>4706</v>
      </c>
      <c r="K478" t="s">
        <v>2382</v>
      </c>
      <c r="L478" t="s">
        <v>3446</v>
      </c>
      <c r="M478" t="s">
        <v>1869</v>
      </c>
      <c r="N478" t="s">
        <v>1869</v>
      </c>
      <c r="O478" t="s">
        <v>2399</v>
      </c>
      <c r="P478" t="s">
        <v>3569</v>
      </c>
      <c r="Q478" t="s">
        <v>4724</v>
      </c>
      <c r="R478" t="s">
        <v>2121</v>
      </c>
      <c r="S478" t="s">
        <v>3570</v>
      </c>
      <c r="T478">
        <v>1.6</v>
      </c>
      <c r="U478" t="s">
        <v>2151</v>
      </c>
      <c r="V478" t="s">
        <v>2252</v>
      </c>
      <c r="W478" t="s">
        <v>1869</v>
      </c>
      <c r="X478" t="s">
        <v>3447</v>
      </c>
      <c r="Y478" t="s">
        <v>109</v>
      </c>
      <c r="Z478" t="s">
        <v>109</v>
      </c>
      <c r="AA478" t="s">
        <v>109</v>
      </c>
      <c r="AB478" t="s">
        <v>3448</v>
      </c>
      <c r="AC478" t="s">
        <v>2123</v>
      </c>
      <c r="AD478" t="s">
        <v>2124</v>
      </c>
      <c r="AE478" t="s">
        <v>1758</v>
      </c>
      <c r="AF478" t="s">
        <v>34</v>
      </c>
      <c r="AG478" t="s">
        <v>34</v>
      </c>
      <c r="AH478" t="s">
        <v>34</v>
      </c>
      <c r="AI478" t="s">
        <v>34</v>
      </c>
      <c r="AJ478" t="s">
        <v>34</v>
      </c>
      <c r="AK478" t="s">
        <v>2125</v>
      </c>
      <c r="AL478" t="s">
        <v>34</v>
      </c>
      <c r="AM478" t="s">
        <v>4808</v>
      </c>
      <c r="AN478" s="478">
        <v>0</v>
      </c>
      <c r="AO478" s="478">
        <v>0</v>
      </c>
      <c r="AP478"/>
      <c r="AQ478"/>
      <c r="AR478"/>
      <c r="CE478"/>
      <c r="CG478"/>
      <c r="CI478"/>
      <c r="CJ478"/>
    </row>
    <row r="479" spans="1:88" s="420" customFormat="1" ht="15" customHeight="1" x14ac:dyDescent="0.2">
      <c r="A479">
        <v>478</v>
      </c>
      <c r="B479" t="s">
        <v>1493</v>
      </c>
      <c r="C479" t="s">
        <v>1512</v>
      </c>
      <c r="D479" t="s">
        <v>4259</v>
      </c>
      <c r="E479" t="s">
        <v>2081</v>
      </c>
      <c r="F479" t="s">
        <v>2010</v>
      </c>
      <c r="G479" t="s">
        <v>34</v>
      </c>
      <c r="H479" t="s">
        <v>2128</v>
      </c>
      <c r="I479" t="s">
        <v>5651</v>
      </c>
      <c r="J479" t="s">
        <v>4706</v>
      </c>
      <c r="K479" t="s">
        <v>2382</v>
      </c>
      <c r="L479" t="s">
        <v>3459</v>
      </c>
      <c r="M479" t="s">
        <v>1512</v>
      </c>
      <c r="N479" t="s">
        <v>1512</v>
      </c>
      <c r="O479" t="s">
        <v>2399</v>
      </c>
      <c r="P479" t="s">
        <v>3569</v>
      </c>
      <c r="Q479" t="s">
        <v>4724</v>
      </c>
      <c r="R479" t="s">
        <v>2121</v>
      </c>
      <c r="S479" t="s">
        <v>3570</v>
      </c>
      <c r="T479">
        <v>1.6</v>
      </c>
      <c r="U479" t="s">
        <v>2151</v>
      </c>
      <c r="V479" t="s">
        <v>2252</v>
      </c>
      <c r="W479" t="s">
        <v>1512</v>
      </c>
      <c r="X479" t="s">
        <v>3460</v>
      </c>
      <c r="Y479" t="s">
        <v>109</v>
      </c>
      <c r="Z479" t="s">
        <v>109</v>
      </c>
      <c r="AA479" t="s">
        <v>109</v>
      </c>
      <c r="AB479" t="s">
        <v>3461</v>
      </c>
      <c r="AC479" t="s">
        <v>2123</v>
      </c>
      <c r="AD479" t="s">
        <v>2124</v>
      </c>
      <c r="AE479" t="s">
        <v>1758</v>
      </c>
      <c r="AF479" t="s">
        <v>34</v>
      </c>
      <c r="AG479" t="s">
        <v>34</v>
      </c>
      <c r="AH479" t="s">
        <v>34</v>
      </c>
      <c r="AI479" t="s">
        <v>34</v>
      </c>
      <c r="AJ479" t="s">
        <v>34</v>
      </c>
      <c r="AK479" t="s">
        <v>2125</v>
      </c>
      <c r="AL479" t="s">
        <v>34</v>
      </c>
      <c r="AM479" t="s">
        <v>4808</v>
      </c>
      <c r="AN479" s="478">
        <v>0</v>
      </c>
      <c r="AO479" s="478">
        <v>0</v>
      </c>
      <c r="AP479"/>
      <c r="AQ479"/>
      <c r="AR479"/>
      <c r="CE479"/>
      <c r="CG479"/>
      <c r="CI479"/>
      <c r="CJ479"/>
    </row>
    <row r="480" spans="1:88" s="421" customFormat="1" ht="15" customHeight="1" x14ac:dyDescent="0.2">
      <c r="A480">
        <v>479</v>
      </c>
      <c r="B480" t="s">
        <v>1493</v>
      </c>
      <c r="C480" t="s">
        <v>1514</v>
      </c>
      <c r="D480" t="s">
        <v>4260</v>
      </c>
      <c r="E480" t="s">
        <v>2081</v>
      </c>
      <c r="F480" t="s">
        <v>2010</v>
      </c>
      <c r="G480" t="s">
        <v>34</v>
      </c>
      <c r="H480" t="s">
        <v>2128</v>
      </c>
      <c r="I480" t="s">
        <v>5651</v>
      </c>
      <c r="J480" t="s">
        <v>4706</v>
      </c>
      <c r="K480" t="s">
        <v>2382</v>
      </c>
      <c r="L480" t="s">
        <v>3453</v>
      </c>
      <c r="M480" t="s">
        <v>1514</v>
      </c>
      <c r="N480" t="s">
        <v>1514</v>
      </c>
      <c r="O480" t="s">
        <v>2399</v>
      </c>
      <c r="P480" t="s">
        <v>3569</v>
      </c>
      <c r="Q480" t="s">
        <v>4724</v>
      </c>
      <c r="R480" t="s">
        <v>2121</v>
      </c>
      <c r="S480" t="s">
        <v>3570</v>
      </c>
      <c r="T480">
        <v>1.6</v>
      </c>
      <c r="U480" t="s">
        <v>2151</v>
      </c>
      <c r="V480" t="s">
        <v>2252</v>
      </c>
      <c r="W480" t="s">
        <v>1514</v>
      </c>
      <c r="X480" t="s">
        <v>3457</v>
      </c>
      <c r="Y480" t="s">
        <v>109</v>
      </c>
      <c r="Z480" t="s">
        <v>109</v>
      </c>
      <c r="AA480" t="s">
        <v>109</v>
      </c>
      <c r="AB480" t="s">
        <v>3458</v>
      </c>
      <c r="AC480" t="s">
        <v>2123</v>
      </c>
      <c r="AD480" t="s">
        <v>2124</v>
      </c>
      <c r="AE480" t="s">
        <v>1758</v>
      </c>
      <c r="AF480" t="s">
        <v>34</v>
      </c>
      <c r="AG480" t="s">
        <v>34</v>
      </c>
      <c r="AH480" t="s">
        <v>34</v>
      </c>
      <c r="AI480" t="s">
        <v>34</v>
      </c>
      <c r="AJ480" t="s">
        <v>34</v>
      </c>
      <c r="AK480" t="s">
        <v>2125</v>
      </c>
      <c r="AL480" t="s">
        <v>34</v>
      </c>
      <c r="AM480" t="s">
        <v>4808</v>
      </c>
      <c r="AN480" s="478">
        <v>0</v>
      </c>
      <c r="AO480" s="478">
        <v>0</v>
      </c>
      <c r="AP480"/>
      <c r="AQ480"/>
      <c r="AR480"/>
      <c r="CE480"/>
      <c r="CG480"/>
      <c r="CI480"/>
      <c r="CJ480"/>
    </row>
    <row r="481" spans="1:88" s="420" customFormat="1" ht="15" customHeight="1" x14ac:dyDescent="0.2">
      <c r="A481">
        <v>480</v>
      </c>
      <c r="B481" t="s">
        <v>1493</v>
      </c>
      <c r="C481" t="s">
        <v>1986</v>
      </c>
      <c r="D481" t="s">
        <v>4261</v>
      </c>
      <c r="E481" t="s">
        <v>2081</v>
      </c>
      <c r="F481" t="s">
        <v>2010</v>
      </c>
      <c r="G481" t="s">
        <v>34</v>
      </c>
      <c r="H481" t="s">
        <v>2128</v>
      </c>
      <c r="I481" t="s">
        <v>5651</v>
      </c>
      <c r="J481" t="s">
        <v>4706</v>
      </c>
      <c r="K481" t="s">
        <v>3472</v>
      </c>
      <c r="L481" t="s">
        <v>3473</v>
      </c>
      <c r="M481" t="s">
        <v>1986</v>
      </c>
      <c r="N481" t="s">
        <v>1986</v>
      </c>
      <c r="O481" t="s">
        <v>2399</v>
      </c>
      <c r="P481" t="s">
        <v>3569</v>
      </c>
      <c r="Q481" t="s">
        <v>4724</v>
      </c>
      <c r="R481" t="s">
        <v>2121</v>
      </c>
      <c r="S481" t="s">
        <v>3570</v>
      </c>
      <c r="T481">
        <v>1.6</v>
      </c>
      <c r="U481" t="s">
        <v>2151</v>
      </c>
      <c r="V481" t="s">
        <v>3474</v>
      </c>
      <c r="W481" t="s">
        <v>1986</v>
      </c>
      <c r="X481" t="s">
        <v>3455</v>
      </c>
      <c r="Y481" t="s">
        <v>109</v>
      </c>
      <c r="Z481" t="s">
        <v>109</v>
      </c>
      <c r="AA481" t="s">
        <v>109</v>
      </c>
      <c r="AB481" t="s">
        <v>3466</v>
      </c>
      <c r="AC481" t="s">
        <v>2123</v>
      </c>
      <c r="AD481" t="s">
        <v>2124</v>
      </c>
      <c r="AE481" t="s">
        <v>1758</v>
      </c>
      <c r="AF481" t="s">
        <v>34</v>
      </c>
      <c r="AG481" t="s">
        <v>34</v>
      </c>
      <c r="AH481" t="s">
        <v>34</v>
      </c>
      <c r="AI481" t="s">
        <v>34</v>
      </c>
      <c r="AJ481" t="s">
        <v>34</v>
      </c>
      <c r="AK481" t="s">
        <v>2125</v>
      </c>
      <c r="AL481" t="s">
        <v>34</v>
      </c>
      <c r="AM481" t="s">
        <v>4808</v>
      </c>
      <c r="AN481" s="478">
        <v>0</v>
      </c>
      <c r="AO481" s="478">
        <v>0</v>
      </c>
      <c r="AP481"/>
      <c r="AQ481"/>
      <c r="AR481"/>
      <c r="CE481"/>
      <c r="CG481"/>
      <c r="CI481"/>
      <c r="CJ481"/>
    </row>
    <row r="482" spans="1:88" s="421" customFormat="1" ht="15" customHeight="1" x14ac:dyDescent="0.2">
      <c r="A482">
        <v>481</v>
      </c>
      <c r="B482" t="s">
        <v>1493</v>
      </c>
      <c r="C482" t="s">
        <v>1516</v>
      </c>
      <c r="D482" t="s">
        <v>4262</v>
      </c>
      <c r="E482" t="s">
        <v>2081</v>
      </c>
      <c r="F482" t="s">
        <v>2010</v>
      </c>
      <c r="G482" t="s">
        <v>34</v>
      </c>
      <c r="H482" t="s">
        <v>2128</v>
      </c>
      <c r="I482" t="s">
        <v>5651</v>
      </c>
      <c r="J482" t="s">
        <v>4706</v>
      </c>
      <c r="K482" t="s">
        <v>2382</v>
      </c>
      <c r="L482" t="s">
        <v>3446</v>
      </c>
      <c r="M482" t="s">
        <v>1516</v>
      </c>
      <c r="N482" t="s">
        <v>1516</v>
      </c>
      <c r="O482" t="s">
        <v>2399</v>
      </c>
      <c r="P482" t="s">
        <v>3569</v>
      </c>
      <c r="Q482" t="s">
        <v>4724</v>
      </c>
      <c r="R482" t="s">
        <v>2121</v>
      </c>
      <c r="S482" t="s">
        <v>3570</v>
      </c>
      <c r="T482">
        <v>1.6</v>
      </c>
      <c r="U482" t="s">
        <v>2151</v>
      </c>
      <c r="V482" t="s">
        <v>2388</v>
      </c>
      <c r="W482" t="s">
        <v>1516</v>
      </c>
      <c r="X482" t="s">
        <v>3449</v>
      </c>
      <c r="Y482" t="s">
        <v>109</v>
      </c>
      <c r="Z482" t="s">
        <v>109</v>
      </c>
      <c r="AA482" t="s">
        <v>109</v>
      </c>
      <c r="AB482" t="s">
        <v>3450</v>
      </c>
      <c r="AC482" t="s">
        <v>2123</v>
      </c>
      <c r="AD482" t="s">
        <v>2124</v>
      </c>
      <c r="AE482" t="s">
        <v>1758</v>
      </c>
      <c r="AF482" t="s">
        <v>34</v>
      </c>
      <c r="AG482" t="s">
        <v>34</v>
      </c>
      <c r="AH482" t="s">
        <v>34</v>
      </c>
      <c r="AI482" t="s">
        <v>34</v>
      </c>
      <c r="AJ482" t="s">
        <v>34</v>
      </c>
      <c r="AK482" t="s">
        <v>2125</v>
      </c>
      <c r="AL482" t="s">
        <v>34</v>
      </c>
      <c r="AM482" t="s">
        <v>4808</v>
      </c>
      <c r="AN482" s="478">
        <v>0</v>
      </c>
      <c r="AO482" s="478">
        <v>0</v>
      </c>
      <c r="AP482"/>
      <c r="AQ482"/>
      <c r="AR482"/>
      <c r="CE482"/>
      <c r="CG482"/>
      <c r="CI482"/>
      <c r="CJ482"/>
    </row>
    <row r="483" spans="1:88" s="420" customFormat="1" ht="15" customHeight="1" x14ac:dyDescent="0.2">
      <c r="A483">
        <v>482</v>
      </c>
      <c r="B483" t="s">
        <v>1493</v>
      </c>
      <c r="C483" t="s">
        <v>1518</v>
      </c>
      <c r="D483" t="s">
        <v>4263</v>
      </c>
      <c r="E483" t="s">
        <v>2081</v>
      </c>
      <c r="F483" t="s">
        <v>2010</v>
      </c>
      <c r="G483" t="s">
        <v>34</v>
      </c>
      <c r="H483" t="s">
        <v>2128</v>
      </c>
      <c r="I483" t="s">
        <v>5651</v>
      </c>
      <c r="J483" t="s">
        <v>4706</v>
      </c>
      <c r="K483" t="s">
        <v>2382</v>
      </c>
      <c r="L483" t="s">
        <v>3446</v>
      </c>
      <c r="M483" t="s">
        <v>1518</v>
      </c>
      <c r="N483" t="s">
        <v>1518</v>
      </c>
      <c r="O483" t="s">
        <v>2399</v>
      </c>
      <c r="P483" t="s">
        <v>3569</v>
      </c>
      <c r="Q483" t="s">
        <v>4724</v>
      </c>
      <c r="R483" t="s">
        <v>2121</v>
      </c>
      <c r="S483" t="s">
        <v>3570</v>
      </c>
      <c r="T483">
        <v>1.6</v>
      </c>
      <c r="U483" t="s">
        <v>2151</v>
      </c>
      <c r="V483" t="s">
        <v>2252</v>
      </c>
      <c r="W483" t="s">
        <v>1516</v>
      </c>
      <c r="X483" t="s">
        <v>3455</v>
      </c>
      <c r="Y483" t="s">
        <v>109</v>
      </c>
      <c r="Z483" t="s">
        <v>109</v>
      </c>
      <c r="AA483" t="s">
        <v>109</v>
      </c>
      <c r="AB483" t="s">
        <v>3456</v>
      </c>
      <c r="AC483" t="s">
        <v>2123</v>
      </c>
      <c r="AD483" t="s">
        <v>2124</v>
      </c>
      <c r="AE483" t="s">
        <v>1758</v>
      </c>
      <c r="AF483" t="s">
        <v>34</v>
      </c>
      <c r="AG483" t="s">
        <v>34</v>
      </c>
      <c r="AH483" t="s">
        <v>34</v>
      </c>
      <c r="AI483" t="s">
        <v>34</v>
      </c>
      <c r="AJ483" t="s">
        <v>34</v>
      </c>
      <c r="AK483" t="s">
        <v>2125</v>
      </c>
      <c r="AL483" t="s">
        <v>34</v>
      </c>
      <c r="AM483" t="s">
        <v>4808</v>
      </c>
      <c r="AN483" s="478">
        <v>0</v>
      </c>
      <c r="AO483" s="478">
        <v>0</v>
      </c>
      <c r="AP483"/>
      <c r="AQ483"/>
      <c r="AR483"/>
      <c r="CE483"/>
      <c r="CG483"/>
      <c r="CI483"/>
      <c r="CJ483"/>
    </row>
    <row r="484" spans="1:88" x14ac:dyDescent="0.2">
      <c r="A484">
        <v>483</v>
      </c>
      <c r="B484" t="s">
        <v>1493</v>
      </c>
      <c r="C484" t="s">
        <v>1520</v>
      </c>
      <c r="D484" t="s">
        <v>4264</v>
      </c>
      <c r="E484" t="s">
        <v>2081</v>
      </c>
      <c r="F484" t="s">
        <v>2010</v>
      </c>
      <c r="G484" t="s">
        <v>34</v>
      </c>
      <c r="H484" t="s">
        <v>2128</v>
      </c>
      <c r="I484" t="s">
        <v>5651</v>
      </c>
      <c r="J484" t="s">
        <v>4706</v>
      </c>
      <c r="K484" t="s">
        <v>2382</v>
      </c>
      <c r="L484" t="s">
        <v>3446</v>
      </c>
      <c r="M484" t="s">
        <v>1520</v>
      </c>
      <c r="N484" t="s">
        <v>1520</v>
      </c>
      <c r="O484" t="s">
        <v>2399</v>
      </c>
      <c r="P484" t="s">
        <v>3569</v>
      </c>
      <c r="Q484" t="s">
        <v>4724</v>
      </c>
      <c r="R484" t="s">
        <v>2121</v>
      </c>
      <c r="S484" t="s">
        <v>3570</v>
      </c>
      <c r="T484">
        <v>1.6</v>
      </c>
      <c r="U484" t="s">
        <v>2151</v>
      </c>
      <c r="V484" t="s">
        <v>2252</v>
      </c>
      <c r="W484" t="s">
        <v>1516</v>
      </c>
      <c r="X484" t="s">
        <v>3455</v>
      </c>
      <c r="Y484" t="s">
        <v>109</v>
      </c>
      <c r="Z484" t="s">
        <v>109</v>
      </c>
      <c r="AA484" t="s">
        <v>109</v>
      </c>
      <c r="AB484" t="s">
        <v>4707</v>
      </c>
      <c r="AC484" t="s">
        <v>2123</v>
      </c>
      <c r="AD484" t="s">
        <v>2124</v>
      </c>
      <c r="AE484" t="s">
        <v>1758</v>
      </c>
      <c r="AF484" t="s">
        <v>34</v>
      </c>
      <c r="AG484" t="s">
        <v>34</v>
      </c>
      <c r="AH484" t="s">
        <v>34</v>
      </c>
      <c r="AI484" t="s">
        <v>34</v>
      </c>
      <c r="AJ484" t="s">
        <v>34</v>
      </c>
      <c r="AK484" t="s">
        <v>2125</v>
      </c>
      <c r="AL484" t="s">
        <v>34</v>
      </c>
      <c r="AM484" t="s">
        <v>4808</v>
      </c>
      <c r="AN484" s="478">
        <v>0</v>
      </c>
      <c r="AO484" s="478">
        <v>0</v>
      </c>
    </row>
    <row r="485" spans="1:88" x14ac:dyDescent="0.2">
      <c r="A485">
        <v>484</v>
      </c>
      <c r="B485" t="s">
        <v>1493</v>
      </c>
      <c r="C485" t="s">
        <v>1522</v>
      </c>
      <c r="D485" t="s">
        <v>4265</v>
      </c>
      <c r="E485" t="s">
        <v>2081</v>
      </c>
      <c r="F485" t="s">
        <v>2010</v>
      </c>
      <c r="G485" t="s">
        <v>34</v>
      </c>
      <c r="H485" t="s">
        <v>2128</v>
      </c>
      <c r="I485" t="s">
        <v>5651</v>
      </c>
      <c r="J485" t="s">
        <v>4706</v>
      </c>
      <c r="K485" t="s">
        <v>2382</v>
      </c>
      <c r="L485" t="s">
        <v>3446</v>
      </c>
      <c r="M485" t="s">
        <v>1522</v>
      </c>
      <c r="N485" t="s">
        <v>1522</v>
      </c>
      <c r="O485" t="s">
        <v>2399</v>
      </c>
      <c r="P485" t="s">
        <v>3569</v>
      </c>
      <c r="Q485" t="s">
        <v>4724</v>
      </c>
      <c r="R485" t="s">
        <v>2121</v>
      </c>
      <c r="S485" t="s">
        <v>3570</v>
      </c>
      <c r="T485">
        <v>1.6</v>
      </c>
      <c r="U485" t="s">
        <v>2151</v>
      </c>
      <c r="V485" t="s">
        <v>2388</v>
      </c>
      <c r="W485" t="s">
        <v>1516</v>
      </c>
      <c r="X485" t="s">
        <v>3449</v>
      </c>
      <c r="Y485" t="s">
        <v>109</v>
      </c>
      <c r="Z485" t="s">
        <v>109</v>
      </c>
      <c r="AA485" t="s">
        <v>109</v>
      </c>
      <c r="AB485" t="s">
        <v>3450</v>
      </c>
      <c r="AC485" t="s">
        <v>2123</v>
      </c>
      <c r="AD485" t="s">
        <v>2124</v>
      </c>
      <c r="AE485" t="s">
        <v>1758</v>
      </c>
      <c r="AF485" t="s">
        <v>34</v>
      </c>
      <c r="AG485" t="s">
        <v>34</v>
      </c>
      <c r="AH485" t="s">
        <v>34</v>
      </c>
      <c r="AI485" t="s">
        <v>34</v>
      </c>
      <c r="AJ485" t="s">
        <v>34</v>
      </c>
      <c r="AK485" t="s">
        <v>2125</v>
      </c>
      <c r="AL485" t="s">
        <v>34</v>
      </c>
      <c r="AM485" t="s">
        <v>4808</v>
      </c>
      <c r="AN485" s="478">
        <v>0</v>
      </c>
      <c r="AO485" s="478">
        <v>0</v>
      </c>
    </row>
    <row r="486" spans="1:88" x14ac:dyDescent="0.2">
      <c r="A486">
        <v>485</v>
      </c>
      <c r="B486" t="s">
        <v>1493</v>
      </c>
      <c r="C486" t="s">
        <v>1984</v>
      </c>
      <c r="D486" t="s">
        <v>4266</v>
      </c>
      <c r="E486" t="s">
        <v>2081</v>
      </c>
      <c r="F486" t="s">
        <v>2010</v>
      </c>
      <c r="G486" t="s">
        <v>34</v>
      </c>
      <c r="H486" t="s">
        <v>2128</v>
      </c>
      <c r="I486" t="s">
        <v>5651</v>
      </c>
      <c r="J486" t="s">
        <v>4706</v>
      </c>
      <c r="K486" t="s">
        <v>2382</v>
      </c>
      <c r="L486" t="s">
        <v>4708</v>
      </c>
      <c r="M486" t="s">
        <v>1984</v>
      </c>
      <c r="N486" t="s">
        <v>1984</v>
      </c>
      <c r="O486" t="s">
        <v>2399</v>
      </c>
      <c r="P486" t="s">
        <v>3569</v>
      </c>
      <c r="Q486" t="s">
        <v>4724</v>
      </c>
      <c r="R486" t="s">
        <v>2185</v>
      </c>
      <c r="S486" t="s">
        <v>3570</v>
      </c>
      <c r="T486">
        <v>1.6</v>
      </c>
      <c r="U486" t="s">
        <v>2151</v>
      </c>
      <c r="V486" t="s">
        <v>2252</v>
      </c>
      <c r="W486" t="s">
        <v>1984</v>
      </c>
      <c r="X486" t="s">
        <v>3447</v>
      </c>
      <c r="Y486" t="s">
        <v>109</v>
      </c>
      <c r="Z486" t="s">
        <v>109</v>
      </c>
      <c r="AA486" t="s">
        <v>109</v>
      </c>
      <c r="AB486" t="s">
        <v>3573</v>
      </c>
      <c r="AC486" t="s">
        <v>2123</v>
      </c>
      <c r="AD486" t="s">
        <v>2124</v>
      </c>
      <c r="AE486" t="s">
        <v>1758</v>
      </c>
      <c r="AF486" t="s">
        <v>34</v>
      </c>
      <c r="AG486" t="s">
        <v>34</v>
      </c>
      <c r="AH486" t="s">
        <v>34</v>
      </c>
      <c r="AI486" t="s">
        <v>34</v>
      </c>
      <c r="AJ486" t="s">
        <v>34</v>
      </c>
      <c r="AK486" t="s">
        <v>2125</v>
      </c>
      <c r="AL486" t="s">
        <v>34</v>
      </c>
      <c r="AM486" t="s">
        <v>4808</v>
      </c>
      <c r="AN486" s="478">
        <v>0</v>
      </c>
      <c r="AO486" s="478">
        <v>0</v>
      </c>
    </row>
    <row r="487" spans="1:88" x14ac:dyDescent="0.2">
      <c r="A487">
        <v>486</v>
      </c>
      <c r="B487" t="s">
        <v>1493</v>
      </c>
      <c r="C487" t="s">
        <v>1524</v>
      </c>
      <c r="D487" t="s">
        <v>4267</v>
      </c>
      <c r="E487" t="s">
        <v>2081</v>
      </c>
      <c r="F487" t="s">
        <v>2010</v>
      </c>
      <c r="G487" t="s">
        <v>34</v>
      </c>
      <c r="H487" t="s">
        <v>2128</v>
      </c>
      <c r="I487" t="s">
        <v>5651</v>
      </c>
      <c r="J487" t="s">
        <v>4706</v>
      </c>
      <c r="K487" t="s">
        <v>2382</v>
      </c>
      <c r="L487" t="s">
        <v>3453</v>
      </c>
      <c r="M487" t="s">
        <v>1524</v>
      </c>
      <c r="N487" t="s">
        <v>1524</v>
      </c>
      <c r="O487" t="s">
        <v>2399</v>
      </c>
      <c r="P487" t="s">
        <v>3569</v>
      </c>
      <c r="Q487" t="s">
        <v>4724</v>
      </c>
      <c r="R487" t="s">
        <v>2121</v>
      </c>
      <c r="S487" t="s">
        <v>3570</v>
      </c>
      <c r="T487">
        <v>1.6</v>
      </c>
      <c r="U487" t="s">
        <v>2151</v>
      </c>
      <c r="V487" t="s">
        <v>2252</v>
      </c>
      <c r="W487" t="s">
        <v>1496</v>
      </c>
      <c r="X487" t="s">
        <v>3449</v>
      </c>
      <c r="Y487" t="s">
        <v>109</v>
      </c>
      <c r="Z487" t="s">
        <v>109</v>
      </c>
      <c r="AA487" t="s">
        <v>109</v>
      </c>
      <c r="AB487" t="s">
        <v>3454</v>
      </c>
      <c r="AC487" t="s">
        <v>2123</v>
      </c>
      <c r="AD487" t="s">
        <v>2124</v>
      </c>
      <c r="AE487" t="s">
        <v>1758</v>
      </c>
      <c r="AF487" t="s">
        <v>34</v>
      </c>
      <c r="AG487" t="s">
        <v>34</v>
      </c>
      <c r="AH487" t="s">
        <v>34</v>
      </c>
      <c r="AI487" t="s">
        <v>34</v>
      </c>
      <c r="AJ487" t="s">
        <v>34</v>
      </c>
      <c r="AK487" t="s">
        <v>2125</v>
      </c>
      <c r="AL487" t="s">
        <v>34</v>
      </c>
      <c r="AM487" t="s">
        <v>4808</v>
      </c>
      <c r="AN487" s="478">
        <v>0</v>
      </c>
      <c r="AO487" s="478">
        <v>0</v>
      </c>
    </row>
    <row r="488" spans="1:88" x14ac:dyDescent="0.2">
      <c r="A488">
        <v>487</v>
      </c>
      <c r="B488" t="s">
        <v>1493</v>
      </c>
      <c r="C488" t="s">
        <v>1526</v>
      </c>
      <c r="D488" t="s">
        <v>4268</v>
      </c>
      <c r="E488" t="s">
        <v>2081</v>
      </c>
      <c r="F488" t="s">
        <v>2010</v>
      </c>
      <c r="G488" t="s">
        <v>34</v>
      </c>
      <c r="H488" t="s">
        <v>2128</v>
      </c>
      <c r="I488" t="s">
        <v>5651</v>
      </c>
      <c r="J488" t="s">
        <v>4706</v>
      </c>
      <c r="K488" t="s">
        <v>2382</v>
      </c>
      <c r="L488" t="s">
        <v>3446</v>
      </c>
      <c r="M488" t="s">
        <v>1526</v>
      </c>
      <c r="N488" t="s">
        <v>1526</v>
      </c>
      <c r="O488" t="s">
        <v>2399</v>
      </c>
      <c r="P488" t="s">
        <v>3569</v>
      </c>
      <c r="Q488" t="s">
        <v>4724</v>
      </c>
      <c r="R488" t="s">
        <v>2121</v>
      </c>
      <c r="S488" t="s">
        <v>3570</v>
      </c>
      <c r="T488">
        <v>1.6</v>
      </c>
      <c r="U488" t="s">
        <v>2151</v>
      </c>
      <c r="V488" t="s">
        <v>2252</v>
      </c>
      <c r="W488" t="s">
        <v>1516</v>
      </c>
      <c r="X488" t="s">
        <v>3451</v>
      </c>
      <c r="Y488" t="s">
        <v>109</v>
      </c>
      <c r="Z488" t="s">
        <v>109</v>
      </c>
      <c r="AA488" t="s">
        <v>109</v>
      </c>
      <c r="AB488" t="s">
        <v>3452</v>
      </c>
      <c r="AC488" t="s">
        <v>2123</v>
      </c>
      <c r="AD488" t="s">
        <v>2124</v>
      </c>
      <c r="AE488" t="s">
        <v>1758</v>
      </c>
      <c r="AF488" t="s">
        <v>34</v>
      </c>
      <c r="AG488" t="s">
        <v>34</v>
      </c>
      <c r="AH488" t="s">
        <v>34</v>
      </c>
      <c r="AI488" t="s">
        <v>34</v>
      </c>
      <c r="AJ488" t="s">
        <v>34</v>
      </c>
      <c r="AK488" t="s">
        <v>2125</v>
      </c>
      <c r="AL488" t="s">
        <v>34</v>
      </c>
      <c r="AM488" t="s">
        <v>4808</v>
      </c>
      <c r="AN488" s="478">
        <v>0</v>
      </c>
      <c r="AO488" s="478">
        <v>0</v>
      </c>
    </row>
    <row r="489" spans="1:88" x14ac:dyDescent="0.2">
      <c r="A489">
        <v>488</v>
      </c>
      <c r="B489" t="s">
        <v>1493</v>
      </c>
      <c r="C489" t="s">
        <v>1528</v>
      </c>
      <c r="D489" t="s">
        <v>4269</v>
      </c>
      <c r="E489" t="s">
        <v>2081</v>
      </c>
      <c r="F489" t="s">
        <v>2010</v>
      </c>
      <c r="G489" t="s">
        <v>34</v>
      </c>
      <c r="H489" t="s">
        <v>2128</v>
      </c>
      <c r="I489" t="s">
        <v>5651</v>
      </c>
      <c r="J489" t="s">
        <v>4706</v>
      </c>
      <c r="K489" t="s">
        <v>2382</v>
      </c>
      <c r="L489" t="s">
        <v>3446</v>
      </c>
      <c r="M489" t="s">
        <v>1528</v>
      </c>
      <c r="N489" t="s">
        <v>1528</v>
      </c>
      <c r="O489" t="s">
        <v>109</v>
      </c>
      <c r="P489" t="s">
        <v>3569</v>
      </c>
      <c r="Q489" t="s">
        <v>4724</v>
      </c>
      <c r="R489" t="s">
        <v>2121</v>
      </c>
      <c r="S489" t="s">
        <v>3570</v>
      </c>
      <c r="T489">
        <v>1.6</v>
      </c>
      <c r="U489" t="s">
        <v>2151</v>
      </c>
      <c r="V489" t="s">
        <v>2388</v>
      </c>
      <c r="W489" t="s">
        <v>1528</v>
      </c>
      <c r="X489" t="s">
        <v>3449</v>
      </c>
      <c r="Y489" t="s">
        <v>109</v>
      </c>
      <c r="Z489" t="s">
        <v>109</v>
      </c>
      <c r="AA489" t="s">
        <v>109</v>
      </c>
      <c r="AB489" t="s">
        <v>3450</v>
      </c>
      <c r="AC489" t="s">
        <v>2123</v>
      </c>
      <c r="AD489" t="s">
        <v>2124</v>
      </c>
      <c r="AE489" t="s">
        <v>1758</v>
      </c>
      <c r="AF489" t="s">
        <v>34</v>
      </c>
      <c r="AG489" t="s">
        <v>34</v>
      </c>
      <c r="AH489" t="s">
        <v>34</v>
      </c>
      <c r="AI489" t="s">
        <v>34</v>
      </c>
      <c r="AJ489" t="s">
        <v>34</v>
      </c>
      <c r="AK489" t="s">
        <v>2125</v>
      </c>
      <c r="AL489" t="s">
        <v>34</v>
      </c>
      <c r="AM489" t="s">
        <v>4808</v>
      </c>
      <c r="AN489" s="478">
        <v>0</v>
      </c>
      <c r="AO489" s="478">
        <v>0</v>
      </c>
    </row>
    <row r="490" spans="1:88" ht="15" customHeight="1" x14ac:dyDescent="0.2">
      <c r="A490">
        <v>489</v>
      </c>
      <c r="B490" t="s">
        <v>1493</v>
      </c>
      <c r="C490" t="s">
        <v>1530</v>
      </c>
      <c r="D490" t="s">
        <v>4270</v>
      </c>
      <c r="E490" t="s">
        <v>2081</v>
      </c>
      <c r="F490" t="s">
        <v>2010</v>
      </c>
      <c r="G490" t="s">
        <v>34</v>
      </c>
      <c r="H490" t="s">
        <v>2128</v>
      </c>
      <c r="I490" t="s">
        <v>5651</v>
      </c>
      <c r="J490" t="s">
        <v>4706</v>
      </c>
      <c r="K490" t="s">
        <v>2382</v>
      </c>
      <c r="L490" t="s">
        <v>3446</v>
      </c>
      <c r="M490" t="s">
        <v>1530</v>
      </c>
      <c r="N490" t="s">
        <v>1530</v>
      </c>
      <c r="O490" t="s">
        <v>2399</v>
      </c>
      <c r="P490" t="s">
        <v>3569</v>
      </c>
      <c r="Q490" t="s">
        <v>4724</v>
      </c>
      <c r="R490" t="s">
        <v>2185</v>
      </c>
      <c r="S490" t="s">
        <v>3570</v>
      </c>
      <c r="T490">
        <v>1.6</v>
      </c>
      <c r="U490" t="s">
        <v>2151</v>
      </c>
      <c r="V490" t="s">
        <v>2252</v>
      </c>
      <c r="W490" t="s">
        <v>1530</v>
      </c>
      <c r="X490" t="s">
        <v>3447</v>
      </c>
      <c r="Y490" t="s">
        <v>109</v>
      </c>
      <c r="Z490" t="s">
        <v>109</v>
      </c>
      <c r="AA490" t="s">
        <v>109</v>
      </c>
      <c r="AB490" t="s">
        <v>3448</v>
      </c>
      <c r="AC490" t="s">
        <v>2123</v>
      </c>
      <c r="AD490" t="s">
        <v>2124</v>
      </c>
      <c r="AE490" t="s">
        <v>1758</v>
      </c>
      <c r="AF490" t="s">
        <v>34</v>
      </c>
      <c r="AG490" t="s">
        <v>34</v>
      </c>
      <c r="AH490" t="s">
        <v>34</v>
      </c>
      <c r="AI490" t="s">
        <v>34</v>
      </c>
      <c r="AJ490" t="s">
        <v>34</v>
      </c>
      <c r="AK490" t="s">
        <v>2125</v>
      </c>
      <c r="AL490" t="s">
        <v>34</v>
      </c>
      <c r="AM490" t="s">
        <v>4808</v>
      </c>
      <c r="AN490" s="478">
        <v>0</v>
      </c>
      <c r="AO490" s="478">
        <v>0</v>
      </c>
    </row>
    <row r="491" spans="1:88" ht="15" customHeight="1" x14ac:dyDescent="0.2">
      <c r="A491">
        <v>490</v>
      </c>
      <c r="B491" t="s">
        <v>1493</v>
      </c>
      <c r="C491" t="s">
        <v>1496</v>
      </c>
      <c r="D491" t="s">
        <v>4271</v>
      </c>
      <c r="E491" t="s">
        <v>2081</v>
      </c>
      <c r="F491" t="s">
        <v>2010</v>
      </c>
      <c r="G491" t="s">
        <v>34</v>
      </c>
      <c r="H491" t="s">
        <v>2128</v>
      </c>
      <c r="I491" t="s">
        <v>5651</v>
      </c>
      <c r="J491" t="s">
        <v>4706</v>
      </c>
      <c r="K491" t="s">
        <v>2382</v>
      </c>
      <c r="L491" t="s">
        <v>3446</v>
      </c>
      <c r="M491" t="s">
        <v>1496</v>
      </c>
      <c r="N491" t="s">
        <v>1496</v>
      </c>
      <c r="O491" t="s">
        <v>2399</v>
      </c>
      <c r="P491" t="s">
        <v>3569</v>
      </c>
      <c r="Q491" t="s">
        <v>4724</v>
      </c>
      <c r="R491" t="s">
        <v>2121</v>
      </c>
      <c r="S491" t="s">
        <v>3570</v>
      </c>
      <c r="T491">
        <v>1.6</v>
      </c>
      <c r="U491" t="s">
        <v>2151</v>
      </c>
      <c r="V491" t="s">
        <v>2252</v>
      </c>
      <c r="W491" t="s">
        <v>1496</v>
      </c>
      <c r="X491" t="s">
        <v>3447</v>
      </c>
      <c r="Y491" t="s">
        <v>109</v>
      </c>
      <c r="Z491" t="s">
        <v>109</v>
      </c>
      <c r="AA491" t="s">
        <v>109</v>
      </c>
      <c r="AB491" t="s">
        <v>3574</v>
      </c>
      <c r="AC491" t="s">
        <v>2123</v>
      </c>
      <c r="AD491" t="s">
        <v>2124</v>
      </c>
      <c r="AE491" t="s">
        <v>1758</v>
      </c>
      <c r="AF491" t="s">
        <v>34</v>
      </c>
      <c r="AG491" t="s">
        <v>34</v>
      </c>
      <c r="AH491" t="s">
        <v>34</v>
      </c>
      <c r="AI491" t="s">
        <v>34</v>
      </c>
      <c r="AJ491" t="s">
        <v>34</v>
      </c>
      <c r="AK491" t="s">
        <v>2125</v>
      </c>
      <c r="AL491" t="s">
        <v>34</v>
      </c>
      <c r="AM491" t="s">
        <v>4808</v>
      </c>
      <c r="AN491" s="478">
        <v>0</v>
      </c>
      <c r="AO491" s="478">
        <v>0</v>
      </c>
    </row>
    <row r="492" spans="1:88" ht="15" customHeight="1" x14ac:dyDescent="0.2">
      <c r="A492">
        <v>491</v>
      </c>
      <c r="B492" t="s">
        <v>1829</v>
      </c>
      <c r="C492" t="s">
        <v>1831</v>
      </c>
      <c r="D492" t="s">
        <v>4272</v>
      </c>
      <c r="E492" t="s">
        <v>3578</v>
      </c>
      <c r="F492" t="s">
        <v>2031</v>
      </c>
      <c r="G492" t="s">
        <v>34</v>
      </c>
      <c r="H492" t="s">
        <v>2128</v>
      </c>
      <c r="I492" t="s">
        <v>5665</v>
      </c>
      <c r="J492" t="s">
        <v>2116</v>
      </c>
      <c r="K492" t="s">
        <v>1831</v>
      </c>
      <c r="L492" t="s">
        <v>3579</v>
      </c>
      <c r="M492" t="s">
        <v>3580</v>
      </c>
      <c r="N492" t="s">
        <v>1831</v>
      </c>
      <c r="O492" t="s">
        <v>3581</v>
      </c>
      <c r="P492" t="s">
        <v>3582</v>
      </c>
      <c r="Q492" t="s">
        <v>2126</v>
      </c>
      <c r="R492" t="s">
        <v>2185</v>
      </c>
      <c r="S492" t="s">
        <v>3583</v>
      </c>
      <c r="T492">
        <v>1.7</v>
      </c>
      <c r="U492" t="s">
        <v>2150</v>
      </c>
      <c r="V492" t="s">
        <v>3584</v>
      </c>
      <c r="W492" t="s">
        <v>3585</v>
      </c>
      <c r="X492" t="s">
        <v>2201</v>
      </c>
      <c r="Y492" t="s">
        <v>3584</v>
      </c>
      <c r="Z492" t="s">
        <v>3586</v>
      </c>
      <c r="AA492" t="s">
        <v>2201</v>
      </c>
      <c r="AB492" t="s">
        <v>4799</v>
      </c>
      <c r="AC492" t="s">
        <v>2123</v>
      </c>
      <c r="AD492" t="s">
        <v>2124</v>
      </c>
      <c r="AE492" t="s">
        <v>1758</v>
      </c>
      <c r="AF492" t="s">
        <v>34</v>
      </c>
      <c r="AG492" t="s">
        <v>34</v>
      </c>
      <c r="AH492" t="s">
        <v>34</v>
      </c>
      <c r="AI492" t="s">
        <v>34</v>
      </c>
      <c r="AJ492" t="s">
        <v>34</v>
      </c>
      <c r="AK492" t="s">
        <v>2125</v>
      </c>
      <c r="AL492" t="s">
        <v>34</v>
      </c>
      <c r="AM492" t="s">
        <v>4803</v>
      </c>
      <c r="AN492" s="478"/>
      <c r="AO492" s="478"/>
    </row>
    <row r="493" spans="1:88" ht="15" customHeight="1" x14ac:dyDescent="0.2">
      <c r="A493">
        <v>492</v>
      </c>
      <c r="B493" t="s">
        <v>5279</v>
      </c>
      <c r="C493" t="s">
        <v>837</v>
      </c>
      <c r="D493" t="s">
        <v>5377</v>
      </c>
      <c r="E493" t="s">
        <v>5281</v>
      </c>
      <c r="F493" t="s">
        <v>2023</v>
      </c>
      <c r="G493" t="s">
        <v>34</v>
      </c>
      <c r="H493" t="s">
        <v>2128</v>
      </c>
      <c r="I493" t="s">
        <v>5651</v>
      </c>
      <c r="J493" t="s">
        <v>2396</v>
      </c>
      <c r="K493" t="s">
        <v>1117</v>
      </c>
      <c r="L493" t="s">
        <v>2243</v>
      </c>
      <c r="M493" t="s">
        <v>837</v>
      </c>
      <c r="N493" t="s">
        <v>837</v>
      </c>
      <c r="O493" t="s">
        <v>904</v>
      </c>
      <c r="P493" t="s">
        <v>5378</v>
      </c>
      <c r="Q493" t="s">
        <v>2126</v>
      </c>
      <c r="R493" t="s">
        <v>5379</v>
      </c>
      <c r="S493" t="s">
        <v>5380</v>
      </c>
      <c r="T493">
        <v>6.4</v>
      </c>
      <c r="U493" t="s">
        <v>1947</v>
      </c>
      <c r="V493" t="s">
        <v>5381</v>
      </c>
      <c r="W493" t="s">
        <v>5382</v>
      </c>
      <c r="X493" t="s">
        <v>2122</v>
      </c>
      <c r="Y493" t="s">
        <v>109</v>
      </c>
      <c r="Z493" t="s">
        <v>109</v>
      </c>
      <c r="AA493" t="s">
        <v>109</v>
      </c>
      <c r="AB493" t="s">
        <v>34</v>
      </c>
      <c r="AC493" t="s">
        <v>2123</v>
      </c>
      <c r="AD493" t="s">
        <v>2124</v>
      </c>
      <c r="AE493" t="s">
        <v>1758</v>
      </c>
      <c r="AF493" t="s">
        <v>34</v>
      </c>
      <c r="AG493" t="s">
        <v>34</v>
      </c>
      <c r="AH493" t="s">
        <v>34</v>
      </c>
      <c r="AI493" t="s">
        <v>34</v>
      </c>
      <c r="AJ493" t="s">
        <v>34</v>
      </c>
      <c r="AK493" t="s">
        <v>2125</v>
      </c>
      <c r="AL493" t="s">
        <v>34</v>
      </c>
      <c r="AM493">
        <v>0</v>
      </c>
      <c r="AN493" s="478"/>
      <c r="AO493" s="478"/>
    </row>
    <row r="494" spans="1:88" ht="15" customHeight="1" x14ac:dyDescent="0.2">
      <c r="A494">
        <v>493</v>
      </c>
      <c r="B494" t="s">
        <v>5279</v>
      </c>
      <c r="C494" t="s">
        <v>835</v>
      </c>
      <c r="D494" t="s">
        <v>5383</v>
      </c>
      <c r="E494" t="s">
        <v>5281</v>
      </c>
      <c r="F494" t="s">
        <v>2023</v>
      </c>
      <c r="G494" t="s">
        <v>34</v>
      </c>
      <c r="H494" t="s">
        <v>2128</v>
      </c>
      <c r="I494" t="s">
        <v>5651</v>
      </c>
      <c r="J494" t="s">
        <v>2396</v>
      </c>
      <c r="K494" t="s">
        <v>1117</v>
      </c>
      <c r="L494" t="s">
        <v>2243</v>
      </c>
      <c r="M494" t="s">
        <v>835</v>
      </c>
      <c r="N494" t="s">
        <v>835</v>
      </c>
      <c r="O494" t="s">
        <v>904</v>
      </c>
      <c r="P494" t="s">
        <v>5384</v>
      </c>
      <c r="Q494" t="s">
        <v>2126</v>
      </c>
      <c r="R494" t="s">
        <v>2295</v>
      </c>
      <c r="S494" t="s">
        <v>5385</v>
      </c>
      <c r="T494">
        <v>282.5</v>
      </c>
      <c r="U494" t="s">
        <v>1947</v>
      </c>
      <c r="V494" t="s">
        <v>5386</v>
      </c>
      <c r="W494" t="s">
        <v>5387</v>
      </c>
      <c r="X494" t="s">
        <v>2122</v>
      </c>
      <c r="Y494" t="s">
        <v>109</v>
      </c>
      <c r="Z494" t="s">
        <v>109</v>
      </c>
      <c r="AA494" t="s">
        <v>109</v>
      </c>
      <c r="AB494" t="s">
        <v>34</v>
      </c>
      <c r="AC494" t="s">
        <v>2123</v>
      </c>
      <c r="AD494" t="s">
        <v>2124</v>
      </c>
      <c r="AE494" t="s">
        <v>1758</v>
      </c>
      <c r="AF494">
        <v>1</v>
      </c>
      <c r="AG494">
        <v>0</v>
      </c>
      <c r="AH494">
        <v>0.75</v>
      </c>
      <c r="AI494" t="s">
        <v>34</v>
      </c>
      <c r="AJ494" t="s">
        <v>34</v>
      </c>
      <c r="AK494" t="s">
        <v>2125</v>
      </c>
      <c r="AL494" t="s">
        <v>34</v>
      </c>
      <c r="AM494" t="s">
        <v>4806</v>
      </c>
      <c r="AN494" s="478"/>
      <c r="AO494" s="478"/>
    </row>
    <row r="495" spans="1:88" ht="15" customHeight="1" x14ac:dyDescent="0.2">
      <c r="A495">
        <v>494</v>
      </c>
      <c r="B495" t="s">
        <v>5279</v>
      </c>
      <c r="C495" t="s">
        <v>817</v>
      </c>
      <c r="D495" t="s">
        <v>5280</v>
      </c>
      <c r="E495" t="s">
        <v>5281</v>
      </c>
      <c r="F495" t="s">
        <v>2023</v>
      </c>
      <c r="G495" t="s">
        <v>34</v>
      </c>
      <c r="H495" t="s">
        <v>2128</v>
      </c>
      <c r="I495" t="s">
        <v>5651</v>
      </c>
      <c r="J495" t="s">
        <v>2396</v>
      </c>
      <c r="K495" t="s">
        <v>1117</v>
      </c>
      <c r="L495" t="s">
        <v>2243</v>
      </c>
      <c r="M495" t="s">
        <v>817</v>
      </c>
      <c r="N495" t="s">
        <v>817</v>
      </c>
      <c r="O495" t="s">
        <v>904</v>
      </c>
      <c r="P495" t="s">
        <v>5282</v>
      </c>
      <c r="Q495" t="s">
        <v>2126</v>
      </c>
      <c r="R495" t="s">
        <v>2295</v>
      </c>
      <c r="S495" t="s">
        <v>5283</v>
      </c>
      <c r="T495">
        <v>1760</v>
      </c>
      <c r="U495" t="s">
        <v>1947</v>
      </c>
      <c r="V495" t="s">
        <v>2668</v>
      </c>
      <c r="W495" t="s">
        <v>3186</v>
      </c>
      <c r="X495" t="s">
        <v>2122</v>
      </c>
      <c r="Y495" t="s">
        <v>109</v>
      </c>
      <c r="Z495" t="s">
        <v>109</v>
      </c>
      <c r="AA495" t="s">
        <v>109</v>
      </c>
      <c r="AB495" t="s">
        <v>34</v>
      </c>
      <c r="AC495" t="s">
        <v>2123</v>
      </c>
      <c r="AD495" t="s">
        <v>2124</v>
      </c>
      <c r="AE495" t="s">
        <v>1758</v>
      </c>
      <c r="AF495" t="s">
        <v>3877</v>
      </c>
      <c r="AG495">
        <v>0.5</v>
      </c>
      <c r="AH495">
        <v>0.75</v>
      </c>
      <c r="AI495" t="s">
        <v>34</v>
      </c>
      <c r="AJ495" t="s">
        <v>34</v>
      </c>
      <c r="AK495" t="s">
        <v>2125</v>
      </c>
      <c r="AL495" t="s">
        <v>34</v>
      </c>
      <c r="AM495" t="s">
        <v>4806</v>
      </c>
      <c r="AN495" s="478">
        <v>0</v>
      </c>
      <c r="AO495" s="478">
        <v>0</v>
      </c>
    </row>
    <row r="496" spans="1:88" x14ac:dyDescent="0.2">
      <c r="A496">
        <v>495</v>
      </c>
      <c r="B496" t="s">
        <v>3805</v>
      </c>
      <c r="C496" t="s">
        <v>4831</v>
      </c>
      <c r="D496" t="s">
        <v>4832</v>
      </c>
      <c r="E496" t="s">
        <v>4833</v>
      </c>
      <c r="F496" t="s">
        <v>4834</v>
      </c>
      <c r="G496" t="s">
        <v>34</v>
      </c>
      <c r="H496" t="s">
        <v>2128</v>
      </c>
      <c r="I496" t="s">
        <v>5651</v>
      </c>
      <c r="J496" t="s">
        <v>2740</v>
      </c>
      <c r="K496" t="s">
        <v>1450</v>
      </c>
      <c r="L496" t="s">
        <v>4325</v>
      </c>
      <c r="M496" t="s">
        <v>4831</v>
      </c>
      <c r="N496" t="s">
        <v>4831</v>
      </c>
      <c r="O496" t="s">
        <v>904</v>
      </c>
      <c r="P496" t="s">
        <v>4326</v>
      </c>
      <c r="Q496" t="s">
        <v>3421</v>
      </c>
      <c r="R496" t="s">
        <v>2185</v>
      </c>
      <c r="S496" t="s">
        <v>4327</v>
      </c>
      <c r="T496">
        <v>2.7</v>
      </c>
      <c r="U496" t="s">
        <v>1947</v>
      </c>
      <c r="V496" t="s">
        <v>4328</v>
      </c>
      <c r="W496" t="s">
        <v>4329</v>
      </c>
      <c r="X496" t="s">
        <v>5481</v>
      </c>
      <c r="Y496" t="s">
        <v>109</v>
      </c>
      <c r="Z496" t="s">
        <v>109</v>
      </c>
      <c r="AA496" t="s">
        <v>109</v>
      </c>
      <c r="AB496" t="s">
        <v>5706</v>
      </c>
      <c r="AC496" t="s">
        <v>2123</v>
      </c>
      <c r="AD496" t="s">
        <v>2124</v>
      </c>
      <c r="AE496" t="s">
        <v>1758</v>
      </c>
      <c r="AF496">
        <v>5</v>
      </c>
      <c r="AG496">
        <v>1</v>
      </c>
      <c r="AH496">
        <v>75</v>
      </c>
      <c r="AI496" t="s">
        <v>3911</v>
      </c>
      <c r="AJ496" t="s">
        <v>4835</v>
      </c>
      <c r="AK496" t="s">
        <v>2125</v>
      </c>
      <c r="AL496" t="s">
        <v>34</v>
      </c>
      <c r="AM496" t="s">
        <v>4803</v>
      </c>
      <c r="AN496" s="478">
        <v>0</v>
      </c>
      <c r="AO496" s="478">
        <v>0</v>
      </c>
    </row>
    <row r="497" spans="1:41" x14ac:dyDescent="0.2">
      <c r="A497">
        <v>496</v>
      </c>
      <c r="B497" t="s">
        <v>1585</v>
      </c>
      <c r="C497" t="s">
        <v>1601</v>
      </c>
      <c r="D497" t="s">
        <v>4273</v>
      </c>
      <c r="E497" t="s">
        <v>2083</v>
      </c>
      <c r="F497" t="s">
        <v>2084</v>
      </c>
      <c r="G497" t="s">
        <v>34</v>
      </c>
      <c r="H497" t="s">
        <v>2128</v>
      </c>
      <c r="I497" t="s">
        <v>5651</v>
      </c>
      <c r="J497" t="s">
        <v>1764</v>
      </c>
      <c r="K497" t="s">
        <v>2250</v>
      </c>
      <c r="L497" t="s">
        <v>3664</v>
      </c>
      <c r="M497" t="s">
        <v>1601</v>
      </c>
      <c r="N497" t="s">
        <v>1601</v>
      </c>
      <c r="O497" t="s">
        <v>2399</v>
      </c>
      <c r="P497" t="s">
        <v>2445</v>
      </c>
      <c r="Q497" t="s">
        <v>2120</v>
      </c>
      <c r="R497" t="s">
        <v>2185</v>
      </c>
      <c r="S497" t="s">
        <v>3665</v>
      </c>
      <c r="T497">
        <v>315</v>
      </c>
      <c r="U497" t="s">
        <v>109</v>
      </c>
      <c r="V497" t="s">
        <v>109</v>
      </c>
      <c r="W497" t="s">
        <v>109</v>
      </c>
      <c r="X497" t="s">
        <v>109</v>
      </c>
      <c r="Y497" t="s">
        <v>109</v>
      </c>
      <c r="Z497" t="s">
        <v>109</v>
      </c>
      <c r="AA497" t="s">
        <v>109</v>
      </c>
      <c r="AB497" t="s">
        <v>34</v>
      </c>
      <c r="AC497" t="s">
        <v>2123</v>
      </c>
      <c r="AD497" t="s">
        <v>2124</v>
      </c>
      <c r="AE497" t="s">
        <v>1758</v>
      </c>
      <c r="AF497" t="s">
        <v>34</v>
      </c>
      <c r="AG497" t="s">
        <v>34</v>
      </c>
      <c r="AH497" t="s">
        <v>34</v>
      </c>
      <c r="AI497" t="s">
        <v>34</v>
      </c>
      <c r="AJ497" t="s">
        <v>34</v>
      </c>
      <c r="AK497" t="s">
        <v>2125</v>
      </c>
      <c r="AL497" t="s">
        <v>34</v>
      </c>
      <c r="AM497" t="s">
        <v>4803</v>
      </c>
      <c r="AN497" s="478">
        <v>0</v>
      </c>
      <c r="AO497" s="478">
        <v>0</v>
      </c>
    </row>
    <row r="498" spans="1:41" x14ac:dyDescent="0.2">
      <c r="A498">
        <v>497</v>
      </c>
      <c r="B498" t="s">
        <v>1585</v>
      </c>
      <c r="C498" t="s">
        <v>1592</v>
      </c>
      <c r="D498" t="s">
        <v>4274</v>
      </c>
      <c r="E498" t="s">
        <v>2083</v>
      </c>
      <c r="F498" t="s">
        <v>2084</v>
      </c>
      <c r="G498" t="s">
        <v>34</v>
      </c>
      <c r="H498" t="s">
        <v>2128</v>
      </c>
      <c r="I498" t="s">
        <v>5651</v>
      </c>
      <c r="J498" t="s">
        <v>1764</v>
      </c>
      <c r="K498" t="s">
        <v>3676</v>
      </c>
      <c r="L498" t="s">
        <v>2243</v>
      </c>
      <c r="M498" t="s">
        <v>3679</v>
      </c>
      <c r="N498" t="s">
        <v>1592</v>
      </c>
      <c r="O498" t="s">
        <v>2399</v>
      </c>
      <c r="P498" t="s">
        <v>2551</v>
      </c>
      <c r="Q498" t="s">
        <v>109</v>
      </c>
      <c r="R498" t="s">
        <v>2185</v>
      </c>
      <c r="S498" t="s">
        <v>3641</v>
      </c>
      <c r="T498">
        <v>94.5</v>
      </c>
      <c r="U498" t="s">
        <v>109</v>
      </c>
      <c r="V498" t="s">
        <v>109</v>
      </c>
      <c r="W498" t="s">
        <v>109</v>
      </c>
      <c r="X498" t="s">
        <v>109</v>
      </c>
      <c r="Y498" t="s">
        <v>109</v>
      </c>
      <c r="Z498" t="s">
        <v>109</v>
      </c>
      <c r="AA498" t="s">
        <v>109</v>
      </c>
      <c r="AB498" t="s">
        <v>34</v>
      </c>
      <c r="AC498" t="s">
        <v>2123</v>
      </c>
      <c r="AD498" t="s">
        <v>2124</v>
      </c>
      <c r="AE498" t="s">
        <v>1758</v>
      </c>
      <c r="AF498" t="s">
        <v>34</v>
      </c>
      <c r="AG498" t="s">
        <v>34</v>
      </c>
      <c r="AH498" t="s">
        <v>34</v>
      </c>
      <c r="AI498" t="s">
        <v>34</v>
      </c>
      <c r="AJ498" t="s">
        <v>34</v>
      </c>
      <c r="AK498" t="s">
        <v>2125</v>
      </c>
      <c r="AL498" t="s">
        <v>34</v>
      </c>
      <c r="AM498" t="s">
        <v>4803</v>
      </c>
      <c r="AN498" s="478">
        <v>0</v>
      </c>
      <c r="AO498" s="478">
        <v>0</v>
      </c>
    </row>
    <row r="499" spans="1:41" x14ac:dyDescent="0.2">
      <c r="A499">
        <v>498</v>
      </c>
      <c r="B499" t="s">
        <v>1585</v>
      </c>
      <c r="C499" t="s">
        <v>1594</v>
      </c>
      <c r="D499" t="s">
        <v>4275</v>
      </c>
      <c r="E499" t="s">
        <v>2083</v>
      </c>
      <c r="F499" t="s">
        <v>2084</v>
      </c>
      <c r="G499" t="s">
        <v>34</v>
      </c>
      <c r="H499" t="s">
        <v>2128</v>
      </c>
      <c r="I499" t="s">
        <v>5651</v>
      </c>
      <c r="J499" t="s">
        <v>1764</v>
      </c>
      <c r="K499" t="s">
        <v>3676</v>
      </c>
      <c r="L499" t="s">
        <v>2243</v>
      </c>
      <c r="M499" t="s">
        <v>3677</v>
      </c>
      <c r="N499" t="s">
        <v>1594</v>
      </c>
      <c r="O499" t="s">
        <v>2399</v>
      </c>
      <c r="P499" t="s">
        <v>3678</v>
      </c>
      <c r="Q499" t="s">
        <v>109</v>
      </c>
      <c r="R499" t="s">
        <v>2185</v>
      </c>
      <c r="S499" t="s">
        <v>3641</v>
      </c>
      <c r="T499">
        <v>94.5</v>
      </c>
      <c r="U499" t="s">
        <v>109</v>
      </c>
      <c r="V499" t="s">
        <v>109</v>
      </c>
      <c r="W499" t="s">
        <v>109</v>
      </c>
      <c r="X499" t="s">
        <v>109</v>
      </c>
      <c r="Y499" t="s">
        <v>109</v>
      </c>
      <c r="Z499" t="s">
        <v>109</v>
      </c>
      <c r="AA499" t="s">
        <v>109</v>
      </c>
      <c r="AB499" t="s">
        <v>34</v>
      </c>
      <c r="AC499" t="s">
        <v>2123</v>
      </c>
      <c r="AD499" t="s">
        <v>2124</v>
      </c>
      <c r="AE499" t="s">
        <v>1758</v>
      </c>
      <c r="AF499" t="s">
        <v>34</v>
      </c>
      <c r="AG499" t="s">
        <v>34</v>
      </c>
      <c r="AH499" t="s">
        <v>34</v>
      </c>
      <c r="AI499" t="s">
        <v>34</v>
      </c>
      <c r="AJ499" t="s">
        <v>34</v>
      </c>
      <c r="AK499" t="s">
        <v>2125</v>
      </c>
      <c r="AL499" t="s">
        <v>34</v>
      </c>
      <c r="AM499" t="s">
        <v>4803</v>
      </c>
      <c r="AN499" s="478">
        <v>0</v>
      </c>
      <c r="AO499" s="478">
        <v>0</v>
      </c>
    </row>
    <row r="500" spans="1:41" x14ac:dyDescent="0.2">
      <c r="A500">
        <v>499</v>
      </c>
      <c r="B500" t="s">
        <v>1585</v>
      </c>
      <c r="C500" t="s">
        <v>1587</v>
      </c>
      <c r="D500" t="s">
        <v>4276</v>
      </c>
      <c r="E500" t="s">
        <v>2083</v>
      </c>
      <c r="F500" t="s">
        <v>2084</v>
      </c>
      <c r="G500" t="s">
        <v>34</v>
      </c>
      <c r="H500" t="s">
        <v>2128</v>
      </c>
      <c r="I500" t="s">
        <v>5651</v>
      </c>
      <c r="J500" t="s">
        <v>1764</v>
      </c>
      <c r="K500" t="s">
        <v>2778</v>
      </c>
      <c r="L500" t="s">
        <v>2243</v>
      </c>
      <c r="M500" t="s">
        <v>3645</v>
      </c>
      <c r="N500" t="s">
        <v>1587</v>
      </c>
      <c r="O500" t="s">
        <v>2399</v>
      </c>
      <c r="P500" t="s">
        <v>2862</v>
      </c>
      <c r="Q500" t="s">
        <v>109</v>
      </c>
      <c r="R500" t="s">
        <v>2185</v>
      </c>
      <c r="S500" t="s">
        <v>3641</v>
      </c>
      <c r="T500">
        <v>94.5</v>
      </c>
      <c r="U500" t="s">
        <v>109</v>
      </c>
      <c r="V500" t="s">
        <v>109</v>
      </c>
      <c r="W500" t="s">
        <v>109</v>
      </c>
      <c r="X500" t="s">
        <v>109</v>
      </c>
      <c r="Y500" t="s">
        <v>109</v>
      </c>
      <c r="Z500" t="s">
        <v>109</v>
      </c>
      <c r="AA500" t="s">
        <v>109</v>
      </c>
      <c r="AB500" t="s">
        <v>34</v>
      </c>
      <c r="AC500" t="s">
        <v>2123</v>
      </c>
      <c r="AD500" t="s">
        <v>2124</v>
      </c>
      <c r="AE500" t="s">
        <v>1758</v>
      </c>
      <c r="AF500" t="s">
        <v>34</v>
      </c>
      <c r="AG500" t="s">
        <v>34</v>
      </c>
      <c r="AH500" t="s">
        <v>34</v>
      </c>
      <c r="AI500" t="s">
        <v>34</v>
      </c>
      <c r="AJ500" t="s">
        <v>34</v>
      </c>
      <c r="AK500" t="s">
        <v>2125</v>
      </c>
      <c r="AL500" t="s">
        <v>34</v>
      </c>
      <c r="AM500" t="s">
        <v>4803</v>
      </c>
      <c r="AN500" s="478">
        <v>0</v>
      </c>
      <c r="AO500" s="478">
        <v>0</v>
      </c>
    </row>
    <row r="501" spans="1:41" x14ac:dyDescent="0.2">
      <c r="A501">
        <v>500</v>
      </c>
      <c r="B501" t="s">
        <v>1585</v>
      </c>
      <c r="C501" t="s">
        <v>1615</v>
      </c>
      <c r="D501" t="s">
        <v>4277</v>
      </c>
      <c r="E501" t="s">
        <v>2083</v>
      </c>
      <c r="F501" t="s">
        <v>2084</v>
      </c>
      <c r="G501" t="s">
        <v>34</v>
      </c>
      <c r="H501" t="s">
        <v>2128</v>
      </c>
      <c r="I501" t="s">
        <v>5651</v>
      </c>
      <c r="J501" t="s">
        <v>1764</v>
      </c>
      <c r="K501" t="s">
        <v>3642</v>
      </c>
      <c r="L501" t="s">
        <v>2243</v>
      </c>
      <c r="M501" t="s">
        <v>3643</v>
      </c>
      <c r="N501" t="s">
        <v>1615</v>
      </c>
      <c r="O501" t="s">
        <v>2399</v>
      </c>
      <c r="P501" t="s">
        <v>3644</v>
      </c>
      <c r="Q501" t="s">
        <v>109</v>
      </c>
      <c r="R501" t="s">
        <v>2185</v>
      </c>
      <c r="S501" t="s">
        <v>3641</v>
      </c>
      <c r="T501">
        <v>94.5</v>
      </c>
      <c r="U501" t="s">
        <v>109</v>
      </c>
      <c r="V501" t="s">
        <v>109</v>
      </c>
      <c r="W501" t="s">
        <v>109</v>
      </c>
      <c r="X501" t="s">
        <v>109</v>
      </c>
      <c r="Y501" t="s">
        <v>109</v>
      </c>
      <c r="Z501" t="s">
        <v>109</v>
      </c>
      <c r="AA501" t="s">
        <v>109</v>
      </c>
      <c r="AB501" t="s">
        <v>34</v>
      </c>
      <c r="AC501" t="s">
        <v>2123</v>
      </c>
      <c r="AD501" t="s">
        <v>2124</v>
      </c>
      <c r="AE501" t="s">
        <v>1758</v>
      </c>
      <c r="AF501" t="s">
        <v>34</v>
      </c>
      <c r="AG501" t="s">
        <v>34</v>
      </c>
      <c r="AH501" t="s">
        <v>34</v>
      </c>
      <c r="AI501" t="s">
        <v>34</v>
      </c>
      <c r="AJ501" t="s">
        <v>34</v>
      </c>
      <c r="AK501" t="s">
        <v>2125</v>
      </c>
      <c r="AL501" t="s">
        <v>34</v>
      </c>
      <c r="AM501" t="s">
        <v>4803</v>
      </c>
      <c r="AN501" s="478">
        <v>0</v>
      </c>
      <c r="AO501" s="478">
        <v>0</v>
      </c>
    </row>
    <row r="502" spans="1:41" x14ac:dyDescent="0.2">
      <c r="A502">
        <v>501</v>
      </c>
      <c r="B502" t="s">
        <v>1585</v>
      </c>
      <c r="C502" t="s">
        <v>1598</v>
      </c>
      <c r="D502" t="s">
        <v>4278</v>
      </c>
      <c r="E502" t="s">
        <v>2083</v>
      </c>
      <c r="F502" t="s">
        <v>2084</v>
      </c>
      <c r="G502" t="s">
        <v>34</v>
      </c>
      <c r="H502" t="s">
        <v>2128</v>
      </c>
      <c r="I502" t="s">
        <v>5651</v>
      </c>
      <c r="J502" t="s">
        <v>1764</v>
      </c>
      <c r="K502" t="s">
        <v>3672</v>
      </c>
      <c r="L502" t="s">
        <v>2243</v>
      </c>
      <c r="M502" t="s">
        <v>3673</v>
      </c>
      <c r="N502" t="s">
        <v>1598</v>
      </c>
      <c r="O502" t="s">
        <v>2399</v>
      </c>
      <c r="P502" t="s">
        <v>3674</v>
      </c>
      <c r="Q502" t="s">
        <v>109</v>
      </c>
      <c r="R502" t="s">
        <v>2185</v>
      </c>
      <c r="S502" t="s">
        <v>3641</v>
      </c>
      <c r="T502">
        <v>94.5</v>
      </c>
      <c r="U502" t="s">
        <v>109</v>
      </c>
      <c r="V502" t="s">
        <v>109</v>
      </c>
      <c r="W502" t="s">
        <v>109</v>
      </c>
      <c r="X502" t="s">
        <v>109</v>
      </c>
      <c r="Y502" t="s">
        <v>109</v>
      </c>
      <c r="Z502" t="s">
        <v>109</v>
      </c>
      <c r="AA502" t="s">
        <v>109</v>
      </c>
      <c r="AB502" t="s">
        <v>34</v>
      </c>
      <c r="AC502" t="s">
        <v>2123</v>
      </c>
      <c r="AD502" t="s">
        <v>2124</v>
      </c>
      <c r="AE502" t="s">
        <v>1758</v>
      </c>
      <c r="AF502" t="s">
        <v>34</v>
      </c>
      <c r="AG502" t="s">
        <v>34</v>
      </c>
      <c r="AH502" t="s">
        <v>34</v>
      </c>
      <c r="AI502" t="s">
        <v>34</v>
      </c>
      <c r="AJ502" t="s">
        <v>34</v>
      </c>
      <c r="AK502" t="s">
        <v>2125</v>
      </c>
      <c r="AL502" t="s">
        <v>34</v>
      </c>
      <c r="AM502" t="s">
        <v>4803</v>
      </c>
      <c r="AN502" s="478">
        <v>0</v>
      </c>
      <c r="AO502" s="478">
        <v>0</v>
      </c>
    </row>
    <row r="503" spans="1:41" x14ac:dyDescent="0.2">
      <c r="A503">
        <v>502</v>
      </c>
      <c r="B503" t="s">
        <v>1585</v>
      </c>
      <c r="C503" t="s">
        <v>1605</v>
      </c>
      <c r="D503" t="s">
        <v>4279</v>
      </c>
      <c r="E503" t="s">
        <v>2083</v>
      </c>
      <c r="F503" t="s">
        <v>2084</v>
      </c>
      <c r="G503" t="s">
        <v>34</v>
      </c>
      <c r="H503" t="s">
        <v>2128</v>
      </c>
      <c r="I503" t="s">
        <v>5651</v>
      </c>
      <c r="J503" t="s">
        <v>1764</v>
      </c>
      <c r="K503" t="s">
        <v>3652</v>
      </c>
      <c r="L503" t="s">
        <v>2243</v>
      </c>
      <c r="M503" t="s">
        <v>3658</v>
      </c>
      <c r="N503" t="s">
        <v>1605</v>
      </c>
      <c r="O503" t="s">
        <v>2399</v>
      </c>
      <c r="P503" t="s">
        <v>3654</v>
      </c>
      <c r="Q503" t="s">
        <v>109</v>
      </c>
      <c r="R503" t="s">
        <v>2185</v>
      </c>
      <c r="S503" t="s">
        <v>3641</v>
      </c>
      <c r="T503">
        <v>94.5</v>
      </c>
      <c r="U503" t="s">
        <v>109</v>
      </c>
      <c r="V503" t="s">
        <v>109</v>
      </c>
      <c r="W503" t="s">
        <v>109</v>
      </c>
      <c r="X503" t="s">
        <v>109</v>
      </c>
      <c r="Y503" t="s">
        <v>109</v>
      </c>
      <c r="Z503" t="s">
        <v>109</v>
      </c>
      <c r="AA503" t="s">
        <v>109</v>
      </c>
      <c r="AB503" t="s">
        <v>34</v>
      </c>
      <c r="AC503" t="s">
        <v>2123</v>
      </c>
      <c r="AD503" t="s">
        <v>2124</v>
      </c>
      <c r="AE503" t="s">
        <v>1758</v>
      </c>
      <c r="AF503" t="s">
        <v>34</v>
      </c>
      <c r="AG503" t="s">
        <v>34</v>
      </c>
      <c r="AH503" t="s">
        <v>34</v>
      </c>
      <c r="AI503" t="s">
        <v>34</v>
      </c>
      <c r="AJ503" t="s">
        <v>34</v>
      </c>
      <c r="AK503" t="s">
        <v>2125</v>
      </c>
      <c r="AL503" t="s">
        <v>34</v>
      </c>
      <c r="AM503" t="s">
        <v>4803</v>
      </c>
      <c r="AN503" s="478">
        <v>0</v>
      </c>
      <c r="AO503" s="478">
        <v>0</v>
      </c>
    </row>
    <row r="504" spans="1:41" x14ac:dyDescent="0.2">
      <c r="A504">
        <v>503</v>
      </c>
      <c r="B504" t="s">
        <v>1585</v>
      </c>
      <c r="C504" t="s">
        <v>1021</v>
      </c>
      <c r="D504" t="s">
        <v>4280</v>
      </c>
      <c r="E504" t="s">
        <v>2083</v>
      </c>
      <c r="F504" t="s">
        <v>2084</v>
      </c>
      <c r="G504" t="s">
        <v>34</v>
      </c>
      <c r="H504" t="s">
        <v>2128</v>
      </c>
      <c r="I504" t="s">
        <v>5651</v>
      </c>
      <c r="J504" t="s">
        <v>2116</v>
      </c>
      <c r="K504" t="s">
        <v>1060</v>
      </c>
      <c r="L504" t="s">
        <v>3689</v>
      </c>
      <c r="M504">
        <v>6469</v>
      </c>
      <c r="N504" t="s">
        <v>1021</v>
      </c>
      <c r="O504" t="s">
        <v>5652</v>
      </c>
      <c r="P504" t="s">
        <v>2421</v>
      </c>
      <c r="Q504" t="s">
        <v>4863</v>
      </c>
      <c r="R504" t="s">
        <v>2121</v>
      </c>
      <c r="S504" t="s">
        <v>3690</v>
      </c>
      <c r="T504">
        <v>100</v>
      </c>
      <c r="U504" t="s">
        <v>2150</v>
      </c>
      <c r="V504">
        <v>0</v>
      </c>
      <c r="W504">
        <v>0</v>
      </c>
      <c r="X504">
        <v>0</v>
      </c>
      <c r="Y504">
        <v>0</v>
      </c>
      <c r="Z504">
        <v>0</v>
      </c>
      <c r="AA504">
        <v>0</v>
      </c>
      <c r="AB504" t="s">
        <v>34</v>
      </c>
      <c r="AC504" t="s">
        <v>2123</v>
      </c>
      <c r="AD504" t="s">
        <v>2124</v>
      </c>
      <c r="AE504" t="s">
        <v>1758</v>
      </c>
      <c r="AF504" t="s">
        <v>34</v>
      </c>
      <c r="AG504" t="s">
        <v>34</v>
      </c>
      <c r="AH504" t="s">
        <v>34</v>
      </c>
      <c r="AI504" t="s">
        <v>34</v>
      </c>
      <c r="AJ504" t="s">
        <v>34</v>
      </c>
      <c r="AK504" t="s">
        <v>2125</v>
      </c>
      <c r="AL504" t="s">
        <v>34</v>
      </c>
      <c r="AM504" t="s">
        <v>4803</v>
      </c>
      <c r="AN504" s="478">
        <v>1.4583333333333332E-2</v>
      </c>
      <c r="AO504" s="478">
        <v>0</v>
      </c>
    </row>
    <row r="505" spans="1:41" x14ac:dyDescent="0.2">
      <c r="A505">
        <v>504</v>
      </c>
      <c r="B505" t="s">
        <v>1585</v>
      </c>
      <c r="C505" t="s">
        <v>1011</v>
      </c>
      <c r="D505" t="s">
        <v>4281</v>
      </c>
      <c r="E505" t="s">
        <v>2083</v>
      </c>
      <c r="F505" t="s">
        <v>2084</v>
      </c>
      <c r="G505" t="s">
        <v>34</v>
      </c>
      <c r="H505" t="s">
        <v>2128</v>
      </c>
      <c r="I505" t="s">
        <v>5651</v>
      </c>
      <c r="J505" t="s">
        <v>2116</v>
      </c>
      <c r="K505" t="s">
        <v>1060</v>
      </c>
      <c r="L505" t="s">
        <v>3684</v>
      </c>
      <c r="M505">
        <v>5214</v>
      </c>
      <c r="N505" t="s">
        <v>1011</v>
      </c>
      <c r="O505" t="s">
        <v>5698</v>
      </c>
      <c r="P505" t="s">
        <v>3685</v>
      </c>
      <c r="Q505" t="s">
        <v>4908</v>
      </c>
      <c r="R505" t="s">
        <v>2121</v>
      </c>
      <c r="S505" t="s">
        <v>3686</v>
      </c>
      <c r="T505">
        <v>55.1</v>
      </c>
      <c r="U505" t="s">
        <v>2150</v>
      </c>
      <c r="V505" t="s">
        <v>2467</v>
      </c>
      <c r="W505" t="s">
        <v>3687</v>
      </c>
      <c r="X505" t="s">
        <v>4864</v>
      </c>
      <c r="Y505" t="s">
        <v>2467</v>
      </c>
      <c r="Z505" t="s">
        <v>3687</v>
      </c>
      <c r="AA505" t="s">
        <v>4864</v>
      </c>
      <c r="AB505" t="s">
        <v>3688</v>
      </c>
      <c r="AC505" t="s">
        <v>2123</v>
      </c>
      <c r="AD505" t="s">
        <v>2124</v>
      </c>
      <c r="AE505" t="s">
        <v>1758</v>
      </c>
      <c r="AF505">
        <v>3.6</v>
      </c>
      <c r="AG505">
        <v>0.7</v>
      </c>
      <c r="AH505">
        <v>2.5</v>
      </c>
      <c r="AI505" t="s">
        <v>3967</v>
      </c>
      <c r="AJ505" t="s">
        <v>34</v>
      </c>
      <c r="AK505" t="s">
        <v>2125</v>
      </c>
      <c r="AL505" t="s">
        <v>34</v>
      </c>
      <c r="AM505" t="s">
        <v>4803</v>
      </c>
      <c r="AN505" s="478">
        <v>1.4583333333333332E-2</v>
      </c>
      <c r="AO505" s="478">
        <v>0</v>
      </c>
    </row>
    <row r="506" spans="1:41" x14ac:dyDescent="0.2">
      <c r="A506">
        <v>505</v>
      </c>
      <c r="B506" t="s">
        <v>1585</v>
      </c>
      <c r="C506" t="s">
        <v>334</v>
      </c>
      <c r="D506" t="s">
        <v>4282</v>
      </c>
      <c r="E506" t="s">
        <v>2083</v>
      </c>
      <c r="F506" t="s">
        <v>2084</v>
      </c>
      <c r="G506" t="s">
        <v>34</v>
      </c>
      <c r="H506" t="s">
        <v>2128</v>
      </c>
      <c r="I506" t="s">
        <v>5651</v>
      </c>
      <c r="J506" t="s">
        <v>2116</v>
      </c>
      <c r="K506" t="s">
        <v>1060</v>
      </c>
      <c r="L506" t="s">
        <v>3680</v>
      </c>
      <c r="M506" t="s">
        <v>3681</v>
      </c>
      <c r="N506" t="s">
        <v>334</v>
      </c>
      <c r="O506" t="s">
        <v>5652</v>
      </c>
      <c r="P506" t="s">
        <v>2906</v>
      </c>
      <c r="Q506" t="s">
        <v>4863</v>
      </c>
      <c r="R506" t="s">
        <v>2295</v>
      </c>
      <c r="S506" t="s">
        <v>3682</v>
      </c>
      <c r="T506">
        <v>480.8</v>
      </c>
      <c r="U506" t="s">
        <v>2150</v>
      </c>
      <c r="V506" t="s">
        <v>2467</v>
      </c>
      <c r="W506" t="s">
        <v>3683</v>
      </c>
      <c r="X506" t="s">
        <v>4864</v>
      </c>
      <c r="Y506" t="s">
        <v>2467</v>
      </c>
      <c r="Z506" t="s">
        <v>3683</v>
      </c>
      <c r="AA506" t="s">
        <v>4864</v>
      </c>
      <c r="AB506" t="s">
        <v>34</v>
      </c>
      <c r="AC506" t="s">
        <v>2123</v>
      </c>
      <c r="AD506" t="s">
        <v>2124</v>
      </c>
      <c r="AE506" t="s">
        <v>1758</v>
      </c>
      <c r="AF506" t="s">
        <v>3886</v>
      </c>
      <c r="AG506">
        <v>0.45</v>
      </c>
      <c r="AH506">
        <v>0.1</v>
      </c>
      <c r="AI506" t="s">
        <v>3967</v>
      </c>
      <c r="AJ506" t="s">
        <v>3968</v>
      </c>
      <c r="AK506" t="s">
        <v>2125</v>
      </c>
      <c r="AL506" t="s">
        <v>34</v>
      </c>
      <c r="AM506" t="s">
        <v>4803</v>
      </c>
      <c r="AN506" s="478">
        <v>0</v>
      </c>
      <c r="AO506" s="478">
        <v>0</v>
      </c>
    </row>
    <row r="507" spans="1:41" x14ac:dyDescent="0.2">
      <c r="A507">
        <v>506</v>
      </c>
      <c r="B507" t="s">
        <v>1585</v>
      </c>
      <c r="C507" t="s">
        <v>1603</v>
      </c>
      <c r="D507" t="s">
        <v>4283</v>
      </c>
      <c r="E507" t="s">
        <v>2083</v>
      </c>
      <c r="F507" t="s">
        <v>2084</v>
      </c>
      <c r="G507" t="s">
        <v>34</v>
      </c>
      <c r="H507" t="s">
        <v>2128</v>
      </c>
      <c r="I507" t="s">
        <v>5651</v>
      </c>
      <c r="J507" t="s">
        <v>2116</v>
      </c>
      <c r="K507" t="s">
        <v>3659</v>
      </c>
      <c r="L507" t="s">
        <v>3660</v>
      </c>
      <c r="M507">
        <v>18612</v>
      </c>
      <c r="N507" t="s">
        <v>1603</v>
      </c>
      <c r="O507" t="s">
        <v>5674</v>
      </c>
      <c r="P507" t="s">
        <v>3661</v>
      </c>
      <c r="Q507" t="s">
        <v>4872</v>
      </c>
      <c r="R507" t="s">
        <v>2121</v>
      </c>
      <c r="S507" t="s">
        <v>3662</v>
      </c>
      <c r="T507">
        <v>21</v>
      </c>
      <c r="U507" t="s">
        <v>2150</v>
      </c>
      <c r="V507" t="s">
        <v>2477</v>
      </c>
      <c r="W507" t="s">
        <v>3663</v>
      </c>
      <c r="X507" t="s">
        <v>4864</v>
      </c>
      <c r="Y507" t="s">
        <v>2477</v>
      </c>
      <c r="Z507" t="s">
        <v>3663</v>
      </c>
      <c r="AA507" t="s">
        <v>4864</v>
      </c>
      <c r="AB507" t="s">
        <v>34</v>
      </c>
      <c r="AC507" t="s">
        <v>2123</v>
      </c>
      <c r="AD507" t="s">
        <v>2124</v>
      </c>
      <c r="AE507" t="s">
        <v>1758</v>
      </c>
      <c r="AF507">
        <v>2.5</v>
      </c>
      <c r="AG507">
        <v>0.15</v>
      </c>
      <c r="AH507">
        <v>0.25</v>
      </c>
      <c r="AI507" t="s">
        <v>3964</v>
      </c>
      <c r="AJ507" t="s">
        <v>34</v>
      </c>
      <c r="AK507" t="s">
        <v>2125</v>
      </c>
      <c r="AL507" t="s">
        <v>34</v>
      </c>
      <c r="AM507" t="s">
        <v>4806</v>
      </c>
      <c r="AN507" s="478">
        <v>1.4583333333333332E-2</v>
      </c>
      <c r="AO507" s="478">
        <v>0</v>
      </c>
    </row>
    <row r="508" spans="1:41" x14ac:dyDescent="0.2">
      <c r="A508">
        <v>507</v>
      </c>
      <c r="B508" t="s">
        <v>1585</v>
      </c>
      <c r="C508" t="s">
        <v>1062</v>
      </c>
      <c r="D508" t="s">
        <v>4284</v>
      </c>
      <c r="E508" t="s">
        <v>2083</v>
      </c>
      <c r="F508" t="s">
        <v>2084</v>
      </c>
      <c r="G508" t="s">
        <v>34</v>
      </c>
      <c r="H508" t="s">
        <v>2128</v>
      </c>
      <c r="I508" t="s">
        <v>5651</v>
      </c>
      <c r="J508" t="s">
        <v>2116</v>
      </c>
      <c r="K508" t="s">
        <v>1062</v>
      </c>
      <c r="L508" t="s">
        <v>3666</v>
      </c>
      <c r="M508">
        <v>7280010</v>
      </c>
      <c r="N508" t="s">
        <v>1062</v>
      </c>
      <c r="O508" t="s">
        <v>5652</v>
      </c>
      <c r="P508" t="s">
        <v>3667</v>
      </c>
      <c r="Q508" t="s">
        <v>4863</v>
      </c>
      <c r="R508" t="s">
        <v>2121</v>
      </c>
      <c r="S508" t="s">
        <v>3668</v>
      </c>
      <c r="T508">
        <v>172</v>
      </c>
      <c r="U508" t="s">
        <v>2150</v>
      </c>
      <c r="V508" t="s">
        <v>2352</v>
      </c>
      <c r="W508" t="s">
        <v>3669</v>
      </c>
      <c r="X508" t="s">
        <v>5175</v>
      </c>
      <c r="Y508" t="s">
        <v>2467</v>
      </c>
      <c r="Z508" t="s">
        <v>3671</v>
      </c>
      <c r="AA508" t="s">
        <v>5175</v>
      </c>
      <c r="AB508" t="s">
        <v>34</v>
      </c>
      <c r="AC508" t="s">
        <v>2123</v>
      </c>
      <c r="AD508" t="s">
        <v>2124</v>
      </c>
      <c r="AE508" t="s">
        <v>1758</v>
      </c>
      <c r="AF508">
        <v>2.5</v>
      </c>
      <c r="AG508">
        <v>1</v>
      </c>
      <c r="AH508">
        <v>2</v>
      </c>
      <c r="AI508" t="s">
        <v>3965</v>
      </c>
      <c r="AJ508" t="s">
        <v>3966</v>
      </c>
      <c r="AK508" t="s">
        <v>2125</v>
      </c>
      <c r="AL508" t="s">
        <v>34</v>
      </c>
      <c r="AM508" t="s">
        <v>4806</v>
      </c>
      <c r="AN508" s="478">
        <v>0</v>
      </c>
      <c r="AO508" s="478">
        <v>2.1527777777777781E-2</v>
      </c>
    </row>
    <row r="509" spans="1:41" x14ac:dyDescent="0.2">
      <c r="A509">
        <v>508</v>
      </c>
      <c r="B509" t="s">
        <v>1585</v>
      </c>
      <c r="C509" t="s">
        <v>1617</v>
      </c>
      <c r="D509" t="s">
        <v>4285</v>
      </c>
      <c r="E509" t="s">
        <v>2083</v>
      </c>
      <c r="F509" t="s">
        <v>2084</v>
      </c>
      <c r="G509" t="s">
        <v>34</v>
      </c>
      <c r="H509" t="s">
        <v>2128</v>
      </c>
      <c r="I509" t="s">
        <v>5651</v>
      </c>
      <c r="J509" t="s">
        <v>1764</v>
      </c>
      <c r="K509" t="s">
        <v>3639</v>
      </c>
      <c r="L509" t="s">
        <v>2243</v>
      </c>
      <c r="M509" t="s">
        <v>3640</v>
      </c>
      <c r="N509" t="s">
        <v>1617</v>
      </c>
      <c r="O509" t="s">
        <v>2399</v>
      </c>
      <c r="P509" t="s">
        <v>2651</v>
      </c>
      <c r="Q509" t="s">
        <v>109</v>
      </c>
      <c r="R509" t="s">
        <v>2185</v>
      </c>
      <c r="S509" t="s">
        <v>3641</v>
      </c>
      <c r="T509">
        <v>94.5</v>
      </c>
      <c r="U509" t="s">
        <v>109</v>
      </c>
      <c r="V509" t="s">
        <v>109</v>
      </c>
      <c r="W509" t="s">
        <v>109</v>
      </c>
      <c r="X509" t="s">
        <v>109</v>
      </c>
      <c r="Y509" t="s">
        <v>109</v>
      </c>
      <c r="Z509" t="s">
        <v>109</v>
      </c>
      <c r="AA509" t="s">
        <v>109</v>
      </c>
      <c r="AB509" t="s">
        <v>34</v>
      </c>
      <c r="AC509" t="s">
        <v>2123</v>
      </c>
      <c r="AD509" t="s">
        <v>2124</v>
      </c>
      <c r="AE509" t="s">
        <v>1758</v>
      </c>
      <c r="AF509" t="s">
        <v>34</v>
      </c>
      <c r="AG509" t="s">
        <v>34</v>
      </c>
      <c r="AH509" t="s">
        <v>34</v>
      </c>
      <c r="AI509" t="s">
        <v>34</v>
      </c>
      <c r="AJ509" t="s">
        <v>34</v>
      </c>
      <c r="AK509" t="s">
        <v>2125</v>
      </c>
      <c r="AL509" t="s">
        <v>34</v>
      </c>
      <c r="AM509" t="s">
        <v>4803</v>
      </c>
      <c r="AN509" s="478">
        <v>0</v>
      </c>
      <c r="AO509" s="478">
        <v>0</v>
      </c>
    </row>
    <row r="510" spans="1:41" x14ac:dyDescent="0.2">
      <c r="A510">
        <v>509</v>
      </c>
      <c r="B510" t="s">
        <v>1585</v>
      </c>
      <c r="C510" t="s">
        <v>1609</v>
      </c>
      <c r="D510" t="s">
        <v>4286</v>
      </c>
      <c r="E510" t="s">
        <v>2083</v>
      </c>
      <c r="F510" t="s">
        <v>2084</v>
      </c>
      <c r="G510" t="s">
        <v>34</v>
      </c>
      <c r="H510" t="s">
        <v>2128</v>
      </c>
      <c r="I510" t="s">
        <v>5651</v>
      </c>
      <c r="J510" t="s">
        <v>1764</v>
      </c>
      <c r="K510" t="s">
        <v>3655</v>
      </c>
      <c r="L510" t="s">
        <v>2243</v>
      </c>
      <c r="M510" t="s">
        <v>3656</v>
      </c>
      <c r="N510" t="s">
        <v>1609</v>
      </c>
      <c r="O510" t="s">
        <v>2399</v>
      </c>
      <c r="P510" t="s">
        <v>3657</v>
      </c>
      <c r="Q510" t="s">
        <v>109</v>
      </c>
      <c r="R510" t="s">
        <v>2185</v>
      </c>
      <c r="S510" t="s">
        <v>3641</v>
      </c>
      <c r="T510">
        <v>94.5</v>
      </c>
      <c r="U510" t="s">
        <v>109</v>
      </c>
      <c r="V510" t="s">
        <v>109</v>
      </c>
      <c r="W510" t="s">
        <v>109</v>
      </c>
      <c r="X510" t="s">
        <v>109</v>
      </c>
      <c r="Y510" t="s">
        <v>109</v>
      </c>
      <c r="Z510" t="s">
        <v>109</v>
      </c>
      <c r="AA510" t="s">
        <v>109</v>
      </c>
      <c r="AB510" t="s">
        <v>34</v>
      </c>
      <c r="AC510" t="s">
        <v>2123</v>
      </c>
      <c r="AD510" t="s">
        <v>2124</v>
      </c>
      <c r="AE510" t="s">
        <v>1758</v>
      </c>
      <c r="AF510" t="s">
        <v>34</v>
      </c>
      <c r="AG510" t="s">
        <v>34</v>
      </c>
      <c r="AH510" t="s">
        <v>34</v>
      </c>
      <c r="AI510" t="s">
        <v>34</v>
      </c>
      <c r="AJ510" t="s">
        <v>34</v>
      </c>
      <c r="AK510" t="s">
        <v>2125</v>
      </c>
      <c r="AL510" t="s">
        <v>34</v>
      </c>
      <c r="AM510" t="s">
        <v>4803</v>
      </c>
      <c r="AN510" s="478">
        <v>0</v>
      </c>
      <c r="AO510" s="478">
        <v>0</v>
      </c>
    </row>
    <row r="511" spans="1:41" x14ac:dyDescent="0.2">
      <c r="A511">
        <v>510</v>
      </c>
      <c r="B511" t="s">
        <v>1585</v>
      </c>
      <c r="C511" t="s">
        <v>1611</v>
      </c>
      <c r="D511" t="s">
        <v>4287</v>
      </c>
      <c r="E511" t="s">
        <v>2083</v>
      </c>
      <c r="F511" t="s">
        <v>2084</v>
      </c>
      <c r="G511" t="s">
        <v>34</v>
      </c>
      <c r="H511" t="s">
        <v>2128</v>
      </c>
      <c r="I511" t="s">
        <v>5651</v>
      </c>
      <c r="J511" t="s">
        <v>1764</v>
      </c>
      <c r="K511" t="s">
        <v>3650</v>
      </c>
      <c r="L511" t="s">
        <v>2243</v>
      </c>
      <c r="M511" t="s">
        <v>3651</v>
      </c>
      <c r="N511" t="s">
        <v>1611</v>
      </c>
      <c r="O511" t="s">
        <v>2399</v>
      </c>
      <c r="P511" t="s">
        <v>2269</v>
      </c>
      <c r="Q511" t="s">
        <v>109</v>
      </c>
      <c r="R511" t="s">
        <v>2185</v>
      </c>
      <c r="S511" t="s">
        <v>3641</v>
      </c>
      <c r="T511">
        <v>94.5</v>
      </c>
      <c r="U511" t="s">
        <v>109</v>
      </c>
      <c r="V511" t="s">
        <v>109</v>
      </c>
      <c r="W511" t="s">
        <v>109</v>
      </c>
      <c r="X511" t="s">
        <v>109</v>
      </c>
      <c r="Y511" t="s">
        <v>109</v>
      </c>
      <c r="Z511" t="s">
        <v>109</v>
      </c>
      <c r="AA511" t="s">
        <v>109</v>
      </c>
      <c r="AB511" t="s">
        <v>34</v>
      </c>
      <c r="AC511" t="s">
        <v>2123</v>
      </c>
      <c r="AD511" t="s">
        <v>2124</v>
      </c>
      <c r="AE511" t="s">
        <v>1758</v>
      </c>
      <c r="AF511" t="s">
        <v>34</v>
      </c>
      <c r="AG511" t="s">
        <v>34</v>
      </c>
      <c r="AH511" t="s">
        <v>34</v>
      </c>
      <c r="AI511" t="s">
        <v>34</v>
      </c>
      <c r="AJ511" t="s">
        <v>34</v>
      </c>
      <c r="AK511" t="s">
        <v>2125</v>
      </c>
      <c r="AL511" t="s">
        <v>34</v>
      </c>
      <c r="AM511" t="s">
        <v>4803</v>
      </c>
      <c r="AN511" s="478">
        <v>0</v>
      </c>
      <c r="AO511" s="478">
        <v>0</v>
      </c>
    </row>
    <row r="512" spans="1:41" x14ac:dyDescent="0.2">
      <c r="A512">
        <v>511</v>
      </c>
      <c r="B512" t="s">
        <v>1585</v>
      </c>
      <c r="C512" t="s">
        <v>1613</v>
      </c>
      <c r="D512" t="s">
        <v>4288</v>
      </c>
      <c r="E512" t="s">
        <v>2083</v>
      </c>
      <c r="F512" t="s">
        <v>2084</v>
      </c>
      <c r="G512" t="s">
        <v>34</v>
      </c>
      <c r="H512" t="s">
        <v>2128</v>
      </c>
      <c r="I512" t="s">
        <v>5651</v>
      </c>
      <c r="J512" t="s">
        <v>1764</v>
      </c>
      <c r="K512" t="s">
        <v>3646</v>
      </c>
      <c r="L512" t="s">
        <v>2243</v>
      </c>
      <c r="M512" t="s">
        <v>3647</v>
      </c>
      <c r="N512" t="s">
        <v>1613</v>
      </c>
      <c r="O512" t="s">
        <v>2399</v>
      </c>
      <c r="P512" t="s">
        <v>3648</v>
      </c>
      <c r="Q512" t="s">
        <v>109</v>
      </c>
      <c r="R512" t="s">
        <v>2185</v>
      </c>
      <c r="S512" t="s">
        <v>3649</v>
      </c>
      <c r="T512">
        <v>63</v>
      </c>
      <c r="U512" t="s">
        <v>109</v>
      </c>
      <c r="V512" t="s">
        <v>109</v>
      </c>
      <c r="W512" t="s">
        <v>109</v>
      </c>
      <c r="X512" t="s">
        <v>109</v>
      </c>
      <c r="Y512" t="s">
        <v>109</v>
      </c>
      <c r="Z512" t="s">
        <v>109</v>
      </c>
      <c r="AA512" t="s">
        <v>109</v>
      </c>
      <c r="AB512" t="s">
        <v>34</v>
      </c>
      <c r="AC512" t="s">
        <v>2123</v>
      </c>
      <c r="AD512" t="s">
        <v>2124</v>
      </c>
      <c r="AE512" t="s">
        <v>1758</v>
      </c>
      <c r="AF512" t="s">
        <v>34</v>
      </c>
      <c r="AG512" t="s">
        <v>34</v>
      </c>
      <c r="AH512" t="s">
        <v>34</v>
      </c>
      <c r="AI512" t="s">
        <v>34</v>
      </c>
      <c r="AJ512" t="s">
        <v>34</v>
      </c>
      <c r="AK512" t="s">
        <v>2125</v>
      </c>
      <c r="AL512" t="s">
        <v>34</v>
      </c>
      <c r="AM512" t="s">
        <v>4803</v>
      </c>
      <c r="AN512" s="478">
        <v>0</v>
      </c>
      <c r="AO512" s="478">
        <v>0</v>
      </c>
    </row>
    <row r="513" spans="1:41" x14ac:dyDescent="0.2">
      <c r="A513">
        <v>512</v>
      </c>
      <c r="B513" t="s">
        <v>1585</v>
      </c>
      <c r="C513" t="s">
        <v>1607</v>
      </c>
      <c r="D513" t="s">
        <v>4289</v>
      </c>
      <c r="E513" t="s">
        <v>2083</v>
      </c>
      <c r="F513" t="s">
        <v>2084</v>
      </c>
      <c r="G513" t="s">
        <v>34</v>
      </c>
      <c r="H513" t="s">
        <v>2128</v>
      </c>
      <c r="I513" t="s">
        <v>5651</v>
      </c>
      <c r="J513" t="s">
        <v>1764</v>
      </c>
      <c r="K513" t="s">
        <v>3652</v>
      </c>
      <c r="L513" t="s">
        <v>2243</v>
      </c>
      <c r="M513" t="s">
        <v>3653</v>
      </c>
      <c r="N513" t="s">
        <v>1607</v>
      </c>
      <c r="O513" t="s">
        <v>2399</v>
      </c>
      <c r="P513" t="s">
        <v>3654</v>
      </c>
      <c r="Q513" t="s">
        <v>109</v>
      </c>
      <c r="R513" t="s">
        <v>2185</v>
      </c>
      <c r="S513" t="s">
        <v>3641</v>
      </c>
      <c r="T513">
        <v>94.5</v>
      </c>
      <c r="U513" t="s">
        <v>109</v>
      </c>
      <c r="V513" t="s">
        <v>109</v>
      </c>
      <c r="W513" t="s">
        <v>109</v>
      </c>
      <c r="X513" t="s">
        <v>109</v>
      </c>
      <c r="Y513" t="s">
        <v>109</v>
      </c>
      <c r="Z513" t="s">
        <v>109</v>
      </c>
      <c r="AA513" t="s">
        <v>109</v>
      </c>
      <c r="AB513" t="s">
        <v>34</v>
      </c>
      <c r="AC513" t="s">
        <v>2123</v>
      </c>
      <c r="AD513" t="s">
        <v>2124</v>
      </c>
      <c r="AE513" t="s">
        <v>1758</v>
      </c>
      <c r="AF513" t="s">
        <v>34</v>
      </c>
      <c r="AG513" t="s">
        <v>34</v>
      </c>
      <c r="AH513" t="s">
        <v>34</v>
      </c>
      <c r="AI513" t="s">
        <v>34</v>
      </c>
      <c r="AJ513" t="s">
        <v>34</v>
      </c>
      <c r="AK513" t="s">
        <v>2125</v>
      </c>
      <c r="AL513" t="s">
        <v>34</v>
      </c>
      <c r="AM513" t="s">
        <v>4803</v>
      </c>
      <c r="AN513" s="478">
        <v>1.4583333333333332E-2</v>
      </c>
      <c r="AO513" s="478">
        <v>2.1527777777777781E-2</v>
      </c>
    </row>
    <row r="514" spans="1:41" x14ac:dyDescent="0.2">
      <c r="A514">
        <v>513</v>
      </c>
      <c r="B514" t="s">
        <v>1585</v>
      </c>
      <c r="C514" t="s">
        <v>1417</v>
      </c>
      <c r="D514" t="s">
        <v>4290</v>
      </c>
      <c r="E514" t="s">
        <v>2083</v>
      </c>
      <c r="F514" t="s">
        <v>2084</v>
      </c>
      <c r="G514" t="s">
        <v>34</v>
      </c>
      <c r="H514" t="s">
        <v>2128</v>
      </c>
      <c r="I514" t="s">
        <v>5651</v>
      </c>
      <c r="J514" t="s">
        <v>2116</v>
      </c>
      <c r="K514" t="s">
        <v>2326</v>
      </c>
      <c r="L514" t="s">
        <v>2119</v>
      </c>
      <c r="M514" t="s">
        <v>5757</v>
      </c>
      <c r="N514" t="s">
        <v>1417</v>
      </c>
      <c r="O514" t="s">
        <v>5652</v>
      </c>
      <c r="P514" t="s">
        <v>5758</v>
      </c>
      <c r="Q514" t="s">
        <v>4863</v>
      </c>
      <c r="R514" t="s">
        <v>2121</v>
      </c>
      <c r="S514" t="s">
        <v>3675</v>
      </c>
      <c r="T514">
        <v>85.6</v>
      </c>
      <c r="U514" t="s">
        <v>2148</v>
      </c>
      <c r="V514" t="s">
        <v>5759</v>
      </c>
      <c r="W514" t="s">
        <v>5760</v>
      </c>
      <c r="X514" t="s">
        <v>4864</v>
      </c>
      <c r="Y514" t="s">
        <v>5761</v>
      </c>
      <c r="Z514" t="s">
        <v>5762</v>
      </c>
      <c r="AA514" t="s">
        <v>4864</v>
      </c>
      <c r="AB514" t="s">
        <v>34</v>
      </c>
      <c r="AC514" t="s">
        <v>2123</v>
      </c>
      <c r="AD514" t="s">
        <v>2124</v>
      </c>
      <c r="AE514" t="s">
        <v>1758</v>
      </c>
      <c r="AF514" t="s">
        <v>5763</v>
      </c>
      <c r="AG514">
        <v>0.1</v>
      </c>
      <c r="AH514">
        <v>0.1</v>
      </c>
      <c r="AI514" t="s">
        <v>34</v>
      </c>
      <c r="AJ514" t="s">
        <v>34</v>
      </c>
      <c r="AK514" t="s">
        <v>2125</v>
      </c>
      <c r="AL514" t="s">
        <v>34</v>
      </c>
      <c r="AM514" t="s">
        <v>4803</v>
      </c>
      <c r="AN514" s="478">
        <v>0</v>
      </c>
      <c r="AO514" s="478">
        <v>0</v>
      </c>
    </row>
    <row r="515" spans="1:41" x14ac:dyDescent="0.2">
      <c r="A515">
        <v>514</v>
      </c>
      <c r="B515" t="s">
        <v>1619</v>
      </c>
      <c r="C515" t="s">
        <v>1621</v>
      </c>
      <c r="D515" t="s">
        <v>4291</v>
      </c>
      <c r="E515" t="s">
        <v>2085</v>
      </c>
      <c r="F515" t="s">
        <v>2086</v>
      </c>
      <c r="G515" t="s">
        <v>34</v>
      </c>
      <c r="H515" t="s">
        <v>2128</v>
      </c>
      <c r="I515" t="s">
        <v>5651</v>
      </c>
      <c r="J515" t="s">
        <v>1764</v>
      </c>
      <c r="K515" t="s">
        <v>1117</v>
      </c>
      <c r="L515" t="s">
        <v>3698</v>
      </c>
      <c r="M515">
        <v>620185</v>
      </c>
      <c r="N515" t="s">
        <v>1621</v>
      </c>
      <c r="O515" t="s">
        <v>2399</v>
      </c>
      <c r="P515" t="s">
        <v>3699</v>
      </c>
      <c r="Q515" t="s">
        <v>3670</v>
      </c>
      <c r="R515" t="s">
        <v>2121</v>
      </c>
      <c r="S515" t="s">
        <v>3700</v>
      </c>
      <c r="T515">
        <v>43.8</v>
      </c>
      <c r="U515" t="s">
        <v>1947</v>
      </c>
      <c r="V515" t="s">
        <v>5284</v>
      </c>
      <c r="W515" t="s">
        <v>5285</v>
      </c>
      <c r="X515" t="s">
        <v>2122</v>
      </c>
      <c r="Y515" t="s">
        <v>109</v>
      </c>
      <c r="Z515" t="s">
        <v>109</v>
      </c>
      <c r="AA515" t="s">
        <v>109</v>
      </c>
      <c r="AB515" t="s">
        <v>34</v>
      </c>
      <c r="AC515" t="s">
        <v>2123</v>
      </c>
      <c r="AD515" t="s">
        <v>2124</v>
      </c>
      <c r="AE515" t="s">
        <v>1758</v>
      </c>
      <c r="AF515">
        <v>1</v>
      </c>
      <c r="AG515">
        <v>106</v>
      </c>
      <c r="AH515" t="s">
        <v>5217</v>
      </c>
      <c r="AI515" t="s">
        <v>5286</v>
      </c>
      <c r="AJ515" t="s">
        <v>5287</v>
      </c>
      <c r="AK515" t="s">
        <v>2125</v>
      </c>
      <c r="AL515" t="s">
        <v>34</v>
      </c>
      <c r="AM515" t="s">
        <v>4803</v>
      </c>
      <c r="AN515" s="478">
        <v>0</v>
      </c>
      <c r="AO515" s="478">
        <v>0</v>
      </c>
    </row>
    <row r="516" spans="1:41" x14ac:dyDescent="0.2">
      <c r="A516">
        <v>515</v>
      </c>
      <c r="B516" t="s">
        <v>1619</v>
      </c>
      <c r="C516" t="s">
        <v>1792</v>
      </c>
      <c r="D516" t="s">
        <v>4292</v>
      </c>
      <c r="E516" t="s">
        <v>2085</v>
      </c>
      <c r="F516" t="s">
        <v>2086</v>
      </c>
      <c r="G516" t="s">
        <v>34</v>
      </c>
      <c r="H516" t="s">
        <v>2128</v>
      </c>
      <c r="I516" t="s">
        <v>5651</v>
      </c>
      <c r="J516" t="s">
        <v>1764</v>
      </c>
      <c r="K516" t="s">
        <v>1326</v>
      </c>
      <c r="L516" t="s">
        <v>3691</v>
      </c>
      <c r="M516" t="s">
        <v>3692</v>
      </c>
      <c r="N516" t="s">
        <v>1792</v>
      </c>
      <c r="O516" t="s">
        <v>2399</v>
      </c>
      <c r="P516" t="s">
        <v>3693</v>
      </c>
      <c r="Q516" t="s">
        <v>2204</v>
      </c>
      <c r="R516" t="s">
        <v>2121</v>
      </c>
      <c r="S516" t="s">
        <v>3694</v>
      </c>
      <c r="T516">
        <v>0.92</v>
      </c>
      <c r="U516" t="s">
        <v>1947</v>
      </c>
      <c r="V516" t="s">
        <v>3695</v>
      </c>
      <c r="W516" t="s">
        <v>3696</v>
      </c>
      <c r="X516" t="s">
        <v>2204</v>
      </c>
      <c r="Y516" t="s">
        <v>109</v>
      </c>
      <c r="Z516" t="s">
        <v>109</v>
      </c>
      <c r="AA516" t="s">
        <v>109</v>
      </c>
      <c r="AB516" t="s">
        <v>3697</v>
      </c>
      <c r="AC516" t="s">
        <v>2123</v>
      </c>
      <c r="AD516" t="s">
        <v>2124</v>
      </c>
      <c r="AE516" t="s">
        <v>1758</v>
      </c>
      <c r="AF516" t="s">
        <v>3347</v>
      </c>
      <c r="AG516" t="s">
        <v>34</v>
      </c>
      <c r="AH516" t="s">
        <v>34</v>
      </c>
      <c r="AI516" t="s">
        <v>34</v>
      </c>
      <c r="AJ516" t="s">
        <v>34</v>
      </c>
      <c r="AK516" t="s">
        <v>2125</v>
      </c>
      <c r="AL516" t="s">
        <v>34</v>
      </c>
      <c r="AM516" t="s">
        <v>4803</v>
      </c>
      <c r="AN516" s="478"/>
      <c r="AO516" s="478"/>
    </row>
    <row r="517" spans="1:41" x14ac:dyDescent="0.2">
      <c r="A517">
        <v>516</v>
      </c>
      <c r="B517" t="s">
        <v>1619</v>
      </c>
      <c r="C517" t="s">
        <v>5288</v>
      </c>
      <c r="D517" t="s">
        <v>5289</v>
      </c>
      <c r="E517" t="s">
        <v>2085</v>
      </c>
      <c r="F517" t="s">
        <v>2086</v>
      </c>
      <c r="G517" t="s">
        <v>34</v>
      </c>
      <c r="H517" t="s">
        <v>5045</v>
      </c>
      <c r="I517" t="s">
        <v>5651</v>
      </c>
      <c r="J517" t="s">
        <v>1764</v>
      </c>
      <c r="K517" t="s">
        <v>5290</v>
      </c>
      <c r="L517" t="s">
        <v>3308</v>
      </c>
      <c r="M517">
        <v>43122353</v>
      </c>
      <c r="N517">
        <v>6042</v>
      </c>
      <c r="O517" t="s">
        <v>2399</v>
      </c>
      <c r="P517" t="s">
        <v>5636</v>
      </c>
      <c r="Q517" t="s">
        <v>2201</v>
      </c>
      <c r="R517" t="s">
        <v>2121</v>
      </c>
      <c r="S517" t="s">
        <v>5291</v>
      </c>
      <c r="T517">
        <v>1.663</v>
      </c>
      <c r="U517" t="s">
        <v>1947</v>
      </c>
      <c r="V517" t="s">
        <v>2196</v>
      </c>
      <c r="W517">
        <v>43122353</v>
      </c>
      <c r="X517" t="s">
        <v>2261</v>
      </c>
      <c r="Y517" t="s">
        <v>109</v>
      </c>
      <c r="Z517" t="s">
        <v>109</v>
      </c>
      <c r="AA517" t="s">
        <v>109</v>
      </c>
      <c r="AB517" t="s">
        <v>2994</v>
      </c>
      <c r="AC517" t="s">
        <v>2123</v>
      </c>
      <c r="AD517" t="s">
        <v>2124</v>
      </c>
      <c r="AE517" t="s">
        <v>1758</v>
      </c>
      <c r="AF517" t="s">
        <v>3347</v>
      </c>
      <c r="AG517" t="s">
        <v>34</v>
      </c>
      <c r="AH517" t="s">
        <v>34</v>
      </c>
      <c r="AI517" t="s">
        <v>34</v>
      </c>
      <c r="AJ517" t="s">
        <v>34</v>
      </c>
      <c r="AK517" t="s">
        <v>2125</v>
      </c>
      <c r="AL517" t="s">
        <v>34</v>
      </c>
      <c r="AM517" t="s">
        <v>4804</v>
      </c>
      <c r="AN517" s="478"/>
      <c r="AO517" s="478"/>
    </row>
    <row r="518" spans="1:41" x14ac:dyDescent="0.2">
      <c r="A518">
        <v>517</v>
      </c>
      <c r="B518" t="s">
        <v>1619</v>
      </c>
      <c r="C518" t="s">
        <v>5292</v>
      </c>
      <c r="D518" t="s">
        <v>5293</v>
      </c>
      <c r="E518" t="s">
        <v>2085</v>
      </c>
      <c r="F518" t="s">
        <v>2086</v>
      </c>
      <c r="G518" t="s">
        <v>34</v>
      </c>
      <c r="H518" t="s">
        <v>5045</v>
      </c>
      <c r="I518" t="s">
        <v>5651</v>
      </c>
      <c r="J518" t="s">
        <v>1764</v>
      </c>
      <c r="K518" t="s">
        <v>5294</v>
      </c>
      <c r="L518" t="s">
        <v>3308</v>
      </c>
      <c r="M518">
        <v>43122366</v>
      </c>
      <c r="N518">
        <v>6043</v>
      </c>
      <c r="O518" t="s">
        <v>2399</v>
      </c>
      <c r="P518" t="s">
        <v>5636</v>
      </c>
      <c r="Q518" t="s">
        <v>2201</v>
      </c>
      <c r="R518" t="s">
        <v>2121</v>
      </c>
      <c r="S518" t="s">
        <v>5291</v>
      </c>
      <c r="T518">
        <v>1.663</v>
      </c>
      <c r="U518" t="s">
        <v>1947</v>
      </c>
      <c r="V518" t="s">
        <v>2196</v>
      </c>
      <c r="W518">
        <v>43122366</v>
      </c>
      <c r="X518" t="s">
        <v>2261</v>
      </c>
      <c r="Y518" t="s">
        <v>109</v>
      </c>
      <c r="Z518" t="s">
        <v>109</v>
      </c>
      <c r="AA518" t="s">
        <v>109</v>
      </c>
      <c r="AB518" t="s">
        <v>2994</v>
      </c>
      <c r="AC518" t="s">
        <v>2123</v>
      </c>
      <c r="AD518" t="s">
        <v>2124</v>
      </c>
      <c r="AE518" t="s">
        <v>1758</v>
      </c>
      <c r="AF518" t="s">
        <v>3347</v>
      </c>
      <c r="AG518" t="s">
        <v>34</v>
      </c>
      <c r="AH518" t="s">
        <v>34</v>
      </c>
      <c r="AI518" t="s">
        <v>34</v>
      </c>
      <c r="AJ518" t="s">
        <v>34</v>
      </c>
      <c r="AK518" t="s">
        <v>2125</v>
      </c>
      <c r="AL518" t="s">
        <v>34</v>
      </c>
      <c r="AM518" t="s">
        <v>4804</v>
      </c>
      <c r="AN518" s="478"/>
      <c r="AO518" s="478"/>
    </row>
    <row r="519" spans="1:41" x14ac:dyDescent="0.2">
      <c r="A519">
        <v>518</v>
      </c>
      <c r="B519" t="s">
        <v>1619</v>
      </c>
      <c r="C519" t="s">
        <v>5295</v>
      </c>
      <c r="D519" t="s">
        <v>5296</v>
      </c>
      <c r="E519" t="s">
        <v>2085</v>
      </c>
      <c r="F519" t="s">
        <v>2086</v>
      </c>
      <c r="G519" t="s">
        <v>34</v>
      </c>
      <c r="H519" t="s">
        <v>5045</v>
      </c>
      <c r="I519" t="s">
        <v>5651</v>
      </c>
      <c r="J519" t="s">
        <v>1764</v>
      </c>
      <c r="K519" t="s">
        <v>5297</v>
      </c>
      <c r="L519" t="s">
        <v>3308</v>
      </c>
      <c r="M519">
        <v>43122354</v>
      </c>
      <c r="N519">
        <v>6044</v>
      </c>
      <c r="O519" t="s">
        <v>2399</v>
      </c>
      <c r="P519" t="s">
        <v>5636</v>
      </c>
      <c r="Q519" t="s">
        <v>2201</v>
      </c>
      <c r="R519" t="s">
        <v>2121</v>
      </c>
      <c r="S519" t="s">
        <v>5291</v>
      </c>
      <c r="T519">
        <v>1.663</v>
      </c>
      <c r="U519" t="s">
        <v>1947</v>
      </c>
      <c r="V519" t="s">
        <v>2196</v>
      </c>
      <c r="W519">
        <v>43122354</v>
      </c>
      <c r="X519" t="s">
        <v>2261</v>
      </c>
      <c r="Y519" t="s">
        <v>109</v>
      </c>
      <c r="Z519" t="s">
        <v>109</v>
      </c>
      <c r="AA519" t="s">
        <v>109</v>
      </c>
      <c r="AB519" t="s">
        <v>2994</v>
      </c>
      <c r="AC519" t="s">
        <v>2123</v>
      </c>
      <c r="AD519" t="s">
        <v>2124</v>
      </c>
      <c r="AE519" t="s">
        <v>1758</v>
      </c>
      <c r="AF519" t="s">
        <v>3347</v>
      </c>
      <c r="AG519" t="s">
        <v>34</v>
      </c>
      <c r="AH519" t="s">
        <v>34</v>
      </c>
      <c r="AI519" t="s">
        <v>34</v>
      </c>
      <c r="AJ519" t="s">
        <v>34</v>
      </c>
      <c r="AK519" t="s">
        <v>2125</v>
      </c>
      <c r="AL519" t="s">
        <v>34</v>
      </c>
      <c r="AM519" t="s">
        <v>4804</v>
      </c>
      <c r="AN519" s="478"/>
      <c r="AO519" s="478"/>
    </row>
    <row r="520" spans="1:41" x14ac:dyDescent="0.2">
      <c r="A520">
        <v>519</v>
      </c>
      <c r="B520" t="s">
        <v>1619</v>
      </c>
      <c r="C520" t="s">
        <v>5298</v>
      </c>
      <c r="D520" t="s">
        <v>5299</v>
      </c>
      <c r="E520" t="s">
        <v>2085</v>
      </c>
      <c r="F520" t="s">
        <v>2086</v>
      </c>
      <c r="G520" t="s">
        <v>34</v>
      </c>
      <c r="H520" t="s">
        <v>5045</v>
      </c>
      <c r="I520" t="s">
        <v>5651</v>
      </c>
      <c r="J520" t="s">
        <v>1764</v>
      </c>
      <c r="K520" t="s">
        <v>5300</v>
      </c>
      <c r="L520" t="s">
        <v>3308</v>
      </c>
      <c r="M520">
        <v>43122367</v>
      </c>
      <c r="N520">
        <v>6045</v>
      </c>
      <c r="O520" t="s">
        <v>2399</v>
      </c>
      <c r="P520" t="s">
        <v>5636</v>
      </c>
      <c r="Q520" t="s">
        <v>2201</v>
      </c>
      <c r="R520" t="s">
        <v>2121</v>
      </c>
      <c r="S520" t="s">
        <v>5291</v>
      </c>
      <c r="T520">
        <v>1.663</v>
      </c>
      <c r="U520" t="s">
        <v>1947</v>
      </c>
      <c r="V520" t="s">
        <v>2196</v>
      </c>
      <c r="W520">
        <v>43122367</v>
      </c>
      <c r="X520" t="s">
        <v>2261</v>
      </c>
      <c r="Y520" t="s">
        <v>109</v>
      </c>
      <c r="Z520" t="s">
        <v>109</v>
      </c>
      <c r="AA520" t="s">
        <v>109</v>
      </c>
      <c r="AB520" t="s">
        <v>2994</v>
      </c>
      <c r="AC520" t="s">
        <v>2123</v>
      </c>
      <c r="AD520" t="s">
        <v>2124</v>
      </c>
      <c r="AE520" t="s">
        <v>1758</v>
      </c>
      <c r="AF520" t="s">
        <v>3347</v>
      </c>
      <c r="AG520" t="s">
        <v>34</v>
      </c>
      <c r="AH520" t="s">
        <v>34</v>
      </c>
      <c r="AI520" t="s">
        <v>34</v>
      </c>
      <c r="AJ520" t="s">
        <v>34</v>
      </c>
      <c r="AK520" t="s">
        <v>2125</v>
      </c>
      <c r="AL520" t="s">
        <v>34</v>
      </c>
      <c r="AM520" t="s">
        <v>4804</v>
      </c>
      <c r="AN520" s="478">
        <v>0</v>
      </c>
      <c r="AO520" s="478">
        <v>0</v>
      </c>
    </row>
    <row r="521" spans="1:41" x14ac:dyDescent="0.2">
      <c r="A521">
        <v>520</v>
      </c>
      <c r="B521" t="s">
        <v>1623</v>
      </c>
      <c r="C521" t="s">
        <v>1482</v>
      </c>
      <c r="D521" t="s">
        <v>4293</v>
      </c>
      <c r="E521" t="s">
        <v>3710</v>
      </c>
      <c r="F521" t="s">
        <v>2010</v>
      </c>
      <c r="G521" t="s">
        <v>34</v>
      </c>
      <c r="H521" t="s">
        <v>2128</v>
      </c>
      <c r="I521" t="s">
        <v>5651</v>
      </c>
      <c r="J521" t="s">
        <v>1764</v>
      </c>
      <c r="K521" t="s">
        <v>3718</v>
      </c>
      <c r="L521" t="s">
        <v>3719</v>
      </c>
      <c r="M521">
        <v>53161</v>
      </c>
      <c r="N521" t="s">
        <v>1482</v>
      </c>
      <c r="O521" t="s">
        <v>2399</v>
      </c>
      <c r="P521" t="s">
        <v>2379</v>
      </c>
      <c r="Q521" t="s">
        <v>2379</v>
      </c>
      <c r="R521" t="s">
        <v>2185</v>
      </c>
      <c r="S521" t="s">
        <v>3720</v>
      </c>
      <c r="T521">
        <v>653.29999999999995</v>
      </c>
      <c r="U521" t="s">
        <v>1947</v>
      </c>
      <c r="V521" t="s">
        <v>3721</v>
      </c>
      <c r="W521" t="s">
        <v>3721</v>
      </c>
      <c r="X521" t="s">
        <v>3011</v>
      </c>
      <c r="Y521" t="s">
        <v>3722</v>
      </c>
      <c r="Z521" t="s">
        <v>3722</v>
      </c>
      <c r="AA521" t="s">
        <v>2201</v>
      </c>
      <c r="AB521" t="s">
        <v>3723</v>
      </c>
      <c r="AC521" t="s">
        <v>2123</v>
      </c>
      <c r="AD521" t="s">
        <v>2124</v>
      </c>
      <c r="AE521" t="s">
        <v>1758</v>
      </c>
      <c r="AF521" t="s">
        <v>34</v>
      </c>
      <c r="AG521" t="s">
        <v>34</v>
      </c>
      <c r="AH521" t="s">
        <v>34</v>
      </c>
      <c r="AI521" t="s">
        <v>34</v>
      </c>
      <c r="AJ521" t="s">
        <v>34</v>
      </c>
      <c r="AK521" t="s">
        <v>2125</v>
      </c>
      <c r="AL521" t="s">
        <v>34</v>
      </c>
      <c r="AM521" t="s">
        <v>4820</v>
      </c>
      <c r="AN521" s="478">
        <v>0</v>
      </c>
      <c r="AO521" s="478">
        <v>0</v>
      </c>
    </row>
    <row r="522" spans="1:41" x14ac:dyDescent="0.2">
      <c r="A522">
        <v>521</v>
      </c>
      <c r="B522" t="s">
        <v>1623</v>
      </c>
      <c r="C522" t="s">
        <v>1460</v>
      </c>
      <c r="D522" t="s">
        <v>4294</v>
      </c>
      <c r="E522" t="s">
        <v>3710</v>
      </c>
      <c r="F522" t="s">
        <v>2010</v>
      </c>
      <c r="G522" t="s">
        <v>34</v>
      </c>
      <c r="H522" t="s">
        <v>2128</v>
      </c>
      <c r="I522" t="s">
        <v>5651</v>
      </c>
      <c r="J522" t="s">
        <v>1764</v>
      </c>
      <c r="K522" t="s">
        <v>3711</v>
      </c>
      <c r="L522" t="s">
        <v>3712</v>
      </c>
      <c r="M522" t="s">
        <v>3713</v>
      </c>
      <c r="N522" t="s">
        <v>1988</v>
      </c>
      <c r="O522" t="s">
        <v>2399</v>
      </c>
      <c r="P522" t="s">
        <v>3714</v>
      </c>
      <c r="Q522" t="s">
        <v>3502</v>
      </c>
      <c r="R522" t="s">
        <v>2121</v>
      </c>
      <c r="S522" t="s">
        <v>3715</v>
      </c>
      <c r="T522">
        <v>68</v>
      </c>
      <c r="U522" t="s">
        <v>1947</v>
      </c>
      <c r="V522" t="s">
        <v>3716</v>
      </c>
      <c r="W522" t="s">
        <v>2469</v>
      </c>
      <c r="X522" t="s">
        <v>2230</v>
      </c>
      <c r="Y522" t="s">
        <v>109</v>
      </c>
      <c r="Z522" t="s">
        <v>109</v>
      </c>
      <c r="AA522" t="s">
        <v>109</v>
      </c>
      <c r="AB522" t="s">
        <v>3717</v>
      </c>
      <c r="AC522" t="s">
        <v>2123</v>
      </c>
      <c r="AD522" t="s">
        <v>2124</v>
      </c>
      <c r="AE522" t="s">
        <v>1758</v>
      </c>
      <c r="AF522" t="s">
        <v>34</v>
      </c>
      <c r="AG522" t="s">
        <v>34</v>
      </c>
      <c r="AH522" t="s">
        <v>34</v>
      </c>
      <c r="AI522" t="s">
        <v>34</v>
      </c>
      <c r="AJ522" t="s">
        <v>34</v>
      </c>
      <c r="AK522" t="s">
        <v>2125</v>
      </c>
      <c r="AL522" t="s">
        <v>34</v>
      </c>
      <c r="AM522" t="s">
        <v>4803</v>
      </c>
      <c r="AN522" s="478"/>
      <c r="AO522" s="478"/>
    </row>
    <row r="523" spans="1:41" x14ac:dyDescent="0.2">
      <c r="A523">
        <v>522</v>
      </c>
      <c r="B523" t="s">
        <v>1623</v>
      </c>
      <c r="C523" t="s">
        <v>5099</v>
      </c>
      <c r="D523" t="s">
        <v>5102</v>
      </c>
      <c r="E523" t="s">
        <v>3710</v>
      </c>
      <c r="F523" t="s">
        <v>2010</v>
      </c>
      <c r="G523" t="s">
        <v>34</v>
      </c>
      <c r="H523" t="s">
        <v>2128</v>
      </c>
      <c r="I523" t="s">
        <v>5651</v>
      </c>
      <c r="J523" t="s">
        <v>1764</v>
      </c>
      <c r="K523" t="s">
        <v>1464</v>
      </c>
      <c r="L523" t="s">
        <v>5094</v>
      </c>
      <c r="M523" t="s">
        <v>5100</v>
      </c>
      <c r="N523" t="s">
        <v>5099</v>
      </c>
      <c r="O523" t="s">
        <v>2399</v>
      </c>
      <c r="P523" t="s">
        <v>2379</v>
      </c>
      <c r="Q523" t="s">
        <v>2379</v>
      </c>
      <c r="R523" t="s">
        <v>2185</v>
      </c>
      <c r="S523" t="s">
        <v>5096</v>
      </c>
      <c r="T523">
        <v>29.17</v>
      </c>
      <c r="U523" t="s">
        <v>1947</v>
      </c>
      <c r="V523" t="s">
        <v>5097</v>
      </c>
      <c r="W523" t="s">
        <v>5101</v>
      </c>
      <c r="X523" t="s">
        <v>3011</v>
      </c>
      <c r="Y523" t="s">
        <v>109</v>
      </c>
      <c r="Z523" t="s">
        <v>109</v>
      </c>
      <c r="AA523" t="s">
        <v>109</v>
      </c>
      <c r="AB523" t="s">
        <v>3723</v>
      </c>
      <c r="AC523" t="s">
        <v>2123</v>
      </c>
      <c r="AD523" t="s">
        <v>2124</v>
      </c>
      <c r="AE523" t="s">
        <v>1758</v>
      </c>
      <c r="AF523" t="s">
        <v>34</v>
      </c>
      <c r="AG523" t="s">
        <v>34</v>
      </c>
      <c r="AH523" t="s">
        <v>34</v>
      </c>
      <c r="AI523" t="s">
        <v>34</v>
      </c>
      <c r="AJ523" t="s">
        <v>34</v>
      </c>
      <c r="AK523" t="s">
        <v>2125</v>
      </c>
      <c r="AL523" t="s">
        <v>34</v>
      </c>
      <c r="AM523" t="s">
        <v>4820</v>
      </c>
      <c r="AN523" s="478"/>
      <c r="AO523" s="478"/>
    </row>
    <row r="524" spans="1:41" x14ac:dyDescent="0.2">
      <c r="A524">
        <v>523</v>
      </c>
      <c r="B524" t="s">
        <v>1623</v>
      </c>
      <c r="C524" t="s">
        <v>5093</v>
      </c>
      <c r="D524" t="s">
        <v>5103</v>
      </c>
      <c r="E524" t="s">
        <v>3710</v>
      </c>
      <c r="F524" t="s">
        <v>2010</v>
      </c>
      <c r="G524" t="s">
        <v>34</v>
      </c>
      <c r="H524" t="s">
        <v>2128</v>
      </c>
      <c r="I524" t="s">
        <v>5651</v>
      </c>
      <c r="J524" t="s">
        <v>1764</v>
      </c>
      <c r="K524" t="s">
        <v>1464</v>
      </c>
      <c r="L524" t="s">
        <v>5094</v>
      </c>
      <c r="M524" t="s">
        <v>5095</v>
      </c>
      <c r="N524" t="s">
        <v>5093</v>
      </c>
      <c r="O524" t="s">
        <v>2399</v>
      </c>
      <c r="P524" t="s">
        <v>2379</v>
      </c>
      <c r="Q524" t="s">
        <v>2379</v>
      </c>
      <c r="R524" t="s">
        <v>2185</v>
      </c>
      <c r="S524" t="s">
        <v>5096</v>
      </c>
      <c r="T524">
        <v>29.17</v>
      </c>
      <c r="U524" t="s">
        <v>1947</v>
      </c>
      <c r="V524" t="s">
        <v>5097</v>
      </c>
      <c r="W524" t="s">
        <v>5098</v>
      </c>
      <c r="X524" t="s">
        <v>3011</v>
      </c>
      <c r="Y524" t="s">
        <v>109</v>
      </c>
      <c r="Z524" t="s">
        <v>109</v>
      </c>
      <c r="AA524" t="s">
        <v>109</v>
      </c>
      <c r="AB524" t="s">
        <v>3723</v>
      </c>
      <c r="AC524" t="s">
        <v>2123</v>
      </c>
      <c r="AD524" t="s">
        <v>2124</v>
      </c>
      <c r="AE524" t="s">
        <v>1758</v>
      </c>
      <c r="AF524" t="s">
        <v>34</v>
      </c>
      <c r="AG524" t="s">
        <v>34</v>
      </c>
      <c r="AH524" t="s">
        <v>34</v>
      </c>
      <c r="AI524" t="s">
        <v>34</v>
      </c>
      <c r="AJ524" t="s">
        <v>34</v>
      </c>
      <c r="AK524" t="s">
        <v>2125</v>
      </c>
      <c r="AL524" t="s">
        <v>34</v>
      </c>
      <c r="AM524" t="s">
        <v>4820</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5390</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7"/>
      <c r="C1" s="647"/>
      <c r="D1" s="647"/>
      <c r="E1" s="40" t="s">
        <v>240</v>
      </c>
      <c r="G1" s="647" t="s">
        <v>90</v>
      </c>
      <c r="H1" s="647"/>
      <c r="K1" t="s">
        <v>121</v>
      </c>
      <c r="M1" t="s">
        <v>122</v>
      </c>
      <c r="O1" t="s">
        <v>195</v>
      </c>
      <c r="Q1" t="s">
        <v>204</v>
      </c>
      <c r="S1" t="s">
        <v>214</v>
      </c>
      <c r="U1" s="44" t="s">
        <v>286</v>
      </c>
      <c r="W1" s="44" t="s">
        <v>293</v>
      </c>
      <c r="Y1" s="44" t="s">
        <v>560</v>
      </c>
      <c r="AA1" s="44" t="s">
        <v>561</v>
      </c>
      <c r="AC1" s="44" t="s">
        <v>1756</v>
      </c>
      <c r="AE1" s="95" t="s">
        <v>4310</v>
      </c>
      <c r="AG1" s="44" t="s">
        <v>4317</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1758</v>
      </c>
      <c r="AE2" s="44" t="s">
        <v>4311</v>
      </c>
      <c r="AG2" s="44" t="s">
        <v>5560</v>
      </c>
    </row>
    <row r="3" spans="1:33" x14ac:dyDescent="0.2">
      <c r="A3" s="40" t="s">
        <v>60</v>
      </c>
      <c r="B3" s="40" t="s">
        <v>73</v>
      </c>
      <c r="C3" s="40">
        <v>806337</v>
      </c>
      <c r="D3" s="40" t="s">
        <v>93</v>
      </c>
      <c r="E3" s="40">
        <v>40</v>
      </c>
      <c r="G3" t="s">
        <v>95</v>
      </c>
      <c r="H3" t="s">
        <v>91</v>
      </c>
      <c r="K3" t="s">
        <v>113</v>
      </c>
      <c r="M3" t="s">
        <v>124</v>
      </c>
      <c r="O3" t="s">
        <v>196</v>
      </c>
      <c r="Q3" s="44" t="s">
        <v>256</v>
      </c>
      <c r="S3" t="s">
        <v>216</v>
      </c>
      <c r="U3" s="44" t="s">
        <v>3752</v>
      </c>
      <c r="Y3" t="s">
        <v>470</v>
      </c>
      <c r="AC3" s="44" t="s">
        <v>1757</v>
      </c>
      <c r="AE3" s="44" t="s">
        <v>5559</v>
      </c>
      <c r="AG3" s="44" t="s">
        <v>5561</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3834</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4318</v>
      </c>
    </row>
    <row r="6" spans="1:33" x14ac:dyDescent="0.2">
      <c r="A6" s="40" t="s">
        <v>75</v>
      </c>
      <c r="B6" s="40" t="s">
        <v>73</v>
      </c>
      <c r="C6" s="40">
        <v>807621</v>
      </c>
      <c r="D6" s="40" t="s">
        <v>91</v>
      </c>
      <c r="E6" s="40">
        <v>40</v>
      </c>
      <c r="K6" t="s">
        <v>167</v>
      </c>
      <c r="O6" t="s">
        <v>135</v>
      </c>
      <c r="Q6" s="44" t="s">
        <v>5556</v>
      </c>
      <c r="U6" s="44" t="s">
        <v>161</v>
      </c>
      <c r="Y6" t="s">
        <v>479</v>
      </c>
      <c r="AG6" s="44" t="s">
        <v>143</v>
      </c>
    </row>
    <row r="7" spans="1:33" x14ac:dyDescent="0.2">
      <c r="A7" s="40" t="s">
        <v>76</v>
      </c>
      <c r="B7" s="40" t="s">
        <v>73</v>
      </c>
      <c r="C7" s="40">
        <v>807409</v>
      </c>
      <c r="D7" s="40" t="s">
        <v>91</v>
      </c>
      <c r="E7" s="40">
        <v>40</v>
      </c>
      <c r="O7" t="s">
        <v>199</v>
      </c>
      <c r="Q7" s="44" t="s">
        <v>5557</v>
      </c>
      <c r="U7" s="44" t="s">
        <v>289</v>
      </c>
      <c r="Y7" t="s">
        <v>482</v>
      </c>
      <c r="AG7" s="44" t="s">
        <v>5249</v>
      </c>
    </row>
    <row r="8" spans="1:33" x14ac:dyDescent="0.2">
      <c r="A8" s="40" t="s">
        <v>163</v>
      </c>
      <c r="B8" s="106" t="s">
        <v>73</v>
      </c>
      <c r="C8" s="106">
        <v>808005</v>
      </c>
      <c r="D8" s="40" t="s">
        <v>91</v>
      </c>
      <c r="E8" s="40">
        <v>28</v>
      </c>
      <c r="O8" t="s">
        <v>198</v>
      </c>
      <c r="Q8" s="44" t="s">
        <v>5558</v>
      </c>
      <c r="U8" t="str">
        <f>IF(AND(Main!D17&lt;&gt;"",Main!D17&gt;14),"Data_Sheet_15_28","")</f>
        <v/>
      </c>
      <c r="Y8" t="s">
        <v>485</v>
      </c>
      <c r="AE8" s="95" t="s">
        <v>4312</v>
      </c>
      <c r="AG8" s="44" t="s">
        <v>5389</v>
      </c>
    </row>
    <row r="9" spans="1:33" x14ac:dyDescent="0.2">
      <c r="A9" s="152" t="s">
        <v>241</v>
      </c>
      <c r="B9" s="91" t="s">
        <v>73</v>
      </c>
      <c r="C9" s="40">
        <v>808173</v>
      </c>
      <c r="D9" s="91" t="s">
        <v>91</v>
      </c>
      <c r="E9" s="40">
        <v>40</v>
      </c>
      <c r="O9" t="s">
        <v>18</v>
      </c>
      <c r="U9" t="str">
        <f>IF(AND(Main!D17&lt;&gt;"",Main!D17&gt;28),"Data_Sheet_29_40","")</f>
        <v/>
      </c>
      <c r="Y9" t="s">
        <v>488</v>
      </c>
      <c r="AE9" s="44" t="s">
        <v>3836</v>
      </c>
      <c r="AG9" s="44" t="s">
        <v>5837</v>
      </c>
    </row>
    <row r="10" spans="1:33" x14ac:dyDescent="0.2">
      <c r="A10" s="40" t="s">
        <v>180</v>
      </c>
      <c r="B10" s="40" t="s">
        <v>73</v>
      </c>
      <c r="C10" s="40">
        <v>807702</v>
      </c>
      <c r="D10" s="40" t="s">
        <v>92</v>
      </c>
      <c r="E10" s="40">
        <v>28</v>
      </c>
      <c r="O10" t="s">
        <v>197</v>
      </c>
      <c r="Y10" t="s">
        <v>491</v>
      </c>
      <c r="AE10" s="44" t="s">
        <v>4313</v>
      </c>
      <c r="AG10" s="44" t="s">
        <v>5838</v>
      </c>
    </row>
    <row r="11" spans="1:33" x14ac:dyDescent="0.2">
      <c r="A11" s="40" t="s">
        <v>164</v>
      </c>
      <c r="B11" s="40" t="s">
        <v>73</v>
      </c>
      <c r="C11" s="40">
        <v>808004</v>
      </c>
      <c r="D11" s="40" t="s">
        <v>92</v>
      </c>
      <c r="E11" s="40">
        <v>28</v>
      </c>
      <c r="O11" t="s">
        <v>201</v>
      </c>
      <c r="Y11" s="44" t="s">
        <v>1710</v>
      </c>
      <c r="AE11" s="44" t="s">
        <v>207</v>
      </c>
    </row>
    <row r="12" spans="1:33" x14ac:dyDescent="0.2">
      <c r="O12" t="s">
        <v>200</v>
      </c>
      <c r="Y12" s="44" t="s">
        <v>5327</v>
      </c>
      <c r="AE12" s="44" t="s">
        <v>4314</v>
      </c>
    </row>
    <row r="13" spans="1:33" x14ac:dyDescent="0.2">
      <c r="O13" s="44" t="s">
        <v>5551</v>
      </c>
      <c r="Y13" t="s">
        <v>495</v>
      </c>
      <c r="AE13" s="44" t="s">
        <v>4315</v>
      </c>
    </row>
    <row r="14" spans="1:33" x14ac:dyDescent="0.2">
      <c r="Y14" t="s">
        <v>498</v>
      </c>
      <c r="AE14" s="44" t="s">
        <v>4316</v>
      </c>
    </row>
    <row r="15" spans="1:33" x14ac:dyDescent="0.2">
      <c r="Y15" t="s">
        <v>501</v>
      </c>
      <c r="AE15" s="44" t="s">
        <v>5514</v>
      </c>
    </row>
    <row r="16" spans="1:33" x14ac:dyDescent="0.2">
      <c r="B16" s="47"/>
      <c r="C16" s="47"/>
      <c r="D16" s="47"/>
      <c r="E16" s="47"/>
      <c r="F16" s="47"/>
      <c r="G16" s="47"/>
      <c r="H16" s="47"/>
      <c r="I16" s="47"/>
      <c r="J16" s="47"/>
      <c r="K16" s="47"/>
      <c r="L16" s="47"/>
      <c r="M16" s="47"/>
      <c r="O16" s="47"/>
      <c r="Y16" t="s">
        <v>504</v>
      </c>
    </row>
    <row r="17" spans="25:25" x14ac:dyDescent="0.2">
      <c r="Y17" s="44" t="s">
        <v>1837</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1723</v>
      </c>
    </row>
    <row r="24" spans="25:25" x14ac:dyDescent="0.2">
      <c r="Y24" s="44" t="s">
        <v>1738</v>
      </c>
    </row>
    <row r="25" spans="25:25" x14ac:dyDescent="0.2">
      <c r="Y25" s="44" t="s">
        <v>3831</v>
      </c>
    </row>
    <row r="26" spans="25:25" x14ac:dyDescent="0.2">
      <c r="Y26" t="s">
        <v>525</v>
      </c>
    </row>
    <row r="27" spans="25:25" x14ac:dyDescent="0.2">
      <c r="Y27" t="s">
        <v>528</v>
      </c>
    </row>
    <row r="28" spans="25:25" x14ac:dyDescent="0.2">
      <c r="Y28" s="44" t="s">
        <v>1741</v>
      </c>
    </row>
    <row r="29" spans="25:25" x14ac:dyDescent="0.2">
      <c r="Y29" t="s">
        <v>448</v>
      </c>
    </row>
    <row r="30" spans="25:25" x14ac:dyDescent="0.2">
      <c r="Y30" s="44" t="s">
        <v>1941</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1764</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1669</v>
      </c>
    </row>
    <row r="2" spans="1:1" x14ac:dyDescent="0.2">
      <c r="A2" s="111" t="s">
        <v>1671</v>
      </c>
    </row>
    <row r="3" spans="1:1" x14ac:dyDescent="0.2">
      <c r="A3" s="111" t="s">
        <v>1672</v>
      </c>
    </row>
    <row r="4" spans="1:1" x14ac:dyDescent="0.2">
      <c r="A4" s="111" t="s">
        <v>1673</v>
      </c>
    </row>
    <row r="5" spans="1:1" x14ac:dyDescent="0.2">
      <c r="A5" s="111" t="s">
        <v>1674</v>
      </c>
    </row>
    <row r="6" spans="1:1" x14ac:dyDescent="0.2">
      <c r="A6" s="111" t="s">
        <v>1675</v>
      </c>
    </row>
    <row r="7" spans="1:1" x14ac:dyDescent="0.2">
      <c r="A7" s="111" t="s">
        <v>1676</v>
      </c>
    </row>
    <row r="8" spans="1:1" x14ac:dyDescent="0.2">
      <c r="A8" s="111" t="s">
        <v>1677</v>
      </c>
    </row>
    <row r="9" spans="1:1" x14ac:dyDescent="0.2">
      <c r="A9" s="111" t="s">
        <v>1678</v>
      </c>
    </row>
    <row r="10" spans="1:1" x14ac:dyDescent="0.2">
      <c r="A10" s="111" t="s">
        <v>1679</v>
      </c>
    </row>
    <row r="11" spans="1:1" x14ac:dyDescent="0.2">
      <c r="A11" s="111" t="s">
        <v>1680</v>
      </c>
    </row>
    <row r="12" spans="1:1" x14ac:dyDescent="0.2">
      <c r="A12" s="111" t="s">
        <v>1670</v>
      </c>
    </row>
    <row r="13" spans="1:1" x14ac:dyDescent="0.2">
      <c r="A13" s="111" t="s">
        <v>1681</v>
      </c>
    </row>
    <row r="14" spans="1:1" x14ac:dyDescent="0.2">
      <c r="A14" s="111" t="s">
        <v>1682</v>
      </c>
    </row>
    <row r="15" spans="1:1" x14ac:dyDescent="0.2">
      <c r="A15" s="111" t="s">
        <v>1683</v>
      </c>
    </row>
    <row r="16" spans="1:1" x14ac:dyDescent="0.2">
      <c r="A16" s="111" t="s">
        <v>1684</v>
      </c>
    </row>
    <row r="17" spans="1:1" x14ac:dyDescent="0.2">
      <c r="A17" s="111" t="s">
        <v>1685</v>
      </c>
    </row>
    <row r="18" spans="1:1" x14ac:dyDescent="0.2">
      <c r="A18" s="111" t="s">
        <v>1686</v>
      </c>
    </row>
    <row r="19" spans="1:1" x14ac:dyDescent="0.2">
      <c r="A19" s="111" t="s">
        <v>1687</v>
      </c>
    </row>
    <row r="20" spans="1:1" x14ac:dyDescent="0.2">
      <c r="A20" s="111" t="s">
        <v>1688</v>
      </c>
    </row>
    <row r="21" spans="1:1" x14ac:dyDescent="0.2">
      <c r="A21" s="111" t="s">
        <v>1689</v>
      </c>
    </row>
    <row r="22" spans="1:1" x14ac:dyDescent="0.2">
      <c r="A22" s="111" t="s">
        <v>1690</v>
      </c>
    </row>
    <row r="23" spans="1:1" x14ac:dyDescent="0.2">
      <c r="A23" s="111" t="s">
        <v>1691</v>
      </c>
    </row>
    <row r="24" spans="1:1" x14ac:dyDescent="0.2">
      <c r="A24" s="111" t="s">
        <v>1692</v>
      </c>
    </row>
    <row r="25" spans="1:1" x14ac:dyDescent="0.2">
      <c r="A25" s="111" t="s">
        <v>1693</v>
      </c>
    </row>
    <row r="26" spans="1:1" x14ac:dyDescent="0.2">
      <c r="A26" s="111" t="s">
        <v>1694</v>
      </c>
    </row>
    <row r="27" spans="1:1" x14ac:dyDescent="0.2">
      <c r="A27" s="111" t="s">
        <v>1695</v>
      </c>
    </row>
    <row r="28" spans="1:1" x14ac:dyDescent="0.2">
      <c r="A28" s="111" t="s">
        <v>1696</v>
      </c>
    </row>
    <row r="29" spans="1:1" x14ac:dyDescent="0.2">
      <c r="A29" s="111" t="s">
        <v>1697</v>
      </c>
    </row>
    <row r="30" spans="1:1" x14ac:dyDescent="0.2">
      <c r="A30" s="111" t="s">
        <v>1698</v>
      </c>
    </row>
    <row r="31" spans="1:1" x14ac:dyDescent="0.2">
      <c r="A31" s="111" t="s">
        <v>26</v>
      </c>
    </row>
    <row r="32" spans="1:1" x14ac:dyDescent="0.2">
      <c r="A32" s="111" t="s">
        <v>1699</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5621</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1666</v>
      </c>
      <c r="AG1" s="1" t="s">
        <v>1667</v>
      </c>
      <c r="AH1" s="1" t="s">
        <v>1669</v>
      </c>
    </row>
    <row r="2" spans="2:34" x14ac:dyDescent="0.2">
      <c r="B2" s="207" t="str">
        <f>'Header Info'!B2</f>
        <v>AAR Component Services-Wellington</v>
      </c>
      <c r="C2" s="207" t="s">
        <v>816</v>
      </c>
      <c r="D2" s="207" t="str">
        <f>'Header Info'!C2</f>
        <v>L-0866</v>
      </c>
      <c r="E2" s="207" t="s">
        <v>818</v>
      </c>
      <c r="J2" s="207" t="s">
        <v>1881</v>
      </c>
      <c r="K2" s="207" t="s">
        <v>1880</v>
      </c>
      <c r="N2" s="207" t="s">
        <v>336</v>
      </c>
      <c r="O2" s="207" t="s">
        <v>315</v>
      </c>
      <c r="Q2" s="207" t="s">
        <v>356</v>
      </c>
      <c r="R2" s="207" t="s">
        <v>357</v>
      </c>
      <c r="S2" s="207" t="s">
        <v>358</v>
      </c>
      <c r="T2" s="207" t="s">
        <v>355</v>
      </c>
      <c r="U2" s="207" t="s">
        <v>359</v>
      </c>
      <c r="V2" s="207">
        <v>9546011</v>
      </c>
      <c r="X2" s="207" t="s">
        <v>1747</v>
      </c>
      <c r="Y2" s="207" t="s">
        <v>1748</v>
      </c>
      <c r="AA2" s="207" t="s">
        <v>814</v>
      </c>
      <c r="AB2" s="207" t="s">
        <v>792</v>
      </c>
      <c r="AD2" s="207" t="s">
        <v>1668</v>
      </c>
      <c r="AE2" s="207">
        <v>40100</v>
      </c>
      <c r="AF2" s="208">
        <v>43102</v>
      </c>
      <c r="AG2" s="207" t="s">
        <v>1796</v>
      </c>
      <c r="AH2" s="499" t="s">
        <v>1670</v>
      </c>
    </row>
    <row r="3" spans="2:34" x14ac:dyDescent="0.2">
      <c r="B3" s="207" t="str">
        <f>'Header Info'!B3</f>
        <v>AAR Component Services-Wellington</v>
      </c>
      <c r="C3" s="207" t="s">
        <v>816</v>
      </c>
      <c r="D3" s="207" t="str">
        <f>'Header Info'!C3</f>
        <v>L-1172</v>
      </c>
      <c r="E3" s="207" t="s">
        <v>820</v>
      </c>
      <c r="J3" s="207" t="s">
        <v>848</v>
      </c>
      <c r="K3" s="44" t="s">
        <v>847</v>
      </c>
      <c r="N3" s="207" t="s">
        <v>1870</v>
      </c>
      <c r="O3" s="207" t="s">
        <v>1871</v>
      </c>
      <c r="Q3" s="207" t="s">
        <v>360</v>
      </c>
      <c r="R3" s="207" t="s">
        <v>361</v>
      </c>
      <c r="S3" s="207" t="s">
        <v>362</v>
      </c>
      <c r="T3" s="207" t="s">
        <v>355</v>
      </c>
      <c r="U3" s="207" t="s">
        <v>363</v>
      </c>
      <c r="V3" s="207">
        <v>1139027</v>
      </c>
      <c r="X3" s="207" t="s">
        <v>813</v>
      </c>
      <c r="Y3" s="207" t="s">
        <v>1749</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3808</v>
      </c>
      <c r="O6" s="207" t="s">
        <v>3764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1851</v>
      </c>
      <c r="K8" s="207" t="s">
        <v>1883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1795</v>
      </c>
      <c r="R10" s="207" t="s">
        <v>1845</v>
      </c>
      <c r="S10" s="207" t="s">
        <v>1846</v>
      </c>
      <c r="T10" s="207" t="s">
        <v>1847</v>
      </c>
      <c r="V10" s="207" t="s">
        <v>1764</v>
      </c>
    </row>
    <row r="11" spans="2:34" x14ac:dyDescent="0.2">
      <c r="B11" s="207" t="str">
        <f>'Header Info'!B11</f>
        <v>AAR Component Services-Wellington</v>
      </c>
      <c r="C11" s="207" t="s">
        <v>816</v>
      </c>
      <c r="D11" s="207" t="str">
        <f>'Header Info'!C11</f>
        <v>L-5180</v>
      </c>
      <c r="E11" s="207" t="s">
        <v>836</v>
      </c>
      <c r="J11" s="207" t="s">
        <v>883</v>
      </c>
      <c r="K11" s="207" t="s">
        <v>902</v>
      </c>
      <c r="N11" s="207" t="s">
        <v>1794</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1881</v>
      </c>
      <c r="D17" s="207" t="str">
        <f>'Header Info'!C17</f>
        <v>Oven No. 1</v>
      </c>
      <c r="E17" s="207" t="s">
        <v>1882</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1990</v>
      </c>
      <c r="R19" s="207" t="s">
        <v>1991</v>
      </c>
      <c r="S19" s="207" t="s">
        <v>404</v>
      </c>
      <c r="T19" s="207" t="s">
        <v>405</v>
      </c>
      <c r="U19" s="207" t="s">
        <v>1992</v>
      </c>
      <c r="V19" s="207" t="s">
        <v>1993</v>
      </c>
    </row>
    <row r="20" spans="2:22" x14ac:dyDescent="0.2">
      <c r="B20" s="207" t="str">
        <f>'Header Info'!B20</f>
        <v>AEROSPACE TESTING SERVICES</v>
      </c>
      <c r="C20" s="207" t="s">
        <v>848</v>
      </c>
      <c r="D20" s="207" t="str">
        <f>'Header Info'!C20</f>
        <v>ATS 0233</v>
      </c>
      <c r="E20" s="207" t="s">
        <v>852</v>
      </c>
      <c r="J20" s="207" t="s">
        <v>940</v>
      </c>
      <c r="K20" s="207" t="s">
        <v>1068</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1949</v>
      </c>
      <c r="J21" s="207" t="s">
        <v>940</v>
      </c>
      <c r="K21" s="207" t="s">
        <v>1073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1951</v>
      </c>
      <c r="J22" s="207" t="s">
        <v>988</v>
      </c>
      <c r="K22" s="207" t="s">
        <v>1655</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1953</v>
      </c>
      <c r="J23" s="207" t="s">
        <v>1001</v>
      </c>
      <c r="K23" s="207" t="s">
        <v>1115</v>
      </c>
      <c r="Q23" s="207" t="s">
        <v>3809</v>
      </c>
      <c r="R23" s="207" t="s">
        <v>3810</v>
      </c>
      <c r="S23" s="207" t="s">
        <v>3811</v>
      </c>
      <c r="T23" s="207" t="s">
        <v>3812</v>
      </c>
      <c r="U23" s="207" t="s">
        <v>3813</v>
      </c>
      <c r="V23" s="207">
        <v>12799</v>
      </c>
    </row>
    <row r="24" spans="2:22" x14ac:dyDescent="0.2">
      <c r="B24" s="207" t="str">
        <f>'Header Info'!B24</f>
        <v>AEROSPACE TESTING SERVICES</v>
      </c>
      <c r="C24" s="207" t="s">
        <v>854</v>
      </c>
      <c r="D24" s="207" t="str">
        <f>'Header Info'!C24</f>
        <v>ATS0243</v>
      </c>
      <c r="E24" s="207" t="s">
        <v>856</v>
      </c>
      <c r="J24" s="207" t="s">
        <v>1001</v>
      </c>
      <c r="K24" s="207" t="s">
        <v>1095</v>
      </c>
      <c r="Q24" s="207" t="s">
        <v>3814</v>
      </c>
      <c r="R24" s="207" t="s">
        <v>3815</v>
      </c>
      <c r="S24" s="207" t="s">
        <v>2255</v>
      </c>
      <c r="T24" s="207" t="s">
        <v>3816</v>
      </c>
      <c r="U24" s="207" t="s">
        <v>3817</v>
      </c>
      <c r="V24" s="207" t="s">
        <v>3818</v>
      </c>
    </row>
    <row r="25" spans="2:22" x14ac:dyDescent="0.2">
      <c r="B25" s="207" t="str">
        <f>'Header Info'!B25</f>
        <v>AEROSPACE TESTING SERVICES</v>
      </c>
      <c r="C25" s="207" t="s">
        <v>854</v>
      </c>
      <c r="D25" s="207" t="str">
        <f>'Header Info'!C25</f>
        <v>ATS0252</v>
      </c>
      <c r="E25" s="207" t="s">
        <v>858</v>
      </c>
      <c r="J25" s="207" t="s">
        <v>1001</v>
      </c>
      <c r="K25" s="207" t="s">
        <v>1106</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1839</v>
      </c>
      <c r="J26" s="207" t="s">
        <v>1024</v>
      </c>
      <c r="K26" s="207" t="s">
        <v>1122</v>
      </c>
      <c r="Q26" s="207" t="s">
        <v>3819</v>
      </c>
      <c r="R26" s="207" t="s">
        <v>3820</v>
      </c>
      <c r="S26" s="207" t="s">
        <v>3821</v>
      </c>
      <c r="T26" s="207" t="s">
        <v>3822</v>
      </c>
      <c r="U26" s="207" t="s">
        <v>3823</v>
      </c>
      <c r="V26" s="207" t="s">
        <v>3818</v>
      </c>
    </row>
    <row r="27" spans="2:22" x14ac:dyDescent="0.2">
      <c r="B27" s="207" t="str">
        <f>'Header Info'!B27</f>
        <v>AIR CAPITAL INTERIORS</v>
      </c>
      <c r="C27" s="207" t="s">
        <v>860</v>
      </c>
      <c r="D27" s="207" t="str">
        <f>'Header Info'!C27</f>
        <v>SPRAY BOOTH NO. 2</v>
      </c>
      <c r="E27" s="207" t="s">
        <v>862</v>
      </c>
      <c r="J27" s="207" t="s">
        <v>1074</v>
      </c>
      <c r="K27" s="207" t="s">
        <v>1146</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3765</v>
      </c>
      <c r="J28" s="207" t="s">
        <v>1096</v>
      </c>
      <c r="K28" s="207" t="s">
        <v>3701</v>
      </c>
      <c r="Q28" s="207" t="s">
        <v>421</v>
      </c>
      <c r="R28" s="207" t="s">
        <v>1703</v>
      </c>
      <c r="S28" s="207" t="s">
        <v>417</v>
      </c>
      <c r="T28" s="207" t="s">
        <v>418</v>
      </c>
      <c r="U28" s="207" t="s">
        <v>1704</v>
      </c>
      <c r="V28" s="207" t="s">
        <v>1705</v>
      </c>
    </row>
    <row r="29" spans="2:22" x14ac:dyDescent="0.2">
      <c r="B29" s="207" t="str">
        <f>'Header Info'!B29</f>
        <v>AIR CAPITAL NDI</v>
      </c>
      <c r="C29" s="207" t="s">
        <v>864</v>
      </c>
      <c r="D29" s="207" t="str">
        <f>'Header Info'!C29</f>
        <v>AIR CAPITAL NDI OVEN</v>
      </c>
      <c r="E29" s="207" t="s">
        <v>866</v>
      </c>
      <c r="J29" s="207" t="s">
        <v>1096</v>
      </c>
      <c r="K29" s="207" t="s">
        <v>1165</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1096</v>
      </c>
      <c r="K30" s="207" t="s">
        <v>5488</v>
      </c>
      <c r="Q30" s="207" t="s">
        <v>427</v>
      </c>
      <c r="R30" s="207" t="s">
        <v>428</v>
      </c>
      <c r="S30" s="207" t="s">
        <v>429</v>
      </c>
      <c r="T30" s="207" t="s">
        <v>418</v>
      </c>
      <c r="U30" s="207" t="s">
        <v>430</v>
      </c>
      <c r="V30" s="207" t="s">
        <v>431</v>
      </c>
    </row>
    <row r="31" spans="2:22" x14ac:dyDescent="0.2">
      <c r="B31" s="207" t="str">
        <f>'Header Info'!B31</f>
        <v>ALBERS FINISHING &amp; SOLUTIONS LLC</v>
      </c>
      <c r="C31" s="207" t="s">
        <v>1851</v>
      </c>
      <c r="D31" s="207" t="str">
        <f>'Header Info'!C31</f>
        <v>Air Dryer Tank</v>
      </c>
      <c r="E31" s="207" t="s">
        <v>1888</v>
      </c>
      <c r="J31" s="207" t="s">
        <v>1096</v>
      </c>
      <c r="K31" s="207" t="s">
        <v>1170</v>
      </c>
      <c r="Q31" s="207" t="s">
        <v>432</v>
      </c>
      <c r="R31" s="207" t="s">
        <v>806</v>
      </c>
      <c r="S31" s="207" t="s">
        <v>433</v>
      </c>
      <c r="T31" s="207" t="s">
        <v>418</v>
      </c>
      <c r="U31" s="207" t="s">
        <v>434</v>
      </c>
      <c r="V31" s="207" t="s">
        <v>807</v>
      </c>
    </row>
    <row r="32" spans="2:22" x14ac:dyDescent="0.2">
      <c r="B32" s="207" t="str">
        <f>'Header Info'!B32</f>
        <v>ALBERS FINISHING &amp; SOLUTIONS LLC</v>
      </c>
      <c r="C32" s="207" t="s">
        <v>1851</v>
      </c>
      <c r="D32" s="207" t="str">
        <f>'Header Info'!C32</f>
        <v>Cure Oven No. 1</v>
      </c>
      <c r="E32" s="207" t="s">
        <v>1887</v>
      </c>
      <c r="J32" s="207" t="s">
        <v>1123</v>
      </c>
      <c r="K32" s="207" t="s">
        <v>1187</v>
      </c>
      <c r="Q32" s="207" t="s">
        <v>435</v>
      </c>
      <c r="R32" s="207" t="s">
        <v>436</v>
      </c>
      <c r="S32" s="207" t="s">
        <v>433</v>
      </c>
      <c r="T32" s="207" t="s">
        <v>418</v>
      </c>
      <c r="U32" s="207" t="s">
        <v>437</v>
      </c>
      <c r="V32" s="207" t="s">
        <v>438</v>
      </c>
    </row>
    <row r="33" spans="2:22" x14ac:dyDescent="0.2">
      <c r="B33" s="207" t="str">
        <f>'Header Info'!B33</f>
        <v>ALBERS FINISHING &amp; SOLUTIONS LLC</v>
      </c>
      <c r="C33" s="207" t="s">
        <v>1851</v>
      </c>
      <c r="D33" s="207" t="str">
        <f>'Header Info'!C33</f>
        <v>Penetrant Oven</v>
      </c>
      <c r="E33" s="207" t="s">
        <v>1885</v>
      </c>
      <c r="J33" s="207" t="s">
        <v>1123</v>
      </c>
      <c r="K33" s="207" t="s">
        <v>1195</v>
      </c>
      <c r="Q33" s="207" t="s">
        <v>1936</v>
      </c>
      <c r="R33" s="207" t="s">
        <v>1937</v>
      </c>
      <c r="S33" s="207" t="s">
        <v>1938</v>
      </c>
      <c r="T33" s="207" t="s">
        <v>418</v>
      </c>
      <c r="U33" s="207" t="s">
        <v>1939</v>
      </c>
      <c r="V33" s="207" t="s">
        <v>1940</v>
      </c>
    </row>
    <row r="34" spans="2:22" x14ac:dyDescent="0.2">
      <c r="B34" s="207" t="str">
        <f>'Header Info'!B34</f>
        <v>ALBERS FINISHING &amp; SOLUTIONS LLC</v>
      </c>
      <c r="C34" s="207" t="s">
        <v>1851</v>
      </c>
      <c r="D34" s="207" t="str">
        <f>'Header Info'!C34</f>
        <v>Tank 301 Aqueous Degreaser</v>
      </c>
      <c r="E34" s="207" t="s">
        <v>1890</v>
      </c>
      <c r="J34" s="207" t="s">
        <v>1123</v>
      </c>
      <c r="K34" s="207" t="s">
        <v>5010</v>
      </c>
      <c r="Q34" s="207" t="s">
        <v>440</v>
      </c>
      <c r="R34" s="207" t="s">
        <v>441</v>
      </c>
      <c r="T34" s="207" t="s">
        <v>439</v>
      </c>
      <c r="U34" s="207" t="s">
        <v>442</v>
      </c>
      <c r="V34" s="207" t="s">
        <v>443</v>
      </c>
    </row>
    <row r="35" spans="2:22" x14ac:dyDescent="0.2">
      <c r="B35" s="207" t="str">
        <f>'Header Info'!B35</f>
        <v>ALBERS FINISHING &amp; SOLUTIONS LLC</v>
      </c>
      <c r="C35" s="207" t="s">
        <v>1851</v>
      </c>
      <c r="D35" s="207" t="str">
        <f>'Header Info'!C35</f>
        <v>Tank 302A Immersion Rinse (RO Water)</v>
      </c>
      <c r="E35" s="207" t="s">
        <v>1853</v>
      </c>
      <c r="J35" s="207" t="s">
        <v>1123</v>
      </c>
      <c r="K35" s="44" t="s">
        <v>1961</v>
      </c>
      <c r="Q35" s="207" t="s">
        <v>444</v>
      </c>
      <c r="R35" s="207" t="s">
        <v>445</v>
      </c>
      <c r="T35" s="207" t="s">
        <v>446</v>
      </c>
      <c r="U35" s="207" t="s">
        <v>447</v>
      </c>
      <c r="V35" s="207" t="s">
        <v>448</v>
      </c>
    </row>
    <row r="36" spans="2:22" x14ac:dyDescent="0.2">
      <c r="B36" s="207" t="str">
        <f>'Header Info'!B36</f>
        <v>ALBERS FINISHING &amp; SOLUTIONS LLC</v>
      </c>
      <c r="C36" s="207" t="s">
        <v>1851</v>
      </c>
      <c r="D36" s="207" t="str">
        <f>'Header Info'!C36</f>
        <v>Tank 303 Alkaline Clean</v>
      </c>
      <c r="E36" s="207" t="s">
        <v>1892</v>
      </c>
      <c r="J36" s="207" t="s">
        <v>1123</v>
      </c>
      <c r="K36" s="207" t="s">
        <v>1202</v>
      </c>
      <c r="Q36" s="207" t="s">
        <v>1998</v>
      </c>
      <c r="R36" s="207" t="s">
        <v>1999</v>
      </c>
      <c r="S36" s="207" t="s">
        <v>1707</v>
      </c>
      <c r="T36" s="207" t="s">
        <v>450</v>
      </c>
      <c r="U36" s="207" t="s">
        <v>1997</v>
      </c>
      <c r="V36" s="207" t="s">
        <v>1997</v>
      </c>
    </row>
    <row r="37" spans="2:22" x14ac:dyDescent="0.2">
      <c r="B37" s="207" t="str">
        <f>'Header Info'!B37</f>
        <v>ALBERS FINISHING &amp; SOLUTIONS LLC</v>
      </c>
      <c r="C37" s="207" t="s">
        <v>1851</v>
      </c>
      <c r="D37" s="207" t="str">
        <f>'Header Info'!C37</f>
        <v>Tank 304 Immersion Rinse (RO Water Make Up)</v>
      </c>
      <c r="E37" s="207" t="s">
        <v>1894</v>
      </c>
      <c r="J37" s="207" t="s">
        <v>1147</v>
      </c>
      <c r="K37" s="207" t="s">
        <v>1227</v>
      </c>
      <c r="Q37" s="207" t="s">
        <v>1996</v>
      </c>
      <c r="R37" s="207" t="s">
        <v>1999</v>
      </c>
      <c r="S37" s="207" t="s">
        <v>1707</v>
      </c>
      <c r="T37" s="207" t="s">
        <v>450</v>
      </c>
      <c r="U37" s="207" t="s">
        <v>1997</v>
      </c>
      <c r="V37" s="207" t="s">
        <v>1997</v>
      </c>
    </row>
    <row r="38" spans="2:22" x14ac:dyDescent="0.2">
      <c r="B38" s="207" t="str">
        <f>'Header Info'!B38</f>
        <v>ALBERS FINISHING &amp; SOLUTIONS LLC</v>
      </c>
      <c r="C38" s="207" t="s">
        <v>1851</v>
      </c>
      <c r="D38" s="207" t="str">
        <f>'Header Info'!C38</f>
        <v>Tank 305 Alkaline Etch</v>
      </c>
      <c r="E38" s="207" t="s">
        <v>1896</v>
      </c>
      <c r="J38" s="207" t="s">
        <v>1147</v>
      </c>
      <c r="K38" s="207" t="s">
        <v>4734</v>
      </c>
      <c r="Q38" s="207" t="s">
        <v>3824</v>
      </c>
      <c r="R38" s="207" t="s">
        <v>3825</v>
      </c>
      <c r="S38" s="207" t="s">
        <v>1707</v>
      </c>
      <c r="T38" s="207" t="s">
        <v>450</v>
      </c>
      <c r="U38" s="207" t="s">
        <v>3826</v>
      </c>
      <c r="V38" s="207" t="s">
        <v>3826</v>
      </c>
    </row>
    <row r="39" spans="2:22" x14ac:dyDescent="0.2">
      <c r="B39" s="207" t="str">
        <f>'Header Info'!B39</f>
        <v>ALBERS FINISHING &amp; SOLUTIONS LLC</v>
      </c>
      <c r="C39" s="207" t="s">
        <v>1851</v>
      </c>
      <c r="D39" s="207" t="str">
        <f>'Header Info'!C39</f>
        <v>Tank 307 Deoxidizer</v>
      </c>
      <c r="E39" s="207" t="s">
        <v>1898</v>
      </c>
      <c r="J39" s="207" t="s">
        <v>1147</v>
      </c>
      <c r="K39" s="207" t="s">
        <v>1773</v>
      </c>
      <c r="Q39" s="207" t="s">
        <v>449</v>
      </c>
      <c r="R39" s="207" t="s">
        <v>1942</v>
      </c>
      <c r="S39" s="207" t="s">
        <v>1707</v>
      </c>
      <c r="T39" s="207" t="s">
        <v>450</v>
      </c>
      <c r="U39" s="207" t="s">
        <v>451</v>
      </c>
      <c r="V39" s="207" t="s">
        <v>1941</v>
      </c>
    </row>
    <row r="40" spans="2:22" x14ac:dyDescent="0.2">
      <c r="B40" s="207" t="str">
        <f>'Header Info'!B40</f>
        <v>ALBERS FINISHING &amp; SOLUTIONS LLC</v>
      </c>
      <c r="C40" s="207" t="s">
        <v>1851</v>
      </c>
      <c r="D40" s="207" t="str">
        <f>'Header Info'!C40</f>
        <v>Tank 310 Chem Film</v>
      </c>
      <c r="E40" s="207" t="s">
        <v>1899</v>
      </c>
      <c r="J40" s="207" t="s">
        <v>1147</v>
      </c>
      <c r="K40" s="207" t="s">
        <v>1236</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1147</v>
      </c>
      <c r="K41" s="207" t="s">
        <v>1242</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1147</v>
      </c>
      <c r="K42" s="207" t="s">
        <v>1246</v>
      </c>
      <c r="Q42" s="207" t="s">
        <v>3827</v>
      </c>
      <c r="R42" s="207" t="s">
        <v>3828</v>
      </c>
      <c r="S42" s="207" t="s">
        <v>109</v>
      </c>
      <c r="T42" s="207" t="s">
        <v>3829</v>
      </c>
      <c r="U42" s="207" t="s">
        <v>3823</v>
      </c>
      <c r="V42" s="207" t="s">
        <v>3818</v>
      </c>
    </row>
    <row r="43" spans="2:22" x14ac:dyDescent="0.2">
      <c r="B43" s="207" t="str">
        <f>'Header Info'!B43</f>
        <v>APEX COMPOSITES - OKLAHOMA DIV.</v>
      </c>
      <c r="C43" s="207" t="s">
        <v>871</v>
      </c>
      <c r="D43" s="207" t="str">
        <f>'Header Info'!C43</f>
        <v>AUTOCLAVE NO. 1</v>
      </c>
      <c r="E43" s="207" t="s">
        <v>875</v>
      </c>
      <c r="J43" s="207" t="s">
        <v>1147</v>
      </c>
      <c r="K43" s="207" t="s">
        <v>1249</v>
      </c>
      <c r="Q43" s="207" t="s">
        <v>462</v>
      </c>
      <c r="R43" s="207" t="s">
        <v>1706</v>
      </c>
      <c r="S43" s="207" t="s">
        <v>1707</v>
      </c>
      <c r="T43" s="207" t="s">
        <v>463</v>
      </c>
      <c r="V43" s="207" t="s">
        <v>464</v>
      </c>
    </row>
    <row r="44" spans="2:22" x14ac:dyDescent="0.2">
      <c r="B44" s="207" t="str">
        <f>'Header Info'!B44</f>
        <v>APEX COMPOSITES - OKLAHOMA DIV.</v>
      </c>
      <c r="C44" s="207" t="s">
        <v>871</v>
      </c>
      <c r="D44" s="207" t="str">
        <f>'Header Info'!C44</f>
        <v>AUTOCLAVE NO. 3</v>
      </c>
      <c r="E44" s="207" t="s">
        <v>874</v>
      </c>
      <c r="J44" s="207" t="s">
        <v>1147</v>
      </c>
      <c r="K44" s="207" t="s">
        <v>1857</v>
      </c>
      <c r="Q44" s="207" t="s">
        <v>1708</v>
      </c>
      <c r="R44" s="207" t="s">
        <v>1709</v>
      </c>
      <c r="S44" s="207" t="s">
        <v>1707</v>
      </c>
      <c r="T44" s="207" t="s">
        <v>463</v>
      </c>
      <c r="V44" s="207" t="s">
        <v>1710</v>
      </c>
    </row>
    <row r="45" spans="2:22" x14ac:dyDescent="0.2">
      <c r="B45" s="207" t="str">
        <f>'Header Info'!B45</f>
        <v>APEX COMPOSITES - OKLAHOMA DIV.</v>
      </c>
      <c r="C45" s="207" t="s">
        <v>871</v>
      </c>
      <c r="D45" s="207" t="str">
        <f>'Header Info'!C45</f>
        <v>CURE OVEN NO. 4</v>
      </c>
      <c r="E45" s="207" t="s">
        <v>879</v>
      </c>
      <c r="J45" s="207" t="s">
        <v>1147</v>
      </c>
      <c r="K45" s="207" t="s">
        <v>1254</v>
      </c>
      <c r="Q45" s="207" t="s">
        <v>465</v>
      </c>
      <c r="R45" s="207" t="s">
        <v>1711</v>
      </c>
      <c r="S45" s="207" t="s">
        <v>1707</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1188</v>
      </c>
      <c r="K46" s="207" t="s">
        <v>1280</v>
      </c>
      <c r="Q46" s="207" t="s">
        <v>468</v>
      </c>
      <c r="R46" s="207" t="s">
        <v>1712</v>
      </c>
      <c r="S46" s="207" t="s">
        <v>1707</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1188</v>
      </c>
      <c r="K47" s="207" t="s">
        <v>1903</v>
      </c>
      <c r="Q47" s="207" t="s">
        <v>471</v>
      </c>
      <c r="R47" s="207" t="s">
        <v>1713</v>
      </c>
      <c r="S47" s="207" t="s">
        <v>1707</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1192</v>
      </c>
      <c r="K48" s="207" t="s">
        <v>3772</v>
      </c>
      <c r="Q48" s="207" t="s">
        <v>474</v>
      </c>
      <c r="R48" s="207" t="s">
        <v>1714</v>
      </c>
      <c r="S48" s="207" t="s">
        <v>1707</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1196</v>
      </c>
      <c r="K49" s="207" t="s">
        <v>5515</v>
      </c>
      <c r="Q49" s="207" t="s">
        <v>477</v>
      </c>
      <c r="R49" s="207" t="s">
        <v>1715</v>
      </c>
      <c r="S49" s="207" t="s">
        <v>1707</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1200</v>
      </c>
      <c r="K50" s="207" t="s">
        <v>1299</v>
      </c>
      <c r="Q50" s="207" t="s">
        <v>480</v>
      </c>
      <c r="R50" s="207" t="s">
        <v>1716</v>
      </c>
      <c r="S50" s="207" t="s">
        <v>1707</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1203</v>
      </c>
      <c r="K51" s="207" t="s">
        <v>4412</v>
      </c>
      <c r="Q51" s="207" t="s">
        <v>483</v>
      </c>
      <c r="R51" s="207" t="s">
        <v>1717</v>
      </c>
      <c r="S51" s="207" t="s">
        <v>1707</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1203</v>
      </c>
      <c r="K52" s="207" t="s">
        <v>3013</v>
      </c>
      <c r="Q52" s="207" t="s">
        <v>486</v>
      </c>
      <c r="R52" s="207" t="s">
        <v>1718</v>
      </c>
      <c r="S52" s="207" t="s">
        <v>1707</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1300</v>
      </c>
      <c r="K53" s="207" t="s">
        <v>1338</v>
      </c>
      <c r="Q53" s="207" t="s">
        <v>489</v>
      </c>
      <c r="R53" s="207" t="s">
        <v>1719</v>
      </c>
      <c r="S53" s="207" t="s">
        <v>1707</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1318</v>
      </c>
      <c r="K54" s="207" t="s">
        <v>1777</v>
      </c>
      <c r="Q54" s="207" t="s">
        <v>1720</v>
      </c>
      <c r="R54" s="207" t="s">
        <v>1721</v>
      </c>
      <c r="S54" s="207" t="s">
        <v>1722</v>
      </c>
      <c r="T54" s="207" t="s">
        <v>463</v>
      </c>
      <c r="V54" s="207" t="s">
        <v>1723</v>
      </c>
    </row>
    <row r="55" spans="2:22" x14ac:dyDescent="0.2">
      <c r="B55" s="207" t="str">
        <f>'Header Info'!B55</f>
        <v>APEX ENGINEERING WICHITA DIV.</v>
      </c>
      <c r="C55" s="207" t="s">
        <v>883</v>
      </c>
      <c r="D55" s="207" t="str">
        <f>'Header Info'!C55</f>
        <v>AEI-585</v>
      </c>
      <c r="E55" s="207" t="s">
        <v>900</v>
      </c>
      <c r="J55" s="207" t="s">
        <v>1318</v>
      </c>
      <c r="K55" s="207" t="s">
        <v>1343</v>
      </c>
      <c r="Q55" s="207" t="s">
        <v>492</v>
      </c>
      <c r="R55" s="44" t="s">
        <v>5388</v>
      </c>
      <c r="S55" s="207" t="s">
        <v>1722</v>
      </c>
      <c r="T55" s="207" t="s">
        <v>463</v>
      </c>
      <c r="U55" s="207" t="s">
        <v>493</v>
      </c>
      <c r="V55" s="44" t="s">
        <v>5327</v>
      </c>
    </row>
    <row r="56" spans="2:22" x14ac:dyDescent="0.2">
      <c r="B56" s="207" t="str">
        <f>'Header Info'!B56</f>
        <v>APEX ENGINEERING WICHITA DIV.</v>
      </c>
      <c r="C56" s="207" t="s">
        <v>883</v>
      </c>
      <c r="D56" s="207" t="str">
        <f>'Header Info'!C56</f>
        <v>AEI-650 GRIEVE OVEN</v>
      </c>
      <c r="E56" s="207" t="s">
        <v>898</v>
      </c>
      <c r="J56" s="207" t="s">
        <v>1318</v>
      </c>
      <c r="K56" s="207" t="s">
        <v>1378</v>
      </c>
      <c r="Q56" s="207" t="s">
        <v>494</v>
      </c>
      <c r="R56" s="207" t="s">
        <v>1724</v>
      </c>
      <c r="S56" s="207" t="s">
        <v>1722</v>
      </c>
      <c r="T56" s="207" t="s">
        <v>463</v>
      </c>
      <c r="V56" s="207" t="s">
        <v>495</v>
      </c>
    </row>
    <row r="57" spans="2:22" x14ac:dyDescent="0.2">
      <c r="B57" s="207" t="str">
        <f>'Header Info'!B57</f>
        <v>APEX ENGINEERING WICHITA DIV.</v>
      </c>
      <c r="C57" s="207" t="s">
        <v>883</v>
      </c>
      <c r="D57" s="207" t="str">
        <f>'Header Info'!C57</f>
        <v>ICTA-0122</v>
      </c>
      <c r="E57" s="207" t="s">
        <v>896</v>
      </c>
      <c r="J57" s="207" t="s">
        <v>1318</v>
      </c>
      <c r="K57" s="44" t="s">
        <v>1348</v>
      </c>
      <c r="Q57" s="207" t="s">
        <v>496</v>
      </c>
      <c r="R57" s="207" t="s">
        <v>1725</v>
      </c>
      <c r="S57" s="207" t="s">
        <v>1722</v>
      </c>
      <c r="T57" s="207" t="s">
        <v>463</v>
      </c>
      <c r="U57" s="207" t="s">
        <v>497</v>
      </c>
      <c r="V57" s="207" t="s">
        <v>498</v>
      </c>
    </row>
    <row r="58" spans="2:22" x14ac:dyDescent="0.2">
      <c r="B58" s="207" t="str">
        <f>'Header Info'!B58</f>
        <v>APPH WICHITA, INC.</v>
      </c>
      <c r="C58" s="207" t="s">
        <v>883</v>
      </c>
      <c r="D58" s="207" t="str">
        <f>'Header Info'!C58</f>
        <v>917-195</v>
      </c>
      <c r="E58" s="207" t="s">
        <v>895</v>
      </c>
      <c r="J58" s="207" t="s">
        <v>1778</v>
      </c>
      <c r="K58" s="207" t="s">
        <v>1384</v>
      </c>
      <c r="Q58" s="207" t="s">
        <v>499</v>
      </c>
      <c r="R58" s="207" t="s">
        <v>1726</v>
      </c>
      <c r="S58" s="207" t="s">
        <v>1722</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1778</v>
      </c>
      <c r="K59" s="207" t="s">
        <v>1388</v>
      </c>
      <c r="Q59" s="207" t="s">
        <v>502</v>
      </c>
      <c r="R59" s="207" t="s">
        <v>1727</v>
      </c>
      <c r="S59" s="207" t="s">
        <v>1722</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1778</v>
      </c>
      <c r="K60" s="207" t="s">
        <v>5265</v>
      </c>
      <c r="Q60" s="207" t="s">
        <v>505</v>
      </c>
      <c r="R60" s="207" t="s">
        <v>1848</v>
      </c>
      <c r="S60" s="207" t="s">
        <v>1722</v>
      </c>
      <c r="T60" s="207" t="s">
        <v>463</v>
      </c>
      <c r="V60" s="207" t="s">
        <v>1837</v>
      </c>
    </row>
    <row r="61" spans="2:22" x14ac:dyDescent="0.2">
      <c r="B61" s="207" t="str">
        <f>'Header Info'!B61</f>
        <v>ASSOCIATED INDUSTRIES, INC.</v>
      </c>
      <c r="C61" s="207" t="s">
        <v>909</v>
      </c>
      <c r="D61" s="207" t="str">
        <f>'Header Info'!C61</f>
        <v>FREEZER NO. 1</v>
      </c>
      <c r="E61" s="207" t="s">
        <v>911</v>
      </c>
      <c r="J61" s="207" t="s">
        <v>1778</v>
      </c>
      <c r="K61" s="207" t="s">
        <v>1402</v>
      </c>
      <c r="Q61" s="207" t="s">
        <v>506</v>
      </c>
      <c r="R61" s="207" t="s">
        <v>1728</v>
      </c>
      <c r="S61" s="207" t="s">
        <v>1722</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1349</v>
      </c>
      <c r="K62" s="207" t="s">
        <v>1977</v>
      </c>
      <c r="Q62" s="207" t="s">
        <v>509</v>
      </c>
      <c r="R62" s="207" t="s">
        <v>1729</v>
      </c>
      <c r="S62" s="207" t="s">
        <v>1722</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1349</v>
      </c>
      <c r="K63" s="207" t="s">
        <v>5165</v>
      </c>
      <c r="Q63" s="207" t="s">
        <v>512</v>
      </c>
      <c r="R63" s="207" t="s">
        <v>1730</v>
      </c>
      <c r="S63" s="207" t="s">
        <v>1722</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1349</v>
      </c>
      <c r="K64" s="207" t="s">
        <v>1743</v>
      </c>
      <c r="Q64" s="207" t="s">
        <v>515</v>
      </c>
      <c r="R64" s="207" t="s">
        <v>1731</v>
      </c>
      <c r="S64" s="207" t="s">
        <v>1722</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1349</v>
      </c>
      <c r="K65" s="207" t="s">
        <v>1415</v>
      </c>
      <c r="Q65" s="207" t="s">
        <v>518</v>
      </c>
      <c r="R65" s="207" t="s">
        <v>1732</v>
      </c>
      <c r="S65" s="207" t="s">
        <v>1722</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1349</v>
      </c>
      <c r="K66" s="207" t="s">
        <v>1783</v>
      </c>
      <c r="Q66" s="207" t="s">
        <v>1736</v>
      </c>
      <c r="R66" s="207" t="s">
        <v>1737</v>
      </c>
      <c r="S66" s="207" t="s">
        <v>1722</v>
      </c>
      <c r="T66" s="207" t="s">
        <v>463</v>
      </c>
      <c r="V66" s="207" t="s">
        <v>1738</v>
      </c>
    </row>
    <row r="67" spans="2:22" x14ac:dyDescent="0.2">
      <c r="B67" s="207" t="str">
        <f>'Header Info'!B67</f>
        <v>BURNHAM COMPOSITE STRUCTURES, INC.</v>
      </c>
      <c r="C67" s="207" t="s">
        <v>918</v>
      </c>
      <c r="D67" s="207" t="str">
        <f>'Header Info'!C67</f>
        <v>CURING OVEN NO. 2</v>
      </c>
      <c r="E67" s="207" t="s">
        <v>933</v>
      </c>
      <c r="J67" s="207" t="s">
        <v>1349</v>
      </c>
      <c r="K67" s="207" t="s">
        <v>1421</v>
      </c>
      <c r="Q67" s="207" t="s">
        <v>521</v>
      </c>
      <c r="R67" s="207" t="s">
        <v>3830</v>
      </c>
      <c r="S67" s="207" t="s">
        <v>1733</v>
      </c>
      <c r="T67" s="207" t="s">
        <v>463</v>
      </c>
      <c r="U67" s="207" t="s">
        <v>522</v>
      </c>
      <c r="V67" s="207" t="s">
        <v>3831</v>
      </c>
    </row>
    <row r="68" spans="2:22" x14ac:dyDescent="0.2">
      <c r="B68" s="207" t="str">
        <f>'Header Info'!B68</f>
        <v>BURNHAM COMPOSITE STRUCTURES, INC.</v>
      </c>
      <c r="C68" s="207" t="s">
        <v>918</v>
      </c>
      <c r="D68" s="207" t="str">
        <f>'Header Info'!C68</f>
        <v>Oven No. 1A Cessna</v>
      </c>
      <c r="E68" s="207" t="s">
        <v>926</v>
      </c>
      <c r="J68" s="207" t="s">
        <v>1389</v>
      </c>
      <c r="K68" s="207" t="s">
        <v>5447</v>
      </c>
      <c r="Q68" s="207" t="s">
        <v>523</v>
      </c>
      <c r="R68" s="207" t="s">
        <v>1734</v>
      </c>
      <c r="S68" s="207" t="s">
        <v>1733</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1389</v>
      </c>
      <c r="K69" s="207" t="s">
        <v>1431</v>
      </c>
      <c r="Q69" s="207" t="s">
        <v>526</v>
      </c>
      <c r="R69" s="207" t="s">
        <v>1735</v>
      </c>
      <c r="S69" s="207" t="s">
        <v>1733</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1413</v>
      </c>
      <c r="K70" s="207" t="s">
        <v>1444</v>
      </c>
      <c r="Q70" s="207" t="s">
        <v>1739</v>
      </c>
      <c r="R70" s="207" t="s">
        <v>1740</v>
      </c>
      <c r="S70" s="207" t="s">
        <v>1733</v>
      </c>
      <c r="T70" s="207" t="s">
        <v>463</v>
      </c>
      <c r="V70" s="207" t="s">
        <v>1741</v>
      </c>
    </row>
    <row r="71" spans="2:22" x14ac:dyDescent="0.2">
      <c r="B71" s="207" t="str">
        <f>'Header Info'!B71</f>
        <v>BURNHAM COMPOSITE STRUCTURES, INC.</v>
      </c>
      <c r="C71" s="207" t="s">
        <v>918</v>
      </c>
      <c r="D71" s="207" t="str">
        <f>'Header Info'!C71</f>
        <v>OVEN NO. 6</v>
      </c>
      <c r="E71" s="207" t="s">
        <v>934</v>
      </c>
      <c r="J71" s="207" t="s">
        <v>1413</v>
      </c>
      <c r="K71" s="207" t="s">
        <v>1448</v>
      </c>
      <c r="Q71" s="207" t="s">
        <v>1833</v>
      </c>
      <c r="R71" s="207" t="s">
        <v>1834</v>
      </c>
      <c r="S71" s="207" t="s">
        <v>1835</v>
      </c>
      <c r="T71" s="207" t="s">
        <v>463</v>
      </c>
      <c r="V71" s="207" t="s">
        <v>1836</v>
      </c>
    </row>
    <row r="72" spans="2:22" x14ac:dyDescent="0.2">
      <c r="B72" s="207" t="str">
        <f>'Header Info'!B72</f>
        <v>CAPPS MANUFACTURING INC.</v>
      </c>
      <c r="C72" s="207" t="s">
        <v>918</v>
      </c>
      <c r="D72" s="207" t="str">
        <f>'Header Info'!C72</f>
        <v>AGE OVEN NO. 0</v>
      </c>
      <c r="E72" s="207" t="s">
        <v>929</v>
      </c>
      <c r="J72" s="207" t="s">
        <v>1432</v>
      </c>
      <c r="K72" s="207" t="s">
        <v>1456</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1457</v>
      </c>
      <c r="K73" s="207" t="s">
        <v>1493</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1494</v>
      </c>
      <c r="K74" s="207" t="s">
        <v>1829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1494</v>
      </c>
      <c r="K75" s="207" t="s">
        <v>5279</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1494</v>
      </c>
      <c r="K76" s="207" t="s">
        <v>3805</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1494</v>
      </c>
      <c r="K77" s="207" t="s">
        <v>1585</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1533</v>
      </c>
      <c r="K78" s="207" t="s">
        <v>1619</v>
      </c>
      <c r="Q78" s="207" t="s">
        <v>549</v>
      </c>
      <c r="R78" s="207" t="s">
        <v>1872</v>
      </c>
      <c r="S78" s="207" t="s">
        <v>550</v>
      </c>
      <c r="T78" s="207" t="s">
        <v>548</v>
      </c>
      <c r="U78" s="207" t="s">
        <v>551</v>
      </c>
      <c r="V78" s="207" t="s">
        <v>1873</v>
      </c>
    </row>
    <row r="79" spans="2:22" x14ac:dyDescent="0.2">
      <c r="B79" s="207" t="str">
        <f>'Header Info'!B79</f>
        <v>CAPPS MANUFACTURING INC.</v>
      </c>
      <c r="C79" s="207" t="s">
        <v>918</v>
      </c>
      <c r="D79" s="207" t="str">
        <f>'Header Info'!C79</f>
        <v>TANK NO. 110</v>
      </c>
      <c r="E79" s="207" t="s">
        <v>923</v>
      </c>
      <c r="J79" s="207" t="s">
        <v>1554</v>
      </c>
      <c r="K79" s="207" t="s">
        <v>1623</v>
      </c>
      <c r="Q79" s="207" t="s">
        <v>808</v>
      </c>
      <c r="R79" s="207" t="s">
        <v>1874</v>
      </c>
      <c r="S79" s="207" t="s">
        <v>809</v>
      </c>
      <c r="T79" s="207" t="s">
        <v>548</v>
      </c>
      <c r="U79" s="207" t="s">
        <v>810</v>
      </c>
      <c r="V79" s="207" t="s">
        <v>1875</v>
      </c>
    </row>
    <row r="80" spans="2:22" x14ac:dyDescent="0.2">
      <c r="B80" s="207" t="str">
        <f>'Header Info'!B80</f>
        <v>CAPPS MANUFACTURING INC. - CUSTER</v>
      </c>
      <c r="C80" s="207" t="s">
        <v>918</v>
      </c>
      <c r="D80" s="207" t="str">
        <f>'Header Info'!C80</f>
        <v>C-CPI-6054</v>
      </c>
      <c r="E80" s="207" t="s">
        <v>919</v>
      </c>
      <c r="J80" s="207" t="s">
        <v>1539</v>
      </c>
      <c r="K80" s="207">
        <v>0</v>
      </c>
      <c r="Q80" s="207" t="s">
        <v>811</v>
      </c>
      <c r="R80" s="207" t="s">
        <v>1876</v>
      </c>
      <c r="S80" s="207" t="s">
        <v>809</v>
      </c>
      <c r="T80" s="207" t="s">
        <v>548</v>
      </c>
      <c r="U80" s="207" t="s">
        <v>812</v>
      </c>
      <c r="V80" s="207" t="s">
        <v>1877</v>
      </c>
    </row>
    <row r="81" spans="2:22" x14ac:dyDescent="0.2">
      <c r="B81" s="207" t="str">
        <f>'Header Info'!B81</f>
        <v>CAPPS MANUFACTURING INC. - CUSTER</v>
      </c>
      <c r="C81" s="207" t="s">
        <v>918</v>
      </c>
      <c r="D81" s="207" t="str">
        <f>'Header Info'!C81</f>
        <v>CM00295 (OVEN NO. 2)</v>
      </c>
      <c r="E81" s="207" t="s">
        <v>922</v>
      </c>
      <c r="J81" s="207" t="s">
        <v>1539</v>
      </c>
      <c r="K81" s="207" t="s">
        <v>1791</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3806</v>
      </c>
      <c r="K82" s="207" t="s">
        <v>3805</v>
      </c>
    </row>
    <row r="83" spans="2:22" x14ac:dyDescent="0.2">
      <c r="B83" s="207" t="str">
        <f>'Header Info'!B83</f>
        <v>CAPPS MANUFACTURING INC. - CUSTER</v>
      </c>
      <c r="C83" s="207" t="s">
        <v>918</v>
      </c>
      <c r="D83" s="207" t="str">
        <f>'Header Info'!C83</f>
        <v>PAINT BAKE OVEN NO. 6</v>
      </c>
      <c r="E83" s="207" t="s">
        <v>920</v>
      </c>
      <c r="J83" s="207" t="s">
        <v>1562</v>
      </c>
      <c r="K83" s="207" t="s">
        <v>1561</v>
      </c>
    </row>
    <row r="84" spans="2:22" x14ac:dyDescent="0.2">
      <c r="B84" s="207" t="str">
        <f>'Header Info'!B84</f>
        <v>CAPPS MANUFACTURING INC. - CUSTER</v>
      </c>
      <c r="C84" s="207" t="s">
        <v>940</v>
      </c>
      <c r="D84" s="207" t="str">
        <f>'Header Info'!C84</f>
        <v>TANK NO. 101</v>
      </c>
      <c r="E84" s="207" t="s">
        <v>953</v>
      </c>
      <c r="J84" s="207" t="s">
        <v>1586</v>
      </c>
      <c r="K84" s="207" t="s">
        <v>1585</v>
      </c>
    </row>
    <row r="85" spans="2:22" x14ac:dyDescent="0.2">
      <c r="B85" s="207" t="str">
        <f>'Header Info'!B85</f>
        <v>CAPPS MANUFACTURING INC. - CUSTER</v>
      </c>
      <c r="C85" s="207" t="s">
        <v>940</v>
      </c>
      <c r="D85" s="207" t="str">
        <f>'Header Info'!C85</f>
        <v>TANK NO. 102</v>
      </c>
      <c r="E85" s="207" t="s">
        <v>944</v>
      </c>
      <c r="J85" s="207" t="s">
        <v>1620</v>
      </c>
      <c r="K85" s="207" t="s">
        <v>1619</v>
      </c>
    </row>
    <row r="86" spans="2:22" x14ac:dyDescent="0.2">
      <c r="B86" s="207" t="str">
        <f>'Header Info'!B86</f>
        <v>CAPPS MANUFACTURING INC. - CUSTER</v>
      </c>
      <c r="C86" s="207" t="s">
        <v>940</v>
      </c>
      <c r="D86" s="207" t="str">
        <f>'Header Info'!C86</f>
        <v>TANK NO. 103</v>
      </c>
      <c r="E86" s="207" t="s">
        <v>955</v>
      </c>
      <c r="J86" s="207" t="s">
        <v>1624</v>
      </c>
      <c r="K86" s="207" t="s">
        <v>1623</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1855</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1920</v>
      </c>
    </row>
    <row r="118" spans="2:5" x14ac:dyDescent="0.2">
      <c r="B118" s="207" t="str">
        <f>'Header Info'!B118</f>
        <v>COX MACHINE, INC - HARPER DIVISION</v>
      </c>
      <c r="C118" s="207" t="s">
        <v>988</v>
      </c>
      <c r="D118" s="207" t="str">
        <f>'Header Info'!C118</f>
        <v>AGE OVEN NO. 4</v>
      </c>
      <c r="E118" s="207" t="s">
        <v>1923</v>
      </c>
    </row>
    <row r="119" spans="2:5" x14ac:dyDescent="0.2">
      <c r="B119" s="207" t="str">
        <f>'Header Info'!B119</f>
        <v>COX MACHINE, INC - HARPER DIVISION</v>
      </c>
      <c r="C119" s="207" t="s">
        <v>988</v>
      </c>
      <c r="D119" s="207" t="str">
        <f>'Header Info'!C119</f>
        <v>DROP BOTTOM 1</v>
      </c>
      <c r="E119" s="207" t="s">
        <v>1921</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1768</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1801</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1069</v>
      </c>
      <c r="D154" s="207" t="str">
        <f>'Header Info'!C154</f>
        <v>VAC-980</v>
      </c>
      <c r="E154" s="207" t="s">
        <v>1071</v>
      </c>
    </row>
    <row r="155" spans="2:5" x14ac:dyDescent="0.2">
      <c r="B155" s="207" t="str">
        <f>'Header Info'!B155</f>
        <v>DUCOMMUN AEROSTRUCTURES, INC.</v>
      </c>
      <c r="C155" s="207" t="s">
        <v>1069</v>
      </c>
      <c r="D155" s="207" t="str">
        <f>'Header Info'!C155</f>
        <v>VAC-983 2-1</v>
      </c>
      <c r="E155" s="207" t="s">
        <v>1072</v>
      </c>
    </row>
    <row r="156" spans="2:5" x14ac:dyDescent="0.2">
      <c r="B156" s="207" t="str">
        <f>'Header Info'!B156</f>
        <v>DUCOMMUN AEROSTRUCTURES, INC.</v>
      </c>
      <c r="C156" s="207" t="s">
        <v>1074</v>
      </c>
      <c r="D156" s="207" t="str">
        <f>'Header Info'!C156</f>
        <v>VAC-983 2-3</v>
      </c>
      <c r="E156" s="207" t="s">
        <v>1082</v>
      </c>
    </row>
    <row r="157" spans="2:5" x14ac:dyDescent="0.2">
      <c r="B157" s="207" t="str">
        <f>'Header Info'!B157</f>
        <v>DUCOMMUN AEROSTRUCTURES, INC.</v>
      </c>
      <c r="C157" s="207" t="s">
        <v>1074</v>
      </c>
      <c r="D157" s="207" t="str">
        <f>'Header Info'!C157</f>
        <v>VAC-983 2-6</v>
      </c>
      <c r="E157" s="207" t="s">
        <v>1083</v>
      </c>
    </row>
    <row r="158" spans="2:5" x14ac:dyDescent="0.2">
      <c r="B158" s="207" t="str">
        <f>'Header Info'!B158</f>
        <v>DUCOMMUN AEROSTRUCTURES, INC.</v>
      </c>
      <c r="C158" s="207" t="s">
        <v>1074</v>
      </c>
      <c r="D158" s="207" t="str">
        <f>'Header Info'!C158</f>
        <v>VAC-983 2-A</v>
      </c>
      <c r="E158" s="207" t="s">
        <v>1084</v>
      </c>
    </row>
    <row r="159" spans="2:5" x14ac:dyDescent="0.2">
      <c r="B159" s="207" t="str">
        <f>'Header Info'!B159</f>
        <v>DUCOMMUN AEROSTRUCTURES, INC.</v>
      </c>
      <c r="C159" s="207" t="s">
        <v>1074</v>
      </c>
      <c r="D159" s="207" t="str">
        <f>'Header Info'!C159</f>
        <v>VAC-989</v>
      </c>
      <c r="E159" s="207" t="s">
        <v>1086</v>
      </c>
    </row>
    <row r="160" spans="2:5" x14ac:dyDescent="0.2">
      <c r="B160" s="207" t="str">
        <f>'Header Info'!B160</f>
        <v>DUCOMMUN AEROSTRUCTURES, INC.</v>
      </c>
      <c r="C160" s="207" t="s">
        <v>1074</v>
      </c>
      <c r="D160" s="207" t="str">
        <f>'Header Info'!C160</f>
        <v>VAC-1005</v>
      </c>
      <c r="E160" s="207" t="s">
        <v>1087</v>
      </c>
    </row>
    <row r="161" spans="2:5" x14ac:dyDescent="0.2">
      <c r="B161" s="207" t="str">
        <f>'Header Info'!B161</f>
        <v>DUCOMMUN AEROSTRUCTURES, INC.</v>
      </c>
      <c r="C161" s="207" t="s">
        <v>1074</v>
      </c>
      <c r="D161" s="207" t="str">
        <f>'Header Info'!C161</f>
        <v>VAC-1077</v>
      </c>
      <c r="E161" s="207" t="s">
        <v>1088</v>
      </c>
    </row>
    <row r="162" spans="2:5" x14ac:dyDescent="0.2">
      <c r="B162" s="207" t="str">
        <f>'Header Info'!B162</f>
        <v>ELECTROMECH TECHNOLOGIES</v>
      </c>
      <c r="C162" s="207" t="s">
        <v>1074</v>
      </c>
      <c r="D162" s="207">
        <f>'Header Info'!C162</f>
        <v>588</v>
      </c>
      <c r="E162" s="207" t="s">
        <v>1091</v>
      </c>
    </row>
    <row r="163" spans="2:5" x14ac:dyDescent="0.2">
      <c r="B163" s="207" t="str">
        <f>'Header Info'!B163</f>
        <v>ELECTROMECH TECHNOLOGIES</v>
      </c>
      <c r="C163" s="207" t="s">
        <v>1074</v>
      </c>
      <c r="D163" s="207">
        <f>'Header Info'!C163</f>
        <v>12004</v>
      </c>
      <c r="E163" s="207" t="s">
        <v>3767</v>
      </c>
    </row>
    <row r="164" spans="2:5" x14ac:dyDescent="0.2">
      <c r="B164" s="207" t="str">
        <f>'Header Info'!B164</f>
        <v>ELECTROMECH TECHNOLOGIES</v>
      </c>
      <c r="C164" s="207" t="s">
        <v>1074</v>
      </c>
      <c r="D164" s="207" t="str">
        <f>'Header Info'!C164</f>
        <v>ASSET A000080</v>
      </c>
      <c r="E164" s="207" t="s">
        <v>1081</v>
      </c>
    </row>
    <row r="165" spans="2:5" x14ac:dyDescent="0.2">
      <c r="B165" s="207" t="str">
        <f>'Header Info'!B165</f>
        <v>ELECTROMECH TECHNOLOGIES</v>
      </c>
      <c r="C165" s="207" t="s">
        <v>1074</v>
      </c>
      <c r="D165" s="207" t="str">
        <f>'Header Info'!C165</f>
        <v>Blue M Oven 568</v>
      </c>
      <c r="E165" s="207" t="s">
        <v>1080</v>
      </c>
    </row>
    <row r="166" spans="2:5" x14ac:dyDescent="0.2">
      <c r="B166" s="207" t="str">
        <f>'Header Info'!B166</f>
        <v>ELECTROMECH TECHNOLOGIES</v>
      </c>
      <c r="C166" s="207" t="s">
        <v>1074</v>
      </c>
      <c r="D166" s="207" t="str">
        <f>'Header Info'!C166</f>
        <v>Cure Oven No. 15791</v>
      </c>
      <c r="E166" s="207" t="s">
        <v>1078</v>
      </c>
    </row>
    <row r="167" spans="2:5" x14ac:dyDescent="0.2">
      <c r="B167" s="207" t="str">
        <f>'Header Info'!B167</f>
        <v>ELECTROMECH TECHNOLOGIES</v>
      </c>
      <c r="C167" s="207" t="s">
        <v>1074</v>
      </c>
      <c r="D167" s="207" t="str">
        <f>'Header Info'!C167</f>
        <v>Cure Oven No. 187</v>
      </c>
      <c r="E167" s="207" t="s">
        <v>1076</v>
      </c>
    </row>
    <row r="168" spans="2:5" x14ac:dyDescent="0.2">
      <c r="B168" s="207" t="str">
        <f>'Header Info'!B168</f>
        <v>ELECTROMECH TECHNOLOGIES</v>
      </c>
      <c r="C168" s="207" t="s">
        <v>1074</v>
      </c>
      <c r="D168" s="207" t="str">
        <f>'Header Info'!C168</f>
        <v>Cure Oven No. 75143</v>
      </c>
      <c r="E168" s="207" t="s">
        <v>1654</v>
      </c>
    </row>
    <row r="169" spans="2:5" x14ac:dyDescent="0.2">
      <c r="B169" s="207" t="str">
        <f>'Header Info'!B169</f>
        <v>ELECTROMECH TECHNOLOGIES</v>
      </c>
      <c r="C169" s="207" t="s">
        <v>1074</v>
      </c>
      <c r="D169" s="207" t="str">
        <f>'Header Info'!C169</f>
        <v>Environmental Chamber 482</v>
      </c>
      <c r="E169" s="207" t="s">
        <v>3768</v>
      </c>
    </row>
    <row r="170" spans="2:5" x14ac:dyDescent="0.2">
      <c r="B170" s="207" t="str">
        <f>'Header Info'!B170</f>
        <v>ELECTROMECH TECHNOLOGIES</v>
      </c>
      <c r="C170" s="207" t="s">
        <v>1074</v>
      </c>
      <c r="D170" s="207" t="str">
        <f>'Header Info'!C170</f>
        <v>FT622</v>
      </c>
      <c r="E170" s="207" t="s">
        <v>1089</v>
      </c>
    </row>
    <row r="171" spans="2:5" x14ac:dyDescent="0.2">
      <c r="B171" s="207" t="str">
        <f>'Header Info'!B171</f>
        <v>ELECTROMECH TECHNOLOGIES</v>
      </c>
      <c r="C171" s="207" t="s">
        <v>1074</v>
      </c>
      <c r="D171" s="207" t="str">
        <f>'Header Info'!C171</f>
        <v>Oven No. 066</v>
      </c>
      <c r="E171" s="207" t="s">
        <v>1075</v>
      </c>
    </row>
    <row r="172" spans="2:5" x14ac:dyDescent="0.2">
      <c r="B172" s="207" t="str">
        <f>'Header Info'!B172</f>
        <v>ELECTROMECH TECHNOLOGIES</v>
      </c>
      <c r="C172" s="207" t="s">
        <v>1656</v>
      </c>
      <c r="D172" s="207" t="str">
        <f>'Header Info'!C172</f>
        <v>Oven No. 567</v>
      </c>
      <c r="E172" s="207" t="s">
        <v>1663</v>
      </c>
    </row>
    <row r="173" spans="2:5" x14ac:dyDescent="0.2">
      <c r="B173" s="207" t="str">
        <f>'Header Info'!B173</f>
        <v>ELECTROMECH TECHNOLOGIES</v>
      </c>
      <c r="C173" s="207" t="s">
        <v>1656</v>
      </c>
      <c r="D173" s="207" t="str">
        <f>'Header Info'!C173</f>
        <v>Oven No. 13271</v>
      </c>
      <c r="E173" s="207" t="s">
        <v>1665</v>
      </c>
    </row>
    <row r="174" spans="2:5" x14ac:dyDescent="0.2">
      <c r="B174" s="207" t="str">
        <f>'Header Info'!B174</f>
        <v>ELECTROMECH TECHNOLOGIES</v>
      </c>
      <c r="C174" s="207" t="s">
        <v>1656</v>
      </c>
      <c r="D174" s="207" t="str">
        <f>'Header Info'!C174</f>
        <v>Oven No. 14835</v>
      </c>
      <c r="E174" s="207" t="s">
        <v>1660</v>
      </c>
    </row>
    <row r="175" spans="2:5" x14ac:dyDescent="0.2">
      <c r="B175" s="207" t="str">
        <f>'Header Info'!B175</f>
        <v>ELECTROMECH TECHNOLOGIES</v>
      </c>
      <c r="C175" s="207" t="s">
        <v>1656</v>
      </c>
      <c r="D175" s="207" t="str">
        <f>'Header Info'!C175</f>
        <v>Oven No. 613853-231</v>
      </c>
      <c r="E175" s="207" t="s">
        <v>1662</v>
      </c>
    </row>
    <row r="176" spans="2:5" x14ac:dyDescent="0.2">
      <c r="B176" s="207" t="str">
        <f>'Header Info'!B176</f>
        <v>ELECTROMECH TECHNOLOGIES</v>
      </c>
      <c r="C176" s="207" t="s">
        <v>1656</v>
      </c>
      <c r="D176" s="207" t="str">
        <f>'Header Info'!C176</f>
        <v>Oven No. 851899</v>
      </c>
      <c r="E176" s="207" t="s">
        <v>1658</v>
      </c>
    </row>
    <row r="177" spans="2:5" x14ac:dyDescent="0.2">
      <c r="B177" s="207" t="str">
        <f>'Header Info'!B177</f>
        <v>ELECTROMECH TECHNOLOGIES</v>
      </c>
      <c r="C177" s="207" t="s">
        <v>1093</v>
      </c>
      <c r="D177" s="207" t="str">
        <f>'Header Info'!C177</f>
        <v>Thermal Shock Chamber</v>
      </c>
      <c r="E177" s="207" t="s">
        <v>1094</v>
      </c>
    </row>
    <row r="178" spans="2:5" x14ac:dyDescent="0.2">
      <c r="B178" s="207" t="str">
        <f>'Header Info'!B178</f>
        <v>EXACTA AEROSPACE, INC. SOUTH</v>
      </c>
      <c r="C178" s="207" t="s">
        <v>1096</v>
      </c>
      <c r="D178" s="207" t="str">
        <f>'Header Info'!C178</f>
        <v>Cure Oven</v>
      </c>
      <c r="E178" s="207" t="s">
        <v>1099</v>
      </c>
    </row>
    <row r="179" spans="2:5" x14ac:dyDescent="0.2">
      <c r="B179" s="207" t="str">
        <f>'Header Info'!B179</f>
        <v>EXACTA AEROSPACE, INC.</v>
      </c>
      <c r="C179" s="207" t="s">
        <v>1096</v>
      </c>
      <c r="D179" s="207" t="str">
        <f>'Header Info'!C179</f>
        <v>STRESS RELIEF OVEN</v>
      </c>
      <c r="E179" s="207" t="s">
        <v>1104</v>
      </c>
    </row>
    <row r="180" spans="2:5" x14ac:dyDescent="0.2">
      <c r="B180" s="207" t="str">
        <f>'Header Info'!B180</f>
        <v>FARRAR MANHATTAN DIV.</v>
      </c>
      <c r="C180" s="207" t="s">
        <v>1096</v>
      </c>
      <c r="D180" s="207" t="str">
        <f>'Header Info'!C180</f>
        <v>FURNACE NO. 1</v>
      </c>
      <c r="E180" s="207" t="s">
        <v>1105</v>
      </c>
    </row>
    <row r="181" spans="2:5" x14ac:dyDescent="0.2">
      <c r="B181" s="207" t="str">
        <f>'Header Info'!B181</f>
        <v>FARRAR MANHATTAN DIV.</v>
      </c>
      <c r="C181" s="207" t="s">
        <v>1096</v>
      </c>
      <c r="D181" s="207" t="str">
        <f>'Header Info'!C181</f>
        <v>FURNACE NO. 2</v>
      </c>
      <c r="E181" s="207" t="s">
        <v>1100</v>
      </c>
    </row>
    <row r="182" spans="2:5" x14ac:dyDescent="0.2">
      <c r="B182" s="207" t="str">
        <f>'Header Info'!B182</f>
        <v>FARRAR MANHATTAN DIV.</v>
      </c>
      <c r="C182" s="207" t="s">
        <v>1096</v>
      </c>
      <c r="D182" s="207" t="str">
        <f>'Header Info'!C182</f>
        <v>FURNACE NO. 3</v>
      </c>
      <c r="E182" s="207" t="s">
        <v>1102</v>
      </c>
    </row>
    <row r="183" spans="2:5" x14ac:dyDescent="0.2">
      <c r="B183" s="207" t="str">
        <f>'Header Info'!B183</f>
        <v>FIGEAC AERO</v>
      </c>
      <c r="C183" s="207" t="s">
        <v>1096</v>
      </c>
      <c r="D183" s="207" t="str">
        <f>'Header Info'!C183</f>
        <v>FW-801</v>
      </c>
      <c r="E183" s="207" t="s">
        <v>1098</v>
      </c>
    </row>
    <row r="184" spans="2:5" x14ac:dyDescent="0.2">
      <c r="B184" s="207" t="str">
        <f>'Header Info'!B184</f>
        <v>FIGEAC AERO</v>
      </c>
      <c r="C184" s="207" t="s">
        <v>1107</v>
      </c>
      <c r="D184" s="207" t="str">
        <f>'Header Info'!C184</f>
        <v>FW-802</v>
      </c>
      <c r="E184" s="207" t="s">
        <v>1110</v>
      </c>
    </row>
    <row r="185" spans="2:5" x14ac:dyDescent="0.2">
      <c r="B185" s="207" t="str">
        <f>'Header Info'!B185</f>
        <v>FIGEAC AERO</v>
      </c>
      <c r="C185" s="207" t="s">
        <v>1107</v>
      </c>
      <c r="D185" s="207" t="str">
        <f>'Header Info'!C185</f>
        <v>FW-803</v>
      </c>
      <c r="E185" s="207" t="s">
        <v>1114</v>
      </c>
    </row>
    <row r="186" spans="2:5" x14ac:dyDescent="0.2">
      <c r="B186" s="207" t="str">
        <f>'Header Info'!B186</f>
        <v>FIGEAC AERO</v>
      </c>
      <c r="C186" s="207" t="s">
        <v>1107</v>
      </c>
      <c r="D186" s="207" t="str">
        <f>'Header Info'!C186</f>
        <v>FW-804</v>
      </c>
      <c r="E186" s="207" t="s">
        <v>1113</v>
      </c>
    </row>
    <row r="187" spans="2:5" x14ac:dyDescent="0.2">
      <c r="B187" s="207" t="str">
        <f>'Header Info'!B187</f>
        <v>FIGEAC AERO</v>
      </c>
      <c r="C187" s="207" t="s">
        <v>1107</v>
      </c>
      <c r="D187" s="207" t="str">
        <f>'Header Info'!C187</f>
        <v>FW-805</v>
      </c>
      <c r="E187" s="207" t="s">
        <v>1111</v>
      </c>
    </row>
    <row r="188" spans="2:5" x14ac:dyDescent="0.2">
      <c r="B188" s="207" t="str">
        <f>'Header Info'!B188</f>
        <v>FIGEAC AERO</v>
      </c>
      <c r="C188" s="207" t="s">
        <v>1107</v>
      </c>
      <c r="D188" s="207" t="str">
        <f>'Header Info'!C188</f>
        <v>FW-806</v>
      </c>
      <c r="E188" s="207" t="s">
        <v>1108</v>
      </c>
    </row>
    <row r="189" spans="2:5" x14ac:dyDescent="0.2">
      <c r="B189" s="207" t="str">
        <f>'Header Info'!B189</f>
        <v>FIGEAC AERO</v>
      </c>
      <c r="C189" s="207" t="s">
        <v>1107</v>
      </c>
      <c r="D189" s="207" t="str">
        <f>'Header Info'!C189</f>
        <v>FW-808</v>
      </c>
      <c r="E189" s="207" t="s">
        <v>1109</v>
      </c>
    </row>
    <row r="190" spans="2:5" x14ac:dyDescent="0.2">
      <c r="B190" s="207" t="str">
        <f>'Header Info'!B190</f>
        <v>FIGEAC AERO</v>
      </c>
      <c r="C190" s="207" t="s">
        <v>1116</v>
      </c>
      <c r="D190" s="207" t="str">
        <f>'Header Info'!C190</f>
        <v>FW-809</v>
      </c>
      <c r="E190" s="207" t="s">
        <v>1121</v>
      </c>
    </row>
    <row r="191" spans="2:5" x14ac:dyDescent="0.2">
      <c r="B191" s="207" t="str">
        <f>'Header Info'!B191</f>
        <v>FIGEAC AERO</v>
      </c>
      <c r="C191" s="207" t="s">
        <v>1116</v>
      </c>
      <c r="D191" s="207" t="str">
        <f>'Header Info'!C191</f>
        <v>FW-810</v>
      </c>
      <c r="E191" s="207" t="s">
        <v>1956</v>
      </c>
    </row>
    <row r="192" spans="2:5" x14ac:dyDescent="0.2">
      <c r="B192" s="207" t="str">
        <f>'Header Info'!B192</f>
        <v>FIGEAC AERO</v>
      </c>
      <c r="C192" s="207" t="s">
        <v>1116</v>
      </c>
      <c r="D192" s="207" t="str">
        <f>'Header Info'!C192</f>
        <v>FW-NDT-013</v>
      </c>
      <c r="E192" s="207" t="s">
        <v>1118</v>
      </c>
    </row>
    <row r="193" spans="2:5" x14ac:dyDescent="0.2">
      <c r="B193" s="207" t="str">
        <f>'Header Info'!B193</f>
        <v>FIGEAC AERO</v>
      </c>
      <c r="C193" s="207" t="s">
        <v>1116</v>
      </c>
      <c r="D193" s="207" t="str">
        <f>'Header Info'!C193</f>
        <v>LAB OVEN FW-LAB-003</v>
      </c>
      <c r="E193" s="207" t="s">
        <v>1119</v>
      </c>
    </row>
    <row r="194" spans="2:5" x14ac:dyDescent="0.2">
      <c r="B194" s="207" t="str">
        <f>'Header Info'!B194</f>
        <v>FIGEAC AERO</v>
      </c>
      <c r="C194" s="207" t="s">
        <v>1123</v>
      </c>
      <c r="D194" s="207" t="str">
        <f>'Header Info'!C194</f>
        <v>SW-032</v>
      </c>
      <c r="E194" s="207" t="s">
        <v>1807</v>
      </c>
    </row>
    <row r="195" spans="2:5" x14ac:dyDescent="0.2">
      <c r="B195" s="207" t="str">
        <f>'Header Info'!B195</f>
        <v>FMI, INC.</v>
      </c>
      <c r="C195" s="207" t="s">
        <v>1123</v>
      </c>
      <c r="D195" s="207" t="str">
        <f>'Header Info'!C195</f>
        <v>OVEN NO. 2</v>
      </c>
      <c r="E195" s="207" t="s">
        <v>1809</v>
      </c>
    </row>
    <row r="196" spans="2:5" x14ac:dyDescent="0.2">
      <c r="B196" s="207" t="str">
        <f>'Header Info'!B196</f>
        <v>FMI, INC.</v>
      </c>
      <c r="C196" s="207" t="s">
        <v>1123</v>
      </c>
      <c r="D196" s="207" t="str">
        <f>'Header Info'!C196</f>
        <v>Freezer No. 19</v>
      </c>
      <c r="E196" s="207" t="s">
        <v>1902</v>
      </c>
    </row>
    <row r="197" spans="2:5" x14ac:dyDescent="0.2">
      <c r="B197" s="207" t="str">
        <f>'Header Info'!B197</f>
        <v>FTW COATINGS</v>
      </c>
      <c r="C197" s="207" t="s">
        <v>1123</v>
      </c>
      <c r="D197" s="207" t="str">
        <f>'Header Info'!C197</f>
        <v>JPW Oven</v>
      </c>
      <c r="E197" s="207" t="s">
        <v>1805</v>
      </c>
    </row>
    <row r="198" spans="2:5" x14ac:dyDescent="0.2">
      <c r="B198" s="207" t="str">
        <f>'Header Info'!B198</f>
        <v>GLOBAL ENGINEERING TECHNOLOGY</v>
      </c>
      <c r="C198" s="207" t="s">
        <v>1123</v>
      </c>
      <c r="D198" s="207" t="str">
        <f>'Header Info'!C198</f>
        <v>POWDER COAT OVEN</v>
      </c>
      <c r="E198" s="207" t="s">
        <v>1958</v>
      </c>
    </row>
    <row r="199" spans="2:5" x14ac:dyDescent="0.2">
      <c r="B199" s="207" t="str">
        <f>'Header Info'!B199</f>
        <v>GLOBAL PARTS AERO SERVICES, INC.</v>
      </c>
      <c r="C199" s="207" t="s">
        <v>1123</v>
      </c>
      <c r="D199" s="207" t="str">
        <f>'Header Info'!C199</f>
        <v>Knoxville Bake Oven</v>
      </c>
      <c r="E199" s="207" t="s">
        <v>1772</v>
      </c>
    </row>
    <row r="200" spans="2:5" x14ac:dyDescent="0.2">
      <c r="B200" s="207" t="str">
        <f>'Header Info'!B200</f>
        <v>GLOBAL PARTS AERO SERVICES, INC.</v>
      </c>
      <c r="C200" s="207" t="s">
        <v>1123</v>
      </c>
      <c r="D200" s="207" t="str">
        <f>'Header Info'!C200</f>
        <v>Steelman Bake Oven</v>
      </c>
      <c r="E200" s="207" t="s">
        <v>1803</v>
      </c>
    </row>
    <row r="201" spans="2:5" x14ac:dyDescent="0.2">
      <c r="B201" s="207" t="str">
        <f>'Header Info'!B201</f>
        <v>GLOBE ENGINEERING CO.</v>
      </c>
      <c r="C201" s="207" t="s">
        <v>1123</v>
      </c>
      <c r="D201" s="207" t="str">
        <f>'Header Info'!C201</f>
        <v>GEC AO1</v>
      </c>
      <c r="E201" s="207" t="s">
        <v>1132</v>
      </c>
    </row>
    <row r="202" spans="2:5" x14ac:dyDescent="0.2">
      <c r="B202" s="207" t="str">
        <f>'Header Info'!B202</f>
        <v>GLOBE ENGINEERING CO.</v>
      </c>
      <c r="C202" s="207" t="s">
        <v>1123</v>
      </c>
      <c r="D202" s="207" t="str">
        <f>'Header Info'!C202</f>
        <v>GEC AO2A</v>
      </c>
      <c r="E202" s="207" t="s">
        <v>1133</v>
      </c>
    </row>
    <row r="203" spans="2:5" x14ac:dyDescent="0.2">
      <c r="B203" s="207" t="str">
        <f>'Header Info'!B203</f>
        <v>GLOBE ENGINEERING CO.</v>
      </c>
      <c r="C203" s="207" t="s">
        <v>1123</v>
      </c>
      <c r="D203" s="207" t="str">
        <f>'Header Info'!C203</f>
        <v>DROP BOTTOM FURNACE NO. 1</v>
      </c>
      <c r="E203" s="207" t="s">
        <v>1135</v>
      </c>
    </row>
    <row r="204" spans="2:5" x14ac:dyDescent="0.2">
      <c r="B204" s="207" t="str">
        <f>'Header Info'!B204</f>
        <v>GLOBE ENGINEERING CO.</v>
      </c>
      <c r="C204" s="207" t="s">
        <v>1123</v>
      </c>
      <c r="D204" s="207" t="str">
        <f>'Header Info'!C204</f>
        <v>DROP BOTTOM NO. 2A</v>
      </c>
      <c r="E204" s="207" t="s">
        <v>1137</v>
      </c>
    </row>
    <row r="205" spans="2:5" x14ac:dyDescent="0.2">
      <c r="B205" s="207" t="str">
        <f>'Header Info'!B205</f>
        <v>GLOBE ENGINEERING CO.</v>
      </c>
      <c r="C205" s="207" t="s">
        <v>1123</v>
      </c>
      <c r="D205" s="207" t="str">
        <f>'Header Info'!C205</f>
        <v>GEC AO3A</v>
      </c>
      <c r="E205" s="207" t="s">
        <v>1141</v>
      </c>
    </row>
    <row r="206" spans="2:5" x14ac:dyDescent="0.2">
      <c r="B206" s="207" t="str">
        <f>'Header Info'!B206</f>
        <v>GLOBE ENGINEERING CO.</v>
      </c>
      <c r="C206" s="207" t="s">
        <v>1123</v>
      </c>
      <c r="D206" s="207" t="str">
        <f>'Header Info'!C206</f>
        <v>GEC AO4A</v>
      </c>
      <c r="E206" s="207" t="s">
        <v>1143</v>
      </c>
    </row>
    <row r="207" spans="2:5" x14ac:dyDescent="0.2">
      <c r="B207" s="207" t="str">
        <f>'Header Info'!B207</f>
        <v>GLOBE ENGINEERING CO.</v>
      </c>
      <c r="C207" s="207" t="s">
        <v>1123</v>
      </c>
      <c r="D207" s="207" t="str">
        <f>'Header Info'!C207</f>
        <v>GEC AO5</v>
      </c>
      <c r="E207" s="207" t="s">
        <v>1145</v>
      </c>
    </row>
    <row r="208" spans="2:5" x14ac:dyDescent="0.2">
      <c r="B208" s="207" t="str">
        <f>'Header Info'!B208</f>
        <v>GLOBE ENGINEERING CO.</v>
      </c>
      <c r="C208" s="207" t="s">
        <v>1123</v>
      </c>
      <c r="D208" s="207" t="str">
        <f>'Header Info'!C208</f>
        <v>GEC AO6</v>
      </c>
      <c r="E208" s="207" t="s">
        <v>1139</v>
      </c>
    </row>
    <row r="209" spans="2:5" x14ac:dyDescent="0.2">
      <c r="B209" s="207" t="str">
        <f>'Header Info'!B209</f>
        <v>GLOBE ENGINEERING CO.</v>
      </c>
      <c r="C209" s="207" t="s">
        <v>1123</v>
      </c>
      <c r="D209" s="207" t="str">
        <f>'Header Info'!C209</f>
        <v>GEC-AO7</v>
      </c>
      <c r="E209" s="207" t="s">
        <v>1125</v>
      </c>
    </row>
    <row r="210" spans="2:5" x14ac:dyDescent="0.2">
      <c r="B210" s="207" t="str">
        <f>'Header Info'!B210</f>
        <v>GLOBE ENGINEERING CO.</v>
      </c>
      <c r="C210" s="207" t="s">
        <v>1123</v>
      </c>
      <c r="D210" s="207" t="str">
        <f>'Header Info'!C210</f>
        <v>PENETRANT OVEN</v>
      </c>
      <c r="E210" s="207" t="s">
        <v>1127</v>
      </c>
    </row>
    <row r="211" spans="2:5" x14ac:dyDescent="0.2">
      <c r="B211" s="207" t="str">
        <f>'Header Info'!B211</f>
        <v>GLOBE ENGINEERING CO.</v>
      </c>
      <c r="C211" s="207" t="s">
        <v>1123</v>
      </c>
      <c r="D211" s="207" t="str">
        <f>'Header Info'!C211</f>
        <v>VACUUM FURNACE NO. 1 low range</v>
      </c>
      <c r="E211" s="207" t="s">
        <v>1811</v>
      </c>
    </row>
    <row r="212" spans="2:5" x14ac:dyDescent="0.2">
      <c r="B212" s="207" t="str">
        <f>'Header Info'!B212</f>
        <v>GLOBE ENGINEERING CO.</v>
      </c>
      <c r="C212" s="207" t="s">
        <v>1123</v>
      </c>
      <c r="D212" s="207" t="str">
        <f>'Header Info'!C212</f>
        <v>VACUUM FURNACE NO. 1 high range</v>
      </c>
      <c r="E212" s="207" t="s">
        <v>1131</v>
      </c>
    </row>
    <row r="213" spans="2:5" x14ac:dyDescent="0.2">
      <c r="B213" s="207" t="str">
        <f>'Header Info'!B213</f>
        <v>GLOBE ENGINEERING CO.</v>
      </c>
      <c r="C213" s="207" t="s">
        <v>1123</v>
      </c>
      <c r="D213" s="207" t="str">
        <f>'Header Info'!C213</f>
        <v>VACUUM NO. 2</v>
      </c>
      <c r="E213" s="207" t="s">
        <v>1129</v>
      </c>
    </row>
    <row r="214" spans="2:5" x14ac:dyDescent="0.2">
      <c r="B214" s="207" t="str">
        <f>'Header Info'!B214</f>
        <v>GOODRICH - FINANCIAL SHARED SRVCS</v>
      </c>
      <c r="C214" s="207" t="s">
        <v>1147</v>
      </c>
      <c r="D214" s="207" t="str">
        <f>'Header Info'!C214</f>
        <v>GR-34</v>
      </c>
      <c r="E214" s="207" t="s">
        <v>1148</v>
      </c>
    </row>
    <row r="215" spans="2:5" x14ac:dyDescent="0.2">
      <c r="B215" s="207" t="str">
        <f>'Header Info'!B215</f>
        <v>GOODRICH - FINANCIAL SHARED SRVCS</v>
      </c>
      <c r="C215" s="207" t="s">
        <v>1147</v>
      </c>
      <c r="D215" s="207" t="str">
        <f>'Header Info'!C215</f>
        <v>GR-186</v>
      </c>
      <c r="E215" s="207" t="s">
        <v>1856</v>
      </c>
    </row>
    <row r="216" spans="2:5" x14ac:dyDescent="0.2">
      <c r="B216" s="207" t="str">
        <f>'Header Info'!B216</f>
        <v>GOODRICH - FINANCIAL SHARED SRVCS</v>
      </c>
      <c r="C216" s="207" t="s">
        <v>1147</v>
      </c>
      <c r="D216" s="207" t="str">
        <f>'Header Info'!C216</f>
        <v>GR-223</v>
      </c>
      <c r="E216" s="207" t="s">
        <v>1151</v>
      </c>
    </row>
    <row r="217" spans="2:5" x14ac:dyDescent="0.2">
      <c r="B217" s="207" t="str">
        <f>'Header Info'!B217</f>
        <v>Great Plains Industries</v>
      </c>
      <c r="C217" s="207" t="s">
        <v>1147</v>
      </c>
      <c r="D217" s="207" t="str">
        <f>'Header Info'!C217</f>
        <v>Environmental Chamber III</v>
      </c>
      <c r="E217" s="207" t="s">
        <v>1152</v>
      </c>
    </row>
    <row r="218" spans="2:5" x14ac:dyDescent="0.2">
      <c r="B218" s="207" t="str">
        <f>'Header Info'!B218</f>
        <v>H.M. DUNN AEROSYSTEMS</v>
      </c>
      <c r="C218" s="207" t="s">
        <v>1147</v>
      </c>
      <c r="D218" s="207" t="str">
        <f>'Header Info'!C218</f>
        <v>Oven No. 46</v>
      </c>
      <c r="E218" s="207" t="s">
        <v>1153</v>
      </c>
    </row>
    <row r="219" spans="2:5" x14ac:dyDescent="0.2">
      <c r="B219" s="207" t="str">
        <f>'Header Info'!B219</f>
        <v>HARLOW AEROSTRUCTURES LLC</v>
      </c>
      <c r="C219" s="207" t="s">
        <v>1147</v>
      </c>
      <c r="D219" s="207" t="str">
        <f>'Header Info'!C219</f>
        <v>ASSEMBLY OVEN</v>
      </c>
      <c r="E219" s="207" t="s">
        <v>1154</v>
      </c>
    </row>
    <row r="220" spans="2:5" x14ac:dyDescent="0.2">
      <c r="B220" s="207" t="str">
        <f>'Header Info'!B220</f>
        <v>HARLOW AEROSTRUCTURES LLC</v>
      </c>
      <c r="C220" s="207" t="s">
        <v>1147</v>
      </c>
      <c r="D220" s="207" t="str">
        <f>'Header Info'!C220</f>
        <v>ASSEMBLY FREEZER</v>
      </c>
      <c r="E220" s="207" t="s">
        <v>1155</v>
      </c>
    </row>
    <row r="221" spans="2:5" x14ac:dyDescent="0.2">
      <c r="B221" s="207" t="str">
        <f>'Header Info'!B221</f>
        <v>HARLOW AEROSTRUCTURES LLC</v>
      </c>
      <c r="C221" s="207" t="s">
        <v>1147</v>
      </c>
      <c r="D221" s="207" t="str">
        <f>'Header Info'!C221</f>
        <v>PA-1000</v>
      </c>
      <c r="E221" s="207" t="s">
        <v>1156</v>
      </c>
    </row>
    <row r="222" spans="2:5" x14ac:dyDescent="0.2">
      <c r="B222" s="207" t="str">
        <f>'Header Info'!B222</f>
        <v>HARLOW AEROSTRUCTURES LLC</v>
      </c>
      <c r="C222" s="207" t="s">
        <v>1147</v>
      </c>
      <c r="D222" s="207" t="str">
        <f>'Header Info'!C222</f>
        <v>PENETRANT DRYING OVEN</v>
      </c>
      <c r="E222" s="207" t="s">
        <v>1157</v>
      </c>
    </row>
    <row r="223" spans="2:5" x14ac:dyDescent="0.2">
      <c r="B223" s="207" t="str">
        <f>'Header Info'!B223</f>
        <v>HEARTLAND PRECISION FASTENERS INC.</v>
      </c>
      <c r="C223" s="207" t="s">
        <v>1147</v>
      </c>
      <c r="D223" s="207" t="str">
        <f>'Header Info'!C223</f>
        <v>VACUUM NO. 1</v>
      </c>
      <c r="E223" s="207" t="s">
        <v>1158</v>
      </c>
    </row>
    <row r="224" spans="2:5" x14ac:dyDescent="0.2">
      <c r="B224" s="207" t="str">
        <f>'Header Info'!B224</f>
        <v>HI-TECH METAL FINISHING</v>
      </c>
      <c r="C224" s="207" t="s">
        <v>1147</v>
      </c>
      <c r="D224" s="207" t="str">
        <f>'Header Info'!C224</f>
        <v>OVEN NO. 1</v>
      </c>
      <c r="E224" s="207" t="s">
        <v>1159</v>
      </c>
    </row>
    <row r="225" spans="2:5" x14ac:dyDescent="0.2">
      <c r="B225" s="207" t="str">
        <f>'Header Info'!B225</f>
        <v>JOHNSON GAGE &amp; INSPECTION, INC.</v>
      </c>
      <c r="C225" s="207" t="s">
        <v>1147</v>
      </c>
      <c r="D225" s="207" t="str">
        <f>'Header Info'!C225</f>
        <v>ENV01</v>
      </c>
      <c r="E225" s="207" t="s">
        <v>1161</v>
      </c>
    </row>
    <row r="226" spans="2:5" x14ac:dyDescent="0.2">
      <c r="B226" s="207" t="str">
        <f>'Header Info'!B226</f>
        <v>KAMAN COMPOSITES - WICHITA, INC.</v>
      </c>
      <c r="C226" s="207" t="s">
        <v>1147</v>
      </c>
      <c r="D226" s="207" t="str">
        <f>'Header Info'!C226</f>
        <v>Ney Furnace</v>
      </c>
      <c r="E226" s="207" t="s">
        <v>1163</v>
      </c>
    </row>
    <row r="227" spans="2:5" x14ac:dyDescent="0.2">
      <c r="B227" s="207" t="str">
        <f>'Header Info'!B227</f>
        <v>LEADING TECHNOLOGY COMPOSITES</v>
      </c>
      <c r="C227" s="207" t="s">
        <v>1147</v>
      </c>
      <c r="D227" s="207">
        <f>'Header Info'!C227</f>
        <v>1209</v>
      </c>
      <c r="E227" s="207" t="s">
        <v>1164</v>
      </c>
    </row>
    <row r="228" spans="2:5" x14ac:dyDescent="0.2">
      <c r="B228" s="207" t="str">
        <f>'Header Info'!B228</f>
        <v>LEADING TECHNOLOGY COMPOSITES</v>
      </c>
      <c r="C228" s="207" t="s">
        <v>1147</v>
      </c>
      <c r="D228" s="207" t="str">
        <f>'Header Info'!C228</f>
        <v>AEROSPACE PART CURE OVEN NO. 2</v>
      </c>
      <c r="E228" s="207" t="s">
        <v>1150</v>
      </c>
    </row>
    <row r="229" spans="2:5" x14ac:dyDescent="0.2">
      <c r="B229" s="207" t="str">
        <f>'Header Info'!B229</f>
        <v>LEADING TECHNOLOGY COMPOSITES</v>
      </c>
      <c r="C229" s="207" t="s">
        <v>1147</v>
      </c>
      <c r="D229" s="207" t="str">
        <f>'Header Info'!C229</f>
        <v>AUTOCLAVE NO. 1</v>
      </c>
      <c r="E229" s="207" t="s">
        <v>1149</v>
      </c>
    </row>
    <row r="230" spans="2:5" x14ac:dyDescent="0.2">
      <c r="B230" s="207" t="str">
        <f>'Header Info'!B230</f>
        <v>LEADING TECHNOLOGY COMPOSITES</v>
      </c>
      <c r="C230" s="207" t="s">
        <v>1147</v>
      </c>
      <c r="D230" s="207" t="str">
        <f>'Header Info'!C230</f>
        <v>AUTOCLAVE NO. 2 (LTC# 1374)</v>
      </c>
      <c r="E230" s="207" t="s">
        <v>1960</v>
      </c>
    </row>
    <row r="231" spans="2:5" x14ac:dyDescent="0.2">
      <c r="B231" s="207" t="str">
        <f>'Header Info'!B231</f>
        <v>LEADING TECHNOLOGY COMPOSITES</v>
      </c>
      <c r="C231" s="207" t="s">
        <v>1166</v>
      </c>
      <c r="D231" s="207" t="str">
        <f>'Header Info'!C231</f>
        <v>AUTOCLAVE NO. 3 (LTC#1387-0)</v>
      </c>
      <c r="E231" s="207" t="s">
        <v>1169</v>
      </c>
    </row>
    <row r="232" spans="2:5" x14ac:dyDescent="0.2">
      <c r="B232" s="207" t="str">
        <f>'Header Info'!B232</f>
        <v>LEADING TECHNOLOGY COMPOSITES</v>
      </c>
      <c r="C232" s="207" t="s">
        <v>1166</v>
      </c>
      <c r="D232" s="207" t="str">
        <f>'Header Info'!C232</f>
        <v>AUTOCLAVE NO. 4 LTC# 1380</v>
      </c>
      <c r="E232" s="207" t="s">
        <v>1167</v>
      </c>
    </row>
    <row r="233" spans="2:5" x14ac:dyDescent="0.2">
      <c r="B233" s="207" t="str">
        <f>'Header Info'!B233</f>
        <v>LEADING TECHNOLOGY COMPOSITES</v>
      </c>
      <c r="C233" s="207" t="s">
        <v>1842</v>
      </c>
      <c r="D233" s="207" t="str">
        <f>'Header Info'!C233</f>
        <v>AUTOCLAVE NO. 5 LTC# 1259</v>
      </c>
      <c r="E233" s="207" t="s">
        <v>1844</v>
      </c>
    </row>
    <row r="234" spans="2:5" x14ac:dyDescent="0.2">
      <c r="B234" s="207" t="str">
        <f>'Header Info'!B234</f>
        <v>LEADING TECHNOLOGY COMPOSITES</v>
      </c>
      <c r="C234" s="207" t="s">
        <v>1171</v>
      </c>
      <c r="D234" s="207" t="str">
        <f>'Header Info'!C234</f>
        <v>LTC NO. 1519</v>
      </c>
      <c r="E234" s="207" t="s">
        <v>1173</v>
      </c>
    </row>
    <row r="235" spans="2:5" x14ac:dyDescent="0.2">
      <c r="B235" s="207" t="str">
        <f>'Header Info'!B235</f>
        <v>LEADING TECHNOLOGY COMPOSITES</v>
      </c>
      <c r="C235" s="207" t="s">
        <v>1171</v>
      </c>
      <c r="D235" s="207" t="str">
        <f>'Header Info'!C235</f>
        <v>LTC NO. 1520</v>
      </c>
      <c r="E235" s="207" t="s">
        <v>1175</v>
      </c>
    </row>
    <row r="236" spans="2:5" x14ac:dyDescent="0.2">
      <c r="B236" s="207" t="str">
        <f>'Header Info'!B236</f>
        <v>LEADING TECHNOLOGY COMPOSITES</v>
      </c>
      <c r="C236" s="207" t="s">
        <v>1171</v>
      </c>
      <c r="D236" s="207" t="str">
        <f>'Header Info'!C236</f>
        <v>PAINT OVEN NO. 2</v>
      </c>
      <c r="E236" s="207" t="s">
        <v>1177</v>
      </c>
    </row>
    <row r="237" spans="2:5" x14ac:dyDescent="0.2">
      <c r="B237" s="207" t="str">
        <f>'Header Info'!B237</f>
        <v>LEADING TECHNOLOGY COMPOSITES</v>
      </c>
      <c r="C237" s="207" t="s">
        <v>1171</v>
      </c>
      <c r="D237" s="207" t="str">
        <f>'Header Info'!C237</f>
        <v>Oven No. 12</v>
      </c>
      <c r="E237" s="207" t="s">
        <v>1179</v>
      </c>
    </row>
    <row r="238" spans="2:5" x14ac:dyDescent="0.2">
      <c r="B238" s="207" t="str">
        <f>'Header Info'!B238</f>
        <v>LEADING TECHNOLOGY COMPOSITES</v>
      </c>
      <c r="C238" s="207" t="s">
        <v>1171</v>
      </c>
      <c r="D238" s="207" t="str">
        <f>'Header Info'!C238</f>
        <v>OVEN NO. 1414</v>
      </c>
      <c r="E238" s="207" t="s">
        <v>1181</v>
      </c>
    </row>
    <row r="239" spans="2:5" x14ac:dyDescent="0.2">
      <c r="B239" s="207" t="str">
        <f>'Header Info'!B239</f>
        <v>LEADING TECHNOLOGY COMPOSITES</v>
      </c>
      <c r="C239" s="207" t="s">
        <v>1171</v>
      </c>
      <c r="D239" s="207" t="str">
        <f>'Header Info'!C239</f>
        <v>Part Cure Oven No. 1, LTC2015</v>
      </c>
      <c r="E239" s="207" t="s">
        <v>1183</v>
      </c>
    </row>
    <row r="240" spans="2:5" x14ac:dyDescent="0.2">
      <c r="B240" s="207" t="str">
        <f>'Header Info'!B240</f>
        <v>LEADING TECHNOLOGY COMPOSITES</v>
      </c>
      <c r="C240" s="207" t="s">
        <v>1171</v>
      </c>
      <c r="D240" s="207" t="str">
        <f>'Header Info'!C240</f>
        <v>Freezer No. 1</v>
      </c>
      <c r="E240" s="207" t="s">
        <v>1184</v>
      </c>
    </row>
    <row r="241" spans="2:5" x14ac:dyDescent="0.2">
      <c r="B241" s="207" t="str">
        <f>'Header Info'!B241</f>
        <v>LEADING TECHNOLOGY COMPOSITES</v>
      </c>
      <c r="C241" s="207" t="s">
        <v>1171</v>
      </c>
      <c r="D241" s="207" t="str">
        <f>'Header Info'!C241</f>
        <v>Freezer No. 2</v>
      </c>
      <c r="E241" s="207" t="s">
        <v>1186</v>
      </c>
    </row>
    <row r="242" spans="2:5" x14ac:dyDescent="0.2">
      <c r="B242" s="207" t="str">
        <f>'Header Info'!B242</f>
        <v>LEADING TECHNOLOGY COMPOSITES</v>
      </c>
      <c r="C242" s="207" t="s">
        <v>1188</v>
      </c>
      <c r="D242" s="207" t="str">
        <f>'Header Info'!C242</f>
        <v>Freezer No. 3</v>
      </c>
      <c r="E242" s="207" t="s">
        <v>1189</v>
      </c>
    </row>
    <row r="243" spans="2:5" x14ac:dyDescent="0.2">
      <c r="B243" s="207" t="str">
        <f>'Header Info'!B243</f>
        <v>LEE AEROSPACE, INC.</v>
      </c>
      <c r="C243" s="207" t="s">
        <v>1188</v>
      </c>
      <c r="D243" s="207" t="str">
        <f>'Header Info'!C243</f>
        <v>PLATEN PRESS ASSET 001451</v>
      </c>
      <c r="E243" s="207" t="s">
        <v>1190</v>
      </c>
    </row>
    <row r="244" spans="2:5" x14ac:dyDescent="0.2">
      <c r="B244" s="207" t="str">
        <f>'Header Info'!B244</f>
        <v>LMI AEROSPACE ESTHNER</v>
      </c>
      <c r="C244" s="207" t="s">
        <v>1188</v>
      </c>
      <c r="D244" s="207" t="str">
        <f>'Header Info'!C244</f>
        <v>Cure Oven</v>
      </c>
      <c r="E244" s="207" t="s">
        <v>1790</v>
      </c>
    </row>
    <row r="245" spans="2:5" x14ac:dyDescent="0.2">
      <c r="B245" s="207" t="str">
        <f>'Header Info'!B245</f>
        <v>LMI AEROSPACE ESTHNER</v>
      </c>
      <c r="C245" s="207" t="s">
        <v>1192</v>
      </c>
      <c r="D245" s="207" t="str">
        <f>'Header Info'!C245</f>
        <v>S-6886</v>
      </c>
      <c r="E245" s="207" t="s">
        <v>1193</v>
      </c>
    </row>
    <row r="246" spans="2:5" x14ac:dyDescent="0.2">
      <c r="B246" s="207" t="str">
        <f>'Header Info'!B246</f>
        <v>LMI AEROSPACE FREDONIA</v>
      </c>
      <c r="C246" s="207" t="s">
        <v>1192</v>
      </c>
      <c r="D246" s="207" t="str">
        <f>'Header Info'!C246</f>
        <v>Cure Oven 17091325</v>
      </c>
      <c r="E246" s="207" t="s">
        <v>1194</v>
      </c>
    </row>
    <row r="247" spans="2:5" x14ac:dyDescent="0.2">
      <c r="B247" s="207" t="str">
        <f>'Header Info'!B247</f>
        <v>LMI COTTONWOOD FALLS</v>
      </c>
      <c r="C247" s="207" t="s">
        <v>1196</v>
      </c>
      <c r="D247" s="207" t="str">
        <f>'Header Info'!C247</f>
        <v>PAINT BAKE 1</v>
      </c>
      <c r="E247" s="207" t="s">
        <v>1198</v>
      </c>
    </row>
    <row r="248" spans="2:5" x14ac:dyDescent="0.2">
      <c r="B248" s="207" t="str">
        <f>'Header Info'!B248</f>
        <v>LMI FINISHING INC</v>
      </c>
      <c r="C248" s="207" t="s">
        <v>1200</v>
      </c>
      <c r="D248" s="207" t="str">
        <f>'Header Info'!C248</f>
        <v>BAY 3 PAINT OVEN 284A</v>
      </c>
      <c r="E248" s="207" t="s">
        <v>1201</v>
      </c>
    </row>
    <row r="249" spans="2:5" x14ac:dyDescent="0.2">
      <c r="B249" s="207" t="str">
        <f>'Header Info'!B249</f>
        <v>LMI FINISHING INC</v>
      </c>
      <c r="C249" s="207" t="s">
        <v>1962</v>
      </c>
      <c r="D249" s="207" t="str">
        <f>'Header Info'!C249</f>
        <v>Cure Oven 3</v>
      </c>
      <c r="E249" s="207" t="s">
        <v>1966</v>
      </c>
    </row>
    <row r="250" spans="2:5" x14ac:dyDescent="0.2">
      <c r="B250" s="207" t="str">
        <f>'Header Info'!B250</f>
        <v>LMI FINISHING INC</v>
      </c>
      <c r="C250" s="207" t="s">
        <v>1962</v>
      </c>
      <c r="D250" s="207" t="str">
        <f>'Header Info'!C250</f>
        <v>Flash Oven 3 (#805)</v>
      </c>
      <c r="E250" s="207" t="s">
        <v>1964</v>
      </c>
    </row>
    <row r="251" spans="2:5" x14ac:dyDescent="0.2">
      <c r="B251" s="207" t="str">
        <f>'Header Info'!B251</f>
        <v>LMI FINISHING INC</v>
      </c>
      <c r="C251" s="207" t="s">
        <v>1203</v>
      </c>
      <c r="D251" s="207" t="str">
        <f>'Header Info'!C251</f>
        <v>MASK OVEN NO. 54</v>
      </c>
      <c r="E251" s="207" t="s">
        <v>1209</v>
      </c>
    </row>
    <row r="252" spans="2:5" x14ac:dyDescent="0.2">
      <c r="B252" s="207" t="str">
        <f>'Header Info'!B252</f>
        <v>LMI FINISHING INC</v>
      </c>
      <c r="C252" s="207" t="s">
        <v>1203</v>
      </c>
      <c r="D252" s="207" t="str">
        <f>'Header Info'!C252</f>
        <v>OVEN NO. 260</v>
      </c>
      <c r="E252" s="207" t="s">
        <v>1207</v>
      </c>
    </row>
    <row r="253" spans="2:5" x14ac:dyDescent="0.2">
      <c r="B253" s="207" t="str">
        <f>'Header Info'!B253</f>
        <v>LMI FINISHING INC</v>
      </c>
      <c r="C253" s="207" t="s">
        <v>1203</v>
      </c>
      <c r="D253" s="207" t="str">
        <f>'Header Info'!C253</f>
        <v>PAINT BAKE NO. 98</v>
      </c>
      <c r="E253" s="207" t="s">
        <v>1210</v>
      </c>
    </row>
    <row r="254" spans="2:5" x14ac:dyDescent="0.2">
      <c r="B254" s="207" t="str">
        <f>'Header Info'!B254</f>
        <v>LMI FINISHING INC</v>
      </c>
      <c r="C254" s="207" t="s">
        <v>1203</v>
      </c>
      <c r="D254" s="207" t="str">
        <f>'Header Info'!C254</f>
        <v>PAINT OVEN 3 (#1086)</v>
      </c>
      <c r="E254" s="207" t="s">
        <v>1212</v>
      </c>
    </row>
    <row r="255" spans="2:5" x14ac:dyDescent="0.2">
      <c r="B255" s="207" t="str">
        <f>'Header Info'!B255</f>
        <v>LMI FINISHING INC</v>
      </c>
      <c r="C255" s="207" t="s">
        <v>1203</v>
      </c>
      <c r="D255" s="207" t="str">
        <f>'Header Info'!C255</f>
        <v>MASK OVEN NO. 22</v>
      </c>
      <c r="E255" s="207" t="s">
        <v>1205</v>
      </c>
    </row>
    <row r="256" spans="2:5" x14ac:dyDescent="0.2">
      <c r="B256" s="207" t="str">
        <f>'Header Info'!B256</f>
        <v>LMI FINISHING INC</v>
      </c>
      <c r="C256" s="207" t="s">
        <v>1203</v>
      </c>
      <c r="D256" s="207" t="str">
        <f>'Header Info'!C256</f>
        <v>Penetrant Oven 2</v>
      </c>
      <c r="E256" s="207" t="s">
        <v>1214</v>
      </c>
    </row>
    <row r="257" spans="2:5" x14ac:dyDescent="0.2">
      <c r="B257" s="207" t="str">
        <f>'Header Info'!B257</f>
        <v>LMI FINISHING INC</v>
      </c>
      <c r="C257" s="207" t="s">
        <v>1203</v>
      </c>
      <c r="D257" s="207" t="str">
        <f>'Header Info'!C257</f>
        <v>TANK B1 (# 156)</v>
      </c>
      <c r="E257" s="207" t="s">
        <v>1216</v>
      </c>
    </row>
    <row r="258" spans="2:5" x14ac:dyDescent="0.2">
      <c r="B258" s="207" t="str">
        <f>'Header Info'!B258</f>
        <v>LMI FINISHING INC</v>
      </c>
      <c r="C258" s="207" t="s">
        <v>1203</v>
      </c>
      <c r="D258" s="207" t="str">
        <f>'Header Info'!C258</f>
        <v>TANK NO. A8</v>
      </c>
      <c r="E258" s="207" t="s">
        <v>1218</v>
      </c>
    </row>
    <row r="259" spans="2:5" x14ac:dyDescent="0.2">
      <c r="B259" s="207" t="str">
        <f>'Header Info'!B259</f>
        <v>LMI FINISHING INC</v>
      </c>
      <c r="C259" s="207" t="s">
        <v>1203</v>
      </c>
      <c r="D259" s="207" t="str">
        <f>'Header Info'!C259</f>
        <v>CHEM MILL TANK D8</v>
      </c>
      <c r="E259" s="207" t="s">
        <v>1219</v>
      </c>
    </row>
    <row r="260" spans="2:5" x14ac:dyDescent="0.2">
      <c r="B260" s="207" t="str">
        <f>'Header Info'!B260</f>
        <v>LMI FINISHING INC</v>
      </c>
      <c r="C260" s="207" t="s">
        <v>1203</v>
      </c>
      <c r="D260" s="207" t="str">
        <f>'Header Info'!C260</f>
        <v>CHEM MILL TANK D10</v>
      </c>
      <c r="E260" s="207" t="s">
        <v>1221</v>
      </c>
    </row>
    <row r="261" spans="2:5" x14ac:dyDescent="0.2">
      <c r="B261" s="207" t="str">
        <f>'Header Info'!B261</f>
        <v>LORAC CO. INC</v>
      </c>
      <c r="C261" s="207" t="s">
        <v>1203</v>
      </c>
      <c r="D261" s="207" t="str">
        <f>'Header Info'!C261</f>
        <v>I.R. BAKE OVEN</v>
      </c>
      <c r="E261" s="207" t="s">
        <v>1223</v>
      </c>
    </row>
    <row r="262" spans="2:5" x14ac:dyDescent="0.2">
      <c r="B262" s="207" t="str">
        <f>'Header Info'!B262</f>
        <v>LTC INC. - PLANT 3</v>
      </c>
      <c r="C262" s="207" t="s">
        <v>1203</v>
      </c>
      <c r="D262" s="207" t="str">
        <f>'Header Info'!C262</f>
        <v>Oven No. 1</v>
      </c>
      <c r="E262" s="207" t="s">
        <v>1224</v>
      </c>
    </row>
    <row r="263" spans="2:5" x14ac:dyDescent="0.2">
      <c r="B263" s="207" t="str">
        <f>'Header Info'!B263</f>
        <v>LTC INC. - PLANT 3</v>
      </c>
      <c r="C263" s="207" t="s">
        <v>1203</v>
      </c>
      <c r="D263" s="207" t="str">
        <f>'Header Info'!C263</f>
        <v>Oven No. 1 TP2816A</v>
      </c>
      <c r="E263" s="207" t="s">
        <v>1226</v>
      </c>
    </row>
    <row r="264" spans="2:5" x14ac:dyDescent="0.2">
      <c r="B264" s="207" t="str">
        <f>'Header Info'!B264</f>
        <v>LTC INC. - PLANT 3</v>
      </c>
      <c r="C264" s="207" t="s">
        <v>1228</v>
      </c>
      <c r="D264" s="207" t="str">
        <f>'Header Info'!C264</f>
        <v>Autoclave No. 1 Cessna</v>
      </c>
      <c r="E264" s="207" t="s">
        <v>1230</v>
      </c>
    </row>
    <row r="265" spans="2:5" x14ac:dyDescent="0.2">
      <c r="B265" s="207" t="str">
        <f>'Header Info'!B265</f>
        <v>LTC INC. - PLANT 3</v>
      </c>
      <c r="C265" s="207" t="s">
        <v>1228</v>
      </c>
      <c r="D265" s="207" t="str">
        <f>'Header Info'!C265</f>
        <v>AUTOCLAVE NO. 1</v>
      </c>
      <c r="E265" s="207" t="s">
        <v>1968</v>
      </c>
    </row>
    <row r="266" spans="2:5" x14ac:dyDescent="0.2">
      <c r="B266" s="207" t="str">
        <f>'Header Info'!B266</f>
        <v>LTC INC. - PLANT 3</v>
      </c>
      <c r="C266" s="207" t="s">
        <v>1228</v>
      </c>
      <c r="D266" s="207" t="str">
        <f>'Header Info'!C266</f>
        <v>Autoclave No. 2 Cessna</v>
      </c>
      <c r="E266" s="207" t="s">
        <v>1232</v>
      </c>
    </row>
    <row r="267" spans="2:5" x14ac:dyDescent="0.2">
      <c r="B267" s="207" t="str">
        <f>'Header Info'!B267</f>
        <v>LTC INC. - PLANT 3</v>
      </c>
      <c r="C267" s="207" t="s">
        <v>1234</v>
      </c>
      <c r="D267" s="207" t="str">
        <f>'Header Info'!C267</f>
        <v>AUTOCLAVE NO. 2</v>
      </c>
      <c r="E267" s="207" t="s">
        <v>1235</v>
      </c>
    </row>
    <row r="268" spans="2:5" x14ac:dyDescent="0.2">
      <c r="B268" s="207" t="str">
        <f>'Header Info'!B268</f>
        <v>LTC INC. - PLANT 3</v>
      </c>
      <c r="C268" s="207" t="s">
        <v>1774</v>
      </c>
      <c r="D268" s="207" t="str">
        <f>'Header Info'!C268</f>
        <v>AUTOCLAVE NO. 3</v>
      </c>
      <c r="E268" s="207" t="s">
        <v>1776</v>
      </c>
    </row>
    <row r="269" spans="2:5" x14ac:dyDescent="0.2">
      <c r="B269" s="207" t="str">
        <f>'Header Info'!B269</f>
        <v>LTC INC. - PLANT 3</v>
      </c>
      <c r="C269" s="207" t="s">
        <v>1237</v>
      </c>
      <c r="D269" s="207" t="str">
        <f>'Header Info'!C269</f>
        <v>AUTOCLAVE NO. 3 TP</v>
      </c>
      <c r="E269" s="207" t="s">
        <v>1239</v>
      </c>
    </row>
    <row r="270" spans="2:5" x14ac:dyDescent="0.2">
      <c r="B270" s="207" t="str">
        <f>'Header Info'!B270</f>
        <v>LTC INC. - PLANT 3</v>
      </c>
      <c r="C270" s="207" t="s">
        <v>1237</v>
      </c>
      <c r="D270" s="207" t="str">
        <f>'Header Info'!C270</f>
        <v>AUTOCLAVE NO. 4</v>
      </c>
      <c r="E270" s="207" t="s">
        <v>1241</v>
      </c>
    </row>
    <row r="271" spans="2:5" x14ac:dyDescent="0.2">
      <c r="B271" s="207" t="str">
        <f>'Header Info'!B271</f>
        <v>LTC INC. - PLANT 3</v>
      </c>
      <c r="C271" s="207" t="s">
        <v>1243</v>
      </c>
      <c r="D271" s="207" t="str">
        <f>'Header Info'!C271</f>
        <v>AUTOCLAVE NO. 4 TP2816A</v>
      </c>
      <c r="E271" s="207" t="s">
        <v>1245</v>
      </c>
    </row>
    <row r="272" spans="2:5" x14ac:dyDescent="0.2">
      <c r="B272" s="207" t="str">
        <f>'Header Info'!B272</f>
        <v>LTC INC. - PLANT 3</v>
      </c>
      <c r="C272" s="207" t="s">
        <v>1247</v>
      </c>
      <c r="D272" s="207" t="str">
        <f>'Header Info'!C272</f>
        <v>AUTOCLAVE NO. 5</v>
      </c>
      <c r="E272" s="207" t="s">
        <v>1248</v>
      </c>
    </row>
    <row r="273" spans="2:5" x14ac:dyDescent="0.2">
      <c r="B273" s="207" t="str">
        <f>'Header Info'!B273</f>
        <v>LTC INC. - PLANT 3</v>
      </c>
      <c r="C273" s="207" t="s">
        <v>1250</v>
      </c>
      <c r="D273" s="207" t="str">
        <f>'Header Info'!C273</f>
        <v>CORE OVEN</v>
      </c>
      <c r="E273" s="207" t="s">
        <v>1252</v>
      </c>
    </row>
    <row r="274" spans="2:5" x14ac:dyDescent="0.2">
      <c r="B274" s="207" t="str">
        <f>'Header Info'!B274</f>
        <v>LTC INC. - PLANT 3</v>
      </c>
      <c r="C274" s="207" t="s">
        <v>1250</v>
      </c>
      <c r="D274" s="207" t="str">
        <f>'Header Info'!C274</f>
        <v>EVC3,LTC #1399</v>
      </c>
      <c r="E274" s="207" t="s">
        <v>1253</v>
      </c>
    </row>
    <row r="275" spans="2:5" x14ac:dyDescent="0.2">
      <c r="B275" s="207" t="str">
        <f>'Header Info'!B275</f>
        <v>LTC INC. - PLANT 3</v>
      </c>
      <c r="C275" s="207" t="s">
        <v>1858</v>
      </c>
      <c r="D275" s="207" t="str">
        <f>'Header Info'!C275</f>
        <v>Freezer 1B</v>
      </c>
      <c r="E275" s="207" t="s">
        <v>1860</v>
      </c>
    </row>
    <row r="276" spans="2:5" x14ac:dyDescent="0.2">
      <c r="B276" s="207" t="str">
        <f>'Header Info'!B276</f>
        <v>LTC INC. - PLANT 3</v>
      </c>
      <c r="C276" s="207" t="s">
        <v>1255</v>
      </c>
      <c r="D276" s="207" t="str">
        <f>'Header Info'!C276</f>
        <v>FREEZER NO. 1</v>
      </c>
      <c r="E276" s="207" t="s">
        <v>1813</v>
      </c>
    </row>
    <row r="277" spans="2:5" x14ac:dyDescent="0.2">
      <c r="B277" s="207" t="str">
        <f>'Header Info'!B277</f>
        <v>LTC INC. - PLANT 3</v>
      </c>
      <c r="C277" s="207" t="s">
        <v>1255</v>
      </c>
      <c r="D277" s="207" t="str">
        <f>'Header Info'!C277</f>
        <v>FREEZER NO. 3</v>
      </c>
      <c r="E277" s="207" t="s">
        <v>1269</v>
      </c>
    </row>
    <row r="278" spans="2:5" x14ac:dyDescent="0.2">
      <c r="B278" s="207" t="str">
        <f>'Header Info'!B278</f>
        <v>LTC INC. - PLANT 3</v>
      </c>
      <c r="C278" s="207" t="s">
        <v>1255</v>
      </c>
      <c r="D278" s="207" t="str">
        <f>'Header Info'!C278</f>
        <v>LAB FURNACE</v>
      </c>
      <c r="E278" s="207" t="s">
        <v>3770</v>
      </c>
    </row>
    <row r="279" spans="2:5" x14ac:dyDescent="0.2">
      <c r="B279" s="207" t="str">
        <f>'Header Info'!B279</f>
        <v>LTC INC. - PLANT 3</v>
      </c>
      <c r="C279" s="207" t="s">
        <v>1255</v>
      </c>
      <c r="D279" s="207" t="str">
        <f>'Header Info'!C279</f>
        <v>LAB OVEN</v>
      </c>
      <c r="E279" s="207" t="s">
        <v>1279</v>
      </c>
    </row>
    <row r="280" spans="2:5" x14ac:dyDescent="0.2">
      <c r="B280" s="207" t="str">
        <f>'Header Info'!B280</f>
        <v>LTC INC. - PLANT 3</v>
      </c>
      <c r="C280" s="207" t="s">
        <v>1255</v>
      </c>
      <c r="D280" s="207" t="str">
        <f>'Header Info'!C280</f>
        <v>Freezer No. 4</v>
      </c>
      <c r="E280" s="207" t="s">
        <v>1277</v>
      </c>
    </row>
    <row r="281" spans="2:5" x14ac:dyDescent="0.2">
      <c r="B281" s="207" t="str">
        <f>'Header Info'!B281</f>
        <v>LTC INC. - PLANT 3</v>
      </c>
      <c r="C281" s="207" t="s">
        <v>1255</v>
      </c>
      <c r="D281" s="207" t="str">
        <f>'Header Info'!C281</f>
        <v>OVEN NO. 1B Cessna</v>
      </c>
      <c r="E281" s="207" t="s">
        <v>1275</v>
      </c>
    </row>
    <row r="282" spans="2:5" x14ac:dyDescent="0.2">
      <c r="B282" s="207" t="str">
        <f>'Header Info'!B282</f>
        <v>LTC INC. - PLANT 3</v>
      </c>
      <c r="C282" s="207" t="s">
        <v>1255</v>
      </c>
      <c r="D282" s="207" t="str">
        <f>'Header Info'!C282</f>
        <v>OVEN NO. 1B</v>
      </c>
      <c r="E282" s="207" t="s">
        <v>1274</v>
      </c>
    </row>
    <row r="283" spans="2:5" x14ac:dyDescent="0.2">
      <c r="B283" s="207" t="str">
        <f>'Header Info'!B283</f>
        <v>LTC INC. - PLANT 3</v>
      </c>
      <c r="C283" s="207" t="s">
        <v>1255</v>
      </c>
      <c r="D283" s="207" t="str">
        <f>'Header Info'!C283</f>
        <v>OVEN NO. 2</v>
      </c>
      <c r="E283" s="207" t="s">
        <v>1273</v>
      </c>
    </row>
    <row r="284" spans="2:5" x14ac:dyDescent="0.2">
      <c r="B284" s="207" t="str">
        <f>'Header Info'!B284</f>
        <v>LTC INC. - PLANT 3</v>
      </c>
      <c r="C284" s="207" t="s">
        <v>1255</v>
      </c>
      <c r="D284" s="207" t="str">
        <f>'Header Info'!C284</f>
        <v>OVEN NO. 3</v>
      </c>
      <c r="E284" s="207" t="s">
        <v>1272</v>
      </c>
    </row>
    <row r="285" spans="2:5" x14ac:dyDescent="0.2">
      <c r="B285" s="207" t="str">
        <f>'Header Info'!B285</f>
        <v>LTC INC. - PLANT 3</v>
      </c>
      <c r="C285" s="207" t="s">
        <v>1255</v>
      </c>
      <c r="D285" s="207" t="str">
        <f>'Header Info'!C285</f>
        <v>Oven No. 4 Cessna</v>
      </c>
      <c r="E285" s="207" t="s">
        <v>1271</v>
      </c>
    </row>
    <row r="286" spans="2:5" x14ac:dyDescent="0.2">
      <c r="B286" s="207" t="str">
        <f>'Header Info'!B286</f>
        <v>LTC INC. - PLANT 3</v>
      </c>
      <c r="C286" s="207" t="s">
        <v>1255</v>
      </c>
      <c r="D286" s="207" t="str">
        <f>'Header Info'!C286</f>
        <v>OVEN NO. 4</v>
      </c>
      <c r="E286" s="207" t="s">
        <v>3771</v>
      </c>
    </row>
    <row r="287" spans="2:5" x14ac:dyDescent="0.2">
      <c r="B287" s="207" t="str">
        <f>'Header Info'!B287</f>
        <v>LTC INC. - PLANT 3</v>
      </c>
      <c r="C287" s="207" t="s">
        <v>1255</v>
      </c>
      <c r="D287" s="207" t="str">
        <f>'Header Info'!C287</f>
        <v>OVEN NO. 5</v>
      </c>
      <c r="E287" s="207" t="s">
        <v>1266</v>
      </c>
    </row>
    <row r="288" spans="2:5" x14ac:dyDescent="0.2">
      <c r="B288" s="207" t="str">
        <f>'Header Info'!B288</f>
        <v>LTC INC. - PLANT 3</v>
      </c>
      <c r="C288" s="207" t="s">
        <v>1255</v>
      </c>
      <c r="D288" s="207" t="str">
        <f>'Header Info'!C288</f>
        <v>OVEN NO. 6</v>
      </c>
      <c r="E288" s="207" t="s">
        <v>1265</v>
      </c>
    </row>
    <row r="289" spans="2:5" x14ac:dyDescent="0.2">
      <c r="B289" s="207" t="str">
        <f>'Header Info'!B289</f>
        <v>LTC INC. - PLANT 3</v>
      </c>
      <c r="C289" s="207" t="s">
        <v>1255</v>
      </c>
      <c r="D289" s="207" t="str">
        <f>'Header Info'!C289</f>
        <v>OVEN NO. 6B</v>
      </c>
      <c r="E289" s="207" t="s">
        <v>1256</v>
      </c>
    </row>
    <row r="290" spans="2:5" x14ac:dyDescent="0.2">
      <c r="B290" s="207" t="str">
        <f>'Header Info'!B290</f>
        <v>LTC INC. - PLANT 3</v>
      </c>
      <c r="C290" s="207" t="s">
        <v>1255</v>
      </c>
      <c r="D290" s="207" t="str">
        <f>'Header Info'!C290</f>
        <v>OVEN NO. 7</v>
      </c>
      <c r="E290" s="207" t="s">
        <v>1258</v>
      </c>
    </row>
    <row r="291" spans="2:5" x14ac:dyDescent="0.2">
      <c r="B291" s="207" t="str">
        <f>'Header Info'!B291</f>
        <v>LTC INC. - PLANT 3</v>
      </c>
      <c r="C291" s="207" t="s">
        <v>1255</v>
      </c>
      <c r="D291" s="207" t="str">
        <f>'Header Info'!C291</f>
        <v>OVEN NO. 7B</v>
      </c>
      <c r="E291" s="207" t="s">
        <v>1259</v>
      </c>
    </row>
    <row r="292" spans="2:5" x14ac:dyDescent="0.2">
      <c r="B292" s="207" t="str">
        <f>'Header Info'!B292</f>
        <v>LTC INC. - PLANT 3</v>
      </c>
      <c r="C292" s="207" t="s">
        <v>1255</v>
      </c>
      <c r="D292" s="207" t="str">
        <f>'Header Info'!C292</f>
        <v>OVEN NO. 7B TP2816A</v>
      </c>
      <c r="E292" s="207" t="s">
        <v>1260</v>
      </c>
    </row>
    <row r="293" spans="2:5" x14ac:dyDescent="0.2">
      <c r="B293" s="207" t="str">
        <f>'Header Info'!B293</f>
        <v>LTC INC. - PLANT 3</v>
      </c>
      <c r="C293" s="207" t="s">
        <v>1255</v>
      </c>
      <c r="D293" s="207" t="str">
        <f>'Header Info'!C293</f>
        <v>OVEN NO. 8</v>
      </c>
      <c r="E293" s="207" t="s">
        <v>1261</v>
      </c>
    </row>
    <row r="294" spans="2:5" x14ac:dyDescent="0.2">
      <c r="B294" s="207" t="str">
        <f>'Header Info'!B294</f>
        <v>LTC INC. - PLANT 3</v>
      </c>
      <c r="C294" s="207" t="s">
        <v>1255</v>
      </c>
      <c r="D294" s="207" t="str">
        <f>'Header Info'!C294</f>
        <v>OVEN NO. 9 - Cessna</v>
      </c>
      <c r="E294" s="207" t="s">
        <v>1263</v>
      </c>
    </row>
    <row r="295" spans="2:5" x14ac:dyDescent="0.2">
      <c r="B295" s="207" t="str">
        <f>'Header Info'!B295</f>
        <v>LTC INC. - PLANT 3</v>
      </c>
      <c r="C295" s="207" t="s">
        <v>1281</v>
      </c>
      <c r="D295" s="207" t="str">
        <f>'Header Info'!C295</f>
        <v>OVEN NO. 9</v>
      </c>
      <c r="E295" s="207" t="s">
        <v>1283</v>
      </c>
    </row>
    <row r="296" spans="2:5" x14ac:dyDescent="0.2">
      <c r="B296" s="207" t="str">
        <f>'Header Info'!B296</f>
        <v>LTC INC. - PLANT 3</v>
      </c>
      <c r="C296" s="207" t="s">
        <v>1285</v>
      </c>
      <c r="D296" s="207" t="str">
        <f>'Header Info'!C296</f>
        <v>Oven No. 10- Cessna</v>
      </c>
      <c r="E296" s="207" t="s">
        <v>1288</v>
      </c>
    </row>
    <row r="297" spans="2:5" x14ac:dyDescent="0.2">
      <c r="B297" s="207" t="str">
        <f>'Header Info'!B297</f>
        <v>LTC INC. - PLANT 3</v>
      </c>
      <c r="C297" s="207" t="s">
        <v>1285</v>
      </c>
      <c r="D297" s="207" t="str">
        <f>'Header Info'!C297</f>
        <v>OVEN NO. 10</v>
      </c>
      <c r="E297" s="207" t="s">
        <v>1289</v>
      </c>
    </row>
    <row r="298" spans="2:5" x14ac:dyDescent="0.2">
      <c r="B298" s="207" t="str">
        <f>'Header Info'!B298</f>
        <v>LTC INC. - PLANT 3</v>
      </c>
      <c r="C298" s="207" t="s">
        <v>1285</v>
      </c>
      <c r="D298" s="207" t="str">
        <f>'Header Info'!C298</f>
        <v>OVEN NO. 21</v>
      </c>
      <c r="E298" s="207" t="s">
        <v>1290</v>
      </c>
    </row>
    <row r="299" spans="2:5" x14ac:dyDescent="0.2">
      <c r="B299" s="207" t="str">
        <f>'Header Info'!B299</f>
        <v>LTC INC. - PLANT 3</v>
      </c>
      <c r="C299" s="207" t="s">
        <v>1285</v>
      </c>
      <c r="D299" s="207" t="str">
        <f>'Header Info'!C299</f>
        <v>OVEN NO. 21 TP2816</v>
      </c>
      <c r="E299" s="207" t="s">
        <v>1292</v>
      </c>
    </row>
    <row r="300" spans="2:5" x14ac:dyDescent="0.2">
      <c r="B300" s="207" t="str">
        <f>'Header Info'!B300</f>
        <v>LTC INC. - PLANT 3</v>
      </c>
      <c r="C300" s="207" t="s">
        <v>1285</v>
      </c>
      <c r="D300" s="207" t="str">
        <f>'Header Info'!C300</f>
        <v>OVEN NO. 11 - Cessna</v>
      </c>
      <c r="E300" s="207" t="s">
        <v>1291</v>
      </c>
    </row>
    <row r="301" spans="2:5" x14ac:dyDescent="0.2">
      <c r="B301" s="207" t="str">
        <f>'Header Info'!B301</f>
        <v>LTC INC. - PLANT 3</v>
      </c>
      <c r="C301" s="207" t="s">
        <v>1285</v>
      </c>
      <c r="D301" s="207" t="str">
        <f>'Header Info'!C301</f>
        <v>Oven 12 AMS</v>
      </c>
      <c r="E301" s="207" t="s">
        <v>1286</v>
      </c>
    </row>
    <row r="302" spans="2:5" x14ac:dyDescent="0.2">
      <c r="B302" s="207" t="str">
        <f>'Header Info'!B302</f>
        <v>LTC INC. - PLANT 3</v>
      </c>
      <c r="C302" s="207" t="s">
        <v>1285</v>
      </c>
      <c r="D302" s="207" t="str">
        <f>'Header Info'!C302</f>
        <v>Oven 12 Cessna</v>
      </c>
      <c r="E302" s="207" t="s">
        <v>1287</v>
      </c>
    </row>
    <row r="303" spans="2:5" x14ac:dyDescent="0.2">
      <c r="B303" s="207" t="str">
        <f>'Header Info'!B303</f>
        <v>LTC INC. - PLANT 3</v>
      </c>
      <c r="C303" s="207" t="s">
        <v>1904</v>
      </c>
      <c r="D303" s="207" t="str">
        <f>'Header Info'!C303</f>
        <v>OVEN NO. 13</v>
      </c>
      <c r="E303" s="207" t="s">
        <v>1906</v>
      </c>
    </row>
    <row r="304" spans="2:5" x14ac:dyDescent="0.2">
      <c r="B304" s="207" t="str">
        <f>'Header Info'!B304</f>
        <v>LTC INC. - PLANT 3</v>
      </c>
      <c r="C304" s="207" t="s">
        <v>1904</v>
      </c>
      <c r="D304" s="207" t="str">
        <f>'Header Info'!C304</f>
        <v>OVEN NO. 13 - Cessna</v>
      </c>
      <c r="E304" s="207" t="s">
        <v>1297</v>
      </c>
    </row>
    <row r="305" spans="2:5" x14ac:dyDescent="0.2">
      <c r="B305" s="207" t="str">
        <f>'Header Info'!B305</f>
        <v>LTC INC. - PLANT 3</v>
      </c>
      <c r="C305" s="207" t="s">
        <v>3773</v>
      </c>
      <c r="D305" s="207" t="str">
        <f>'Header Info'!C305</f>
        <v>OVEN NO. 14 - Cessna</v>
      </c>
      <c r="E305" s="207" t="s">
        <v>3775</v>
      </c>
    </row>
    <row r="306" spans="2:5" x14ac:dyDescent="0.2">
      <c r="B306" s="207" t="str">
        <f>'Header Info'!B306</f>
        <v>LTC INC. - PLANT 3</v>
      </c>
      <c r="C306" s="207" t="s">
        <v>1294</v>
      </c>
      <c r="D306" s="207" t="str">
        <f>'Header Info'!C306</f>
        <v>OVEN NO. 14</v>
      </c>
      <c r="E306" s="207" t="s">
        <v>1295</v>
      </c>
    </row>
    <row r="307" spans="2:5" x14ac:dyDescent="0.2">
      <c r="B307" s="207" t="str">
        <f>'Header Info'!B307</f>
        <v>LTC INC. - PLANT 3</v>
      </c>
      <c r="C307" s="207" t="s">
        <v>1300</v>
      </c>
      <c r="D307" s="207">
        <f>'Header Info'!C307</f>
        <v>11303</v>
      </c>
      <c r="E307" s="207" t="s">
        <v>3776</v>
      </c>
    </row>
    <row r="308" spans="2:5" x14ac:dyDescent="0.2">
      <c r="B308" s="207" t="str">
        <f>'Header Info'!B308</f>
        <v>LTC INC. - PLANT 3</v>
      </c>
      <c r="C308" s="207" t="s">
        <v>1300</v>
      </c>
      <c r="D308" s="207" t="str">
        <f>'Header Info'!C308</f>
        <v>OVEN NO. 15 (TP2816)</v>
      </c>
      <c r="E308" s="207" t="s">
        <v>1314</v>
      </c>
    </row>
    <row r="309" spans="2:5" x14ac:dyDescent="0.2">
      <c r="B309" s="207" t="str">
        <f>'Header Info'!B309</f>
        <v>LTC INC. - PLANT 3</v>
      </c>
      <c r="C309" s="207" t="s">
        <v>1300</v>
      </c>
      <c r="D309" s="207" t="str">
        <f>'Header Info'!C309</f>
        <v>OVEN NO. 16 (TP2816)</v>
      </c>
      <c r="E309" s="207" t="s">
        <v>1316</v>
      </c>
    </row>
    <row r="310" spans="2:5" x14ac:dyDescent="0.2">
      <c r="B310" s="207" t="str">
        <f>'Header Info'!B310</f>
        <v>LTC INC. - PLANT 3</v>
      </c>
      <c r="C310" s="207" t="s">
        <v>1300</v>
      </c>
      <c r="D310" s="207" t="str">
        <f>'Header Info'!C310</f>
        <v>OVEN NO. 16</v>
      </c>
      <c r="E310" s="207" t="s">
        <v>1317</v>
      </c>
    </row>
    <row r="311" spans="2:5" x14ac:dyDescent="0.2">
      <c r="B311" s="207" t="str">
        <f>'Header Info'!B311</f>
        <v>LTC INC. - PLANT 3</v>
      </c>
      <c r="C311" s="207" t="s">
        <v>1300</v>
      </c>
      <c r="D311" s="207" t="str">
        <f>'Header Info'!C311</f>
        <v>OVEN NO. 17 AMS</v>
      </c>
      <c r="E311" s="207" t="s">
        <v>1311</v>
      </c>
    </row>
    <row r="312" spans="2:5" x14ac:dyDescent="0.2">
      <c r="B312" s="207" t="str">
        <f>'Header Info'!B312</f>
        <v>LTC INC. - PLANT 3</v>
      </c>
      <c r="C312" s="207" t="s">
        <v>1300</v>
      </c>
      <c r="D312" s="207" t="str">
        <f>'Header Info'!C312</f>
        <v>OVEN NO. 17 CESSNA</v>
      </c>
      <c r="E312" s="207" t="s">
        <v>1312</v>
      </c>
    </row>
    <row r="313" spans="2:5" x14ac:dyDescent="0.2">
      <c r="B313" s="207" t="str">
        <f>'Header Info'!B313</f>
        <v>LTC INC. - PLANT 3</v>
      </c>
      <c r="C313" s="207" t="s">
        <v>1300</v>
      </c>
      <c r="D313" s="207" t="str">
        <f>'Header Info'!C313</f>
        <v>OVEN NO. 18 CESSNA</v>
      </c>
      <c r="E313" s="207" t="s">
        <v>1309</v>
      </c>
    </row>
    <row r="314" spans="2:5" x14ac:dyDescent="0.2">
      <c r="B314" s="207" t="str">
        <f>'Header Info'!B314</f>
        <v>LTC INC. - PLANT 3</v>
      </c>
      <c r="C314" s="207" t="s">
        <v>1300</v>
      </c>
      <c r="D314" s="207" t="str">
        <f>'Header Info'!C314</f>
        <v>OVEN NO. 19 CESSNA</v>
      </c>
      <c r="E314" s="207" t="s">
        <v>1307</v>
      </c>
    </row>
    <row r="315" spans="2:5" x14ac:dyDescent="0.2">
      <c r="B315" s="207" t="str">
        <f>'Header Info'!B315</f>
        <v>LTC INC. - PLANT 3</v>
      </c>
      <c r="C315" s="207" t="s">
        <v>1300</v>
      </c>
      <c r="D315" s="207" t="str">
        <f>'Header Info'!C315</f>
        <v>Oven No. 20 TP2816</v>
      </c>
      <c r="E315" s="207" t="s">
        <v>1302</v>
      </c>
    </row>
    <row r="316" spans="2:5" x14ac:dyDescent="0.2">
      <c r="B316" s="207" t="str">
        <f>'Header Info'!B316</f>
        <v>LTC INC. - PLANT 3</v>
      </c>
      <c r="C316" s="207" t="s">
        <v>1300</v>
      </c>
      <c r="D316" s="207" t="str">
        <f>'Header Info'!C316</f>
        <v>Oven No. 20</v>
      </c>
      <c r="E316" s="207" t="s">
        <v>1303</v>
      </c>
    </row>
    <row r="317" spans="2:5" x14ac:dyDescent="0.2">
      <c r="B317" s="207" t="str">
        <f>'Header Info'!B317</f>
        <v>LTC INC. - PLANT 3</v>
      </c>
      <c r="C317" s="207" t="s">
        <v>1300</v>
      </c>
      <c r="D317" s="207" t="str">
        <f>'Header Info'!C317</f>
        <v>Oven No. 24</v>
      </c>
      <c r="E317" s="207" t="s">
        <v>1305</v>
      </c>
    </row>
    <row r="318" spans="2:5" x14ac:dyDescent="0.2">
      <c r="B318" s="207" t="str">
        <f>'Header Info'!B318</f>
        <v>MANUFACTURING DEVELOPMENT, INC.</v>
      </c>
      <c r="C318" s="207" t="s">
        <v>1300</v>
      </c>
      <c r="D318" s="207" t="str">
        <f>'Header Info'!C318</f>
        <v>Amaco Oven</v>
      </c>
      <c r="E318" s="207" t="s">
        <v>3777</v>
      </c>
    </row>
    <row r="319" spans="2:5" x14ac:dyDescent="0.2">
      <c r="B319" s="207" t="str">
        <f>'Header Info'!B319</f>
        <v>MANUFACTURING DEVELOPMENT, INC.</v>
      </c>
      <c r="C319" s="207" t="s">
        <v>1318</v>
      </c>
      <c r="D319" s="207" t="str">
        <f>'Header Info'!C319</f>
        <v>FURNACE NO. 2</v>
      </c>
      <c r="E319" s="207" t="s">
        <v>3778</v>
      </c>
    </row>
    <row r="320" spans="2:5" x14ac:dyDescent="0.2">
      <c r="B320" s="207" t="str">
        <f>'Header Info'!B320</f>
        <v>MANUFACTURING DEVELOPMENT, INC.</v>
      </c>
      <c r="C320" s="207" t="s">
        <v>1318</v>
      </c>
      <c r="D320" s="207" t="str">
        <f>'Header Info'!C320</f>
        <v>OVEN NO. 3</v>
      </c>
      <c r="E320" s="207" t="s">
        <v>3779</v>
      </c>
    </row>
    <row r="321" spans="2:5" x14ac:dyDescent="0.2">
      <c r="B321" s="207" t="str">
        <f>'Header Info'!B321</f>
        <v>MAX AEROSTRUCTURES, LLC</v>
      </c>
      <c r="C321" s="207" t="s">
        <v>1318</v>
      </c>
      <c r="D321" s="207" t="str">
        <f>'Header Info'!C321</f>
        <v>ARDROX OVEN</v>
      </c>
      <c r="E321" s="207" t="s">
        <v>3780</v>
      </c>
    </row>
    <row r="322" spans="2:5" x14ac:dyDescent="0.2">
      <c r="B322" s="207" t="str">
        <f>'Header Info'!B322</f>
        <v>MAX AEROSTRUCTURES, LLC</v>
      </c>
      <c r="C322" s="207" t="s">
        <v>1318</v>
      </c>
      <c r="D322" s="207" t="str">
        <f>'Header Info'!C322</f>
        <v>BOO-102-A</v>
      </c>
      <c r="E322" s="207" t="s">
        <v>3781</v>
      </c>
    </row>
    <row r="323" spans="2:5" x14ac:dyDescent="0.2">
      <c r="B323" s="207" t="str">
        <f>'Header Info'!B323</f>
        <v>MAX AEROSTRUCTURES, LLC</v>
      </c>
      <c r="C323" s="207" t="s">
        <v>1318</v>
      </c>
      <c r="D323" s="207" t="str">
        <f>'Header Info'!C323</f>
        <v>LARGE AGE OVEN</v>
      </c>
      <c r="E323" s="207" t="s">
        <v>1970</v>
      </c>
    </row>
    <row r="324" spans="2:5" x14ac:dyDescent="0.2">
      <c r="B324" s="207" t="str">
        <f>'Header Info'!B324</f>
        <v>MAX AEROSTRUCTURES, LLC</v>
      </c>
      <c r="C324" s="207" t="s">
        <v>1318</v>
      </c>
      <c r="D324" s="207" t="str">
        <f>'Header Info'!C324</f>
        <v>OVE-112-A DROP BOTTOM</v>
      </c>
      <c r="E324" s="207" t="s">
        <v>3782</v>
      </c>
    </row>
    <row r="325" spans="2:5" x14ac:dyDescent="0.2">
      <c r="B325" s="207" t="str">
        <f>'Header Info'!B325</f>
        <v>MAX AEROSTRUCTURES, LLC</v>
      </c>
      <c r="C325" s="207" t="s">
        <v>1318</v>
      </c>
      <c r="D325" s="207" t="str">
        <f>'Header Info'!C325</f>
        <v>OVE-113-A</v>
      </c>
      <c r="E325" s="207" t="s">
        <v>1910</v>
      </c>
    </row>
    <row r="326" spans="2:5" x14ac:dyDescent="0.2">
      <c r="B326" s="207" t="str">
        <f>'Header Info'!B326</f>
        <v>MAX AEROSTRUCTURES, LLC</v>
      </c>
      <c r="C326" s="207" t="s">
        <v>1318</v>
      </c>
      <c r="D326" s="207" t="str">
        <f>'Header Info'!C326</f>
        <v>OVE-113-B</v>
      </c>
      <c r="E326" s="207" t="s">
        <v>1332</v>
      </c>
    </row>
    <row r="327" spans="2:5" x14ac:dyDescent="0.2">
      <c r="B327" s="207" t="str">
        <f>'Header Info'!B327</f>
        <v>MAX AEROSTRUCTURES, LLC</v>
      </c>
      <c r="C327" s="207" t="s">
        <v>1318</v>
      </c>
      <c r="D327" s="207" t="str">
        <f>'Header Info'!C327</f>
        <v>OVE-114-A</v>
      </c>
      <c r="E327" s="207" t="s">
        <v>1333</v>
      </c>
    </row>
    <row r="328" spans="2:5" x14ac:dyDescent="0.2">
      <c r="B328" s="207" t="str">
        <f>'Header Info'!B328</f>
        <v>MAX AEROSTRUCTURES, LLC</v>
      </c>
      <c r="C328" s="207" t="s">
        <v>1318</v>
      </c>
      <c r="D328" s="207" t="str">
        <f>'Header Info'!C328</f>
        <v>OVE-127-A</v>
      </c>
      <c r="E328" s="207" t="s">
        <v>1320</v>
      </c>
    </row>
    <row r="329" spans="2:5" x14ac:dyDescent="0.2">
      <c r="B329" s="207" t="str">
        <f>'Header Info'!B329</f>
        <v>MAX AEROSTRUCTURES, LLC</v>
      </c>
      <c r="C329" s="207" t="s">
        <v>1318</v>
      </c>
      <c r="D329" s="207" t="str">
        <f>'Header Info'!C329</f>
        <v>T-10</v>
      </c>
      <c r="E329" s="207" t="s">
        <v>1336</v>
      </c>
    </row>
    <row r="330" spans="2:5" x14ac:dyDescent="0.2">
      <c r="B330" s="207" t="str">
        <f>'Header Info'!B330</f>
        <v>MAX AEROSTRUCTURES, LLC</v>
      </c>
      <c r="C330" s="207" t="s">
        <v>1318</v>
      </c>
      <c r="D330" s="207" t="str">
        <f>'Header Info'!C330</f>
        <v>T-14</v>
      </c>
      <c r="E330" s="207" t="s">
        <v>1335</v>
      </c>
    </row>
    <row r="331" spans="2:5" x14ac:dyDescent="0.2">
      <c r="B331" s="207" t="str">
        <f>'Header Info'!B331</f>
        <v>MAX AEROSTRUCTURES, LLC</v>
      </c>
      <c r="C331" s="207" t="s">
        <v>1318</v>
      </c>
      <c r="D331" s="207" t="str">
        <f>'Header Info'!C331</f>
        <v>T-16</v>
      </c>
      <c r="E331" s="207" t="s">
        <v>1334</v>
      </c>
    </row>
    <row r="332" spans="2:5" x14ac:dyDescent="0.2">
      <c r="B332" s="207" t="str">
        <f>'Header Info'!B332</f>
        <v>MAX AEROSTRUCTURES, LLC</v>
      </c>
      <c r="C332" s="207" t="s">
        <v>1318</v>
      </c>
      <c r="D332" s="207" t="str">
        <f>'Header Info'!C332</f>
        <v>TAN-137-C</v>
      </c>
      <c r="E332" s="207" t="s">
        <v>1319</v>
      </c>
    </row>
    <row r="333" spans="2:5" x14ac:dyDescent="0.2">
      <c r="B333" s="207" t="str">
        <f>'Header Info'!B333</f>
        <v>MAX AEROSTRUCTURES, LLC</v>
      </c>
      <c r="C333" s="207" t="s">
        <v>1318</v>
      </c>
      <c r="D333" s="207" t="str">
        <f>'Header Info'!C333</f>
        <v>TAN-137-E</v>
      </c>
      <c r="E333" s="207" t="s">
        <v>1337</v>
      </c>
    </row>
    <row r="334" spans="2:5" x14ac:dyDescent="0.2">
      <c r="B334" s="207" t="str">
        <f>'Header Info'!B334</f>
        <v>MAYNARD INC.</v>
      </c>
      <c r="C334" s="207" t="s">
        <v>1318</v>
      </c>
      <c r="D334" s="207">
        <f>'Header Info'!C334</f>
        <v>3037</v>
      </c>
      <c r="E334" s="207" t="s">
        <v>1321</v>
      </c>
    </row>
    <row r="335" spans="2:5" x14ac:dyDescent="0.2">
      <c r="B335" s="207" t="str">
        <f>'Header Info'!B335</f>
        <v>MAYNARD INC.</v>
      </c>
      <c r="C335" s="207" t="s">
        <v>1318</v>
      </c>
      <c r="D335" s="207" t="str">
        <f>'Header Info'!C335</f>
        <v>OVEN NO. 3142</v>
      </c>
      <c r="E335" s="207" t="s">
        <v>1322</v>
      </c>
    </row>
    <row r="336" spans="2:5" x14ac:dyDescent="0.2">
      <c r="B336" s="207" t="str">
        <f>'Header Info'!B336</f>
        <v>METAL FINISHING CO. - MURDOCK LOCATION</v>
      </c>
      <c r="C336" s="207" t="s">
        <v>1318</v>
      </c>
      <c r="D336" s="207" t="str">
        <f>'Header Info'!C336</f>
        <v>OVEN NO. 22</v>
      </c>
      <c r="E336" s="207" t="s">
        <v>1323</v>
      </c>
    </row>
    <row r="337" spans="2:5" x14ac:dyDescent="0.2">
      <c r="B337" s="207" t="str">
        <f>'Header Info'!B337</f>
        <v>METAL FINISHING CO. - MURDOCK LOCATION</v>
      </c>
      <c r="C337" s="207" t="s">
        <v>1318</v>
      </c>
      <c r="D337" s="207" t="str">
        <f>'Header Info'!C337</f>
        <v>Oven No.23</v>
      </c>
      <c r="E337" s="207" t="s">
        <v>1324</v>
      </c>
    </row>
    <row r="338" spans="2:5" x14ac:dyDescent="0.2">
      <c r="B338" s="207" t="str">
        <f>'Header Info'!B338</f>
        <v>METAL FINISHING CO. - MURDOCK LOCATION</v>
      </c>
      <c r="C338" s="207" t="s">
        <v>1318</v>
      </c>
      <c r="D338" s="207" t="str">
        <f>'Header Info'!C338</f>
        <v>PAINT BAKE NO. 21</v>
      </c>
      <c r="E338" s="207" t="s">
        <v>1325</v>
      </c>
    </row>
    <row r="339" spans="2:5" x14ac:dyDescent="0.2">
      <c r="B339" s="207" t="str">
        <f>'Header Info'!B339</f>
        <v>METAL FINISHING CO.</v>
      </c>
      <c r="C339" s="207" t="s">
        <v>1318</v>
      </c>
      <c r="D339" s="207" t="str">
        <f>'Header Info'!C339</f>
        <v>FS01</v>
      </c>
      <c r="E339" s="207" t="s">
        <v>1327</v>
      </c>
    </row>
    <row r="340" spans="2:5" x14ac:dyDescent="0.2">
      <c r="B340" s="207" t="str">
        <f>'Header Info'!B340</f>
        <v>METAL FINISHING CO.</v>
      </c>
      <c r="C340" s="207" t="s">
        <v>1318</v>
      </c>
      <c r="D340" s="207" t="str">
        <f>'Header Info'!C340</f>
        <v>MF NO. 1</v>
      </c>
      <c r="E340" s="207" t="s">
        <v>1328</v>
      </c>
    </row>
    <row r="341" spans="2:5" x14ac:dyDescent="0.2">
      <c r="B341" s="207" t="str">
        <f>'Header Info'!B341</f>
        <v>METAL FINISHING CO.</v>
      </c>
      <c r="C341" s="207" t="s">
        <v>1318</v>
      </c>
      <c r="D341" s="207" t="str">
        <f>'Header Info'!C341</f>
        <v>MF NO. 2</v>
      </c>
      <c r="E341" s="207" t="s">
        <v>1329</v>
      </c>
    </row>
    <row r="342" spans="2:5" x14ac:dyDescent="0.2">
      <c r="B342" s="207" t="str">
        <f>'Header Info'!B342</f>
        <v>METAL FINISHING CO.</v>
      </c>
      <c r="C342" s="207" t="s">
        <v>1318</v>
      </c>
      <c r="D342" s="207" t="str">
        <f>'Header Info'!C342</f>
        <v>MF NO. 4</v>
      </c>
      <c r="E342" s="207" t="s">
        <v>1330</v>
      </c>
    </row>
    <row r="343" spans="2:5" x14ac:dyDescent="0.2">
      <c r="B343" s="207" t="str">
        <f>'Header Info'!B343</f>
        <v>METAL FINISHING CO.</v>
      </c>
      <c r="C343" s="207" t="s">
        <v>1318</v>
      </c>
      <c r="D343" s="207" t="str">
        <f>'Header Info'!C343</f>
        <v>MF NO. 7</v>
      </c>
      <c r="E343" s="207" t="s">
        <v>1257</v>
      </c>
    </row>
    <row r="344" spans="2:5" x14ac:dyDescent="0.2">
      <c r="B344" s="207" t="str">
        <f>'Header Info'!B344</f>
        <v>METAL FINISHING CO.</v>
      </c>
      <c r="C344" s="207" t="s">
        <v>1318</v>
      </c>
      <c r="D344" s="207" t="str">
        <f>'Header Info'!C344</f>
        <v>MF NO. 8</v>
      </c>
      <c r="E344" s="207" t="s">
        <v>1267</v>
      </c>
    </row>
    <row r="345" spans="2:5" x14ac:dyDescent="0.2">
      <c r="B345" s="207" t="str">
        <f>'Header Info'!B345</f>
        <v>METAL FINISHING CO.</v>
      </c>
      <c r="C345" s="207" t="s">
        <v>1318</v>
      </c>
      <c r="D345" s="207" t="str">
        <f>'Header Info'!C345</f>
        <v>MF NO. 9</v>
      </c>
      <c r="E345" s="207" t="s">
        <v>1331</v>
      </c>
    </row>
    <row r="346" spans="2:5" x14ac:dyDescent="0.2">
      <c r="B346" s="207" t="str">
        <f>'Header Info'!B346</f>
        <v>METAL FINISHING CO.</v>
      </c>
      <c r="C346" s="207" t="s">
        <v>1318</v>
      </c>
      <c r="D346" s="207" t="str">
        <f>'Header Info'!C346</f>
        <v>MF NO. 10</v>
      </c>
      <c r="E346" s="207" t="s">
        <v>3785</v>
      </c>
    </row>
    <row r="347" spans="2:5" x14ac:dyDescent="0.2">
      <c r="B347" s="207" t="str">
        <f>'Header Info'!B347</f>
        <v>METAL FINISHING CO.</v>
      </c>
      <c r="C347" s="207" t="s">
        <v>1318</v>
      </c>
      <c r="D347" s="207" t="str">
        <f>'Header Info'!C347</f>
        <v>MF NO. 11</v>
      </c>
      <c r="E347" s="207" t="s">
        <v>1924</v>
      </c>
    </row>
    <row r="348" spans="2:5" x14ac:dyDescent="0.2">
      <c r="B348" s="207" t="str">
        <f>'Header Info'!B348</f>
        <v>METAL FINISHING CO.</v>
      </c>
      <c r="C348" s="207" t="s">
        <v>1318</v>
      </c>
      <c r="D348" s="207" t="str">
        <f>'Header Info'!C348</f>
        <v>MF NO. 12</v>
      </c>
      <c r="E348" s="207" t="s">
        <v>1908</v>
      </c>
    </row>
    <row r="349" spans="2:5" x14ac:dyDescent="0.2">
      <c r="B349" s="207" t="str">
        <f>'Header Info'!B349</f>
        <v>METAL FINISHING CO.</v>
      </c>
      <c r="C349" s="207" t="s">
        <v>1318</v>
      </c>
      <c r="D349" s="207" t="str">
        <f>'Header Info'!C349</f>
        <v>MF NO. 25</v>
      </c>
      <c r="E349" s="207" t="s">
        <v>3786</v>
      </c>
    </row>
    <row r="350" spans="2:5" x14ac:dyDescent="0.2">
      <c r="B350" s="207" t="str">
        <f>'Header Info'!B350</f>
        <v>METAL FINISHING CO.</v>
      </c>
      <c r="C350" s="207" t="s">
        <v>1318</v>
      </c>
      <c r="D350" s="207" t="str">
        <f>'Header Info'!C350</f>
        <v>OVEN #17</v>
      </c>
      <c r="E350" s="207" t="s">
        <v>3787</v>
      </c>
    </row>
    <row r="351" spans="2:5" x14ac:dyDescent="0.2">
      <c r="B351" s="207" t="str">
        <f>'Header Info'!B351</f>
        <v>METAL FINISHING CO.</v>
      </c>
      <c r="C351" s="207" t="s">
        <v>1339</v>
      </c>
      <c r="D351" s="207" t="str">
        <f>'Header Info'!C351</f>
        <v>Oven No. 5</v>
      </c>
      <c r="E351" s="207" t="s">
        <v>1342</v>
      </c>
    </row>
    <row r="352" spans="2:5" x14ac:dyDescent="0.2">
      <c r="B352" s="207" t="str">
        <f>'Header Info'!B352</f>
        <v>METAL FINISHING CO.</v>
      </c>
      <c r="C352" s="207" t="s">
        <v>1339</v>
      </c>
      <c r="D352" s="207" t="str">
        <f>'Header Info'!C352</f>
        <v>OVEN NO. 6</v>
      </c>
      <c r="E352" s="207" t="s">
        <v>3788</v>
      </c>
    </row>
    <row r="353" spans="2:5" x14ac:dyDescent="0.2">
      <c r="B353" s="207" t="str">
        <f>'Header Info'!B353</f>
        <v>METAL FINISHING CO.</v>
      </c>
      <c r="C353" s="207" t="s">
        <v>1339</v>
      </c>
      <c r="D353" s="207" t="str">
        <f>'Header Info'!C353</f>
        <v>PAINT BAKE OVEN NO. 14</v>
      </c>
      <c r="E353" s="207" t="s">
        <v>1972</v>
      </c>
    </row>
    <row r="354" spans="2:5" x14ac:dyDescent="0.2">
      <c r="B354" s="207" t="str">
        <f>'Header Info'!B354</f>
        <v>METAL FINISHING CO.</v>
      </c>
      <c r="C354" s="207" t="s">
        <v>1339</v>
      </c>
      <c r="D354" s="207" t="str">
        <f>'Header Info'!C354</f>
        <v>PAINT BAKE 15A</v>
      </c>
      <c r="E354" s="207" t="s">
        <v>1341</v>
      </c>
    </row>
    <row r="355" spans="2:5" x14ac:dyDescent="0.2">
      <c r="B355" s="207" t="str">
        <f>'Header Info'!B355</f>
        <v>METAL FINISHING CO.</v>
      </c>
      <c r="C355" s="207" t="s">
        <v>1778</v>
      </c>
      <c r="D355" s="207" t="str">
        <f>'Header Info'!C355</f>
        <v>OVEN NO. 3</v>
      </c>
      <c r="E355" s="207" t="s">
        <v>967</v>
      </c>
    </row>
    <row r="356" spans="2:5" x14ac:dyDescent="0.2">
      <c r="B356" s="207" t="str">
        <f>'Header Info'!B356</f>
        <v>MILLENNIUM CONCEPTS, INC.</v>
      </c>
      <c r="C356" s="207" t="s">
        <v>1778</v>
      </c>
      <c r="D356" s="207" t="str">
        <f>'Header Info'!C356</f>
        <v>CURE OVEN NO. 1</v>
      </c>
      <c r="E356" s="207" t="s">
        <v>984</v>
      </c>
    </row>
    <row r="357" spans="2:5" x14ac:dyDescent="0.2">
      <c r="B357" s="207" t="str">
        <f>'Header Info'!B357</f>
        <v>MILLENNIUM CONCEPTS, INC.</v>
      </c>
      <c r="C357" s="207" t="s">
        <v>1778</v>
      </c>
      <c r="D357" s="207" t="str">
        <f>'Header Info'!C357</f>
        <v>CURE OVEN NO. 1 Cessna</v>
      </c>
      <c r="E357" s="207" t="s">
        <v>982</v>
      </c>
    </row>
    <row r="358" spans="2:5" x14ac:dyDescent="0.2">
      <c r="B358" s="207" t="str">
        <f>'Header Info'!B358</f>
        <v>MILLENNIUM CONCEPTS, INC.</v>
      </c>
      <c r="C358" s="207" t="s">
        <v>1778</v>
      </c>
      <c r="D358" s="207" t="str">
        <f>'Header Info'!C358</f>
        <v>MCI-0169</v>
      </c>
      <c r="E358" s="207" t="s">
        <v>979</v>
      </c>
    </row>
    <row r="359" spans="2:5" x14ac:dyDescent="0.2">
      <c r="B359" s="207" t="str">
        <f>'Header Info'!B359</f>
        <v>MILLENNIUM CONCEPTS, INC.</v>
      </c>
      <c r="C359" s="207" t="s">
        <v>1778</v>
      </c>
      <c r="D359" s="207" t="str">
        <f>'Header Info'!C359</f>
        <v>MCI-0180</v>
      </c>
      <c r="E359" s="207" t="s">
        <v>973</v>
      </c>
    </row>
    <row r="360" spans="2:5" x14ac:dyDescent="0.2">
      <c r="B360" s="207" t="str">
        <f>'Header Info'!B360</f>
        <v>MILLENNIUM CONCEPTS, INC.</v>
      </c>
      <c r="C360" s="207" t="s">
        <v>1778</v>
      </c>
      <c r="D360" s="207" t="str">
        <f>'Header Info'!C360</f>
        <v>Wisconsin Oven MCI-0262</v>
      </c>
      <c r="E360" s="207" t="s">
        <v>970</v>
      </c>
    </row>
    <row r="361" spans="2:5" x14ac:dyDescent="0.2">
      <c r="B361" s="207" t="str">
        <f>'Header Info'!B361</f>
        <v>NATIONAL INSTITUTE FOR AVIATION RESEARCH</v>
      </c>
      <c r="C361" s="207" t="s">
        <v>1778</v>
      </c>
      <c r="D361" s="207" t="str">
        <f>'Header Info'!C361</f>
        <v>AUTOCLAVE NO. 1</v>
      </c>
      <c r="E361" s="207" t="s">
        <v>1926</v>
      </c>
    </row>
    <row r="362" spans="2:5" x14ac:dyDescent="0.2">
      <c r="B362" s="207" t="str">
        <f>'Header Info'!B362</f>
        <v>NATIONAL INSTITUTE FOR AVIATION RESEARCH</v>
      </c>
      <c r="C362" s="207" t="s">
        <v>1778</v>
      </c>
      <c r="D362" s="207" t="str">
        <f>'Header Info'!C362</f>
        <v>Autoclave No. 3</v>
      </c>
      <c r="E362" s="207" t="s">
        <v>1779</v>
      </c>
    </row>
    <row r="363" spans="2:5" x14ac:dyDescent="0.2">
      <c r="B363" s="207" t="str">
        <f>'Header Info'!B363</f>
        <v>NATIONAL INSTITUTE FOR AVIATION RESEARCH</v>
      </c>
      <c r="C363" s="207" t="s">
        <v>1778</v>
      </c>
      <c r="D363" s="207" t="str">
        <f>'Header Info'!C363</f>
        <v>D043039</v>
      </c>
      <c r="E363" s="207" t="s">
        <v>1780</v>
      </c>
    </row>
    <row r="364" spans="2:5" x14ac:dyDescent="0.2">
      <c r="B364" s="207" t="str">
        <f>'Header Info'!B364</f>
        <v>NATIONAL INSTITUTE FOR AVIATION RESEARCH</v>
      </c>
      <c r="C364" s="207" t="s">
        <v>1778</v>
      </c>
      <c r="D364" s="207" t="str">
        <f>'Header Info'!C364</f>
        <v>GRIEVE BACK OVEN</v>
      </c>
      <c r="E364" s="207" t="s">
        <v>3790</v>
      </c>
    </row>
    <row r="365" spans="2:5" x14ac:dyDescent="0.2">
      <c r="B365" s="207" t="str">
        <f>'Header Info'!B365</f>
        <v>NATIONAL INSTITUTE FOR AVIATION RESEARCH</v>
      </c>
      <c r="C365" s="207" t="s">
        <v>1778</v>
      </c>
      <c r="D365" s="207" t="str">
        <f>'Header Info'!C365</f>
        <v>GRIEVE OVEN NO. 1</v>
      </c>
      <c r="E365" s="207" t="s">
        <v>1781</v>
      </c>
    </row>
    <row r="366" spans="2:5" x14ac:dyDescent="0.2">
      <c r="B366" s="207" t="str">
        <f>'Header Info'!B366</f>
        <v>NATIONAL INSTITUTE FOR AVIATION RESEARCH</v>
      </c>
      <c r="C366" s="207" t="s">
        <v>1778</v>
      </c>
      <c r="D366" s="207" t="str">
        <f>'Header Info'!C366</f>
        <v>GRIEVE OVEN NO. 2</v>
      </c>
      <c r="E366" s="207" t="s">
        <v>961</v>
      </c>
    </row>
    <row r="367" spans="2:5" x14ac:dyDescent="0.2">
      <c r="B367" s="207" t="str">
        <f>'Header Info'!B367</f>
        <v>NATIONAL INSTITUTE FOR AVIATION RESEARCH</v>
      </c>
      <c r="C367" s="207" t="s">
        <v>1778</v>
      </c>
      <c r="D367" s="207" t="str">
        <f>'Header Info'!C367</f>
        <v>Outdoor Freezer</v>
      </c>
      <c r="E367" s="207" t="s">
        <v>963</v>
      </c>
    </row>
    <row r="368" spans="2:5" x14ac:dyDescent="0.2">
      <c r="B368" s="207" t="str">
        <f>'Header Info'!B368</f>
        <v>NATIONAL INSTITUTE FOR AVIATION RESEARCH</v>
      </c>
      <c r="C368" s="207" t="s">
        <v>1778</v>
      </c>
      <c r="D368" s="207" t="str">
        <f>'Header Info'!C368</f>
        <v>SMALL AUTOCLAVE</v>
      </c>
      <c r="E368" s="207" t="s">
        <v>3792</v>
      </c>
    </row>
    <row r="369" spans="2:5" x14ac:dyDescent="0.2">
      <c r="B369" s="207" t="str">
        <f>'Header Info'!B369</f>
        <v>NIAR ASTEC</v>
      </c>
      <c r="C369" s="207" t="s">
        <v>1778</v>
      </c>
      <c r="D369" s="207" t="str">
        <f>'Header Info'!C369</f>
        <v>Sector A Freezer</v>
      </c>
      <c r="E369" s="207" t="s">
        <v>966</v>
      </c>
    </row>
    <row r="370" spans="2:5" x14ac:dyDescent="0.2">
      <c r="B370" s="207" t="str">
        <f>'Header Info'!B370</f>
        <v>NIAR - QUALITY CONTROL &amp; STRAIN GAGE LAB</v>
      </c>
      <c r="C370" s="207" t="s">
        <v>1778</v>
      </c>
      <c r="D370" s="207" t="str">
        <f>'Header Info'!C370</f>
        <v>3x5 Autoclave</v>
      </c>
      <c r="E370" s="207" t="s">
        <v>965</v>
      </c>
    </row>
    <row r="371" spans="2:5" x14ac:dyDescent="0.2">
      <c r="B371" s="207" t="str">
        <f>'Header Info'!B371</f>
        <v>NIAR - QUALITY CONTROL &amp; STRAIN GAGE LAB</v>
      </c>
      <c r="C371" s="207" t="s">
        <v>1344</v>
      </c>
      <c r="D371" s="207" t="str">
        <f>'Header Info'!C371</f>
        <v>303N0018</v>
      </c>
      <c r="E371" s="207" t="s">
        <v>1345</v>
      </c>
    </row>
    <row r="372" spans="2:5" x14ac:dyDescent="0.2">
      <c r="B372" s="207" t="str">
        <f>'Header Info'!B372</f>
        <v>NIAR - QUALITY CONTROL &amp; STRAIN GAGE LAB</v>
      </c>
      <c r="C372" s="207" t="s">
        <v>1344</v>
      </c>
      <c r="D372" s="207">
        <f>'Header Info'!C372</f>
        <v>411462</v>
      </c>
      <c r="E372" s="207" t="s">
        <v>1347</v>
      </c>
    </row>
    <row r="373" spans="2:5" x14ac:dyDescent="0.2">
      <c r="B373" s="207" t="str">
        <f>'Header Info'!B373</f>
        <v>NIAR - QUALITY CONTROL &amp; STRAIN GAGE LAB</v>
      </c>
      <c r="C373" s="207" t="s">
        <v>1349</v>
      </c>
      <c r="D373" s="207" t="str">
        <f>'Header Info'!C373</f>
        <v>B9X00187</v>
      </c>
      <c r="E373" s="207" t="s">
        <v>1352</v>
      </c>
    </row>
    <row r="374" spans="2:5" x14ac:dyDescent="0.2">
      <c r="B374" s="207" t="str">
        <f>'Header Info'!B374</f>
        <v>NWI KANSAS CITY LLC</v>
      </c>
      <c r="C374" s="207" t="s">
        <v>1349</v>
      </c>
      <c r="D374" s="207" t="str">
        <f>'Header Info'!C374</f>
        <v>OVEN NO. 1</v>
      </c>
      <c r="E374" s="207" t="s">
        <v>1377</v>
      </c>
    </row>
    <row r="375" spans="2:5" x14ac:dyDescent="0.2">
      <c r="B375" s="207" t="str">
        <f>'Header Info'!B375</f>
        <v>NWI KANSAS CITY LLC</v>
      </c>
      <c r="C375" s="207" t="s">
        <v>1349</v>
      </c>
      <c r="D375" s="207" t="str">
        <f>'Header Info'!C375</f>
        <v>OVEN NO. 2</v>
      </c>
      <c r="E375" s="207" t="s">
        <v>3793</v>
      </c>
    </row>
    <row r="376" spans="2:5" x14ac:dyDescent="0.2">
      <c r="B376" s="207" t="str">
        <f>'Header Info'!B376</f>
        <v>ORIZON AEROSTRUCTURES ASSEMBLY</v>
      </c>
      <c r="C376" s="207" t="s">
        <v>1349</v>
      </c>
      <c r="D376" s="207" t="str">
        <f>'Header Info'!C376</f>
        <v>Spoven</v>
      </c>
      <c r="E376" s="207" t="s">
        <v>1861</v>
      </c>
    </row>
    <row r="377" spans="2:5" x14ac:dyDescent="0.2">
      <c r="B377" s="207" t="str">
        <f>'Header Info'!B377</f>
        <v>ORIZON AEROSTRUCTURES PROCESSING</v>
      </c>
      <c r="C377" s="207" t="s">
        <v>1349</v>
      </c>
      <c r="D377" s="207" t="str">
        <f>'Header Info'!C377</f>
        <v>A-23</v>
      </c>
      <c r="E377" s="207" t="s">
        <v>1374</v>
      </c>
    </row>
    <row r="378" spans="2:5" x14ac:dyDescent="0.2">
      <c r="B378" s="207" t="str">
        <f>'Header Info'!B378</f>
        <v>ORIZON AEROSTRUCTURES PROCESSING</v>
      </c>
      <c r="C378" s="207" t="s">
        <v>1349</v>
      </c>
      <c r="D378" s="207" t="str">
        <f>'Header Info'!C378</f>
        <v>OP-090</v>
      </c>
      <c r="E378" s="207" t="s">
        <v>1373</v>
      </c>
    </row>
    <row r="379" spans="2:5" x14ac:dyDescent="0.2">
      <c r="B379" s="207" t="str">
        <f>'Header Info'!B379</f>
        <v>ORIZON AEROSTRUCTURES PROCESSING</v>
      </c>
      <c r="C379" s="207" t="s">
        <v>1349</v>
      </c>
      <c r="D379" s="207" t="str">
        <f>'Header Info'!C379</f>
        <v>OP-107</v>
      </c>
      <c r="E379" s="207" t="s">
        <v>1372</v>
      </c>
    </row>
    <row r="380" spans="2:5" x14ac:dyDescent="0.2">
      <c r="B380" s="207" t="str">
        <f>'Header Info'!B380</f>
        <v>ORIZON AEROSTRUCTURES PROCESSING</v>
      </c>
      <c r="C380" s="207" t="s">
        <v>1349</v>
      </c>
      <c r="D380" s="207" t="str">
        <f>'Header Info'!C380</f>
        <v>Oven OV-1</v>
      </c>
      <c r="E380" s="207" t="s">
        <v>1350</v>
      </c>
    </row>
    <row r="381" spans="2:5" x14ac:dyDescent="0.2">
      <c r="B381" s="207" t="str">
        <f>'Header Info'!B381</f>
        <v>ORIZON AEROSTRUCTURES PROCESSING</v>
      </c>
      <c r="C381" s="207" t="s">
        <v>1349</v>
      </c>
      <c r="D381" s="207" t="str">
        <f>'Header Info'!C381</f>
        <v>Oven OV-2</v>
      </c>
      <c r="E381" s="207" t="s">
        <v>1375</v>
      </c>
    </row>
    <row r="382" spans="2:5" x14ac:dyDescent="0.2">
      <c r="B382" s="207" t="str">
        <f>'Header Info'!B382</f>
        <v>ORIZON AEROSTRUCTURES PROCESSING</v>
      </c>
      <c r="C382" s="207" t="s">
        <v>1349</v>
      </c>
      <c r="D382" s="207" t="str">
        <f>'Header Info'!C382</f>
        <v>Oven OV-3</v>
      </c>
      <c r="E382" s="207" t="s">
        <v>1354</v>
      </c>
    </row>
    <row r="383" spans="2:5" x14ac:dyDescent="0.2">
      <c r="B383" s="207" t="str">
        <f>'Header Info'!B383</f>
        <v>ORIZON AEROSTRUCTURES PROCESSING</v>
      </c>
      <c r="C383" s="207" t="s">
        <v>1349</v>
      </c>
      <c r="D383" s="207" t="str">
        <f>'Header Info'!C383</f>
        <v>PENETERANT DRYING OVEN OV-5</v>
      </c>
      <c r="E383" s="207" t="s">
        <v>1355</v>
      </c>
    </row>
    <row r="384" spans="2:5" x14ac:dyDescent="0.2">
      <c r="B384" s="207" t="str">
        <f>'Header Info'!B384</f>
        <v>ORIZON AEROSTRUCTURES PROCESSING</v>
      </c>
      <c r="C384" s="207" t="s">
        <v>1349</v>
      </c>
      <c r="D384" s="207" t="str">
        <f>'Header Info'!C384</f>
        <v>OV-6</v>
      </c>
      <c r="E384" s="207" t="s">
        <v>1357</v>
      </c>
    </row>
    <row r="385" spans="2:5" x14ac:dyDescent="0.2">
      <c r="B385" s="207" t="str">
        <f>'Header Info'!B385</f>
        <v>ORIZON AEROSTRUCTURES PROCESSING</v>
      </c>
      <c r="C385" s="207" t="s">
        <v>1349</v>
      </c>
      <c r="D385" s="207" t="str">
        <f>'Header Info'!C385</f>
        <v>Tank A16 Chem Film</v>
      </c>
      <c r="E385" s="207" t="s">
        <v>1359</v>
      </c>
    </row>
    <row r="386" spans="2:5" x14ac:dyDescent="0.2">
      <c r="B386" s="207" t="str">
        <f>'Header Info'!B386</f>
        <v>ORIZON AEROSTRUCTURES PROCESSING</v>
      </c>
      <c r="C386" s="207" t="s">
        <v>1349</v>
      </c>
      <c r="D386" s="207" t="str">
        <f>'Header Info'!C386</f>
        <v>Tank A25</v>
      </c>
      <c r="E386" s="207" t="s">
        <v>1361</v>
      </c>
    </row>
    <row r="387" spans="2:5" x14ac:dyDescent="0.2">
      <c r="B387" s="207" t="str">
        <f>'Header Info'!B387</f>
        <v>OXWELL, INC.</v>
      </c>
      <c r="C387" s="207" t="s">
        <v>1349</v>
      </c>
      <c r="D387" s="207" t="str">
        <f>'Header Info'!C387</f>
        <v>AGING OVEN NO. 1</v>
      </c>
      <c r="E387" s="207" t="s">
        <v>1363</v>
      </c>
    </row>
    <row r="388" spans="2:5" x14ac:dyDescent="0.2">
      <c r="B388" s="207" t="str">
        <f>'Header Info'!B388</f>
        <v>OXWELL, INC.</v>
      </c>
      <c r="C388" s="207" t="s">
        <v>1349</v>
      </c>
      <c r="D388" s="207" t="str">
        <f>'Header Info'!C388</f>
        <v>SALT BATH</v>
      </c>
      <c r="E388" s="207" t="s">
        <v>1365</v>
      </c>
    </row>
    <row r="389" spans="2:5" x14ac:dyDescent="0.2">
      <c r="B389" s="207" t="str">
        <f>'Header Info'!B389</f>
        <v>PARAGON NDT</v>
      </c>
      <c r="C389" s="207" t="s">
        <v>1349</v>
      </c>
      <c r="D389" s="207" t="str">
        <f>'Header Info'!C389</f>
        <v>Drying Oven No. 5</v>
      </c>
      <c r="E389" s="207" t="s">
        <v>1367</v>
      </c>
    </row>
    <row r="390" spans="2:5" x14ac:dyDescent="0.2">
      <c r="B390" s="207" t="str">
        <f>'Header Info'!B390</f>
        <v>PARAGON NDT</v>
      </c>
      <c r="C390" s="207" t="s">
        <v>1349</v>
      </c>
      <c r="D390" s="207" t="str">
        <f>'Header Info'!C390</f>
        <v>PT Oven No. 1</v>
      </c>
      <c r="E390" s="207" t="s">
        <v>1368</v>
      </c>
    </row>
    <row r="391" spans="2:5" x14ac:dyDescent="0.2">
      <c r="B391" s="207" t="str">
        <f>'Header Info'!B391</f>
        <v>PARAGON SERVICES, INC.</v>
      </c>
      <c r="C391" s="207" t="s">
        <v>1349</v>
      </c>
      <c r="D391" s="207" t="str">
        <f>'Header Info'!C391</f>
        <v>CURING OVEN NO. 1</v>
      </c>
      <c r="E391" s="207" t="s">
        <v>1370</v>
      </c>
    </row>
    <row r="392" spans="2:5" x14ac:dyDescent="0.2">
      <c r="B392" s="207" t="str">
        <f>'Header Info'!B392</f>
        <v>PARAGON SERVICES, INC.</v>
      </c>
      <c r="C392" s="207" t="s">
        <v>1379</v>
      </c>
      <c r="D392" s="207" t="str">
        <f>'Header Info'!C392</f>
        <v>CURING OVEN NO. 2</v>
      </c>
      <c r="E392" s="207" t="s">
        <v>1381</v>
      </c>
    </row>
    <row r="393" spans="2:5" x14ac:dyDescent="0.2">
      <c r="B393" s="207" t="str">
        <f>'Header Info'!B393</f>
        <v>PARAGON SERVICES, INC.</v>
      </c>
      <c r="C393" s="207" t="s">
        <v>1379</v>
      </c>
      <c r="D393" s="207" t="str">
        <f>'Header Info'!C393</f>
        <v>CURING OVEN NO. 3</v>
      </c>
      <c r="E393" s="207" t="s">
        <v>1383</v>
      </c>
    </row>
    <row r="394" spans="2:5" x14ac:dyDescent="0.2">
      <c r="B394" s="207" t="str">
        <f>'Header Info'!B394</f>
        <v>PARAGON SERVICES, INC.</v>
      </c>
      <c r="C394" s="207" t="s">
        <v>1379</v>
      </c>
      <c r="D394" s="207" t="str">
        <f>'Header Info'!C394</f>
        <v>CURING OVEN NO. 4</v>
      </c>
      <c r="E394" s="207" t="s">
        <v>1863</v>
      </c>
    </row>
    <row r="395" spans="2:5" x14ac:dyDescent="0.2">
      <c r="B395" s="207" t="str">
        <f>'Header Info'!B395</f>
        <v>PARAGON SERVICES, INC.</v>
      </c>
      <c r="C395" s="207" t="s">
        <v>1385</v>
      </c>
      <c r="D395" s="207" t="str">
        <f>'Header Info'!C395</f>
        <v>L11</v>
      </c>
      <c r="E395" s="207" t="s">
        <v>1912</v>
      </c>
    </row>
    <row r="396" spans="2:5" x14ac:dyDescent="0.2">
      <c r="B396" s="207" t="str">
        <f>'Header Info'!B396</f>
        <v>PARAGON SERVICES, INC.</v>
      </c>
      <c r="C396" s="207" t="s">
        <v>1385</v>
      </c>
      <c r="D396" s="207" t="str">
        <f>'Header Info'!C396</f>
        <v>PENETRANT DRYING OVEN</v>
      </c>
      <c r="E396" s="207" t="s">
        <v>1974</v>
      </c>
    </row>
    <row r="397" spans="2:5" x14ac:dyDescent="0.2">
      <c r="B397" s="207" t="str">
        <f>'Header Info'!B397</f>
        <v>PARAGON SERVICES, INC.</v>
      </c>
      <c r="C397" s="207" t="s">
        <v>1385</v>
      </c>
      <c r="D397" s="207" t="str">
        <f>'Header Info'!C397</f>
        <v>Tank L2</v>
      </c>
      <c r="E397" s="207" t="s">
        <v>1387</v>
      </c>
    </row>
    <row r="398" spans="2:5" x14ac:dyDescent="0.2">
      <c r="B398" s="207" t="str">
        <f>'Header Info'!B398</f>
        <v>PARAGON SERVICES, INC.</v>
      </c>
      <c r="C398" s="207" t="s">
        <v>1389</v>
      </c>
      <c r="D398" s="207" t="str">
        <f>'Header Info'!C398</f>
        <v>Tank L8</v>
      </c>
      <c r="E398" s="207" t="s">
        <v>1390</v>
      </c>
    </row>
    <row r="399" spans="2:5" x14ac:dyDescent="0.2">
      <c r="B399" s="207" t="str">
        <f>'Header Info'!B399</f>
        <v>PARAGON SERVICES, INC.</v>
      </c>
      <c r="C399" s="207" t="s">
        <v>1389</v>
      </c>
      <c r="D399" s="207" t="str">
        <f>'Header Info'!C399</f>
        <v>Tank L11</v>
      </c>
      <c r="E399" s="207" t="s">
        <v>1928</v>
      </c>
    </row>
    <row r="400" spans="2:5" x14ac:dyDescent="0.2">
      <c r="B400" s="207" t="str">
        <f>'Header Info'!B400</f>
        <v>PARAGON SERVICES, INC.</v>
      </c>
      <c r="C400" s="207" t="s">
        <v>1389</v>
      </c>
      <c r="D400" s="207" t="str">
        <f>'Header Info'!C400</f>
        <v>Tank L13</v>
      </c>
      <c r="E400" s="207" t="s">
        <v>1392</v>
      </c>
    </row>
    <row r="401" spans="2:5" x14ac:dyDescent="0.2">
      <c r="B401" s="207" t="str">
        <f>'Header Info'!B401</f>
        <v>PARAGON SERVICES, INC.</v>
      </c>
      <c r="C401" s="207" t="s">
        <v>1389</v>
      </c>
      <c r="D401" s="207" t="str">
        <f>'Header Info'!C401</f>
        <v>Tank L14</v>
      </c>
      <c r="E401" s="207" t="s">
        <v>1393</v>
      </c>
    </row>
    <row r="402" spans="2:5" x14ac:dyDescent="0.2">
      <c r="B402" s="207" t="str">
        <f>'Header Info'!B402</f>
        <v>PARAGON SERVICES, INC.-Sheridan</v>
      </c>
      <c r="C402" s="207" t="s">
        <v>1389</v>
      </c>
      <c r="D402" s="207" t="str">
        <f>'Header Info'!C402</f>
        <v>Tank No.S1</v>
      </c>
      <c r="E402" s="207" t="s">
        <v>1395</v>
      </c>
    </row>
    <row r="403" spans="2:5" x14ac:dyDescent="0.2">
      <c r="B403" s="207" t="str">
        <f>'Header Info'!B403</f>
        <v>PARAGON SERVICES, INC.-Sheridan</v>
      </c>
      <c r="C403" s="207" t="s">
        <v>1389</v>
      </c>
      <c r="D403" s="207" t="str">
        <f>'Header Info'!C403</f>
        <v>Tank No.S9</v>
      </c>
      <c r="E403" s="207" t="s">
        <v>1397</v>
      </c>
    </row>
    <row r="404" spans="2:5" x14ac:dyDescent="0.2">
      <c r="B404" s="207" t="str">
        <f>'Header Info'!B404</f>
        <v>PARK AEROSPACE TECHNOLOGIES CORP.</v>
      </c>
      <c r="C404" s="207" t="s">
        <v>1389</v>
      </c>
      <c r="D404" s="207" t="str">
        <f>'Header Info'!C404</f>
        <v>AUTOCLAVE NO. 2 per PS23401</v>
      </c>
      <c r="E404" s="207" t="s">
        <v>1399</v>
      </c>
    </row>
    <row r="405" spans="2:5" x14ac:dyDescent="0.2">
      <c r="B405" s="207" t="str">
        <f>'Header Info'!B405</f>
        <v>PARK AEROSPACE TECHNOLOGIES CORP.</v>
      </c>
      <c r="C405" s="207" t="s">
        <v>1389</v>
      </c>
      <c r="D405" s="207" t="str">
        <f>'Header Info'!C405</f>
        <v>AUTOCLAVE NO. 3</v>
      </c>
      <c r="E405" s="207" t="s">
        <v>1401</v>
      </c>
    </row>
    <row r="406" spans="2:5" x14ac:dyDescent="0.2">
      <c r="B406" s="207" t="str">
        <f>'Header Info'!B406</f>
        <v>PARK AEROSPACE TECHNOLOGIES CORP.</v>
      </c>
      <c r="C406" s="207" t="s">
        <v>1403</v>
      </c>
      <c r="D406" s="207" t="str">
        <f>'Header Info'!C406</f>
        <v>AUTOCLAVE NO. 3 per PS24301</v>
      </c>
      <c r="E406" s="207" t="s">
        <v>1407</v>
      </c>
    </row>
    <row r="407" spans="2:5" x14ac:dyDescent="0.2">
      <c r="B407" s="207" t="str">
        <f>'Header Info'!B407</f>
        <v>PARK AEROSPACE TECHNOLOGIES CORP.</v>
      </c>
      <c r="C407" s="207" t="s">
        <v>1403</v>
      </c>
      <c r="D407" s="207" t="str">
        <f>'Header Info'!C407</f>
        <v>Espec Env. Chamber BTL-433</v>
      </c>
      <c r="E407" s="207" t="s">
        <v>1976</v>
      </c>
    </row>
    <row r="408" spans="2:5" x14ac:dyDescent="0.2">
      <c r="B408" s="207" t="str">
        <f>'Header Info'!B408</f>
        <v>PARK AEROSPACE TECHNOLOGIES CORP.</v>
      </c>
      <c r="C408" s="207" t="s">
        <v>1403</v>
      </c>
      <c r="D408" s="207" t="str">
        <f>'Header Info'!C408</f>
        <v>MTS Environmental Chamber 1</v>
      </c>
      <c r="E408" s="207" t="s">
        <v>1405</v>
      </c>
    </row>
    <row r="409" spans="2:5" x14ac:dyDescent="0.2">
      <c r="B409" s="207" t="str">
        <f>'Header Info'!B409</f>
        <v>PARK AEROSPACE TECHNOLOGIES CORP.</v>
      </c>
      <c r="C409" s="207" t="s">
        <v>1408</v>
      </c>
      <c r="D409" s="207" t="str">
        <f>'Header Info'!C409</f>
        <v>MTS Environmental Chamber 2</v>
      </c>
      <c r="E409" s="207" t="s">
        <v>1410</v>
      </c>
    </row>
    <row r="410" spans="2:5" x14ac:dyDescent="0.2">
      <c r="B410" s="207" t="str">
        <f>'Header Info'!B410</f>
        <v>PARK AEROSPACE TECHNOLOGIES CORP.</v>
      </c>
      <c r="C410" s="207" t="s">
        <v>1408</v>
      </c>
      <c r="D410" s="207" t="str">
        <f>'Header Info'!C410</f>
        <v>OV1200</v>
      </c>
      <c r="E410" s="207" t="s">
        <v>1411</v>
      </c>
    </row>
    <row r="411" spans="2:5" x14ac:dyDescent="0.2">
      <c r="B411" s="207" t="str">
        <f>'Header Info'!B411</f>
        <v>PARK AEROSPACE TECHNOLOGIES CORP.</v>
      </c>
      <c r="C411" s="207" t="s">
        <v>1408</v>
      </c>
      <c r="D411" s="207" t="str">
        <f>'Header Info'!C411</f>
        <v>OV1300</v>
      </c>
      <c r="E411" s="207" t="s">
        <v>1412</v>
      </c>
    </row>
    <row r="412" spans="2:5" x14ac:dyDescent="0.2">
      <c r="B412" s="207" t="str">
        <f>'Header Info'!B412</f>
        <v>PARK AEROSPACE TECHNOLOGIES CORP.</v>
      </c>
      <c r="C412" s="207" t="s">
        <v>1408</v>
      </c>
      <c r="D412" s="207" t="str">
        <f>'Header Info'!C412</f>
        <v>Oven 13 160</v>
      </c>
      <c r="E412" s="207" t="s">
        <v>1782</v>
      </c>
    </row>
    <row r="413" spans="2:5" x14ac:dyDescent="0.2">
      <c r="B413" s="207" t="str">
        <f>'Header Info'!B413</f>
        <v>PARK AEROSPACE TECHNOLOGIES CORP.</v>
      </c>
      <c r="C413" s="207" t="s">
        <v>1408</v>
      </c>
      <c r="D413" s="207" t="str">
        <f>'Header Info'!C413</f>
        <v>Oven 19008</v>
      </c>
      <c r="E413" s="207" t="s">
        <v>1409</v>
      </c>
    </row>
    <row r="414" spans="2:5" x14ac:dyDescent="0.2">
      <c r="B414" s="207" t="str">
        <f>'Header Info'!B414</f>
        <v>PARK AEROSPACE TECHNOLOGIES CORP.</v>
      </c>
      <c r="C414" s="207" t="s">
        <v>1583</v>
      </c>
      <c r="D414" s="207" t="str">
        <f>'Header Info'!C414</f>
        <v>Oven No. 5316-1</v>
      </c>
      <c r="E414" s="207" t="s">
        <v>1584</v>
      </c>
    </row>
    <row r="415" spans="2:5" x14ac:dyDescent="0.2">
      <c r="B415" s="207" t="str">
        <f>'Header Info'!B415</f>
        <v>PARK AEROSPACE TECHNOLOGIES CORP.</v>
      </c>
      <c r="C415" s="207" t="s">
        <v>1583</v>
      </c>
      <c r="D415" s="207" t="str">
        <f>'Header Info'!C415</f>
        <v>Oven No. 5316-2</v>
      </c>
      <c r="E415" s="207" t="s">
        <v>1978</v>
      </c>
    </row>
    <row r="416" spans="2:5" x14ac:dyDescent="0.2">
      <c r="B416" s="207" t="str">
        <f>'Header Info'!B416</f>
        <v>PARK AEROSPACE TECHNOLOGIES CORP.</v>
      </c>
      <c r="C416" s="207" t="s">
        <v>1413</v>
      </c>
      <c r="D416" s="207" t="str">
        <f>'Header Info'!C416</f>
        <v>SMALL WISCONSIN</v>
      </c>
      <c r="E416" s="207" t="s">
        <v>1414</v>
      </c>
    </row>
    <row r="417" spans="2:5" x14ac:dyDescent="0.2">
      <c r="B417" s="207" t="str">
        <f>'Header Info'!B417</f>
        <v>PARK AEROSPACE TECHNOLOGIES CORP.</v>
      </c>
      <c r="C417" s="207" t="s">
        <v>1413</v>
      </c>
      <c r="D417" s="207" t="str">
        <f>'Header Info'!C417</f>
        <v>WISCONSIN OVEN ZONE 1 &amp; 2</v>
      </c>
      <c r="E417" s="207" t="s">
        <v>1914</v>
      </c>
    </row>
    <row r="418" spans="2:5" x14ac:dyDescent="0.2">
      <c r="B418" s="207" t="str">
        <f>'Header Info'!B418</f>
        <v>PARK AEROSPACE TECHNOLOGIES CORP.</v>
      </c>
      <c r="C418" s="207" t="s">
        <v>1413</v>
      </c>
      <c r="D418" s="207" t="str">
        <f>'Header Info'!C418</f>
        <v>WISCONSIN OVEN ZONE 1</v>
      </c>
      <c r="E418" s="207" t="s">
        <v>1817</v>
      </c>
    </row>
    <row r="419" spans="2:5" x14ac:dyDescent="0.2">
      <c r="B419" s="207" t="str">
        <f>'Header Info'!B419</f>
        <v>PARK AEROSPACE TECHNOLOGIES CORP.</v>
      </c>
      <c r="C419" s="207" t="s">
        <v>1413</v>
      </c>
      <c r="D419" s="207" t="str">
        <f>'Header Info'!C419</f>
        <v>WISCONSIN OVEN ZONE 2</v>
      </c>
      <c r="E419" s="207" t="s">
        <v>3795</v>
      </c>
    </row>
    <row r="420" spans="2:5" x14ac:dyDescent="0.2">
      <c r="B420" s="207" t="str">
        <f>'Header Info'!B420</f>
        <v>PERFEKTA, INC.</v>
      </c>
      <c r="C420" s="207" t="s">
        <v>1413</v>
      </c>
      <c r="D420" s="207" t="str">
        <f>'Header Info'!C420</f>
        <v>FURNACE NO. 1 (OVEN 0503)</v>
      </c>
      <c r="E420" s="207" t="s">
        <v>1828</v>
      </c>
    </row>
    <row r="421" spans="2:5" x14ac:dyDescent="0.2">
      <c r="B421" s="207" t="str">
        <f>'Header Info'!B421</f>
        <v>PREMIER PROCESSING</v>
      </c>
      <c r="C421" s="207" t="s">
        <v>1413</v>
      </c>
      <c r="D421" s="207" t="str">
        <f>'Header Info'!C421</f>
        <v>CURING OVEN</v>
      </c>
      <c r="E421" s="207" t="s">
        <v>1815</v>
      </c>
    </row>
    <row r="422" spans="2:5" x14ac:dyDescent="0.2">
      <c r="B422" s="207" t="str">
        <f>'Header Info'!B422</f>
        <v>PREMIER PROCESSING</v>
      </c>
      <c r="C422" s="207" t="s">
        <v>1413</v>
      </c>
      <c r="D422" s="207" t="str">
        <f>'Header Info'!C422</f>
        <v>OVB100</v>
      </c>
      <c r="E422" s="207" t="s">
        <v>1826</v>
      </c>
    </row>
    <row r="423" spans="2:5" x14ac:dyDescent="0.2">
      <c r="B423" s="207" t="str">
        <f>'Header Info'!B423</f>
        <v>PREMIER PROCESSING</v>
      </c>
      <c r="C423" s="207" t="s">
        <v>1413</v>
      </c>
      <c r="D423" s="207" t="str">
        <f>'Header Info'!C423</f>
        <v>PBA200</v>
      </c>
      <c r="E423" s="207" t="s">
        <v>1823</v>
      </c>
    </row>
    <row r="424" spans="2:5" x14ac:dyDescent="0.2">
      <c r="B424" s="207" t="str">
        <f>'Header Info'!B424</f>
        <v>PREMIER PROCESSING</v>
      </c>
      <c r="C424" s="207" t="s">
        <v>1413</v>
      </c>
      <c r="D424" s="207" t="str">
        <f>'Header Info'!C424</f>
        <v>PENETRANT OVEN 1</v>
      </c>
      <c r="E424" s="207" t="s">
        <v>1821</v>
      </c>
    </row>
    <row r="425" spans="2:5" x14ac:dyDescent="0.2">
      <c r="B425" s="207" t="str">
        <f>'Header Info'!B425</f>
        <v>PREMIER PROCESSING</v>
      </c>
      <c r="C425" s="207" t="s">
        <v>1413</v>
      </c>
      <c r="D425" s="207" t="str">
        <f>'Header Info'!C425</f>
        <v>PT2E200</v>
      </c>
      <c r="E425" s="207" t="s">
        <v>1819</v>
      </c>
    </row>
    <row r="426" spans="2:5" x14ac:dyDescent="0.2">
      <c r="B426" s="207" t="str">
        <f>'Header Info'!B426</f>
        <v>PREMIER PROCESSING</v>
      </c>
      <c r="C426" s="207" t="s">
        <v>1416</v>
      </c>
      <c r="D426" s="207" t="str">
        <f>'Header Info'!C426</f>
        <v>WISCONSIN OVEN OVC-100</v>
      </c>
      <c r="E426" s="207" t="s">
        <v>1418</v>
      </c>
    </row>
    <row r="427" spans="2:5" x14ac:dyDescent="0.2">
      <c r="B427" s="207" t="str">
        <f>'Header Info'!B427</f>
        <v>PREMIER PROCESSING</v>
      </c>
      <c r="C427" s="207" t="s">
        <v>1416</v>
      </c>
      <c r="D427" s="207" t="str">
        <f>'Header Info'!C427</f>
        <v>Tank No. 103</v>
      </c>
      <c r="E427" s="207" t="s">
        <v>1420</v>
      </c>
    </row>
    <row r="428" spans="2:5" x14ac:dyDescent="0.2">
      <c r="B428" s="207" t="str">
        <f>'Header Info'!B428</f>
        <v>PREMIER PROCESSING</v>
      </c>
      <c r="C428" s="207" t="s">
        <v>1784</v>
      </c>
      <c r="D428" s="207" t="str">
        <f>'Header Info'!C428</f>
        <v>Tank No. 104</v>
      </c>
      <c r="E428" s="207" t="s">
        <v>1786</v>
      </c>
    </row>
    <row r="429" spans="2:5" x14ac:dyDescent="0.2">
      <c r="B429" s="207" t="str">
        <f>'Header Info'!B429</f>
        <v>PREMIER PROCESSING</v>
      </c>
      <c r="C429" s="207" t="s">
        <v>1422</v>
      </c>
      <c r="D429" s="207" t="str">
        <f>'Header Info'!C429</f>
        <v>Tank No. 107</v>
      </c>
      <c r="E429" s="207" t="s">
        <v>1424</v>
      </c>
    </row>
    <row r="430" spans="2:5" x14ac:dyDescent="0.2">
      <c r="B430" s="207" t="str">
        <f>'Header Info'!B430</f>
        <v>PREMIER PROCESSING</v>
      </c>
      <c r="C430" s="207" t="s">
        <v>1422</v>
      </c>
      <c r="D430" s="207" t="str">
        <f>'Header Info'!C430</f>
        <v>Tank No. 108</v>
      </c>
      <c r="E430" s="207" t="s">
        <v>1425</v>
      </c>
    </row>
    <row r="431" spans="2:5" x14ac:dyDescent="0.2">
      <c r="B431" s="207" t="str">
        <f>'Header Info'!B431</f>
        <v>PREMIER PROCESSING</v>
      </c>
      <c r="C431" s="207" t="s">
        <v>1422</v>
      </c>
      <c r="D431" s="207" t="str">
        <f>'Header Info'!C431</f>
        <v>Tank No. 111</v>
      </c>
      <c r="E431" s="207" t="s">
        <v>1428</v>
      </c>
    </row>
    <row r="432" spans="2:5" x14ac:dyDescent="0.2">
      <c r="B432" s="207" t="str">
        <f>'Header Info'!B432</f>
        <v>PREMIER PROCESSING</v>
      </c>
      <c r="C432" s="207" t="s">
        <v>1422</v>
      </c>
      <c r="D432" s="207" t="str">
        <f>'Header Info'!C432</f>
        <v>Tank No. 114</v>
      </c>
      <c r="E432" s="207" t="s">
        <v>1430</v>
      </c>
    </row>
    <row r="433" spans="2:5" x14ac:dyDescent="0.2">
      <c r="B433" s="207" t="str">
        <f>'Header Info'!B433</f>
        <v>PREMIER PROCESSING</v>
      </c>
      <c r="C433" s="207" t="s">
        <v>1422</v>
      </c>
      <c r="D433" s="207" t="str">
        <f>'Header Info'!C433</f>
        <v>Tank No. 117</v>
      </c>
      <c r="E433" s="207" t="s">
        <v>1426</v>
      </c>
    </row>
    <row r="434" spans="2:5" x14ac:dyDescent="0.2">
      <c r="B434" s="207" t="str">
        <f>'Header Info'!B434</f>
        <v>PREMIER PROCESSING</v>
      </c>
      <c r="C434" s="207" t="s">
        <v>1432</v>
      </c>
      <c r="D434" s="207" t="str">
        <f>'Header Info'!C434</f>
        <v>Tank No. 203</v>
      </c>
      <c r="E434" s="207" t="s">
        <v>3796</v>
      </c>
    </row>
    <row r="435" spans="2:5" x14ac:dyDescent="0.2">
      <c r="B435" s="207" t="str">
        <f>'Header Info'!B435</f>
        <v>PREMIER PROCESSING</v>
      </c>
      <c r="C435" s="207" t="s">
        <v>1432</v>
      </c>
      <c r="D435" s="207" t="str">
        <f>'Header Info'!C435</f>
        <v>Tank No. 204</v>
      </c>
      <c r="E435" s="207" t="s">
        <v>1435</v>
      </c>
    </row>
    <row r="436" spans="2:5" x14ac:dyDescent="0.2">
      <c r="B436" s="207" t="str">
        <f>'Header Info'!B436</f>
        <v>PREMIER PROCESSING</v>
      </c>
      <c r="C436" s="207" t="s">
        <v>1432</v>
      </c>
      <c r="D436" s="207" t="str">
        <f>'Header Info'!C436</f>
        <v>Tank No. 207</v>
      </c>
      <c r="E436" s="207" t="s">
        <v>1434</v>
      </c>
    </row>
    <row r="437" spans="2:5" x14ac:dyDescent="0.2">
      <c r="B437" s="207" t="str">
        <f>'Header Info'!B437</f>
        <v>PREMIER PROCESSING</v>
      </c>
      <c r="C437" s="207" t="s">
        <v>1432</v>
      </c>
      <c r="D437" s="207" t="str">
        <f>'Header Info'!C437</f>
        <v>Tank No. 210</v>
      </c>
      <c r="E437" s="207" t="s">
        <v>1433</v>
      </c>
    </row>
    <row r="438" spans="2:5" x14ac:dyDescent="0.2">
      <c r="B438" s="207" t="str">
        <f>'Header Info'!B438</f>
        <v>PREMIER PROCESSING</v>
      </c>
      <c r="C438" s="207" t="s">
        <v>1432</v>
      </c>
      <c r="D438" s="207" t="str">
        <f>'Header Info'!C438</f>
        <v>Tank No. 211</v>
      </c>
      <c r="E438" s="207" t="s">
        <v>1788</v>
      </c>
    </row>
    <row r="439" spans="2:5" x14ac:dyDescent="0.2">
      <c r="B439" s="207" t="str">
        <f>'Header Info'!B439</f>
        <v>PREMIER PROCESSING</v>
      </c>
      <c r="C439" s="207" t="s">
        <v>1432</v>
      </c>
      <c r="D439" s="207" t="str">
        <f>'Header Info'!C439</f>
        <v>Tank No. 214</v>
      </c>
      <c r="E439" s="207" t="s">
        <v>1865</v>
      </c>
    </row>
    <row r="440" spans="2:5" x14ac:dyDescent="0.2">
      <c r="B440" s="207" t="str">
        <f>'Header Info'!B440</f>
        <v>PREMIER PROCESSING</v>
      </c>
      <c r="C440" s="207" t="s">
        <v>1432</v>
      </c>
      <c r="D440" s="207" t="str">
        <f>'Header Info'!C440</f>
        <v>Tank No. 217</v>
      </c>
      <c r="E440" s="207" t="s">
        <v>3797</v>
      </c>
    </row>
    <row r="441" spans="2:5" x14ac:dyDescent="0.2">
      <c r="B441" s="207" t="str">
        <f>'Header Info'!B441</f>
        <v>PRODUCT MANUFACTURING CORPORATION</v>
      </c>
      <c r="C441" s="207" t="s">
        <v>1432</v>
      </c>
      <c r="D441" s="207">
        <f>'Header Info'!C441</f>
        <v>330735</v>
      </c>
      <c r="E441" s="207" t="s">
        <v>1787</v>
      </c>
    </row>
    <row r="442" spans="2:5" x14ac:dyDescent="0.2">
      <c r="B442" s="207" t="str">
        <f>'Header Info'!B442</f>
        <v>PRODUCT MANUFACTURING CORPORATION</v>
      </c>
      <c r="C442" s="207" t="s">
        <v>1432</v>
      </c>
      <c r="D442" s="207" t="str">
        <f>'Header Info'!C442</f>
        <v>Cure Oven No. 1</v>
      </c>
      <c r="E442" s="207" t="s">
        <v>1981</v>
      </c>
    </row>
    <row r="443" spans="2:5" x14ac:dyDescent="0.2">
      <c r="B443" s="207" t="str">
        <f>'Header Info'!B443</f>
        <v>PRODUCT MANUFACTURING CORPORATION</v>
      </c>
      <c r="C443" s="207" t="s">
        <v>1432</v>
      </c>
      <c r="D443" s="207" t="str">
        <f>'Header Info'!C443</f>
        <v>CHEST FREEZER</v>
      </c>
      <c r="E443" s="207" t="s">
        <v>1443</v>
      </c>
    </row>
    <row r="444" spans="2:5" x14ac:dyDescent="0.2">
      <c r="B444" s="207" t="str">
        <f>'Header Info'!B444</f>
        <v>PRODUCT MANUFACTURING CORPORATION</v>
      </c>
      <c r="C444" s="207" t="s">
        <v>1432</v>
      </c>
      <c r="D444" s="207" t="str">
        <f>'Header Info'!C444</f>
        <v>FREEZER 31953581</v>
      </c>
      <c r="E444" s="207" t="s">
        <v>1437</v>
      </c>
    </row>
    <row r="445" spans="2:5" x14ac:dyDescent="0.2">
      <c r="B445" s="207" t="str">
        <f>'Header Info'!B445</f>
        <v>PRODUCT MANUFACTURING CORPORATION</v>
      </c>
      <c r="C445" s="207" t="s">
        <v>1432</v>
      </c>
      <c r="D445" s="207" t="str">
        <f>'Header Info'!C445</f>
        <v>FREEZER CHE221023</v>
      </c>
      <c r="E445" s="207" t="s">
        <v>1932</v>
      </c>
    </row>
    <row r="446" spans="2:5" x14ac:dyDescent="0.2">
      <c r="B446" s="207" t="str">
        <f>'Header Info'!B446</f>
        <v>PRODUCT MANUFACTURING CORPORATION</v>
      </c>
      <c r="C446" s="207" t="s">
        <v>1432</v>
      </c>
      <c r="D446" s="207" t="str">
        <f>'Header Info'!C446</f>
        <v>FREEZER NO. 3</v>
      </c>
      <c r="E446" s="207" t="s">
        <v>1441</v>
      </c>
    </row>
    <row r="447" spans="2:5" x14ac:dyDescent="0.2">
      <c r="B447" s="207" t="str">
        <f>'Header Info'!B447</f>
        <v>PRODUCT MANUFACTURING CORPORATION</v>
      </c>
      <c r="C447" s="207" t="s">
        <v>1432</v>
      </c>
      <c r="D447" s="207" t="str">
        <f>'Header Info'!C447</f>
        <v>FREEZER NO. 4</v>
      </c>
      <c r="E447" s="207" t="s">
        <v>1439</v>
      </c>
    </row>
    <row r="448" spans="2:5" x14ac:dyDescent="0.2">
      <c r="B448" s="207" t="str">
        <f>'Header Info'!B448</f>
        <v>PRODUCT MANUFACTURING CORPORATION</v>
      </c>
      <c r="C448" s="207" t="s">
        <v>1432</v>
      </c>
      <c r="D448" s="207" t="str">
        <f>'Header Info'!C448</f>
        <v>FREEZER NO. 5</v>
      </c>
      <c r="E448" s="207" t="s">
        <v>1930</v>
      </c>
    </row>
    <row r="449" spans="2:5" x14ac:dyDescent="0.2">
      <c r="B449" s="207" t="str">
        <f>'Header Info'!B449</f>
        <v>PRODUCT MANUFACTURING CORPORATION</v>
      </c>
      <c r="C449" s="207" t="s">
        <v>1432</v>
      </c>
      <c r="D449" s="207" t="str">
        <f>'Header Info'!C449</f>
        <v>CHEST FREEZER NO. 7</v>
      </c>
      <c r="E449" s="207" t="s">
        <v>3798</v>
      </c>
    </row>
    <row r="450" spans="2:5" x14ac:dyDescent="0.2">
      <c r="B450" s="207" t="str">
        <f>'Header Info'!B450</f>
        <v>PRODUCT MANUFACTURING CORPORATION</v>
      </c>
      <c r="C450" s="207" t="s">
        <v>1445</v>
      </c>
      <c r="D450" s="207" t="str">
        <f>'Header Info'!C450</f>
        <v>FREEZER NO. 8</v>
      </c>
      <c r="E450" s="207" t="s">
        <v>1447</v>
      </c>
    </row>
    <row r="451" spans="2:5" x14ac:dyDescent="0.2">
      <c r="B451" s="207" t="str">
        <f>'Header Info'!B451</f>
        <v>PRODUCT MANUFACTURING CORPORATION</v>
      </c>
      <c r="C451" s="207" t="s">
        <v>1449</v>
      </c>
      <c r="D451" s="207" t="str">
        <f>'Header Info'!C451</f>
        <v>FREEZER NO. 11</v>
      </c>
      <c r="E451" s="207" t="s">
        <v>1451</v>
      </c>
    </row>
    <row r="452" spans="2:5" x14ac:dyDescent="0.2">
      <c r="B452" s="207" t="str">
        <f>'Header Info'!B452</f>
        <v>PRODUCT MANUFACTURING CORPORATION</v>
      </c>
      <c r="C452" s="207" t="s">
        <v>1449</v>
      </c>
      <c r="D452" s="207" t="str">
        <f>'Header Info'!C452</f>
        <v>FREEZER NO. 13</v>
      </c>
      <c r="E452" s="207" t="s">
        <v>1453</v>
      </c>
    </row>
    <row r="453" spans="2:5" x14ac:dyDescent="0.2">
      <c r="B453" s="207" t="str">
        <f>'Header Info'!B453</f>
        <v>PRODUCT MANUFACTURING CORPORATION</v>
      </c>
      <c r="C453" s="207" t="s">
        <v>1449</v>
      </c>
      <c r="D453" s="207" t="str">
        <f>'Header Info'!C453</f>
        <v>HONDA NO. 1 FREEZER</v>
      </c>
      <c r="E453" s="207" t="s">
        <v>1455</v>
      </c>
    </row>
    <row r="454" spans="2:5" x14ac:dyDescent="0.2">
      <c r="B454" s="207" t="str">
        <f>'Header Info'!B454</f>
        <v>PRODUCT MANUFACTURING CORPORATION</v>
      </c>
      <c r="C454" s="207" t="s">
        <v>1449</v>
      </c>
      <c r="D454" s="207" t="str">
        <f>'Header Info'!C454</f>
        <v>OVEN NO. 157157</v>
      </c>
      <c r="E454" s="207" t="s">
        <v>1983</v>
      </c>
    </row>
    <row r="455" spans="2:5" x14ac:dyDescent="0.2">
      <c r="B455" s="207" t="str">
        <f>'Header Info'!B455</f>
        <v>PRODUCT MANUFACTURING CORPORATION</v>
      </c>
      <c r="C455" s="207" t="s">
        <v>1457</v>
      </c>
      <c r="D455" s="207" t="str">
        <f>'Header Info'!C455</f>
        <v>OVEN NO. 09150004</v>
      </c>
      <c r="E455" s="207" t="s">
        <v>1867</v>
      </c>
    </row>
    <row r="456" spans="2:5" x14ac:dyDescent="0.2">
      <c r="B456" s="207" t="str">
        <f>'Header Info'!B456</f>
        <v>PRODUCT MANUFACTURING CORPORATION</v>
      </c>
      <c r="C456" s="207" t="s">
        <v>1457</v>
      </c>
      <c r="D456" s="207" t="str">
        <f>'Header Info'!C456</f>
        <v>OVEN NO.14-0581433</v>
      </c>
      <c r="E456" s="207" t="s">
        <v>1935</v>
      </c>
    </row>
    <row r="457" spans="2:5" x14ac:dyDescent="0.2">
      <c r="B457" s="207" t="str">
        <f>'Header Info'!B457</f>
        <v>PRODUCT MANUFACTURING CORPORATION</v>
      </c>
      <c r="C457" s="207" t="s">
        <v>1457</v>
      </c>
      <c r="D457" s="207" t="str">
        <f>'Header Info'!C457</f>
        <v>Oven No. 142142</v>
      </c>
      <c r="E457" s="207" t="s">
        <v>1933</v>
      </c>
    </row>
    <row r="458" spans="2:5" x14ac:dyDescent="0.2">
      <c r="B458" s="207" t="str">
        <f>'Header Info'!B458</f>
        <v>PRODUCT MANUFACTURING CORPORATION</v>
      </c>
      <c r="C458" s="207" t="s">
        <v>1457</v>
      </c>
      <c r="D458" s="207" t="str">
        <f>'Header Info'!C458</f>
        <v>Upright Freezer #2</v>
      </c>
      <c r="E458" s="207" t="s">
        <v>3799</v>
      </c>
    </row>
    <row r="459" spans="2:5" x14ac:dyDescent="0.2">
      <c r="B459" s="207" t="str">
        <f>'Header Info'!B459</f>
        <v>PRODUCT MANUFACTURING CORPORATION</v>
      </c>
      <c r="C459" s="207" t="s">
        <v>1457</v>
      </c>
      <c r="D459" s="207" t="str">
        <f>'Header Info'!C459</f>
        <v>Upright Freezer #12</v>
      </c>
      <c r="E459" s="207" t="s">
        <v>1488</v>
      </c>
    </row>
    <row r="460" spans="2:5" x14ac:dyDescent="0.2">
      <c r="B460" s="207" t="str">
        <f>'Header Info'!B460</f>
        <v>PRODUCT MANUFACTURING CORPORATION</v>
      </c>
      <c r="C460" s="207" t="s">
        <v>1457</v>
      </c>
      <c r="D460" s="207" t="str">
        <f>'Header Info'!C460</f>
        <v>Upright Freezer #15</v>
      </c>
      <c r="E460" s="207" t="s">
        <v>1463</v>
      </c>
    </row>
    <row r="461" spans="2:5" x14ac:dyDescent="0.2">
      <c r="B461" s="207" t="str">
        <f>'Header Info'!B461</f>
        <v>PRODUCT MANUFACTURING CORPORATION</v>
      </c>
      <c r="C461" s="207" t="s">
        <v>1457</v>
      </c>
      <c r="D461" s="207" t="str">
        <f>'Header Info'!C461</f>
        <v>Upright Freezer #20</v>
      </c>
      <c r="E461" s="207" t="s">
        <v>1461</v>
      </c>
    </row>
    <row r="462" spans="2:5" x14ac:dyDescent="0.2">
      <c r="B462" s="207" t="str">
        <f>'Header Info'!B462</f>
        <v>PRODUCT MANUFACTURING CORPORATION</v>
      </c>
      <c r="C462" s="207" t="s">
        <v>1457</v>
      </c>
      <c r="D462" s="207" t="str">
        <f>'Header Info'!C462</f>
        <v>Upright Freezer 300072009</v>
      </c>
      <c r="E462" s="207" t="s">
        <v>1459</v>
      </c>
    </row>
    <row r="463" spans="2:5" x14ac:dyDescent="0.2">
      <c r="B463" s="207" t="str">
        <f>'Header Info'!B463</f>
        <v>PRODUCT MANUFACTURING CORPORATION</v>
      </c>
      <c r="C463" s="207" t="s">
        <v>1457</v>
      </c>
      <c r="D463" s="207" t="str">
        <f>'Header Info'!C463</f>
        <v>UPRIGHT FREEZER NO. 16</v>
      </c>
      <c r="E463" s="207" t="s">
        <v>1465</v>
      </c>
    </row>
    <row r="464" spans="2:5" x14ac:dyDescent="0.2">
      <c r="B464" s="207" t="str">
        <f>'Header Info'!B464</f>
        <v>PRODUCT MANUFACTURING CORPORATION</v>
      </c>
      <c r="C464" s="207" t="s">
        <v>1457</v>
      </c>
      <c r="D464" s="207" t="str">
        <f>'Header Info'!C464</f>
        <v>Upright Freezer No. 17</v>
      </c>
      <c r="E464" s="207" t="s">
        <v>1467</v>
      </c>
    </row>
    <row r="465" spans="2:5" x14ac:dyDescent="0.2">
      <c r="B465" s="207" t="str">
        <f>'Header Info'!B465</f>
        <v>PRODUCT MANUFACTURING CORPORATION</v>
      </c>
      <c r="C465" s="207" t="s">
        <v>1457</v>
      </c>
      <c r="D465" s="207" t="str">
        <f>'Header Info'!C465</f>
        <v>Walk-in Freezer No. 19</v>
      </c>
      <c r="E465" s="207" t="s">
        <v>1468</v>
      </c>
    </row>
    <row r="466" spans="2:5" x14ac:dyDescent="0.2">
      <c r="B466" s="207" t="str">
        <f>'Header Info'!B466</f>
        <v>PRODUCT MANUFACTURING CORPORATION</v>
      </c>
      <c r="C466" s="207" t="s">
        <v>1457</v>
      </c>
      <c r="D466" s="207" t="str">
        <f>'Header Info'!C466</f>
        <v>Upright Freezer NEW</v>
      </c>
      <c r="E466" s="207" t="s">
        <v>1469</v>
      </c>
    </row>
    <row r="467" spans="2:5" x14ac:dyDescent="0.2">
      <c r="B467" s="207" t="str">
        <f>'Header Info'!B467</f>
        <v>RAPID PROCESSING SOLUTIONS</v>
      </c>
      <c r="C467" s="207" t="s">
        <v>1457</v>
      </c>
      <c r="D467" s="207" t="str">
        <f>'Header Info'!C467</f>
        <v>K10815</v>
      </c>
      <c r="E467" s="207" t="s">
        <v>1471</v>
      </c>
    </row>
    <row r="468" spans="2:5" x14ac:dyDescent="0.2">
      <c r="B468" s="207" t="str">
        <f>'Header Info'!B468</f>
        <v>RAPID PROCESSING SOLUTIONS</v>
      </c>
      <c r="C468" s="207" t="s">
        <v>1457</v>
      </c>
      <c r="D468" s="207" t="str">
        <f>'Header Info'!C468</f>
        <v>L2050</v>
      </c>
      <c r="E468" s="207" t="s">
        <v>1473</v>
      </c>
    </row>
    <row r="469" spans="2:5" x14ac:dyDescent="0.2">
      <c r="B469" s="207" t="str">
        <f>'Header Info'!B469</f>
        <v>RAPID PROCESSING SOLUTIONS</v>
      </c>
      <c r="C469" s="207" t="s">
        <v>1457</v>
      </c>
      <c r="D469" s="207" t="str">
        <f>'Header Info'!C469</f>
        <v>L0094</v>
      </c>
      <c r="E469" s="207" t="s">
        <v>1475</v>
      </c>
    </row>
    <row r="470" spans="2:5" x14ac:dyDescent="0.2">
      <c r="B470" s="207" t="str">
        <f>'Header Info'!B470</f>
        <v>RAPID PROCESSING SOLUTIONS</v>
      </c>
      <c r="C470" s="207" t="s">
        <v>1457</v>
      </c>
      <c r="D470" s="207" t="str">
        <f>'Header Info'!C470</f>
        <v>L0236</v>
      </c>
      <c r="E470" s="207" t="s">
        <v>1477</v>
      </c>
    </row>
    <row r="471" spans="2:5" x14ac:dyDescent="0.2">
      <c r="B471" s="207" t="str">
        <f>'Header Info'!B471</f>
        <v>RAPID PROCESSING SOLUTIONS</v>
      </c>
      <c r="C471" s="207" t="s">
        <v>1457</v>
      </c>
      <c r="D471" s="207" t="str">
        <f>'Header Info'!C471</f>
        <v>L0275</v>
      </c>
      <c r="E471" s="207" t="s">
        <v>1478</v>
      </c>
    </row>
    <row r="472" spans="2:5" x14ac:dyDescent="0.2">
      <c r="B472" s="207" t="str">
        <f>'Header Info'!B472</f>
        <v>RAPID PROCESSING SOLUTIONS</v>
      </c>
      <c r="C472" s="207" t="s">
        <v>1457</v>
      </c>
      <c r="D472" s="207" t="str">
        <f>'Header Info'!C472</f>
        <v>L0327</v>
      </c>
      <c r="E472" s="207" t="s">
        <v>1479</v>
      </c>
    </row>
    <row r="473" spans="2:5" x14ac:dyDescent="0.2">
      <c r="B473" s="207" t="str">
        <f>'Header Info'!B473</f>
        <v>RAPID PROCESSING SOLUTIONS</v>
      </c>
      <c r="C473" s="207" t="s">
        <v>1457</v>
      </c>
      <c r="D473" s="207" t="str">
        <f>'Header Info'!C473</f>
        <v>L0343</v>
      </c>
      <c r="E473" s="207" t="s">
        <v>1481</v>
      </c>
    </row>
    <row r="474" spans="2:5" x14ac:dyDescent="0.2">
      <c r="B474" s="207" t="str">
        <f>'Header Info'!B474</f>
        <v>RAPID PROCESSING SOLUTIONS</v>
      </c>
      <c r="C474" s="207" t="s">
        <v>1457</v>
      </c>
      <c r="D474" s="207" t="str">
        <f>'Header Info'!C474</f>
        <v>L0491</v>
      </c>
      <c r="E474" s="207" t="s">
        <v>1485</v>
      </c>
    </row>
    <row r="475" spans="2:5" x14ac:dyDescent="0.2">
      <c r="B475" s="207" t="str">
        <f>'Header Info'!B475</f>
        <v>RAPID PROCESSING SOLUTIONS</v>
      </c>
      <c r="C475" s="207" t="s">
        <v>1457</v>
      </c>
      <c r="D475" s="207" t="str">
        <f>'Header Info'!C475</f>
        <v>L-2051</v>
      </c>
      <c r="E475" s="207" t="s">
        <v>1486</v>
      </c>
    </row>
    <row r="476" spans="2:5" x14ac:dyDescent="0.2">
      <c r="B476" s="207" t="str">
        <f>'Header Info'!B476</f>
        <v>RAPID PROCESSING SOLUTIONS</v>
      </c>
      <c r="C476" s="207" t="s">
        <v>1457</v>
      </c>
      <c r="D476" s="207" t="str">
        <f>'Header Info'!C476</f>
        <v>OVEN NO. 1</v>
      </c>
      <c r="E476" s="207" t="s">
        <v>1490</v>
      </c>
    </row>
    <row r="477" spans="2:5" x14ac:dyDescent="0.2">
      <c r="B477" s="207" t="str">
        <f>'Header Info'!B477</f>
        <v>RAPID PROCESSING SOLUTIONS</v>
      </c>
      <c r="C477" s="207" t="s">
        <v>1457</v>
      </c>
      <c r="D477" s="207" t="str">
        <f>'Header Info'!C477</f>
        <v>OVEN NO. 2</v>
      </c>
      <c r="E477" s="207" t="s">
        <v>1492</v>
      </c>
    </row>
    <row r="478" spans="2:5" x14ac:dyDescent="0.2">
      <c r="B478" s="207" t="str">
        <f>'Header Info'!B478</f>
        <v>RAPID PROCESSING SOLUTIONS</v>
      </c>
      <c r="C478" s="207" t="s">
        <v>1457</v>
      </c>
      <c r="D478" s="207" t="str">
        <f>'Header Info'!C478</f>
        <v>T0254</v>
      </c>
      <c r="E478" s="207" t="s">
        <v>3800</v>
      </c>
    </row>
    <row r="479" spans="2:5" x14ac:dyDescent="0.2">
      <c r="B479" s="207" t="str">
        <f>'Header Info'!B479</f>
        <v>RAPID PROCESSING SOLUTIONS</v>
      </c>
      <c r="C479" s="207" t="s">
        <v>1059</v>
      </c>
      <c r="D479" s="207" t="str">
        <f>'Header Info'!C479</f>
        <v>T1392</v>
      </c>
      <c r="E479" s="207" t="s">
        <v>1064</v>
      </c>
    </row>
    <row r="480" spans="2:5" x14ac:dyDescent="0.2">
      <c r="B480" s="207" t="str">
        <f>'Header Info'!B480</f>
        <v>RAPID PROCESSING SOLUTIONS</v>
      </c>
      <c r="C480" s="207" t="s">
        <v>1059</v>
      </c>
      <c r="D480" s="207" t="str">
        <f>'Header Info'!C480</f>
        <v>T1755</v>
      </c>
      <c r="E480" s="207" t="s">
        <v>1061</v>
      </c>
    </row>
    <row r="481" spans="2:5" x14ac:dyDescent="0.2">
      <c r="B481" s="207" t="str">
        <f>'Header Info'!B481</f>
        <v>RAPID PROCESSING SOLUTIONS</v>
      </c>
      <c r="C481" s="207" t="s">
        <v>1059</v>
      </c>
      <c r="D481" s="207" t="str">
        <f>'Header Info'!C481</f>
        <v>T2278</v>
      </c>
      <c r="E481" s="207" t="s">
        <v>1067</v>
      </c>
    </row>
    <row r="482" spans="2:5" x14ac:dyDescent="0.2">
      <c r="B482" s="207" t="str">
        <f>'Header Info'!B482</f>
        <v>RAPID PROCESSING SOLUTIONS</v>
      </c>
      <c r="C482" s="207" t="s">
        <v>1059</v>
      </c>
      <c r="D482" s="207" t="str">
        <f>'Header Info'!C482</f>
        <v>T2372</v>
      </c>
      <c r="E482" s="207" t="s">
        <v>1063</v>
      </c>
    </row>
    <row r="483" spans="2:5" x14ac:dyDescent="0.2">
      <c r="B483" s="207" t="str">
        <f>'Header Info'!B483</f>
        <v>RAPID PROCESSING SOLUTIONS</v>
      </c>
      <c r="C483" s="207" t="s">
        <v>1059</v>
      </c>
      <c r="D483" s="207" t="str">
        <f>'Header Info'!C483</f>
        <v>T2465</v>
      </c>
      <c r="E483" s="207" t="s">
        <v>1065</v>
      </c>
    </row>
    <row r="484" spans="2:5" x14ac:dyDescent="0.2">
      <c r="B484" s="207" t="str">
        <f>'Header Info'!B484</f>
        <v>RAPID PROCESSING SOLUTIONS</v>
      </c>
      <c r="C484" s="207" t="s">
        <v>1059</v>
      </c>
      <c r="D484" s="207" t="str">
        <f>'Header Info'!C484</f>
        <v>T2466</v>
      </c>
      <c r="E484" s="207" t="s">
        <v>1066</v>
      </c>
    </row>
    <row r="485" spans="2:5" x14ac:dyDescent="0.2">
      <c r="B485" s="207" t="str">
        <f>'Header Info'!B485</f>
        <v>RAPID PROCESSING SOLUTIONS</v>
      </c>
      <c r="C485" s="207" t="s">
        <v>1494</v>
      </c>
      <c r="D485" s="207" t="str">
        <f>'Header Info'!C485</f>
        <v>T2472</v>
      </c>
      <c r="E485" s="207" t="s">
        <v>1495</v>
      </c>
    </row>
    <row r="486" spans="2:5" x14ac:dyDescent="0.2">
      <c r="B486" s="207" t="str">
        <f>'Header Info'!B486</f>
        <v>RAPID PROCESSING SOLUTIONS</v>
      </c>
      <c r="C486" s="207" t="s">
        <v>1494</v>
      </c>
      <c r="D486" s="207" t="str">
        <f>'Header Info'!C486</f>
        <v>T2679</v>
      </c>
      <c r="E486" s="207" t="s">
        <v>3801</v>
      </c>
    </row>
    <row r="487" spans="2:5" x14ac:dyDescent="0.2">
      <c r="B487" s="207" t="str">
        <f>'Header Info'!B487</f>
        <v>RAPID PROCESSING SOLUTIONS</v>
      </c>
      <c r="C487" s="207" t="s">
        <v>1494</v>
      </c>
      <c r="D487" s="207" t="str">
        <f>'Header Info'!C487</f>
        <v>T2700</v>
      </c>
      <c r="E487" s="207" t="s">
        <v>1499</v>
      </c>
    </row>
    <row r="488" spans="2:5" x14ac:dyDescent="0.2">
      <c r="B488" s="207" t="str">
        <f>'Header Info'!B488</f>
        <v>RAPID PROCESSING SOLUTIONS</v>
      </c>
      <c r="C488" s="207" t="s">
        <v>1494</v>
      </c>
      <c r="D488" s="207" t="str">
        <f>'Header Info'!C488</f>
        <v>T2996</v>
      </c>
      <c r="E488" s="207" t="s">
        <v>1501</v>
      </c>
    </row>
    <row r="489" spans="2:5" x14ac:dyDescent="0.2">
      <c r="B489" s="207" t="str">
        <f>'Header Info'!B489</f>
        <v>RAPID PROCESSING SOLUTIONS</v>
      </c>
      <c r="C489" s="207" t="s">
        <v>1494</v>
      </c>
      <c r="D489" s="207" t="str">
        <f>'Header Info'!C489</f>
        <v>T3038</v>
      </c>
      <c r="E489" s="207" t="s">
        <v>1503</v>
      </c>
    </row>
    <row r="490" spans="2:5" x14ac:dyDescent="0.2">
      <c r="B490" s="207" t="str">
        <f>'Header Info'!B490</f>
        <v>RAPID PROCESSING SOLUTIONS</v>
      </c>
      <c r="C490" s="207" t="s">
        <v>1494</v>
      </c>
      <c r="D490" s="207" t="str">
        <f>'Header Info'!C490</f>
        <v>T3039</v>
      </c>
      <c r="E490" s="207" t="s">
        <v>1505</v>
      </c>
    </row>
    <row r="491" spans="2:5" x14ac:dyDescent="0.2">
      <c r="B491" s="207" t="str">
        <f>'Header Info'!B491</f>
        <v>RAPID PROCESSING SOLUTIONS</v>
      </c>
      <c r="C491" s="207" t="s">
        <v>1494</v>
      </c>
      <c r="D491" s="207" t="str">
        <f>'Header Info'!C491</f>
        <v>T3042</v>
      </c>
      <c r="E491" s="207" t="s">
        <v>1507</v>
      </c>
    </row>
    <row r="492" spans="2:5" x14ac:dyDescent="0.2">
      <c r="B492" s="207" t="str">
        <f>'Header Info'!B492</f>
        <v>SHACKELFORD MACHINE</v>
      </c>
      <c r="C492" s="207" t="s">
        <v>1494</v>
      </c>
      <c r="D492" s="207" t="str">
        <f>'Header Info'!C492</f>
        <v>Oven No. 1</v>
      </c>
      <c r="E492" s="207" t="s">
        <v>1509</v>
      </c>
    </row>
    <row r="493" spans="2:5" x14ac:dyDescent="0.2">
      <c r="B493" s="207" t="str">
        <f>'Header Info'!B493</f>
        <v>THIMESCH ENTERPRISES</v>
      </c>
      <c r="C493" s="207" t="s">
        <v>1494</v>
      </c>
      <c r="D493" s="207" t="str">
        <f>'Header Info'!C493</f>
        <v>OVEN NO. 3</v>
      </c>
      <c r="E493" s="207" t="s">
        <v>1511</v>
      </c>
    </row>
    <row r="494" spans="2:5" x14ac:dyDescent="0.2">
      <c r="B494" s="207" t="str">
        <f>'Header Info'!B494</f>
        <v>THIMESCH ENTERPRISES</v>
      </c>
      <c r="C494" s="207" t="s">
        <v>1494</v>
      </c>
      <c r="D494" s="207" t="str">
        <f>'Header Info'!C494</f>
        <v>OVEN NO. 2</v>
      </c>
      <c r="E494" s="207" t="s">
        <v>1513</v>
      </c>
    </row>
    <row r="495" spans="2:5" x14ac:dyDescent="0.2">
      <c r="B495" s="207" t="str">
        <f>'Header Info'!B495</f>
        <v>THIMESCH ENTERPRISES</v>
      </c>
      <c r="C495" s="207" t="s">
        <v>1494</v>
      </c>
      <c r="D495" s="207" t="str">
        <f>'Header Info'!C495</f>
        <v>OVEN NO. 1</v>
      </c>
      <c r="E495" s="207" t="s">
        <v>1515</v>
      </c>
    </row>
    <row r="496" spans="2:5" x14ac:dyDescent="0.2">
      <c r="B496" s="207" t="str">
        <f>'Header Info'!B496</f>
        <v>TNT MACHINE</v>
      </c>
      <c r="C496" s="207" t="s">
        <v>1494</v>
      </c>
      <c r="D496" s="207" t="str">
        <f>'Header Info'!C496</f>
        <v>S-6873</v>
      </c>
      <c r="E496" s="207" t="s">
        <v>1517</v>
      </c>
    </row>
    <row r="497" spans="2:5" x14ac:dyDescent="0.2">
      <c r="B497" s="207" t="str">
        <f>'Header Info'!B497</f>
        <v>VALCO MANUFACTURING CO., INC.</v>
      </c>
      <c r="C497" s="207" t="s">
        <v>1494</v>
      </c>
      <c r="D497" s="207" t="str">
        <f>'Header Info'!C497</f>
        <v>81OV1774</v>
      </c>
      <c r="E497" s="207" t="s">
        <v>1519</v>
      </c>
    </row>
    <row r="498" spans="2:5" x14ac:dyDescent="0.2">
      <c r="B498" s="207" t="str">
        <f>'Header Info'!B498</f>
        <v>VALCO MANUFACTURING CO., INC.</v>
      </c>
      <c r="C498" s="207" t="s">
        <v>1494</v>
      </c>
      <c r="D498" s="207" t="str">
        <f>'Header Info'!C498</f>
        <v>A1</v>
      </c>
      <c r="E498" s="207" t="s">
        <v>1521</v>
      </c>
    </row>
    <row r="499" spans="2:5" x14ac:dyDescent="0.2">
      <c r="B499" s="207" t="str">
        <f>'Header Info'!B499</f>
        <v>VALCO MANUFACTURING CO., INC.</v>
      </c>
      <c r="C499" s="207" t="s">
        <v>1494</v>
      </c>
      <c r="D499" s="207" t="str">
        <f>'Header Info'!C499</f>
        <v>A2</v>
      </c>
      <c r="E499" s="207" t="s">
        <v>1523</v>
      </c>
    </row>
    <row r="500" spans="2:5" x14ac:dyDescent="0.2">
      <c r="B500" s="207" t="str">
        <f>'Header Info'!B500</f>
        <v>VALCO MANUFACTURING CO., INC.</v>
      </c>
      <c r="C500" s="207" t="s">
        <v>1494</v>
      </c>
      <c r="D500" s="207" t="str">
        <f>'Header Info'!C500</f>
        <v>A6</v>
      </c>
      <c r="E500" s="207" t="s">
        <v>1525</v>
      </c>
    </row>
    <row r="501" spans="2:5" x14ac:dyDescent="0.2">
      <c r="B501" s="207" t="str">
        <f>'Header Info'!B501</f>
        <v>VALCO MANUFACTURING CO., INC.</v>
      </c>
      <c r="C501" s="207" t="s">
        <v>1494</v>
      </c>
      <c r="D501" s="207" t="str">
        <f>'Header Info'!C501</f>
        <v>A8</v>
      </c>
      <c r="E501" s="207" t="s">
        <v>1527</v>
      </c>
    </row>
    <row r="502" spans="2:5" x14ac:dyDescent="0.2">
      <c r="B502" s="207" t="str">
        <f>'Header Info'!B502</f>
        <v>VALCO MANUFACTURING CO., INC.</v>
      </c>
      <c r="C502" s="207" t="s">
        <v>1494</v>
      </c>
      <c r="D502" s="207" t="str">
        <f>'Header Info'!C502</f>
        <v>A10</v>
      </c>
      <c r="E502" s="207" t="s">
        <v>1529</v>
      </c>
    </row>
    <row r="503" spans="2:5" x14ac:dyDescent="0.2">
      <c r="B503" s="207" t="str">
        <f>'Header Info'!B503</f>
        <v>VALCO MANUFACTURING CO., INC.</v>
      </c>
      <c r="C503" s="207" t="s">
        <v>1494</v>
      </c>
      <c r="D503" s="207" t="str">
        <f>'Header Info'!C503</f>
        <v>A13</v>
      </c>
      <c r="E503" s="207" t="s">
        <v>1531</v>
      </c>
    </row>
    <row r="504" spans="2:5" x14ac:dyDescent="0.2">
      <c r="B504" s="207" t="str">
        <f>'Header Info'!B504</f>
        <v>VALCO MANUFACTURING CO., INC.</v>
      </c>
      <c r="C504" s="207" t="s">
        <v>1494</v>
      </c>
      <c r="D504" s="207" t="str">
        <f>'Header Info'!C504</f>
        <v>AGE OVEN NO. 1</v>
      </c>
      <c r="E504" s="207" t="s">
        <v>1497</v>
      </c>
    </row>
    <row r="505" spans="2:5" x14ac:dyDescent="0.2">
      <c r="B505" s="207" t="str">
        <f>'Header Info'!B505</f>
        <v>VALCO MANUFACTURING CO., INC.</v>
      </c>
      <c r="C505" s="207" t="s">
        <v>1494</v>
      </c>
      <c r="D505" s="207" t="str">
        <f>'Header Info'!C505</f>
        <v>AGE OVEN NO. 2</v>
      </c>
      <c r="E505" s="207" t="s">
        <v>1985</v>
      </c>
    </row>
    <row r="506" spans="2:5" x14ac:dyDescent="0.2">
      <c r="B506" s="207" t="str">
        <f>'Header Info'!B506</f>
        <v>VALCO MANUFACTURING CO., INC.</v>
      </c>
      <c r="C506" s="207" t="s">
        <v>1494</v>
      </c>
      <c r="D506" s="207" t="str">
        <f>'Header Info'!C506</f>
        <v>AGE OVEN NO. 3</v>
      </c>
      <c r="E506" s="207" t="s">
        <v>1987</v>
      </c>
    </row>
    <row r="507" spans="2:5" x14ac:dyDescent="0.2">
      <c r="B507" s="207" t="str">
        <f>'Header Info'!B507</f>
        <v>VALCO MANUFACTURING CO., INC.</v>
      </c>
      <c r="C507" s="207" t="s">
        <v>1494</v>
      </c>
      <c r="D507" s="207" t="str">
        <f>'Header Info'!C507</f>
        <v>DRAW FURNACE</v>
      </c>
      <c r="E507" s="207" t="s">
        <v>1868</v>
      </c>
    </row>
    <row r="508" spans="2:5" x14ac:dyDescent="0.2">
      <c r="B508" s="207" t="str">
        <f>'Header Info'!B508</f>
        <v>VALCO MANUFACTURING CO., INC.</v>
      </c>
      <c r="C508" s="207" t="s">
        <v>1494</v>
      </c>
      <c r="D508" s="207" t="str">
        <f>'Header Info'!C508</f>
        <v>DROP BOTTOM FURNACE</v>
      </c>
      <c r="E508" s="207" t="s">
        <v>3802</v>
      </c>
    </row>
    <row r="509" spans="2:5" x14ac:dyDescent="0.2">
      <c r="B509" s="207" t="str">
        <f>'Header Info'!B509</f>
        <v>VALCO MANUFACTURING CO., INC.</v>
      </c>
      <c r="C509" s="207" t="s">
        <v>1494</v>
      </c>
      <c r="D509" s="207" t="str">
        <f>'Header Info'!C509</f>
        <v>S14</v>
      </c>
      <c r="E509" s="207" t="s">
        <v>3803</v>
      </c>
    </row>
    <row r="510" spans="2:5" x14ac:dyDescent="0.2">
      <c r="B510" s="207" t="str">
        <f>'Header Info'!B510</f>
        <v>VALCO MANUFACTURING CO., INC.</v>
      </c>
      <c r="C510" s="207" t="s">
        <v>1494</v>
      </c>
      <c r="D510" s="207" t="str">
        <f>'Header Info'!C510</f>
        <v>S16</v>
      </c>
      <c r="E510" s="207" t="s">
        <v>3804</v>
      </c>
    </row>
    <row r="511" spans="2:5" x14ac:dyDescent="0.2">
      <c r="B511" s="207" t="str">
        <f>'Header Info'!B511</f>
        <v>VALCO MANUFACTURING CO., INC.</v>
      </c>
      <c r="C511" s="207" t="s">
        <v>1494</v>
      </c>
      <c r="D511" s="207" t="str">
        <f>'Header Info'!C511</f>
        <v>S19</v>
      </c>
      <c r="E511" s="207" t="s">
        <v>1532</v>
      </c>
    </row>
    <row r="512" spans="2:5" x14ac:dyDescent="0.2">
      <c r="B512" s="207" t="str">
        <f>'Header Info'!B512</f>
        <v>VALCO MANUFACTURING CO., INC.</v>
      </c>
      <c r="C512" s="207" t="s">
        <v>1830</v>
      </c>
      <c r="D512" s="207" t="str">
        <f>'Header Info'!C512</f>
        <v>S22</v>
      </c>
      <c r="E512" s="207" t="s">
        <v>1832</v>
      </c>
    </row>
    <row r="513" spans="2:5" x14ac:dyDescent="0.2">
      <c r="B513" s="207" t="str">
        <f>'Header Info'!B513</f>
        <v>VALCO MANUFACTURING CO., INC.</v>
      </c>
      <c r="C513" s="207" t="s">
        <v>1533</v>
      </c>
      <c r="D513" s="207" t="str">
        <f>'Header Info'!C513</f>
        <v>S23</v>
      </c>
      <c r="E513" s="207" t="s">
        <v>1535</v>
      </c>
    </row>
    <row r="514" spans="2:5" x14ac:dyDescent="0.2">
      <c r="B514" s="207" t="str">
        <f>'Header Info'!B514</f>
        <v>VALCO MANUFACTURING CO., INC.</v>
      </c>
      <c r="C514" s="207" t="s">
        <v>1533</v>
      </c>
      <c r="D514" s="207" t="str">
        <f>'Header Info'!C514</f>
        <v>SALT BATH</v>
      </c>
      <c r="E514" s="207" t="s">
        <v>1537</v>
      </c>
    </row>
    <row r="515" spans="2:5" x14ac:dyDescent="0.2">
      <c r="B515" s="207" t="str">
        <f>'Header Info'!B515</f>
        <v>VERMILLION ENTERPRISES</v>
      </c>
      <c r="C515" s="207" t="s">
        <v>1533</v>
      </c>
      <c r="D515" s="207" t="str">
        <f>'Header Info'!C515</f>
        <v>BAKE OVEN 9110</v>
      </c>
      <c r="E515" s="207" t="s">
        <v>1536</v>
      </c>
    </row>
    <row r="516" spans="2:5" x14ac:dyDescent="0.2">
      <c r="B516" s="207" t="str">
        <f>'Header Info'!B516</f>
        <v>VERMILLION ENTERPRISES</v>
      </c>
      <c r="C516" s="207" t="s">
        <v>1533</v>
      </c>
      <c r="D516" s="207" t="str">
        <f>'Header Info'!C516</f>
        <v>LAB OVEN 5072</v>
      </c>
      <c r="E516" s="207" t="s">
        <v>1534</v>
      </c>
    </row>
    <row r="517" spans="2:5" x14ac:dyDescent="0.2">
      <c r="B517" s="207" t="str">
        <f>'Header Info'!B517</f>
        <v>VERMILLION ENTERPRISES</v>
      </c>
      <c r="C517" s="207" t="s">
        <v>1533</v>
      </c>
      <c r="D517" s="207" t="str">
        <f>'Header Info'!C517</f>
        <v>OVEN NO. 6042</v>
      </c>
      <c r="E517" s="207" t="s">
        <v>1538</v>
      </c>
    </row>
    <row r="518" spans="2:5" x14ac:dyDescent="0.2">
      <c r="B518" s="207" t="str">
        <f>'Header Info'!B518</f>
        <v>VERMILLION ENTERPRISES</v>
      </c>
      <c r="C518" s="207" t="s">
        <v>1554</v>
      </c>
      <c r="D518" s="207" t="str">
        <f>'Header Info'!C518</f>
        <v>OVEN NO. 6043</v>
      </c>
      <c r="E518" s="207" t="s">
        <v>1556</v>
      </c>
    </row>
    <row r="519" spans="2:5" x14ac:dyDescent="0.2">
      <c r="B519" s="207" t="str">
        <f>'Header Info'!B519</f>
        <v>VERMILLION ENTERPRISES</v>
      </c>
      <c r="C519" s="207" t="s">
        <v>1554</v>
      </c>
      <c r="D519" s="207" t="str">
        <f>'Header Info'!C519</f>
        <v>OVEN NO. 6044</v>
      </c>
      <c r="E519" s="207" t="s">
        <v>1558</v>
      </c>
    </row>
    <row r="520" spans="2:5" x14ac:dyDescent="0.2">
      <c r="B520" s="207" t="str">
        <f>'Header Info'!B520</f>
        <v>VERMILLION ENTERPRISES</v>
      </c>
      <c r="C520" s="207" t="s">
        <v>1554</v>
      </c>
      <c r="D520" s="207" t="str">
        <f>'Header Info'!C520</f>
        <v>OVEN NO. 6045</v>
      </c>
      <c r="E520" s="207" t="s">
        <v>1557</v>
      </c>
    </row>
    <row r="521" spans="2:5" x14ac:dyDescent="0.2">
      <c r="B521" s="207" t="str">
        <f>'Header Info'!B521</f>
        <v>WICHITA AEROSPACE SPARES, INC.</v>
      </c>
      <c r="C521" s="207" t="s">
        <v>1554</v>
      </c>
      <c r="D521" s="207" t="str">
        <f>'Header Info'!C521</f>
        <v>FREEZER NO. 6</v>
      </c>
      <c r="E521" s="207" t="s">
        <v>1559</v>
      </c>
    </row>
    <row r="522" spans="2:5" x14ac:dyDescent="0.2">
      <c r="B522" s="207" t="str">
        <f>'Header Info'!B522</f>
        <v>WICHITA AEROSPACE SPARES, INC.</v>
      </c>
      <c r="C522" s="207" t="s">
        <v>1554</v>
      </c>
      <c r="D522" s="207" t="str">
        <f>'Header Info'!C522</f>
        <v>OVEN NO.14-0581433</v>
      </c>
      <c r="E522" s="207" t="s">
        <v>1560</v>
      </c>
    </row>
    <row r="523" spans="2:5" x14ac:dyDescent="0.2">
      <c r="B523" s="207" t="str">
        <f>'Header Info'!B523</f>
        <v>WICHITA AEROSPACE SPARES, INC.</v>
      </c>
      <c r="C523" s="207" t="s">
        <v>1554</v>
      </c>
      <c r="D523" s="207" t="str">
        <f>'Header Info'!C523</f>
        <v>FREEZER A5965401</v>
      </c>
      <c r="E523" s="207" t="s">
        <v>1555</v>
      </c>
    </row>
    <row r="524" spans="2:5" x14ac:dyDescent="0.2">
      <c r="B524" s="207" t="str">
        <f>'Header Info'!B524</f>
        <v>WICHITA AEROSPACE SPARES, INC.</v>
      </c>
      <c r="C524" s="207" t="s">
        <v>1539</v>
      </c>
      <c r="D524" s="207" t="str">
        <f>'Header Info'!C524</f>
        <v>FREEZER HF2</v>
      </c>
      <c r="E524" s="207" t="s">
        <v>1550</v>
      </c>
    </row>
    <row r="525" spans="2:5" x14ac:dyDescent="0.2">
      <c r="B525" s="207">
        <f>'Header Info'!B525</f>
        <v>0</v>
      </c>
      <c r="C525" s="207" t="s">
        <v>1539</v>
      </c>
      <c r="D525" s="207">
        <f>'Header Info'!C525</f>
        <v>0</v>
      </c>
      <c r="E525" s="207" t="s">
        <v>1551</v>
      </c>
    </row>
    <row r="526" spans="2:5" x14ac:dyDescent="0.2">
      <c r="B526" s="207">
        <f>'Header Info'!B526</f>
        <v>0</v>
      </c>
      <c r="C526" s="207" t="s">
        <v>1539</v>
      </c>
      <c r="D526" s="207">
        <f>'Header Info'!C526</f>
        <v>0</v>
      </c>
      <c r="E526" s="207" t="s">
        <v>1546</v>
      </c>
    </row>
    <row r="527" spans="2:5" x14ac:dyDescent="0.2">
      <c r="B527" s="207">
        <f>'Header Info'!B527</f>
        <v>0</v>
      </c>
      <c r="C527" s="207" t="s">
        <v>1539</v>
      </c>
      <c r="D527" s="207">
        <f>'Header Info'!C527</f>
        <v>0</v>
      </c>
      <c r="E527" s="207" t="s">
        <v>1542</v>
      </c>
    </row>
    <row r="528" spans="2:5" x14ac:dyDescent="0.2">
      <c r="B528" s="207">
        <f>'Header Info'!B528</f>
        <v>0</v>
      </c>
      <c r="C528" s="207" t="s">
        <v>1539</v>
      </c>
      <c r="D528" s="207">
        <f>'Header Info'!C528</f>
        <v>0</v>
      </c>
      <c r="E528" s="207" t="s">
        <v>1549</v>
      </c>
    </row>
    <row r="529" spans="2:5" x14ac:dyDescent="0.2">
      <c r="B529" s="207">
        <f>'Header Info'!B529</f>
        <v>0</v>
      </c>
      <c r="C529" s="207" t="s">
        <v>1539</v>
      </c>
      <c r="D529" s="207">
        <f>'Header Info'!C529</f>
        <v>0</v>
      </c>
      <c r="E529" s="207" t="s">
        <v>1548</v>
      </c>
    </row>
    <row r="530" spans="2:5" x14ac:dyDescent="0.2">
      <c r="B530" s="207">
        <f>'Header Info'!B530</f>
        <v>0</v>
      </c>
      <c r="C530" s="207" t="s">
        <v>1539</v>
      </c>
      <c r="D530" s="207">
        <f>'Header Info'!C530</f>
        <v>0</v>
      </c>
      <c r="E530" s="207" t="s">
        <v>1547</v>
      </c>
    </row>
    <row r="531" spans="2:5" x14ac:dyDescent="0.2">
      <c r="B531" s="207">
        <f>'Header Info'!B531</f>
        <v>0</v>
      </c>
      <c r="C531" s="207" t="s">
        <v>1539</v>
      </c>
      <c r="D531" s="207">
        <f>'Header Info'!C531</f>
        <v>0</v>
      </c>
      <c r="E531" s="207" t="s">
        <v>1552</v>
      </c>
    </row>
    <row r="532" spans="2:5" x14ac:dyDescent="0.2">
      <c r="B532" s="207">
        <f>'Header Info'!B532</f>
        <v>0</v>
      </c>
      <c r="C532" s="207" t="s">
        <v>1539</v>
      </c>
      <c r="D532" s="207">
        <f>'Header Info'!C532</f>
        <v>0</v>
      </c>
      <c r="E532" s="207" t="s">
        <v>1545</v>
      </c>
    </row>
    <row r="533" spans="2:5" x14ac:dyDescent="0.2">
      <c r="B533" s="207">
        <f>'Header Info'!B533</f>
        <v>0</v>
      </c>
      <c r="C533" s="207" t="s">
        <v>1539</v>
      </c>
      <c r="D533" s="207">
        <f>'Header Info'!C533</f>
        <v>0</v>
      </c>
      <c r="E533" s="207" t="s">
        <v>1544</v>
      </c>
    </row>
    <row r="534" spans="2:5" x14ac:dyDescent="0.2">
      <c r="B534" s="207">
        <f>'Header Info'!B534</f>
        <v>0</v>
      </c>
      <c r="C534" s="207" t="s">
        <v>1539</v>
      </c>
      <c r="D534" s="207">
        <f>'Header Info'!C534</f>
        <v>0</v>
      </c>
      <c r="E534" s="207" t="s">
        <v>1541</v>
      </c>
    </row>
    <row r="535" spans="2:5" x14ac:dyDescent="0.2">
      <c r="B535" s="207">
        <f>'Header Info'!B535</f>
        <v>0</v>
      </c>
      <c r="C535" s="207" t="s">
        <v>1539</v>
      </c>
      <c r="D535" s="207">
        <f>'Header Info'!C535</f>
        <v>0</v>
      </c>
      <c r="E535" s="207" t="s">
        <v>1543</v>
      </c>
    </row>
    <row r="536" spans="2:5" x14ac:dyDescent="0.2">
      <c r="B536" s="207">
        <f>'Header Info'!B536</f>
        <v>0</v>
      </c>
      <c r="C536" s="207" t="s">
        <v>1539</v>
      </c>
      <c r="D536" s="207">
        <f>'Header Info'!C536</f>
        <v>0</v>
      </c>
      <c r="E536" s="207" t="s">
        <v>1540</v>
      </c>
    </row>
    <row r="537" spans="2:5" x14ac:dyDescent="0.2">
      <c r="B537" s="207">
        <f>'Header Info'!B537</f>
        <v>0</v>
      </c>
      <c r="C537" s="207" t="s">
        <v>3806</v>
      </c>
      <c r="D537" s="207">
        <f>'Header Info'!C537</f>
        <v>0</v>
      </c>
      <c r="E537" s="207" t="s">
        <v>1298</v>
      </c>
    </row>
    <row r="538" spans="2:5" x14ac:dyDescent="0.2">
      <c r="B538" s="207">
        <f>'Header Info'!B538</f>
        <v>0</v>
      </c>
      <c r="C538" s="207" t="s">
        <v>1562</v>
      </c>
      <c r="D538" s="207">
        <f>'Header Info'!C538</f>
        <v>0</v>
      </c>
      <c r="E538" s="207" t="s">
        <v>1563</v>
      </c>
    </row>
    <row r="539" spans="2:5" x14ac:dyDescent="0.2">
      <c r="B539" s="207">
        <f>'Header Info'!B539</f>
        <v>0</v>
      </c>
      <c r="C539" s="207" t="s">
        <v>1562</v>
      </c>
      <c r="D539" s="207">
        <f>'Header Info'!C539</f>
        <v>0</v>
      </c>
      <c r="E539" s="207" t="s">
        <v>1565</v>
      </c>
    </row>
    <row r="540" spans="2:5" x14ac:dyDescent="0.2">
      <c r="B540" s="207">
        <f>'Header Info'!B540</f>
        <v>0</v>
      </c>
      <c r="C540" s="207" t="s">
        <v>1562</v>
      </c>
      <c r="D540" s="207">
        <f>'Header Info'!C540</f>
        <v>0</v>
      </c>
      <c r="E540" s="207" t="s">
        <v>1567</v>
      </c>
    </row>
    <row r="541" spans="2:5" x14ac:dyDescent="0.2">
      <c r="B541" s="207">
        <f>'Header Info'!B541</f>
        <v>0</v>
      </c>
      <c r="C541" s="207" t="s">
        <v>1562</v>
      </c>
      <c r="D541" s="207">
        <f>'Header Info'!C541</f>
        <v>0</v>
      </c>
      <c r="E541" s="207" t="s">
        <v>1569</v>
      </c>
    </row>
    <row r="542" spans="2:5" x14ac:dyDescent="0.2">
      <c r="B542" s="207">
        <f>'Header Info'!B542</f>
        <v>0</v>
      </c>
      <c r="C542" s="207" t="s">
        <v>1562</v>
      </c>
      <c r="D542" s="207">
        <f>'Header Info'!C542</f>
        <v>0</v>
      </c>
      <c r="E542" s="207" t="s">
        <v>1571</v>
      </c>
    </row>
    <row r="543" spans="2:5" x14ac:dyDescent="0.2">
      <c r="B543" s="207">
        <f>'Header Info'!B543</f>
        <v>0</v>
      </c>
      <c r="C543" s="207" t="s">
        <v>1562</v>
      </c>
      <c r="D543" s="207">
        <f>'Header Info'!C543</f>
        <v>0</v>
      </c>
      <c r="E543" s="207" t="s">
        <v>1841</v>
      </c>
    </row>
    <row r="544" spans="2:5" x14ac:dyDescent="0.2">
      <c r="B544" s="207">
        <f>'Header Info'!B544</f>
        <v>0</v>
      </c>
      <c r="C544" s="207" t="s">
        <v>1562</v>
      </c>
      <c r="D544" s="207">
        <f>'Header Info'!C544</f>
        <v>0</v>
      </c>
      <c r="E544" s="207" t="s">
        <v>1575</v>
      </c>
    </row>
    <row r="545" spans="2:5" x14ac:dyDescent="0.2">
      <c r="B545" s="207">
        <f>'Header Info'!B545</f>
        <v>0</v>
      </c>
      <c r="C545" s="207" t="s">
        <v>1562</v>
      </c>
      <c r="D545" s="207">
        <f>'Header Info'!C545</f>
        <v>0</v>
      </c>
      <c r="E545" s="207" t="s">
        <v>1577</v>
      </c>
    </row>
    <row r="546" spans="2:5" x14ac:dyDescent="0.2">
      <c r="B546" s="207">
        <f>'Header Info'!B546</f>
        <v>0</v>
      </c>
      <c r="C546" s="207" t="s">
        <v>1562</v>
      </c>
      <c r="D546" s="207">
        <f>'Header Info'!C546</f>
        <v>0</v>
      </c>
      <c r="E546" s="207" t="s">
        <v>1578</v>
      </c>
    </row>
    <row r="547" spans="2:5" x14ac:dyDescent="0.2">
      <c r="B547" s="207">
        <f>'Header Info'!B547</f>
        <v>0</v>
      </c>
      <c r="C547" s="207" t="s">
        <v>1562</v>
      </c>
      <c r="D547" s="207">
        <f>'Header Info'!C547</f>
        <v>0</v>
      </c>
      <c r="E547" s="207" t="s">
        <v>1582</v>
      </c>
    </row>
    <row r="548" spans="2:5" x14ac:dyDescent="0.2">
      <c r="B548" s="207">
        <f>'Header Info'!B548</f>
        <v>0</v>
      </c>
      <c r="C548" s="207" t="s">
        <v>1562</v>
      </c>
      <c r="D548" s="207">
        <f>'Header Info'!C548</f>
        <v>0</v>
      </c>
      <c r="E548" s="207" t="s">
        <v>1995</v>
      </c>
    </row>
    <row r="549" spans="2:5" x14ac:dyDescent="0.2">
      <c r="B549" s="207">
        <f>'Header Info'!B549</f>
        <v>0</v>
      </c>
      <c r="C549" s="207" t="s">
        <v>1562</v>
      </c>
      <c r="D549" s="207">
        <f>'Header Info'!C549</f>
        <v>0</v>
      </c>
      <c r="E549" s="207" t="s">
        <v>1580</v>
      </c>
    </row>
    <row r="550" spans="2:5" x14ac:dyDescent="0.2">
      <c r="B550" s="207">
        <f>'Header Info'!B550</f>
        <v>0</v>
      </c>
      <c r="C550" s="207" t="s">
        <v>1562</v>
      </c>
      <c r="D550" s="207">
        <f>'Header Info'!C550</f>
        <v>0</v>
      </c>
      <c r="E550" s="207" t="s">
        <v>3807</v>
      </c>
    </row>
    <row r="551" spans="2:5" x14ac:dyDescent="0.2">
      <c r="B551" s="207">
        <f>'Header Info'!B551</f>
        <v>0</v>
      </c>
      <c r="C551" s="207" t="s">
        <v>1562</v>
      </c>
      <c r="D551" s="207">
        <f>'Header Info'!C551</f>
        <v>0</v>
      </c>
      <c r="E551" s="207" t="s">
        <v>1573</v>
      </c>
    </row>
    <row r="552" spans="2:5" x14ac:dyDescent="0.2">
      <c r="B552" s="207">
        <f>'Header Info'!B552</f>
        <v>0</v>
      </c>
      <c r="C552" s="207" t="s">
        <v>1586</v>
      </c>
      <c r="D552" s="207">
        <f>'Header Info'!C552</f>
        <v>0</v>
      </c>
      <c r="E552" s="207" t="s">
        <v>1588</v>
      </c>
    </row>
    <row r="553" spans="2:5" x14ac:dyDescent="0.2">
      <c r="B553" s="207">
        <f>'Header Info'!B553</f>
        <v>0</v>
      </c>
      <c r="C553" s="207" t="s">
        <v>1586</v>
      </c>
      <c r="D553" s="207">
        <f>'Header Info'!C553</f>
        <v>0</v>
      </c>
      <c r="E553" s="207" t="s">
        <v>1589</v>
      </c>
    </row>
    <row r="554" spans="2:5" x14ac:dyDescent="0.2">
      <c r="B554" s="207">
        <f>'Header Info'!B554</f>
        <v>0</v>
      </c>
      <c r="C554" s="207" t="s">
        <v>1586</v>
      </c>
      <c r="D554" s="207">
        <f>'Header Info'!C554</f>
        <v>0</v>
      </c>
      <c r="E554" s="207" t="s">
        <v>1618</v>
      </c>
    </row>
    <row r="555" spans="2:5" x14ac:dyDescent="0.2">
      <c r="B555" s="207">
        <f>'Header Info'!B555</f>
        <v>0</v>
      </c>
      <c r="C555" s="207" t="s">
        <v>1586</v>
      </c>
      <c r="D555" s="207">
        <f>'Header Info'!C555</f>
        <v>0</v>
      </c>
      <c r="E555" s="207" t="s">
        <v>1590</v>
      </c>
    </row>
    <row r="556" spans="2:5" x14ac:dyDescent="0.2">
      <c r="B556" s="207">
        <f>'Header Info'!B556</f>
        <v>0</v>
      </c>
      <c r="C556" s="207" t="s">
        <v>1586</v>
      </c>
      <c r="D556" s="207">
        <f>'Header Info'!C556</f>
        <v>0</v>
      </c>
      <c r="E556" s="207" t="s">
        <v>1591</v>
      </c>
    </row>
    <row r="557" spans="2:5" x14ac:dyDescent="0.2">
      <c r="B557" s="207">
        <f>'Header Info'!B557</f>
        <v>0</v>
      </c>
      <c r="C557" s="207" t="s">
        <v>1586</v>
      </c>
      <c r="D557" s="207">
        <f>'Header Info'!C557</f>
        <v>0</v>
      </c>
      <c r="E557" s="207" t="s">
        <v>1593</v>
      </c>
    </row>
    <row r="558" spans="2:5" x14ac:dyDescent="0.2">
      <c r="B558" s="207">
        <f>'Header Info'!B558</f>
        <v>0</v>
      </c>
      <c r="C558" s="207" t="s">
        <v>1586</v>
      </c>
      <c r="D558" s="207">
        <f>'Header Info'!C558</f>
        <v>0</v>
      </c>
      <c r="E558" s="207" t="s">
        <v>1595</v>
      </c>
    </row>
    <row r="559" spans="2:5" x14ac:dyDescent="0.2">
      <c r="B559" s="207">
        <f>'Header Info'!B559</f>
        <v>0</v>
      </c>
      <c r="C559" s="207" t="s">
        <v>1586</v>
      </c>
      <c r="D559" s="207">
        <f>'Header Info'!C559</f>
        <v>0</v>
      </c>
      <c r="E559" s="207" t="s">
        <v>1596</v>
      </c>
    </row>
    <row r="560" spans="2:5" x14ac:dyDescent="0.2">
      <c r="B560" s="207">
        <f>'Header Info'!B560</f>
        <v>0</v>
      </c>
      <c r="C560" s="207" t="s">
        <v>1586</v>
      </c>
      <c r="D560" s="207">
        <f>'Header Info'!C560</f>
        <v>0</v>
      </c>
      <c r="E560" s="207" t="s">
        <v>1597</v>
      </c>
    </row>
    <row r="561" spans="2:5" x14ac:dyDescent="0.2">
      <c r="B561" s="207">
        <f>'Header Info'!B561</f>
        <v>0</v>
      </c>
      <c r="C561" s="207" t="s">
        <v>1586</v>
      </c>
      <c r="D561" s="207">
        <f>'Header Info'!C561</f>
        <v>0</v>
      </c>
      <c r="E561" s="207" t="s">
        <v>1599</v>
      </c>
    </row>
    <row r="562" spans="2:5" x14ac:dyDescent="0.2">
      <c r="B562" s="207">
        <f>'Header Info'!B562</f>
        <v>0</v>
      </c>
      <c r="C562" s="207" t="s">
        <v>1586</v>
      </c>
      <c r="D562" s="207">
        <f>'Header Info'!C562</f>
        <v>0</v>
      </c>
      <c r="E562" s="207" t="s">
        <v>1600</v>
      </c>
    </row>
    <row r="563" spans="2:5" x14ac:dyDescent="0.2">
      <c r="B563" s="207">
        <f>'Header Info'!B563</f>
        <v>0</v>
      </c>
      <c r="C563" s="207" t="s">
        <v>1586</v>
      </c>
      <c r="D563" s="207">
        <f>'Header Info'!C563</f>
        <v>0</v>
      </c>
      <c r="E563" s="207" t="s">
        <v>1602</v>
      </c>
    </row>
    <row r="564" spans="2:5" x14ac:dyDescent="0.2">
      <c r="B564" s="207">
        <f>'Header Info'!B564</f>
        <v>0</v>
      </c>
      <c r="C564" s="207" t="s">
        <v>1586</v>
      </c>
      <c r="D564" s="207">
        <f>'Header Info'!C564</f>
        <v>0</v>
      </c>
      <c r="E564" s="207" t="s">
        <v>1604</v>
      </c>
    </row>
    <row r="565" spans="2:5" x14ac:dyDescent="0.2">
      <c r="B565" s="207">
        <f>'Header Info'!B565</f>
        <v>0</v>
      </c>
      <c r="C565" s="207" t="s">
        <v>1586</v>
      </c>
      <c r="D565" s="207">
        <f>'Header Info'!C565</f>
        <v>0</v>
      </c>
      <c r="E565" s="207" t="s">
        <v>1606</v>
      </c>
    </row>
    <row r="566" spans="2:5" x14ac:dyDescent="0.2">
      <c r="B566" s="207">
        <f>'Header Info'!B566</f>
        <v>0</v>
      </c>
      <c r="C566" s="207" t="s">
        <v>1586</v>
      </c>
      <c r="D566" s="207">
        <f>'Header Info'!C566</f>
        <v>0</v>
      </c>
      <c r="E566" s="207" t="s">
        <v>1608</v>
      </c>
    </row>
    <row r="567" spans="2:5" x14ac:dyDescent="0.2">
      <c r="B567" s="207">
        <f>'Header Info'!B567</f>
        <v>0</v>
      </c>
      <c r="C567" s="207" t="s">
        <v>1586</v>
      </c>
      <c r="D567" s="207">
        <f>'Header Info'!C567</f>
        <v>0</v>
      </c>
      <c r="E567" s="207" t="s">
        <v>1610</v>
      </c>
    </row>
    <row r="568" spans="2:5" x14ac:dyDescent="0.2">
      <c r="B568" s="207">
        <f>'Header Info'!B568</f>
        <v>0</v>
      </c>
      <c r="C568" s="207" t="s">
        <v>1586</v>
      </c>
      <c r="D568" s="207">
        <f>'Header Info'!C568</f>
        <v>0</v>
      </c>
      <c r="E568" s="207" t="s">
        <v>1612</v>
      </c>
    </row>
    <row r="569" spans="2:5" x14ac:dyDescent="0.2">
      <c r="B569" s="207">
        <f>'Header Info'!B569</f>
        <v>0</v>
      </c>
      <c r="C569" s="207" t="s">
        <v>1586</v>
      </c>
      <c r="D569" s="207">
        <f>'Header Info'!C569</f>
        <v>0</v>
      </c>
      <c r="E569" s="207" t="s">
        <v>1614</v>
      </c>
    </row>
    <row r="570" spans="2:5" x14ac:dyDescent="0.2">
      <c r="B570" s="207">
        <f>'Header Info'!B570</f>
        <v>0</v>
      </c>
      <c r="C570" s="207" t="s">
        <v>1586</v>
      </c>
      <c r="D570" s="207">
        <f>'Header Info'!C570</f>
        <v>0</v>
      </c>
      <c r="E570" s="207" t="s">
        <v>1616</v>
      </c>
    </row>
    <row r="571" spans="2:5" x14ac:dyDescent="0.2">
      <c r="B571" s="207">
        <f>'Header Info'!B571</f>
        <v>0</v>
      </c>
      <c r="C571" s="207" t="s">
        <v>1620</v>
      </c>
      <c r="D571" s="207">
        <f>'Header Info'!C571</f>
        <v>0</v>
      </c>
      <c r="E571" s="207" t="s">
        <v>1622</v>
      </c>
    </row>
    <row r="572" spans="2:5" x14ac:dyDescent="0.2">
      <c r="B572" s="207">
        <f>'Header Info'!B572</f>
        <v>0</v>
      </c>
      <c r="C572" s="207" t="s">
        <v>1620</v>
      </c>
      <c r="D572" s="207">
        <f>'Header Info'!C572</f>
        <v>0</v>
      </c>
      <c r="E572" s="207" t="s">
        <v>1793</v>
      </c>
    </row>
    <row r="573" spans="2:5" x14ac:dyDescent="0.2">
      <c r="B573" s="207">
        <f>'Header Info'!B573</f>
        <v>0</v>
      </c>
      <c r="C573" s="207" t="s">
        <v>1624</v>
      </c>
      <c r="D573" s="207">
        <f>'Header Info'!C573</f>
        <v>0</v>
      </c>
      <c r="E573" s="207" t="s">
        <v>1483</v>
      </c>
    </row>
    <row r="574" spans="2:5" x14ac:dyDescent="0.2">
      <c r="B574" s="207">
        <f>'Header Info'!B574</f>
        <v>0</v>
      </c>
      <c r="C574" s="207" t="s">
        <v>1624</v>
      </c>
      <c r="D574" s="207">
        <f>'Header Info'!C574</f>
        <v>0</v>
      </c>
      <c r="E574" s="207" t="s">
        <v>1989</v>
      </c>
    </row>
    <row r="575" spans="2:5" x14ac:dyDescent="0.2">
      <c r="B575" s="207">
        <f>'Header Info'!B575</f>
        <v>0</v>
      </c>
      <c r="C575" s="207" t="s">
        <v>1624</v>
      </c>
      <c r="D575" s="207">
        <f>'Header Info'!C575</f>
        <v>0</v>
      </c>
      <c r="E575" s="207" t="s">
        <v>1625</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1635</v>
      </c>
      <c r="B1" s="1" t="s">
        <v>1636</v>
      </c>
      <c r="C1" s="1" t="s">
        <v>1637</v>
      </c>
      <c r="D1" s="1" t="s">
        <v>572</v>
      </c>
      <c r="E1" s="1" t="s">
        <v>1638</v>
      </c>
      <c r="F1" s="1" t="s">
        <v>1639</v>
      </c>
      <c r="G1" s="1" t="s">
        <v>1640</v>
      </c>
      <c r="I1" s="1" t="s">
        <v>1632</v>
      </c>
      <c r="J1" s="1" t="s">
        <v>1633</v>
      </c>
      <c r="K1" s="1" t="s">
        <v>1634</v>
      </c>
    </row>
    <row r="2" spans="1:11" x14ac:dyDescent="0.2">
      <c r="A2" s="206">
        <v>42972.605729166666</v>
      </c>
      <c r="B2" t="s">
        <v>1641</v>
      </c>
      <c r="C2" t="s">
        <v>1642</v>
      </c>
      <c r="D2" t="s">
        <v>1643</v>
      </c>
      <c r="E2" t="s">
        <v>1644</v>
      </c>
      <c r="F2" t="s">
        <v>1644</v>
      </c>
    </row>
    <row r="3" spans="1:11" x14ac:dyDescent="0.2">
      <c r="A3" s="206">
        <v>42972.605729166666</v>
      </c>
      <c r="B3" t="s">
        <v>1641</v>
      </c>
      <c r="C3" t="s">
        <v>1642</v>
      </c>
      <c r="E3" t="s">
        <v>1645</v>
      </c>
      <c r="F3" t="s">
        <v>1644</v>
      </c>
      <c r="G3" t="s">
        <v>1646</v>
      </c>
    </row>
    <row r="4" spans="1:11" x14ac:dyDescent="0.2">
      <c r="A4" s="206">
        <v>42972.606921296298</v>
      </c>
      <c r="B4" t="s">
        <v>1641</v>
      </c>
      <c r="C4" t="s">
        <v>1642</v>
      </c>
      <c r="D4" t="s">
        <v>1647</v>
      </c>
      <c r="E4" t="s">
        <v>1644</v>
      </c>
      <c r="F4" t="s">
        <v>1644</v>
      </c>
    </row>
    <row r="5" spans="1:11" x14ac:dyDescent="0.2">
      <c r="A5" s="206">
        <v>42972.606921296298</v>
      </c>
      <c r="B5" t="s">
        <v>1641</v>
      </c>
      <c r="C5" t="s">
        <v>1642</v>
      </c>
      <c r="E5" t="s">
        <v>1645</v>
      </c>
      <c r="F5" t="s">
        <v>1644</v>
      </c>
      <c r="G5" t="s">
        <v>1646</v>
      </c>
    </row>
    <row r="6" spans="1:11" x14ac:dyDescent="0.2">
      <c r="A6" s="206">
        <v>42972.606956018521</v>
      </c>
      <c r="B6" t="s">
        <v>1650</v>
      </c>
      <c r="C6" t="s">
        <v>1642</v>
      </c>
      <c r="E6" t="s">
        <v>1645</v>
      </c>
      <c r="F6" t="s">
        <v>1644</v>
      </c>
      <c r="G6" t="s">
        <v>1651</v>
      </c>
    </row>
    <row r="7" spans="1:11" x14ac:dyDescent="0.2">
      <c r="A7" s="206">
        <v>42972.606956018521</v>
      </c>
      <c r="B7" t="s">
        <v>1650</v>
      </c>
      <c r="C7" t="s">
        <v>1642</v>
      </c>
      <c r="D7" t="s">
        <v>1648</v>
      </c>
      <c r="E7" t="s">
        <v>1644</v>
      </c>
      <c r="F7" t="s">
        <v>1644</v>
      </c>
    </row>
    <row r="8" spans="1:11" x14ac:dyDescent="0.2">
      <c r="A8" s="206">
        <v>42972.610081018516</v>
      </c>
      <c r="B8" t="s">
        <v>1641</v>
      </c>
      <c r="C8" t="s">
        <v>1642</v>
      </c>
      <c r="D8" t="s">
        <v>1647</v>
      </c>
      <c r="E8" t="s">
        <v>1644</v>
      </c>
      <c r="F8" t="s">
        <v>1645</v>
      </c>
    </row>
    <row r="9" spans="1:11" x14ac:dyDescent="0.2">
      <c r="A9" s="206">
        <v>42972.610081018516</v>
      </c>
      <c r="B9" t="s">
        <v>1641</v>
      </c>
      <c r="C9" t="s">
        <v>1642</v>
      </c>
      <c r="E9" t="s">
        <v>1645</v>
      </c>
      <c r="F9" t="s">
        <v>1644</v>
      </c>
      <c r="G9" t="s">
        <v>1646</v>
      </c>
    </row>
    <row r="10" spans="1:11" x14ac:dyDescent="0.2">
      <c r="A10" s="206">
        <v>42972.61010416667</v>
      </c>
      <c r="B10" t="s">
        <v>1650</v>
      </c>
      <c r="C10" t="s">
        <v>1642</v>
      </c>
      <c r="E10" t="s">
        <v>1645</v>
      </c>
      <c r="F10" t="s">
        <v>1644</v>
      </c>
      <c r="G10" t="s">
        <v>1651</v>
      </c>
    </row>
    <row r="11" spans="1:11" x14ac:dyDescent="0.2">
      <c r="A11" s="206">
        <v>42972.61010416667</v>
      </c>
      <c r="B11" t="s">
        <v>1650</v>
      </c>
      <c r="C11" t="s">
        <v>1642</v>
      </c>
      <c r="D11" t="s">
        <v>1648</v>
      </c>
      <c r="E11" t="s">
        <v>1644</v>
      </c>
      <c r="F11" t="s">
        <v>1645</v>
      </c>
    </row>
    <row r="12" spans="1:11" x14ac:dyDescent="0.2">
      <c r="A12" s="206">
        <v>42972.646423611113</v>
      </c>
      <c r="B12" t="s">
        <v>1641</v>
      </c>
      <c r="C12" t="s">
        <v>1642</v>
      </c>
      <c r="D12" t="s">
        <v>1647</v>
      </c>
      <c r="E12" t="s">
        <v>1644</v>
      </c>
      <c r="F12" t="s">
        <v>1645</v>
      </c>
    </row>
    <row r="13" spans="1:11" x14ac:dyDescent="0.2">
      <c r="A13" s="206">
        <v>42972.646423611113</v>
      </c>
      <c r="B13" t="s">
        <v>1641</v>
      </c>
      <c r="C13" t="s">
        <v>1642</v>
      </c>
      <c r="E13" t="s">
        <v>1645</v>
      </c>
      <c r="F13" t="s">
        <v>1644</v>
      </c>
      <c r="G13" t="s">
        <v>1646</v>
      </c>
    </row>
    <row r="14" spans="1:11" x14ac:dyDescent="0.2">
      <c r="A14" s="206">
        <v>42972.64644675926</v>
      </c>
      <c r="B14" t="s">
        <v>1650</v>
      </c>
      <c r="C14" t="s">
        <v>1642</v>
      </c>
      <c r="E14" t="s">
        <v>1645</v>
      </c>
      <c r="F14" t="s">
        <v>1644</v>
      </c>
      <c r="G14" t="s">
        <v>1651</v>
      </c>
    </row>
    <row r="15" spans="1:11" x14ac:dyDescent="0.2">
      <c r="A15" s="206">
        <v>42972.64644675926</v>
      </c>
      <c r="B15" t="s">
        <v>1650</v>
      </c>
      <c r="C15" t="s">
        <v>1642</v>
      </c>
      <c r="D15" t="s">
        <v>1648</v>
      </c>
      <c r="E15" t="s">
        <v>1644</v>
      </c>
      <c r="F15" t="s">
        <v>1645</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1627</v>
      </c>
      <c r="J1" s="44" t="s">
        <v>789</v>
      </c>
      <c r="K1" s="44" t="s">
        <v>790</v>
      </c>
      <c r="L1" s="44" t="s">
        <v>1653</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1750</v>
      </c>
      <c r="AJ1" s="346" t="s">
        <v>1751</v>
      </c>
      <c r="AK1" s="346" t="s">
        <v>1752</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1632</v>
      </c>
      <c r="IH1" s="203" t="s">
        <v>1633</v>
      </c>
      <c r="II1" s="203" t="s">
        <v>1634</v>
      </c>
    </row>
    <row r="2" spans="1:243" ht="38.25" x14ac:dyDescent="0.2">
      <c r="A2" s="196">
        <f>Main!K14</f>
        <v>0</v>
      </c>
      <c r="B2" s="61"/>
      <c r="C2" t="str">
        <f>Furnace_Data!$AA$2</f>
        <v>0121O0000018IHWQA2</v>
      </c>
      <c r="D2" s="61" t="s">
        <v>1631</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1649</v>
      </c>
      <c r="II2" s="61" t="s">
        <v>1700</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1652</v>
      </c>
      <c r="IH3" s="61" t="s">
        <v>1648</v>
      </c>
      <c r="II3" s="61" t="s">
        <v>1700</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1643"/>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22" bestFit="1" customWidth="1"/>
    <col min="7" max="7" width="17.85546875" bestFit="1" customWidth="1"/>
    <col min="8" max="8" width="13.140625" bestFit="1" customWidth="1"/>
    <col min="9" max="9" width="14.140625" bestFit="1" customWidth="1"/>
    <col min="10" max="10" width="53.85546875" bestFit="1" customWidth="1"/>
    <col min="11" max="11" width="58.7109375" bestFit="1" customWidth="1"/>
    <col min="12" max="12" width="22.28515625" bestFit="1" customWidth="1"/>
    <col min="13" max="13" width="20.85546875" bestFit="1" customWidth="1"/>
    <col min="14" max="14" width="54.140625" bestFit="1" customWidth="1"/>
    <col min="15" max="15" width="22.28515625" bestFit="1" customWidth="1"/>
    <col min="16" max="16" width="35.5703125" bestFit="1" customWidth="1"/>
    <col min="17" max="17" width="30" bestFit="1" customWidth="1"/>
    <col min="18" max="18" width="29.85546875" bestFit="1" customWidth="1"/>
    <col min="19" max="19" width="16.42578125" bestFit="1" customWidth="1"/>
    <col min="20" max="20" width="18.7109375" bestFit="1" customWidth="1"/>
    <col min="21" max="21" width="11.85546875" bestFit="1" customWidth="1"/>
  </cols>
  <sheetData>
    <row r="1" spans="1:5" x14ac:dyDescent="0.2">
      <c r="A1" s="44" t="s">
        <v>9578</v>
      </c>
    </row>
    <row r="3" spans="1:5" x14ac:dyDescent="0.2">
      <c r="B3" t="s">
        <v>5842</v>
      </c>
      <c r="C3" t="s">
        <v>7390</v>
      </c>
      <c r="D3" t="s">
        <v>7391</v>
      </c>
      <c r="E3" t="s">
        <v>7392</v>
      </c>
    </row>
    <row r="4" spans="1:5" x14ac:dyDescent="0.2">
      <c r="B4" t="s">
        <v>5843</v>
      </c>
      <c r="C4" s="713" t="s">
        <v>7393</v>
      </c>
      <c r="D4" s="713" t="s">
        <v>34</v>
      </c>
      <c r="E4" s="713" t="s">
        <v>7394</v>
      </c>
    </row>
    <row r="5" spans="1:5" x14ac:dyDescent="0.2">
      <c r="B5" t="s">
        <v>815</v>
      </c>
      <c r="C5" s="713" t="s">
        <v>7395</v>
      </c>
      <c r="D5" s="713" t="s">
        <v>34</v>
      </c>
      <c r="E5" s="713" t="s">
        <v>7396</v>
      </c>
    </row>
    <row r="6" spans="1:5" x14ac:dyDescent="0.2">
      <c r="B6" t="s">
        <v>5844</v>
      </c>
      <c r="C6" s="713" t="s">
        <v>7397</v>
      </c>
      <c r="D6" s="713" t="s">
        <v>34</v>
      </c>
      <c r="E6" s="713" t="s">
        <v>7398</v>
      </c>
    </row>
    <row r="7" spans="1:5" x14ac:dyDescent="0.2">
      <c r="B7" t="s">
        <v>5845</v>
      </c>
      <c r="C7" s="713" t="s">
        <v>7399</v>
      </c>
      <c r="D7" s="713" t="s">
        <v>34</v>
      </c>
      <c r="E7" s="713" t="s">
        <v>7400</v>
      </c>
    </row>
    <row r="8" spans="1:5" x14ac:dyDescent="0.2">
      <c r="B8" t="s">
        <v>5846</v>
      </c>
      <c r="C8" s="713" t="s">
        <v>7401</v>
      </c>
      <c r="D8" s="713" t="s">
        <v>34</v>
      </c>
      <c r="E8" s="713" t="s">
        <v>7402</v>
      </c>
    </row>
    <row r="9" spans="1:5" x14ac:dyDescent="0.2">
      <c r="B9" t="s">
        <v>5847</v>
      </c>
      <c r="C9" s="713" t="s">
        <v>7403</v>
      </c>
      <c r="D9" s="713" t="s">
        <v>34</v>
      </c>
      <c r="E9" s="713" t="s">
        <v>7404</v>
      </c>
    </row>
    <row r="10" spans="1:5" x14ac:dyDescent="0.2">
      <c r="B10" t="s">
        <v>5848</v>
      </c>
      <c r="C10" s="713" t="s">
        <v>7405</v>
      </c>
      <c r="D10" s="713" t="s">
        <v>34</v>
      </c>
      <c r="E10" s="713" t="s">
        <v>7406</v>
      </c>
    </row>
    <row r="11" spans="1:5" x14ac:dyDescent="0.2">
      <c r="B11" t="s">
        <v>5849</v>
      </c>
      <c r="C11" s="713" t="s">
        <v>7407</v>
      </c>
      <c r="D11" s="713" t="s">
        <v>34</v>
      </c>
      <c r="E11" s="713" t="s">
        <v>7408</v>
      </c>
    </row>
    <row r="12" spans="1:5" x14ac:dyDescent="0.2">
      <c r="B12" t="s">
        <v>5850</v>
      </c>
      <c r="C12" s="713" t="s">
        <v>7409</v>
      </c>
      <c r="D12" s="713" t="s">
        <v>34</v>
      </c>
      <c r="E12" s="713" t="s">
        <v>7410</v>
      </c>
    </row>
    <row r="13" spans="1:5" x14ac:dyDescent="0.2">
      <c r="B13" t="s">
        <v>5851</v>
      </c>
      <c r="C13" s="713" t="s">
        <v>7411</v>
      </c>
      <c r="D13" s="713" t="s">
        <v>34</v>
      </c>
      <c r="E13" s="713" t="s">
        <v>7412</v>
      </c>
    </row>
    <row r="14" spans="1:5" x14ac:dyDescent="0.2">
      <c r="B14" t="s">
        <v>5852</v>
      </c>
      <c r="C14" s="713" t="s">
        <v>7413</v>
      </c>
      <c r="D14" s="713" t="s">
        <v>34</v>
      </c>
      <c r="E14" s="713" t="s">
        <v>7414</v>
      </c>
    </row>
    <row r="15" spans="1:5" x14ac:dyDescent="0.2">
      <c r="B15" t="s">
        <v>5853</v>
      </c>
      <c r="C15" s="713" t="s">
        <v>7415</v>
      </c>
      <c r="D15" s="713" t="s">
        <v>34</v>
      </c>
      <c r="E15" s="713" t="s">
        <v>7416</v>
      </c>
    </row>
    <row r="16" spans="1:5" x14ac:dyDescent="0.2">
      <c r="B16" t="s">
        <v>5854</v>
      </c>
      <c r="C16" s="713" t="s">
        <v>7415</v>
      </c>
      <c r="D16" s="713" t="s">
        <v>34</v>
      </c>
      <c r="E16" s="713" t="s">
        <v>7416</v>
      </c>
    </row>
    <row r="17" spans="2:5" x14ac:dyDescent="0.2">
      <c r="B17" t="s">
        <v>5855</v>
      </c>
      <c r="C17" s="713" t="s">
        <v>7417</v>
      </c>
      <c r="D17" s="713" t="s">
        <v>34</v>
      </c>
      <c r="E17" s="713" t="s">
        <v>7418</v>
      </c>
    </row>
    <row r="18" spans="2:5" x14ac:dyDescent="0.2">
      <c r="B18" t="s">
        <v>5856</v>
      </c>
      <c r="C18" s="713" t="s">
        <v>7419</v>
      </c>
      <c r="D18" s="713" t="s">
        <v>34</v>
      </c>
      <c r="E18" s="713" t="s">
        <v>7420</v>
      </c>
    </row>
    <row r="19" spans="2:5" x14ac:dyDescent="0.2">
      <c r="B19" t="s">
        <v>5857</v>
      </c>
      <c r="C19" s="713" t="s">
        <v>7421</v>
      </c>
      <c r="D19" s="713" t="s">
        <v>34</v>
      </c>
      <c r="E19" s="713" t="s">
        <v>7422</v>
      </c>
    </row>
    <row r="20" spans="2:5" x14ac:dyDescent="0.2">
      <c r="B20" t="s">
        <v>5858</v>
      </c>
      <c r="C20" s="713" t="s">
        <v>7423</v>
      </c>
      <c r="D20" s="713" t="s">
        <v>34</v>
      </c>
      <c r="E20" s="713" t="s">
        <v>7424</v>
      </c>
    </row>
    <row r="21" spans="2:5" x14ac:dyDescent="0.2">
      <c r="B21" t="s">
        <v>5859</v>
      </c>
      <c r="C21" s="713" t="s">
        <v>7425</v>
      </c>
      <c r="D21" s="713" t="s">
        <v>34</v>
      </c>
      <c r="E21" s="713" t="s">
        <v>7426</v>
      </c>
    </row>
    <row r="22" spans="2:5" x14ac:dyDescent="0.2">
      <c r="B22" t="s">
        <v>5860</v>
      </c>
      <c r="C22" s="713" t="s">
        <v>7427</v>
      </c>
      <c r="D22" s="713" t="s">
        <v>34</v>
      </c>
      <c r="E22" s="713" t="s">
        <v>7418</v>
      </c>
    </row>
    <row r="23" spans="2:5" x14ac:dyDescent="0.2">
      <c r="B23" t="s">
        <v>5861</v>
      </c>
      <c r="C23" s="713" t="s">
        <v>7428</v>
      </c>
      <c r="D23" s="713" t="s">
        <v>34</v>
      </c>
      <c r="E23" s="713" t="s">
        <v>7429</v>
      </c>
    </row>
    <row r="24" spans="2:5" x14ac:dyDescent="0.2">
      <c r="B24" t="s">
        <v>5862</v>
      </c>
      <c r="C24" s="713" t="s">
        <v>7430</v>
      </c>
      <c r="D24" s="713" t="s">
        <v>34</v>
      </c>
      <c r="E24" s="713" t="s">
        <v>7431</v>
      </c>
    </row>
    <row r="25" spans="2:5" x14ac:dyDescent="0.2">
      <c r="B25" t="s">
        <v>5863</v>
      </c>
      <c r="C25" s="713" t="s">
        <v>7432</v>
      </c>
      <c r="D25" s="713" t="s">
        <v>34</v>
      </c>
      <c r="E25" s="713" t="s">
        <v>7433</v>
      </c>
    </row>
    <row r="26" spans="2:5" x14ac:dyDescent="0.2">
      <c r="B26" t="s">
        <v>5864</v>
      </c>
      <c r="C26" s="713" t="s">
        <v>7434</v>
      </c>
      <c r="D26" s="713" t="s">
        <v>34</v>
      </c>
      <c r="E26" s="713" t="s">
        <v>7396</v>
      </c>
    </row>
    <row r="27" spans="2:5" x14ac:dyDescent="0.2">
      <c r="B27" t="s">
        <v>5865</v>
      </c>
      <c r="C27" s="713" t="s">
        <v>7435</v>
      </c>
      <c r="D27" s="713" t="s">
        <v>34</v>
      </c>
      <c r="E27" s="713" t="s">
        <v>7436</v>
      </c>
    </row>
    <row r="28" spans="2:5" x14ac:dyDescent="0.2">
      <c r="B28" t="s">
        <v>1883</v>
      </c>
      <c r="C28" s="713" t="s">
        <v>7437</v>
      </c>
      <c r="D28" s="713" t="s">
        <v>34</v>
      </c>
      <c r="E28" s="713" t="s">
        <v>7438</v>
      </c>
    </row>
    <row r="29" spans="2:5" x14ac:dyDescent="0.2">
      <c r="B29" t="s">
        <v>5866</v>
      </c>
      <c r="C29" s="713" t="s">
        <v>7439</v>
      </c>
      <c r="D29" s="713" t="s">
        <v>34</v>
      </c>
      <c r="E29" s="713" t="s">
        <v>7440</v>
      </c>
    </row>
    <row r="30" spans="2:5" x14ac:dyDescent="0.2">
      <c r="B30" t="s">
        <v>5867</v>
      </c>
      <c r="C30" s="713" t="s">
        <v>7441</v>
      </c>
      <c r="D30" s="713" t="s">
        <v>34</v>
      </c>
      <c r="E30" s="713" t="s">
        <v>7442</v>
      </c>
    </row>
    <row r="31" spans="2:5" x14ac:dyDescent="0.2">
      <c r="B31" t="s">
        <v>5868</v>
      </c>
      <c r="C31" s="713" t="s">
        <v>7443</v>
      </c>
      <c r="D31" s="713" t="s">
        <v>34</v>
      </c>
      <c r="E31" s="713" t="s">
        <v>7444</v>
      </c>
    </row>
    <row r="32" spans="2:5" x14ac:dyDescent="0.2">
      <c r="B32" t="s">
        <v>5869</v>
      </c>
      <c r="C32" s="713" t="s">
        <v>7445</v>
      </c>
      <c r="D32" s="713" t="s">
        <v>34</v>
      </c>
      <c r="E32" s="713" t="s">
        <v>7446</v>
      </c>
    </row>
    <row r="33" spans="2:5" x14ac:dyDescent="0.2">
      <c r="B33" t="s">
        <v>5870</v>
      </c>
      <c r="C33" s="713" t="s">
        <v>7447</v>
      </c>
      <c r="D33" s="713" t="s">
        <v>34</v>
      </c>
      <c r="E33" s="713" t="s">
        <v>7442</v>
      </c>
    </row>
    <row r="34" spans="2:5" x14ac:dyDescent="0.2">
      <c r="B34" t="s">
        <v>5871</v>
      </c>
      <c r="C34" s="713" t="s">
        <v>7448</v>
      </c>
      <c r="D34" s="713" t="s">
        <v>34</v>
      </c>
      <c r="E34" s="713" t="s">
        <v>7449</v>
      </c>
    </row>
    <row r="35" spans="2:5" x14ac:dyDescent="0.2">
      <c r="B35" t="s">
        <v>908</v>
      </c>
      <c r="C35" s="713" t="s">
        <v>7450</v>
      </c>
      <c r="D35" s="713" t="s">
        <v>34</v>
      </c>
      <c r="E35" s="713" t="s">
        <v>7418</v>
      </c>
    </row>
    <row r="36" spans="2:5" x14ac:dyDescent="0.2">
      <c r="B36" t="s">
        <v>5872</v>
      </c>
      <c r="C36" s="713" t="s">
        <v>7451</v>
      </c>
      <c r="D36" s="713" t="s">
        <v>34</v>
      </c>
      <c r="E36" s="713" t="s">
        <v>7452</v>
      </c>
    </row>
    <row r="37" spans="2:5" x14ac:dyDescent="0.2">
      <c r="B37" t="s">
        <v>5873</v>
      </c>
      <c r="C37" s="713" t="s">
        <v>7453</v>
      </c>
      <c r="D37" s="713" t="s">
        <v>34</v>
      </c>
      <c r="E37" s="713" t="s">
        <v>7454</v>
      </c>
    </row>
    <row r="38" spans="2:5" x14ac:dyDescent="0.2">
      <c r="B38" t="s">
        <v>5874</v>
      </c>
      <c r="C38" s="713" t="s">
        <v>7455</v>
      </c>
      <c r="D38" s="713" t="s">
        <v>34</v>
      </c>
      <c r="E38" s="713" t="s">
        <v>7456</v>
      </c>
    </row>
    <row r="39" spans="2:5" x14ac:dyDescent="0.2">
      <c r="B39" t="s">
        <v>5875</v>
      </c>
      <c r="C39" s="713" t="s">
        <v>7457</v>
      </c>
      <c r="D39" s="713" t="s">
        <v>34</v>
      </c>
      <c r="E39" s="713" t="s">
        <v>7458</v>
      </c>
    </row>
    <row r="40" spans="2:5" x14ac:dyDescent="0.2">
      <c r="B40" t="s">
        <v>5876</v>
      </c>
      <c r="C40" s="713" t="s">
        <v>7459</v>
      </c>
      <c r="D40" s="713" t="s">
        <v>34</v>
      </c>
      <c r="E40" s="713" t="s">
        <v>7460</v>
      </c>
    </row>
    <row r="41" spans="2:5" x14ac:dyDescent="0.2">
      <c r="B41" t="s">
        <v>5877</v>
      </c>
      <c r="C41" s="713" t="s">
        <v>7461</v>
      </c>
      <c r="D41" s="713" t="s">
        <v>34</v>
      </c>
      <c r="E41" s="713" t="s">
        <v>7462</v>
      </c>
    </row>
    <row r="42" spans="2:5" x14ac:dyDescent="0.2">
      <c r="B42" t="s">
        <v>5878</v>
      </c>
      <c r="C42" s="713" t="s">
        <v>7463</v>
      </c>
      <c r="D42" s="713" t="s">
        <v>34</v>
      </c>
      <c r="E42" s="713" t="s">
        <v>7464</v>
      </c>
    </row>
    <row r="43" spans="2:5" x14ac:dyDescent="0.2">
      <c r="B43" t="s">
        <v>902</v>
      </c>
      <c r="C43" s="713" t="s">
        <v>7465</v>
      </c>
      <c r="D43" s="713" t="s">
        <v>34</v>
      </c>
      <c r="E43" s="713" t="s">
        <v>7466</v>
      </c>
    </row>
    <row r="44" spans="2:5" x14ac:dyDescent="0.2">
      <c r="B44" t="s">
        <v>5879</v>
      </c>
      <c r="C44" s="713" t="s">
        <v>7467</v>
      </c>
      <c r="D44" s="713" t="s">
        <v>7468</v>
      </c>
      <c r="E44" s="713" t="s">
        <v>7469</v>
      </c>
    </row>
    <row r="45" spans="2:5" x14ac:dyDescent="0.2">
      <c r="B45" t="s">
        <v>5880</v>
      </c>
      <c r="C45" s="713" t="s">
        <v>7470</v>
      </c>
      <c r="D45" s="713" t="s">
        <v>34</v>
      </c>
      <c r="E45" s="713" t="s">
        <v>7471</v>
      </c>
    </row>
    <row r="46" spans="2:5" x14ac:dyDescent="0.2">
      <c r="B46" t="s">
        <v>882</v>
      </c>
      <c r="C46" s="713" t="s">
        <v>7472</v>
      </c>
      <c r="D46" s="713" t="s">
        <v>34</v>
      </c>
      <c r="E46" s="713" t="s">
        <v>7473</v>
      </c>
    </row>
    <row r="47" spans="2:5" x14ac:dyDescent="0.2">
      <c r="B47" t="s">
        <v>870</v>
      </c>
      <c r="C47" s="713" t="s">
        <v>7474</v>
      </c>
      <c r="D47" s="713" t="s">
        <v>34</v>
      </c>
      <c r="E47" s="713" t="s">
        <v>7475</v>
      </c>
    </row>
    <row r="48" spans="2:5" x14ac:dyDescent="0.2">
      <c r="B48" t="s">
        <v>5881</v>
      </c>
      <c r="C48" s="713" t="s">
        <v>7476</v>
      </c>
      <c r="D48" s="713" t="s">
        <v>34</v>
      </c>
      <c r="E48" s="713" t="s">
        <v>7477</v>
      </c>
    </row>
    <row r="49" spans="2:5" x14ac:dyDescent="0.2">
      <c r="B49" t="s">
        <v>5882</v>
      </c>
      <c r="C49" s="713" t="s">
        <v>7478</v>
      </c>
      <c r="D49" s="713" t="s">
        <v>7479</v>
      </c>
      <c r="E49" s="713" t="s">
        <v>7480</v>
      </c>
    </row>
    <row r="50" spans="2:5" x14ac:dyDescent="0.2">
      <c r="B50" t="s">
        <v>5883</v>
      </c>
      <c r="C50" s="713" t="s">
        <v>7481</v>
      </c>
      <c r="D50" s="713" t="s">
        <v>34</v>
      </c>
      <c r="E50" s="713" t="s">
        <v>7482</v>
      </c>
    </row>
    <row r="51" spans="2:5" x14ac:dyDescent="0.2">
      <c r="B51" t="s">
        <v>5884</v>
      </c>
      <c r="C51" s="713" t="s">
        <v>7483</v>
      </c>
      <c r="D51" s="713" t="s">
        <v>34</v>
      </c>
      <c r="E51" s="713" t="s">
        <v>7484</v>
      </c>
    </row>
    <row r="52" spans="2:5" x14ac:dyDescent="0.2">
      <c r="B52" t="s">
        <v>5885</v>
      </c>
      <c r="C52" s="713" t="s">
        <v>7485</v>
      </c>
      <c r="D52" s="713" t="s">
        <v>34</v>
      </c>
      <c r="E52" s="713" t="s">
        <v>7486</v>
      </c>
    </row>
    <row r="53" spans="2:5" x14ac:dyDescent="0.2">
      <c r="B53" t="s">
        <v>5886</v>
      </c>
      <c r="C53" s="713" t="s">
        <v>7487</v>
      </c>
      <c r="D53" s="713" t="s">
        <v>34</v>
      </c>
      <c r="E53" s="713" t="s">
        <v>7488</v>
      </c>
    </row>
    <row r="54" spans="2:5" x14ac:dyDescent="0.2">
      <c r="B54" t="s">
        <v>5887</v>
      </c>
      <c r="C54" s="713" t="s">
        <v>7489</v>
      </c>
      <c r="D54" s="713" t="s">
        <v>34</v>
      </c>
      <c r="E54" s="713" t="s">
        <v>7490</v>
      </c>
    </row>
    <row r="55" spans="2:5" x14ac:dyDescent="0.2">
      <c r="B55" t="s">
        <v>5888</v>
      </c>
      <c r="C55" s="713" t="s">
        <v>7491</v>
      </c>
      <c r="D55" s="713" t="s">
        <v>34</v>
      </c>
      <c r="E55" s="713" t="s">
        <v>7442</v>
      </c>
    </row>
    <row r="56" spans="2:5" x14ac:dyDescent="0.2">
      <c r="B56" t="s">
        <v>5889</v>
      </c>
      <c r="C56" s="713" t="s">
        <v>7492</v>
      </c>
      <c r="D56" s="713" t="s">
        <v>34</v>
      </c>
      <c r="E56" s="713" t="s">
        <v>7493</v>
      </c>
    </row>
    <row r="57" spans="2:5" x14ac:dyDescent="0.2">
      <c r="B57" t="s">
        <v>5890</v>
      </c>
      <c r="C57" s="713" t="s">
        <v>7494</v>
      </c>
      <c r="D57" s="713" t="s">
        <v>34</v>
      </c>
      <c r="E57" s="713" t="s">
        <v>7495</v>
      </c>
    </row>
    <row r="58" spans="2:5" x14ac:dyDescent="0.2">
      <c r="B58" t="s">
        <v>5891</v>
      </c>
      <c r="C58" s="713" t="s">
        <v>7496</v>
      </c>
      <c r="D58" s="713" t="s">
        <v>34</v>
      </c>
      <c r="E58" s="713" t="s">
        <v>7495</v>
      </c>
    </row>
    <row r="59" spans="2:5" x14ac:dyDescent="0.2">
      <c r="B59" t="s">
        <v>5892</v>
      </c>
      <c r="C59" s="713" t="s">
        <v>7497</v>
      </c>
      <c r="D59" s="713" t="s">
        <v>34</v>
      </c>
      <c r="E59" s="713" t="s">
        <v>7396</v>
      </c>
    </row>
    <row r="60" spans="2:5" x14ac:dyDescent="0.2">
      <c r="B60" t="s">
        <v>5893</v>
      </c>
      <c r="C60" s="713" t="s">
        <v>7498</v>
      </c>
      <c r="D60" s="713" t="s">
        <v>34</v>
      </c>
      <c r="E60" s="713" t="s">
        <v>7499</v>
      </c>
    </row>
    <row r="61" spans="2:5" x14ac:dyDescent="0.2">
      <c r="B61" t="s">
        <v>5894</v>
      </c>
      <c r="C61" s="713" t="s">
        <v>7500</v>
      </c>
      <c r="D61" s="713" t="s">
        <v>34</v>
      </c>
      <c r="E61" s="713" t="s">
        <v>7501</v>
      </c>
    </row>
    <row r="62" spans="2:5" x14ac:dyDescent="0.2">
      <c r="B62" t="s">
        <v>5895</v>
      </c>
      <c r="C62" s="713" t="s">
        <v>7502</v>
      </c>
      <c r="D62" s="713" t="s">
        <v>34</v>
      </c>
      <c r="E62" s="713" t="s">
        <v>7503</v>
      </c>
    </row>
    <row r="63" spans="2:5" x14ac:dyDescent="0.2">
      <c r="B63" t="s">
        <v>5896</v>
      </c>
      <c r="C63" s="713" t="s">
        <v>7504</v>
      </c>
      <c r="D63" s="713" t="s">
        <v>34</v>
      </c>
      <c r="E63" s="713" t="s">
        <v>7505</v>
      </c>
    </row>
    <row r="64" spans="2:5" x14ac:dyDescent="0.2">
      <c r="B64" t="s">
        <v>5897</v>
      </c>
      <c r="C64" s="713" t="s">
        <v>7506</v>
      </c>
      <c r="D64" s="713" t="s">
        <v>34</v>
      </c>
      <c r="E64" s="713" t="s">
        <v>7507</v>
      </c>
    </row>
    <row r="65" spans="2:5" x14ac:dyDescent="0.2">
      <c r="B65" t="s">
        <v>5898</v>
      </c>
      <c r="C65" s="713" t="s">
        <v>7508</v>
      </c>
      <c r="D65" s="713" t="s">
        <v>34</v>
      </c>
      <c r="E65" s="713" t="s">
        <v>7509</v>
      </c>
    </row>
    <row r="66" spans="2:5" x14ac:dyDescent="0.2">
      <c r="B66" t="s">
        <v>5899</v>
      </c>
      <c r="C66" s="713" t="s">
        <v>7510</v>
      </c>
      <c r="D66" s="713" t="s">
        <v>34</v>
      </c>
      <c r="E66" s="713" t="s">
        <v>7429</v>
      </c>
    </row>
    <row r="67" spans="2:5" x14ac:dyDescent="0.2">
      <c r="B67" t="s">
        <v>5900</v>
      </c>
      <c r="C67" s="713" t="s">
        <v>7511</v>
      </c>
      <c r="D67" s="713" t="s">
        <v>7512</v>
      </c>
      <c r="E67" s="713" t="s">
        <v>7513</v>
      </c>
    </row>
    <row r="68" spans="2:5" x14ac:dyDescent="0.2">
      <c r="B68" t="s">
        <v>5901</v>
      </c>
      <c r="C68" s="713" t="s">
        <v>7514</v>
      </c>
      <c r="D68" s="713" t="s">
        <v>34</v>
      </c>
      <c r="E68" s="713" t="s">
        <v>7515</v>
      </c>
    </row>
    <row r="69" spans="2:5" x14ac:dyDescent="0.2">
      <c r="B69" t="s">
        <v>5902</v>
      </c>
      <c r="C69" s="713" t="s">
        <v>7516</v>
      </c>
      <c r="D69" s="713" t="s">
        <v>34</v>
      </c>
      <c r="E69" s="713" t="s">
        <v>7517</v>
      </c>
    </row>
    <row r="70" spans="2:5" x14ac:dyDescent="0.2">
      <c r="B70" t="s">
        <v>1880</v>
      </c>
      <c r="C70" s="713" t="s">
        <v>7518</v>
      </c>
      <c r="D70" s="713" t="s">
        <v>34</v>
      </c>
      <c r="E70" s="713" t="s">
        <v>7396</v>
      </c>
    </row>
    <row r="71" spans="2:5" x14ac:dyDescent="0.2">
      <c r="B71" t="s">
        <v>5903</v>
      </c>
      <c r="C71" s="713" t="s">
        <v>7519</v>
      </c>
      <c r="D71" s="713" t="s">
        <v>34</v>
      </c>
      <c r="E71" s="713" t="s">
        <v>7520</v>
      </c>
    </row>
    <row r="72" spans="2:5" x14ac:dyDescent="0.2">
      <c r="B72" t="s">
        <v>5904</v>
      </c>
      <c r="C72" s="713" t="s">
        <v>7521</v>
      </c>
      <c r="D72" s="713" t="s">
        <v>34</v>
      </c>
      <c r="E72" s="713" t="s">
        <v>7522</v>
      </c>
    </row>
    <row r="73" spans="2:5" x14ac:dyDescent="0.2">
      <c r="B73" t="s">
        <v>5905</v>
      </c>
      <c r="C73" s="713" t="s">
        <v>7523</v>
      </c>
      <c r="D73" s="713" t="s">
        <v>34</v>
      </c>
      <c r="E73" s="713" t="s">
        <v>7524</v>
      </c>
    </row>
    <row r="74" spans="2:5" x14ac:dyDescent="0.2">
      <c r="B74" t="s">
        <v>843</v>
      </c>
      <c r="C74" s="713" t="s">
        <v>7525</v>
      </c>
      <c r="D74" s="713" t="s">
        <v>34</v>
      </c>
      <c r="E74" s="713" t="s">
        <v>7526</v>
      </c>
    </row>
    <row r="75" spans="2:5" x14ac:dyDescent="0.2">
      <c r="B75" t="s">
        <v>5906</v>
      </c>
      <c r="C75" s="713" t="s">
        <v>7527</v>
      </c>
      <c r="D75" s="713" t="s">
        <v>34</v>
      </c>
      <c r="E75" s="713" t="s">
        <v>7454</v>
      </c>
    </row>
    <row r="76" spans="2:5" x14ac:dyDescent="0.2">
      <c r="B76" t="s">
        <v>5907</v>
      </c>
      <c r="C76" s="713" t="s">
        <v>7528</v>
      </c>
      <c r="D76" s="713" t="s">
        <v>34</v>
      </c>
      <c r="E76" s="713" t="s">
        <v>7529</v>
      </c>
    </row>
    <row r="77" spans="2:5" x14ac:dyDescent="0.2">
      <c r="B77" t="s">
        <v>5908</v>
      </c>
      <c r="C77" s="713" t="s">
        <v>7530</v>
      </c>
      <c r="D77" s="713" t="s">
        <v>34</v>
      </c>
      <c r="E77" s="713" t="s">
        <v>7531</v>
      </c>
    </row>
    <row r="78" spans="2:5" x14ac:dyDescent="0.2">
      <c r="B78" t="s">
        <v>5909</v>
      </c>
      <c r="C78" s="713" t="s">
        <v>7532</v>
      </c>
      <c r="D78" s="713" t="s">
        <v>34</v>
      </c>
      <c r="E78" s="713" t="s">
        <v>7533</v>
      </c>
    </row>
    <row r="79" spans="2:5" x14ac:dyDescent="0.2">
      <c r="B79" t="s">
        <v>847</v>
      </c>
      <c r="C79" s="713" t="s">
        <v>7534</v>
      </c>
      <c r="D79" s="713" t="s">
        <v>34</v>
      </c>
      <c r="E79" s="713" t="s">
        <v>7396</v>
      </c>
    </row>
    <row r="80" spans="2:5" x14ac:dyDescent="0.2">
      <c r="B80" t="s">
        <v>5910</v>
      </c>
      <c r="C80" s="713" t="s">
        <v>7535</v>
      </c>
      <c r="D80" s="713" t="s">
        <v>34</v>
      </c>
      <c r="E80" s="713" t="s">
        <v>7418</v>
      </c>
    </row>
    <row r="81" spans="2:5" x14ac:dyDescent="0.2">
      <c r="B81" t="s">
        <v>5911</v>
      </c>
      <c r="C81" s="713" t="s">
        <v>7536</v>
      </c>
      <c r="D81" s="713" t="s">
        <v>34</v>
      </c>
      <c r="E81" s="713" t="s">
        <v>7442</v>
      </c>
    </row>
    <row r="82" spans="2:5" x14ac:dyDescent="0.2">
      <c r="B82" t="s">
        <v>867</v>
      </c>
      <c r="C82" s="713" t="s">
        <v>7537</v>
      </c>
      <c r="D82" s="713" t="s">
        <v>34</v>
      </c>
      <c r="E82" s="713" t="s">
        <v>7538</v>
      </c>
    </row>
    <row r="83" spans="2:5" x14ac:dyDescent="0.2">
      <c r="B83" t="s">
        <v>5912</v>
      </c>
      <c r="C83" s="713" t="s">
        <v>7539</v>
      </c>
      <c r="D83" s="713" t="s">
        <v>34</v>
      </c>
      <c r="E83" s="713" t="s">
        <v>7442</v>
      </c>
    </row>
    <row r="84" spans="2:5" x14ac:dyDescent="0.2">
      <c r="B84" t="s">
        <v>5913</v>
      </c>
      <c r="C84" s="713" t="s">
        <v>7540</v>
      </c>
      <c r="D84" s="713" t="s">
        <v>34</v>
      </c>
      <c r="E84" s="713" t="s">
        <v>7541</v>
      </c>
    </row>
    <row r="85" spans="2:5" x14ac:dyDescent="0.2">
      <c r="B85" t="s">
        <v>5914</v>
      </c>
      <c r="C85" s="713" t="s">
        <v>7542</v>
      </c>
      <c r="D85" s="713" t="s">
        <v>34</v>
      </c>
      <c r="E85" s="713" t="s">
        <v>7416</v>
      </c>
    </row>
    <row r="86" spans="2:5" x14ac:dyDescent="0.2">
      <c r="B86" t="s">
        <v>5915</v>
      </c>
      <c r="C86" s="713" t="s">
        <v>7543</v>
      </c>
      <c r="D86" s="713" t="s">
        <v>34</v>
      </c>
      <c r="E86" s="713" t="s">
        <v>7495</v>
      </c>
    </row>
    <row r="87" spans="2:5" x14ac:dyDescent="0.2">
      <c r="B87" t="s">
        <v>863</v>
      </c>
      <c r="C87" s="713" t="s">
        <v>7544</v>
      </c>
      <c r="D87" s="713" t="s">
        <v>34</v>
      </c>
      <c r="E87" s="713" t="s">
        <v>7442</v>
      </c>
    </row>
    <row r="88" spans="2:5" x14ac:dyDescent="0.2">
      <c r="B88" t="s">
        <v>859</v>
      </c>
      <c r="C88" s="713" t="s">
        <v>7545</v>
      </c>
      <c r="D88" s="713" t="s">
        <v>34</v>
      </c>
      <c r="E88" s="713" t="s">
        <v>7546</v>
      </c>
    </row>
    <row r="89" spans="2:5" x14ac:dyDescent="0.2">
      <c r="B89" t="s">
        <v>5916</v>
      </c>
      <c r="C89" s="713" t="s">
        <v>7547</v>
      </c>
      <c r="D89" s="713" t="s">
        <v>34</v>
      </c>
      <c r="E89" s="713" t="s">
        <v>7509</v>
      </c>
    </row>
    <row r="90" spans="2:5" x14ac:dyDescent="0.2">
      <c r="B90" t="s">
        <v>5917</v>
      </c>
      <c r="C90" s="713" t="s">
        <v>7548</v>
      </c>
      <c r="D90" s="713" t="s">
        <v>34</v>
      </c>
      <c r="E90" s="713" t="s">
        <v>7549</v>
      </c>
    </row>
    <row r="91" spans="2:5" x14ac:dyDescent="0.2">
      <c r="B91" t="s">
        <v>5918</v>
      </c>
      <c r="C91" s="713" t="s">
        <v>7550</v>
      </c>
      <c r="D91" s="713" t="s">
        <v>34</v>
      </c>
      <c r="E91" s="713" t="s">
        <v>7551</v>
      </c>
    </row>
    <row r="92" spans="2:5" x14ac:dyDescent="0.2">
      <c r="B92" t="s">
        <v>5919</v>
      </c>
      <c r="C92" s="713" t="s">
        <v>7552</v>
      </c>
      <c r="D92" s="713" t="s">
        <v>34</v>
      </c>
      <c r="E92" s="713" t="s">
        <v>7553</v>
      </c>
    </row>
    <row r="93" spans="2:5" x14ac:dyDescent="0.2">
      <c r="B93" t="s">
        <v>5920</v>
      </c>
      <c r="C93" s="713" t="s">
        <v>7554</v>
      </c>
      <c r="D93" s="713" t="s">
        <v>34</v>
      </c>
      <c r="E93" s="713" t="s">
        <v>7404</v>
      </c>
    </row>
    <row r="94" spans="2:5" x14ac:dyDescent="0.2">
      <c r="B94" t="s">
        <v>5921</v>
      </c>
      <c r="C94" s="713" t="s">
        <v>7555</v>
      </c>
      <c r="D94" s="713" t="s">
        <v>34</v>
      </c>
      <c r="E94" s="713" t="s">
        <v>7404</v>
      </c>
    </row>
    <row r="95" spans="2:5" x14ac:dyDescent="0.2">
      <c r="B95" t="s">
        <v>5922</v>
      </c>
      <c r="C95" s="713" t="s">
        <v>7556</v>
      </c>
      <c r="D95" s="713" t="s">
        <v>34</v>
      </c>
      <c r="E95" s="713" t="s">
        <v>7404</v>
      </c>
    </row>
    <row r="96" spans="2:5" x14ac:dyDescent="0.2">
      <c r="B96" t="s">
        <v>853</v>
      </c>
      <c r="C96" s="713" t="s">
        <v>7557</v>
      </c>
      <c r="D96" s="713" t="s">
        <v>34</v>
      </c>
      <c r="E96" s="713" t="s">
        <v>7558</v>
      </c>
    </row>
    <row r="97" spans="2:5" x14ac:dyDescent="0.2">
      <c r="B97" t="s">
        <v>5923</v>
      </c>
      <c r="C97" s="713" t="s">
        <v>7559</v>
      </c>
      <c r="D97" s="713" t="s">
        <v>34</v>
      </c>
      <c r="E97" s="713" t="s">
        <v>7560</v>
      </c>
    </row>
    <row r="98" spans="2:5" x14ac:dyDescent="0.2">
      <c r="B98" t="s">
        <v>5924</v>
      </c>
      <c r="C98" s="713" t="s">
        <v>7561</v>
      </c>
      <c r="D98" s="713" t="s">
        <v>34</v>
      </c>
      <c r="E98" s="713" t="s">
        <v>7562</v>
      </c>
    </row>
    <row r="99" spans="2:5" x14ac:dyDescent="0.2">
      <c r="B99" t="s">
        <v>5925</v>
      </c>
      <c r="C99" s="713" t="s">
        <v>7563</v>
      </c>
      <c r="D99" s="713" t="s">
        <v>34</v>
      </c>
      <c r="E99" s="713" t="s">
        <v>7564</v>
      </c>
    </row>
    <row r="100" spans="2:5" x14ac:dyDescent="0.2">
      <c r="B100" t="s">
        <v>5926</v>
      </c>
      <c r="C100" s="713" t="s">
        <v>7565</v>
      </c>
      <c r="D100" s="713" t="s">
        <v>34</v>
      </c>
      <c r="E100" s="713" t="s">
        <v>7416</v>
      </c>
    </row>
    <row r="101" spans="2:5" x14ac:dyDescent="0.2">
      <c r="B101" t="s">
        <v>5927</v>
      </c>
      <c r="C101" s="713" t="s">
        <v>7566</v>
      </c>
      <c r="D101" s="713" t="s">
        <v>34</v>
      </c>
      <c r="E101" s="713" t="s">
        <v>7567</v>
      </c>
    </row>
    <row r="102" spans="2:5" x14ac:dyDescent="0.2">
      <c r="B102" t="s">
        <v>5928</v>
      </c>
      <c r="C102" s="713" t="s">
        <v>7568</v>
      </c>
      <c r="D102" s="713" t="s">
        <v>34</v>
      </c>
      <c r="E102" s="713" t="s">
        <v>7462</v>
      </c>
    </row>
    <row r="103" spans="2:5" x14ac:dyDescent="0.2">
      <c r="B103" t="s">
        <v>5929</v>
      </c>
      <c r="C103" s="713" t="s">
        <v>7569</v>
      </c>
      <c r="D103" s="713" t="s">
        <v>34</v>
      </c>
      <c r="E103" s="713" t="s">
        <v>7570</v>
      </c>
    </row>
    <row r="104" spans="2:5" x14ac:dyDescent="0.2">
      <c r="B104" t="s">
        <v>5930</v>
      </c>
      <c r="C104" s="713" t="s">
        <v>7571</v>
      </c>
      <c r="D104" s="713" t="s">
        <v>34</v>
      </c>
      <c r="E104" s="713" t="s">
        <v>7396</v>
      </c>
    </row>
    <row r="105" spans="2:5" x14ac:dyDescent="0.2">
      <c r="B105" t="s">
        <v>5931</v>
      </c>
      <c r="C105" s="713" t="s">
        <v>7572</v>
      </c>
      <c r="D105" s="713" t="s">
        <v>34</v>
      </c>
      <c r="E105" s="713" t="s">
        <v>7573</v>
      </c>
    </row>
    <row r="106" spans="2:5" x14ac:dyDescent="0.2">
      <c r="B106" t="s">
        <v>5932</v>
      </c>
      <c r="C106" s="713" t="s">
        <v>7574</v>
      </c>
      <c r="D106" s="713" t="s">
        <v>34</v>
      </c>
      <c r="E106" s="713" t="s">
        <v>7573</v>
      </c>
    </row>
    <row r="107" spans="2:5" x14ac:dyDescent="0.2">
      <c r="B107" t="s">
        <v>5933</v>
      </c>
      <c r="C107" s="713" t="s">
        <v>7575</v>
      </c>
      <c r="D107" s="713" t="s">
        <v>34</v>
      </c>
      <c r="E107" s="713" t="s">
        <v>7410</v>
      </c>
    </row>
    <row r="108" spans="2:5" x14ac:dyDescent="0.2">
      <c r="B108" t="s">
        <v>5934</v>
      </c>
      <c r="C108" s="713" t="s">
        <v>7576</v>
      </c>
      <c r="D108" s="713" t="s">
        <v>34</v>
      </c>
      <c r="E108" s="713" t="s">
        <v>7577</v>
      </c>
    </row>
    <row r="109" spans="2:5" x14ac:dyDescent="0.2">
      <c r="B109" t="s">
        <v>5935</v>
      </c>
      <c r="C109" s="713" t="s">
        <v>7578</v>
      </c>
      <c r="D109" s="713" t="s">
        <v>34</v>
      </c>
      <c r="E109" s="713" t="s">
        <v>7429</v>
      </c>
    </row>
    <row r="110" spans="2:5" x14ac:dyDescent="0.2">
      <c r="B110" t="s">
        <v>5936</v>
      </c>
      <c r="C110" s="713" t="s">
        <v>7579</v>
      </c>
      <c r="D110" s="713" t="s">
        <v>34</v>
      </c>
      <c r="E110" s="713" t="s">
        <v>7580</v>
      </c>
    </row>
    <row r="111" spans="2:5" x14ac:dyDescent="0.2">
      <c r="B111" t="s">
        <v>5937</v>
      </c>
      <c r="C111" s="713" t="s">
        <v>7581</v>
      </c>
      <c r="D111" s="713" t="s">
        <v>34</v>
      </c>
      <c r="E111" s="713" t="s">
        <v>7582</v>
      </c>
    </row>
    <row r="112" spans="2:5" x14ac:dyDescent="0.2">
      <c r="B112" t="s">
        <v>5938</v>
      </c>
      <c r="C112" s="713" t="s">
        <v>7583</v>
      </c>
      <c r="D112" s="713" t="s">
        <v>34</v>
      </c>
      <c r="E112" s="713" t="s">
        <v>7584</v>
      </c>
    </row>
    <row r="113" spans="2:5" x14ac:dyDescent="0.2">
      <c r="B113" t="s">
        <v>5939</v>
      </c>
      <c r="C113" s="713" t="s">
        <v>7585</v>
      </c>
      <c r="D113" s="713" t="s">
        <v>34</v>
      </c>
      <c r="E113" s="713" t="s">
        <v>7412</v>
      </c>
    </row>
    <row r="114" spans="2:5" x14ac:dyDescent="0.2">
      <c r="B114" t="s">
        <v>5940</v>
      </c>
      <c r="C114" s="713" t="s">
        <v>7586</v>
      </c>
      <c r="D114" s="713" t="s">
        <v>34</v>
      </c>
      <c r="E114" s="713" t="s">
        <v>7587</v>
      </c>
    </row>
    <row r="115" spans="2:5" x14ac:dyDescent="0.2">
      <c r="B115" t="s">
        <v>5941</v>
      </c>
      <c r="C115" s="713" t="s">
        <v>7588</v>
      </c>
      <c r="D115" s="713" t="s">
        <v>34</v>
      </c>
      <c r="E115" s="713" t="s">
        <v>7418</v>
      </c>
    </row>
    <row r="116" spans="2:5" x14ac:dyDescent="0.2">
      <c r="B116" t="s">
        <v>5942</v>
      </c>
      <c r="C116" s="713" t="s">
        <v>7589</v>
      </c>
      <c r="D116" s="713" t="s">
        <v>34</v>
      </c>
      <c r="E116" s="713" t="s">
        <v>7590</v>
      </c>
    </row>
    <row r="117" spans="2:5" x14ac:dyDescent="0.2">
      <c r="B117" t="s">
        <v>5943</v>
      </c>
      <c r="C117" s="713" t="s">
        <v>7591</v>
      </c>
      <c r="D117" s="713" t="s">
        <v>34</v>
      </c>
      <c r="E117" s="713" t="s">
        <v>7592</v>
      </c>
    </row>
    <row r="118" spans="2:5" x14ac:dyDescent="0.2">
      <c r="B118" t="s">
        <v>5944</v>
      </c>
      <c r="C118" s="713" t="s">
        <v>7593</v>
      </c>
      <c r="D118" s="713" t="s">
        <v>34</v>
      </c>
      <c r="E118" s="713" t="s">
        <v>7594</v>
      </c>
    </row>
    <row r="119" spans="2:5" x14ac:dyDescent="0.2">
      <c r="B119" t="s">
        <v>5945</v>
      </c>
      <c r="C119" s="713" t="s">
        <v>7595</v>
      </c>
      <c r="D119" s="713" t="s">
        <v>34</v>
      </c>
      <c r="E119" s="713" t="s">
        <v>7495</v>
      </c>
    </row>
    <row r="120" spans="2:5" x14ac:dyDescent="0.2">
      <c r="B120" t="s">
        <v>5946</v>
      </c>
      <c r="C120" s="713" t="s">
        <v>7596</v>
      </c>
      <c r="D120" s="713" t="s">
        <v>34</v>
      </c>
      <c r="E120" s="713" t="s">
        <v>7597</v>
      </c>
    </row>
    <row r="121" spans="2:5" x14ac:dyDescent="0.2">
      <c r="B121" t="s">
        <v>5947</v>
      </c>
      <c r="C121" s="713" t="s">
        <v>7598</v>
      </c>
      <c r="D121" s="713" t="s">
        <v>34</v>
      </c>
      <c r="E121" s="713" t="s">
        <v>7599</v>
      </c>
    </row>
    <row r="122" spans="2:5" x14ac:dyDescent="0.2">
      <c r="B122" t="s">
        <v>5948</v>
      </c>
      <c r="C122" s="713" t="s">
        <v>7600</v>
      </c>
      <c r="D122" s="713" t="s">
        <v>34</v>
      </c>
      <c r="E122" s="713" t="s">
        <v>7601</v>
      </c>
    </row>
    <row r="123" spans="2:5" x14ac:dyDescent="0.2">
      <c r="B123" t="s">
        <v>5949</v>
      </c>
      <c r="C123" s="713" t="s">
        <v>7602</v>
      </c>
      <c r="D123" s="713" t="s">
        <v>34</v>
      </c>
      <c r="E123" s="713" t="s">
        <v>7524</v>
      </c>
    </row>
    <row r="124" spans="2:5" x14ac:dyDescent="0.2">
      <c r="B124" t="s">
        <v>5950</v>
      </c>
      <c r="C124" s="713" t="s">
        <v>7603</v>
      </c>
      <c r="D124" s="713" t="s">
        <v>34</v>
      </c>
      <c r="E124" s="713" t="s">
        <v>7604</v>
      </c>
    </row>
    <row r="125" spans="2:5" x14ac:dyDescent="0.2">
      <c r="B125" t="s">
        <v>5951</v>
      </c>
      <c r="C125" s="713" t="s">
        <v>7605</v>
      </c>
      <c r="D125" s="713" t="s">
        <v>7606</v>
      </c>
      <c r="E125" s="713" t="s">
        <v>7607</v>
      </c>
    </row>
    <row r="126" spans="2:5" x14ac:dyDescent="0.2">
      <c r="B126" t="s">
        <v>958</v>
      </c>
      <c r="C126" s="713" t="s">
        <v>7608</v>
      </c>
      <c r="D126" s="713" t="s">
        <v>34</v>
      </c>
      <c r="E126" s="713" t="s">
        <v>7442</v>
      </c>
    </row>
    <row r="127" spans="2:5" x14ac:dyDescent="0.2">
      <c r="B127" t="s">
        <v>5952</v>
      </c>
      <c r="C127" s="713" t="s">
        <v>7609</v>
      </c>
      <c r="D127" s="713" t="s">
        <v>34</v>
      </c>
      <c r="E127" s="713" t="s">
        <v>7610</v>
      </c>
    </row>
    <row r="128" spans="2:5" x14ac:dyDescent="0.2">
      <c r="B128" t="s">
        <v>5953</v>
      </c>
      <c r="C128" s="713" t="s">
        <v>34</v>
      </c>
      <c r="D128" s="713" t="s">
        <v>34</v>
      </c>
      <c r="E128" s="713" t="s">
        <v>7611</v>
      </c>
    </row>
    <row r="129" spans="2:5" x14ac:dyDescent="0.2">
      <c r="B129" t="s">
        <v>5954</v>
      </c>
      <c r="C129" s="713" t="s">
        <v>7612</v>
      </c>
      <c r="D129" s="713" t="s">
        <v>34</v>
      </c>
      <c r="E129" s="713" t="s">
        <v>7573</v>
      </c>
    </row>
    <row r="130" spans="2:5" x14ac:dyDescent="0.2">
      <c r="B130" t="s">
        <v>5955</v>
      </c>
      <c r="C130" s="713" t="s">
        <v>7613</v>
      </c>
      <c r="D130" s="713" t="s">
        <v>34</v>
      </c>
      <c r="E130" s="713" t="s">
        <v>7614</v>
      </c>
    </row>
    <row r="131" spans="2:5" x14ac:dyDescent="0.2">
      <c r="B131" t="s">
        <v>5956</v>
      </c>
      <c r="C131" s="713" t="s">
        <v>7615</v>
      </c>
      <c r="D131" s="713" t="s">
        <v>34</v>
      </c>
      <c r="E131" s="713" t="s">
        <v>7410</v>
      </c>
    </row>
    <row r="132" spans="2:5" x14ac:dyDescent="0.2">
      <c r="B132" t="s">
        <v>5957</v>
      </c>
      <c r="C132" s="713" t="s">
        <v>7616</v>
      </c>
      <c r="D132" s="713" t="s">
        <v>34</v>
      </c>
      <c r="E132" s="713" t="s">
        <v>7617</v>
      </c>
    </row>
    <row r="133" spans="2:5" x14ac:dyDescent="0.2">
      <c r="B133" t="s">
        <v>5958</v>
      </c>
      <c r="C133" s="713" t="s">
        <v>7618</v>
      </c>
      <c r="D133" s="713" t="s">
        <v>34</v>
      </c>
      <c r="E133" s="713" t="s">
        <v>7619</v>
      </c>
    </row>
    <row r="134" spans="2:5" x14ac:dyDescent="0.2">
      <c r="B134" t="s">
        <v>5959</v>
      </c>
      <c r="C134" s="713" t="s">
        <v>7620</v>
      </c>
      <c r="D134" s="713" t="s">
        <v>34</v>
      </c>
      <c r="E134" s="713" t="s">
        <v>7418</v>
      </c>
    </row>
    <row r="135" spans="2:5" x14ac:dyDescent="0.2">
      <c r="B135" t="s">
        <v>5960</v>
      </c>
      <c r="C135" s="713" t="s">
        <v>7621</v>
      </c>
      <c r="D135" s="713" t="s">
        <v>34</v>
      </c>
      <c r="E135" s="713" t="s">
        <v>7418</v>
      </c>
    </row>
    <row r="136" spans="2:5" x14ac:dyDescent="0.2">
      <c r="B136" t="s">
        <v>5961</v>
      </c>
      <c r="C136" s="713" t="s">
        <v>7622</v>
      </c>
      <c r="D136" s="713" t="s">
        <v>34</v>
      </c>
      <c r="E136" s="713" t="s">
        <v>7623</v>
      </c>
    </row>
    <row r="137" spans="2:5" x14ac:dyDescent="0.2">
      <c r="B137" t="s">
        <v>5962</v>
      </c>
      <c r="C137" s="713" t="s">
        <v>7624</v>
      </c>
      <c r="D137" s="713" t="s">
        <v>34</v>
      </c>
      <c r="E137" s="713" t="s">
        <v>7625</v>
      </c>
    </row>
    <row r="138" spans="2:5" x14ac:dyDescent="0.2">
      <c r="B138" t="s">
        <v>1023</v>
      </c>
      <c r="C138" s="713" t="s">
        <v>7626</v>
      </c>
      <c r="D138" s="713" t="s">
        <v>34</v>
      </c>
      <c r="E138" s="713" t="s">
        <v>7396</v>
      </c>
    </row>
    <row r="139" spans="2:5" x14ac:dyDescent="0.2">
      <c r="B139" t="s">
        <v>333</v>
      </c>
      <c r="C139" s="713" t="s">
        <v>7627</v>
      </c>
      <c r="D139" s="713" t="s">
        <v>34</v>
      </c>
      <c r="E139" s="713" t="s">
        <v>7396</v>
      </c>
    </row>
    <row r="140" spans="2:5" x14ac:dyDescent="0.2">
      <c r="B140" t="s">
        <v>5963</v>
      </c>
      <c r="C140" s="713" t="s">
        <v>7628</v>
      </c>
      <c r="D140" s="713" t="s">
        <v>34</v>
      </c>
      <c r="E140" s="713" t="s">
        <v>7629</v>
      </c>
    </row>
    <row r="141" spans="2:5" x14ac:dyDescent="0.2">
      <c r="B141" t="s">
        <v>5964</v>
      </c>
      <c r="C141" s="713" t="s">
        <v>7630</v>
      </c>
      <c r="D141" s="713" t="s">
        <v>34</v>
      </c>
      <c r="E141" s="713" t="s">
        <v>7631</v>
      </c>
    </row>
    <row r="142" spans="2:5" x14ac:dyDescent="0.2">
      <c r="B142" t="s">
        <v>5965</v>
      </c>
      <c r="C142" s="713" t="s">
        <v>7632</v>
      </c>
      <c r="D142" s="713" t="s">
        <v>34</v>
      </c>
      <c r="E142" s="713" t="s">
        <v>7633</v>
      </c>
    </row>
    <row r="143" spans="2:5" x14ac:dyDescent="0.2">
      <c r="B143" t="s">
        <v>5966</v>
      </c>
      <c r="C143" s="713" t="s">
        <v>7634</v>
      </c>
      <c r="D143" s="713" t="s">
        <v>34</v>
      </c>
      <c r="E143" s="713" t="s">
        <v>7635</v>
      </c>
    </row>
    <row r="144" spans="2:5" x14ac:dyDescent="0.2">
      <c r="B144" t="s">
        <v>5967</v>
      </c>
      <c r="C144" s="713" t="s">
        <v>7636</v>
      </c>
      <c r="D144" s="713" t="s">
        <v>34</v>
      </c>
      <c r="E144" s="713" t="s">
        <v>7637</v>
      </c>
    </row>
    <row r="145" spans="2:5" x14ac:dyDescent="0.2">
      <c r="B145" t="s">
        <v>5968</v>
      </c>
      <c r="C145" s="713" t="s">
        <v>7638</v>
      </c>
      <c r="D145" s="713" t="s">
        <v>34</v>
      </c>
      <c r="E145" s="713" t="s">
        <v>7442</v>
      </c>
    </row>
    <row r="146" spans="2:5" x14ac:dyDescent="0.2">
      <c r="B146" t="s">
        <v>5969</v>
      </c>
      <c r="C146" s="713" t="s">
        <v>7639</v>
      </c>
      <c r="D146" s="713" t="s">
        <v>34</v>
      </c>
      <c r="E146" s="713" t="s">
        <v>7640</v>
      </c>
    </row>
    <row r="147" spans="2:5" x14ac:dyDescent="0.2">
      <c r="B147" t="s">
        <v>5970</v>
      </c>
      <c r="C147" s="713" t="s">
        <v>7641</v>
      </c>
      <c r="D147" s="713" t="s">
        <v>34</v>
      </c>
      <c r="E147" s="713" t="s">
        <v>7642</v>
      </c>
    </row>
    <row r="148" spans="2:5" x14ac:dyDescent="0.2">
      <c r="B148" t="s">
        <v>5971</v>
      </c>
      <c r="C148" s="713" t="s">
        <v>7643</v>
      </c>
      <c r="D148" s="713" t="s">
        <v>34</v>
      </c>
      <c r="E148" s="713" t="s">
        <v>7644</v>
      </c>
    </row>
    <row r="149" spans="2:5" x14ac:dyDescent="0.2">
      <c r="B149" t="s">
        <v>5972</v>
      </c>
      <c r="C149" s="713" t="s">
        <v>7645</v>
      </c>
      <c r="D149" s="713" t="s">
        <v>34</v>
      </c>
      <c r="E149" s="713" t="s">
        <v>7646</v>
      </c>
    </row>
    <row r="150" spans="2:5" x14ac:dyDescent="0.2">
      <c r="B150" t="s">
        <v>5973</v>
      </c>
      <c r="C150" s="713" t="s">
        <v>7647</v>
      </c>
      <c r="D150" s="713" t="s">
        <v>34</v>
      </c>
      <c r="E150" s="713" t="s">
        <v>7396</v>
      </c>
    </row>
    <row r="151" spans="2:5" x14ac:dyDescent="0.2">
      <c r="B151" t="s">
        <v>987</v>
      </c>
      <c r="C151" s="713" t="s">
        <v>7648</v>
      </c>
      <c r="D151" s="713" t="s">
        <v>34</v>
      </c>
      <c r="E151" s="713" t="s">
        <v>7587</v>
      </c>
    </row>
    <row r="152" spans="2:5" x14ac:dyDescent="0.2">
      <c r="B152" t="s">
        <v>5974</v>
      </c>
      <c r="C152" s="713" t="s">
        <v>7649</v>
      </c>
      <c r="D152" s="713" t="s">
        <v>34</v>
      </c>
      <c r="E152" s="713" t="s">
        <v>7650</v>
      </c>
    </row>
    <row r="153" spans="2:5" x14ac:dyDescent="0.2">
      <c r="B153" t="s">
        <v>5975</v>
      </c>
      <c r="C153" s="713" t="s">
        <v>7651</v>
      </c>
      <c r="D153" s="713" t="s">
        <v>34</v>
      </c>
      <c r="E153" s="713" t="s">
        <v>7546</v>
      </c>
    </row>
    <row r="154" spans="2:5" x14ac:dyDescent="0.2">
      <c r="B154" t="s">
        <v>939</v>
      </c>
      <c r="C154" s="713" t="s">
        <v>7652</v>
      </c>
      <c r="D154" s="713" t="s">
        <v>34</v>
      </c>
      <c r="E154" s="713" t="s">
        <v>7396</v>
      </c>
    </row>
    <row r="155" spans="2:5" x14ac:dyDescent="0.2">
      <c r="B155" t="s">
        <v>5976</v>
      </c>
      <c r="C155" s="713" t="s">
        <v>7653</v>
      </c>
      <c r="D155" s="713" t="s">
        <v>34</v>
      </c>
      <c r="E155" s="713" t="s">
        <v>7464</v>
      </c>
    </row>
    <row r="156" spans="2:5" x14ac:dyDescent="0.2">
      <c r="B156" t="s">
        <v>5977</v>
      </c>
      <c r="C156" s="713" t="s">
        <v>7654</v>
      </c>
      <c r="D156" s="713" t="s">
        <v>34</v>
      </c>
      <c r="E156" s="713" t="s">
        <v>7655</v>
      </c>
    </row>
    <row r="157" spans="2:5" x14ac:dyDescent="0.2">
      <c r="B157" t="s">
        <v>5978</v>
      </c>
      <c r="C157" s="713" t="s">
        <v>7656</v>
      </c>
      <c r="D157" s="713" t="s">
        <v>34</v>
      </c>
      <c r="E157" s="713" t="s">
        <v>7657</v>
      </c>
    </row>
    <row r="158" spans="2:5" x14ac:dyDescent="0.2">
      <c r="B158" t="s">
        <v>5979</v>
      </c>
      <c r="C158" s="713" t="s">
        <v>34</v>
      </c>
      <c r="D158" s="713" t="s">
        <v>34</v>
      </c>
      <c r="E158" s="713" t="s">
        <v>7611</v>
      </c>
    </row>
    <row r="159" spans="2:5" x14ac:dyDescent="0.2">
      <c r="B159" t="s">
        <v>5980</v>
      </c>
      <c r="C159" s="713" t="s">
        <v>7658</v>
      </c>
      <c r="D159" s="713" t="s">
        <v>34</v>
      </c>
      <c r="E159" s="713" t="s">
        <v>7462</v>
      </c>
    </row>
    <row r="160" spans="2:5" x14ac:dyDescent="0.2">
      <c r="B160" t="s">
        <v>5981</v>
      </c>
      <c r="C160" s="713" t="s">
        <v>7659</v>
      </c>
      <c r="D160" s="713" t="s">
        <v>34</v>
      </c>
      <c r="E160" s="713" t="s">
        <v>7660</v>
      </c>
    </row>
    <row r="161" spans="2:5" x14ac:dyDescent="0.2">
      <c r="B161" t="s">
        <v>5982</v>
      </c>
      <c r="C161" s="713" t="s">
        <v>7661</v>
      </c>
      <c r="D161" s="713" t="s">
        <v>34</v>
      </c>
      <c r="E161" s="713" t="s">
        <v>7573</v>
      </c>
    </row>
    <row r="162" spans="2:5" x14ac:dyDescent="0.2">
      <c r="B162" t="s">
        <v>5983</v>
      </c>
      <c r="C162" s="713" t="s">
        <v>7662</v>
      </c>
      <c r="D162" s="713" t="s">
        <v>34</v>
      </c>
      <c r="E162" s="713" t="s">
        <v>7663</v>
      </c>
    </row>
    <row r="163" spans="2:5" x14ac:dyDescent="0.2">
      <c r="B163" t="s">
        <v>5984</v>
      </c>
      <c r="C163" s="713" t="s">
        <v>7664</v>
      </c>
      <c r="D163" s="713" t="s">
        <v>34</v>
      </c>
      <c r="E163" s="713" t="s">
        <v>7665</v>
      </c>
    </row>
    <row r="164" spans="2:5" x14ac:dyDescent="0.2">
      <c r="B164" t="s">
        <v>5985</v>
      </c>
      <c r="C164" s="713" t="s">
        <v>7666</v>
      </c>
      <c r="D164" s="713" t="s">
        <v>34</v>
      </c>
      <c r="E164" s="713" t="s">
        <v>7667</v>
      </c>
    </row>
    <row r="165" spans="2:5" x14ac:dyDescent="0.2">
      <c r="B165" t="s">
        <v>5986</v>
      </c>
      <c r="C165" s="713" t="s">
        <v>7668</v>
      </c>
      <c r="D165" s="713" t="s">
        <v>34</v>
      </c>
      <c r="E165" s="713" t="s">
        <v>7564</v>
      </c>
    </row>
    <row r="166" spans="2:5" x14ac:dyDescent="0.2">
      <c r="B166" t="s">
        <v>5987</v>
      </c>
      <c r="C166" s="713" t="s">
        <v>7669</v>
      </c>
      <c r="D166" s="713" t="s">
        <v>34</v>
      </c>
      <c r="E166" s="713" t="s">
        <v>7670</v>
      </c>
    </row>
    <row r="167" spans="2:5" x14ac:dyDescent="0.2">
      <c r="B167" t="s">
        <v>5988</v>
      </c>
      <c r="C167" s="713" t="s">
        <v>7671</v>
      </c>
      <c r="D167" s="713" t="s">
        <v>34</v>
      </c>
      <c r="E167" s="713" t="s">
        <v>7672</v>
      </c>
    </row>
    <row r="168" spans="2:5" x14ac:dyDescent="0.2">
      <c r="B168" t="s">
        <v>5989</v>
      </c>
      <c r="C168" s="713" t="s">
        <v>7673</v>
      </c>
      <c r="D168" s="713" t="s">
        <v>34</v>
      </c>
      <c r="E168" s="713" t="s">
        <v>7674</v>
      </c>
    </row>
    <row r="169" spans="2:5" x14ac:dyDescent="0.2">
      <c r="B169" t="s">
        <v>5990</v>
      </c>
      <c r="C169" s="713" t="s">
        <v>7675</v>
      </c>
      <c r="D169" s="713" t="s">
        <v>34</v>
      </c>
      <c r="E169" s="713" t="s">
        <v>7676</v>
      </c>
    </row>
    <row r="170" spans="2:5" x14ac:dyDescent="0.2">
      <c r="B170" t="s">
        <v>5991</v>
      </c>
      <c r="C170" s="713" t="s">
        <v>7677</v>
      </c>
      <c r="D170" s="713" t="s">
        <v>34</v>
      </c>
      <c r="E170" s="713" t="s">
        <v>7587</v>
      </c>
    </row>
    <row r="171" spans="2:5" x14ac:dyDescent="0.2">
      <c r="B171" t="s">
        <v>5992</v>
      </c>
      <c r="C171" s="713" t="s">
        <v>7678</v>
      </c>
      <c r="D171" s="713" t="s">
        <v>34</v>
      </c>
      <c r="E171" s="713" t="s">
        <v>7573</v>
      </c>
    </row>
    <row r="172" spans="2:5" x14ac:dyDescent="0.2">
      <c r="B172" t="s">
        <v>5993</v>
      </c>
      <c r="C172" s="713" t="s">
        <v>7679</v>
      </c>
      <c r="D172" s="713" t="s">
        <v>34</v>
      </c>
      <c r="E172" s="713" t="s">
        <v>7442</v>
      </c>
    </row>
    <row r="173" spans="2:5" x14ac:dyDescent="0.2">
      <c r="B173" t="s">
        <v>5994</v>
      </c>
      <c r="C173" s="713" t="s">
        <v>7680</v>
      </c>
      <c r="D173" s="713" t="s">
        <v>34</v>
      </c>
      <c r="E173" s="713" t="s">
        <v>7396</v>
      </c>
    </row>
    <row r="174" spans="2:5" x14ac:dyDescent="0.2">
      <c r="B174" t="s">
        <v>5995</v>
      </c>
      <c r="C174" s="713" t="s">
        <v>7681</v>
      </c>
      <c r="D174" s="713" t="s">
        <v>34</v>
      </c>
      <c r="E174" s="713" t="s">
        <v>7570</v>
      </c>
    </row>
    <row r="175" spans="2:5" x14ac:dyDescent="0.2">
      <c r="B175" t="s">
        <v>5996</v>
      </c>
      <c r="C175" s="713" t="s">
        <v>7682</v>
      </c>
      <c r="D175" s="713" t="s">
        <v>34</v>
      </c>
      <c r="E175" s="713" t="s">
        <v>7538</v>
      </c>
    </row>
    <row r="176" spans="2:5" x14ac:dyDescent="0.2">
      <c r="B176" t="s">
        <v>5997</v>
      </c>
      <c r="C176" s="713" t="s">
        <v>7683</v>
      </c>
      <c r="D176" s="713" t="s">
        <v>34</v>
      </c>
      <c r="E176" s="713" t="s">
        <v>7394</v>
      </c>
    </row>
    <row r="177" spans="2:5" x14ac:dyDescent="0.2">
      <c r="B177" t="s">
        <v>5998</v>
      </c>
      <c r="C177" s="713" t="s">
        <v>7684</v>
      </c>
      <c r="D177" s="713" t="s">
        <v>34</v>
      </c>
      <c r="E177" s="713" t="s">
        <v>7685</v>
      </c>
    </row>
    <row r="178" spans="2:5" x14ac:dyDescent="0.2">
      <c r="B178" t="s">
        <v>5999</v>
      </c>
      <c r="C178" s="713" t="s">
        <v>7686</v>
      </c>
      <c r="D178" s="713" t="s">
        <v>34</v>
      </c>
      <c r="E178" s="713" t="s">
        <v>7412</v>
      </c>
    </row>
    <row r="179" spans="2:5" x14ac:dyDescent="0.2">
      <c r="B179" t="s">
        <v>6000</v>
      </c>
      <c r="C179" s="713" t="s">
        <v>7687</v>
      </c>
      <c r="D179" s="713" t="s">
        <v>34</v>
      </c>
      <c r="E179" s="713" t="s">
        <v>7442</v>
      </c>
    </row>
    <row r="180" spans="2:5" x14ac:dyDescent="0.2">
      <c r="B180" t="s">
        <v>6001</v>
      </c>
      <c r="C180" s="713" t="s">
        <v>7688</v>
      </c>
      <c r="D180" s="713" t="s">
        <v>34</v>
      </c>
      <c r="E180" s="713" t="s">
        <v>7509</v>
      </c>
    </row>
    <row r="181" spans="2:5" x14ac:dyDescent="0.2">
      <c r="B181" t="s">
        <v>917</v>
      </c>
      <c r="C181" s="713" t="s">
        <v>7689</v>
      </c>
      <c r="D181" s="713" t="s">
        <v>34</v>
      </c>
      <c r="E181" s="713" t="s">
        <v>7396</v>
      </c>
    </row>
    <row r="182" spans="2:5" x14ac:dyDescent="0.2">
      <c r="B182" t="s">
        <v>6002</v>
      </c>
      <c r="C182" s="713" t="s">
        <v>7690</v>
      </c>
      <c r="D182" s="713" t="s">
        <v>34</v>
      </c>
      <c r="E182" s="713" t="s">
        <v>7396</v>
      </c>
    </row>
    <row r="183" spans="2:5" x14ac:dyDescent="0.2">
      <c r="B183" t="s">
        <v>6003</v>
      </c>
      <c r="C183" s="713" t="s">
        <v>7691</v>
      </c>
      <c r="D183" s="713" t="s">
        <v>34</v>
      </c>
      <c r="E183" s="713" t="s">
        <v>7429</v>
      </c>
    </row>
    <row r="184" spans="2:5" x14ac:dyDescent="0.2">
      <c r="B184" t="s">
        <v>6004</v>
      </c>
      <c r="C184" s="713" t="s">
        <v>7692</v>
      </c>
      <c r="D184" s="713" t="s">
        <v>34</v>
      </c>
      <c r="E184" s="713" t="s">
        <v>7693</v>
      </c>
    </row>
    <row r="185" spans="2:5" x14ac:dyDescent="0.2">
      <c r="B185" t="s">
        <v>6005</v>
      </c>
      <c r="C185" s="713" t="s">
        <v>7694</v>
      </c>
      <c r="D185" s="713" t="s">
        <v>34</v>
      </c>
      <c r="E185" s="713" t="s">
        <v>7695</v>
      </c>
    </row>
    <row r="186" spans="2:5" x14ac:dyDescent="0.2">
      <c r="B186" t="s">
        <v>6006</v>
      </c>
      <c r="C186" s="713" t="s">
        <v>7696</v>
      </c>
      <c r="D186" s="713" t="s">
        <v>34</v>
      </c>
      <c r="E186" s="713" t="s">
        <v>7697</v>
      </c>
    </row>
    <row r="187" spans="2:5" x14ac:dyDescent="0.2">
      <c r="B187" t="s">
        <v>6007</v>
      </c>
      <c r="C187" s="713" t="s">
        <v>7698</v>
      </c>
      <c r="D187" s="713" t="s">
        <v>34</v>
      </c>
      <c r="E187" s="713" t="s">
        <v>7520</v>
      </c>
    </row>
    <row r="188" spans="2:5" x14ac:dyDescent="0.2">
      <c r="B188" t="s">
        <v>6008</v>
      </c>
      <c r="C188" s="713" t="s">
        <v>7699</v>
      </c>
      <c r="D188" s="713" t="s">
        <v>34</v>
      </c>
      <c r="E188" s="713" t="s">
        <v>7410</v>
      </c>
    </row>
    <row r="189" spans="2:5" x14ac:dyDescent="0.2">
      <c r="B189" t="s">
        <v>6009</v>
      </c>
      <c r="C189" s="713" t="s">
        <v>7700</v>
      </c>
      <c r="D189" s="713" t="s">
        <v>34</v>
      </c>
      <c r="E189" s="713" t="s">
        <v>7701</v>
      </c>
    </row>
    <row r="190" spans="2:5" x14ac:dyDescent="0.2">
      <c r="B190" t="s">
        <v>6010</v>
      </c>
      <c r="C190" s="713" t="s">
        <v>7702</v>
      </c>
      <c r="D190" s="713" t="s">
        <v>34</v>
      </c>
      <c r="E190" s="713" t="s">
        <v>7703</v>
      </c>
    </row>
    <row r="191" spans="2:5" x14ac:dyDescent="0.2">
      <c r="B191" t="s">
        <v>6011</v>
      </c>
      <c r="C191" s="713" t="s">
        <v>7704</v>
      </c>
      <c r="D191" s="713" t="s">
        <v>34</v>
      </c>
      <c r="E191" s="713" t="s">
        <v>7570</v>
      </c>
    </row>
    <row r="192" spans="2:5" x14ac:dyDescent="0.2">
      <c r="B192" t="s">
        <v>6012</v>
      </c>
      <c r="C192" s="713" t="s">
        <v>7705</v>
      </c>
      <c r="D192" s="713" t="s">
        <v>34</v>
      </c>
      <c r="E192" s="713" t="s">
        <v>7706</v>
      </c>
    </row>
    <row r="193" spans="2:5" x14ac:dyDescent="0.2">
      <c r="B193" t="s">
        <v>6013</v>
      </c>
      <c r="C193" s="713" t="s">
        <v>7707</v>
      </c>
      <c r="D193" s="713" t="s">
        <v>34</v>
      </c>
      <c r="E193" s="713" t="s">
        <v>7708</v>
      </c>
    </row>
    <row r="194" spans="2:5" x14ac:dyDescent="0.2">
      <c r="B194" t="s">
        <v>6014</v>
      </c>
      <c r="C194" s="713" t="s">
        <v>7709</v>
      </c>
      <c r="D194" s="713" t="s">
        <v>34</v>
      </c>
      <c r="E194" s="713" t="s">
        <v>7710</v>
      </c>
    </row>
    <row r="195" spans="2:5" x14ac:dyDescent="0.2">
      <c r="B195" t="s">
        <v>6015</v>
      </c>
      <c r="C195" s="713" t="s">
        <v>7711</v>
      </c>
      <c r="D195" s="713" t="s">
        <v>34</v>
      </c>
      <c r="E195" s="713" t="s">
        <v>7490</v>
      </c>
    </row>
    <row r="196" spans="2:5" x14ac:dyDescent="0.2">
      <c r="B196" t="s">
        <v>6016</v>
      </c>
      <c r="C196" s="713" t="s">
        <v>7712</v>
      </c>
      <c r="D196" s="713" t="s">
        <v>34</v>
      </c>
      <c r="E196" s="713" t="s">
        <v>7640</v>
      </c>
    </row>
    <row r="197" spans="2:5" x14ac:dyDescent="0.2">
      <c r="B197" t="s">
        <v>6017</v>
      </c>
      <c r="C197" s="713" t="s">
        <v>7713</v>
      </c>
      <c r="D197" s="713" t="s">
        <v>34</v>
      </c>
      <c r="E197" s="713" t="s">
        <v>7418</v>
      </c>
    </row>
    <row r="198" spans="2:5" x14ac:dyDescent="0.2">
      <c r="B198" t="s">
        <v>6018</v>
      </c>
      <c r="C198" s="713" t="s">
        <v>7714</v>
      </c>
      <c r="D198" s="713" t="s">
        <v>34</v>
      </c>
      <c r="E198" s="713" t="s">
        <v>7538</v>
      </c>
    </row>
    <row r="199" spans="2:5" x14ac:dyDescent="0.2">
      <c r="B199" t="s">
        <v>6019</v>
      </c>
      <c r="C199" s="713" t="s">
        <v>7715</v>
      </c>
      <c r="D199" s="713" t="s">
        <v>34</v>
      </c>
      <c r="E199" s="713" t="s">
        <v>7644</v>
      </c>
    </row>
    <row r="200" spans="2:5" x14ac:dyDescent="0.2">
      <c r="B200" t="s">
        <v>6020</v>
      </c>
      <c r="C200" s="713" t="s">
        <v>7716</v>
      </c>
      <c r="D200" s="713" t="s">
        <v>34</v>
      </c>
      <c r="E200" s="713" t="s">
        <v>7396</v>
      </c>
    </row>
    <row r="201" spans="2:5" x14ac:dyDescent="0.2">
      <c r="B201" t="s">
        <v>6021</v>
      </c>
      <c r="C201" s="713" t="s">
        <v>7717</v>
      </c>
      <c r="D201" s="713" t="s">
        <v>7718</v>
      </c>
      <c r="E201" s="713" t="s">
        <v>7719</v>
      </c>
    </row>
    <row r="202" spans="2:5" x14ac:dyDescent="0.2">
      <c r="B202" t="s">
        <v>6022</v>
      </c>
      <c r="C202" s="713" t="s">
        <v>7720</v>
      </c>
      <c r="D202" s="713" t="s">
        <v>34</v>
      </c>
      <c r="E202" s="713" t="s">
        <v>7721</v>
      </c>
    </row>
    <row r="203" spans="2:5" x14ac:dyDescent="0.2">
      <c r="B203" t="s">
        <v>914</v>
      </c>
      <c r="C203" s="713" t="s">
        <v>7722</v>
      </c>
      <c r="D203" s="713" t="s">
        <v>34</v>
      </c>
      <c r="E203" s="713" t="s">
        <v>7723</v>
      </c>
    </row>
    <row r="204" spans="2:5" x14ac:dyDescent="0.2">
      <c r="B204" t="s">
        <v>6023</v>
      </c>
      <c r="C204" s="713" t="s">
        <v>7724</v>
      </c>
      <c r="D204" s="713" t="s">
        <v>34</v>
      </c>
      <c r="E204" s="713" t="s">
        <v>7725</v>
      </c>
    </row>
    <row r="205" spans="2:5" x14ac:dyDescent="0.2">
      <c r="B205" t="s">
        <v>6024</v>
      </c>
      <c r="C205" s="713" t="s">
        <v>7726</v>
      </c>
      <c r="D205" s="713" t="s">
        <v>34</v>
      </c>
      <c r="E205" s="713" t="s">
        <v>7438</v>
      </c>
    </row>
    <row r="206" spans="2:5" x14ac:dyDescent="0.2">
      <c r="B206" t="s">
        <v>6025</v>
      </c>
      <c r="C206" s="713" t="s">
        <v>7727</v>
      </c>
      <c r="D206" s="713" t="s">
        <v>34</v>
      </c>
      <c r="E206" s="713" t="s">
        <v>7587</v>
      </c>
    </row>
    <row r="207" spans="2:5" x14ac:dyDescent="0.2">
      <c r="B207" t="s">
        <v>6026</v>
      </c>
      <c r="C207" s="713" t="s">
        <v>7728</v>
      </c>
      <c r="D207" s="713" t="s">
        <v>34</v>
      </c>
      <c r="E207" s="713" t="s">
        <v>7538</v>
      </c>
    </row>
    <row r="208" spans="2:5" x14ac:dyDescent="0.2">
      <c r="B208" t="s">
        <v>6027</v>
      </c>
      <c r="C208" s="713" t="s">
        <v>7729</v>
      </c>
      <c r="D208" s="713" t="s">
        <v>34</v>
      </c>
      <c r="E208" s="713" t="s">
        <v>7730</v>
      </c>
    </row>
    <row r="209" spans="2:5" x14ac:dyDescent="0.2">
      <c r="B209" t="s">
        <v>6028</v>
      </c>
      <c r="C209" s="713" t="s">
        <v>7731</v>
      </c>
      <c r="D209" s="713" t="s">
        <v>34</v>
      </c>
      <c r="E209" s="713" t="s">
        <v>7732</v>
      </c>
    </row>
    <row r="210" spans="2:5" x14ac:dyDescent="0.2">
      <c r="B210" t="s">
        <v>6029</v>
      </c>
      <c r="C210" s="713" t="s">
        <v>7733</v>
      </c>
      <c r="D210" s="713" t="s">
        <v>34</v>
      </c>
      <c r="E210" s="713" t="s">
        <v>7734</v>
      </c>
    </row>
    <row r="211" spans="2:5" x14ac:dyDescent="0.2">
      <c r="B211" t="s">
        <v>6030</v>
      </c>
      <c r="C211" s="713" t="s">
        <v>7735</v>
      </c>
      <c r="D211" s="713" t="s">
        <v>34</v>
      </c>
      <c r="E211" s="713" t="s">
        <v>7538</v>
      </c>
    </row>
    <row r="212" spans="2:5" x14ac:dyDescent="0.2">
      <c r="B212" t="s">
        <v>6031</v>
      </c>
      <c r="C212" s="713" t="s">
        <v>7736</v>
      </c>
      <c r="D212" s="713" t="s">
        <v>34</v>
      </c>
      <c r="E212" s="713" t="s">
        <v>7412</v>
      </c>
    </row>
    <row r="213" spans="2:5" x14ac:dyDescent="0.2">
      <c r="B213" t="s">
        <v>6032</v>
      </c>
      <c r="C213" s="713" t="s">
        <v>7737</v>
      </c>
      <c r="D213" s="713" t="s">
        <v>34</v>
      </c>
      <c r="E213" s="713" t="s">
        <v>7416</v>
      </c>
    </row>
    <row r="214" spans="2:5" x14ac:dyDescent="0.2">
      <c r="B214" t="s">
        <v>6033</v>
      </c>
      <c r="C214" s="713" t="s">
        <v>7738</v>
      </c>
      <c r="D214" s="713" t="s">
        <v>34</v>
      </c>
      <c r="E214" s="713" t="s">
        <v>7739</v>
      </c>
    </row>
    <row r="215" spans="2:5" x14ac:dyDescent="0.2">
      <c r="B215" t="s">
        <v>6034</v>
      </c>
      <c r="C215" s="713" t="s">
        <v>7626</v>
      </c>
      <c r="D215" s="713" t="s">
        <v>34</v>
      </c>
      <c r="E215" s="713" t="s">
        <v>7396</v>
      </c>
    </row>
    <row r="216" spans="2:5" x14ac:dyDescent="0.2">
      <c r="B216" t="s">
        <v>6035</v>
      </c>
      <c r="C216" s="713" t="s">
        <v>7740</v>
      </c>
      <c r="D216" s="713" t="s">
        <v>34</v>
      </c>
      <c r="E216" s="713" t="s">
        <v>7741</v>
      </c>
    </row>
    <row r="217" spans="2:5" x14ac:dyDescent="0.2">
      <c r="B217" t="s">
        <v>6036</v>
      </c>
      <c r="C217" s="713" t="s">
        <v>7742</v>
      </c>
      <c r="D217" s="713" t="s">
        <v>34</v>
      </c>
      <c r="E217" s="713" t="s">
        <v>7462</v>
      </c>
    </row>
    <row r="218" spans="2:5" x14ac:dyDescent="0.2">
      <c r="B218" t="s">
        <v>6037</v>
      </c>
      <c r="C218" s="713" t="s">
        <v>7626</v>
      </c>
      <c r="D218" s="713" t="s">
        <v>34</v>
      </c>
      <c r="E218" s="713" t="s">
        <v>7396</v>
      </c>
    </row>
    <row r="219" spans="2:5" x14ac:dyDescent="0.2">
      <c r="B219" t="s">
        <v>6038</v>
      </c>
      <c r="C219" s="713" t="s">
        <v>7743</v>
      </c>
      <c r="D219" s="713" t="s">
        <v>34</v>
      </c>
      <c r="E219" s="713" t="s">
        <v>7741</v>
      </c>
    </row>
    <row r="220" spans="2:5" x14ac:dyDescent="0.2">
      <c r="B220" t="s">
        <v>6039</v>
      </c>
      <c r="C220" s="713" t="s">
        <v>7744</v>
      </c>
      <c r="D220" s="713" t="s">
        <v>34</v>
      </c>
      <c r="E220" s="713" t="s">
        <v>7745</v>
      </c>
    </row>
    <row r="221" spans="2:5" x14ac:dyDescent="0.2">
      <c r="B221" t="s">
        <v>6040</v>
      </c>
      <c r="C221" s="713" t="s">
        <v>7746</v>
      </c>
      <c r="D221" s="713" t="s">
        <v>34</v>
      </c>
      <c r="E221" s="713" t="s">
        <v>7745</v>
      </c>
    </row>
    <row r="222" spans="2:5" x14ac:dyDescent="0.2">
      <c r="B222" t="s">
        <v>6041</v>
      </c>
      <c r="C222" s="713" t="s">
        <v>7747</v>
      </c>
      <c r="D222" s="713" t="s">
        <v>34</v>
      </c>
      <c r="E222" s="713" t="s">
        <v>7748</v>
      </c>
    </row>
    <row r="223" spans="2:5" x14ac:dyDescent="0.2">
      <c r="B223" t="s">
        <v>1068</v>
      </c>
      <c r="C223" s="713" t="s">
        <v>7749</v>
      </c>
      <c r="D223" s="713" t="s">
        <v>34</v>
      </c>
      <c r="E223" s="713" t="s">
        <v>7750</v>
      </c>
    </row>
    <row r="224" spans="2:5" x14ac:dyDescent="0.2">
      <c r="B224" t="s">
        <v>6042</v>
      </c>
      <c r="C224" s="713" t="s">
        <v>7751</v>
      </c>
      <c r="D224" s="713" t="s">
        <v>34</v>
      </c>
      <c r="E224" s="713" t="s">
        <v>7442</v>
      </c>
    </row>
    <row r="225" spans="2:5" x14ac:dyDescent="0.2">
      <c r="B225" t="s">
        <v>6043</v>
      </c>
      <c r="C225" s="713" t="s">
        <v>7752</v>
      </c>
      <c r="D225" s="713" t="s">
        <v>34</v>
      </c>
      <c r="E225" s="713" t="s">
        <v>7732</v>
      </c>
    </row>
    <row r="226" spans="2:5" x14ac:dyDescent="0.2">
      <c r="B226" t="s">
        <v>6044</v>
      </c>
      <c r="C226" s="713" t="s">
        <v>7753</v>
      </c>
      <c r="D226" s="713" t="s">
        <v>34</v>
      </c>
      <c r="E226" s="713" t="s">
        <v>7396</v>
      </c>
    </row>
    <row r="227" spans="2:5" x14ac:dyDescent="0.2">
      <c r="B227" t="s">
        <v>6045</v>
      </c>
      <c r="C227" s="713" t="s">
        <v>7727</v>
      </c>
      <c r="D227" s="713" t="s">
        <v>34</v>
      </c>
      <c r="E227" s="713" t="s">
        <v>7587</v>
      </c>
    </row>
    <row r="228" spans="2:5" x14ac:dyDescent="0.2">
      <c r="B228" t="s">
        <v>6046</v>
      </c>
      <c r="C228" s="713" t="s">
        <v>34</v>
      </c>
      <c r="D228" s="713" t="s">
        <v>34</v>
      </c>
      <c r="E228" s="713" t="s">
        <v>7611</v>
      </c>
    </row>
    <row r="229" spans="2:5" x14ac:dyDescent="0.2">
      <c r="B229" t="s">
        <v>6047</v>
      </c>
      <c r="C229" s="713" t="s">
        <v>7754</v>
      </c>
      <c r="D229" s="713" t="s">
        <v>34</v>
      </c>
      <c r="E229" s="713" t="s">
        <v>7587</v>
      </c>
    </row>
    <row r="230" spans="2:5" x14ac:dyDescent="0.2">
      <c r="B230" t="s">
        <v>6048</v>
      </c>
      <c r="C230" s="713" t="s">
        <v>7755</v>
      </c>
      <c r="D230" s="713" t="s">
        <v>34</v>
      </c>
      <c r="E230" s="713" t="s">
        <v>7412</v>
      </c>
    </row>
    <row r="231" spans="2:5" x14ac:dyDescent="0.2">
      <c r="B231" t="s">
        <v>6049</v>
      </c>
      <c r="C231" s="713" t="s">
        <v>7756</v>
      </c>
      <c r="D231" s="713" t="s">
        <v>34</v>
      </c>
      <c r="E231" s="713" t="s">
        <v>7757</v>
      </c>
    </row>
    <row r="232" spans="2:5" x14ac:dyDescent="0.2">
      <c r="B232" t="s">
        <v>6050</v>
      </c>
      <c r="C232" s="713" t="s">
        <v>7758</v>
      </c>
      <c r="D232" s="713" t="s">
        <v>34</v>
      </c>
      <c r="E232" s="713" t="s">
        <v>7741</v>
      </c>
    </row>
    <row r="233" spans="2:5" x14ac:dyDescent="0.2">
      <c r="B233" t="s">
        <v>6051</v>
      </c>
      <c r="C233" s="713" t="s">
        <v>7759</v>
      </c>
      <c r="D233" s="713" t="s">
        <v>34</v>
      </c>
      <c r="E233" s="713" t="s">
        <v>7760</v>
      </c>
    </row>
    <row r="234" spans="2:5" x14ac:dyDescent="0.2">
      <c r="B234" t="s">
        <v>6052</v>
      </c>
      <c r="C234" s="713" t="s">
        <v>7761</v>
      </c>
      <c r="D234" s="713" t="s">
        <v>34</v>
      </c>
      <c r="E234" s="713" t="s">
        <v>7573</v>
      </c>
    </row>
    <row r="235" spans="2:5" x14ac:dyDescent="0.2">
      <c r="B235" t="s">
        <v>6053</v>
      </c>
      <c r="C235" s="713" t="s">
        <v>7762</v>
      </c>
      <c r="D235" s="713" t="s">
        <v>34</v>
      </c>
      <c r="E235" s="713" t="s">
        <v>7404</v>
      </c>
    </row>
    <row r="236" spans="2:5" x14ac:dyDescent="0.2">
      <c r="B236" t="s">
        <v>6054</v>
      </c>
      <c r="C236" s="713" t="s">
        <v>7763</v>
      </c>
      <c r="D236" s="713" t="s">
        <v>34</v>
      </c>
      <c r="E236" s="713" t="s">
        <v>7764</v>
      </c>
    </row>
    <row r="237" spans="2:5" x14ac:dyDescent="0.2">
      <c r="B237" t="s">
        <v>6055</v>
      </c>
      <c r="C237" s="713" t="s">
        <v>7765</v>
      </c>
      <c r="D237" s="713" t="s">
        <v>34</v>
      </c>
      <c r="E237" s="713" t="s">
        <v>7394</v>
      </c>
    </row>
    <row r="238" spans="2:5" x14ac:dyDescent="0.2">
      <c r="B238" t="s">
        <v>6056</v>
      </c>
      <c r="C238" s="713" t="s">
        <v>7766</v>
      </c>
      <c r="D238" s="713" t="s">
        <v>34</v>
      </c>
      <c r="E238" s="713" t="s">
        <v>7394</v>
      </c>
    </row>
    <row r="239" spans="2:5" x14ac:dyDescent="0.2">
      <c r="B239" t="s">
        <v>6057</v>
      </c>
      <c r="C239" s="713" t="s">
        <v>7767</v>
      </c>
      <c r="D239" s="713" t="s">
        <v>34</v>
      </c>
      <c r="E239" s="713" t="s">
        <v>7768</v>
      </c>
    </row>
    <row r="240" spans="2:5" x14ac:dyDescent="0.2">
      <c r="B240" t="s">
        <v>6058</v>
      </c>
      <c r="C240" s="713" t="s">
        <v>7769</v>
      </c>
      <c r="D240" s="713" t="s">
        <v>34</v>
      </c>
      <c r="E240" s="713" t="s">
        <v>7770</v>
      </c>
    </row>
    <row r="241" spans="2:5" x14ac:dyDescent="0.2">
      <c r="B241" t="s">
        <v>6059</v>
      </c>
      <c r="C241" s="713" t="s">
        <v>7771</v>
      </c>
      <c r="D241" s="713" t="s">
        <v>34</v>
      </c>
      <c r="E241" s="713" t="s">
        <v>7772</v>
      </c>
    </row>
    <row r="242" spans="2:5" x14ac:dyDescent="0.2">
      <c r="B242" t="s">
        <v>6060</v>
      </c>
      <c r="C242" s="713" t="s">
        <v>7773</v>
      </c>
      <c r="D242" s="713" t="s">
        <v>34</v>
      </c>
      <c r="E242" s="713" t="s">
        <v>7774</v>
      </c>
    </row>
    <row r="243" spans="2:5" x14ac:dyDescent="0.2">
      <c r="B243" t="s">
        <v>6061</v>
      </c>
      <c r="C243" s="713" t="s">
        <v>7775</v>
      </c>
      <c r="D243" s="713" t="s">
        <v>34</v>
      </c>
      <c r="E243" s="713" t="s">
        <v>7396</v>
      </c>
    </row>
    <row r="244" spans="2:5" x14ac:dyDescent="0.2">
      <c r="B244" t="s">
        <v>6062</v>
      </c>
      <c r="C244" s="713" t="s">
        <v>7776</v>
      </c>
      <c r="D244" s="713" t="s">
        <v>34</v>
      </c>
      <c r="E244" s="713" t="s">
        <v>7546</v>
      </c>
    </row>
    <row r="245" spans="2:5" x14ac:dyDescent="0.2">
      <c r="B245" t="s">
        <v>6063</v>
      </c>
      <c r="C245" s="713" t="s">
        <v>7777</v>
      </c>
      <c r="D245" s="713" t="s">
        <v>34</v>
      </c>
      <c r="E245" s="713" t="s">
        <v>7396</v>
      </c>
    </row>
    <row r="246" spans="2:5" x14ac:dyDescent="0.2">
      <c r="B246" t="s">
        <v>6064</v>
      </c>
      <c r="C246" s="713" t="s">
        <v>7778</v>
      </c>
      <c r="D246" s="713" t="s">
        <v>34</v>
      </c>
      <c r="E246" s="713" t="s">
        <v>7779</v>
      </c>
    </row>
    <row r="247" spans="2:5" x14ac:dyDescent="0.2">
      <c r="B247" t="s">
        <v>6065</v>
      </c>
      <c r="C247" s="713" t="s">
        <v>7780</v>
      </c>
      <c r="D247" s="713" t="s">
        <v>34</v>
      </c>
      <c r="E247" s="713" t="s">
        <v>7781</v>
      </c>
    </row>
    <row r="248" spans="2:5" x14ac:dyDescent="0.2">
      <c r="B248" t="s">
        <v>6066</v>
      </c>
      <c r="C248" s="713" t="s">
        <v>7782</v>
      </c>
      <c r="D248" s="713" t="s">
        <v>34</v>
      </c>
      <c r="E248" s="713" t="s">
        <v>7783</v>
      </c>
    </row>
    <row r="249" spans="2:5" x14ac:dyDescent="0.2">
      <c r="B249" t="s">
        <v>6067</v>
      </c>
      <c r="C249" s="713" t="s">
        <v>7784</v>
      </c>
      <c r="D249" s="713" t="s">
        <v>34</v>
      </c>
      <c r="E249" s="713" t="s">
        <v>7418</v>
      </c>
    </row>
    <row r="250" spans="2:5" x14ac:dyDescent="0.2">
      <c r="B250" t="s">
        <v>6068</v>
      </c>
      <c r="C250" s="713" t="s">
        <v>7785</v>
      </c>
      <c r="D250" s="713" t="s">
        <v>34</v>
      </c>
      <c r="E250" s="713" t="s">
        <v>7410</v>
      </c>
    </row>
    <row r="251" spans="2:5" x14ac:dyDescent="0.2">
      <c r="B251" t="s">
        <v>6069</v>
      </c>
      <c r="C251" s="713" t="s">
        <v>7786</v>
      </c>
      <c r="D251" s="713" t="s">
        <v>34</v>
      </c>
      <c r="E251" s="713" t="s">
        <v>7570</v>
      </c>
    </row>
    <row r="252" spans="2:5" x14ac:dyDescent="0.2">
      <c r="B252" t="s">
        <v>6070</v>
      </c>
      <c r="C252" s="713" t="s">
        <v>7787</v>
      </c>
      <c r="D252" s="713" t="s">
        <v>34</v>
      </c>
      <c r="E252" s="713" t="s">
        <v>7505</v>
      </c>
    </row>
    <row r="253" spans="2:5" x14ac:dyDescent="0.2">
      <c r="B253" t="s">
        <v>6071</v>
      </c>
      <c r="C253" s="713" t="s">
        <v>7788</v>
      </c>
      <c r="D253" s="713" t="s">
        <v>34</v>
      </c>
      <c r="E253" s="713" t="s">
        <v>7587</v>
      </c>
    </row>
    <row r="254" spans="2:5" x14ac:dyDescent="0.2">
      <c r="B254" t="s">
        <v>6072</v>
      </c>
      <c r="C254" s="713" t="s">
        <v>7789</v>
      </c>
      <c r="D254" s="713" t="s">
        <v>34</v>
      </c>
      <c r="E254" s="713" t="s">
        <v>7587</v>
      </c>
    </row>
    <row r="255" spans="2:5" x14ac:dyDescent="0.2">
      <c r="B255" t="s">
        <v>6073</v>
      </c>
      <c r="C255" s="713" t="s">
        <v>7790</v>
      </c>
      <c r="D255" s="713" t="s">
        <v>34</v>
      </c>
      <c r="E255" s="713" t="s">
        <v>7791</v>
      </c>
    </row>
    <row r="256" spans="2:5" x14ac:dyDescent="0.2">
      <c r="B256" t="s">
        <v>6074</v>
      </c>
      <c r="C256" s="713" t="s">
        <v>7792</v>
      </c>
      <c r="D256" s="713" t="s">
        <v>34</v>
      </c>
      <c r="E256" s="713" t="s">
        <v>7793</v>
      </c>
    </row>
    <row r="257" spans="2:5" x14ac:dyDescent="0.2">
      <c r="B257" t="s">
        <v>6075</v>
      </c>
      <c r="C257" s="713" t="s">
        <v>7794</v>
      </c>
      <c r="D257" s="713" t="s">
        <v>34</v>
      </c>
      <c r="E257" s="713" t="s">
        <v>7795</v>
      </c>
    </row>
    <row r="258" spans="2:5" x14ac:dyDescent="0.2">
      <c r="B258" t="s">
        <v>6076</v>
      </c>
      <c r="C258" s="713" t="s">
        <v>7796</v>
      </c>
      <c r="D258" s="713" t="s">
        <v>34</v>
      </c>
      <c r="E258" s="713" t="s">
        <v>7396</v>
      </c>
    </row>
    <row r="259" spans="2:5" x14ac:dyDescent="0.2">
      <c r="B259" t="s">
        <v>6077</v>
      </c>
      <c r="C259" s="713" t="s">
        <v>7797</v>
      </c>
      <c r="D259" s="713" t="s">
        <v>34</v>
      </c>
      <c r="E259" s="713" t="s">
        <v>7798</v>
      </c>
    </row>
    <row r="260" spans="2:5" x14ac:dyDescent="0.2">
      <c r="B260" t="s">
        <v>1051</v>
      </c>
      <c r="C260" s="713" t="s">
        <v>7799</v>
      </c>
      <c r="D260" s="713" t="s">
        <v>34</v>
      </c>
      <c r="E260" s="713" t="s">
        <v>7800</v>
      </c>
    </row>
    <row r="261" spans="2:5" x14ac:dyDescent="0.2">
      <c r="B261" t="s">
        <v>6078</v>
      </c>
      <c r="C261" s="713" t="s">
        <v>7801</v>
      </c>
      <c r="D261" s="713" t="s">
        <v>34</v>
      </c>
      <c r="E261" s="713" t="s">
        <v>7802</v>
      </c>
    </row>
    <row r="262" spans="2:5" x14ac:dyDescent="0.2">
      <c r="B262" t="s">
        <v>1048</v>
      </c>
      <c r="C262" s="713" t="s">
        <v>7803</v>
      </c>
      <c r="D262" s="713" t="s">
        <v>34</v>
      </c>
      <c r="E262" s="713" t="s">
        <v>7804</v>
      </c>
    </row>
    <row r="263" spans="2:5" x14ac:dyDescent="0.2">
      <c r="B263" t="s">
        <v>6079</v>
      </c>
      <c r="C263" s="713" t="s">
        <v>7805</v>
      </c>
      <c r="D263" s="713" t="s">
        <v>34</v>
      </c>
      <c r="E263" s="713" t="s">
        <v>7442</v>
      </c>
    </row>
    <row r="264" spans="2:5" x14ac:dyDescent="0.2">
      <c r="B264" t="s">
        <v>6080</v>
      </c>
      <c r="C264" s="713" t="s">
        <v>7806</v>
      </c>
      <c r="D264" s="713" t="s">
        <v>34</v>
      </c>
      <c r="E264" s="713" t="s">
        <v>7807</v>
      </c>
    </row>
    <row r="265" spans="2:5" x14ac:dyDescent="0.2">
      <c r="B265" t="s">
        <v>6081</v>
      </c>
      <c r="C265" s="713" t="s">
        <v>7808</v>
      </c>
      <c r="D265" s="713" t="s">
        <v>34</v>
      </c>
      <c r="E265" s="713" t="s">
        <v>7442</v>
      </c>
    </row>
    <row r="266" spans="2:5" x14ac:dyDescent="0.2">
      <c r="B266" t="s">
        <v>6082</v>
      </c>
      <c r="C266" s="713" t="s">
        <v>7809</v>
      </c>
      <c r="D266" s="713" t="s">
        <v>34</v>
      </c>
      <c r="E266" s="713" t="s">
        <v>7810</v>
      </c>
    </row>
    <row r="267" spans="2:5" x14ac:dyDescent="0.2">
      <c r="B267" t="s">
        <v>6083</v>
      </c>
      <c r="C267" s="713" t="s">
        <v>7811</v>
      </c>
      <c r="D267" s="713" t="s">
        <v>34</v>
      </c>
      <c r="E267" s="713" t="s">
        <v>7644</v>
      </c>
    </row>
    <row r="268" spans="2:5" x14ac:dyDescent="0.2">
      <c r="B268" t="s">
        <v>6084</v>
      </c>
      <c r="C268" s="713" t="s">
        <v>7812</v>
      </c>
      <c r="D268" s="713" t="s">
        <v>34</v>
      </c>
      <c r="E268" s="713" t="s">
        <v>7573</v>
      </c>
    </row>
    <row r="269" spans="2:5" x14ac:dyDescent="0.2">
      <c r="B269" t="s">
        <v>6085</v>
      </c>
      <c r="C269" s="713" t="s">
        <v>7813</v>
      </c>
      <c r="D269" s="713" t="s">
        <v>34</v>
      </c>
      <c r="E269" s="713" t="s">
        <v>7394</v>
      </c>
    </row>
    <row r="270" spans="2:5" x14ac:dyDescent="0.2">
      <c r="B270" t="s">
        <v>6086</v>
      </c>
      <c r="C270" s="713" t="s">
        <v>7814</v>
      </c>
      <c r="D270" s="713" t="s">
        <v>34</v>
      </c>
      <c r="E270" s="713" t="s">
        <v>7815</v>
      </c>
    </row>
    <row r="271" spans="2:5" x14ac:dyDescent="0.2">
      <c r="B271" t="s">
        <v>6087</v>
      </c>
      <c r="C271" s="713" t="s">
        <v>7816</v>
      </c>
      <c r="D271" s="713" t="s">
        <v>34</v>
      </c>
      <c r="E271" s="713" t="s">
        <v>7817</v>
      </c>
    </row>
    <row r="272" spans="2:5" x14ac:dyDescent="0.2">
      <c r="B272" t="s">
        <v>6088</v>
      </c>
      <c r="C272" s="713" t="s">
        <v>7818</v>
      </c>
      <c r="D272" s="713" t="s">
        <v>34</v>
      </c>
      <c r="E272" s="713" t="s">
        <v>7741</v>
      </c>
    </row>
    <row r="273" spans="2:5" x14ac:dyDescent="0.2">
      <c r="B273" t="s">
        <v>6089</v>
      </c>
      <c r="C273" s="713" t="s">
        <v>7819</v>
      </c>
      <c r="D273" s="713" t="s">
        <v>34</v>
      </c>
      <c r="E273" s="713" t="s">
        <v>7509</v>
      </c>
    </row>
    <row r="274" spans="2:5" x14ac:dyDescent="0.2">
      <c r="B274" t="s">
        <v>6090</v>
      </c>
      <c r="C274" s="713" t="s">
        <v>7820</v>
      </c>
      <c r="D274" s="713" t="s">
        <v>34</v>
      </c>
      <c r="E274" s="713" t="s">
        <v>7404</v>
      </c>
    </row>
    <row r="275" spans="2:5" x14ac:dyDescent="0.2">
      <c r="B275" t="s">
        <v>6091</v>
      </c>
      <c r="C275" s="713" t="s">
        <v>6091</v>
      </c>
      <c r="D275" s="713" t="s">
        <v>34</v>
      </c>
      <c r="E275" s="713" t="s">
        <v>7564</v>
      </c>
    </row>
    <row r="276" spans="2:5" x14ac:dyDescent="0.2">
      <c r="B276" t="s">
        <v>6092</v>
      </c>
      <c r="C276" s="713" t="s">
        <v>7821</v>
      </c>
      <c r="D276" s="713" t="s">
        <v>34</v>
      </c>
      <c r="E276" s="713" t="s">
        <v>7822</v>
      </c>
    </row>
    <row r="277" spans="2:5" x14ac:dyDescent="0.2">
      <c r="B277" t="s">
        <v>6093</v>
      </c>
      <c r="C277" s="713" t="s">
        <v>7823</v>
      </c>
      <c r="D277" s="713" t="s">
        <v>34</v>
      </c>
      <c r="E277" s="713" t="s">
        <v>7721</v>
      </c>
    </row>
    <row r="278" spans="2:5" x14ac:dyDescent="0.2">
      <c r="B278" t="s">
        <v>6094</v>
      </c>
      <c r="C278" s="713" t="s">
        <v>7824</v>
      </c>
      <c r="D278" s="713" t="s">
        <v>34</v>
      </c>
      <c r="E278" s="713" t="s">
        <v>7644</v>
      </c>
    </row>
    <row r="279" spans="2:5" x14ac:dyDescent="0.2">
      <c r="B279" t="s">
        <v>6095</v>
      </c>
      <c r="C279" s="713" t="s">
        <v>7825</v>
      </c>
      <c r="D279" s="713" t="s">
        <v>34</v>
      </c>
      <c r="E279" s="713" t="s">
        <v>7462</v>
      </c>
    </row>
    <row r="280" spans="2:5" x14ac:dyDescent="0.2">
      <c r="B280" t="s">
        <v>6096</v>
      </c>
      <c r="C280" s="713" t="s">
        <v>7826</v>
      </c>
      <c r="D280" s="713" t="s">
        <v>34</v>
      </c>
      <c r="E280" s="713" t="s">
        <v>7827</v>
      </c>
    </row>
    <row r="281" spans="2:5" x14ac:dyDescent="0.2">
      <c r="B281" t="s">
        <v>6097</v>
      </c>
      <c r="C281" s="713" t="s">
        <v>7828</v>
      </c>
      <c r="D281" s="713" t="s">
        <v>34</v>
      </c>
      <c r="E281" s="713" t="s">
        <v>7480</v>
      </c>
    </row>
    <row r="282" spans="2:5" x14ac:dyDescent="0.2">
      <c r="B282" t="s">
        <v>6098</v>
      </c>
      <c r="C282" s="713" t="s">
        <v>7828</v>
      </c>
      <c r="D282" s="713" t="s">
        <v>34</v>
      </c>
      <c r="E282" s="713" t="s">
        <v>7587</v>
      </c>
    </row>
    <row r="283" spans="2:5" x14ac:dyDescent="0.2">
      <c r="B283" t="s">
        <v>6099</v>
      </c>
      <c r="C283" s="713" t="s">
        <v>7790</v>
      </c>
      <c r="D283" s="713" t="s">
        <v>34</v>
      </c>
      <c r="E283" s="713" t="s">
        <v>7791</v>
      </c>
    </row>
    <row r="284" spans="2:5" x14ac:dyDescent="0.2">
      <c r="B284" t="s">
        <v>6100</v>
      </c>
      <c r="C284" s="713" t="s">
        <v>7829</v>
      </c>
      <c r="D284" s="713" t="s">
        <v>34</v>
      </c>
      <c r="E284" s="713" t="s">
        <v>7815</v>
      </c>
    </row>
    <row r="285" spans="2:5" x14ac:dyDescent="0.2">
      <c r="B285" t="s">
        <v>6101</v>
      </c>
      <c r="C285" s="713" t="s">
        <v>7830</v>
      </c>
      <c r="D285" s="713" t="s">
        <v>34</v>
      </c>
      <c r="E285" s="713" t="s">
        <v>7587</v>
      </c>
    </row>
    <row r="286" spans="2:5" x14ac:dyDescent="0.2">
      <c r="B286" t="s">
        <v>6102</v>
      </c>
      <c r="C286" s="713" t="s">
        <v>7828</v>
      </c>
      <c r="D286" s="713" t="s">
        <v>34</v>
      </c>
      <c r="E286" s="713" t="s">
        <v>7587</v>
      </c>
    </row>
    <row r="287" spans="2:5" x14ac:dyDescent="0.2">
      <c r="B287" t="s">
        <v>6103</v>
      </c>
      <c r="C287" s="713" t="s">
        <v>7828</v>
      </c>
      <c r="D287" s="713" t="s">
        <v>34</v>
      </c>
      <c r="E287" s="713" t="s">
        <v>7587</v>
      </c>
    </row>
    <row r="288" spans="2:5" x14ac:dyDescent="0.2">
      <c r="B288" t="s">
        <v>6104</v>
      </c>
      <c r="C288" s="713" t="s">
        <v>7790</v>
      </c>
      <c r="D288" s="713" t="s">
        <v>34</v>
      </c>
      <c r="E288" s="713" t="s">
        <v>7480</v>
      </c>
    </row>
    <row r="289" spans="2:5" x14ac:dyDescent="0.2">
      <c r="B289" t="s">
        <v>6105</v>
      </c>
      <c r="C289" s="713" t="s">
        <v>7831</v>
      </c>
      <c r="D289" s="713" t="s">
        <v>34</v>
      </c>
      <c r="E289" s="713" t="s">
        <v>7832</v>
      </c>
    </row>
    <row r="290" spans="2:5" x14ac:dyDescent="0.2">
      <c r="B290" t="s">
        <v>6106</v>
      </c>
      <c r="C290" s="713" t="s">
        <v>7833</v>
      </c>
      <c r="D290" s="713" t="s">
        <v>34</v>
      </c>
      <c r="E290" s="713" t="s">
        <v>7834</v>
      </c>
    </row>
    <row r="291" spans="2:5" x14ac:dyDescent="0.2">
      <c r="B291" t="s">
        <v>6107</v>
      </c>
      <c r="C291" s="713" t="s">
        <v>7835</v>
      </c>
      <c r="D291" s="713" t="s">
        <v>34</v>
      </c>
      <c r="E291" s="713" t="s">
        <v>7517</v>
      </c>
    </row>
    <row r="292" spans="2:5" x14ac:dyDescent="0.2">
      <c r="B292" t="s">
        <v>6108</v>
      </c>
      <c r="C292" s="713" t="s">
        <v>7790</v>
      </c>
      <c r="D292" s="713" t="s">
        <v>34</v>
      </c>
      <c r="E292" s="713" t="s">
        <v>7480</v>
      </c>
    </row>
    <row r="293" spans="2:5" x14ac:dyDescent="0.2">
      <c r="B293" t="s">
        <v>6109</v>
      </c>
      <c r="C293" s="713" t="s">
        <v>7790</v>
      </c>
      <c r="D293" s="713" t="s">
        <v>7836</v>
      </c>
      <c r="E293" s="713" t="s">
        <v>7480</v>
      </c>
    </row>
    <row r="294" spans="2:5" x14ac:dyDescent="0.2">
      <c r="B294" t="s">
        <v>6110</v>
      </c>
      <c r="C294" s="713" t="s">
        <v>7790</v>
      </c>
      <c r="D294" s="713" t="s">
        <v>34</v>
      </c>
      <c r="E294" s="713" t="s">
        <v>7480</v>
      </c>
    </row>
    <row r="295" spans="2:5" x14ac:dyDescent="0.2">
      <c r="B295" t="s">
        <v>6111</v>
      </c>
      <c r="C295" s="713" t="s">
        <v>7837</v>
      </c>
      <c r="D295" s="713" t="s">
        <v>34</v>
      </c>
      <c r="E295" s="713" t="s">
        <v>7442</v>
      </c>
    </row>
    <row r="296" spans="2:5" x14ac:dyDescent="0.2">
      <c r="B296" t="s">
        <v>6112</v>
      </c>
      <c r="C296" s="713" t="s">
        <v>7837</v>
      </c>
      <c r="D296" s="713" t="s">
        <v>34</v>
      </c>
      <c r="E296" s="713" t="s">
        <v>7587</v>
      </c>
    </row>
    <row r="297" spans="2:5" x14ac:dyDescent="0.2">
      <c r="B297" t="s">
        <v>6113</v>
      </c>
      <c r="C297" s="713" t="s">
        <v>7790</v>
      </c>
      <c r="D297" s="713" t="s">
        <v>34</v>
      </c>
      <c r="E297" s="713" t="s">
        <v>7480</v>
      </c>
    </row>
    <row r="298" spans="2:5" x14ac:dyDescent="0.2">
      <c r="B298" t="s">
        <v>6114</v>
      </c>
      <c r="C298" s="713" t="s">
        <v>7833</v>
      </c>
      <c r="D298" s="713" t="s">
        <v>34</v>
      </c>
      <c r="E298" s="713" t="s">
        <v>7587</v>
      </c>
    </row>
    <row r="299" spans="2:5" x14ac:dyDescent="0.2">
      <c r="B299" t="s">
        <v>6115</v>
      </c>
      <c r="C299" s="713" t="s">
        <v>7833</v>
      </c>
      <c r="D299" s="713" t="s">
        <v>34</v>
      </c>
      <c r="E299" s="713" t="s">
        <v>7587</v>
      </c>
    </row>
    <row r="300" spans="2:5" x14ac:dyDescent="0.2">
      <c r="B300" t="s">
        <v>6116</v>
      </c>
      <c r="C300" s="713" t="s">
        <v>7838</v>
      </c>
      <c r="D300" s="713" t="s">
        <v>34</v>
      </c>
      <c r="E300" s="713" t="s">
        <v>7442</v>
      </c>
    </row>
    <row r="301" spans="2:5" x14ac:dyDescent="0.2">
      <c r="B301" t="s">
        <v>6117</v>
      </c>
      <c r="C301" s="713" t="s">
        <v>7830</v>
      </c>
      <c r="D301" s="713" t="s">
        <v>34</v>
      </c>
      <c r="E301" s="713" t="s">
        <v>7587</v>
      </c>
    </row>
    <row r="302" spans="2:5" x14ac:dyDescent="0.2">
      <c r="B302" t="s">
        <v>6118</v>
      </c>
      <c r="C302" s="713" t="s">
        <v>7839</v>
      </c>
      <c r="D302" s="713" t="s">
        <v>34</v>
      </c>
      <c r="E302" s="713" t="s">
        <v>7587</v>
      </c>
    </row>
    <row r="303" spans="2:5" x14ac:dyDescent="0.2">
      <c r="B303" t="s">
        <v>6119</v>
      </c>
      <c r="C303" s="713" t="s">
        <v>7790</v>
      </c>
      <c r="D303" s="713" t="s">
        <v>34</v>
      </c>
      <c r="E303" s="713" t="s">
        <v>7480</v>
      </c>
    </row>
    <row r="304" spans="2:5" x14ac:dyDescent="0.2">
      <c r="B304" t="s">
        <v>6120</v>
      </c>
      <c r="C304" s="713" t="s">
        <v>7835</v>
      </c>
      <c r="D304" s="713" t="s">
        <v>34</v>
      </c>
      <c r="E304" s="713" t="s">
        <v>7517</v>
      </c>
    </row>
    <row r="305" spans="2:5" x14ac:dyDescent="0.2">
      <c r="B305" t="s">
        <v>6121</v>
      </c>
      <c r="C305" s="713" t="s">
        <v>7840</v>
      </c>
      <c r="D305" s="713" t="s">
        <v>34</v>
      </c>
      <c r="E305" s="713" t="s">
        <v>7841</v>
      </c>
    </row>
    <row r="306" spans="2:5" x14ac:dyDescent="0.2">
      <c r="B306" t="s">
        <v>6122</v>
      </c>
      <c r="C306" s="713" t="s">
        <v>7842</v>
      </c>
      <c r="D306" s="713" t="s">
        <v>34</v>
      </c>
      <c r="E306" s="713" t="s">
        <v>7573</v>
      </c>
    </row>
    <row r="307" spans="2:5" x14ac:dyDescent="0.2">
      <c r="B307" t="s">
        <v>6123</v>
      </c>
      <c r="C307" s="713" t="s">
        <v>7843</v>
      </c>
      <c r="D307" s="713" t="s">
        <v>34</v>
      </c>
      <c r="E307" s="713" t="s">
        <v>7822</v>
      </c>
    </row>
    <row r="308" spans="2:5" x14ac:dyDescent="0.2">
      <c r="B308" t="s">
        <v>6124</v>
      </c>
      <c r="C308" s="713" t="s">
        <v>7844</v>
      </c>
      <c r="D308" s="713" t="s">
        <v>34</v>
      </c>
      <c r="E308" s="713" t="s">
        <v>7845</v>
      </c>
    </row>
    <row r="309" spans="2:5" x14ac:dyDescent="0.2">
      <c r="B309" t="s">
        <v>6125</v>
      </c>
      <c r="C309" s="713" t="s">
        <v>7846</v>
      </c>
      <c r="D309" s="713" t="s">
        <v>34</v>
      </c>
      <c r="E309" s="713" t="s">
        <v>7847</v>
      </c>
    </row>
    <row r="310" spans="2:5" x14ac:dyDescent="0.2">
      <c r="B310" t="s">
        <v>6126</v>
      </c>
      <c r="C310" s="713" t="s">
        <v>7848</v>
      </c>
      <c r="D310" s="713" t="s">
        <v>34</v>
      </c>
      <c r="E310" s="713" t="s">
        <v>7849</v>
      </c>
    </row>
    <row r="311" spans="2:5" x14ac:dyDescent="0.2">
      <c r="B311" t="s">
        <v>6127</v>
      </c>
      <c r="C311" s="713" t="s">
        <v>7850</v>
      </c>
      <c r="D311" s="713" t="s">
        <v>34</v>
      </c>
      <c r="E311" s="713" t="s">
        <v>7851</v>
      </c>
    </row>
    <row r="312" spans="2:5" x14ac:dyDescent="0.2">
      <c r="B312" t="s">
        <v>6128</v>
      </c>
      <c r="C312" s="713" t="s">
        <v>7852</v>
      </c>
      <c r="D312" s="713" t="s">
        <v>34</v>
      </c>
      <c r="E312" s="713" t="s">
        <v>7757</v>
      </c>
    </row>
    <row r="313" spans="2:5" x14ac:dyDescent="0.2">
      <c r="B313" t="s">
        <v>6129</v>
      </c>
      <c r="C313" s="713" t="s">
        <v>7853</v>
      </c>
      <c r="D313" s="713" t="s">
        <v>34</v>
      </c>
      <c r="E313" s="713" t="s">
        <v>7854</v>
      </c>
    </row>
    <row r="314" spans="2:5" x14ac:dyDescent="0.2">
      <c r="B314" t="s">
        <v>6130</v>
      </c>
      <c r="C314" s="713" t="s">
        <v>7855</v>
      </c>
      <c r="D314" s="713" t="s">
        <v>34</v>
      </c>
      <c r="E314" s="713" t="s">
        <v>7856</v>
      </c>
    </row>
    <row r="315" spans="2:5" x14ac:dyDescent="0.2">
      <c r="B315" t="s">
        <v>1146</v>
      </c>
      <c r="C315" s="713" t="s">
        <v>7857</v>
      </c>
      <c r="D315" s="713" t="s">
        <v>34</v>
      </c>
      <c r="E315" s="713" t="s">
        <v>7858</v>
      </c>
    </row>
    <row r="316" spans="2:5" x14ac:dyDescent="0.2">
      <c r="B316" t="s">
        <v>6131</v>
      </c>
      <c r="C316" s="713" t="s">
        <v>7859</v>
      </c>
      <c r="D316" s="713" t="s">
        <v>7860</v>
      </c>
      <c r="E316" s="713" t="s">
        <v>7861</v>
      </c>
    </row>
    <row r="317" spans="2:5" x14ac:dyDescent="0.2">
      <c r="B317" t="s">
        <v>6132</v>
      </c>
      <c r="C317" s="713" t="s">
        <v>7862</v>
      </c>
      <c r="D317" s="713" t="s">
        <v>34</v>
      </c>
      <c r="E317" s="713" t="s">
        <v>7644</v>
      </c>
    </row>
    <row r="318" spans="2:5" x14ac:dyDescent="0.2">
      <c r="B318" t="s">
        <v>6133</v>
      </c>
      <c r="C318" s="713" t="s">
        <v>7863</v>
      </c>
      <c r="D318" s="713" t="s">
        <v>34</v>
      </c>
      <c r="E318" s="713" t="s">
        <v>7520</v>
      </c>
    </row>
    <row r="319" spans="2:5" x14ac:dyDescent="0.2">
      <c r="B319" t="s">
        <v>6134</v>
      </c>
      <c r="C319" s="713" t="s">
        <v>7864</v>
      </c>
      <c r="D319" s="713" t="s">
        <v>34</v>
      </c>
      <c r="E319" s="713" t="s">
        <v>7442</v>
      </c>
    </row>
    <row r="320" spans="2:5" x14ac:dyDescent="0.2">
      <c r="B320" t="s">
        <v>6135</v>
      </c>
      <c r="C320" s="713" t="s">
        <v>7865</v>
      </c>
      <c r="D320" s="713" t="s">
        <v>34</v>
      </c>
      <c r="E320" s="713" t="s">
        <v>7866</v>
      </c>
    </row>
    <row r="321" spans="2:5" x14ac:dyDescent="0.2">
      <c r="B321" t="s">
        <v>6136</v>
      </c>
      <c r="C321" s="713" t="s">
        <v>7867</v>
      </c>
      <c r="D321" s="713" t="s">
        <v>34</v>
      </c>
      <c r="E321" s="713" t="s">
        <v>7458</v>
      </c>
    </row>
    <row r="322" spans="2:5" x14ac:dyDescent="0.2">
      <c r="B322" t="s">
        <v>6137</v>
      </c>
      <c r="C322" s="713" t="s">
        <v>7868</v>
      </c>
      <c r="D322" s="713" t="s">
        <v>34</v>
      </c>
      <c r="E322" s="713" t="s">
        <v>7869</v>
      </c>
    </row>
    <row r="323" spans="2:5" x14ac:dyDescent="0.2">
      <c r="B323" t="s">
        <v>6138</v>
      </c>
      <c r="C323" s="713" t="s">
        <v>7870</v>
      </c>
      <c r="D323" s="713" t="s">
        <v>34</v>
      </c>
      <c r="E323" s="713" t="s">
        <v>7442</v>
      </c>
    </row>
    <row r="324" spans="2:5" x14ac:dyDescent="0.2">
      <c r="B324" t="s">
        <v>6139</v>
      </c>
      <c r="C324" s="713" t="s">
        <v>7871</v>
      </c>
      <c r="D324" s="713" t="s">
        <v>34</v>
      </c>
      <c r="E324" s="713" t="s">
        <v>7442</v>
      </c>
    </row>
    <row r="325" spans="2:5" x14ac:dyDescent="0.2">
      <c r="B325" t="s">
        <v>6140</v>
      </c>
      <c r="C325" s="713" t="s">
        <v>7872</v>
      </c>
      <c r="D325" s="713" t="s">
        <v>34</v>
      </c>
      <c r="E325" s="713" t="s">
        <v>7741</v>
      </c>
    </row>
    <row r="326" spans="2:5" x14ac:dyDescent="0.2">
      <c r="B326" t="s">
        <v>6141</v>
      </c>
      <c r="C326" s="713" t="s">
        <v>7873</v>
      </c>
      <c r="D326" s="713" t="s">
        <v>34</v>
      </c>
      <c r="E326" s="713" t="s">
        <v>7874</v>
      </c>
    </row>
    <row r="327" spans="2:5" x14ac:dyDescent="0.2">
      <c r="B327" t="s">
        <v>6142</v>
      </c>
      <c r="C327" s="713" t="s">
        <v>7875</v>
      </c>
      <c r="D327" s="713" t="s">
        <v>34</v>
      </c>
      <c r="E327" s="713" t="s">
        <v>7876</v>
      </c>
    </row>
    <row r="328" spans="2:5" x14ac:dyDescent="0.2">
      <c r="B328" t="s">
        <v>6143</v>
      </c>
      <c r="C328" s="713" t="s">
        <v>7877</v>
      </c>
      <c r="D328" s="713" t="s">
        <v>34</v>
      </c>
      <c r="E328" s="713" t="s">
        <v>7878</v>
      </c>
    </row>
    <row r="329" spans="2:5" x14ac:dyDescent="0.2">
      <c r="B329" t="s">
        <v>6144</v>
      </c>
      <c r="C329" s="713" t="s">
        <v>7879</v>
      </c>
      <c r="D329" s="713" t="s">
        <v>34</v>
      </c>
      <c r="E329" s="713" t="s">
        <v>7412</v>
      </c>
    </row>
    <row r="330" spans="2:5" x14ac:dyDescent="0.2">
      <c r="B330" t="s">
        <v>6145</v>
      </c>
      <c r="C330" s="713" t="s">
        <v>7880</v>
      </c>
      <c r="D330" s="713" t="s">
        <v>34</v>
      </c>
      <c r="E330" s="713" t="s">
        <v>7881</v>
      </c>
    </row>
    <row r="331" spans="2:5" x14ac:dyDescent="0.2">
      <c r="B331" t="s">
        <v>6146</v>
      </c>
      <c r="C331" s="713" t="s">
        <v>7882</v>
      </c>
      <c r="D331" s="713" t="s">
        <v>34</v>
      </c>
      <c r="E331" s="713" t="s">
        <v>7538</v>
      </c>
    </row>
    <row r="332" spans="2:5" x14ac:dyDescent="0.2">
      <c r="B332" t="s">
        <v>6147</v>
      </c>
      <c r="C332" s="713" t="s">
        <v>7883</v>
      </c>
      <c r="D332" s="713" t="s">
        <v>34</v>
      </c>
      <c r="E332" s="713" t="s">
        <v>7546</v>
      </c>
    </row>
    <row r="333" spans="2:5" x14ac:dyDescent="0.2">
      <c r="B333" t="s">
        <v>6148</v>
      </c>
      <c r="C333" s="713" t="s">
        <v>7884</v>
      </c>
      <c r="D333" s="713" t="s">
        <v>34</v>
      </c>
      <c r="E333" s="713" t="s">
        <v>7410</v>
      </c>
    </row>
    <row r="334" spans="2:5" x14ac:dyDescent="0.2">
      <c r="B334" t="s">
        <v>6149</v>
      </c>
      <c r="C334" s="713" t="s">
        <v>7885</v>
      </c>
      <c r="D334" s="713" t="s">
        <v>34</v>
      </c>
      <c r="E334" s="713" t="s">
        <v>7412</v>
      </c>
    </row>
    <row r="335" spans="2:5" x14ac:dyDescent="0.2">
      <c r="B335" t="s">
        <v>6150</v>
      </c>
      <c r="C335" s="713" t="s">
        <v>7886</v>
      </c>
      <c r="D335" s="713" t="s">
        <v>34</v>
      </c>
      <c r="E335" s="713" t="s">
        <v>7887</v>
      </c>
    </row>
    <row r="336" spans="2:5" x14ac:dyDescent="0.2">
      <c r="B336" t="s">
        <v>6151</v>
      </c>
      <c r="C336" s="713" t="s">
        <v>7888</v>
      </c>
      <c r="D336" s="713" t="s">
        <v>34</v>
      </c>
      <c r="E336" s="713" t="s">
        <v>7573</v>
      </c>
    </row>
    <row r="337" spans="2:5" x14ac:dyDescent="0.2">
      <c r="B337" t="s">
        <v>6152</v>
      </c>
      <c r="C337" s="713" t="s">
        <v>7889</v>
      </c>
      <c r="D337" s="713" t="s">
        <v>34</v>
      </c>
      <c r="E337" s="713" t="s">
        <v>7890</v>
      </c>
    </row>
    <row r="338" spans="2:5" x14ac:dyDescent="0.2">
      <c r="B338" t="s">
        <v>6153</v>
      </c>
      <c r="C338" s="713" t="s">
        <v>7891</v>
      </c>
      <c r="D338" s="713" t="s">
        <v>34</v>
      </c>
      <c r="E338" s="713" t="s">
        <v>7394</v>
      </c>
    </row>
    <row r="339" spans="2:5" x14ac:dyDescent="0.2">
      <c r="B339" t="s">
        <v>6154</v>
      </c>
      <c r="C339" s="713" t="s">
        <v>7892</v>
      </c>
      <c r="D339" s="713" t="s">
        <v>34</v>
      </c>
      <c r="E339" s="713" t="s">
        <v>7893</v>
      </c>
    </row>
    <row r="340" spans="2:5" x14ac:dyDescent="0.2">
      <c r="B340" t="s">
        <v>6155</v>
      </c>
      <c r="C340" s="713" t="s">
        <v>7894</v>
      </c>
      <c r="D340" s="713" t="s">
        <v>34</v>
      </c>
      <c r="E340" s="713" t="s">
        <v>7895</v>
      </c>
    </row>
    <row r="341" spans="2:5" x14ac:dyDescent="0.2">
      <c r="B341" t="s">
        <v>6156</v>
      </c>
      <c r="C341" s="713" t="s">
        <v>7896</v>
      </c>
      <c r="D341" s="713" t="s">
        <v>34</v>
      </c>
      <c r="E341" s="713" t="s">
        <v>7549</v>
      </c>
    </row>
    <row r="342" spans="2:5" x14ac:dyDescent="0.2">
      <c r="B342" t="s">
        <v>3701</v>
      </c>
      <c r="C342" s="713" t="s">
        <v>7897</v>
      </c>
      <c r="D342" s="713" t="s">
        <v>34</v>
      </c>
      <c r="E342" s="713" t="s">
        <v>7898</v>
      </c>
    </row>
    <row r="343" spans="2:5" x14ac:dyDescent="0.2">
      <c r="B343" t="s">
        <v>1165</v>
      </c>
      <c r="C343" s="713" t="s">
        <v>4954</v>
      </c>
      <c r="D343" s="713" t="s">
        <v>34</v>
      </c>
      <c r="E343" s="713" t="s">
        <v>7899</v>
      </c>
    </row>
    <row r="344" spans="2:5" x14ac:dyDescent="0.2">
      <c r="B344" t="s">
        <v>6157</v>
      </c>
      <c r="C344" s="713" t="s">
        <v>7900</v>
      </c>
      <c r="D344" s="713" t="s">
        <v>34</v>
      </c>
      <c r="E344" s="713" t="s">
        <v>7901</v>
      </c>
    </row>
    <row r="345" spans="2:5" x14ac:dyDescent="0.2">
      <c r="B345" t="s">
        <v>6158</v>
      </c>
      <c r="C345" s="713" t="s">
        <v>7902</v>
      </c>
      <c r="D345" s="713" t="s">
        <v>34</v>
      </c>
      <c r="E345" s="713" t="s">
        <v>7454</v>
      </c>
    </row>
    <row r="346" spans="2:5" x14ac:dyDescent="0.2">
      <c r="B346" t="s">
        <v>6159</v>
      </c>
      <c r="C346" s="713" t="s">
        <v>7903</v>
      </c>
      <c r="D346" s="713" t="s">
        <v>34</v>
      </c>
      <c r="E346" s="713" t="s">
        <v>7904</v>
      </c>
    </row>
    <row r="347" spans="2:5" x14ac:dyDescent="0.2">
      <c r="B347" t="s">
        <v>6160</v>
      </c>
      <c r="C347" s="713" t="s">
        <v>7905</v>
      </c>
      <c r="D347" s="713" t="s">
        <v>34</v>
      </c>
      <c r="E347" s="713" t="s">
        <v>7906</v>
      </c>
    </row>
    <row r="348" spans="2:5" x14ac:dyDescent="0.2">
      <c r="B348" t="s">
        <v>6161</v>
      </c>
      <c r="C348" s="713" t="s">
        <v>7907</v>
      </c>
      <c r="D348" s="713" t="s">
        <v>34</v>
      </c>
      <c r="E348" s="713" t="s">
        <v>7908</v>
      </c>
    </row>
    <row r="349" spans="2:5" x14ac:dyDescent="0.2">
      <c r="B349" t="s">
        <v>6162</v>
      </c>
      <c r="C349" s="713" t="s">
        <v>7909</v>
      </c>
      <c r="D349" s="713" t="s">
        <v>34</v>
      </c>
      <c r="E349" s="713" t="s">
        <v>7524</v>
      </c>
    </row>
    <row r="350" spans="2:5" x14ac:dyDescent="0.2">
      <c r="B350" t="s">
        <v>6163</v>
      </c>
      <c r="C350" s="713" t="s">
        <v>7910</v>
      </c>
      <c r="D350" s="713" t="s">
        <v>34</v>
      </c>
      <c r="E350" s="713" t="s">
        <v>7911</v>
      </c>
    </row>
    <row r="351" spans="2:5" x14ac:dyDescent="0.2">
      <c r="B351" t="s">
        <v>6164</v>
      </c>
      <c r="C351" s="713" t="s">
        <v>7912</v>
      </c>
      <c r="D351" s="713" t="s">
        <v>34</v>
      </c>
      <c r="E351" s="713" t="s">
        <v>7913</v>
      </c>
    </row>
    <row r="352" spans="2:5" x14ac:dyDescent="0.2">
      <c r="B352" t="s">
        <v>6165</v>
      </c>
      <c r="C352" s="713" t="s">
        <v>7914</v>
      </c>
      <c r="D352" s="713" t="s">
        <v>34</v>
      </c>
      <c r="E352" s="713" t="s">
        <v>7396</v>
      </c>
    </row>
    <row r="353" spans="2:5" x14ac:dyDescent="0.2">
      <c r="B353" t="s">
        <v>6166</v>
      </c>
      <c r="C353" s="713" t="s">
        <v>7915</v>
      </c>
      <c r="D353" s="713" t="s">
        <v>34</v>
      </c>
      <c r="E353" s="713" t="s">
        <v>7456</v>
      </c>
    </row>
    <row r="354" spans="2:5" x14ac:dyDescent="0.2">
      <c r="B354" t="s">
        <v>6167</v>
      </c>
      <c r="C354" s="713" t="s">
        <v>7916</v>
      </c>
      <c r="D354" s="713" t="s">
        <v>34</v>
      </c>
      <c r="E354" s="713" t="s">
        <v>7420</v>
      </c>
    </row>
    <row r="355" spans="2:5" x14ac:dyDescent="0.2">
      <c r="B355" t="s">
        <v>6168</v>
      </c>
      <c r="C355" s="713" t="s">
        <v>7917</v>
      </c>
      <c r="D355" s="713" t="s">
        <v>34</v>
      </c>
      <c r="E355" s="713" t="s">
        <v>7495</v>
      </c>
    </row>
    <row r="356" spans="2:5" x14ac:dyDescent="0.2">
      <c r="B356" t="s">
        <v>6169</v>
      </c>
      <c r="C356" s="713" t="s">
        <v>7918</v>
      </c>
      <c r="D356" s="713" t="s">
        <v>34</v>
      </c>
      <c r="E356" s="713" t="s">
        <v>7396</v>
      </c>
    </row>
    <row r="357" spans="2:5" x14ac:dyDescent="0.2">
      <c r="B357" t="s">
        <v>6170</v>
      </c>
      <c r="C357" s="713" t="s">
        <v>7919</v>
      </c>
      <c r="D357" s="713" t="s">
        <v>34</v>
      </c>
      <c r="E357" s="713" t="s">
        <v>7410</v>
      </c>
    </row>
    <row r="358" spans="2:5" x14ac:dyDescent="0.2">
      <c r="B358" t="s">
        <v>6171</v>
      </c>
      <c r="C358" s="713" t="s">
        <v>7920</v>
      </c>
      <c r="D358" s="713" t="s">
        <v>34</v>
      </c>
      <c r="E358" s="713" t="s">
        <v>7921</v>
      </c>
    </row>
    <row r="359" spans="2:5" x14ac:dyDescent="0.2">
      <c r="B359" t="s">
        <v>6172</v>
      </c>
      <c r="C359" s="713" t="s">
        <v>7922</v>
      </c>
      <c r="D359" s="713" t="s">
        <v>34</v>
      </c>
      <c r="E359" s="713" t="s">
        <v>7396</v>
      </c>
    </row>
    <row r="360" spans="2:5" x14ac:dyDescent="0.2">
      <c r="B360" t="s">
        <v>6173</v>
      </c>
      <c r="C360" s="713" t="s">
        <v>7923</v>
      </c>
      <c r="D360" s="713" t="s">
        <v>34</v>
      </c>
      <c r="E360" s="713" t="s">
        <v>7614</v>
      </c>
    </row>
    <row r="361" spans="2:5" x14ac:dyDescent="0.2">
      <c r="B361" t="s">
        <v>6174</v>
      </c>
      <c r="C361" s="713" t="s">
        <v>7924</v>
      </c>
      <c r="D361" s="713" t="s">
        <v>34</v>
      </c>
      <c r="E361" s="713" t="s">
        <v>7570</v>
      </c>
    </row>
    <row r="362" spans="2:5" x14ac:dyDescent="0.2">
      <c r="B362" t="s">
        <v>6175</v>
      </c>
      <c r="C362" s="713" t="s">
        <v>7925</v>
      </c>
      <c r="D362" s="713" t="s">
        <v>34</v>
      </c>
      <c r="E362" s="713" t="s">
        <v>7420</v>
      </c>
    </row>
    <row r="363" spans="2:5" x14ac:dyDescent="0.2">
      <c r="B363" t="s">
        <v>6176</v>
      </c>
      <c r="C363" s="713" t="s">
        <v>7926</v>
      </c>
      <c r="D363" s="713" t="s">
        <v>34</v>
      </c>
      <c r="E363" s="713" t="s">
        <v>7927</v>
      </c>
    </row>
    <row r="364" spans="2:5" x14ac:dyDescent="0.2">
      <c r="B364" t="s">
        <v>6177</v>
      </c>
      <c r="C364" s="713" t="s">
        <v>7928</v>
      </c>
      <c r="D364" s="713" t="s">
        <v>34</v>
      </c>
      <c r="E364" s="713" t="s">
        <v>7396</v>
      </c>
    </row>
    <row r="365" spans="2:5" x14ac:dyDescent="0.2">
      <c r="B365" t="s">
        <v>6178</v>
      </c>
      <c r="C365" s="713" t="s">
        <v>7929</v>
      </c>
      <c r="D365" s="713" t="s">
        <v>34</v>
      </c>
      <c r="E365" s="713" t="s">
        <v>7396</v>
      </c>
    </row>
    <row r="366" spans="2:5" x14ac:dyDescent="0.2">
      <c r="B366" t="s">
        <v>6179</v>
      </c>
      <c r="C366" s="713" t="s">
        <v>7930</v>
      </c>
      <c r="D366" s="713" t="s">
        <v>34</v>
      </c>
      <c r="E366" s="713" t="s">
        <v>7442</v>
      </c>
    </row>
    <row r="367" spans="2:5" x14ac:dyDescent="0.2">
      <c r="B367" t="s">
        <v>6180</v>
      </c>
      <c r="C367" s="713" t="s">
        <v>7931</v>
      </c>
      <c r="D367" s="713" t="s">
        <v>34</v>
      </c>
      <c r="E367" s="713" t="s">
        <v>7932</v>
      </c>
    </row>
    <row r="368" spans="2:5" x14ac:dyDescent="0.2">
      <c r="B368" t="s">
        <v>6181</v>
      </c>
      <c r="C368" s="713" t="s">
        <v>7933</v>
      </c>
      <c r="D368" s="713" t="s">
        <v>34</v>
      </c>
      <c r="E368" s="713" t="s">
        <v>7934</v>
      </c>
    </row>
    <row r="369" spans="2:5" x14ac:dyDescent="0.2">
      <c r="B369" t="s">
        <v>6182</v>
      </c>
      <c r="C369" s="713" t="s">
        <v>7935</v>
      </c>
      <c r="D369" s="713" t="s">
        <v>34</v>
      </c>
      <c r="E369" s="713" t="s">
        <v>7546</v>
      </c>
    </row>
    <row r="370" spans="2:5" x14ac:dyDescent="0.2">
      <c r="B370" t="s">
        <v>6183</v>
      </c>
      <c r="C370" s="713" t="s">
        <v>7936</v>
      </c>
      <c r="D370" s="713" t="s">
        <v>34</v>
      </c>
      <c r="E370" s="713" t="s">
        <v>7937</v>
      </c>
    </row>
    <row r="371" spans="2:5" x14ac:dyDescent="0.2">
      <c r="B371" t="s">
        <v>6184</v>
      </c>
      <c r="C371" s="713" t="s">
        <v>7938</v>
      </c>
      <c r="D371" s="713" t="s">
        <v>34</v>
      </c>
      <c r="E371" s="713" t="s">
        <v>7503</v>
      </c>
    </row>
    <row r="372" spans="2:5" x14ac:dyDescent="0.2">
      <c r="B372" t="s">
        <v>6185</v>
      </c>
      <c r="C372" s="713" t="s">
        <v>7939</v>
      </c>
      <c r="D372" s="713" t="s">
        <v>34</v>
      </c>
      <c r="E372" s="713" t="s">
        <v>7822</v>
      </c>
    </row>
    <row r="373" spans="2:5" x14ac:dyDescent="0.2">
      <c r="B373" t="s">
        <v>6186</v>
      </c>
      <c r="C373" s="713" t="s">
        <v>7940</v>
      </c>
      <c r="D373" s="713" t="s">
        <v>34</v>
      </c>
      <c r="E373" s="713" t="s">
        <v>7741</v>
      </c>
    </row>
    <row r="374" spans="2:5" x14ac:dyDescent="0.2">
      <c r="B374" t="s">
        <v>6187</v>
      </c>
      <c r="C374" s="713" t="s">
        <v>7941</v>
      </c>
      <c r="D374" s="713" t="s">
        <v>34</v>
      </c>
      <c r="E374" s="713" t="s">
        <v>7942</v>
      </c>
    </row>
    <row r="375" spans="2:5" x14ac:dyDescent="0.2">
      <c r="B375" t="s">
        <v>6188</v>
      </c>
      <c r="C375" s="713" t="s">
        <v>7943</v>
      </c>
      <c r="D375" s="713" t="s">
        <v>34</v>
      </c>
      <c r="E375" s="713" t="s">
        <v>7442</v>
      </c>
    </row>
    <row r="376" spans="2:5" x14ac:dyDescent="0.2">
      <c r="B376" t="s">
        <v>6189</v>
      </c>
      <c r="C376" s="713" t="s">
        <v>7944</v>
      </c>
      <c r="D376" s="713" t="s">
        <v>34</v>
      </c>
      <c r="E376" s="713" t="s">
        <v>7410</v>
      </c>
    </row>
    <row r="377" spans="2:5" x14ac:dyDescent="0.2">
      <c r="B377" t="s">
        <v>6190</v>
      </c>
      <c r="C377" s="713" t="s">
        <v>7945</v>
      </c>
      <c r="D377" s="713" t="s">
        <v>34</v>
      </c>
      <c r="E377" s="713" t="s">
        <v>7442</v>
      </c>
    </row>
    <row r="378" spans="2:5" x14ac:dyDescent="0.2">
      <c r="B378" t="s">
        <v>6191</v>
      </c>
      <c r="C378" s="713" t="s">
        <v>7946</v>
      </c>
      <c r="D378" s="713" t="s">
        <v>34</v>
      </c>
      <c r="E378" s="713" t="s">
        <v>7947</v>
      </c>
    </row>
    <row r="379" spans="2:5" x14ac:dyDescent="0.2">
      <c r="B379" t="s">
        <v>6192</v>
      </c>
      <c r="C379" s="713" t="s">
        <v>7948</v>
      </c>
      <c r="D379" s="713" t="s">
        <v>34</v>
      </c>
      <c r="E379" s="713" t="s">
        <v>7412</v>
      </c>
    </row>
    <row r="380" spans="2:5" x14ac:dyDescent="0.2">
      <c r="B380" t="s">
        <v>6193</v>
      </c>
      <c r="C380" s="713" t="s">
        <v>7949</v>
      </c>
      <c r="D380" s="713" t="s">
        <v>34</v>
      </c>
      <c r="E380" s="713" t="s">
        <v>7573</v>
      </c>
    </row>
    <row r="381" spans="2:5" x14ac:dyDescent="0.2">
      <c r="B381" t="s">
        <v>6194</v>
      </c>
      <c r="C381" s="713" t="s">
        <v>7950</v>
      </c>
      <c r="D381" s="713" t="s">
        <v>34</v>
      </c>
      <c r="E381" s="713" t="s">
        <v>7951</v>
      </c>
    </row>
    <row r="382" spans="2:5" x14ac:dyDescent="0.2">
      <c r="B382" t="s">
        <v>6195</v>
      </c>
      <c r="C382" s="713" t="s">
        <v>7952</v>
      </c>
      <c r="D382" s="713" t="s">
        <v>34</v>
      </c>
      <c r="E382" s="713" t="s">
        <v>7953</v>
      </c>
    </row>
    <row r="383" spans="2:5" x14ac:dyDescent="0.2">
      <c r="B383" t="s">
        <v>6196</v>
      </c>
      <c r="C383" s="713" t="s">
        <v>7954</v>
      </c>
      <c r="D383" s="713" t="s">
        <v>7955</v>
      </c>
      <c r="E383" s="713" t="s">
        <v>7956</v>
      </c>
    </row>
    <row r="384" spans="2:5" x14ac:dyDescent="0.2">
      <c r="B384" t="s">
        <v>6197</v>
      </c>
      <c r="C384" s="713" t="s">
        <v>7957</v>
      </c>
      <c r="D384" s="713" t="s">
        <v>34</v>
      </c>
      <c r="E384" s="713" t="s">
        <v>7958</v>
      </c>
    </row>
    <row r="385" spans="2:5" x14ac:dyDescent="0.2">
      <c r="B385" t="s">
        <v>1122</v>
      </c>
      <c r="C385" s="713" t="s">
        <v>7959</v>
      </c>
      <c r="D385" s="713" t="s">
        <v>34</v>
      </c>
      <c r="E385" s="713" t="s">
        <v>7960</v>
      </c>
    </row>
    <row r="386" spans="2:5" x14ac:dyDescent="0.2">
      <c r="B386" t="s">
        <v>6198</v>
      </c>
      <c r="C386" s="713" t="s">
        <v>7961</v>
      </c>
      <c r="D386" s="713" t="s">
        <v>34</v>
      </c>
      <c r="E386" s="713" t="s">
        <v>7962</v>
      </c>
    </row>
    <row r="387" spans="2:5" x14ac:dyDescent="0.2">
      <c r="B387" t="s">
        <v>6199</v>
      </c>
      <c r="C387" s="713" t="s">
        <v>7963</v>
      </c>
      <c r="D387" s="713" t="s">
        <v>34</v>
      </c>
      <c r="E387" s="713" t="s">
        <v>7418</v>
      </c>
    </row>
    <row r="388" spans="2:5" x14ac:dyDescent="0.2">
      <c r="B388" t="s">
        <v>6200</v>
      </c>
      <c r="C388" s="713" t="s">
        <v>7964</v>
      </c>
      <c r="D388" s="713" t="s">
        <v>34</v>
      </c>
      <c r="E388" s="713" t="s">
        <v>7458</v>
      </c>
    </row>
    <row r="389" spans="2:5" x14ac:dyDescent="0.2">
      <c r="B389" t="s">
        <v>6201</v>
      </c>
      <c r="C389" s="713" t="s">
        <v>7965</v>
      </c>
      <c r="D389" s="713" t="s">
        <v>34</v>
      </c>
      <c r="E389" s="713" t="s">
        <v>7495</v>
      </c>
    </row>
    <row r="390" spans="2:5" x14ac:dyDescent="0.2">
      <c r="B390" t="s">
        <v>6202</v>
      </c>
      <c r="C390" s="713" t="s">
        <v>7966</v>
      </c>
      <c r="D390" s="713" t="s">
        <v>34</v>
      </c>
      <c r="E390" s="713" t="s">
        <v>7967</v>
      </c>
    </row>
    <row r="391" spans="2:5" x14ac:dyDescent="0.2">
      <c r="B391" t="s">
        <v>6203</v>
      </c>
      <c r="C391" s="713" t="s">
        <v>7968</v>
      </c>
      <c r="D391" s="713" t="s">
        <v>34</v>
      </c>
      <c r="E391" s="713" t="s">
        <v>7969</v>
      </c>
    </row>
    <row r="392" spans="2:5" x14ac:dyDescent="0.2">
      <c r="B392" t="s">
        <v>6204</v>
      </c>
      <c r="C392" s="713" t="s">
        <v>7970</v>
      </c>
      <c r="D392" s="713" t="s">
        <v>34</v>
      </c>
      <c r="E392" s="713" t="s">
        <v>7454</v>
      </c>
    </row>
    <row r="393" spans="2:5" x14ac:dyDescent="0.2">
      <c r="B393" t="s">
        <v>1106</v>
      </c>
      <c r="C393" s="713" t="s">
        <v>7971</v>
      </c>
      <c r="D393" s="713" t="s">
        <v>34</v>
      </c>
      <c r="E393" s="713" t="s">
        <v>7972</v>
      </c>
    </row>
    <row r="394" spans="2:5" x14ac:dyDescent="0.2">
      <c r="B394" t="s">
        <v>1095</v>
      </c>
      <c r="C394" s="713" t="s">
        <v>7973</v>
      </c>
      <c r="D394" s="713" t="s">
        <v>34</v>
      </c>
      <c r="E394" s="713" t="s">
        <v>7974</v>
      </c>
    </row>
    <row r="395" spans="2:5" x14ac:dyDescent="0.2">
      <c r="B395" t="s">
        <v>1092</v>
      </c>
      <c r="C395" s="713" t="s">
        <v>7975</v>
      </c>
      <c r="D395" s="713" t="s">
        <v>7976</v>
      </c>
      <c r="E395" s="713" t="s">
        <v>7977</v>
      </c>
    </row>
    <row r="396" spans="2:5" x14ac:dyDescent="0.2">
      <c r="B396" t="s">
        <v>6205</v>
      </c>
      <c r="C396" s="713" t="s">
        <v>7978</v>
      </c>
      <c r="D396" s="713" t="s">
        <v>34</v>
      </c>
      <c r="E396" s="713" t="s">
        <v>7418</v>
      </c>
    </row>
    <row r="397" spans="2:5" x14ac:dyDescent="0.2">
      <c r="B397" t="s">
        <v>1115</v>
      </c>
      <c r="C397" s="713" t="s">
        <v>7979</v>
      </c>
      <c r="D397" s="713" t="s">
        <v>34</v>
      </c>
      <c r="E397" s="713" t="s">
        <v>7416</v>
      </c>
    </row>
    <row r="398" spans="2:5" x14ac:dyDescent="0.2">
      <c r="B398" t="s">
        <v>6206</v>
      </c>
      <c r="C398" s="713" t="s">
        <v>34</v>
      </c>
      <c r="D398" s="713" t="s">
        <v>34</v>
      </c>
      <c r="E398" s="713" t="s">
        <v>7611</v>
      </c>
    </row>
    <row r="399" spans="2:5" x14ac:dyDescent="0.2">
      <c r="B399" t="s">
        <v>6207</v>
      </c>
      <c r="C399" s="713" t="s">
        <v>7980</v>
      </c>
      <c r="D399" s="713" t="s">
        <v>34</v>
      </c>
      <c r="E399" s="713" t="s">
        <v>7538</v>
      </c>
    </row>
    <row r="400" spans="2:5" x14ac:dyDescent="0.2">
      <c r="B400" t="s">
        <v>6208</v>
      </c>
      <c r="C400" s="713" t="s">
        <v>7981</v>
      </c>
      <c r="D400" s="713" t="s">
        <v>34</v>
      </c>
      <c r="E400" s="713" t="s">
        <v>7418</v>
      </c>
    </row>
    <row r="401" spans="2:5" x14ac:dyDescent="0.2">
      <c r="B401" t="s">
        <v>6209</v>
      </c>
      <c r="C401" s="713" t="s">
        <v>7982</v>
      </c>
      <c r="D401" s="713" t="s">
        <v>34</v>
      </c>
      <c r="E401" s="713" t="s">
        <v>7442</v>
      </c>
    </row>
    <row r="402" spans="2:5" x14ac:dyDescent="0.2">
      <c r="B402" t="s">
        <v>6210</v>
      </c>
      <c r="C402" s="713" t="s">
        <v>7983</v>
      </c>
      <c r="D402" s="713" t="s">
        <v>34</v>
      </c>
      <c r="E402" s="713" t="s">
        <v>7517</v>
      </c>
    </row>
    <row r="403" spans="2:5" x14ac:dyDescent="0.2">
      <c r="B403" t="s">
        <v>6211</v>
      </c>
      <c r="C403" s="713" t="s">
        <v>7984</v>
      </c>
      <c r="D403" s="713" t="s">
        <v>34</v>
      </c>
      <c r="E403" s="713" t="s">
        <v>7442</v>
      </c>
    </row>
    <row r="404" spans="2:5" x14ac:dyDescent="0.2">
      <c r="B404" t="s">
        <v>6212</v>
      </c>
      <c r="C404" s="713" t="s">
        <v>7985</v>
      </c>
      <c r="D404" s="713" t="s">
        <v>34</v>
      </c>
      <c r="E404" s="713" t="s">
        <v>7522</v>
      </c>
    </row>
    <row r="405" spans="2:5" x14ac:dyDescent="0.2">
      <c r="B405" t="s">
        <v>6213</v>
      </c>
      <c r="C405" s="713" t="s">
        <v>7986</v>
      </c>
      <c r="D405" s="713" t="s">
        <v>34</v>
      </c>
      <c r="E405" s="713" t="s">
        <v>7987</v>
      </c>
    </row>
    <row r="406" spans="2:5" x14ac:dyDescent="0.2">
      <c r="B406" t="s">
        <v>6214</v>
      </c>
      <c r="C406" s="713" t="s">
        <v>7988</v>
      </c>
      <c r="D406" s="713" t="s">
        <v>34</v>
      </c>
      <c r="E406" s="713" t="s">
        <v>7412</v>
      </c>
    </row>
    <row r="407" spans="2:5" x14ac:dyDescent="0.2">
      <c r="B407" t="s">
        <v>1233</v>
      </c>
      <c r="C407" s="713" t="s">
        <v>7989</v>
      </c>
      <c r="D407" s="713" t="s">
        <v>34</v>
      </c>
      <c r="E407" s="713" t="s">
        <v>7990</v>
      </c>
    </row>
    <row r="408" spans="2:5" x14ac:dyDescent="0.2">
      <c r="B408" t="s">
        <v>6215</v>
      </c>
      <c r="C408" s="713" t="s">
        <v>7991</v>
      </c>
      <c r="D408" s="713" t="s">
        <v>34</v>
      </c>
      <c r="E408" s="713" t="s">
        <v>7992</v>
      </c>
    </row>
    <row r="409" spans="2:5" x14ac:dyDescent="0.2">
      <c r="B409" t="s">
        <v>6216</v>
      </c>
      <c r="C409" s="713" t="s">
        <v>7993</v>
      </c>
      <c r="D409" s="713" t="s">
        <v>34</v>
      </c>
      <c r="E409" s="713" t="s">
        <v>7994</v>
      </c>
    </row>
    <row r="410" spans="2:5" x14ac:dyDescent="0.2">
      <c r="B410" t="s">
        <v>6217</v>
      </c>
      <c r="C410" s="713" t="s">
        <v>7995</v>
      </c>
      <c r="D410" s="713" t="s">
        <v>34</v>
      </c>
      <c r="E410" s="713" t="s">
        <v>7546</v>
      </c>
    </row>
    <row r="411" spans="2:5" x14ac:dyDescent="0.2">
      <c r="B411" t="s">
        <v>6218</v>
      </c>
      <c r="C411" s="713" t="s">
        <v>7996</v>
      </c>
      <c r="D411" s="713" t="s">
        <v>34</v>
      </c>
      <c r="E411" s="713" t="s">
        <v>7442</v>
      </c>
    </row>
    <row r="412" spans="2:5" x14ac:dyDescent="0.2">
      <c r="B412" t="s">
        <v>1227</v>
      </c>
      <c r="C412" s="713" t="s">
        <v>7997</v>
      </c>
      <c r="D412" s="713" t="s">
        <v>34</v>
      </c>
      <c r="E412" s="713" t="s">
        <v>7998</v>
      </c>
    </row>
    <row r="413" spans="2:5" x14ac:dyDescent="0.2">
      <c r="B413" t="s">
        <v>6219</v>
      </c>
      <c r="C413" s="713" t="s">
        <v>7999</v>
      </c>
      <c r="D413" s="713" t="s">
        <v>34</v>
      </c>
      <c r="E413" s="713" t="s">
        <v>7418</v>
      </c>
    </row>
    <row r="414" spans="2:5" x14ac:dyDescent="0.2">
      <c r="B414" t="s">
        <v>1202</v>
      </c>
      <c r="C414" s="713" t="s">
        <v>8000</v>
      </c>
      <c r="D414" s="713" t="s">
        <v>34</v>
      </c>
      <c r="E414" s="713" t="s">
        <v>7480</v>
      </c>
    </row>
    <row r="415" spans="2:5" x14ac:dyDescent="0.2">
      <c r="B415" t="s">
        <v>6220</v>
      </c>
      <c r="C415" s="713" t="s">
        <v>8001</v>
      </c>
      <c r="D415" s="713" t="s">
        <v>34</v>
      </c>
      <c r="E415" s="713" t="s">
        <v>7992</v>
      </c>
    </row>
    <row r="416" spans="2:5" x14ac:dyDescent="0.2">
      <c r="B416" t="s">
        <v>6221</v>
      </c>
      <c r="C416" s="713" t="s">
        <v>8002</v>
      </c>
      <c r="D416" s="713" t="s">
        <v>34</v>
      </c>
      <c r="E416" s="713" t="s">
        <v>8003</v>
      </c>
    </row>
    <row r="417" spans="2:5" x14ac:dyDescent="0.2">
      <c r="B417" t="s">
        <v>6222</v>
      </c>
      <c r="C417" s="713" t="s">
        <v>8004</v>
      </c>
      <c r="D417" s="713" t="s">
        <v>34</v>
      </c>
      <c r="E417" s="713" t="s">
        <v>7992</v>
      </c>
    </row>
    <row r="418" spans="2:5" x14ac:dyDescent="0.2">
      <c r="B418" t="s">
        <v>6223</v>
      </c>
      <c r="C418" s="713" t="s">
        <v>8005</v>
      </c>
      <c r="D418" s="713" t="s">
        <v>34</v>
      </c>
      <c r="E418" s="713" t="s">
        <v>7992</v>
      </c>
    </row>
    <row r="419" spans="2:5" x14ac:dyDescent="0.2">
      <c r="B419" t="s">
        <v>6224</v>
      </c>
      <c r="C419" s="713" t="s">
        <v>8006</v>
      </c>
      <c r="D419" s="713" t="s">
        <v>34</v>
      </c>
      <c r="E419" s="713" t="s">
        <v>7458</v>
      </c>
    </row>
    <row r="420" spans="2:5" x14ac:dyDescent="0.2">
      <c r="B420" t="s">
        <v>6225</v>
      </c>
      <c r="C420" s="713" t="s">
        <v>8007</v>
      </c>
      <c r="D420" s="713" t="s">
        <v>34</v>
      </c>
      <c r="E420" s="713" t="s">
        <v>7442</v>
      </c>
    </row>
    <row r="421" spans="2:5" x14ac:dyDescent="0.2">
      <c r="B421" t="s">
        <v>6226</v>
      </c>
      <c r="C421" s="713" t="s">
        <v>8008</v>
      </c>
      <c r="D421" s="713" t="s">
        <v>34</v>
      </c>
      <c r="E421" s="713" t="s">
        <v>7442</v>
      </c>
    </row>
    <row r="422" spans="2:5" x14ac:dyDescent="0.2">
      <c r="B422" t="s">
        <v>6227</v>
      </c>
      <c r="C422" s="713" t="s">
        <v>8009</v>
      </c>
      <c r="D422" s="713" t="s">
        <v>34</v>
      </c>
      <c r="E422" s="713" t="s">
        <v>7546</v>
      </c>
    </row>
    <row r="423" spans="2:5" x14ac:dyDescent="0.2">
      <c r="B423" t="s">
        <v>6228</v>
      </c>
      <c r="C423" s="713" t="s">
        <v>8010</v>
      </c>
      <c r="D423" s="713" t="s">
        <v>34</v>
      </c>
      <c r="E423" s="713" t="s">
        <v>7442</v>
      </c>
    </row>
    <row r="424" spans="2:5" x14ac:dyDescent="0.2">
      <c r="B424" t="s">
        <v>6229</v>
      </c>
      <c r="C424" s="713" t="s">
        <v>8011</v>
      </c>
      <c r="D424" s="713" t="s">
        <v>34</v>
      </c>
      <c r="E424" s="713" t="s">
        <v>8012</v>
      </c>
    </row>
    <row r="425" spans="2:5" x14ac:dyDescent="0.2">
      <c r="B425" t="s">
        <v>1199</v>
      </c>
      <c r="C425" s="713" t="s">
        <v>8013</v>
      </c>
      <c r="D425" s="713" t="s">
        <v>34</v>
      </c>
      <c r="E425" s="713" t="s">
        <v>8014</v>
      </c>
    </row>
    <row r="426" spans="2:5" x14ac:dyDescent="0.2">
      <c r="B426" t="s">
        <v>6230</v>
      </c>
      <c r="C426" s="713" t="s">
        <v>8015</v>
      </c>
      <c r="D426" s="713" t="s">
        <v>34</v>
      </c>
      <c r="E426" s="713" t="s">
        <v>8016</v>
      </c>
    </row>
    <row r="427" spans="2:5" x14ac:dyDescent="0.2">
      <c r="B427" t="s">
        <v>6231</v>
      </c>
      <c r="C427" s="713" t="s">
        <v>8017</v>
      </c>
      <c r="D427" s="713" t="s">
        <v>34</v>
      </c>
      <c r="E427" s="713" t="s">
        <v>8018</v>
      </c>
    </row>
    <row r="428" spans="2:5" x14ac:dyDescent="0.2">
      <c r="B428" t="s">
        <v>6232</v>
      </c>
      <c r="C428" s="713" t="s">
        <v>8019</v>
      </c>
      <c r="D428" s="713" t="s">
        <v>34</v>
      </c>
      <c r="E428" s="713" t="s">
        <v>8020</v>
      </c>
    </row>
    <row r="429" spans="2:5" x14ac:dyDescent="0.2">
      <c r="B429" t="s">
        <v>6233</v>
      </c>
      <c r="C429" s="713" t="s">
        <v>8021</v>
      </c>
      <c r="D429" s="713" t="s">
        <v>34</v>
      </c>
      <c r="E429" s="713" t="s">
        <v>7791</v>
      </c>
    </row>
    <row r="430" spans="2:5" x14ac:dyDescent="0.2">
      <c r="B430" t="s">
        <v>6234</v>
      </c>
      <c r="C430" s="713" t="s">
        <v>8022</v>
      </c>
      <c r="D430" s="713" t="s">
        <v>34</v>
      </c>
      <c r="E430" s="713" t="s">
        <v>7396</v>
      </c>
    </row>
    <row r="431" spans="2:5" x14ac:dyDescent="0.2">
      <c r="B431" t="s">
        <v>6235</v>
      </c>
      <c r="C431" s="713" t="s">
        <v>8023</v>
      </c>
      <c r="D431" s="713" t="s">
        <v>34</v>
      </c>
      <c r="E431" s="713" t="s">
        <v>8024</v>
      </c>
    </row>
    <row r="432" spans="2:5" x14ac:dyDescent="0.2">
      <c r="B432" t="s">
        <v>6236</v>
      </c>
      <c r="C432" s="713" t="s">
        <v>8025</v>
      </c>
      <c r="D432" s="713" t="s">
        <v>34</v>
      </c>
      <c r="E432" s="713" t="s">
        <v>7822</v>
      </c>
    </row>
    <row r="433" spans="2:5" x14ac:dyDescent="0.2">
      <c r="B433" t="s">
        <v>6237</v>
      </c>
      <c r="C433" s="713" t="s">
        <v>8026</v>
      </c>
      <c r="D433" s="713" t="s">
        <v>8027</v>
      </c>
      <c r="E433" s="713" t="s">
        <v>8028</v>
      </c>
    </row>
    <row r="434" spans="2:5" x14ac:dyDescent="0.2">
      <c r="B434" t="s">
        <v>6237</v>
      </c>
      <c r="C434" s="713" t="s">
        <v>8029</v>
      </c>
      <c r="D434" s="713" t="s">
        <v>34</v>
      </c>
      <c r="E434" s="713" t="s">
        <v>8030</v>
      </c>
    </row>
    <row r="435" spans="2:5" x14ac:dyDescent="0.2">
      <c r="B435" t="s">
        <v>6238</v>
      </c>
      <c r="C435" s="713" t="s">
        <v>8031</v>
      </c>
      <c r="D435" s="713" t="s">
        <v>34</v>
      </c>
      <c r="E435" s="713" t="s">
        <v>8032</v>
      </c>
    </row>
    <row r="436" spans="2:5" x14ac:dyDescent="0.2">
      <c r="B436" t="s">
        <v>6239</v>
      </c>
      <c r="C436" s="713" t="s">
        <v>8033</v>
      </c>
      <c r="D436" s="713" t="s">
        <v>34</v>
      </c>
      <c r="E436" s="713" t="s">
        <v>8034</v>
      </c>
    </row>
    <row r="437" spans="2:5" x14ac:dyDescent="0.2">
      <c r="B437" t="s">
        <v>6240</v>
      </c>
      <c r="C437" s="713" t="s">
        <v>8035</v>
      </c>
      <c r="D437" s="713" t="s">
        <v>34</v>
      </c>
      <c r="E437" s="713" t="s">
        <v>8036</v>
      </c>
    </row>
    <row r="438" spans="2:5" x14ac:dyDescent="0.2">
      <c r="B438" t="s">
        <v>6241</v>
      </c>
      <c r="C438" s="713" t="s">
        <v>8037</v>
      </c>
      <c r="D438" s="713" t="s">
        <v>34</v>
      </c>
      <c r="E438" s="713" t="s">
        <v>7404</v>
      </c>
    </row>
    <row r="439" spans="2:5" x14ac:dyDescent="0.2">
      <c r="B439" t="s">
        <v>6242</v>
      </c>
      <c r="C439" s="713" t="s">
        <v>8038</v>
      </c>
      <c r="D439" s="713" t="s">
        <v>34</v>
      </c>
      <c r="E439" s="713" t="s">
        <v>7442</v>
      </c>
    </row>
    <row r="440" spans="2:5" x14ac:dyDescent="0.2">
      <c r="B440" t="s">
        <v>6243</v>
      </c>
      <c r="C440" s="713" t="s">
        <v>8039</v>
      </c>
      <c r="D440" s="713" t="s">
        <v>34</v>
      </c>
      <c r="E440" s="713" t="s">
        <v>7804</v>
      </c>
    </row>
    <row r="441" spans="2:5" x14ac:dyDescent="0.2">
      <c r="B441" t="s">
        <v>1236</v>
      </c>
      <c r="C441" s="713" t="s">
        <v>8040</v>
      </c>
      <c r="D441" s="713" t="s">
        <v>34</v>
      </c>
      <c r="E441" s="713" t="s">
        <v>8041</v>
      </c>
    </row>
    <row r="442" spans="2:5" x14ac:dyDescent="0.2">
      <c r="B442" t="s">
        <v>6244</v>
      </c>
      <c r="C442" s="713" t="s">
        <v>8042</v>
      </c>
      <c r="D442" s="713" t="s">
        <v>34</v>
      </c>
      <c r="E442" s="713" t="s">
        <v>8043</v>
      </c>
    </row>
    <row r="443" spans="2:5" x14ac:dyDescent="0.2">
      <c r="B443" t="s">
        <v>6245</v>
      </c>
      <c r="C443" s="713" t="s">
        <v>8044</v>
      </c>
      <c r="D443" s="713" t="s">
        <v>34</v>
      </c>
      <c r="E443" s="713" t="s">
        <v>7418</v>
      </c>
    </row>
    <row r="444" spans="2:5" x14ac:dyDescent="0.2">
      <c r="B444" t="s">
        <v>6246</v>
      </c>
      <c r="C444" s="713" t="s">
        <v>34</v>
      </c>
      <c r="D444" s="713" t="s">
        <v>34</v>
      </c>
      <c r="E444" s="713" t="s">
        <v>7611</v>
      </c>
    </row>
    <row r="445" spans="2:5" x14ac:dyDescent="0.2">
      <c r="B445" t="s">
        <v>1773</v>
      </c>
      <c r="C445" s="713" t="s">
        <v>8045</v>
      </c>
      <c r="D445" s="713" t="s">
        <v>34</v>
      </c>
      <c r="E445" s="713" t="s">
        <v>8046</v>
      </c>
    </row>
    <row r="446" spans="2:5" x14ac:dyDescent="0.2">
      <c r="B446" t="s">
        <v>6247</v>
      </c>
      <c r="C446" s="713" t="s">
        <v>8047</v>
      </c>
      <c r="D446" s="713" t="s">
        <v>34</v>
      </c>
      <c r="E446" s="713" t="s">
        <v>7526</v>
      </c>
    </row>
    <row r="447" spans="2:5" x14ac:dyDescent="0.2">
      <c r="B447" t="s">
        <v>6248</v>
      </c>
      <c r="C447" s="713" t="s">
        <v>8048</v>
      </c>
      <c r="D447" s="713" t="s">
        <v>34</v>
      </c>
      <c r="E447" s="713" t="s">
        <v>8049</v>
      </c>
    </row>
    <row r="448" spans="2:5" x14ac:dyDescent="0.2">
      <c r="B448" t="s">
        <v>6249</v>
      </c>
      <c r="C448" s="713" t="s">
        <v>8050</v>
      </c>
      <c r="D448" s="713" t="s">
        <v>34</v>
      </c>
      <c r="E448" s="713" t="s">
        <v>8051</v>
      </c>
    </row>
    <row r="449" spans="2:5" x14ac:dyDescent="0.2">
      <c r="B449" t="s">
        <v>6250</v>
      </c>
      <c r="C449" s="713" t="s">
        <v>8052</v>
      </c>
      <c r="D449" s="713" t="s">
        <v>34</v>
      </c>
      <c r="E449" s="713" t="s">
        <v>8053</v>
      </c>
    </row>
    <row r="450" spans="2:5" x14ac:dyDescent="0.2">
      <c r="B450" t="s">
        <v>6251</v>
      </c>
      <c r="C450" s="713" t="s">
        <v>8054</v>
      </c>
      <c r="D450" s="713" t="s">
        <v>34</v>
      </c>
      <c r="E450" s="713" t="s">
        <v>8055</v>
      </c>
    </row>
    <row r="451" spans="2:5" x14ac:dyDescent="0.2">
      <c r="B451" t="s">
        <v>6252</v>
      </c>
      <c r="C451" s="713" t="s">
        <v>8056</v>
      </c>
      <c r="D451" s="713" t="s">
        <v>34</v>
      </c>
      <c r="E451" s="713" t="s">
        <v>8057</v>
      </c>
    </row>
    <row r="452" spans="2:5" x14ac:dyDescent="0.2">
      <c r="B452" t="s">
        <v>6253</v>
      </c>
      <c r="C452" s="713" t="s">
        <v>8058</v>
      </c>
      <c r="D452" s="713" t="s">
        <v>34</v>
      </c>
      <c r="E452" s="713" t="s">
        <v>7509</v>
      </c>
    </row>
    <row r="453" spans="2:5" x14ac:dyDescent="0.2">
      <c r="B453" t="s">
        <v>6254</v>
      </c>
      <c r="C453" s="713" t="s">
        <v>8059</v>
      </c>
      <c r="D453" s="713" t="s">
        <v>34</v>
      </c>
      <c r="E453" s="713" t="s">
        <v>8060</v>
      </c>
    </row>
    <row r="454" spans="2:5" x14ac:dyDescent="0.2">
      <c r="B454" t="s">
        <v>6255</v>
      </c>
      <c r="C454" s="713" t="s">
        <v>8061</v>
      </c>
      <c r="D454" s="713" t="s">
        <v>34</v>
      </c>
      <c r="E454" s="713" t="s">
        <v>8062</v>
      </c>
    </row>
    <row r="455" spans="2:5" x14ac:dyDescent="0.2">
      <c r="B455" t="s">
        <v>6256</v>
      </c>
      <c r="C455" s="713" t="s">
        <v>8063</v>
      </c>
      <c r="D455" s="713" t="s">
        <v>34</v>
      </c>
      <c r="E455" s="713" t="s">
        <v>7614</v>
      </c>
    </row>
    <row r="456" spans="2:5" x14ac:dyDescent="0.2">
      <c r="B456" t="s">
        <v>6257</v>
      </c>
      <c r="C456" s="713" t="s">
        <v>8064</v>
      </c>
      <c r="D456" s="713" t="s">
        <v>34</v>
      </c>
      <c r="E456" s="713" t="s">
        <v>8065</v>
      </c>
    </row>
    <row r="457" spans="2:5" x14ac:dyDescent="0.2">
      <c r="B457" t="s">
        <v>6258</v>
      </c>
      <c r="C457" s="713" t="s">
        <v>8066</v>
      </c>
      <c r="D457" s="713" t="s">
        <v>34</v>
      </c>
      <c r="E457" s="713" t="s">
        <v>7442</v>
      </c>
    </row>
    <row r="458" spans="2:5" x14ac:dyDescent="0.2">
      <c r="B458" t="s">
        <v>6259</v>
      </c>
      <c r="C458" s="713" t="s">
        <v>8067</v>
      </c>
      <c r="D458" s="713" t="s">
        <v>34</v>
      </c>
      <c r="E458" s="713" t="s">
        <v>7410</v>
      </c>
    </row>
    <row r="459" spans="2:5" x14ac:dyDescent="0.2">
      <c r="B459" t="s">
        <v>6260</v>
      </c>
      <c r="C459" s="713" t="s">
        <v>8068</v>
      </c>
      <c r="D459" s="713" t="s">
        <v>34</v>
      </c>
      <c r="E459" s="713" t="s">
        <v>7573</v>
      </c>
    </row>
    <row r="460" spans="2:5" x14ac:dyDescent="0.2">
      <c r="B460" t="s">
        <v>6261</v>
      </c>
      <c r="C460" s="713" t="s">
        <v>8069</v>
      </c>
      <c r="D460" s="713" t="s">
        <v>34</v>
      </c>
      <c r="E460" s="713" t="s">
        <v>8070</v>
      </c>
    </row>
    <row r="461" spans="2:5" x14ac:dyDescent="0.2">
      <c r="B461" t="s">
        <v>6262</v>
      </c>
      <c r="C461" s="713" t="s">
        <v>8071</v>
      </c>
      <c r="D461" s="713" t="s">
        <v>34</v>
      </c>
      <c r="E461" s="713" t="s">
        <v>7396</v>
      </c>
    </row>
    <row r="462" spans="2:5" x14ac:dyDescent="0.2">
      <c r="B462" t="s">
        <v>6263</v>
      </c>
      <c r="C462" s="713" t="s">
        <v>8072</v>
      </c>
      <c r="D462" s="713" t="s">
        <v>34</v>
      </c>
      <c r="E462" s="713" t="s">
        <v>8073</v>
      </c>
    </row>
    <row r="463" spans="2:5" x14ac:dyDescent="0.2">
      <c r="B463" t="s">
        <v>6264</v>
      </c>
      <c r="C463" s="713" t="s">
        <v>8074</v>
      </c>
      <c r="D463" s="713" t="s">
        <v>34</v>
      </c>
      <c r="E463" s="713" t="s">
        <v>7741</v>
      </c>
    </row>
    <row r="464" spans="2:5" x14ac:dyDescent="0.2">
      <c r="B464" t="s">
        <v>6265</v>
      </c>
      <c r="C464" s="713" t="s">
        <v>8075</v>
      </c>
      <c r="D464" s="713" t="s">
        <v>34</v>
      </c>
      <c r="E464" s="713" t="s">
        <v>8076</v>
      </c>
    </row>
    <row r="465" spans="2:5" x14ac:dyDescent="0.2">
      <c r="B465" t="s">
        <v>6266</v>
      </c>
      <c r="C465" s="713" t="s">
        <v>8077</v>
      </c>
      <c r="D465" s="713" t="s">
        <v>34</v>
      </c>
      <c r="E465" s="713" t="s">
        <v>7741</v>
      </c>
    </row>
    <row r="466" spans="2:5" x14ac:dyDescent="0.2">
      <c r="B466" t="s">
        <v>6267</v>
      </c>
      <c r="C466" s="713" t="s">
        <v>8078</v>
      </c>
      <c r="D466" s="713" t="s">
        <v>34</v>
      </c>
      <c r="E466" s="713" t="s">
        <v>8079</v>
      </c>
    </row>
    <row r="467" spans="2:5" x14ac:dyDescent="0.2">
      <c r="B467" t="s">
        <v>1170</v>
      </c>
      <c r="C467" s="713" t="s">
        <v>8080</v>
      </c>
      <c r="D467" s="713" t="s">
        <v>34</v>
      </c>
      <c r="E467" s="713" t="s">
        <v>7546</v>
      </c>
    </row>
    <row r="468" spans="2:5" x14ac:dyDescent="0.2">
      <c r="B468" t="s">
        <v>6268</v>
      </c>
      <c r="C468" s="713" t="s">
        <v>8081</v>
      </c>
      <c r="D468" s="713" t="s">
        <v>34</v>
      </c>
      <c r="E468" s="713" t="s">
        <v>7587</v>
      </c>
    </row>
    <row r="469" spans="2:5" x14ac:dyDescent="0.2">
      <c r="B469" t="s">
        <v>6269</v>
      </c>
      <c r="C469" s="713" t="s">
        <v>8082</v>
      </c>
      <c r="D469" s="713" t="s">
        <v>34</v>
      </c>
      <c r="E469" s="713" t="s">
        <v>7587</v>
      </c>
    </row>
    <row r="470" spans="2:5" x14ac:dyDescent="0.2">
      <c r="B470" t="s">
        <v>6270</v>
      </c>
      <c r="C470" s="713" t="s">
        <v>8083</v>
      </c>
      <c r="D470" s="713" t="s">
        <v>34</v>
      </c>
      <c r="E470" s="713" t="s">
        <v>8053</v>
      </c>
    </row>
    <row r="471" spans="2:5" x14ac:dyDescent="0.2">
      <c r="B471" t="s">
        <v>6271</v>
      </c>
      <c r="C471" s="713" t="s">
        <v>8084</v>
      </c>
      <c r="D471" s="713" t="s">
        <v>34</v>
      </c>
      <c r="E471" s="713" t="s">
        <v>7410</v>
      </c>
    </row>
    <row r="472" spans="2:5" x14ac:dyDescent="0.2">
      <c r="B472" t="s">
        <v>6272</v>
      </c>
      <c r="C472" s="713" t="s">
        <v>8085</v>
      </c>
      <c r="D472" s="713" t="s">
        <v>34</v>
      </c>
      <c r="E472" s="713" t="s">
        <v>7410</v>
      </c>
    </row>
    <row r="473" spans="2:5" x14ac:dyDescent="0.2">
      <c r="B473" t="s">
        <v>6273</v>
      </c>
      <c r="C473" s="713" t="s">
        <v>8086</v>
      </c>
      <c r="D473" s="713" t="s">
        <v>34</v>
      </c>
      <c r="E473" s="713" t="s">
        <v>8087</v>
      </c>
    </row>
    <row r="474" spans="2:5" x14ac:dyDescent="0.2">
      <c r="B474" t="s">
        <v>6274</v>
      </c>
      <c r="C474" s="713" t="s">
        <v>8088</v>
      </c>
      <c r="D474" s="713" t="s">
        <v>34</v>
      </c>
      <c r="E474" s="713" t="s">
        <v>7458</v>
      </c>
    </row>
    <row r="475" spans="2:5" x14ac:dyDescent="0.2">
      <c r="B475" t="s">
        <v>6275</v>
      </c>
      <c r="C475" s="713" t="s">
        <v>8089</v>
      </c>
      <c r="D475" s="713" t="s">
        <v>34</v>
      </c>
      <c r="E475" s="713" t="s">
        <v>7410</v>
      </c>
    </row>
    <row r="476" spans="2:5" x14ac:dyDescent="0.2">
      <c r="B476" t="s">
        <v>6276</v>
      </c>
      <c r="C476" s="713" t="s">
        <v>8090</v>
      </c>
      <c r="D476" s="713" t="s">
        <v>34</v>
      </c>
      <c r="E476" s="713" t="s">
        <v>8091</v>
      </c>
    </row>
    <row r="477" spans="2:5" x14ac:dyDescent="0.2">
      <c r="B477" t="s">
        <v>6277</v>
      </c>
      <c r="C477" s="713" t="s">
        <v>8092</v>
      </c>
      <c r="D477" s="713" t="s">
        <v>34</v>
      </c>
      <c r="E477" s="713" t="s">
        <v>8093</v>
      </c>
    </row>
    <row r="478" spans="2:5" x14ac:dyDescent="0.2">
      <c r="B478" t="s">
        <v>6278</v>
      </c>
      <c r="C478" s="713" t="s">
        <v>8094</v>
      </c>
      <c r="D478" s="713" t="s">
        <v>34</v>
      </c>
      <c r="E478" s="713" t="s">
        <v>7396</v>
      </c>
    </row>
    <row r="479" spans="2:5" x14ac:dyDescent="0.2">
      <c r="B479" t="s">
        <v>6279</v>
      </c>
      <c r="C479" s="713" t="s">
        <v>8095</v>
      </c>
      <c r="D479" s="713" t="s">
        <v>34</v>
      </c>
      <c r="E479" s="713" t="s">
        <v>8096</v>
      </c>
    </row>
    <row r="480" spans="2:5" x14ac:dyDescent="0.2">
      <c r="B480" t="s">
        <v>6280</v>
      </c>
      <c r="C480" s="713" t="s">
        <v>8097</v>
      </c>
      <c r="D480" s="713" t="s">
        <v>34</v>
      </c>
      <c r="E480" s="713" t="s">
        <v>8098</v>
      </c>
    </row>
    <row r="481" spans="2:5" x14ac:dyDescent="0.2">
      <c r="B481" t="s">
        <v>6281</v>
      </c>
      <c r="C481" s="713" t="s">
        <v>8099</v>
      </c>
      <c r="D481" s="713" t="s">
        <v>34</v>
      </c>
      <c r="E481" s="713" t="s">
        <v>8100</v>
      </c>
    </row>
    <row r="482" spans="2:5" x14ac:dyDescent="0.2">
      <c r="B482" t="s">
        <v>6282</v>
      </c>
      <c r="C482" s="713" t="s">
        <v>8101</v>
      </c>
      <c r="D482" s="713" t="s">
        <v>34</v>
      </c>
      <c r="E482" s="713" t="s">
        <v>7524</v>
      </c>
    </row>
    <row r="483" spans="2:5" x14ac:dyDescent="0.2">
      <c r="B483" t="s">
        <v>6283</v>
      </c>
      <c r="C483" s="713" t="s">
        <v>8102</v>
      </c>
      <c r="D483" s="713" t="s">
        <v>34</v>
      </c>
      <c r="E483" s="713" t="s">
        <v>8103</v>
      </c>
    </row>
    <row r="484" spans="2:5" x14ac:dyDescent="0.2">
      <c r="B484" t="s">
        <v>6284</v>
      </c>
      <c r="C484" s="713" t="s">
        <v>8104</v>
      </c>
      <c r="D484" s="713" t="s">
        <v>34</v>
      </c>
      <c r="E484" s="713" t="s">
        <v>8070</v>
      </c>
    </row>
    <row r="485" spans="2:5" x14ac:dyDescent="0.2">
      <c r="B485" t="s">
        <v>6285</v>
      </c>
      <c r="C485" s="713" t="s">
        <v>8105</v>
      </c>
      <c r="D485" s="713" t="s">
        <v>34</v>
      </c>
      <c r="E485" s="713" t="s">
        <v>7429</v>
      </c>
    </row>
    <row r="486" spans="2:5" x14ac:dyDescent="0.2">
      <c r="B486" t="s">
        <v>6286</v>
      </c>
      <c r="C486" s="713" t="s">
        <v>8106</v>
      </c>
      <c r="D486" s="713" t="s">
        <v>34</v>
      </c>
      <c r="E486" s="713" t="s">
        <v>8107</v>
      </c>
    </row>
    <row r="487" spans="2:5" x14ac:dyDescent="0.2">
      <c r="B487" t="s">
        <v>6287</v>
      </c>
      <c r="C487" s="713" t="s">
        <v>8108</v>
      </c>
      <c r="D487" s="713" t="s">
        <v>34</v>
      </c>
      <c r="E487" s="713" t="s">
        <v>8070</v>
      </c>
    </row>
    <row r="488" spans="2:5" x14ac:dyDescent="0.2">
      <c r="B488" t="s">
        <v>6288</v>
      </c>
      <c r="C488" s="713" t="s">
        <v>8109</v>
      </c>
      <c r="D488" s="713" t="s">
        <v>34</v>
      </c>
      <c r="E488" s="713" t="s">
        <v>8110</v>
      </c>
    </row>
    <row r="489" spans="2:5" x14ac:dyDescent="0.2">
      <c r="B489" t="s">
        <v>6289</v>
      </c>
      <c r="C489" s="713" t="s">
        <v>8111</v>
      </c>
      <c r="D489" s="713" t="s">
        <v>34</v>
      </c>
      <c r="E489" s="713" t="s">
        <v>8112</v>
      </c>
    </row>
    <row r="490" spans="2:5" x14ac:dyDescent="0.2">
      <c r="B490" t="s">
        <v>6290</v>
      </c>
      <c r="C490" s="713" t="s">
        <v>8113</v>
      </c>
      <c r="D490" s="713" t="s">
        <v>34</v>
      </c>
      <c r="E490" s="713" t="s">
        <v>7412</v>
      </c>
    </row>
    <row r="491" spans="2:5" x14ac:dyDescent="0.2">
      <c r="B491" t="s">
        <v>6291</v>
      </c>
      <c r="C491" s="713" t="s">
        <v>8114</v>
      </c>
      <c r="D491" s="713" t="s">
        <v>34</v>
      </c>
      <c r="E491" s="713" t="s">
        <v>7573</v>
      </c>
    </row>
    <row r="492" spans="2:5" x14ac:dyDescent="0.2">
      <c r="B492" t="s">
        <v>6292</v>
      </c>
      <c r="C492" s="713" t="s">
        <v>8115</v>
      </c>
      <c r="D492" s="713" t="s">
        <v>34</v>
      </c>
      <c r="E492" s="713" t="s">
        <v>7644</v>
      </c>
    </row>
    <row r="493" spans="2:5" x14ac:dyDescent="0.2">
      <c r="B493" t="s">
        <v>6293</v>
      </c>
      <c r="C493" s="713" t="s">
        <v>8116</v>
      </c>
      <c r="D493" s="713" t="s">
        <v>34</v>
      </c>
      <c r="E493" s="713" t="s">
        <v>7573</v>
      </c>
    </row>
    <row r="494" spans="2:5" x14ac:dyDescent="0.2">
      <c r="B494" t="s">
        <v>1195</v>
      </c>
      <c r="C494" s="713" t="s">
        <v>8117</v>
      </c>
      <c r="D494" s="713" t="s">
        <v>34</v>
      </c>
      <c r="E494" s="713" t="s">
        <v>7412</v>
      </c>
    </row>
    <row r="495" spans="2:5" x14ac:dyDescent="0.2">
      <c r="B495" t="s">
        <v>1191</v>
      </c>
      <c r="C495" s="713" t="s">
        <v>8118</v>
      </c>
      <c r="D495" s="713" t="s">
        <v>34</v>
      </c>
      <c r="E495" s="713" t="s">
        <v>8119</v>
      </c>
    </row>
    <row r="496" spans="2:5" x14ac:dyDescent="0.2">
      <c r="B496" t="s">
        <v>6294</v>
      </c>
      <c r="C496" s="713" t="s">
        <v>8120</v>
      </c>
      <c r="D496" s="713" t="s">
        <v>34</v>
      </c>
      <c r="E496" s="713" t="s">
        <v>7490</v>
      </c>
    </row>
    <row r="497" spans="2:5" x14ac:dyDescent="0.2">
      <c r="B497" t="s">
        <v>6295</v>
      </c>
      <c r="C497" s="713" t="s">
        <v>8121</v>
      </c>
      <c r="D497" s="713" t="s">
        <v>34</v>
      </c>
      <c r="E497" s="713" t="s">
        <v>7412</v>
      </c>
    </row>
    <row r="498" spans="2:5" x14ac:dyDescent="0.2">
      <c r="B498" t="s">
        <v>6296</v>
      </c>
      <c r="C498" s="713" t="s">
        <v>8122</v>
      </c>
      <c r="D498" s="713" t="s">
        <v>34</v>
      </c>
      <c r="E498" s="713" t="s">
        <v>7442</v>
      </c>
    </row>
    <row r="499" spans="2:5" x14ac:dyDescent="0.2">
      <c r="B499" t="s">
        <v>6297</v>
      </c>
      <c r="C499" s="713" t="s">
        <v>8123</v>
      </c>
      <c r="D499" s="713" t="s">
        <v>34</v>
      </c>
      <c r="E499" s="713" t="s">
        <v>8124</v>
      </c>
    </row>
    <row r="500" spans="2:5" x14ac:dyDescent="0.2">
      <c r="B500" t="s">
        <v>6298</v>
      </c>
      <c r="C500" s="713" t="s">
        <v>8125</v>
      </c>
      <c r="D500" s="713" t="s">
        <v>34</v>
      </c>
      <c r="E500" s="713" t="s">
        <v>7442</v>
      </c>
    </row>
    <row r="501" spans="2:5" x14ac:dyDescent="0.2">
      <c r="B501" t="s">
        <v>6299</v>
      </c>
      <c r="C501" s="713" t="s">
        <v>8126</v>
      </c>
      <c r="D501" s="713" t="s">
        <v>34</v>
      </c>
      <c r="E501" s="713" t="s">
        <v>7847</v>
      </c>
    </row>
    <row r="502" spans="2:5" x14ac:dyDescent="0.2">
      <c r="B502" t="s">
        <v>6300</v>
      </c>
      <c r="C502" s="713" t="s">
        <v>8127</v>
      </c>
      <c r="D502" s="713" t="s">
        <v>34</v>
      </c>
      <c r="E502" s="713" t="s">
        <v>8128</v>
      </c>
    </row>
    <row r="503" spans="2:5" x14ac:dyDescent="0.2">
      <c r="B503" t="s">
        <v>6301</v>
      </c>
      <c r="C503" s="713" t="s">
        <v>8129</v>
      </c>
      <c r="D503" s="713" t="s">
        <v>34</v>
      </c>
      <c r="E503" s="713" t="s">
        <v>7795</v>
      </c>
    </row>
    <row r="504" spans="2:5" x14ac:dyDescent="0.2">
      <c r="B504" t="s">
        <v>1242</v>
      </c>
      <c r="C504" s="713" t="s">
        <v>8130</v>
      </c>
      <c r="D504" s="713" t="s">
        <v>34</v>
      </c>
      <c r="E504" s="713" t="s">
        <v>7507</v>
      </c>
    </row>
    <row r="505" spans="2:5" x14ac:dyDescent="0.2">
      <c r="B505" t="s">
        <v>6302</v>
      </c>
      <c r="C505" s="713" t="s">
        <v>8131</v>
      </c>
      <c r="D505" s="713" t="s">
        <v>34</v>
      </c>
      <c r="E505" s="713" t="s">
        <v>8132</v>
      </c>
    </row>
    <row r="506" spans="2:5" x14ac:dyDescent="0.2">
      <c r="B506" t="s">
        <v>6303</v>
      </c>
      <c r="C506" s="713" t="s">
        <v>8133</v>
      </c>
      <c r="D506" s="713" t="s">
        <v>34</v>
      </c>
      <c r="E506" s="713" t="s">
        <v>8096</v>
      </c>
    </row>
    <row r="507" spans="2:5" x14ac:dyDescent="0.2">
      <c r="B507" t="s">
        <v>6304</v>
      </c>
      <c r="C507" s="713" t="s">
        <v>8134</v>
      </c>
      <c r="D507" s="713" t="s">
        <v>34</v>
      </c>
      <c r="E507" s="713" t="s">
        <v>7614</v>
      </c>
    </row>
    <row r="508" spans="2:5" x14ac:dyDescent="0.2">
      <c r="B508" t="s">
        <v>6305</v>
      </c>
      <c r="C508" s="713" t="s">
        <v>8135</v>
      </c>
      <c r="D508" s="713" t="s">
        <v>34</v>
      </c>
      <c r="E508" s="713" t="s">
        <v>8136</v>
      </c>
    </row>
    <row r="509" spans="2:5" x14ac:dyDescent="0.2">
      <c r="B509" t="s">
        <v>6306</v>
      </c>
      <c r="C509" s="713" t="s">
        <v>8137</v>
      </c>
      <c r="D509" s="713" t="s">
        <v>34</v>
      </c>
      <c r="E509" s="713" t="s">
        <v>7642</v>
      </c>
    </row>
    <row r="510" spans="2:5" x14ac:dyDescent="0.2">
      <c r="B510" t="s">
        <v>6307</v>
      </c>
      <c r="C510" s="713" t="s">
        <v>8138</v>
      </c>
      <c r="D510" s="713" t="s">
        <v>34</v>
      </c>
      <c r="E510" s="713" t="s">
        <v>7934</v>
      </c>
    </row>
    <row r="511" spans="2:5" x14ac:dyDescent="0.2">
      <c r="B511" t="s">
        <v>6308</v>
      </c>
      <c r="C511" s="713" t="s">
        <v>8139</v>
      </c>
      <c r="D511" s="713" t="s">
        <v>34</v>
      </c>
      <c r="E511" s="713" t="s">
        <v>7442</v>
      </c>
    </row>
    <row r="512" spans="2:5" x14ac:dyDescent="0.2">
      <c r="B512" t="s">
        <v>6309</v>
      </c>
      <c r="C512" s="713" t="s">
        <v>8140</v>
      </c>
      <c r="D512" s="713" t="s">
        <v>34</v>
      </c>
      <c r="E512" s="713" t="s">
        <v>7546</v>
      </c>
    </row>
    <row r="513" spans="2:5" x14ac:dyDescent="0.2">
      <c r="B513" t="s">
        <v>6310</v>
      </c>
      <c r="C513" s="713" t="s">
        <v>8141</v>
      </c>
      <c r="D513" s="713" t="s">
        <v>34</v>
      </c>
      <c r="E513" s="713" t="s">
        <v>8142</v>
      </c>
    </row>
    <row r="514" spans="2:5" x14ac:dyDescent="0.2">
      <c r="B514" t="s">
        <v>6311</v>
      </c>
      <c r="C514" s="713" t="s">
        <v>8143</v>
      </c>
      <c r="D514" s="713" t="s">
        <v>34</v>
      </c>
      <c r="E514" s="713" t="s">
        <v>8144</v>
      </c>
    </row>
    <row r="515" spans="2:5" x14ac:dyDescent="0.2">
      <c r="B515" t="s">
        <v>6312</v>
      </c>
      <c r="C515" s="713" t="s">
        <v>8145</v>
      </c>
      <c r="D515" s="713" t="s">
        <v>34</v>
      </c>
      <c r="E515" s="713" t="s">
        <v>8146</v>
      </c>
    </row>
    <row r="516" spans="2:5" x14ac:dyDescent="0.2">
      <c r="B516" t="s">
        <v>6313</v>
      </c>
      <c r="C516" s="713" t="s">
        <v>8147</v>
      </c>
      <c r="D516" s="713" t="s">
        <v>34</v>
      </c>
      <c r="E516" s="713" t="s">
        <v>7396</v>
      </c>
    </row>
    <row r="517" spans="2:5" x14ac:dyDescent="0.2">
      <c r="B517" t="s">
        <v>6314</v>
      </c>
      <c r="C517" s="713" t="s">
        <v>8148</v>
      </c>
      <c r="D517" s="713" t="s">
        <v>34</v>
      </c>
      <c r="E517" s="713" t="s">
        <v>7564</v>
      </c>
    </row>
    <row r="518" spans="2:5" x14ac:dyDescent="0.2">
      <c r="B518" t="s">
        <v>6315</v>
      </c>
      <c r="C518" s="713" t="s">
        <v>8149</v>
      </c>
      <c r="D518" s="713" t="s">
        <v>34</v>
      </c>
      <c r="E518" s="713" t="s">
        <v>7454</v>
      </c>
    </row>
    <row r="519" spans="2:5" x14ac:dyDescent="0.2">
      <c r="B519" t="s">
        <v>6316</v>
      </c>
      <c r="C519" s="713" t="s">
        <v>8150</v>
      </c>
      <c r="D519" s="713" t="s">
        <v>34</v>
      </c>
      <c r="E519" s="713" t="s">
        <v>8151</v>
      </c>
    </row>
    <row r="520" spans="2:5" x14ac:dyDescent="0.2">
      <c r="B520" t="s">
        <v>6317</v>
      </c>
      <c r="C520" s="713" t="s">
        <v>8152</v>
      </c>
      <c r="D520" s="713" t="s">
        <v>34</v>
      </c>
      <c r="E520" s="713" t="s">
        <v>8153</v>
      </c>
    </row>
    <row r="521" spans="2:5" x14ac:dyDescent="0.2">
      <c r="B521" t="s">
        <v>6318</v>
      </c>
      <c r="C521" s="713" t="s">
        <v>8154</v>
      </c>
      <c r="D521" s="713" t="s">
        <v>34</v>
      </c>
      <c r="E521" s="713" t="s">
        <v>7416</v>
      </c>
    </row>
    <row r="522" spans="2:5" x14ac:dyDescent="0.2">
      <c r="B522" t="s">
        <v>6319</v>
      </c>
      <c r="C522" s="713" t="s">
        <v>8155</v>
      </c>
      <c r="D522" s="713" t="s">
        <v>8156</v>
      </c>
      <c r="E522" s="713" t="s">
        <v>8157</v>
      </c>
    </row>
    <row r="523" spans="2:5" x14ac:dyDescent="0.2">
      <c r="B523" t="s">
        <v>6320</v>
      </c>
      <c r="C523" s="713" t="s">
        <v>8158</v>
      </c>
      <c r="D523" s="713" t="s">
        <v>34</v>
      </c>
      <c r="E523" s="713" t="s">
        <v>7418</v>
      </c>
    </row>
    <row r="524" spans="2:5" x14ac:dyDescent="0.2">
      <c r="B524" t="s">
        <v>6321</v>
      </c>
      <c r="C524" s="713" t="s">
        <v>8159</v>
      </c>
      <c r="D524" s="713" t="s">
        <v>34</v>
      </c>
      <c r="E524" s="713" t="s">
        <v>7396</v>
      </c>
    </row>
    <row r="525" spans="2:5" x14ac:dyDescent="0.2">
      <c r="B525" t="s">
        <v>6322</v>
      </c>
      <c r="C525" s="713" t="s">
        <v>8160</v>
      </c>
      <c r="D525" s="713" t="s">
        <v>34</v>
      </c>
      <c r="E525" s="713" t="s">
        <v>7564</v>
      </c>
    </row>
    <row r="526" spans="2:5" x14ac:dyDescent="0.2">
      <c r="B526" t="s">
        <v>6323</v>
      </c>
      <c r="C526" s="713" t="s">
        <v>8161</v>
      </c>
      <c r="D526" s="713" t="s">
        <v>34</v>
      </c>
      <c r="E526" s="713" t="s">
        <v>8162</v>
      </c>
    </row>
    <row r="527" spans="2:5" x14ac:dyDescent="0.2">
      <c r="B527" t="s">
        <v>6324</v>
      </c>
      <c r="C527" s="713" t="s">
        <v>8163</v>
      </c>
      <c r="D527" s="713" t="s">
        <v>34</v>
      </c>
      <c r="E527" s="713" t="s">
        <v>7404</v>
      </c>
    </row>
    <row r="528" spans="2:5" x14ac:dyDescent="0.2">
      <c r="B528" t="s">
        <v>6325</v>
      </c>
      <c r="C528" s="713" t="s">
        <v>8164</v>
      </c>
      <c r="D528" s="713" t="s">
        <v>34</v>
      </c>
      <c r="E528" s="713" t="s">
        <v>7442</v>
      </c>
    </row>
    <row r="529" spans="2:5" x14ac:dyDescent="0.2">
      <c r="B529" t="s">
        <v>6326</v>
      </c>
      <c r="C529" s="713" t="s">
        <v>8165</v>
      </c>
      <c r="D529" s="713" t="s">
        <v>34</v>
      </c>
      <c r="E529" s="713" t="s">
        <v>7420</v>
      </c>
    </row>
    <row r="530" spans="2:5" x14ac:dyDescent="0.2">
      <c r="B530" t="s">
        <v>6327</v>
      </c>
      <c r="C530" s="713" t="s">
        <v>8166</v>
      </c>
      <c r="D530" s="713" t="s">
        <v>34</v>
      </c>
      <c r="E530" s="713" t="s">
        <v>8167</v>
      </c>
    </row>
    <row r="531" spans="2:5" x14ac:dyDescent="0.2">
      <c r="B531" t="s">
        <v>6328</v>
      </c>
      <c r="C531" s="713" t="s">
        <v>8168</v>
      </c>
      <c r="D531" s="713" t="s">
        <v>34</v>
      </c>
      <c r="E531" s="713" t="s">
        <v>7396</v>
      </c>
    </row>
    <row r="532" spans="2:5" x14ac:dyDescent="0.2">
      <c r="B532" t="s">
        <v>6329</v>
      </c>
      <c r="C532" s="713" t="s">
        <v>8169</v>
      </c>
      <c r="D532" s="713" t="s">
        <v>34</v>
      </c>
      <c r="E532" s="713" t="s">
        <v>8170</v>
      </c>
    </row>
    <row r="533" spans="2:5" x14ac:dyDescent="0.2">
      <c r="B533" t="s">
        <v>6330</v>
      </c>
      <c r="C533" s="713" t="s">
        <v>8171</v>
      </c>
      <c r="D533" s="713" t="s">
        <v>34</v>
      </c>
      <c r="E533" s="713" t="s">
        <v>8172</v>
      </c>
    </row>
    <row r="534" spans="2:5" x14ac:dyDescent="0.2">
      <c r="B534" t="s">
        <v>6331</v>
      </c>
      <c r="C534" s="713" t="s">
        <v>8173</v>
      </c>
      <c r="D534" s="713" t="s">
        <v>34</v>
      </c>
      <c r="E534" s="713" t="s">
        <v>7538</v>
      </c>
    </row>
    <row r="535" spans="2:5" x14ac:dyDescent="0.2">
      <c r="B535" t="s">
        <v>6332</v>
      </c>
      <c r="C535" s="713" t="s">
        <v>8174</v>
      </c>
      <c r="D535" s="713" t="s">
        <v>34</v>
      </c>
      <c r="E535" s="713" t="s">
        <v>7509</v>
      </c>
    </row>
    <row r="536" spans="2:5" x14ac:dyDescent="0.2">
      <c r="B536" t="s">
        <v>6333</v>
      </c>
      <c r="C536" s="713" t="s">
        <v>8175</v>
      </c>
      <c r="D536" s="713" t="s">
        <v>34</v>
      </c>
      <c r="E536" s="713" t="s">
        <v>8176</v>
      </c>
    </row>
    <row r="537" spans="2:5" x14ac:dyDescent="0.2">
      <c r="B537" t="s">
        <v>6334</v>
      </c>
      <c r="C537" s="713" t="s">
        <v>8177</v>
      </c>
      <c r="D537" s="713" t="s">
        <v>34</v>
      </c>
      <c r="E537" s="713" t="s">
        <v>7396</v>
      </c>
    </row>
    <row r="538" spans="2:5" x14ac:dyDescent="0.2">
      <c r="B538" t="s">
        <v>6335</v>
      </c>
      <c r="C538" s="713" t="s">
        <v>8178</v>
      </c>
      <c r="D538" s="713" t="s">
        <v>34</v>
      </c>
      <c r="E538" s="713" t="s">
        <v>7601</v>
      </c>
    </row>
    <row r="539" spans="2:5" x14ac:dyDescent="0.2">
      <c r="B539" t="s">
        <v>6336</v>
      </c>
      <c r="C539" s="713" t="s">
        <v>8179</v>
      </c>
      <c r="D539" s="713" t="s">
        <v>34</v>
      </c>
      <c r="E539" s="713" t="s">
        <v>7458</v>
      </c>
    </row>
    <row r="540" spans="2:5" x14ac:dyDescent="0.2">
      <c r="B540" t="s">
        <v>6337</v>
      </c>
      <c r="C540" s="713" t="s">
        <v>34</v>
      </c>
      <c r="D540" s="713" t="s">
        <v>34</v>
      </c>
      <c r="E540" s="713" t="s">
        <v>7611</v>
      </c>
    </row>
    <row r="541" spans="2:5" x14ac:dyDescent="0.2">
      <c r="B541" t="s">
        <v>6338</v>
      </c>
      <c r="C541" s="713" t="s">
        <v>8180</v>
      </c>
      <c r="D541" s="713" t="s">
        <v>34</v>
      </c>
      <c r="E541" s="713" t="s">
        <v>7667</v>
      </c>
    </row>
    <row r="542" spans="2:5" x14ac:dyDescent="0.2">
      <c r="B542" t="s">
        <v>6339</v>
      </c>
      <c r="C542" s="713" t="s">
        <v>8181</v>
      </c>
      <c r="D542" s="713" t="s">
        <v>34</v>
      </c>
      <c r="E542" s="713" t="s">
        <v>7420</v>
      </c>
    </row>
    <row r="543" spans="2:5" x14ac:dyDescent="0.2">
      <c r="B543" t="s">
        <v>6340</v>
      </c>
      <c r="C543" s="713" t="s">
        <v>8181</v>
      </c>
      <c r="D543" s="713" t="s">
        <v>34</v>
      </c>
      <c r="E543" s="713" t="s">
        <v>7420</v>
      </c>
    </row>
    <row r="544" spans="2:5" x14ac:dyDescent="0.2">
      <c r="B544" t="s">
        <v>6341</v>
      </c>
      <c r="C544" s="713" t="s">
        <v>8182</v>
      </c>
      <c r="D544" s="713" t="s">
        <v>34</v>
      </c>
      <c r="E544" s="713" t="s">
        <v>7458</v>
      </c>
    </row>
    <row r="545" spans="2:5" x14ac:dyDescent="0.2">
      <c r="B545" t="s">
        <v>6342</v>
      </c>
      <c r="C545" s="713" t="s">
        <v>8183</v>
      </c>
      <c r="D545" s="713" t="s">
        <v>34</v>
      </c>
      <c r="E545" s="713" t="s">
        <v>8184</v>
      </c>
    </row>
    <row r="546" spans="2:5" x14ac:dyDescent="0.2">
      <c r="B546" t="s">
        <v>1249</v>
      </c>
      <c r="C546" s="713" t="s">
        <v>8185</v>
      </c>
      <c r="D546" s="713" t="s">
        <v>34</v>
      </c>
      <c r="E546" s="713" t="s">
        <v>8053</v>
      </c>
    </row>
    <row r="547" spans="2:5" x14ac:dyDescent="0.2">
      <c r="B547" t="s">
        <v>6343</v>
      </c>
      <c r="C547" s="713" t="s">
        <v>8186</v>
      </c>
      <c r="D547" s="713" t="s">
        <v>34</v>
      </c>
      <c r="E547" s="713" t="s">
        <v>8187</v>
      </c>
    </row>
    <row r="548" spans="2:5" x14ac:dyDescent="0.2">
      <c r="B548" t="s">
        <v>6344</v>
      </c>
      <c r="C548" s="713" t="s">
        <v>8188</v>
      </c>
      <c r="D548" s="713" t="s">
        <v>34</v>
      </c>
      <c r="E548" s="713" t="s">
        <v>7410</v>
      </c>
    </row>
    <row r="549" spans="2:5" x14ac:dyDescent="0.2">
      <c r="B549" t="s">
        <v>6345</v>
      </c>
      <c r="C549" s="713" t="s">
        <v>8189</v>
      </c>
      <c r="D549" s="713" t="s">
        <v>34</v>
      </c>
      <c r="E549" s="713" t="s">
        <v>7442</v>
      </c>
    </row>
    <row r="550" spans="2:5" x14ac:dyDescent="0.2">
      <c r="B550" t="s">
        <v>6346</v>
      </c>
      <c r="C550" s="713" t="s">
        <v>8190</v>
      </c>
      <c r="D550" s="713" t="s">
        <v>34</v>
      </c>
      <c r="E550" s="713" t="s">
        <v>8191</v>
      </c>
    </row>
    <row r="551" spans="2:5" x14ac:dyDescent="0.2">
      <c r="B551" t="s">
        <v>6347</v>
      </c>
      <c r="C551" s="713" t="s">
        <v>8192</v>
      </c>
      <c r="D551" s="713" t="s">
        <v>34</v>
      </c>
      <c r="E551" s="713" t="s">
        <v>7741</v>
      </c>
    </row>
    <row r="552" spans="2:5" x14ac:dyDescent="0.2">
      <c r="B552" t="s">
        <v>6348</v>
      </c>
      <c r="C552" s="713" t="s">
        <v>8193</v>
      </c>
      <c r="D552" s="713" t="s">
        <v>34</v>
      </c>
      <c r="E552" s="713" t="s">
        <v>7564</v>
      </c>
    </row>
    <row r="553" spans="2:5" x14ac:dyDescent="0.2">
      <c r="B553" t="s">
        <v>6349</v>
      </c>
      <c r="C553" s="713" t="s">
        <v>8194</v>
      </c>
      <c r="D553" s="713" t="s">
        <v>34</v>
      </c>
      <c r="E553" s="713" t="s">
        <v>7418</v>
      </c>
    </row>
    <row r="554" spans="2:5" x14ac:dyDescent="0.2">
      <c r="B554" t="s">
        <v>6350</v>
      </c>
      <c r="C554" s="713" t="s">
        <v>8195</v>
      </c>
      <c r="D554" s="713" t="s">
        <v>34</v>
      </c>
      <c r="E554" s="713" t="s">
        <v>8018</v>
      </c>
    </row>
    <row r="555" spans="2:5" x14ac:dyDescent="0.2">
      <c r="B555" t="s">
        <v>2370</v>
      </c>
      <c r="C555" s="713" t="s">
        <v>8196</v>
      </c>
      <c r="D555" s="713" t="s">
        <v>34</v>
      </c>
      <c r="E555" s="713" t="s">
        <v>8197</v>
      </c>
    </row>
    <row r="556" spans="2:5" x14ac:dyDescent="0.2">
      <c r="B556" t="s">
        <v>6351</v>
      </c>
      <c r="C556" s="713" t="s">
        <v>8198</v>
      </c>
      <c r="D556" s="713" t="s">
        <v>34</v>
      </c>
      <c r="E556" s="713" t="s">
        <v>8191</v>
      </c>
    </row>
    <row r="557" spans="2:5" x14ac:dyDescent="0.2">
      <c r="B557" t="s">
        <v>6352</v>
      </c>
      <c r="C557" s="713" t="s">
        <v>8199</v>
      </c>
      <c r="D557" s="713" t="s">
        <v>34</v>
      </c>
      <c r="E557" s="713" t="s">
        <v>7614</v>
      </c>
    </row>
    <row r="558" spans="2:5" x14ac:dyDescent="0.2">
      <c r="B558" t="s">
        <v>6353</v>
      </c>
      <c r="C558" s="713" t="s">
        <v>8200</v>
      </c>
      <c r="D558" s="713" t="s">
        <v>34</v>
      </c>
      <c r="E558" s="713" t="s">
        <v>7614</v>
      </c>
    </row>
    <row r="559" spans="2:5" x14ac:dyDescent="0.2">
      <c r="B559" t="s">
        <v>6354</v>
      </c>
      <c r="C559" s="713" t="s">
        <v>8201</v>
      </c>
      <c r="D559" s="713" t="s">
        <v>34</v>
      </c>
      <c r="E559" s="713" t="s">
        <v>8202</v>
      </c>
    </row>
    <row r="560" spans="2:5" x14ac:dyDescent="0.2">
      <c r="B560" t="s">
        <v>6355</v>
      </c>
      <c r="C560" s="713" t="s">
        <v>8203</v>
      </c>
      <c r="D560" s="713" t="s">
        <v>34</v>
      </c>
      <c r="E560" s="713" t="s">
        <v>8204</v>
      </c>
    </row>
    <row r="561" spans="2:5" x14ac:dyDescent="0.2">
      <c r="B561" t="s">
        <v>6356</v>
      </c>
      <c r="C561" s="713" t="s">
        <v>8205</v>
      </c>
      <c r="D561" s="713" t="s">
        <v>34</v>
      </c>
      <c r="E561" s="713" t="s">
        <v>7644</v>
      </c>
    </row>
    <row r="562" spans="2:5" x14ac:dyDescent="0.2">
      <c r="B562" t="s">
        <v>6357</v>
      </c>
      <c r="C562" s="713" t="s">
        <v>8206</v>
      </c>
      <c r="D562" s="713" t="s">
        <v>34</v>
      </c>
      <c r="E562" s="713" t="s">
        <v>7644</v>
      </c>
    </row>
    <row r="563" spans="2:5" x14ac:dyDescent="0.2">
      <c r="B563" t="s">
        <v>6358</v>
      </c>
      <c r="C563" s="713" t="s">
        <v>8207</v>
      </c>
      <c r="D563" s="713" t="s">
        <v>34</v>
      </c>
      <c r="E563" s="713" t="s">
        <v>7410</v>
      </c>
    </row>
    <row r="564" spans="2:5" x14ac:dyDescent="0.2">
      <c r="B564" t="s">
        <v>6359</v>
      </c>
      <c r="C564" s="713" t="s">
        <v>8208</v>
      </c>
      <c r="D564" s="713" t="s">
        <v>34</v>
      </c>
      <c r="E564" s="713" t="s">
        <v>7614</v>
      </c>
    </row>
    <row r="565" spans="2:5" x14ac:dyDescent="0.2">
      <c r="B565" t="s">
        <v>1246</v>
      </c>
      <c r="C565" s="713" t="s">
        <v>8209</v>
      </c>
      <c r="D565" s="713" t="s">
        <v>34</v>
      </c>
      <c r="E565" s="713" t="s">
        <v>8210</v>
      </c>
    </row>
    <row r="566" spans="2:5" x14ac:dyDescent="0.2">
      <c r="B566" t="s">
        <v>6360</v>
      </c>
      <c r="C566" s="713" t="s">
        <v>8211</v>
      </c>
      <c r="D566" s="713" t="s">
        <v>34</v>
      </c>
      <c r="E566" s="713" t="s">
        <v>7418</v>
      </c>
    </row>
    <row r="567" spans="2:5" x14ac:dyDescent="0.2">
      <c r="B567" t="s">
        <v>6361</v>
      </c>
      <c r="C567" s="713" t="s">
        <v>8212</v>
      </c>
      <c r="D567" s="713" t="s">
        <v>34</v>
      </c>
      <c r="E567" s="713" t="s">
        <v>8213</v>
      </c>
    </row>
    <row r="568" spans="2:5" x14ac:dyDescent="0.2">
      <c r="B568" t="s">
        <v>6362</v>
      </c>
      <c r="C568" s="713" t="s">
        <v>8214</v>
      </c>
      <c r="D568" s="713" t="s">
        <v>34</v>
      </c>
      <c r="E568" s="713" t="s">
        <v>8215</v>
      </c>
    </row>
    <row r="569" spans="2:5" x14ac:dyDescent="0.2">
      <c r="B569" t="s">
        <v>6363</v>
      </c>
      <c r="C569" s="713" t="s">
        <v>8216</v>
      </c>
      <c r="D569" s="713" t="s">
        <v>34</v>
      </c>
      <c r="E569" s="713" t="s">
        <v>8215</v>
      </c>
    </row>
    <row r="570" spans="2:5" x14ac:dyDescent="0.2">
      <c r="B570" t="s">
        <v>6364</v>
      </c>
      <c r="C570" s="713" t="s">
        <v>8217</v>
      </c>
      <c r="D570" s="713" t="s">
        <v>34</v>
      </c>
      <c r="E570" s="713" t="s">
        <v>8218</v>
      </c>
    </row>
    <row r="571" spans="2:5" x14ac:dyDescent="0.2">
      <c r="B571" t="s">
        <v>6365</v>
      </c>
      <c r="C571" s="713" t="s">
        <v>8219</v>
      </c>
      <c r="D571" s="713" t="s">
        <v>34</v>
      </c>
      <c r="E571" s="713" t="s">
        <v>7822</v>
      </c>
    </row>
    <row r="572" spans="2:5" x14ac:dyDescent="0.2">
      <c r="B572" t="s">
        <v>6366</v>
      </c>
      <c r="C572" s="713" t="s">
        <v>8220</v>
      </c>
      <c r="D572" s="713" t="s">
        <v>34</v>
      </c>
      <c r="E572" s="713" t="s">
        <v>7416</v>
      </c>
    </row>
    <row r="573" spans="2:5" x14ac:dyDescent="0.2">
      <c r="B573" t="s">
        <v>6367</v>
      </c>
      <c r="C573" s="713" t="s">
        <v>8221</v>
      </c>
      <c r="D573" s="713" t="s">
        <v>34</v>
      </c>
      <c r="E573" s="713" t="s">
        <v>8222</v>
      </c>
    </row>
    <row r="574" spans="2:5" x14ac:dyDescent="0.2">
      <c r="B574" t="s">
        <v>6368</v>
      </c>
      <c r="C574" s="713" t="s">
        <v>8223</v>
      </c>
      <c r="D574" s="713" t="s">
        <v>34</v>
      </c>
      <c r="E574" s="713" t="s">
        <v>8224</v>
      </c>
    </row>
    <row r="575" spans="2:5" x14ac:dyDescent="0.2">
      <c r="B575" t="s">
        <v>6369</v>
      </c>
      <c r="C575" s="713" t="s">
        <v>8225</v>
      </c>
      <c r="D575" s="713" t="s">
        <v>34</v>
      </c>
      <c r="E575" s="713" t="s">
        <v>8226</v>
      </c>
    </row>
    <row r="576" spans="2:5" x14ac:dyDescent="0.2">
      <c r="B576" t="s">
        <v>6370</v>
      </c>
      <c r="C576" s="713" t="s">
        <v>8227</v>
      </c>
      <c r="D576" s="713" t="s">
        <v>34</v>
      </c>
      <c r="E576" s="713" t="s">
        <v>8228</v>
      </c>
    </row>
    <row r="577" spans="2:5" x14ac:dyDescent="0.2">
      <c r="B577" t="s">
        <v>6371</v>
      </c>
      <c r="C577" s="713" t="s">
        <v>8229</v>
      </c>
      <c r="D577" s="713" t="s">
        <v>34</v>
      </c>
      <c r="E577" s="713" t="s">
        <v>8230</v>
      </c>
    </row>
    <row r="578" spans="2:5" x14ac:dyDescent="0.2">
      <c r="B578" t="s">
        <v>6372</v>
      </c>
      <c r="C578" s="713" t="s">
        <v>8231</v>
      </c>
      <c r="D578" s="713" t="s">
        <v>34</v>
      </c>
      <c r="E578" s="713" t="s">
        <v>8232</v>
      </c>
    </row>
    <row r="579" spans="2:5" x14ac:dyDescent="0.2">
      <c r="B579" t="s">
        <v>6373</v>
      </c>
      <c r="C579" s="713" t="s">
        <v>8233</v>
      </c>
      <c r="D579" s="713" t="s">
        <v>34</v>
      </c>
      <c r="E579" s="713" t="s">
        <v>7394</v>
      </c>
    </row>
    <row r="580" spans="2:5" x14ac:dyDescent="0.2">
      <c r="B580" t="s">
        <v>6374</v>
      </c>
      <c r="C580" s="713" t="s">
        <v>8234</v>
      </c>
      <c r="D580" s="713" t="s">
        <v>34</v>
      </c>
      <c r="E580" s="713" t="s">
        <v>7412</v>
      </c>
    </row>
    <row r="581" spans="2:5" x14ac:dyDescent="0.2">
      <c r="B581" t="s">
        <v>6375</v>
      </c>
      <c r="C581" s="713" t="s">
        <v>8235</v>
      </c>
      <c r="D581" s="713" t="s">
        <v>34</v>
      </c>
      <c r="E581" s="713" t="s">
        <v>7546</v>
      </c>
    </row>
    <row r="582" spans="2:5" x14ac:dyDescent="0.2">
      <c r="B582" t="s">
        <v>6376</v>
      </c>
      <c r="C582" s="713" t="s">
        <v>8236</v>
      </c>
      <c r="D582" s="713" t="s">
        <v>34</v>
      </c>
      <c r="E582" s="713" t="s">
        <v>7741</v>
      </c>
    </row>
    <row r="583" spans="2:5" x14ac:dyDescent="0.2">
      <c r="B583" t="s">
        <v>6377</v>
      </c>
      <c r="C583" s="713" t="s">
        <v>8237</v>
      </c>
      <c r="D583" s="713" t="s">
        <v>34</v>
      </c>
      <c r="E583" s="713" t="s">
        <v>7509</v>
      </c>
    </row>
    <row r="584" spans="2:5" x14ac:dyDescent="0.2">
      <c r="B584" t="s">
        <v>6378</v>
      </c>
      <c r="C584" s="713" t="s">
        <v>8238</v>
      </c>
      <c r="D584" s="713" t="s">
        <v>34</v>
      </c>
      <c r="E584" s="713" t="s">
        <v>7546</v>
      </c>
    </row>
    <row r="585" spans="2:5" x14ac:dyDescent="0.2">
      <c r="B585" t="s">
        <v>6379</v>
      </c>
      <c r="C585" s="713" t="s">
        <v>8239</v>
      </c>
      <c r="D585" s="713" t="s">
        <v>34</v>
      </c>
      <c r="E585" s="713" t="s">
        <v>8240</v>
      </c>
    </row>
    <row r="586" spans="2:5" x14ac:dyDescent="0.2">
      <c r="B586" t="s">
        <v>6380</v>
      </c>
      <c r="C586" s="713" t="s">
        <v>8241</v>
      </c>
      <c r="D586" s="713" t="s">
        <v>34</v>
      </c>
      <c r="E586" s="713" t="s">
        <v>8242</v>
      </c>
    </row>
    <row r="587" spans="2:5" x14ac:dyDescent="0.2">
      <c r="B587" t="s">
        <v>6381</v>
      </c>
      <c r="C587" s="713" t="s">
        <v>8243</v>
      </c>
      <c r="D587" s="713" t="s">
        <v>34</v>
      </c>
      <c r="E587" s="713" t="s">
        <v>7495</v>
      </c>
    </row>
    <row r="588" spans="2:5" x14ac:dyDescent="0.2">
      <c r="B588" t="s">
        <v>6382</v>
      </c>
      <c r="C588" s="713" t="s">
        <v>8244</v>
      </c>
      <c r="D588" s="713" t="s">
        <v>34</v>
      </c>
      <c r="E588" s="713" t="s">
        <v>8245</v>
      </c>
    </row>
    <row r="589" spans="2:5" x14ac:dyDescent="0.2">
      <c r="B589" t="s">
        <v>6383</v>
      </c>
      <c r="C589" s="713" t="s">
        <v>8246</v>
      </c>
      <c r="D589" s="713" t="s">
        <v>34</v>
      </c>
      <c r="E589" s="713" t="s">
        <v>8247</v>
      </c>
    </row>
    <row r="590" spans="2:5" x14ac:dyDescent="0.2">
      <c r="B590" t="s">
        <v>6384</v>
      </c>
      <c r="C590" s="713" t="s">
        <v>8248</v>
      </c>
      <c r="D590" s="713" t="s">
        <v>34</v>
      </c>
      <c r="E590" s="713" t="s">
        <v>8249</v>
      </c>
    </row>
    <row r="591" spans="2:5" x14ac:dyDescent="0.2">
      <c r="B591" t="s">
        <v>6385</v>
      </c>
      <c r="C591" s="713" t="s">
        <v>8250</v>
      </c>
      <c r="D591" s="713" t="s">
        <v>34</v>
      </c>
      <c r="E591" s="713" t="s">
        <v>8251</v>
      </c>
    </row>
    <row r="592" spans="2:5" x14ac:dyDescent="0.2">
      <c r="B592" t="s">
        <v>6386</v>
      </c>
      <c r="C592" s="713" t="s">
        <v>8252</v>
      </c>
      <c r="D592" s="713" t="s">
        <v>34</v>
      </c>
      <c r="E592" s="713" t="s">
        <v>8253</v>
      </c>
    </row>
    <row r="593" spans="2:5" x14ac:dyDescent="0.2">
      <c r="B593" t="s">
        <v>6387</v>
      </c>
      <c r="C593" s="713" t="s">
        <v>8254</v>
      </c>
      <c r="D593" s="713" t="s">
        <v>34</v>
      </c>
      <c r="E593" s="713" t="s">
        <v>8255</v>
      </c>
    </row>
    <row r="594" spans="2:5" x14ac:dyDescent="0.2">
      <c r="B594" t="s">
        <v>6388</v>
      </c>
      <c r="C594" s="713" t="s">
        <v>8256</v>
      </c>
      <c r="D594" s="713" t="s">
        <v>34</v>
      </c>
      <c r="E594" s="713" t="s">
        <v>7396</v>
      </c>
    </row>
    <row r="595" spans="2:5" x14ac:dyDescent="0.2">
      <c r="B595" t="s">
        <v>6389</v>
      </c>
      <c r="C595" s="713" t="s">
        <v>8257</v>
      </c>
      <c r="D595" s="713" t="s">
        <v>34</v>
      </c>
      <c r="E595" s="713" t="s">
        <v>7410</v>
      </c>
    </row>
    <row r="596" spans="2:5" x14ac:dyDescent="0.2">
      <c r="B596" t="s">
        <v>6390</v>
      </c>
      <c r="C596" s="713" t="s">
        <v>8258</v>
      </c>
      <c r="D596" s="713" t="s">
        <v>34</v>
      </c>
      <c r="E596" s="713" t="s">
        <v>7779</v>
      </c>
    </row>
    <row r="597" spans="2:5" x14ac:dyDescent="0.2">
      <c r="B597" t="s">
        <v>6391</v>
      </c>
      <c r="C597" s="713" t="s">
        <v>8259</v>
      </c>
      <c r="D597" s="713" t="s">
        <v>34</v>
      </c>
      <c r="E597" s="713" t="s">
        <v>7442</v>
      </c>
    </row>
    <row r="598" spans="2:5" x14ac:dyDescent="0.2">
      <c r="B598" t="s">
        <v>6392</v>
      </c>
      <c r="C598" s="713" t="s">
        <v>8260</v>
      </c>
      <c r="D598" s="713" t="s">
        <v>34</v>
      </c>
      <c r="E598" s="713" t="s">
        <v>8261</v>
      </c>
    </row>
    <row r="599" spans="2:5" x14ac:dyDescent="0.2">
      <c r="B599" t="s">
        <v>6393</v>
      </c>
      <c r="C599" s="713" t="s">
        <v>8262</v>
      </c>
      <c r="D599" s="713" t="s">
        <v>34</v>
      </c>
      <c r="E599" s="713" t="s">
        <v>8263</v>
      </c>
    </row>
    <row r="600" spans="2:5" x14ac:dyDescent="0.2">
      <c r="B600" t="s">
        <v>6394</v>
      </c>
      <c r="C600" s="713" t="s">
        <v>8264</v>
      </c>
      <c r="D600" s="713" t="s">
        <v>34</v>
      </c>
      <c r="E600" s="713" t="s">
        <v>8265</v>
      </c>
    </row>
    <row r="601" spans="2:5" x14ac:dyDescent="0.2">
      <c r="B601" t="s">
        <v>6395</v>
      </c>
      <c r="C601" s="713" t="s">
        <v>8266</v>
      </c>
      <c r="D601" s="713" t="s">
        <v>34</v>
      </c>
      <c r="E601" s="713" t="s">
        <v>8267</v>
      </c>
    </row>
    <row r="602" spans="2:5" x14ac:dyDescent="0.2">
      <c r="B602" t="s">
        <v>6396</v>
      </c>
      <c r="C602" s="713" t="s">
        <v>8268</v>
      </c>
      <c r="D602" s="713" t="s">
        <v>34</v>
      </c>
      <c r="E602" s="713" t="s">
        <v>8269</v>
      </c>
    </row>
    <row r="603" spans="2:5" x14ac:dyDescent="0.2">
      <c r="B603" t="s">
        <v>6397</v>
      </c>
      <c r="C603" s="713" t="s">
        <v>8270</v>
      </c>
      <c r="D603" s="713" t="s">
        <v>34</v>
      </c>
      <c r="E603" s="713" t="s">
        <v>7394</v>
      </c>
    </row>
    <row r="604" spans="2:5" x14ac:dyDescent="0.2">
      <c r="B604" t="s">
        <v>6398</v>
      </c>
      <c r="C604" s="713" t="s">
        <v>8271</v>
      </c>
      <c r="D604" s="713" t="s">
        <v>34</v>
      </c>
      <c r="E604" s="713" t="s">
        <v>7546</v>
      </c>
    </row>
    <row r="605" spans="2:5" x14ac:dyDescent="0.2">
      <c r="B605" t="s">
        <v>6399</v>
      </c>
      <c r="C605" s="713" t="s">
        <v>5518</v>
      </c>
      <c r="D605" s="713" t="s">
        <v>34</v>
      </c>
      <c r="E605" s="713" t="s">
        <v>8272</v>
      </c>
    </row>
    <row r="606" spans="2:5" x14ac:dyDescent="0.2">
      <c r="B606" t="s">
        <v>6400</v>
      </c>
      <c r="C606" s="713" t="s">
        <v>8273</v>
      </c>
      <c r="D606" s="713" t="s">
        <v>34</v>
      </c>
      <c r="E606" s="713" t="s">
        <v>8274</v>
      </c>
    </row>
    <row r="607" spans="2:5" x14ac:dyDescent="0.2">
      <c r="B607" t="s">
        <v>6401</v>
      </c>
      <c r="C607" s="713" t="s">
        <v>8275</v>
      </c>
      <c r="D607" s="713" t="s">
        <v>34</v>
      </c>
      <c r="E607" s="713" t="s">
        <v>7484</v>
      </c>
    </row>
    <row r="608" spans="2:5" x14ac:dyDescent="0.2">
      <c r="B608" t="s">
        <v>6402</v>
      </c>
      <c r="C608" s="713" t="s">
        <v>8276</v>
      </c>
      <c r="D608" s="713" t="s">
        <v>34</v>
      </c>
      <c r="E608" s="713" t="s">
        <v>7895</v>
      </c>
    </row>
    <row r="609" spans="2:5" x14ac:dyDescent="0.2">
      <c r="B609" t="s">
        <v>6403</v>
      </c>
      <c r="C609" s="713" t="s">
        <v>8277</v>
      </c>
      <c r="D609" s="713" t="s">
        <v>34</v>
      </c>
      <c r="E609" s="713" t="s">
        <v>8278</v>
      </c>
    </row>
    <row r="610" spans="2:5" x14ac:dyDescent="0.2">
      <c r="B610" t="s">
        <v>6404</v>
      </c>
      <c r="C610" s="713" t="s">
        <v>8279</v>
      </c>
      <c r="D610" s="713" t="s">
        <v>34</v>
      </c>
      <c r="E610" s="713" t="s">
        <v>7444</v>
      </c>
    </row>
    <row r="611" spans="2:5" x14ac:dyDescent="0.2">
      <c r="B611" t="s">
        <v>6405</v>
      </c>
      <c r="C611" s="713" t="s">
        <v>8280</v>
      </c>
      <c r="D611" s="713" t="s">
        <v>34</v>
      </c>
      <c r="E611" s="713" t="s">
        <v>7464</v>
      </c>
    </row>
    <row r="612" spans="2:5" x14ac:dyDescent="0.2">
      <c r="B612" t="s">
        <v>6406</v>
      </c>
      <c r="C612" s="713" t="s">
        <v>8281</v>
      </c>
      <c r="D612" s="713" t="s">
        <v>34</v>
      </c>
      <c r="E612" s="713" t="s">
        <v>7604</v>
      </c>
    </row>
    <row r="613" spans="2:5" x14ac:dyDescent="0.2">
      <c r="B613" t="s">
        <v>6407</v>
      </c>
      <c r="C613" s="713" t="s">
        <v>8282</v>
      </c>
      <c r="D613" s="713" t="s">
        <v>34</v>
      </c>
      <c r="E613" s="713" t="s">
        <v>8283</v>
      </c>
    </row>
    <row r="614" spans="2:5" x14ac:dyDescent="0.2">
      <c r="B614" t="s">
        <v>1284</v>
      </c>
      <c r="C614" s="713" t="s">
        <v>8284</v>
      </c>
      <c r="D614" s="713" t="s">
        <v>34</v>
      </c>
      <c r="E614" s="713" t="s">
        <v>8285</v>
      </c>
    </row>
    <row r="615" spans="2:5" x14ac:dyDescent="0.2">
      <c r="B615" t="s">
        <v>6408</v>
      </c>
      <c r="C615" s="713" t="s">
        <v>8286</v>
      </c>
      <c r="D615" s="713" t="s">
        <v>34</v>
      </c>
      <c r="E615" s="713" t="s">
        <v>7410</v>
      </c>
    </row>
    <row r="616" spans="2:5" x14ac:dyDescent="0.2">
      <c r="B616" t="s">
        <v>6409</v>
      </c>
      <c r="C616" s="713" t="s">
        <v>8287</v>
      </c>
      <c r="D616" s="713" t="s">
        <v>34</v>
      </c>
      <c r="E616" s="713" t="s">
        <v>7546</v>
      </c>
    </row>
    <row r="617" spans="2:5" x14ac:dyDescent="0.2">
      <c r="B617" t="s">
        <v>6410</v>
      </c>
      <c r="C617" s="713" t="s">
        <v>8288</v>
      </c>
      <c r="D617" s="713" t="s">
        <v>34</v>
      </c>
      <c r="E617" s="713" t="s">
        <v>7396</v>
      </c>
    </row>
    <row r="618" spans="2:5" x14ac:dyDescent="0.2">
      <c r="B618" t="s">
        <v>6411</v>
      </c>
      <c r="C618" s="713" t="s">
        <v>8289</v>
      </c>
      <c r="D618" s="713" t="s">
        <v>34</v>
      </c>
      <c r="E618" s="713" t="s">
        <v>8290</v>
      </c>
    </row>
    <row r="619" spans="2:5" x14ac:dyDescent="0.2">
      <c r="B619" t="s">
        <v>6412</v>
      </c>
      <c r="C619" s="713" t="s">
        <v>8291</v>
      </c>
      <c r="D619" s="713" t="s">
        <v>34</v>
      </c>
      <c r="E619" s="713" t="s">
        <v>8292</v>
      </c>
    </row>
    <row r="620" spans="2:5" x14ac:dyDescent="0.2">
      <c r="B620" t="s">
        <v>6413</v>
      </c>
      <c r="C620" s="713" t="s">
        <v>7554</v>
      </c>
      <c r="D620" s="713" t="s">
        <v>34</v>
      </c>
      <c r="E620" s="713" t="s">
        <v>7404</v>
      </c>
    </row>
    <row r="621" spans="2:5" x14ac:dyDescent="0.2">
      <c r="B621" t="s">
        <v>6414</v>
      </c>
      <c r="C621" s="713" t="s">
        <v>8293</v>
      </c>
      <c r="D621" s="713" t="s">
        <v>34</v>
      </c>
      <c r="E621" s="713" t="s">
        <v>7404</v>
      </c>
    </row>
    <row r="622" spans="2:5" x14ac:dyDescent="0.2">
      <c r="B622" t="s">
        <v>1280</v>
      </c>
      <c r="C622" s="713" t="s">
        <v>8294</v>
      </c>
      <c r="D622" s="713" t="s">
        <v>34</v>
      </c>
      <c r="E622" s="713" t="s">
        <v>7546</v>
      </c>
    </row>
    <row r="623" spans="2:5" x14ac:dyDescent="0.2">
      <c r="B623" t="s">
        <v>6415</v>
      </c>
      <c r="C623" s="713" t="s">
        <v>8295</v>
      </c>
      <c r="D623" s="713" t="s">
        <v>34</v>
      </c>
      <c r="E623" s="713" t="s">
        <v>7734</v>
      </c>
    </row>
    <row r="624" spans="2:5" x14ac:dyDescent="0.2">
      <c r="B624" t="s">
        <v>1254</v>
      </c>
      <c r="C624" s="713" t="s">
        <v>8296</v>
      </c>
      <c r="D624" s="713" t="s">
        <v>34</v>
      </c>
      <c r="E624" s="713" t="s">
        <v>7396</v>
      </c>
    </row>
    <row r="625" spans="2:5" x14ac:dyDescent="0.2">
      <c r="B625" t="s">
        <v>6416</v>
      </c>
      <c r="C625" s="713" t="s">
        <v>8297</v>
      </c>
      <c r="D625" s="713" t="s">
        <v>34</v>
      </c>
      <c r="E625" s="713" t="s">
        <v>7442</v>
      </c>
    </row>
    <row r="626" spans="2:5" x14ac:dyDescent="0.2">
      <c r="B626" t="s">
        <v>1903</v>
      </c>
      <c r="C626" s="713" t="s">
        <v>8298</v>
      </c>
      <c r="D626" s="713" t="s">
        <v>34</v>
      </c>
      <c r="E626" s="713" t="s">
        <v>7396</v>
      </c>
    </row>
    <row r="627" spans="2:5" x14ac:dyDescent="0.2">
      <c r="B627" t="s">
        <v>6417</v>
      </c>
      <c r="C627" s="713" t="s">
        <v>8299</v>
      </c>
      <c r="D627" s="713" t="s">
        <v>34</v>
      </c>
      <c r="E627" s="713" t="s">
        <v>7404</v>
      </c>
    </row>
    <row r="628" spans="2:5" x14ac:dyDescent="0.2">
      <c r="B628" t="s">
        <v>3772</v>
      </c>
      <c r="C628" s="713" t="s">
        <v>8300</v>
      </c>
      <c r="D628" s="713" t="s">
        <v>34</v>
      </c>
      <c r="E628" s="713" t="s">
        <v>8301</v>
      </c>
    </row>
    <row r="629" spans="2:5" x14ac:dyDescent="0.2">
      <c r="B629" t="s">
        <v>6418</v>
      </c>
      <c r="C629" s="713" t="s">
        <v>8302</v>
      </c>
      <c r="D629" s="713" t="s">
        <v>34</v>
      </c>
      <c r="E629" s="713" t="s">
        <v>8303</v>
      </c>
    </row>
    <row r="630" spans="2:5" x14ac:dyDescent="0.2">
      <c r="B630" t="s">
        <v>6419</v>
      </c>
      <c r="C630" s="713" t="s">
        <v>8304</v>
      </c>
      <c r="D630" s="713" t="s">
        <v>34</v>
      </c>
      <c r="E630" s="713" t="s">
        <v>7396</v>
      </c>
    </row>
    <row r="631" spans="2:5" x14ac:dyDescent="0.2">
      <c r="B631" t="s">
        <v>6420</v>
      </c>
      <c r="C631" s="713" t="s">
        <v>8305</v>
      </c>
      <c r="D631" s="713" t="s">
        <v>34</v>
      </c>
      <c r="E631" s="713" t="s">
        <v>7847</v>
      </c>
    </row>
    <row r="632" spans="2:5" x14ac:dyDescent="0.2">
      <c r="B632" t="s">
        <v>6421</v>
      </c>
      <c r="C632" s="713" t="s">
        <v>8306</v>
      </c>
      <c r="D632" s="713" t="s">
        <v>34</v>
      </c>
      <c r="E632" s="713" t="s">
        <v>7783</v>
      </c>
    </row>
    <row r="633" spans="2:5" x14ac:dyDescent="0.2">
      <c r="B633" t="s">
        <v>6422</v>
      </c>
      <c r="C633" s="713" t="s">
        <v>8307</v>
      </c>
      <c r="D633" s="713" t="s">
        <v>34</v>
      </c>
      <c r="E633" s="713" t="s">
        <v>7396</v>
      </c>
    </row>
    <row r="634" spans="2:5" x14ac:dyDescent="0.2">
      <c r="B634" t="s">
        <v>6423</v>
      </c>
      <c r="C634" s="713" t="s">
        <v>8308</v>
      </c>
      <c r="D634" s="713" t="s">
        <v>34</v>
      </c>
      <c r="E634" s="713" t="s">
        <v>7573</v>
      </c>
    </row>
    <row r="635" spans="2:5" x14ac:dyDescent="0.2">
      <c r="B635" t="s">
        <v>6424</v>
      </c>
      <c r="C635" s="713" t="s">
        <v>8309</v>
      </c>
      <c r="D635" s="713" t="s">
        <v>34</v>
      </c>
      <c r="E635" s="713" t="s">
        <v>8310</v>
      </c>
    </row>
    <row r="636" spans="2:5" x14ac:dyDescent="0.2">
      <c r="B636" t="s">
        <v>6425</v>
      </c>
      <c r="C636" s="713" t="s">
        <v>8311</v>
      </c>
      <c r="D636" s="713" t="s">
        <v>34</v>
      </c>
      <c r="E636" s="713" t="s">
        <v>7429</v>
      </c>
    </row>
    <row r="637" spans="2:5" x14ac:dyDescent="0.2">
      <c r="B637" t="s">
        <v>6426</v>
      </c>
      <c r="C637" s="713" t="s">
        <v>8312</v>
      </c>
      <c r="D637" s="713" t="s">
        <v>34</v>
      </c>
      <c r="E637" s="713" t="s">
        <v>8255</v>
      </c>
    </row>
    <row r="638" spans="2:5" x14ac:dyDescent="0.2">
      <c r="B638" t="s">
        <v>6427</v>
      </c>
      <c r="C638" s="713" t="s">
        <v>8313</v>
      </c>
      <c r="D638" s="713" t="s">
        <v>34</v>
      </c>
      <c r="E638" s="713" t="s">
        <v>7458</v>
      </c>
    </row>
    <row r="639" spans="2:5" x14ac:dyDescent="0.2">
      <c r="B639" t="s">
        <v>6428</v>
      </c>
      <c r="C639" s="713" t="s">
        <v>8314</v>
      </c>
      <c r="D639" s="713" t="s">
        <v>34</v>
      </c>
      <c r="E639" s="713" t="s">
        <v>8315</v>
      </c>
    </row>
    <row r="640" spans="2:5" x14ac:dyDescent="0.2">
      <c r="B640" t="s">
        <v>6429</v>
      </c>
      <c r="C640" s="713" t="s">
        <v>8316</v>
      </c>
      <c r="D640" s="713" t="s">
        <v>34</v>
      </c>
      <c r="E640" s="713" t="s">
        <v>8317</v>
      </c>
    </row>
    <row r="641" spans="2:5" x14ac:dyDescent="0.2">
      <c r="B641" t="s">
        <v>6430</v>
      </c>
      <c r="C641" s="713" t="s">
        <v>8318</v>
      </c>
      <c r="D641" s="713" t="s">
        <v>34</v>
      </c>
      <c r="E641" s="713" t="s">
        <v>7404</v>
      </c>
    </row>
    <row r="642" spans="2:5" x14ac:dyDescent="0.2">
      <c r="B642" t="s">
        <v>3013</v>
      </c>
      <c r="C642" s="713" t="s">
        <v>8319</v>
      </c>
      <c r="D642" s="713" t="s">
        <v>34</v>
      </c>
      <c r="E642" s="713" t="s">
        <v>7741</v>
      </c>
    </row>
    <row r="643" spans="2:5" x14ac:dyDescent="0.2">
      <c r="B643" t="s">
        <v>6431</v>
      </c>
      <c r="C643" s="713" t="s">
        <v>8320</v>
      </c>
      <c r="D643" s="713" t="s">
        <v>34</v>
      </c>
      <c r="E643" s="713" t="s">
        <v>7412</v>
      </c>
    </row>
    <row r="644" spans="2:5" x14ac:dyDescent="0.2">
      <c r="B644" t="s">
        <v>6432</v>
      </c>
      <c r="C644" s="713" t="s">
        <v>8321</v>
      </c>
      <c r="D644" s="713" t="s">
        <v>34</v>
      </c>
      <c r="E644" s="713" t="s">
        <v>8322</v>
      </c>
    </row>
    <row r="645" spans="2:5" x14ac:dyDescent="0.2">
      <c r="B645" t="s">
        <v>6433</v>
      </c>
      <c r="C645" s="713" t="s">
        <v>8323</v>
      </c>
      <c r="D645" s="713" t="s">
        <v>34</v>
      </c>
      <c r="E645" s="713" t="s">
        <v>7520</v>
      </c>
    </row>
    <row r="646" spans="2:5" x14ac:dyDescent="0.2">
      <c r="B646" t="s">
        <v>1299</v>
      </c>
      <c r="C646" s="713" t="s">
        <v>8324</v>
      </c>
      <c r="D646" s="713" t="s">
        <v>34</v>
      </c>
      <c r="E646" s="713" t="s">
        <v>7429</v>
      </c>
    </row>
    <row r="647" spans="2:5" x14ac:dyDescent="0.2">
      <c r="B647" t="s">
        <v>6434</v>
      </c>
      <c r="C647" s="713" t="s">
        <v>8325</v>
      </c>
      <c r="D647" s="713" t="s">
        <v>34</v>
      </c>
      <c r="E647" s="713" t="s">
        <v>8326</v>
      </c>
    </row>
    <row r="648" spans="2:5" x14ac:dyDescent="0.2">
      <c r="B648" t="s">
        <v>6435</v>
      </c>
      <c r="C648" s="713" t="s">
        <v>8324</v>
      </c>
      <c r="D648" s="713" t="s">
        <v>34</v>
      </c>
      <c r="E648" s="713" t="s">
        <v>7429</v>
      </c>
    </row>
    <row r="649" spans="2:5" x14ac:dyDescent="0.2">
      <c r="B649" t="s">
        <v>6436</v>
      </c>
      <c r="C649" s="713" t="s">
        <v>8327</v>
      </c>
      <c r="D649" s="713" t="s">
        <v>34</v>
      </c>
      <c r="E649" s="713" t="s">
        <v>8055</v>
      </c>
    </row>
    <row r="650" spans="2:5" x14ac:dyDescent="0.2">
      <c r="B650" t="s">
        <v>6437</v>
      </c>
      <c r="C650" s="713" t="s">
        <v>8275</v>
      </c>
      <c r="D650" s="713" t="s">
        <v>34</v>
      </c>
      <c r="E650" s="713" t="s">
        <v>8328</v>
      </c>
    </row>
    <row r="651" spans="2:5" x14ac:dyDescent="0.2">
      <c r="B651" t="s">
        <v>1293</v>
      </c>
      <c r="C651" s="713" t="s">
        <v>8329</v>
      </c>
      <c r="D651" s="713" t="s">
        <v>34</v>
      </c>
      <c r="E651" s="713" t="s">
        <v>7404</v>
      </c>
    </row>
    <row r="652" spans="2:5" x14ac:dyDescent="0.2">
      <c r="B652" t="s">
        <v>6438</v>
      </c>
      <c r="C652" s="713" t="s">
        <v>8330</v>
      </c>
      <c r="D652" s="713" t="s">
        <v>8331</v>
      </c>
      <c r="E652" s="713" t="s">
        <v>8332</v>
      </c>
    </row>
    <row r="653" spans="2:5" x14ac:dyDescent="0.2">
      <c r="B653" t="s">
        <v>6439</v>
      </c>
      <c r="C653" s="713" t="s">
        <v>8333</v>
      </c>
      <c r="D653" s="713" t="s">
        <v>34</v>
      </c>
      <c r="E653" s="713" t="s">
        <v>8334</v>
      </c>
    </row>
    <row r="654" spans="2:5" x14ac:dyDescent="0.2">
      <c r="B654" t="s">
        <v>6440</v>
      </c>
      <c r="C654" s="713" t="s">
        <v>8335</v>
      </c>
      <c r="D654" s="713" t="s">
        <v>34</v>
      </c>
      <c r="E654" s="713" t="s">
        <v>7768</v>
      </c>
    </row>
    <row r="655" spans="2:5" x14ac:dyDescent="0.2">
      <c r="B655" t="s">
        <v>6441</v>
      </c>
      <c r="C655" s="713" t="s">
        <v>8336</v>
      </c>
      <c r="D655" s="713" t="s">
        <v>34</v>
      </c>
      <c r="E655" s="713" t="s">
        <v>7410</v>
      </c>
    </row>
    <row r="656" spans="2:5" x14ac:dyDescent="0.2">
      <c r="B656" t="s">
        <v>6442</v>
      </c>
      <c r="C656" s="713" t="s">
        <v>8337</v>
      </c>
      <c r="D656" s="713" t="s">
        <v>34</v>
      </c>
      <c r="E656" s="713" t="s">
        <v>7410</v>
      </c>
    </row>
    <row r="657" spans="2:5" x14ac:dyDescent="0.2">
      <c r="B657" t="s">
        <v>6443</v>
      </c>
      <c r="C657" s="713" t="s">
        <v>8338</v>
      </c>
      <c r="D657" s="713" t="s">
        <v>34</v>
      </c>
      <c r="E657" s="713" t="s">
        <v>8339</v>
      </c>
    </row>
    <row r="658" spans="2:5" x14ac:dyDescent="0.2">
      <c r="B658" t="s">
        <v>6444</v>
      </c>
      <c r="C658" s="713" t="s">
        <v>8340</v>
      </c>
      <c r="D658" s="713" t="s">
        <v>34</v>
      </c>
      <c r="E658" s="713" t="s">
        <v>8341</v>
      </c>
    </row>
    <row r="659" spans="2:5" x14ac:dyDescent="0.2">
      <c r="B659" t="s">
        <v>6445</v>
      </c>
      <c r="C659" s="713" t="s">
        <v>8342</v>
      </c>
      <c r="D659" s="713" t="s">
        <v>34</v>
      </c>
      <c r="E659" s="713" t="s">
        <v>7394</v>
      </c>
    </row>
    <row r="660" spans="2:5" x14ac:dyDescent="0.2">
      <c r="B660" t="s">
        <v>6446</v>
      </c>
      <c r="C660" s="713" t="s">
        <v>8343</v>
      </c>
      <c r="D660" s="713" t="s">
        <v>34</v>
      </c>
      <c r="E660" s="713" t="s">
        <v>8344</v>
      </c>
    </row>
    <row r="661" spans="2:5" x14ac:dyDescent="0.2">
      <c r="B661" t="s">
        <v>6447</v>
      </c>
      <c r="C661" s="713" t="s">
        <v>8345</v>
      </c>
      <c r="D661" s="713" t="s">
        <v>34</v>
      </c>
      <c r="E661" s="713" t="s">
        <v>7972</v>
      </c>
    </row>
    <row r="662" spans="2:5" x14ac:dyDescent="0.2">
      <c r="B662" t="s">
        <v>6448</v>
      </c>
      <c r="C662" s="713" t="s">
        <v>8346</v>
      </c>
      <c r="D662" s="713" t="s">
        <v>34</v>
      </c>
      <c r="E662" s="713" t="s">
        <v>8187</v>
      </c>
    </row>
    <row r="663" spans="2:5" x14ac:dyDescent="0.2">
      <c r="B663" t="s">
        <v>6449</v>
      </c>
      <c r="C663" s="713" t="s">
        <v>8347</v>
      </c>
      <c r="D663" s="713" t="s">
        <v>34</v>
      </c>
      <c r="E663" s="713" t="s">
        <v>8348</v>
      </c>
    </row>
    <row r="664" spans="2:5" x14ac:dyDescent="0.2">
      <c r="B664" t="s">
        <v>6450</v>
      </c>
      <c r="C664" s="713" t="s">
        <v>8349</v>
      </c>
      <c r="D664" s="713" t="s">
        <v>34</v>
      </c>
      <c r="E664" s="713" t="s">
        <v>8350</v>
      </c>
    </row>
    <row r="665" spans="2:5" x14ac:dyDescent="0.2">
      <c r="B665" t="s">
        <v>6451</v>
      </c>
      <c r="C665" s="713" t="s">
        <v>8349</v>
      </c>
      <c r="D665" s="713" t="s">
        <v>34</v>
      </c>
      <c r="E665" s="713" t="s">
        <v>8350</v>
      </c>
    </row>
    <row r="666" spans="2:5" x14ac:dyDescent="0.2">
      <c r="B666" t="s">
        <v>6452</v>
      </c>
      <c r="C666" s="713" t="s">
        <v>8351</v>
      </c>
      <c r="D666" s="713" t="s">
        <v>34</v>
      </c>
      <c r="E666" s="713" t="s">
        <v>7841</v>
      </c>
    </row>
    <row r="667" spans="2:5" x14ac:dyDescent="0.2">
      <c r="B667" t="s">
        <v>6453</v>
      </c>
      <c r="C667" s="713" t="s">
        <v>8352</v>
      </c>
      <c r="D667" s="713" t="s">
        <v>34</v>
      </c>
      <c r="E667" s="713" t="s">
        <v>8353</v>
      </c>
    </row>
    <row r="668" spans="2:5" x14ac:dyDescent="0.2">
      <c r="B668" t="s">
        <v>6454</v>
      </c>
      <c r="C668" s="713" t="s">
        <v>8354</v>
      </c>
      <c r="D668" s="713" t="s">
        <v>34</v>
      </c>
      <c r="E668" s="713" t="s">
        <v>7795</v>
      </c>
    </row>
    <row r="669" spans="2:5" x14ac:dyDescent="0.2">
      <c r="B669" t="s">
        <v>6455</v>
      </c>
      <c r="C669" s="713" t="s">
        <v>8355</v>
      </c>
      <c r="D669" s="713" t="s">
        <v>34</v>
      </c>
      <c r="E669" s="713" t="s">
        <v>8356</v>
      </c>
    </row>
    <row r="670" spans="2:5" x14ac:dyDescent="0.2">
      <c r="B670" t="s">
        <v>6456</v>
      </c>
      <c r="C670" s="713" t="s">
        <v>8357</v>
      </c>
      <c r="D670" s="713" t="s">
        <v>34</v>
      </c>
      <c r="E670" s="713" t="s">
        <v>7394</v>
      </c>
    </row>
    <row r="671" spans="2:5" x14ac:dyDescent="0.2">
      <c r="B671" t="s">
        <v>6457</v>
      </c>
      <c r="C671" s="713" t="s">
        <v>8358</v>
      </c>
      <c r="D671" s="713" t="s">
        <v>34</v>
      </c>
      <c r="E671" s="713" t="s">
        <v>8359</v>
      </c>
    </row>
    <row r="672" spans="2:5" x14ac:dyDescent="0.2">
      <c r="B672" t="s">
        <v>6458</v>
      </c>
      <c r="C672" s="713" t="s">
        <v>8360</v>
      </c>
      <c r="D672" s="713" t="s">
        <v>34</v>
      </c>
      <c r="E672" s="713" t="s">
        <v>7442</v>
      </c>
    </row>
    <row r="673" spans="2:5" x14ac:dyDescent="0.2">
      <c r="B673" t="s">
        <v>6459</v>
      </c>
      <c r="C673" s="713" t="s">
        <v>8361</v>
      </c>
      <c r="D673" s="713" t="s">
        <v>34</v>
      </c>
      <c r="E673" s="713" t="s">
        <v>7741</v>
      </c>
    </row>
    <row r="674" spans="2:5" x14ac:dyDescent="0.2">
      <c r="B674" t="s">
        <v>6460</v>
      </c>
      <c r="C674" s="713" t="s">
        <v>8362</v>
      </c>
      <c r="D674" s="713" t="s">
        <v>34</v>
      </c>
      <c r="E674" s="713" t="s">
        <v>7442</v>
      </c>
    </row>
    <row r="675" spans="2:5" x14ac:dyDescent="0.2">
      <c r="B675" t="s">
        <v>6461</v>
      </c>
      <c r="C675" s="713" t="s">
        <v>8363</v>
      </c>
      <c r="D675" s="713" t="s">
        <v>34</v>
      </c>
      <c r="E675" s="713" t="s">
        <v>8364</v>
      </c>
    </row>
    <row r="676" spans="2:5" x14ac:dyDescent="0.2">
      <c r="B676" t="s">
        <v>6462</v>
      </c>
      <c r="C676" s="713" t="s">
        <v>8365</v>
      </c>
      <c r="D676" s="713" t="s">
        <v>34</v>
      </c>
      <c r="E676" s="713" t="s">
        <v>8366</v>
      </c>
    </row>
    <row r="677" spans="2:5" x14ac:dyDescent="0.2">
      <c r="B677" t="s">
        <v>6463</v>
      </c>
      <c r="C677" s="713" t="s">
        <v>8367</v>
      </c>
      <c r="D677" s="713" t="s">
        <v>34</v>
      </c>
      <c r="E677" s="713" t="s">
        <v>8368</v>
      </c>
    </row>
    <row r="678" spans="2:5" x14ac:dyDescent="0.2">
      <c r="B678" t="s">
        <v>6464</v>
      </c>
      <c r="C678" s="713" t="s">
        <v>8369</v>
      </c>
      <c r="D678" s="713" t="s">
        <v>34</v>
      </c>
      <c r="E678" s="713" t="s">
        <v>8253</v>
      </c>
    </row>
    <row r="679" spans="2:5" x14ac:dyDescent="0.2">
      <c r="B679" t="s">
        <v>6465</v>
      </c>
      <c r="C679" s="713" t="s">
        <v>8370</v>
      </c>
      <c r="D679" s="713" t="s">
        <v>34</v>
      </c>
      <c r="E679" s="713" t="s">
        <v>8368</v>
      </c>
    </row>
    <row r="680" spans="2:5" x14ac:dyDescent="0.2">
      <c r="B680" t="s">
        <v>6466</v>
      </c>
      <c r="C680" s="713" t="s">
        <v>8371</v>
      </c>
      <c r="D680" s="713" t="s">
        <v>34</v>
      </c>
      <c r="E680" s="713" t="s">
        <v>8372</v>
      </c>
    </row>
    <row r="681" spans="2:5" x14ac:dyDescent="0.2">
      <c r="B681" t="s">
        <v>6467</v>
      </c>
      <c r="C681" s="713" t="s">
        <v>8373</v>
      </c>
      <c r="D681" s="713" t="s">
        <v>34</v>
      </c>
      <c r="E681" s="713" t="s">
        <v>8374</v>
      </c>
    </row>
    <row r="682" spans="2:5" x14ac:dyDescent="0.2">
      <c r="B682" t="s">
        <v>6468</v>
      </c>
      <c r="C682" s="713" t="s">
        <v>8375</v>
      </c>
      <c r="D682" s="713" t="s">
        <v>34</v>
      </c>
      <c r="E682" s="713" t="s">
        <v>7418</v>
      </c>
    </row>
    <row r="683" spans="2:5" x14ac:dyDescent="0.2">
      <c r="B683" t="s">
        <v>6469</v>
      </c>
      <c r="C683" s="713" t="s">
        <v>8376</v>
      </c>
      <c r="D683" s="713" t="s">
        <v>34</v>
      </c>
      <c r="E683" s="713" t="s">
        <v>7396</v>
      </c>
    </row>
    <row r="684" spans="2:5" x14ac:dyDescent="0.2">
      <c r="B684" t="s">
        <v>6470</v>
      </c>
      <c r="C684" s="713" t="s">
        <v>8377</v>
      </c>
      <c r="D684" s="713" t="s">
        <v>34</v>
      </c>
      <c r="E684" s="713" t="s">
        <v>7570</v>
      </c>
    </row>
    <row r="685" spans="2:5" x14ac:dyDescent="0.2">
      <c r="B685" t="s">
        <v>6471</v>
      </c>
      <c r="C685" s="713" t="s">
        <v>8378</v>
      </c>
      <c r="D685" s="713" t="s">
        <v>34</v>
      </c>
      <c r="E685" s="713" t="s">
        <v>8379</v>
      </c>
    </row>
    <row r="686" spans="2:5" x14ac:dyDescent="0.2">
      <c r="B686" t="s">
        <v>6472</v>
      </c>
      <c r="C686" s="713" t="s">
        <v>7759</v>
      </c>
      <c r="D686" s="713" t="s">
        <v>34</v>
      </c>
      <c r="E686" s="713" t="s">
        <v>7760</v>
      </c>
    </row>
    <row r="687" spans="2:5" x14ac:dyDescent="0.2">
      <c r="B687" t="s">
        <v>6473</v>
      </c>
      <c r="C687" s="713" t="s">
        <v>8380</v>
      </c>
      <c r="D687" s="713" t="s">
        <v>34</v>
      </c>
      <c r="E687" s="713" t="s">
        <v>8381</v>
      </c>
    </row>
    <row r="688" spans="2:5" x14ac:dyDescent="0.2">
      <c r="B688" t="s">
        <v>6474</v>
      </c>
      <c r="C688" s="713" t="s">
        <v>8382</v>
      </c>
      <c r="D688" s="713" t="s">
        <v>34</v>
      </c>
      <c r="E688" s="713" t="s">
        <v>7640</v>
      </c>
    </row>
    <row r="689" spans="2:5" x14ac:dyDescent="0.2">
      <c r="B689" t="s">
        <v>6475</v>
      </c>
      <c r="C689" s="713" t="s">
        <v>8383</v>
      </c>
      <c r="D689" s="713" t="s">
        <v>34</v>
      </c>
      <c r="E689" s="713" t="s">
        <v>7442</v>
      </c>
    </row>
    <row r="690" spans="2:5" x14ac:dyDescent="0.2">
      <c r="B690" t="s">
        <v>6476</v>
      </c>
      <c r="C690" s="713" t="s">
        <v>8384</v>
      </c>
      <c r="D690" s="713" t="s">
        <v>34</v>
      </c>
      <c r="E690" s="713" t="s">
        <v>8385</v>
      </c>
    </row>
    <row r="691" spans="2:5" x14ac:dyDescent="0.2">
      <c r="B691" t="s">
        <v>6477</v>
      </c>
      <c r="C691" s="713" t="s">
        <v>8386</v>
      </c>
      <c r="D691" s="713" t="s">
        <v>34</v>
      </c>
      <c r="E691" s="713" t="s">
        <v>8387</v>
      </c>
    </row>
    <row r="692" spans="2:5" x14ac:dyDescent="0.2">
      <c r="B692" t="s">
        <v>6478</v>
      </c>
      <c r="C692" s="713" t="s">
        <v>8388</v>
      </c>
      <c r="D692" s="713" t="s">
        <v>34</v>
      </c>
      <c r="E692" s="713" t="s">
        <v>7734</v>
      </c>
    </row>
    <row r="693" spans="2:5" x14ac:dyDescent="0.2">
      <c r="B693" t="s">
        <v>6479</v>
      </c>
      <c r="C693" s="713" t="s">
        <v>8389</v>
      </c>
      <c r="D693" s="713" t="s">
        <v>34</v>
      </c>
      <c r="E693" s="713" t="s">
        <v>7442</v>
      </c>
    </row>
    <row r="694" spans="2:5" x14ac:dyDescent="0.2">
      <c r="B694" t="s">
        <v>6480</v>
      </c>
      <c r="C694" s="713" t="s">
        <v>8390</v>
      </c>
      <c r="D694" s="713" t="s">
        <v>34</v>
      </c>
      <c r="E694" s="713" t="s">
        <v>7418</v>
      </c>
    </row>
    <row r="695" spans="2:5" x14ac:dyDescent="0.2">
      <c r="B695" t="s">
        <v>6481</v>
      </c>
      <c r="C695" s="713" t="s">
        <v>8391</v>
      </c>
      <c r="D695" s="713" t="s">
        <v>34</v>
      </c>
      <c r="E695" s="713" t="s">
        <v>8392</v>
      </c>
    </row>
    <row r="696" spans="2:5" x14ac:dyDescent="0.2">
      <c r="B696" t="s">
        <v>6482</v>
      </c>
      <c r="C696" s="713" t="s">
        <v>8393</v>
      </c>
      <c r="D696" s="713" t="s">
        <v>34</v>
      </c>
      <c r="E696" s="713" t="s">
        <v>8394</v>
      </c>
    </row>
    <row r="697" spans="2:5" x14ac:dyDescent="0.2">
      <c r="B697" t="s">
        <v>6483</v>
      </c>
      <c r="C697" s="713" t="s">
        <v>8395</v>
      </c>
      <c r="D697" s="713" t="s">
        <v>34</v>
      </c>
      <c r="E697" s="713" t="s">
        <v>8396</v>
      </c>
    </row>
    <row r="698" spans="2:5" x14ac:dyDescent="0.2">
      <c r="B698" t="s">
        <v>6484</v>
      </c>
      <c r="C698" s="713" t="s">
        <v>8397</v>
      </c>
      <c r="D698" s="713" t="s">
        <v>34</v>
      </c>
      <c r="E698" s="713" t="s">
        <v>8398</v>
      </c>
    </row>
    <row r="699" spans="2:5" x14ac:dyDescent="0.2">
      <c r="B699" t="s">
        <v>6485</v>
      </c>
      <c r="C699" s="713" t="s">
        <v>8399</v>
      </c>
      <c r="D699" s="713" t="s">
        <v>34</v>
      </c>
      <c r="E699" s="713" t="s">
        <v>8398</v>
      </c>
    </row>
    <row r="700" spans="2:5" x14ac:dyDescent="0.2">
      <c r="B700" t="s">
        <v>6486</v>
      </c>
      <c r="C700" s="713" t="s">
        <v>8400</v>
      </c>
      <c r="D700" s="713" t="s">
        <v>34</v>
      </c>
      <c r="E700" s="713" t="s">
        <v>8368</v>
      </c>
    </row>
    <row r="701" spans="2:5" x14ac:dyDescent="0.2">
      <c r="B701" t="s">
        <v>6487</v>
      </c>
      <c r="C701" s="713" t="s">
        <v>8401</v>
      </c>
      <c r="D701" s="713" t="s">
        <v>34</v>
      </c>
      <c r="E701" s="713" t="s">
        <v>8402</v>
      </c>
    </row>
    <row r="702" spans="2:5" x14ac:dyDescent="0.2">
      <c r="B702" t="s">
        <v>6488</v>
      </c>
      <c r="C702" s="713" t="s">
        <v>8403</v>
      </c>
      <c r="D702" s="713" t="s">
        <v>34</v>
      </c>
      <c r="E702" s="713" t="s">
        <v>7442</v>
      </c>
    </row>
    <row r="703" spans="2:5" x14ac:dyDescent="0.2">
      <c r="B703" t="s">
        <v>6489</v>
      </c>
      <c r="C703" s="713" t="s">
        <v>8404</v>
      </c>
      <c r="D703" s="713" t="s">
        <v>34</v>
      </c>
      <c r="E703" s="713" t="s">
        <v>7644</v>
      </c>
    </row>
    <row r="704" spans="2:5" x14ac:dyDescent="0.2">
      <c r="B704" t="s">
        <v>6490</v>
      </c>
      <c r="C704" s="713" t="s">
        <v>8405</v>
      </c>
      <c r="D704" s="713" t="s">
        <v>34</v>
      </c>
      <c r="E704" s="713" t="s">
        <v>7614</v>
      </c>
    </row>
    <row r="705" spans="2:5" x14ac:dyDescent="0.2">
      <c r="B705" t="s">
        <v>6491</v>
      </c>
      <c r="C705" s="713" t="s">
        <v>8406</v>
      </c>
      <c r="D705" s="713" t="s">
        <v>34</v>
      </c>
      <c r="E705" s="713" t="s">
        <v>8407</v>
      </c>
    </row>
    <row r="706" spans="2:5" x14ac:dyDescent="0.2">
      <c r="B706" t="s">
        <v>6492</v>
      </c>
      <c r="C706" s="713" t="s">
        <v>8408</v>
      </c>
      <c r="D706" s="713" t="s">
        <v>34</v>
      </c>
      <c r="E706" s="713" t="s">
        <v>8409</v>
      </c>
    </row>
    <row r="707" spans="2:5" x14ac:dyDescent="0.2">
      <c r="B707" t="s">
        <v>6493</v>
      </c>
      <c r="C707" s="713" t="s">
        <v>8410</v>
      </c>
      <c r="D707" s="713" t="s">
        <v>34</v>
      </c>
      <c r="E707" s="713" t="s">
        <v>8409</v>
      </c>
    </row>
    <row r="708" spans="2:5" x14ac:dyDescent="0.2">
      <c r="B708" t="s">
        <v>6494</v>
      </c>
      <c r="C708" s="713" t="s">
        <v>8411</v>
      </c>
      <c r="D708" s="713" t="s">
        <v>34</v>
      </c>
      <c r="E708" s="713" t="s">
        <v>7396</v>
      </c>
    </row>
    <row r="709" spans="2:5" x14ac:dyDescent="0.2">
      <c r="B709" t="s">
        <v>6495</v>
      </c>
      <c r="C709" s="713" t="s">
        <v>8412</v>
      </c>
      <c r="D709" s="713" t="s">
        <v>34</v>
      </c>
      <c r="E709" s="713" t="s">
        <v>8413</v>
      </c>
    </row>
    <row r="710" spans="2:5" x14ac:dyDescent="0.2">
      <c r="B710" t="s">
        <v>6496</v>
      </c>
      <c r="C710" s="713" t="s">
        <v>8414</v>
      </c>
      <c r="D710" s="713" t="s">
        <v>34</v>
      </c>
      <c r="E710" s="713" t="s">
        <v>7587</v>
      </c>
    </row>
    <row r="711" spans="2:5" x14ac:dyDescent="0.2">
      <c r="B711" t="s">
        <v>6497</v>
      </c>
      <c r="C711" s="713" t="s">
        <v>8415</v>
      </c>
      <c r="D711" s="713" t="s">
        <v>34</v>
      </c>
      <c r="E711" s="713" t="s">
        <v>7573</v>
      </c>
    </row>
    <row r="712" spans="2:5" x14ac:dyDescent="0.2">
      <c r="B712" t="s">
        <v>1384</v>
      </c>
      <c r="C712" s="713" t="s">
        <v>8416</v>
      </c>
      <c r="D712" s="713" t="s">
        <v>34</v>
      </c>
      <c r="E712" s="713" t="s">
        <v>7442</v>
      </c>
    </row>
    <row r="713" spans="2:5" x14ac:dyDescent="0.2">
      <c r="B713" t="s">
        <v>6498</v>
      </c>
      <c r="C713" s="713" t="s">
        <v>8417</v>
      </c>
      <c r="D713" s="713" t="s">
        <v>34</v>
      </c>
      <c r="E713" s="713" t="s">
        <v>7573</v>
      </c>
    </row>
    <row r="714" spans="2:5" x14ac:dyDescent="0.2">
      <c r="B714" t="s">
        <v>6499</v>
      </c>
      <c r="C714" s="713" t="s">
        <v>8418</v>
      </c>
      <c r="D714" s="713" t="s">
        <v>34</v>
      </c>
      <c r="E714" s="713" t="s">
        <v>7412</v>
      </c>
    </row>
    <row r="715" spans="2:5" x14ac:dyDescent="0.2">
      <c r="B715" t="s">
        <v>6500</v>
      </c>
      <c r="C715" s="713" t="s">
        <v>8419</v>
      </c>
      <c r="D715" s="713" t="s">
        <v>34</v>
      </c>
      <c r="E715" s="713" t="s">
        <v>7757</v>
      </c>
    </row>
    <row r="716" spans="2:5" x14ac:dyDescent="0.2">
      <c r="B716" t="s">
        <v>6501</v>
      </c>
      <c r="C716" s="713" t="s">
        <v>8420</v>
      </c>
      <c r="D716" s="713" t="s">
        <v>34</v>
      </c>
      <c r="E716" s="713" t="s">
        <v>7546</v>
      </c>
    </row>
    <row r="717" spans="2:5" x14ac:dyDescent="0.2">
      <c r="B717" t="s">
        <v>6502</v>
      </c>
      <c r="C717" s="713" t="s">
        <v>8421</v>
      </c>
      <c r="D717" s="713" t="s">
        <v>34</v>
      </c>
      <c r="E717" s="713" t="s">
        <v>8422</v>
      </c>
    </row>
    <row r="718" spans="2:5" x14ac:dyDescent="0.2">
      <c r="B718" t="s">
        <v>6503</v>
      </c>
      <c r="C718" s="713" t="s">
        <v>8423</v>
      </c>
      <c r="D718" s="713" t="s">
        <v>34</v>
      </c>
      <c r="E718" s="713" t="s">
        <v>7546</v>
      </c>
    </row>
    <row r="719" spans="2:5" x14ac:dyDescent="0.2">
      <c r="B719" t="s">
        <v>6504</v>
      </c>
      <c r="C719" s="713" t="s">
        <v>8424</v>
      </c>
      <c r="D719" s="713" t="s">
        <v>8425</v>
      </c>
      <c r="E719" s="713" t="s">
        <v>7442</v>
      </c>
    </row>
    <row r="720" spans="2:5" x14ac:dyDescent="0.2">
      <c r="B720" t="s">
        <v>6505</v>
      </c>
      <c r="C720" s="713" t="s">
        <v>8426</v>
      </c>
      <c r="D720" s="713" t="s">
        <v>34</v>
      </c>
      <c r="E720" s="713" t="s">
        <v>7410</v>
      </c>
    </row>
    <row r="721" spans="2:5" x14ac:dyDescent="0.2">
      <c r="B721" t="s">
        <v>6506</v>
      </c>
      <c r="C721" s="713" t="s">
        <v>8427</v>
      </c>
      <c r="D721" s="713" t="s">
        <v>34</v>
      </c>
      <c r="E721" s="713" t="s">
        <v>7462</v>
      </c>
    </row>
    <row r="722" spans="2:5" x14ac:dyDescent="0.2">
      <c r="B722" t="s">
        <v>6507</v>
      </c>
      <c r="C722" s="713" t="s">
        <v>8428</v>
      </c>
      <c r="D722" s="713" t="s">
        <v>34</v>
      </c>
      <c r="E722" s="713" t="s">
        <v>7538</v>
      </c>
    </row>
    <row r="723" spans="2:5" x14ac:dyDescent="0.2">
      <c r="B723" t="s">
        <v>6508</v>
      </c>
      <c r="C723" s="713" t="s">
        <v>8429</v>
      </c>
      <c r="D723" s="713" t="s">
        <v>34</v>
      </c>
      <c r="E723" s="713" t="s">
        <v>8430</v>
      </c>
    </row>
    <row r="724" spans="2:5" x14ac:dyDescent="0.2">
      <c r="B724" t="s">
        <v>6509</v>
      </c>
      <c r="C724" s="713" t="s">
        <v>8431</v>
      </c>
      <c r="D724" s="713" t="s">
        <v>34</v>
      </c>
      <c r="E724" s="713" t="s">
        <v>8432</v>
      </c>
    </row>
    <row r="725" spans="2:5" x14ac:dyDescent="0.2">
      <c r="B725" t="s">
        <v>6510</v>
      </c>
      <c r="C725" s="713" t="s">
        <v>8433</v>
      </c>
      <c r="D725" s="713" t="s">
        <v>34</v>
      </c>
      <c r="E725" s="713" t="s">
        <v>8434</v>
      </c>
    </row>
    <row r="726" spans="2:5" x14ac:dyDescent="0.2">
      <c r="B726" t="s">
        <v>6511</v>
      </c>
      <c r="C726" s="713" t="s">
        <v>8435</v>
      </c>
      <c r="D726" s="713" t="s">
        <v>34</v>
      </c>
      <c r="E726" s="713" t="s">
        <v>7416</v>
      </c>
    </row>
    <row r="727" spans="2:5" x14ac:dyDescent="0.2">
      <c r="B727" t="s">
        <v>6512</v>
      </c>
      <c r="C727" s="713" t="s">
        <v>8436</v>
      </c>
      <c r="D727" s="713" t="s">
        <v>34</v>
      </c>
      <c r="E727" s="713" t="s">
        <v>8437</v>
      </c>
    </row>
    <row r="728" spans="2:5" x14ac:dyDescent="0.2">
      <c r="B728" t="s">
        <v>6513</v>
      </c>
      <c r="C728" s="713" t="s">
        <v>8438</v>
      </c>
      <c r="D728" s="713" t="s">
        <v>34</v>
      </c>
      <c r="E728" s="713" t="s">
        <v>7538</v>
      </c>
    </row>
    <row r="729" spans="2:5" x14ac:dyDescent="0.2">
      <c r="B729" t="s">
        <v>6514</v>
      </c>
      <c r="C729" s="713" t="s">
        <v>8439</v>
      </c>
      <c r="D729" s="713" t="s">
        <v>34</v>
      </c>
      <c r="E729" s="713" t="s">
        <v>8440</v>
      </c>
    </row>
    <row r="730" spans="2:5" x14ac:dyDescent="0.2">
      <c r="B730" t="s">
        <v>6515</v>
      </c>
      <c r="C730" s="713" t="s">
        <v>8441</v>
      </c>
      <c r="D730" s="713" t="s">
        <v>34</v>
      </c>
      <c r="E730" s="713" t="s">
        <v>8442</v>
      </c>
    </row>
    <row r="731" spans="2:5" x14ac:dyDescent="0.2">
      <c r="B731" t="s">
        <v>6516</v>
      </c>
      <c r="C731" s="713" t="s">
        <v>8443</v>
      </c>
      <c r="D731" s="713" t="s">
        <v>34</v>
      </c>
      <c r="E731" s="713" t="s">
        <v>8350</v>
      </c>
    </row>
    <row r="732" spans="2:5" x14ac:dyDescent="0.2">
      <c r="B732" t="s">
        <v>6517</v>
      </c>
      <c r="C732" s="713" t="s">
        <v>8444</v>
      </c>
      <c r="D732" s="713" t="s">
        <v>34</v>
      </c>
      <c r="E732" s="713" t="s">
        <v>7517</v>
      </c>
    </row>
    <row r="733" spans="2:5" x14ac:dyDescent="0.2">
      <c r="B733" t="s">
        <v>6518</v>
      </c>
      <c r="C733" s="713" t="s">
        <v>8445</v>
      </c>
      <c r="D733" s="713" t="s">
        <v>34</v>
      </c>
      <c r="E733" s="713" t="s">
        <v>8253</v>
      </c>
    </row>
    <row r="734" spans="2:5" x14ac:dyDescent="0.2">
      <c r="B734" t="s">
        <v>6519</v>
      </c>
      <c r="C734" s="713" t="s">
        <v>8446</v>
      </c>
      <c r="D734" s="713" t="s">
        <v>34</v>
      </c>
      <c r="E734" s="713" t="s">
        <v>8368</v>
      </c>
    </row>
    <row r="735" spans="2:5" x14ac:dyDescent="0.2">
      <c r="B735" t="s">
        <v>1388</v>
      </c>
      <c r="C735" s="713" t="s">
        <v>8447</v>
      </c>
      <c r="D735" s="713" t="s">
        <v>34</v>
      </c>
      <c r="E735" s="713" t="s">
        <v>7546</v>
      </c>
    </row>
    <row r="736" spans="2:5" x14ac:dyDescent="0.2">
      <c r="B736" t="s">
        <v>6520</v>
      </c>
      <c r="C736" s="713" t="s">
        <v>8448</v>
      </c>
      <c r="D736" s="713" t="s">
        <v>34</v>
      </c>
      <c r="E736" s="713" t="s">
        <v>7396</v>
      </c>
    </row>
    <row r="737" spans="2:5" x14ac:dyDescent="0.2">
      <c r="B737" t="s">
        <v>6521</v>
      </c>
      <c r="C737" s="713" t="s">
        <v>8449</v>
      </c>
      <c r="D737" s="713" t="s">
        <v>34</v>
      </c>
      <c r="E737" s="713" t="s">
        <v>8450</v>
      </c>
    </row>
    <row r="738" spans="2:5" x14ac:dyDescent="0.2">
      <c r="B738" t="s">
        <v>6522</v>
      </c>
      <c r="C738" s="713" t="s">
        <v>8451</v>
      </c>
      <c r="D738" s="713" t="s">
        <v>34</v>
      </c>
      <c r="E738" s="713" t="s">
        <v>7418</v>
      </c>
    </row>
    <row r="739" spans="2:5" x14ac:dyDescent="0.2">
      <c r="B739" t="s">
        <v>6523</v>
      </c>
      <c r="C739" s="713" t="s">
        <v>8452</v>
      </c>
      <c r="D739" s="713" t="s">
        <v>34</v>
      </c>
      <c r="E739" s="713" t="s">
        <v>7635</v>
      </c>
    </row>
    <row r="740" spans="2:5" x14ac:dyDescent="0.2">
      <c r="B740" t="s">
        <v>6524</v>
      </c>
      <c r="C740" s="713" t="s">
        <v>8453</v>
      </c>
      <c r="D740" s="713" t="s">
        <v>34</v>
      </c>
      <c r="E740" s="713" t="s">
        <v>7396</v>
      </c>
    </row>
    <row r="741" spans="2:5" x14ac:dyDescent="0.2">
      <c r="B741" t="s">
        <v>6525</v>
      </c>
      <c r="C741" s="713" t="s">
        <v>8454</v>
      </c>
      <c r="D741" s="713" t="s">
        <v>34</v>
      </c>
      <c r="E741" s="713" t="s">
        <v>8455</v>
      </c>
    </row>
    <row r="742" spans="2:5" x14ac:dyDescent="0.2">
      <c r="B742" t="s">
        <v>6526</v>
      </c>
      <c r="C742" s="713" t="s">
        <v>8456</v>
      </c>
      <c r="D742" s="713" t="s">
        <v>34</v>
      </c>
      <c r="E742" s="713" t="s">
        <v>8457</v>
      </c>
    </row>
    <row r="743" spans="2:5" x14ac:dyDescent="0.2">
      <c r="B743" t="s">
        <v>6527</v>
      </c>
      <c r="C743" s="713" t="s">
        <v>8458</v>
      </c>
      <c r="D743" s="713" t="s">
        <v>34</v>
      </c>
      <c r="E743" s="713" t="s">
        <v>8459</v>
      </c>
    </row>
    <row r="744" spans="2:5" x14ac:dyDescent="0.2">
      <c r="B744" t="s">
        <v>6528</v>
      </c>
      <c r="C744" s="713" t="s">
        <v>8460</v>
      </c>
      <c r="D744" s="713" t="s">
        <v>34</v>
      </c>
      <c r="E744" s="713" t="s">
        <v>8461</v>
      </c>
    </row>
    <row r="745" spans="2:5" x14ac:dyDescent="0.2">
      <c r="B745" t="s">
        <v>6529</v>
      </c>
      <c r="C745" s="713" t="s">
        <v>8462</v>
      </c>
      <c r="D745" s="713" t="s">
        <v>34</v>
      </c>
      <c r="E745" s="713" t="s">
        <v>7396</v>
      </c>
    </row>
    <row r="746" spans="2:5" x14ac:dyDescent="0.2">
      <c r="B746" t="s">
        <v>6530</v>
      </c>
      <c r="C746" s="713" t="s">
        <v>8463</v>
      </c>
      <c r="D746" s="713" t="s">
        <v>34</v>
      </c>
      <c r="E746" s="713" t="s">
        <v>7994</v>
      </c>
    </row>
    <row r="747" spans="2:5" x14ac:dyDescent="0.2">
      <c r="B747" t="s">
        <v>6531</v>
      </c>
      <c r="C747" s="713" t="s">
        <v>8464</v>
      </c>
      <c r="D747" s="713" t="s">
        <v>34</v>
      </c>
      <c r="E747" s="713" t="s">
        <v>8465</v>
      </c>
    </row>
    <row r="748" spans="2:5" x14ac:dyDescent="0.2">
      <c r="B748" t="s">
        <v>6532</v>
      </c>
      <c r="C748" s="713" t="s">
        <v>8466</v>
      </c>
      <c r="D748" s="713" t="s">
        <v>34</v>
      </c>
      <c r="E748" s="713" t="s">
        <v>7442</v>
      </c>
    </row>
    <row r="749" spans="2:5" x14ac:dyDescent="0.2">
      <c r="B749" t="s">
        <v>6533</v>
      </c>
      <c r="C749" s="713" t="s">
        <v>8467</v>
      </c>
      <c r="D749" s="713" t="s">
        <v>34</v>
      </c>
      <c r="E749" s="713" t="s">
        <v>7741</v>
      </c>
    </row>
    <row r="750" spans="2:5" x14ac:dyDescent="0.2">
      <c r="B750" t="s">
        <v>6534</v>
      </c>
      <c r="C750" s="713" t="s">
        <v>8468</v>
      </c>
      <c r="D750" s="713" t="s">
        <v>34</v>
      </c>
      <c r="E750" s="713" t="s">
        <v>7442</v>
      </c>
    </row>
    <row r="751" spans="2:5" x14ac:dyDescent="0.2">
      <c r="B751" t="s">
        <v>6535</v>
      </c>
      <c r="C751" s="713" t="s">
        <v>8469</v>
      </c>
      <c r="D751" s="713" t="s">
        <v>34</v>
      </c>
      <c r="E751" s="713" t="s">
        <v>7750</v>
      </c>
    </row>
    <row r="752" spans="2:5" x14ac:dyDescent="0.2">
      <c r="B752" t="s">
        <v>6536</v>
      </c>
      <c r="C752" s="713" t="s">
        <v>8470</v>
      </c>
      <c r="D752" s="713" t="s">
        <v>34</v>
      </c>
      <c r="E752" s="713" t="s">
        <v>7396</v>
      </c>
    </row>
    <row r="753" spans="2:5" x14ac:dyDescent="0.2">
      <c r="B753" t="s">
        <v>6537</v>
      </c>
      <c r="C753" s="713" t="s">
        <v>8471</v>
      </c>
      <c r="D753" s="713" t="s">
        <v>34</v>
      </c>
      <c r="E753" s="713" t="s">
        <v>7418</v>
      </c>
    </row>
    <row r="754" spans="2:5" x14ac:dyDescent="0.2">
      <c r="B754" t="s">
        <v>6538</v>
      </c>
      <c r="C754" s="713" t="s">
        <v>8472</v>
      </c>
      <c r="D754" s="713" t="s">
        <v>34</v>
      </c>
      <c r="E754" s="713" t="s">
        <v>7410</v>
      </c>
    </row>
    <row r="755" spans="2:5" x14ac:dyDescent="0.2">
      <c r="B755" t="s">
        <v>6539</v>
      </c>
      <c r="C755" s="713" t="s">
        <v>8473</v>
      </c>
      <c r="D755" s="713" t="s">
        <v>34</v>
      </c>
      <c r="E755" s="713" t="s">
        <v>7582</v>
      </c>
    </row>
    <row r="756" spans="2:5" x14ac:dyDescent="0.2">
      <c r="B756" t="s">
        <v>6540</v>
      </c>
      <c r="C756" s="713" t="s">
        <v>8474</v>
      </c>
      <c r="D756" s="713" t="s">
        <v>34</v>
      </c>
      <c r="E756" s="713" t="s">
        <v>7410</v>
      </c>
    </row>
    <row r="757" spans="2:5" x14ac:dyDescent="0.2">
      <c r="B757" t="s">
        <v>6541</v>
      </c>
      <c r="C757" s="713" t="s">
        <v>8475</v>
      </c>
      <c r="D757" s="713" t="s">
        <v>34</v>
      </c>
      <c r="E757" s="713" t="s">
        <v>8476</v>
      </c>
    </row>
    <row r="758" spans="2:5" x14ac:dyDescent="0.2">
      <c r="B758" t="s">
        <v>1777</v>
      </c>
      <c r="C758" s="713" t="s">
        <v>8477</v>
      </c>
      <c r="D758" s="713" t="s">
        <v>34</v>
      </c>
      <c r="E758" s="713" t="s">
        <v>7442</v>
      </c>
    </row>
    <row r="759" spans="2:5" x14ac:dyDescent="0.2">
      <c r="B759" t="s">
        <v>6542</v>
      </c>
      <c r="C759" s="713" t="s">
        <v>8478</v>
      </c>
      <c r="D759" s="713" t="s">
        <v>34</v>
      </c>
      <c r="E759" s="713" t="s">
        <v>8479</v>
      </c>
    </row>
    <row r="760" spans="2:5" x14ac:dyDescent="0.2">
      <c r="B760" t="s">
        <v>6543</v>
      </c>
      <c r="C760" s="713" t="s">
        <v>8480</v>
      </c>
      <c r="D760" s="713" t="s">
        <v>34</v>
      </c>
      <c r="E760" s="713" t="s">
        <v>7815</v>
      </c>
    </row>
    <row r="761" spans="2:5" x14ac:dyDescent="0.2">
      <c r="B761" t="s">
        <v>6544</v>
      </c>
      <c r="C761" s="713" t="s">
        <v>8481</v>
      </c>
      <c r="D761" s="713" t="s">
        <v>34</v>
      </c>
      <c r="E761" s="713" t="s">
        <v>8482</v>
      </c>
    </row>
    <row r="762" spans="2:5" x14ac:dyDescent="0.2">
      <c r="B762" t="s">
        <v>6545</v>
      </c>
      <c r="C762" s="713" t="s">
        <v>8483</v>
      </c>
      <c r="D762" s="713" t="s">
        <v>34</v>
      </c>
      <c r="E762" s="713" t="s">
        <v>8484</v>
      </c>
    </row>
    <row r="763" spans="2:5" x14ac:dyDescent="0.2">
      <c r="B763" t="s">
        <v>6546</v>
      </c>
      <c r="C763" s="713" t="s">
        <v>8485</v>
      </c>
      <c r="D763" s="713" t="s">
        <v>34</v>
      </c>
      <c r="E763" s="713" t="s">
        <v>7640</v>
      </c>
    </row>
    <row r="764" spans="2:5" x14ac:dyDescent="0.2">
      <c r="B764" t="s">
        <v>6547</v>
      </c>
      <c r="C764" s="713" t="s">
        <v>8486</v>
      </c>
      <c r="D764" s="713" t="s">
        <v>34</v>
      </c>
      <c r="E764" s="713" t="s">
        <v>8024</v>
      </c>
    </row>
    <row r="765" spans="2:5" x14ac:dyDescent="0.2">
      <c r="B765" t="s">
        <v>6548</v>
      </c>
      <c r="C765" s="713" t="s">
        <v>8487</v>
      </c>
      <c r="D765" s="713" t="s">
        <v>34</v>
      </c>
      <c r="E765" s="713" t="s">
        <v>7412</v>
      </c>
    </row>
    <row r="766" spans="2:5" x14ac:dyDescent="0.2">
      <c r="B766" t="s">
        <v>6549</v>
      </c>
      <c r="C766" s="713" t="s">
        <v>8488</v>
      </c>
      <c r="D766" s="713" t="s">
        <v>34</v>
      </c>
      <c r="E766" s="713" t="s">
        <v>7458</v>
      </c>
    </row>
    <row r="767" spans="2:5" x14ac:dyDescent="0.2">
      <c r="B767" t="s">
        <v>6550</v>
      </c>
      <c r="C767" s="713" t="s">
        <v>8489</v>
      </c>
      <c r="D767" s="713" t="s">
        <v>34</v>
      </c>
      <c r="E767" s="713" t="s">
        <v>8490</v>
      </c>
    </row>
    <row r="768" spans="2:5" x14ac:dyDescent="0.2">
      <c r="B768" t="s">
        <v>6551</v>
      </c>
      <c r="C768" s="713" t="s">
        <v>8491</v>
      </c>
      <c r="D768" s="713" t="s">
        <v>34</v>
      </c>
      <c r="E768" s="713" t="s">
        <v>8492</v>
      </c>
    </row>
    <row r="769" spans="2:5" x14ac:dyDescent="0.2">
      <c r="B769" t="s">
        <v>1338</v>
      </c>
      <c r="C769" s="713" t="s">
        <v>8493</v>
      </c>
      <c r="D769" s="713" t="s">
        <v>34</v>
      </c>
      <c r="E769" s="713" t="s">
        <v>8494</v>
      </c>
    </row>
    <row r="770" spans="2:5" x14ac:dyDescent="0.2">
      <c r="B770" t="s">
        <v>6552</v>
      </c>
      <c r="C770" s="713" t="s">
        <v>8495</v>
      </c>
      <c r="D770" s="713" t="s">
        <v>34</v>
      </c>
      <c r="E770" s="713" t="s">
        <v>7495</v>
      </c>
    </row>
    <row r="771" spans="2:5" x14ac:dyDescent="0.2">
      <c r="B771" t="s">
        <v>6553</v>
      </c>
      <c r="C771" s="713" t="s">
        <v>8496</v>
      </c>
      <c r="D771" s="713" t="s">
        <v>34</v>
      </c>
      <c r="E771" s="713" t="s">
        <v>8497</v>
      </c>
    </row>
    <row r="772" spans="2:5" x14ac:dyDescent="0.2">
      <c r="B772" t="s">
        <v>6554</v>
      </c>
      <c r="C772" s="713" t="s">
        <v>8498</v>
      </c>
      <c r="D772" s="713" t="s">
        <v>34</v>
      </c>
      <c r="E772" s="713" t="s">
        <v>8087</v>
      </c>
    </row>
    <row r="773" spans="2:5" x14ac:dyDescent="0.2">
      <c r="B773" t="s">
        <v>6555</v>
      </c>
      <c r="C773" s="713" t="s">
        <v>8499</v>
      </c>
      <c r="D773" s="713" t="s">
        <v>34</v>
      </c>
      <c r="E773" s="713" t="s">
        <v>7992</v>
      </c>
    </row>
    <row r="774" spans="2:5" x14ac:dyDescent="0.2">
      <c r="B774" t="s">
        <v>6556</v>
      </c>
      <c r="C774" s="713" t="s">
        <v>8500</v>
      </c>
      <c r="D774" s="713" t="s">
        <v>34</v>
      </c>
      <c r="E774" s="713" t="s">
        <v>7505</v>
      </c>
    </row>
    <row r="775" spans="2:5" x14ac:dyDescent="0.2">
      <c r="B775" t="s">
        <v>6557</v>
      </c>
      <c r="C775" s="713" t="s">
        <v>8501</v>
      </c>
      <c r="D775" s="713" t="s">
        <v>34</v>
      </c>
      <c r="E775" s="713" t="s">
        <v>8502</v>
      </c>
    </row>
    <row r="776" spans="2:5" x14ac:dyDescent="0.2">
      <c r="B776" t="s">
        <v>1343</v>
      </c>
      <c r="C776" s="713" t="s">
        <v>8503</v>
      </c>
      <c r="D776" s="713" t="s">
        <v>34</v>
      </c>
      <c r="E776" s="713" t="s">
        <v>8504</v>
      </c>
    </row>
    <row r="777" spans="2:5" x14ac:dyDescent="0.2">
      <c r="B777" t="s">
        <v>6558</v>
      </c>
      <c r="C777" s="713" t="s">
        <v>8505</v>
      </c>
      <c r="D777" s="713" t="s">
        <v>34</v>
      </c>
      <c r="E777" s="713" t="s">
        <v>8506</v>
      </c>
    </row>
    <row r="778" spans="2:5" x14ac:dyDescent="0.2">
      <c r="B778" t="s">
        <v>6559</v>
      </c>
      <c r="C778" s="713" t="s">
        <v>8507</v>
      </c>
      <c r="D778" s="713" t="s">
        <v>34</v>
      </c>
      <c r="E778" s="713" t="s">
        <v>8508</v>
      </c>
    </row>
    <row r="779" spans="2:5" x14ac:dyDescent="0.2">
      <c r="B779" t="s">
        <v>6560</v>
      </c>
      <c r="C779" s="713" t="s">
        <v>8509</v>
      </c>
      <c r="D779" s="713" t="s">
        <v>34</v>
      </c>
      <c r="E779" s="713" t="s">
        <v>8510</v>
      </c>
    </row>
    <row r="780" spans="2:5" x14ac:dyDescent="0.2">
      <c r="B780" t="s">
        <v>6561</v>
      </c>
      <c r="C780" s="713" t="s">
        <v>8511</v>
      </c>
      <c r="D780" s="713" t="s">
        <v>34</v>
      </c>
      <c r="E780" s="713" t="s">
        <v>8512</v>
      </c>
    </row>
    <row r="781" spans="2:5" x14ac:dyDescent="0.2">
      <c r="B781" t="s">
        <v>6562</v>
      </c>
      <c r="C781" s="713" t="s">
        <v>8513</v>
      </c>
      <c r="D781" s="713" t="s">
        <v>34</v>
      </c>
      <c r="E781" s="713" t="s">
        <v>7442</v>
      </c>
    </row>
    <row r="782" spans="2:5" x14ac:dyDescent="0.2">
      <c r="B782" t="s">
        <v>6563</v>
      </c>
      <c r="C782" s="713" t="s">
        <v>8514</v>
      </c>
      <c r="D782" s="713" t="s">
        <v>34</v>
      </c>
      <c r="E782" s="713" t="s">
        <v>7396</v>
      </c>
    </row>
    <row r="783" spans="2:5" x14ac:dyDescent="0.2">
      <c r="B783" t="s">
        <v>6564</v>
      </c>
      <c r="C783" s="713" t="s">
        <v>8515</v>
      </c>
      <c r="D783" s="713" t="s">
        <v>34</v>
      </c>
      <c r="E783" s="713" t="s">
        <v>8516</v>
      </c>
    </row>
    <row r="784" spans="2:5" x14ac:dyDescent="0.2">
      <c r="B784" t="s">
        <v>6565</v>
      </c>
      <c r="C784" s="713" t="s">
        <v>8517</v>
      </c>
      <c r="D784" s="713" t="s">
        <v>34</v>
      </c>
      <c r="E784" s="713" t="s">
        <v>8518</v>
      </c>
    </row>
    <row r="785" spans="2:5" x14ac:dyDescent="0.2">
      <c r="B785" t="s">
        <v>6566</v>
      </c>
      <c r="C785" s="713" t="s">
        <v>8519</v>
      </c>
      <c r="D785" s="713" t="s">
        <v>34</v>
      </c>
      <c r="E785" s="713" t="s">
        <v>8096</v>
      </c>
    </row>
    <row r="786" spans="2:5" x14ac:dyDescent="0.2">
      <c r="B786" t="s">
        <v>6567</v>
      </c>
      <c r="C786" s="713" t="s">
        <v>8520</v>
      </c>
      <c r="D786" s="713" t="s">
        <v>34</v>
      </c>
      <c r="E786" s="713" t="s">
        <v>8521</v>
      </c>
    </row>
    <row r="787" spans="2:5" x14ac:dyDescent="0.2">
      <c r="B787" t="s">
        <v>6568</v>
      </c>
      <c r="C787" s="713" t="s">
        <v>8522</v>
      </c>
      <c r="D787" s="713" t="s">
        <v>34</v>
      </c>
      <c r="E787" s="713" t="s">
        <v>8523</v>
      </c>
    </row>
    <row r="788" spans="2:5" x14ac:dyDescent="0.2">
      <c r="B788" t="s">
        <v>6569</v>
      </c>
      <c r="C788" s="713" t="s">
        <v>8524</v>
      </c>
      <c r="D788" s="713" t="s">
        <v>34</v>
      </c>
      <c r="E788" s="713" t="s">
        <v>7418</v>
      </c>
    </row>
    <row r="789" spans="2:5" x14ac:dyDescent="0.2">
      <c r="B789" t="s">
        <v>1348</v>
      </c>
      <c r="C789" s="713" t="s">
        <v>8525</v>
      </c>
      <c r="D789" s="713" t="s">
        <v>34</v>
      </c>
      <c r="E789" s="713" t="s">
        <v>7396</v>
      </c>
    </row>
    <row r="790" spans="2:5" x14ac:dyDescent="0.2">
      <c r="B790" t="s">
        <v>6570</v>
      </c>
      <c r="C790" s="713" t="s">
        <v>8526</v>
      </c>
      <c r="D790" s="713" t="s">
        <v>34</v>
      </c>
      <c r="E790" s="713" t="s">
        <v>7546</v>
      </c>
    </row>
    <row r="791" spans="2:5" x14ac:dyDescent="0.2">
      <c r="B791" t="s">
        <v>6571</v>
      </c>
      <c r="C791" s="713" t="s">
        <v>8527</v>
      </c>
      <c r="D791" s="713" t="s">
        <v>34</v>
      </c>
      <c r="E791" s="713" t="s">
        <v>7410</v>
      </c>
    </row>
    <row r="792" spans="2:5" x14ac:dyDescent="0.2">
      <c r="B792" t="s">
        <v>6572</v>
      </c>
      <c r="C792" s="713" t="s">
        <v>8528</v>
      </c>
      <c r="D792" s="713" t="s">
        <v>34</v>
      </c>
      <c r="E792" s="713" t="s">
        <v>8529</v>
      </c>
    </row>
    <row r="793" spans="2:5" x14ac:dyDescent="0.2">
      <c r="B793" t="s">
        <v>6573</v>
      </c>
      <c r="C793" s="713" t="s">
        <v>8530</v>
      </c>
      <c r="D793" s="713" t="s">
        <v>34</v>
      </c>
      <c r="E793" s="713" t="s">
        <v>7509</v>
      </c>
    </row>
    <row r="794" spans="2:5" x14ac:dyDescent="0.2">
      <c r="B794" t="s">
        <v>6574</v>
      </c>
      <c r="C794" s="713" t="s">
        <v>8531</v>
      </c>
      <c r="D794" s="713" t="s">
        <v>34</v>
      </c>
      <c r="E794" s="713" t="s">
        <v>7442</v>
      </c>
    </row>
    <row r="795" spans="2:5" x14ac:dyDescent="0.2">
      <c r="B795" t="s">
        <v>6575</v>
      </c>
      <c r="C795" s="713" t="s">
        <v>8532</v>
      </c>
      <c r="D795" s="713" t="s">
        <v>34</v>
      </c>
      <c r="E795" s="713" t="s">
        <v>7546</v>
      </c>
    </row>
    <row r="796" spans="2:5" x14ac:dyDescent="0.2">
      <c r="B796" t="s">
        <v>6576</v>
      </c>
      <c r="C796" s="713" t="s">
        <v>8533</v>
      </c>
      <c r="D796" s="713" t="s">
        <v>34</v>
      </c>
      <c r="E796" s="713" t="s">
        <v>7458</v>
      </c>
    </row>
    <row r="797" spans="2:5" x14ac:dyDescent="0.2">
      <c r="B797" t="s">
        <v>6577</v>
      </c>
      <c r="C797" s="713" t="s">
        <v>8534</v>
      </c>
      <c r="D797" s="713" t="s">
        <v>34</v>
      </c>
      <c r="E797" s="713" t="s">
        <v>8535</v>
      </c>
    </row>
    <row r="798" spans="2:5" x14ac:dyDescent="0.2">
      <c r="B798" t="s">
        <v>6578</v>
      </c>
      <c r="C798" s="713" t="s">
        <v>8536</v>
      </c>
      <c r="D798" s="713" t="s">
        <v>34</v>
      </c>
      <c r="E798" s="713" t="s">
        <v>8537</v>
      </c>
    </row>
    <row r="799" spans="2:5" x14ac:dyDescent="0.2">
      <c r="B799" t="s">
        <v>6579</v>
      </c>
      <c r="C799" s="713" t="s">
        <v>8538</v>
      </c>
      <c r="D799" s="713" t="s">
        <v>34</v>
      </c>
      <c r="E799" s="713" t="s">
        <v>8392</v>
      </c>
    </row>
    <row r="800" spans="2:5" x14ac:dyDescent="0.2">
      <c r="B800" t="s">
        <v>6580</v>
      </c>
      <c r="C800" s="713" t="s">
        <v>8539</v>
      </c>
      <c r="D800" s="713" t="s">
        <v>8540</v>
      </c>
      <c r="E800" s="713" t="s">
        <v>8541</v>
      </c>
    </row>
    <row r="801" spans="2:5" x14ac:dyDescent="0.2">
      <c r="B801" t="s">
        <v>6581</v>
      </c>
      <c r="C801" s="713" t="s">
        <v>8542</v>
      </c>
      <c r="D801" s="713" t="s">
        <v>34</v>
      </c>
      <c r="E801" s="713" t="s">
        <v>7509</v>
      </c>
    </row>
    <row r="802" spans="2:5" x14ac:dyDescent="0.2">
      <c r="B802" t="s">
        <v>6582</v>
      </c>
      <c r="C802" s="713" t="s">
        <v>8543</v>
      </c>
      <c r="D802" s="713" t="s">
        <v>34</v>
      </c>
      <c r="E802" s="713" t="s">
        <v>7741</v>
      </c>
    </row>
    <row r="803" spans="2:5" x14ac:dyDescent="0.2">
      <c r="B803" t="s">
        <v>6583</v>
      </c>
      <c r="C803" s="713" t="s">
        <v>8544</v>
      </c>
      <c r="D803" s="713" t="s">
        <v>34</v>
      </c>
      <c r="E803" s="713" t="s">
        <v>7438</v>
      </c>
    </row>
    <row r="804" spans="2:5" x14ac:dyDescent="0.2">
      <c r="B804" t="s">
        <v>6584</v>
      </c>
      <c r="C804" s="713" t="s">
        <v>8545</v>
      </c>
      <c r="D804" s="713" t="s">
        <v>34</v>
      </c>
      <c r="E804" s="713" t="s">
        <v>8546</v>
      </c>
    </row>
    <row r="805" spans="2:5" x14ac:dyDescent="0.2">
      <c r="B805" t="s">
        <v>6585</v>
      </c>
      <c r="C805" s="713" t="s">
        <v>8547</v>
      </c>
      <c r="D805" s="713" t="s">
        <v>34</v>
      </c>
      <c r="E805" s="713" t="s">
        <v>7442</v>
      </c>
    </row>
    <row r="806" spans="2:5" x14ac:dyDescent="0.2">
      <c r="B806" t="s">
        <v>6586</v>
      </c>
      <c r="C806" s="713" t="s">
        <v>8548</v>
      </c>
      <c r="D806" s="713" t="s">
        <v>34</v>
      </c>
      <c r="E806" s="713" t="s">
        <v>7418</v>
      </c>
    </row>
    <row r="807" spans="2:5" x14ac:dyDescent="0.2">
      <c r="B807" t="s">
        <v>6587</v>
      </c>
      <c r="C807" s="713" t="s">
        <v>8549</v>
      </c>
      <c r="D807" s="713" t="s">
        <v>34</v>
      </c>
      <c r="E807" s="713" t="s">
        <v>8550</v>
      </c>
    </row>
    <row r="808" spans="2:5" x14ac:dyDescent="0.2">
      <c r="B808" t="s">
        <v>6588</v>
      </c>
      <c r="C808" s="713" t="s">
        <v>8551</v>
      </c>
      <c r="D808" s="713" t="s">
        <v>34</v>
      </c>
      <c r="E808" s="713" t="s">
        <v>8552</v>
      </c>
    </row>
    <row r="809" spans="2:5" x14ac:dyDescent="0.2">
      <c r="B809" t="s">
        <v>6589</v>
      </c>
      <c r="C809" s="713" t="s">
        <v>8553</v>
      </c>
      <c r="D809" s="713" t="s">
        <v>34</v>
      </c>
      <c r="E809" s="713" t="s">
        <v>7564</v>
      </c>
    </row>
    <row r="810" spans="2:5" x14ac:dyDescent="0.2">
      <c r="B810" t="s">
        <v>6590</v>
      </c>
      <c r="C810" s="713" t="s">
        <v>8554</v>
      </c>
      <c r="D810" s="713" t="s">
        <v>34</v>
      </c>
      <c r="E810" s="713" t="s">
        <v>7992</v>
      </c>
    </row>
    <row r="811" spans="2:5" x14ac:dyDescent="0.2">
      <c r="B811" t="s">
        <v>6591</v>
      </c>
      <c r="C811" s="713" t="s">
        <v>8555</v>
      </c>
      <c r="D811" s="713" t="s">
        <v>34</v>
      </c>
      <c r="E811" s="713" t="s">
        <v>8556</v>
      </c>
    </row>
    <row r="812" spans="2:5" x14ac:dyDescent="0.2">
      <c r="B812" t="s">
        <v>6592</v>
      </c>
      <c r="C812" s="713" t="s">
        <v>8557</v>
      </c>
      <c r="D812" s="713" t="s">
        <v>34</v>
      </c>
      <c r="E812" s="713" t="s">
        <v>7412</v>
      </c>
    </row>
    <row r="813" spans="2:5" x14ac:dyDescent="0.2">
      <c r="B813" t="s">
        <v>6593</v>
      </c>
      <c r="C813" s="713" t="s">
        <v>8558</v>
      </c>
      <c r="D813" s="713" t="s">
        <v>34</v>
      </c>
      <c r="E813" s="713" t="s">
        <v>7524</v>
      </c>
    </row>
    <row r="814" spans="2:5" x14ac:dyDescent="0.2">
      <c r="B814" t="s">
        <v>1444</v>
      </c>
      <c r="C814" s="713" t="s">
        <v>8559</v>
      </c>
      <c r="D814" s="713" t="s">
        <v>34</v>
      </c>
      <c r="E814" s="713" t="s">
        <v>7418</v>
      </c>
    </row>
    <row r="815" spans="2:5" x14ac:dyDescent="0.2">
      <c r="B815" t="s">
        <v>6594</v>
      </c>
      <c r="C815" s="713" t="s">
        <v>8560</v>
      </c>
      <c r="D815" s="713" t="s">
        <v>34</v>
      </c>
      <c r="E815" s="713" t="s">
        <v>8561</v>
      </c>
    </row>
    <row r="816" spans="2:5" x14ac:dyDescent="0.2">
      <c r="B816" t="s">
        <v>6595</v>
      </c>
      <c r="C816" s="713" t="s">
        <v>8562</v>
      </c>
      <c r="D816" s="713" t="s">
        <v>8563</v>
      </c>
      <c r="E816" s="713" t="s">
        <v>8564</v>
      </c>
    </row>
    <row r="817" spans="2:5" x14ac:dyDescent="0.2">
      <c r="B817" t="s">
        <v>6596</v>
      </c>
      <c r="C817" s="713" t="s">
        <v>8565</v>
      </c>
      <c r="D817" s="713" t="s">
        <v>34</v>
      </c>
      <c r="E817" s="713" t="s">
        <v>8290</v>
      </c>
    </row>
    <row r="818" spans="2:5" x14ac:dyDescent="0.2">
      <c r="B818" t="s">
        <v>6597</v>
      </c>
      <c r="C818" s="713" t="s">
        <v>8566</v>
      </c>
      <c r="D818" s="713" t="s">
        <v>34</v>
      </c>
      <c r="E818" s="713" t="s">
        <v>7546</v>
      </c>
    </row>
    <row r="819" spans="2:5" x14ac:dyDescent="0.2">
      <c r="B819" t="s">
        <v>6598</v>
      </c>
      <c r="C819" s="713" t="s">
        <v>8567</v>
      </c>
      <c r="D819" s="713" t="s">
        <v>34</v>
      </c>
      <c r="E819" s="713" t="s">
        <v>7564</v>
      </c>
    </row>
    <row r="820" spans="2:5" x14ac:dyDescent="0.2">
      <c r="B820" t="s">
        <v>6599</v>
      </c>
      <c r="C820" s="713" t="s">
        <v>8568</v>
      </c>
      <c r="D820" s="713" t="s">
        <v>34</v>
      </c>
      <c r="E820" s="713" t="s">
        <v>7484</v>
      </c>
    </row>
    <row r="821" spans="2:5" x14ac:dyDescent="0.2">
      <c r="B821" t="s">
        <v>1431</v>
      </c>
      <c r="C821" s="713" t="s">
        <v>8569</v>
      </c>
      <c r="D821" s="713" t="s">
        <v>34</v>
      </c>
      <c r="E821" s="713" t="s">
        <v>7573</v>
      </c>
    </row>
    <row r="822" spans="2:5" x14ac:dyDescent="0.2">
      <c r="B822" t="s">
        <v>6600</v>
      </c>
      <c r="C822" s="713" t="s">
        <v>8570</v>
      </c>
      <c r="D822" s="713" t="s">
        <v>34</v>
      </c>
      <c r="E822" s="713" t="s">
        <v>7741</v>
      </c>
    </row>
    <row r="823" spans="2:5" x14ac:dyDescent="0.2">
      <c r="B823" t="s">
        <v>1421</v>
      </c>
      <c r="C823" s="713" t="s">
        <v>8571</v>
      </c>
      <c r="D823" s="713" t="s">
        <v>34</v>
      </c>
      <c r="E823" s="713" t="s">
        <v>7396</v>
      </c>
    </row>
    <row r="824" spans="2:5" x14ac:dyDescent="0.2">
      <c r="B824" t="s">
        <v>1783</v>
      </c>
      <c r="C824" s="713" t="s">
        <v>8572</v>
      </c>
      <c r="D824" s="713" t="s">
        <v>34</v>
      </c>
      <c r="E824" s="713" t="s">
        <v>7396</v>
      </c>
    </row>
    <row r="825" spans="2:5" x14ac:dyDescent="0.2">
      <c r="B825" t="s">
        <v>6601</v>
      </c>
      <c r="C825" s="713" t="s">
        <v>8573</v>
      </c>
      <c r="D825" s="713" t="s">
        <v>34</v>
      </c>
      <c r="E825" s="713" t="s">
        <v>8574</v>
      </c>
    </row>
    <row r="826" spans="2:5" x14ac:dyDescent="0.2">
      <c r="B826" t="s">
        <v>6602</v>
      </c>
      <c r="C826" s="713" t="s">
        <v>8575</v>
      </c>
      <c r="D826" s="713" t="s">
        <v>34</v>
      </c>
      <c r="E826" s="713" t="s">
        <v>8096</v>
      </c>
    </row>
    <row r="827" spans="2:5" x14ac:dyDescent="0.2">
      <c r="B827" t="s">
        <v>6603</v>
      </c>
      <c r="C827" s="713" t="s">
        <v>8576</v>
      </c>
      <c r="D827" s="713" t="s">
        <v>34</v>
      </c>
      <c r="E827" s="713" t="s">
        <v>7967</v>
      </c>
    </row>
    <row r="828" spans="2:5" x14ac:dyDescent="0.2">
      <c r="B828" t="s">
        <v>6604</v>
      </c>
      <c r="C828" s="713" t="s">
        <v>8577</v>
      </c>
      <c r="D828" s="713" t="s">
        <v>34</v>
      </c>
      <c r="E828" s="713" t="s">
        <v>7410</v>
      </c>
    </row>
    <row r="829" spans="2:5" x14ac:dyDescent="0.2">
      <c r="B829" t="s">
        <v>6605</v>
      </c>
      <c r="C829" s="713" t="s">
        <v>8578</v>
      </c>
      <c r="D829" s="713" t="s">
        <v>34</v>
      </c>
      <c r="E829" s="713" t="s">
        <v>7503</v>
      </c>
    </row>
    <row r="830" spans="2:5" x14ac:dyDescent="0.2">
      <c r="B830" t="s">
        <v>6606</v>
      </c>
      <c r="C830" s="713" t="s">
        <v>8579</v>
      </c>
      <c r="D830" s="713" t="s">
        <v>34</v>
      </c>
      <c r="E830" s="713" t="s">
        <v>8580</v>
      </c>
    </row>
    <row r="831" spans="2:5" x14ac:dyDescent="0.2">
      <c r="B831" t="s">
        <v>6607</v>
      </c>
      <c r="C831" s="713" t="s">
        <v>8581</v>
      </c>
      <c r="D831" s="713" t="s">
        <v>34</v>
      </c>
      <c r="E831" s="713" t="s">
        <v>7674</v>
      </c>
    </row>
    <row r="832" spans="2:5" x14ac:dyDescent="0.2">
      <c r="B832" t="s">
        <v>6608</v>
      </c>
      <c r="C832" s="713" t="s">
        <v>8582</v>
      </c>
      <c r="D832" s="713" t="s">
        <v>34</v>
      </c>
      <c r="E832" s="713" t="s">
        <v>8583</v>
      </c>
    </row>
    <row r="833" spans="2:5" x14ac:dyDescent="0.2">
      <c r="B833" t="s">
        <v>6609</v>
      </c>
      <c r="C833" s="713" t="s">
        <v>8584</v>
      </c>
      <c r="D833" s="713" t="s">
        <v>34</v>
      </c>
      <c r="E833" s="713" t="s">
        <v>7442</v>
      </c>
    </row>
    <row r="834" spans="2:5" x14ac:dyDescent="0.2">
      <c r="B834" t="s">
        <v>1456</v>
      </c>
      <c r="C834" s="713" t="s">
        <v>8584</v>
      </c>
      <c r="D834" s="713" t="s">
        <v>34</v>
      </c>
      <c r="E834" s="713" t="s">
        <v>7442</v>
      </c>
    </row>
    <row r="835" spans="2:5" x14ac:dyDescent="0.2">
      <c r="B835" t="s">
        <v>6610</v>
      </c>
      <c r="C835" s="713" t="s">
        <v>8004</v>
      </c>
      <c r="D835" s="713" t="s">
        <v>34</v>
      </c>
      <c r="E835" s="713" t="s">
        <v>7992</v>
      </c>
    </row>
    <row r="836" spans="2:5" x14ac:dyDescent="0.2">
      <c r="B836" t="s">
        <v>6611</v>
      </c>
      <c r="C836" s="713" t="s">
        <v>8585</v>
      </c>
      <c r="D836" s="713" t="s">
        <v>34</v>
      </c>
      <c r="E836" s="713" t="s">
        <v>8586</v>
      </c>
    </row>
    <row r="837" spans="2:5" x14ac:dyDescent="0.2">
      <c r="B837" t="s">
        <v>6612</v>
      </c>
      <c r="C837" s="713" t="s">
        <v>8587</v>
      </c>
      <c r="D837" s="713" t="s">
        <v>34</v>
      </c>
      <c r="E837" s="713" t="s">
        <v>8588</v>
      </c>
    </row>
    <row r="838" spans="2:5" x14ac:dyDescent="0.2">
      <c r="B838" t="s">
        <v>6613</v>
      </c>
      <c r="C838" s="713" t="s">
        <v>8589</v>
      </c>
      <c r="D838" s="713" t="s">
        <v>34</v>
      </c>
      <c r="E838" s="713" t="s">
        <v>7520</v>
      </c>
    </row>
    <row r="839" spans="2:5" x14ac:dyDescent="0.2">
      <c r="B839" t="s">
        <v>6614</v>
      </c>
      <c r="C839" s="713" t="s">
        <v>8590</v>
      </c>
      <c r="D839" s="713" t="s">
        <v>34</v>
      </c>
      <c r="E839" s="713" t="s">
        <v>8087</v>
      </c>
    </row>
    <row r="840" spans="2:5" x14ac:dyDescent="0.2">
      <c r="B840" t="s">
        <v>6615</v>
      </c>
      <c r="C840" s="713" t="s">
        <v>8591</v>
      </c>
      <c r="D840" s="713" t="s">
        <v>34</v>
      </c>
      <c r="E840" s="713" t="s">
        <v>8053</v>
      </c>
    </row>
    <row r="841" spans="2:5" x14ac:dyDescent="0.2">
      <c r="B841" t="s">
        <v>1448</v>
      </c>
      <c r="C841" s="713" t="s">
        <v>8592</v>
      </c>
      <c r="D841" s="713" t="s">
        <v>34</v>
      </c>
      <c r="E841" s="713" t="s">
        <v>8593</v>
      </c>
    </row>
    <row r="842" spans="2:5" x14ac:dyDescent="0.2">
      <c r="B842" t="s">
        <v>6616</v>
      </c>
      <c r="C842" s="713" t="s">
        <v>8594</v>
      </c>
      <c r="D842" s="713" t="s">
        <v>34</v>
      </c>
      <c r="E842" s="713" t="s">
        <v>8595</v>
      </c>
    </row>
    <row r="843" spans="2:5" x14ac:dyDescent="0.2">
      <c r="B843" t="s">
        <v>6617</v>
      </c>
      <c r="C843" s="713" t="s">
        <v>8596</v>
      </c>
      <c r="D843" s="713" t="s">
        <v>34</v>
      </c>
      <c r="E843" s="713" t="s">
        <v>7517</v>
      </c>
    </row>
    <row r="844" spans="2:5" x14ac:dyDescent="0.2">
      <c r="B844" t="s">
        <v>6618</v>
      </c>
      <c r="C844" s="713" t="s">
        <v>8597</v>
      </c>
      <c r="D844" s="713" t="s">
        <v>34</v>
      </c>
      <c r="E844" s="713" t="s">
        <v>7520</v>
      </c>
    </row>
    <row r="845" spans="2:5" x14ac:dyDescent="0.2">
      <c r="B845" t="s">
        <v>6619</v>
      </c>
      <c r="C845" s="713" t="s">
        <v>8598</v>
      </c>
      <c r="D845" s="713" t="s">
        <v>34</v>
      </c>
      <c r="E845" s="713" t="s">
        <v>7741</v>
      </c>
    </row>
    <row r="846" spans="2:5" x14ac:dyDescent="0.2">
      <c r="B846" t="s">
        <v>6620</v>
      </c>
      <c r="C846" s="713" t="s">
        <v>8599</v>
      </c>
      <c r="D846" s="713" t="s">
        <v>34</v>
      </c>
      <c r="E846" s="713" t="s">
        <v>8600</v>
      </c>
    </row>
    <row r="847" spans="2:5" x14ac:dyDescent="0.2">
      <c r="B847" t="s">
        <v>6621</v>
      </c>
      <c r="C847" s="713" t="s">
        <v>8601</v>
      </c>
      <c r="D847" s="713" t="s">
        <v>8602</v>
      </c>
      <c r="E847" s="713" t="s">
        <v>7396</v>
      </c>
    </row>
    <row r="848" spans="2:5" x14ac:dyDescent="0.2">
      <c r="B848" t="s">
        <v>6622</v>
      </c>
      <c r="C848" s="713" t="s">
        <v>8603</v>
      </c>
      <c r="D848" s="713" t="s">
        <v>34</v>
      </c>
      <c r="E848" s="713" t="s">
        <v>7573</v>
      </c>
    </row>
    <row r="849" spans="2:5" x14ac:dyDescent="0.2">
      <c r="B849" t="s">
        <v>6623</v>
      </c>
      <c r="C849" s="713" t="s">
        <v>8604</v>
      </c>
      <c r="D849" s="713" t="s">
        <v>34</v>
      </c>
      <c r="E849" s="713" t="s">
        <v>8605</v>
      </c>
    </row>
    <row r="850" spans="2:5" x14ac:dyDescent="0.2">
      <c r="B850" t="s">
        <v>6624</v>
      </c>
      <c r="C850" s="713" t="s">
        <v>8221</v>
      </c>
      <c r="D850" s="713" t="s">
        <v>34</v>
      </c>
      <c r="E850" s="713" t="s">
        <v>8222</v>
      </c>
    </row>
    <row r="851" spans="2:5" x14ac:dyDescent="0.2">
      <c r="B851" t="s">
        <v>6625</v>
      </c>
      <c r="C851" s="713" t="s">
        <v>8606</v>
      </c>
      <c r="D851" s="713" t="s">
        <v>34</v>
      </c>
      <c r="E851" s="713" t="s">
        <v>7458</v>
      </c>
    </row>
    <row r="852" spans="2:5" x14ac:dyDescent="0.2">
      <c r="B852" t="s">
        <v>6626</v>
      </c>
      <c r="C852" s="713" t="s">
        <v>8607</v>
      </c>
      <c r="D852" s="713" t="s">
        <v>34</v>
      </c>
      <c r="E852" s="713" t="s">
        <v>8608</v>
      </c>
    </row>
    <row r="853" spans="2:5" x14ac:dyDescent="0.2">
      <c r="B853" t="s">
        <v>6627</v>
      </c>
      <c r="C853" s="713" t="s">
        <v>8609</v>
      </c>
      <c r="D853" s="713" t="s">
        <v>34</v>
      </c>
      <c r="E853" s="713" t="s">
        <v>7967</v>
      </c>
    </row>
    <row r="854" spans="2:5" x14ac:dyDescent="0.2">
      <c r="B854" t="s">
        <v>6628</v>
      </c>
      <c r="C854" s="713" t="s">
        <v>8610</v>
      </c>
      <c r="D854" s="713" t="s">
        <v>34</v>
      </c>
      <c r="E854" s="713" t="s">
        <v>7396</v>
      </c>
    </row>
    <row r="855" spans="2:5" x14ac:dyDescent="0.2">
      <c r="B855" t="s">
        <v>6629</v>
      </c>
      <c r="C855" s="713" t="s">
        <v>8611</v>
      </c>
      <c r="D855" s="713" t="s">
        <v>34</v>
      </c>
      <c r="E855" s="713" t="s">
        <v>8612</v>
      </c>
    </row>
    <row r="856" spans="2:5" x14ac:dyDescent="0.2">
      <c r="B856" t="s">
        <v>6630</v>
      </c>
      <c r="C856" s="713" t="s">
        <v>8613</v>
      </c>
      <c r="D856" s="713" t="s">
        <v>34</v>
      </c>
      <c r="E856" s="713" t="s">
        <v>7429</v>
      </c>
    </row>
    <row r="857" spans="2:5" x14ac:dyDescent="0.2">
      <c r="B857" t="s">
        <v>6631</v>
      </c>
      <c r="C857" s="713" t="s">
        <v>8614</v>
      </c>
      <c r="D857" s="713" t="s">
        <v>34</v>
      </c>
      <c r="E857" s="713" t="s">
        <v>8612</v>
      </c>
    </row>
    <row r="858" spans="2:5" x14ac:dyDescent="0.2">
      <c r="B858" t="s">
        <v>6632</v>
      </c>
      <c r="C858" s="713" t="s">
        <v>8615</v>
      </c>
      <c r="D858" s="713" t="s">
        <v>34</v>
      </c>
      <c r="E858" s="713" t="s">
        <v>8616</v>
      </c>
    </row>
    <row r="859" spans="2:5" x14ac:dyDescent="0.2">
      <c r="B859" t="s">
        <v>6633</v>
      </c>
      <c r="C859" s="713" t="s">
        <v>8617</v>
      </c>
      <c r="D859" s="713" t="s">
        <v>34</v>
      </c>
      <c r="E859" s="713" t="s">
        <v>8618</v>
      </c>
    </row>
    <row r="860" spans="2:5" x14ac:dyDescent="0.2">
      <c r="B860" t="s">
        <v>6634</v>
      </c>
      <c r="C860" s="713" t="s">
        <v>8619</v>
      </c>
      <c r="D860" s="713" t="s">
        <v>34</v>
      </c>
      <c r="E860" s="713" t="s">
        <v>8620</v>
      </c>
    </row>
    <row r="861" spans="2:5" x14ac:dyDescent="0.2">
      <c r="B861" t="s">
        <v>6635</v>
      </c>
      <c r="C861" s="713" t="s">
        <v>34</v>
      </c>
      <c r="D861" s="713" t="s">
        <v>34</v>
      </c>
      <c r="E861" s="713" t="s">
        <v>7611</v>
      </c>
    </row>
    <row r="862" spans="2:5" x14ac:dyDescent="0.2">
      <c r="B862" t="s">
        <v>6636</v>
      </c>
      <c r="C862" s="713" t="s">
        <v>8621</v>
      </c>
      <c r="D862" s="713" t="s">
        <v>34</v>
      </c>
      <c r="E862" s="713" t="s">
        <v>8622</v>
      </c>
    </row>
    <row r="863" spans="2:5" x14ac:dyDescent="0.2">
      <c r="B863" t="s">
        <v>6637</v>
      </c>
      <c r="C863" s="713" t="s">
        <v>8623</v>
      </c>
      <c r="D863" s="713" t="s">
        <v>34</v>
      </c>
      <c r="E863" s="713" t="s">
        <v>8622</v>
      </c>
    </row>
    <row r="864" spans="2:5" x14ac:dyDescent="0.2">
      <c r="B864" t="s">
        <v>5265</v>
      </c>
      <c r="C864" s="713" t="s">
        <v>8624</v>
      </c>
      <c r="D864" s="713" t="s">
        <v>34</v>
      </c>
      <c r="E864" s="713" t="s">
        <v>8625</v>
      </c>
    </row>
    <row r="865" spans="2:5" x14ac:dyDescent="0.2">
      <c r="B865" t="s">
        <v>1402</v>
      </c>
      <c r="C865" s="713" t="s">
        <v>8250</v>
      </c>
      <c r="D865" s="713" t="s">
        <v>34</v>
      </c>
      <c r="E865" s="713" t="s">
        <v>8622</v>
      </c>
    </row>
    <row r="866" spans="2:5" x14ac:dyDescent="0.2">
      <c r="B866" t="s">
        <v>6638</v>
      </c>
      <c r="C866" s="713" t="s">
        <v>8626</v>
      </c>
      <c r="D866" s="713" t="s">
        <v>34</v>
      </c>
      <c r="E866" s="713" t="s">
        <v>7509</v>
      </c>
    </row>
    <row r="867" spans="2:5" x14ac:dyDescent="0.2">
      <c r="B867" t="s">
        <v>6639</v>
      </c>
      <c r="C867" s="713" t="s">
        <v>8627</v>
      </c>
      <c r="D867" s="713" t="s">
        <v>34</v>
      </c>
      <c r="E867" s="713" t="s">
        <v>7546</v>
      </c>
    </row>
    <row r="868" spans="2:5" x14ac:dyDescent="0.2">
      <c r="B868" t="s">
        <v>6640</v>
      </c>
      <c r="C868" s="713" t="s">
        <v>8628</v>
      </c>
      <c r="D868" s="713" t="s">
        <v>34</v>
      </c>
      <c r="E868" s="713" t="s">
        <v>7587</v>
      </c>
    </row>
    <row r="869" spans="2:5" x14ac:dyDescent="0.2">
      <c r="B869" t="s">
        <v>6641</v>
      </c>
      <c r="C869" s="713" t="s">
        <v>8629</v>
      </c>
      <c r="D869" s="713" t="s">
        <v>34</v>
      </c>
      <c r="E869" s="713" t="s">
        <v>8630</v>
      </c>
    </row>
    <row r="870" spans="2:5" x14ac:dyDescent="0.2">
      <c r="B870" t="s">
        <v>6642</v>
      </c>
      <c r="C870" s="713" t="s">
        <v>8631</v>
      </c>
      <c r="D870" s="713" t="s">
        <v>34</v>
      </c>
      <c r="E870" s="713" t="s">
        <v>7412</v>
      </c>
    </row>
    <row r="871" spans="2:5" x14ac:dyDescent="0.2">
      <c r="B871" t="s">
        <v>6643</v>
      </c>
      <c r="C871" s="713" t="s">
        <v>8632</v>
      </c>
      <c r="D871" s="713" t="s">
        <v>34</v>
      </c>
      <c r="E871" s="713" t="s">
        <v>8633</v>
      </c>
    </row>
    <row r="872" spans="2:5" x14ac:dyDescent="0.2">
      <c r="B872" t="s">
        <v>6644</v>
      </c>
      <c r="C872" s="713" t="s">
        <v>8634</v>
      </c>
      <c r="D872" s="713" t="s">
        <v>34</v>
      </c>
      <c r="E872" s="713" t="s">
        <v>7520</v>
      </c>
    </row>
    <row r="873" spans="2:5" x14ac:dyDescent="0.2">
      <c r="B873" t="s">
        <v>6645</v>
      </c>
      <c r="C873" s="713" t="s">
        <v>8635</v>
      </c>
      <c r="D873" s="713" t="s">
        <v>34</v>
      </c>
      <c r="E873" s="713" t="s">
        <v>7546</v>
      </c>
    </row>
    <row r="874" spans="2:5" x14ac:dyDescent="0.2">
      <c r="B874" t="s">
        <v>6646</v>
      </c>
      <c r="C874" s="713" t="s">
        <v>8636</v>
      </c>
      <c r="D874" s="713" t="s">
        <v>34</v>
      </c>
      <c r="E874" s="713" t="s">
        <v>8637</v>
      </c>
    </row>
    <row r="875" spans="2:5" x14ac:dyDescent="0.2">
      <c r="B875" t="s">
        <v>6647</v>
      </c>
      <c r="C875" s="713" t="s">
        <v>8638</v>
      </c>
      <c r="D875" s="713" t="s">
        <v>34</v>
      </c>
      <c r="E875" s="713" t="s">
        <v>8639</v>
      </c>
    </row>
    <row r="876" spans="2:5" x14ac:dyDescent="0.2">
      <c r="B876" t="s">
        <v>6648</v>
      </c>
      <c r="C876" s="713" t="s">
        <v>8640</v>
      </c>
      <c r="D876" s="713" t="s">
        <v>34</v>
      </c>
      <c r="E876" s="713" t="s">
        <v>7429</v>
      </c>
    </row>
    <row r="877" spans="2:5" x14ac:dyDescent="0.2">
      <c r="B877" t="s">
        <v>6649</v>
      </c>
      <c r="C877" s="713" t="s">
        <v>8641</v>
      </c>
      <c r="D877" s="713" t="s">
        <v>34</v>
      </c>
      <c r="E877" s="713" t="s">
        <v>7546</v>
      </c>
    </row>
    <row r="878" spans="2:5" x14ac:dyDescent="0.2">
      <c r="B878" t="s">
        <v>6650</v>
      </c>
      <c r="C878" s="713" t="s">
        <v>8642</v>
      </c>
      <c r="D878" s="713" t="s">
        <v>34</v>
      </c>
      <c r="E878" s="713" t="s">
        <v>7410</v>
      </c>
    </row>
    <row r="879" spans="2:5" x14ac:dyDescent="0.2">
      <c r="B879" t="s">
        <v>6651</v>
      </c>
      <c r="C879" s="713" t="s">
        <v>8643</v>
      </c>
      <c r="D879" s="713" t="s">
        <v>34</v>
      </c>
      <c r="E879" s="713" t="s">
        <v>7462</v>
      </c>
    </row>
    <row r="880" spans="2:5" x14ac:dyDescent="0.2">
      <c r="B880" t="s">
        <v>6652</v>
      </c>
      <c r="C880" s="713" t="s">
        <v>8644</v>
      </c>
      <c r="D880" s="713" t="s">
        <v>34</v>
      </c>
      <c r="E880" s="713" t="s">
        <v>7396</v>
      </c>
    </row>
    <row r="881" spans="2:5" x14ac:dyDescent="0.2">
      <c r="B881" t="s">
        <v>1415</v>
      </c>
      <c r="C881" s="713" t="s">
        <v>8645</v>
      </c>
      <c r="D881" s="713" t="s">
        <v>34</v>
      </c>
      <c r="E881" s="713" t="s">
        <v>7416</v>
      </c>
    </row>
    <row r="882" spans="2:5" x14ac:dyDescent="0.2">
      <c r="B882" t="s">
        <v>6653</v>
      </c>
      <c r="C882" s="713" t="s">
        <v>8646</v>
      </c>
      <c r="D882" s="713" t="s">
        <v>34</v>
      </c>
      <c r="E882" s="713" t="s">
        <v>8647</v>
      </c>
    </row>
    <row r="883" spans="2:5" x14ac:dyDescent="0.2">
      <c r="B883" t="s">
        <v>6654</v>
      </c>
      <c r="C883" s="713" t="s">
        <v>8648</v>
      </c>
      <c r="D883" s="713" t="s">
        <v>34</v>
      </c>
      <c r="E883" s="713" t="s">
        <v>8187</v>
      </c>
    </row>
    <row r="884" spans="2:5" x14ac:dyDescent="0.2">
      <c r="B884" t="s">
        <v>6655</v>
      </c>
      <c r="C884" s="713" t="s">
        <v>8649</v>
      </c>
      <c r="D884" s="713" t="s">
        <v>34</v>
      </c>
      <c r="E884" s="713" t="s">
        <v>8087</v>
      </c>
    </row>
    <row r="885" spans="2:5" x14ac:dyDescent="0.2">
      <c r="B885" t="s">
        <v>1743</v>
      </c>
      <c r="C885" s="713" t="s">
        <v>8650</v>
      </c>
      <c r="D885" s="713" t="s">
        <v>34</v>
      </c>
      <c r="E885" s="713" t="s">
        <v>8637</v>
      </c>
    </row>
    <row r="886" spans="2:5" x14ac:dyDescent="0.2">
      <c r="B886" t="s">
        <v>5165</v>
      </c>
      <c r="C886" s="713" t="s">
        <v>8651</v>
      </c>
      <c r="D886" s="713" t="s">
        <v>34</v>
      </c>
      <c r="E886" s="713" t="s">
        <v>8637</v>
      </c>
    </row>
    <row r="887" spans="2:5" x14ac:dyDescent="0.2">
      <c r="B887" t="s">
        <v>6656</v>
      </c>
      <c r="C887" s="713" t="s">
        <v>8652</v>
      </c>
      <c r="D887" s="713" t="s">
        <v>34</v>
      </c>
      <c r="E887" s="713" t="s">
        <v>7412</v>
      </c>
    </row>
    <row r="888" spans="2:5" x14ac:dyDescent="0.2">
      <c r="B888" t="s">
        <v>6657</v>
      </c>
      <c r="C888" s="713" t="s">
        <v>8653</v>
      </c>
      <c r="D888" s="713" t="s">
        <v>34</v>
      </c>
      <c r="E888" s="713" t="s">
        <v>8654</v>
      </c>
    </row>
    <row r="889" spans="2:5" x14ac:dyDescent="0.2">
      <c r="B889" t="s">
        <v>6658</v>
      </c>
      <c r="C889" s="713" t="s">
        <v>8655</v>
      </c>
      <c r="D889" s="713" t="s">
        <v>34</v>
      </c>
      <c r="E889" s="713" t="s">
        <v>8656</v>
      </c>
    </row>
    <row r="890" spans="2:5" x14ac:dyDescent="0.2">
      <c r="B890" t="s">
        <v>6659</v>
      </c>
      <c r="C890" s="713" t="s">
        <v>8657</v>
      </c>
      <c r="D890" s="713" t="s">
        <v>34</v>
      </c>
      <c r="E890" s="713" t="s">
        <v>8658</v>
      </c>
    </row>
    <row r="891" spans="2:5" x14ac:dyDescent="0.2">
      <c r="B891" t="s">
        <v>6660</v>
      </c>
      <c r="C891" s="713" t="s">
        <v>8659</v>
      </c>
      <c r="D891" s="713" t="s">
        <v>34</v>
      </c>
      <c r="E891" s="713" t="s">
        <v>7396</v>
      </c>
    </row>
    <row r="892" spans="2:5" x14ac:dyDescent="0.2">
      <c r="B892" t="s">
        <v>6661</v>
      </c>
      <c r="C892" s="713" t="s">
        <v>8660</v>
      </c>
      <c r="D892" s="713" t="s">
        <v>34</v>
      </c>
      <c r="E892" s="713" t="s">
        <v>7674</v>
      </c>
    </row>
    <row r="893" spans="2:5" x14ac:dyDescent="0.2">
      <c r="B893" t="s">
        <v>6662</v>
      </c>
      <c r="C893" s="713" t="s">
        <v>8661</v>
      </c>
      <c r="D893" s="713" t="s">
        <v>34</v>
      </c>
      <c r="E893" s="713" t="s">
        <v>8662</v>
      </c>
    </row>
    <row r="894" spans="2:5" x14ac:dyDescent="0.2">
      <c r="B894" t="s">
        <v>6663</v>
      </c>
      <c r="C894" s="713" t="s">
        <v>8663</v>
      </c>
      <c r="D894" s="713" t="s">
        <v>34</v>
      </c>
      <c r="E894" s="713" t="s">
        <v>7480</v>
      </c>
    </row>
    <row r="895" spans="2:5" x14ac:dyDescent="0.2">
      <c r="B895" t="s">
        <v>1977</v>
      </c>
      <c r="C895" s="713" t="s">
        <v>8664</v>
      </c>
      <c r="D895" s="713" t="s">
        <v>34</v>
      </c>
      <c r="E895" s="713" t="s">
        <v>8379</v>
      </c>
    </row>
    <row r="896" spans="2:5" x14ac:dyDescent="0.2">
      <c r="B896" t="s">
        <v>6664</v>
      </c>
      <c r="C896" s="713" t="s">
        <v>8665</v>
      </c>
      <c r="D896" s="713" t="s">
        <v>34</v>
      </c>
      <c r="E896" s="713" t="s">
        <v>7644</v>
      </c>
    </row>
    <row r="897" spans="2:5" x14ac:dyDescent="0.2">
      <c r="B897" t="s">
        <v>6665</v>
      </c>
      <c r="C897" s="713" t="s">
        <v>8666</v>
      </c>
      <c r="D897" s="713" t="s">
        <v>34</v>
      </c>
      <c r="E897" s="713" t="s">
        <v>8667</v>
      </c>
    </row>
    <row r="898" spans="2:5" x14ac:dyDescent="0.2">
      <c r="B898" t="s">
        <v>6666</v>
      </c>
      <c r="C898" s="713" t="s">
        <v>8668</v>
      </c>
      <c r="D898" s="713" t="s">
        <v>34</v>
      </c>
      <c r="E898" s="713" t="s">
        <v>8669</v>
      </c>
    </row>
    <row r="899" spans="2:5" x14ac:dyDescent="0.2">
      <c r="B899" t="s">
        <v>6667</v>
      </c>
      <c r="C899" s="713" t="s">
        <v>8670</v>
      </c>
      <c r="D899" s="713" t="s">
        <v>34</v>
      </c>
      <c r="E899" s="713" t="s">
        <v>7480</v>
      </c>
    </row>
    <row r="900" spans="2:5" x14ac:dyDescent="0.2">
      <c r="B900" t="s">
        <v>6668</v>
      </c>
      <c r="C900" s="713" t="s">
        <v>8671</v>
      </c>
      <c r="D900" s="713" t="s">
        <v>34</v>
      </c>
      <c r="E900" s="713" t="s">
        <v>8625</v>
      </c>
    </row>
    <row r="901" spans="2:5" x14ac:dyDescent="0.2">
      <c r="B901" t="s">
        <v>6669</v>
      </c>
      <c r="C901" s="713" t="s">
        <v>8672</v>
      </c>
      <c r="D901" s="713" t="s">
        <v>34</v>
      </c>
      <c r="E901" s="713" t="s">
        <v>7410</v>
      </c>
    </row>
    <row r="902" spans="2:5" x14ac:dyDescent="0.2">
      <c r="B902" t="s">
        <v>6670</v>
      </c>
      <c r="C902" s="713" t="s">
        <v>8673</v>
      </c>
      <c r="D902" s="713" t="s">
        <v>34</v>
      </c>
      <c r="E902" s="713" t="s">
        <v>7587</v>
      </c>
    </row>
    <row r="903" spans="2:5" x14ac:dyDescent="0.2">
      <c r="B903" t="s">
        <v>6671</v>
      </c>
      <c r="C903" s="713" t="s">
        <v>8674</v>
      </c>
      <c r="D903" s="713" t="s">
        <v>34</v>
      </c>
      <c r="E903" s="713" t="s">
        <v>7546</v>
      </c>
    </row>
    <row r="904" spans="2:5" x14ac:dyDescent="0.2">
      <c r="B904" t="s">
        <v>6672</v>
      </c>
      <c r="C904" s="713" t="s">
        <v>8675</v>
      </c>
      <c r="D904" s="713" t="s">
        <v>34</v>
      </c>
      <c r="E904" s="713" t="s">
        <v>7416</v>
      </c>
    </row>
    <row r="905" spans="2:5" x14ac:dyDescent="0.2">
      <c r="B905" t="s">
        <v>6673</v>
      </c>
      <c r="C905" s="713" t="s">
        <v>8676</v>
      </c>
      <c r="D905" s="713" t="s">
        <v>34</v>
      </c>
      <c r="E905" s="713" t="s">
        <v>8677</v>
      </c>
    </row>
    <row r="906" spans="2:5" x14ac:dyDescent="0.2">
      <c r="B906" t="s">
        <v>6674</v>
      </c>
      <c r="C906" s="713" t="s">
        <v>8678</v>
      </c>
      <c r="D906" s="713" t="s">
        <v>34</v>
      </c>
      <c r="E906" s="713" t="s">
        <v>7887</v>
      </c>
    </row>
    <row r="907" spans="2:5" x14ac:dyDescent="0.2">
      <c r="B907" t="s">
        <v>6675</v>
      </c>
      <c r="C907" s="713" t="s">
        <v>8679</v>
      </c>
      <c r="D907" s="713" t="s">
        <v>34</v>
      </c>
      <c r="E907" s="713" t="s">
        <v>7960</v>
      </c>
    </row>
    <row r="908" spans="2:5" x14ac:dyDescent="0.2">
      <c r="B908" t="s">
        <v>6676</v>
      </c>
      <c r="C908" s="713" t="s">
        <v>8680</v>
      </c>
      <c r="D908" s="713" t="s">
        <v>34</v>
      </c>
      <c r="E908" s="713" t="s">
        <v>7412</v>
      </c>
    </row>
    <row r="909" spans="2:5" x14ac:dyDescent="0.2">
      <c r="B909" t="s">
        <v>6677</v>
      </c>
      <c r="C909" s="713" t="s">
        <v>8681</v>
      </c>
      <c r="D909" s="713" t="s">
        <v>34</v>
      </c>
      <c r="E909" s="713" t="s">
        <v>7394</v>
      </c>
    </row>
    <row r="910" spans="2:5" x14ac:dyDescent="0.2">
      <c r="B910" t="s">
        <v>6678</v>
      </c>
      <c r="C910" s="713" t="s">
        <v>8682</v>
      </c>
      <c r="D910" s="713" t="s">
        <v>34</v>
      </c>
      <c r="E910" s="713" t="s">
        <v>7394</v>
      </c>
    </row>
    <row r="911" spans="2:5" x14ac:dyDescent="0.2">
      <c r="B911" t="s">
        <v>6679</v>
      </c>
      <c r="C911" s="713" t="s">
        <v>8683</v>
      </c>
      <c r="D911" s="713" t="s">
        <v>34</v>
      </c>
      <c r="E911" s="713" t="s">
        <v>8684</v>
      </c>
    </row>
    <row r="912" spans="2:5" x14ac:dyDescent="0.2">
      <c r="B912" t="s">
        <v>6680</v>
      </c>
      <c r="C912" s="713" t="s">
        <v>8685</v>
      </c>
      <c r="D912" s="713" t="s">
        <v>34</v>
      </c>
      <c r="E912" s="713" t="s">
        <v>8686</v>
      </c>
    </row>
    <row r="913" spans="2:5" x14ac:dyDescent="0.2">
      <c r="B913" t="s">
        <v>6681</v>
      </c>
      <c r="C913" s="713" t="s">
        <v>8687</v>
      </c>
      <c r="D913" s="713" t="s">
        <v>34</v>
      </c>
      <c r="E913" s="713" t="s">
        <v>7509</v>
      </c>
    </row>
    <row r="914" spans="2:5" x14ac:dyDescent="0.2">
      <c r="B914" t="s">
        <v>6682</v>
      </c>
      <c r="C914" s="713" t="s">
        <v>8688</v>
      </c>
      <c r="D914" s="713" t="s">
        <v>34</v>
      </c>
      <c r="E914" s="713" t="s">
        <v>8091</v>
      </c>
    </row>
    <row r="915" spans="2:5" x14ac:dyDescent="0.2">
      <c r="B915" t="s">
        <v>6683</v>
      </c>
      <c r="C915" s="713" t="s">
        <v>8689</v>
      </c>
      <c r="D915" s="713" t="s">
        <v>34</v>
      </c>
      <c r="E915" s="713" t="s">
        <v>7614</v>
      </c>
    </row>
    <row r="916" spans="2:5" x14ac:dyDescent="0.2">
      <c r="B916" t="s">
        <v>6684</v>
      </c>
      <c r="C916" s="713" t="s">
        <v>8690</v>
      </c>
      <c r="D916" s="713" t="s">
        <v>34</v>
      </c>
      <c r="E916" s="713" t="s">
        <v>7396</v>
      </c>
    </row>
    <row r="917" spans="2:5" x14ac:dyDescent="0.2">
      <c r="B917" t="s">
        <v>6685</v>
      </c>
      <c r="C917" s="713" t="s">
        <v>8691</v>
      </c>
      <c r="D917" s="713" t="s">
        <v>34</v>
      </c>
      <c r="E917" s="713" t="s">
        <v>8070</v>
      </c>
    </row>
    <row r="918" spans="2:5" x14ac:dyDescent="0.2">
      <c r="B918" t="s">
        <v>6686</v>
      </c>
      <c r="C918" s="713" t="s">
        <v>8692</v>
      </c>
      <c r="D918" s="713" t="s">
        <v>34</v>
      </c>
      <c r="E918" s="713" t="s">
        <v>7410</v>
      </c>
    </row>
    <row r="919" spans="2:5" x14ac:dyDescent="0.2">
      <c r="B919" t="s">
        <v>6687</v>
      </c>
      <c r="C919" s="713" t="s">
        <v>8693</v>
      </c>
      <c r="D919" s="713" t="s">
        <v>34</v>
      </c>
      <c r="E919" s="713" t="s">
        <v>7464</v>
      </c>
    </row>
    <row r="920" spans="2:5" x14ac:dyDescent="0.2">
      <c r="B920" t="s">
        <v>6688</v>
      </c>
      <c r="C920" s="713" t="s">
        <v>8694</v>
      </c>
      <c r="D920" s="713" t="s">
        <v>34</v>
      </c>
      <c r="E920" s="713" t="s">
        <v>8695</v>
      </c>
    </row>
    <row r="921" spans="2:5" x14ac:dyDescent="0.2">
      <c r="B921" t="s">
        <v>6689</v>
      </c>
      <c r="C921" s="713" t="s">
        <v>8696</v>
      </c>
      <c r="D921" s="713" t="s">
        <v>34</v>
      </c>
      <c r="E921" s="713" t="s">
        <v>8070</v>
      </c>
    </row>
    <row r="922" spans="2:5" x14ac:dyDescent="0.2">
      <c r="B922" t="s">
        <v>6690</v>
      </c>
      <c r="C922" s="713" t="s">
        <v>8697</v>
      </c>
      <c r="D922" s="713" t="s">
        <v>34</v>
      </c>
      <c r="E922" s="713" t="s">
        <v>8698</v>
      </c>
    </row>
    <row r="923" spans="2:5" x14ac:dyDescent="0.2">
      <c r="B923" t="s">
        <v>6691</v>
      </c>
      <c r="C923" s="713" t="s">
        <v>8699</v>
      </c>
      <c r="D923" s="713" t="s">
        <v>8700</v>
      </c>
      <c r="E923" s="713" t="s">
        <v>8701</v>
      </c>
    </row>
    <row r="924" spans="2:5" x14ac:dyDescent="0.2">
      <c r="B924" t="s">
        <v>6692</v>
      </c>
      <c r="C924" s="713" t="s">
        <v>8702</v>
      </c>
      <c r="D924" s="713" t="s">
        <v>34</v>
      </c>
      <c r="E924" s="713" t="s">
        <v>7564</v>
      </c>
    </row>
    <row r="925" spans="2:5" x14ac:dyDescent="0.2">
      <c r="B925" t="s">
        <v>6693</v>
      </c>
      <c r="C925" s="713" t="s">
        <v>8703</v>
      </c>
      <c r="D925" s="713" t="s">
        <v>34</v>
      </c>
      <c r="E925" s="713" t="s">
        <v>7418</v>
      </c>
    </row>
    <row r="926" spans="2:5" x14ac:dyDescent="0.2">
      <c r="B926" t="s">
        <v>6694</v>
      </c>
      <c r="C926" s="713" t="s">
        <v>8704</v>
      </c>
      <c r="D926" s="713" t="s">
        <v>34</v>
      </c>
      <c r="E926" s="713" t="s">
        <v>7394</v>
      </c>
    </row>
    <row r="927" spans="2:5" x14ac:dyDescent="0.2">
      <c r="B927" t="s">
        <v>6695</v>
      </c>
      <c r="C927" s="713" t="s">
        <v>34</v>
      </c>
      <c r="D927" s="713" t="s">
        <v>34</v>
      </c>
      <c r="E927" s="713" t="s">
        <v>7611</v>
      </c>
    </row>
    <row r="928" spans="2:5" x14ac:dyDescent="0.2">
      <c r="B928" t="s">
        <v>6696</v>
      </c>
      <c r="C928" s="713" t="s">
        <v>8705</v>
      </c>
      <c r="D928" s="713" t="s">
        <v>34</v>
      </c>
      <c r="E928" s="713" t="s">
        <v>7577</v>
      </c>
    </row>
    <row r="929" spans="2:5" x14ac:dyDescent="0.2">
      <c r="B929" t="s">
        <v>6697</v>
      </c>
      <c r="C929" s="713" t="s">
        <v>8706</v>
      </c>
      <c r="D929" s="713" t="s">
        <v>34</v>
      </c>
      <c r="E929" s="713" t="s">
        <v>8707</v>
      </c>
    </row>
    <row r="930" spans="2:5" x14ac:dyDescent="0.2">
      <c r="B930" t="s">
        <v>6698</v>
      </c>
      <c r="C930" s="713" t="s">
        <v>8708</v>
      </c>
      <c r="D930" s="713" t="s">
        <v>34</v>
      </c>
      <c r="E930" s="713" t="s">
        <v>7442</v>
      </c>
    </row>
    <row r="931" spans="2:5" x14ac:dyDescent="0.2">
      <c r="B931" t="s">
        <v>6699</v>
      </c>
      <c r="C931" s="713" t="s">
        <v>8709</v>
      </c>
      <c r="D931" s="713" t="s">
        <v>34</v>
      </c>
      <c r="E931" s="713" t="s">
        <v>8710</v>
      </c>
    </row>
    <row r="932" spans="2:5" x14ac:dyDescent="0.2">
      <c r="B932" t="s">
        <v>6700</v>
      </c>
      <c r="C932" s="713" t="s">
        <v>8711</v>
      </c>
      <c r="D932" s="713" t="s">
        <v>34</v>
      </c>
      <c r="E932" s="713" t="s">
        <v>8712</v>
      </c>
    </row>
    <row r="933" spans="2:5" x14ac:dyDescent="0.2">
      <c r="B933" t="s">
        <v>6701</v>
      </c>
      <c r="C933" s="713" t="s">
        <v>8713</v>
      </c>
      <c r="D933" s="713" t="s">
        <v>34</v>
      </c>
      <c r="E933" s="713" t="s">
        <v>7458</v>
      </c>
    </row>
    <row r="934" spans="2:5" x14ac:dyDescent="0.2">
      <c r="B934" t="s">
        <v>6702</v>
      </c>
      <c r="C934" s="713" t="s">
        <v>8714</v>
      </c>
      <c r="D934" s="713" t="s">
        <v>34</v>
      </c>
      <c r="E934" s="713" t="s">
        <v>8523</v>
      </c>
    </row>
    <row r="935" spans="2:5" x14ac:dyDescent="0.2">
      <c r="B935" t="s">
        <v>6703</v>
      </c>
      <c r="C935" s="713" t="s">
        <v>8089</v>
      </c>
      <c r="D935" s="713" t="s">
        <v>34</v>
      </c>
      <c r="E935" s="713" t="s">
        <v>7410</v>
      </c>
    </row>
    <row r="936" spans="2:5" x14ac:dyDescent="0.2">
      <c r="B936" t="s">
        <v>6704</v>
      </c>
      <c r="C936" s="713" t="s">
        <v>8715</v>
      </c>
      <c r="D936" s="713" t="s">
        <v>34</v>
      </c>
      <c r="E936" s="713" t="s">
        <v>7570</v>
      </c>
    </row>
    <row r="937" spans="2:5" x14ac:dyDescent="0.2">
      <c r="B937" t="s">
        <v>6705</v>
      </c>
      <c r="C937" s="713" t="s">
        <v>8716</v>
      </c>
      <c r="D937" s="713" t="s">
        <v>34</v>
      </c>
      <c r="E937" s="713" t="s">
        <v>7674</v>
      </c>
    </row>
    <row r="938" spans="2:5" x14ac:dyDescent="0.2">
      <c r="B938" t="s">
        <v>6706</v>
      </c>
      <c r="C938" s="713" t="s">
        <v>8717</v>
      </c>
      <c r="D938" s="713" t="s">
        <v>34</v>
      </c>
      <c r="E938" s="713" t="s">
        <v>7783</v>
      </c>
    </row>
    <row r="939" spans="2:5" x14ac:dyDescent="0.2">
      <c r="B939" t="s">
        <v>6707</v>
      </c>
      <c r="C939" s="713" t="s">
        <v>8718</v>
      </c>
      <c r="D939" s="713" t="s">
        <v>34</v>
      </c>
      <c r="E939" s="713" t="s">
        <v>8719</v>
      </c>
    </row>
    <row r="940" spans="2:5" x14ac:dyDescent="0.2">
      <c r="B940" t="s">
        <v>6708</v>
      </c>
      <c r="C940" s="713" t="s">
        <v>8720</v>
      </c>
      <c r="D940" s="713" t="s">
        <v>34</v>
      </c>
      <c r="E940" s="713" t="s">
        <v>8197</v>
      </c>
    </row>
    <row r="941" spans="2:5" x14ac:dyDescent="0.2">
      <c r="B941" t="s">
        <v>6709</v>
      </c>
      <c r="C941" s="713" t="s">
        <v>8721</v>
      </c>
      <c r="D941" s="713" t="s">
        <v>34</v>
      </c>
      <c r="E941" s="713" t="s">
        <v>8176</v>
      </c>
    </row>
    <row r="942" spans="2:5" x14ac:dyDescent="0.2">
      <c r="B942" t="s">
        <v>6710</v>
      </c>
      <c r="C942" s="713" t="s">
        <v>8722</v>
      </c>
      <c r="D942" s="713" t="s">
        <v>34</v>
      </c>
      <c r="E942" s="713" t="s">
        <v>7480</v>
      </c>
    </row>
    <row r="943" spans="2:5" x14ac:dyDescent="0.2">
      <c r="B943" t="s">
        <v>6711</v>
      </c>
      <c r="C943" s="713" t="s">
        <v>8723</v>
      </c>
      <c r="D943" s="713" t="s">
        <v>34</v>
      </c>
      <c r="E943" s="713" t="s">
        <v>7442</v>
      </c>
    </row>
    <row r="944" spans="2:5" x14ac:dyDescent="0.2">
      <c r="B944" t="s">
        <v>1829</v>
      </c>
      <c r="C944" s="713" t="s">
        <v>8724</v>
      </c>
      <c r="D944" s="713" t="s">
        <v>34</v>
      </c>
      <c r="E944" s="713" t="s">
        <v>7750</v>
      </c>
    </row>
    <row r="945" spans="2:5" x14ac:dyDescent="0.2">
      <c r="B945" t="s">
        <v>6712</v>
      </c>
      <c r="C945" s="713" t="s">
        <v>8725</v>
      </c>
      <c r="D945" s="713" t="s">
        <v>34</v>
      </c>
      <c r="E945" s="713" t="s">
        <v>8726</v>
      </c>
    </row>
    <row r="946" spans="2:5" x14ac:dyDescent="0.2">
      <c r="B946" t="s">
        <v>6713</v>
      </c>
      <c r="C946" s="713" t="s">
        <v>8727</v>
      </c>
      <c r="D946" s="713" t="s">
        <v>34</v>
      </c>
      <c r="E946" s="713" t="s">
        <v>8728</v>
      </c>
    </row>
    <row r="947" spans="2:5" x14ac:dyDescent="0.2">
      <c r="B947" t="s">
        <v>6714</v>
      </c>
      <c r="C947" s="713" t="s">
        <v>8729</v>
      </c>
      <c r="D947" s="713" t="s">
        <v>34</v>
      </c>
      <c r="E947" s="713" t="s">
        <v>8730</v>
      </c>
    </row>
    <row r="948" spans="2:5" x14ac:dyDescent="0.2">
      <c r="B948" t="s">
        <v>6715</v>
      </c>
      <c r="C948" s="713" t="s">
        <v>8731</v>
      </c>
      <c r="D948" s="713" t="s">
        <v>34</v>
      </c>
      <c r="E948" s="713" t="s">
        <v>7454</v>
      </c>
    </row>
    <row r="949" spans="2:5" x14ac:dyDescent="0.2">
      <c r="B949" t="s">
        <v>6716</v>
      </c>
      <c r="C949" s="713" t="s">
        <v>8732</v>
      </c>
      <c r="D949" s="713" t="s">
        <v>34</v>
      </c>
      <c r="E949" s="713" t="s">
        <v>7815</v>
      </c>
    </row>
    <row r="950" spans="2:5" x14ac:dyDescent="0.2">
      <c r="B950" t="s">
        <v>6717</v>
      </c>
      <c r="C950" s="713" t="s">
        <v>8733</v>
      </c>
      <c r="D950" s="713" t="s">
        <v>34</v>
      </c>
      <c r="E950" s="713" t="s">
        <v>8341</v>
      </c>
    </row>
    <row r="951" spans="2:5" x14ac:dyDescent="0.2">
      <c r="B951" t="s">
        <v>6718</v>
      </c>
      <c r="C951" s="713" t="s">
        <v>8734</v>
      </c>
      <c r="D951" s="713" t="s">
        <v>34</v>
      </c>
      <c r="E951" s="713" t="s">
        <v>7674</v>
      </c>
    </row>
    <row r="952" spans="2:5" x14ac:dyDescent="0.2">
      <c r="B952" t="s">
        <v>6719</v>
      </c>
      <c r="C952" s="713" t="s">
        <v>8735</v>
      </c>
      <c r="D952" s="713" t="s">
        <v>34</v>
      </c>
      <c r="E952" s="713" t="s">
        <v>8024</v>
      </c>
    </row>
    <row r="953" spans="2:5" x14ac:dyDescent="0.2">
      <c r="B953" t="s">
        <v>6720</v>
      </c>
      <c r="C953" s="713" t="s">
        <v>8736</v>
      </c>
      <c r="D953" s="713" t="s">
        <v>34</v>
      </c>
      <c r="E953" s="713" t="s">
        <v>7442</v>
      </c>
    </row>
    <row r="954" spans="2:5" x14ac:dyDescent="0.2">
      <c r="B954" t="s">
        <v>6721</v>
      </c>
      <c r="C954" s="713" t="s">
        <v>8737</v>
      </c>
      <c r="D954" s="713" t="s">
        <v>34</v>
      </c>
      <c r="E954" s="713" t="s">
        <v>8738</v>
      </c>
    </row>
    <row r="955" spans="2:5" x14ac:dyDescent="0.2">
      <c r="B955" t="s">
        <v>6722</v>
      </c>
      <c r="C955" s="713" t="s">
        <v>8739</v>
      </c>
      <c r="D955" s="713" t="s">
        <v>34</v>
      </c>
      <c r="E955" s="713" t="s">
        <v>8740</v>
      </c>
    </row>
    <row r="956" spans="2:5" x14ac:dyDescent="0.2">
      <c r="B956" t="s">
        <v>6723</v>
      </c>
      <c r="C956" s="713" t="s">
        <v>8741</v>
      </c>
      <c r="D956" s="713" t="s">
        <v>34</v>
      </c>
      <c r="E956" s="713" t="s">
        <v>8742</v>
      </c>
    </row>
    <row r="957" spans="2:5" x14ac:dyDescent="0.2">
      <c r="B957" t="s">
        <v>6724</v>
      </c>
      <c r="C957" s="713" t="s">
        <v>8743</v>
      </c>
      <c r="D957" s="713" t="s">
        <v>34</v>
      </c>
      <c r="E957" s="713" t="s">
        <v>8744</v>
      </c>
    </row>
    <row r="958" spans="2:5" x14ac:dyDescent="0.2">
      <c r="B958" t="s">
        <v>6725</v>
      </c>
      <c r="C958" s="713" t="s">
        <v>8745</v>
      </c>
      <c r="D958" s="713" t="s">
        <v>34</v>
      </c>
      <c r="E958" s="713" t="s">
        <v>8746</v>
      </c>
    </row>
    <row r="959" spans="2:5" x14ac:dyDescent="0.2">
      <c r="B959" t="s">
        <v>6726</v>
      </c>
      <c r="C959" s="713" t="s">
        <v>8747</v>
      </c>
      <c r="D959" s="713" t="s">
        <v>34</v>
      </c>
      <c r="E959" s="713" t="s">
        <v>8748</v>
      </c>
    </row>
    <row r="960" spans="2:5" x14ac:dyDescent="0.2">
      <c r="B960" t="s">
        <v>6727</v>
      </c>
      <c r="C960" s="713" t="s">
        <v>8749</v>
      </c>
      <c r="D960" s="713" t="s">
        <v>34</v>
      </c>
      <c r="E960" s="713" t="s">
        <v>7418</v>
      </c>
    </row>
    <row r="961" spans="2:5" x14ac:dyDescent="0.2">
      <c r="B961" t="s">
        <v>6728</v>
      </c>
      <c r="C961" s="713" t="s">
        <v>8750</v>
      </c>
      <c r="D961" s="713" t="s">
        <v>34</v>
      </c>
      <c r="E961" s="713" t="s">
        <v>8751</v>
      </c>
    </row>
    <row r="962" spans="2:5" x14ac:dyDescent="0.2">
      <c r="B962" t="s">
        <v>6729</v>
      </c>
      <c r="C962" s="713" t="s">
        <v>8752</v>
      </c>
      <c r="D962" s="713" t="s">
        <v>34</v>
      </c>
      <c r="E962" s="713" t="s">
        <v>8753</v>
      </c>
    </row>
    <row r="963" spans="2:5" x14ac:dyDescent="0.2">
      <c r="B963" t="s">
        <v>6730</v>
      </c>
      <c r="C963" s="713" t="s">
        <v>8754</v>
      </c>
      <c r="D963" s="713" t="s">
        <v>34</v>
      </c>
      <c r="E963" s="713" t="s">
        <v>7396</v>
      </c>
    </row>
    <row r="964" spans="2:5" x14ac:dyDescent="0.2">
      <c r="B964" t="s">
        <v>6731</v>
      </c>
      <c r="C964" s="713" t="s">
        <v>8755</v>
      </c>
      <c r="D964" s="713" t="s">
        <v>34</v>
      </c>
      <c r="E964" s="713" t="s">
        <v>8756</v>
      </c>
    </row>
    <row r="965" spans="2:5" x14ac:dyDescent="0.2">
      <c r="B965" t="s">
        <v>6732</v>
      </c>
      <c r="C965" s="713" t="s">
        <v>8757</v>
      </c>
      <c r="D965" s="713" t="s">
        <v>34</v>
      </c>
      <c r="E965" s="713" t="s">
        <v>7396</v>
      </c>
    </row>
    <row r="966" spans="2:5" x14ac:dyDescent="0.2">
      <c r="B966" t="s">
        <v>6733</v>
      </c>
      <c r="C966" s="713" t="s">
        <v>8758</v>
      </c>
      <c r="D966" s="713" t="s">
        <v>34</v>
      </c>
      <c r="E966" s="713" t="s">
        <v>7396</v>
      </c>
    </row>
    <row r="967" spans="2:5" x14ac:dyDescent="0.2">
      <c r="B967" t="s">
        <v>6734</v>
      </c>
      <c r="C967" s="713" t="s">
        <v>8759</v>
      </c>
      <c r="D967" s="713" t="s">
        <v>34</v>
      </c>
      <c r="E967" s="713" t="s">
        <v>7412</v>
      </c>
    </row>
    <row r="968" spans="2:5" x14ac:dyDescent="0.2">
      <c r="B968" t="s">
        <v>6735</v>
      </c>
      <c r="C968" s="713" t="s">
        <v>8760</v>
      </c>
      <c r="D968" s="713" t="s">
        <v>34</v>
      </c>
      <c r="E968" s="713" t="s">
        <v>8761</v>
      </c>
    </row>
    <row r="969" spans="2:5" x14ac:dyDescent="0.2">
      <c r="B969" t="s">
        <v>6736</v>
      </c>
      <c r="C969" s="713" t="s">
        <v>8762</v>
      </c>
      <c r="D969" s="713" t="s">
        <v>34</v>
      </c>
      <c r="E969" s="713" t="s">
        <v>7538</v>
      </c>
    </row>
    <row r="970" spans="2:5" x14ac:dyDescent="0.2">
      <c r="B970" t="s">
        <v>6737</v>
      </c>
      <c r="C970" s="713" t="s">
        <v>8763</v>
      </c>
      <c r="D970" s="713" t="s">
        <v>34</v>
      </c>
      <c r="E970" s="713" t="s">
        <v>8764</v>
      </c>
    </row>
    <row r="971" spans="2:5" x14ac:dyDescent="0.2">
      <c r="B971" t="s">
        <v>6738</v>
      </c>
      <c r="C971" s="713" t="s">
        <v>8765</v>
      </c>
      <c r="D971" s="713" t="s">
        <v>34</v>
      </c>
      <c r="E971" s="713" t="s">
        <v>8766</v>
      </c>
    </row>
    <row r="972" spans="2:5" x14ac:dyDescent="0.2">
      <c r="B972" t="s">
        <v>6739</v>
      </c>
      <c r="C972" s="713" t="s">
        <v>8767</v>
      </c>
      <c r="D972" s="713" t="s">
        <v>34</v>
      </c>
      <c r="E972" s="713" t="s">
        <v>8768</v>
      </c>
    </row>
    <row r="973" spans="2:5" x14ac:dyDescent="0.2">
      <c r="B973" t="s">
        <v>6740</v>
      </c>
      <c r="C973" s="713" t="s">
        <v>8769</v>
      </c>
      <c r="D973" s="713" t="s">
        <v>34</v>
      </c>
      <c r="E973" s="713" t="s">
        <v>8770</v>
      </c>
    </row>
    <row r="974" spans="2:5" x14ac:dyDescent="0.2">
      <c r="B974" t="s">
        <v>6741</v>
      </c>
      <c r="C974" s="713" t="s">
        <v>8771</v>
      </c>
      <c r="D974" s="713" t="s">
        <v>34</v>
      </c>
      <c r="E974" s="713" t="s">
        <v>8315</v>
      </c>
    </row>
    <row r="975" spans="2:5" x14ac:dyDescent="0.2">
      <c r="B975" t="s">
        <v>6742</v>
      </c>
      <c r="C975" s="713" t="s">
        <v>8772</v>
      </c>
      <c r="D975" s="713" t="s">
        <v>34</v>
      </c>
      <c r="E975" s="713" t="s">
        <v>7396</v>
      </c>
    </row>
    <row r="976" spans="2:5" x14ac:dyDescent="0.2">
      <c r="B976" t="s">
        <v>6743</v>
      </c>
      <c r="C976" s="713" t="s">
        <v>8773</v>
      </c>
      <c r="D976" s="713" t="s">
        <v>34</v>
      </c>
      <c r="E976" s="713" t="s">
        <v>8774</v>
      </c>
    </row>
    <row r="977" spans="2:5" x14ac:dyDescent="0.2">
      <c r="B977" t="s">
        <v>6744</v>
      </c>
      <c r="C977" s="713" t="s">
        <v>8775</v>
      </c>
      <c r="D977" s="713" t="s">
        <v>34</v>
      </c>
      <c r="E977" s="713" t="s">
        <v>8776</v>
      </c>
    </row>
    <row r="978" spans="2:5" x14ac:dyDescent="0.2">
      <c r="B978" t="s">
        <v>6745</v>
      </c>
      <c r="C978" s="713" t="s">
        <v>8777</v>
      </c>
      <c r="D978" s="713" t="s">
        <v>34</v>
      </c>
      <c r="E978" s="713" t="s">
        <v>7442</v>
      </c>
    </row>
    <row r="979" spans="2:5" x14ac:dyDescent="0.2">
      <c r="B979" t="s">
        <v>6746</v>
      </c>
      <c r="C979" s="713" t="s">
        <v>8778</v>
      </c>
      <c r="D979" s="713" t="s">
        <v>34</v>
      </c>
      <c r="E979" s="713" t="s">
        <v>7442</v>
      </c>
    </row>
    <row r="980" spans="2:5" x14ac:dyDescent="0.2">
      <c r="B980" t="s">
        <v>6747</v>
      </c>
      <c r="C980" s="713" t="s">
        <v>8779</v>
      </c>
      <c r="D980" s="713" t="s">
        <v>34</v>
      </c>
      <c r="E980" s="713" t="s">
        <v>7972</v>
      </c>
    </row>
    <row r="981" spans="2:5" x14ac:dyDescent="0.2">
      <c r="B981" t="s">
        <v>6748</v>
      </c>
      <c r="C981" s="713" t="s">
        <v>8780</v>
      </c>
      <c r="D981" s="713" t="s">
        <v>34</v>
      </c>
      <c r="E981" s="713" t="s">
        <v>7642</v>
      </c>
    </row>
    <row r="982" spans="2:5" x14ac:dyDescent="0.2">
      <c r="B982" t="s">
        <v>6749</v>
      </c>
      <c r="C982" s="713" t="s">
        <v>8206</v>
      </c>
      <c r="D982" s="713" t="s">
        <v>34</v>
      </c>
      <c r="E982" s="713" t="s">
        <v>7644</v>
      </c>
    </row>
    <row r="983" spans="2:5" x14ac:dyDescent="0.2">
      <c r="B983" t="s">
        <v>6750</v>
      </c>
      <c r="C983" s="713" t="s">
        <v>8781</v>
      </c>
      <c r="D983" s="713" t="s">
        <v>34</v>
      </c>
      <c r="E983" s="713" t="s">
        <v>8782</v>
      </c>
    </row>
    <row r="984" spans="2:5" x14ac:dyDescent="0.2">
      <c r="B984" t="s">
        <v>6751</v>
      </c>
      <c r="C984" s="713" t="s">
        <v>8783</v>
      </c>
      <c r="D984" s="713" t="s">
        <v>34</v>
      </c>
      <c r="E984" s="713" t="s">
        <v>7522</v>
      </c>
    </row>
    <row r="985" spans="2:5" x14ac:dyDescent="0.2">
      <c r="B985" t="s">
        <v>6752</v>
      </c>
      <c r="C985" s="713" t="s">
        <v>8784</v>
      </c>
      <c r="D985" s="713" t="s">
        <v>34</v>
      </c>
      <c r="E985" s="713" t="s">
        <v>7757</v>
      </c>
    </row>
    <row r="986" spans="2:5" x14ac:dyDescent="0.2">
      <c r="B986" t="s">
        <v>6753</v>
      </c>
      <c r="C986" s="713" t="s">
        <v>8785</v>
      </c>
      <c r="D986" s="713" t="s">
        <v>34</v>
      </c>
      <c r="E986" s="713" t="s">
        <v>7418</v>
      </c>
    </row>
    <row r="987" spans="2:5" x14ac:dyDescent="0.2">
      <c r="B987" t="s">
        <v>6754</v>
      </c>
      <c r="C987" s="713" t="s">
        <v>8786</v>
      </c>
      <c r="D987" s="713" t="s">
        <v>34</v>
      </c>
      <c r="E987" s="713" t="s">
        <v>8787</v>
      </c>
    </row>
    <row r="988" spans="2:5" x14ac:dyDescent="0.2">
      <c r="B988" t="s">
        <v>6755</v>
      </c>
      <c r="C988" s="713" t="s">
        <v>8788</v>
      </c>
      <c r="D988" s="713" t="s">
        <v>34</v>
      </c>
      <c r="E988" s="713" t="s">
        <v>7442</v>
      </c>
    </row>
    <row r="989" spans="2:5" x14ac:dyDescent="0.2">
      <c r="B989" t="s">
        <v>6756</v>
      </c>
      <c r="C989" s="713" t="s">
        <v>8789</v>
      </c>
      <c r="D989" s="713" t="s">
        <v>34</v>
      </c>
      <c r="E989" s="713" t="s">
        <v>8255</v>
      </c>
    </row>
    <row r="990" spans="2:5" x14ac:dyDescent="0.2">
      <c r="B990" t="s">
        <v>6757</v>
      </c>
      <c r="C990" s="713" t="s">
        <v>8790</v>
      </c>
      <c r="D990" s="713" t="s">
        <v>34</v>
      </c>
      <c r="E990" s="713" t="s">
        <v>7549</v>
      </c>
    </row>
    <row r="991" spans="2:5" x14ac:dyDescent="0.2">
      <c r="B991" t="s">
        <v>6758</v>
      </c>
      <c r="C991" s="713" t="s">
        <v>8791</v>
      </c>
      <c r="D991" s="713" t="s">
        <v>34</v>
      </c>
      <c r="E991" s="713" t="s">
        <v>7524</v>
      </c>
    </row>
    <row r="992" spans="2:5" x14ac:dyDescent="0.2">
      <c r="B992" t="s">
        <v>6759</v>
      </c>
      <c r="C992" s="713" t="s">
        <v>8792</v>
      </c>
      <c r="D992" s="713" t="s">
        <v>34</v>
      </c>
      <c r="E992" s="713" t="s">
        <v>7570</v>
      </c>
    </row>
    <row r="993" spans="2:5" x14ac:dyDescent="0.2">
      <c r="B993" t="s">
        <v>6760</v>
      </c>
      <c r="C993" s="713" t="s">
        <v>8793</v>
      </c>
      <c r="D993" s="713" t="s">
        <v>34</v>
      </c>
      <c r="E993" s="713" t="s">
        <v>7442</v>
      </c>
    </row>
    <row r="994" spans="2:5" x14ac:dyDescent="0.2">
      <c r="B994" t="s">
        <v>6761</v>
      </c>
      <c r="C994" s="713" t="s">
        <v>8794</v>
      </c>
      <c r="D994" s="713" t="s">
        <v>34</v>
      </c>
      <c r="E994" s="713" t="s">
        <v>7418</v>
      </c>
    </row>
    <row r="995" spans="2:5" x14ac:dyDescent="0.2">
      <c r="B995" t="s">
        <v>6762</v>
      </c>
      <c r="C995" s="713" t="s">
        <v>8795</v>
      </c>
      <c r="D995" s="713" t="s">
        <v>34</v>
      </c>
      <c r="E995" s="713" t="s">
        <v>7741</v>
      </c>
    </row>
    <row r="996" spans="2:5" x14ac:dyDescent="0.2">
      <c r="B996" t="s">
        <v>6763</v>
      </c>
      <c r="C996" s="713" t="s">
        <v>8796</v>
      </c>
      <c r="D996" s="713" t="s">
        <v>34</v>
      </c>
      <c r="E996" s="713" t="s">
        <v>7533</v>
      </c>
    </row>
    <row r="997" spans="2:5" x14ac:dyDescent="0.2">
      <c r="B997" t="s">
        <v>6764</v>
      </c>
      <c r="C997" s="713" t="s">
        <v>8797</v>
      </c>
      <c r="D997" s="713" t="s">
        <v>34</v>
      </c>
      <c r="E997" s="713" t="s">
        <v>8798</v>
      </c>
    </row>
    <row r="998" spans="2:5" x14ac:dyDescent="0.2">
      <c r="B998" t="s">
        <v>6765</v>
      </c>
      <c r="C998" s="713" t="s">
        <v>8799</v>
      </c>
      <c r="D998" s="713" t="s">
        <v>34</v>
      </c>
      <c r="E998" s="713" t="s">
        <v>8800</v>
      </c>
    </row>
    <row r="999" spans="2:5" x14ac:dyDescent="0.2">
      <c r="B999" t="s">
        <v>6766</v>
      </c>
      <c r="C999" s="713" t="s">
        <v>8801</v>
      </c>
      <c r="D999" s="713" t="s">
        <v>34</v>
      </c>
      <c r="E999" s="713" t="s">
        <v>7412</v>
      </c>
    </row>
    <row r="1000" spans="2:5" x14ac:dyDescent="0.2">
      <c r="B1000" t="s">
        <v>6767</v>
      </c>
      <c r="C1000" s="713" t="s">
        <v>8802</v>
      </c>
      <c r="D1000" s="713" t="s">
        <v>34</v>
      </c>
      <c r="E1000" s="713" t="s">
        <v>7442</v>
      </c>
    </row>
    <row r="1001" spans="2:5" x14ac:dyDescent="0.2">
      <c r="B1001" t="s">
        <v>6768</v>
      </c>
      <c r="C1001" s="713" t="s">
        <v>8803</v>
      </c>
      <c r="D1001" s="713" t="s">
        <v>34</v>
      </c>
      <c r="E1001" s="713" t="s">
        <v>7495</v>
      </c>
    </row>
    <row r="1002" spans="2:5" x14ac:dyDescent="0.2">
      <c r="B1002" t="s">
        <v>6769</v>
      </c>
      <c r="C1002" s="713" t="s">
        <v>8804</v>
      </c>
      <c r="D1002" s="713" t="s">
        <v>34</v>
      </c>
      <c r="E1002" s="713" t="s">
        <v>8805</v>
      </c>
    </row>
    <row r="1003" spans="2:5" x14ac:dyDescent="0.2">
      <c r="B1003" t="s">
        <v>6770</v>
      </c>
      <c r="C1003" s="713" t="s">
        <v>8806</v>
      </c>
      <c r="D1003" s="713" t="s">
        <v>34</v>
      </c>
      <c r="E1003" s="713" t="s">
        <v>8807</v>
      </c>
    </row>
    <row r="1004" spans="2:5" x14ac:dyDescent="0.2">
      <c r="B1004" t="s">
        <v>6771</v>
      </c>
      <c r="C1004" s="713" t="s">
        <v>8808</v>
      </c>
      <c r="D1004" s="713" t="s">
        <v>34</v>
      </c>
      <c r="E1004" s="713" t="s">
        <v>7587</v>
      </c>
    </row>
    <row r="1005" spans="2:5" x14ac:dyDescent="0.2">
      <c r="B1005" t="s">
        <v>6772</v>
      </c>
      <c r="C1005" s="713" t="s">
        <v>8809</v>
      </c>
      <c r="D1005" s="713" t="s">
        <v>34</v>
      </c>
      <c r="E1005" s="713" t="s">
        <v>8810</v>
      </c>
    </row>
    <row r="1006" spans="2:5" x14ac:dyDescent="0.2">
      <c r="B1006" t="s">
        <v>6773</v>
      </c>
      <c r="C1006" s="713" t="s">
        <v>8811</v>
      </c>
      <c r="D1006" s="713" t="s">
        <v>34</v>
      </c>
      <c r="E1006" s="713" t="s">
        <v>8812</v>
      </c>
    </row>
    <row r="1007" spans="2:5" x14ac:dyDescent="0.2">
      <c r="B1007" t="s">
        <v>6774</v>
      </c>
      <c r="C1007" s="713" t="s">
        <v>8813</v>
      </c>
      <c r="D1007" s="713" t="s">
        <v>34</v>
      </c>
      <c r="E1007" s="713" t="s">
        <v>8814</v>
      </c>
    </row>
    <row r="1008" spans="2:5" x14ac:dyDescent="0.2">
      <c r="B1008" t="s">
        <v>6775</v>
      </c>
      <c r="C1008" s="713" t="s">
        <v>8815</v>
      </c>
      <c r="D1008" s="713" t="s">
        <v>8816</v>
      </c>
      <c r="E1008" s="713" t="s">
        <v>7642</v>
      </c>
    </row>
    <row r="1009" spans="2:5" x14ac:dyDescent="0.2">
      <c r="B1009" t="s">
        <v>6776</v>
      </c>
      <c r="C1009" s="713" t="s">
        <v>8817</v>
      </c>
      <c r="D1009" s="713" t="s">
        <v>34</v>
      </c>
      <c r="E1009" s="713" t="s">
        <v>8818</v>
      </c>
    </row>
    <row r="1010" spans="2:5" x14ac:dyDescent="0.2">
      <c r="B1010" t="s">
        <v>6777</v>
      </c>
      <c r="C1010" s="713" t="s">
        <v>8819</v>
      </c>
      <c r="D1010" s="713" t="s">
        <v>34</v>
      </c>
      <c r="E1010" s="713" t="s">
        <v>7396</v>
      </c>
    </row>
    <row r="1011" spans="2:5" x14ac:dyDescent="0.2">
      <c r="B1011" t="s">
        <v>6778</v>
      </c>
      <c r="C1011" s="713" t="s">
        <v>8820</v>
      </c>
      <c r="D1011" s="713" t="s">
        <v>34</v>
      </c>
      <c r="E1011" s="713" t="s">
        <v>7416</v>
      </c>
    </row>
    <row r="1012" spans="2:5" x14ac:dyDescent="0.2">
      <c r="B1012" t="s">
        <v>6779</v>
      </c>
      <c r="C1012" s="713" t="s">
        <v>8821</v>
      </c>
      <c r="D1012" s="713" t="s">
        <v>34</v>
      </c>
      <c r="E1012" s="713" t="s">
        <v>8625</v>
      </c>
    </row>
    <row r="1013" spans="2:5" x14ac:dyDescent="0.2">
      <c r="B1013" t="s">
        <v>6780</v>
      </c>
      <c r="C1013" s="713" t="s">
        <v>8822</v>
      </c>
      <c r="D1013" s="713" t="s">
        <v>34</v>
      </c>
      <c r="E1013" s="713" t="s">
        <v>8823</v>
      </c>
    </row>
    <row r="1014" spans="2:5" x14ac:dyDescent="0.2">
      <c r="B1014" t="s">
        <v>6781</v>
      </c>
      <c r="C1014" s="713" t="s">
        <v>8824</v>
      </c>
      <c r="D1014" s="713" t="s">
        <v>34</v>
      </c>
      <c r="E1014" s="713" t="s">
        <v>8187</v>
      </c>
    </row>
    <row r="1015" spans="2:5" x14ac:dyDescent="0.2">
      <c r="B1015" t="s">
        <v>6782</v>
      </c>
      <c r="C1015" s="713" t="s">
        <v>8825</v>
      </c>
      <c r="D1015" s="713" t="s">
        <v>34</v>
      </c>
      <c r="E1015" s="713" t="s">
        <v>7442</v>
      </c>
    </row>
    <row r="1016" spans="2:5" x14ac:dyDescent="0.2">
      <c r="B1016" t="s">
        <v>6783</v>
      </c>
      <c r="C1016" s="713" t="s">
        <v>8826</v>
      </c>
      <c r="D1016" s="713" t="s">
        <v>34</v>
      </c>
      <c r="E1016" s="713" t="s">
        <v>7635</v>
      </c>
    </row>
    <row r="1017" spans="2:5" x14ac:dyDescent="0.2">
      <c r="B1017" t="s">
        <v>6784</v>
      </c>
      <c r="C1017" s="713" t="s">
        <v>8827</v>
      </c>
      <c r="D1017" s="713" t="s">
        <v>34</v>
      </c>
      <c r="E1017" s="713" t="s">
        <v>7396</v>
      </c>
    </row>
    <row r="1018" spans="2:5" x14ac:dyDescent="0.2">
      <c r="B1018" t="s">
        <v>6785</v>
      </c>
      <c r="C1018" s="713" t="s">
        <v>8828</v>
      </c>
      <c r="D1018" s="713" t="s">
        <v>34</v>
      </c>
      <c r="E1018" s="713" t="s">
        <v>8829</v>
      </c>
    </row>
    <row r="1019" spans="2:5" x14ac:dyDescent="0.2">
      <c r="B1019" t="s">
        <v>6786</v>
      </c>
      <c r="C1019" s="713" t="s">
        <v>8830</v>
      </c>
      <c r="D1019" s="713" t="s">
        <v>34</v>
      </c>
      <c r="E1019" s="713" t="s">
        <v>7644</v>
      </c>
    </row>
    <row r="1020" spans="2:5" x14ac:dyDescent="0.2">
      <c r="B1020" t="s">
        <v>6787</v>
      </c>
      <c r="C1020" s="713" t="s">
        <v>8831</v>
      </c>
      <c r="D1020" s="713" t="s">
        <v>34</v>
      </c>
      <c r="E1020" s="713" t="s">
        <v>8832</v>
      </c>
    </row>
    <row r="1021" spans="2:5" x14ac:dyDescent="0.2">
      <c r="B1021" t="s">
        <v>6788</v>
      </c>
      <c r="C1021" s="713" t="s">
        <v>8833</v>
      </c>
      <c r="D1021" s="713" t="s">
        <v>34</v>
      </c>
      <c r="E1021" s="713" t="s">
        <v>7587</v>
      </c>
    </row>
    <row r="1022" spans="2:5" x14ac:dyDescent="0.2">
      <c r="B1022" t="s">
        <v>6789</v>
      </c>
      <c r="C1022" s="713" t="s">
        <v>8834</v>
      </c>
      <c r="D1022" s="713" t="s">
        <v>8835</v>
      </c>
      <c r="E1022" s="713" t="s">
        <v>7768</v>
      </c>
    </row>
    <row r="1023" spans="2:5" x14ac:dyDescent="0.2">
      <c r="B1023" t="s">
        <v>6790</v>
      </c>
      <c r="C1023" s="713" t="s">
        <v>8836</v>
      </c>
      <c r="D1023" s="713" t="s">
        <v>34</v>
      </c>
      <c r="E1023" s="713" t="s">
        <v>7960</v>
      </c>
    </row>
    <row r="1024" spans="2:5" x14ac:dyDescent="0.2">
      <c r="B1024" t="s">
        <v>6791</v>
      </c>
      <c r="C1024" s="713" t="s">
        <v>8837</v>
      </c>
      <c r="D1024" s="713" t="s">
        <v>34</v>
      </c>
      <c r="E1024" s="713" t="s">
        <v>8838</v>
      </c>
    </row>
    <row r="1025" spans="2:5" x14ac:dyDescent="0.2">
      <c r="B1025" t="s">
        <v>6792</v>
      </c>
      <c r="C1025" s="713" t="s">
        <v>8839</v>
      </c>
      <c r="D1025" s="713" t="s">
        <v>34</v>
      </c>
      <c r="E1025" s="713" t="s">
        <v>8840</v>
      </c>
    </row>
    <row r="1026" spans="2:5" x14ac:dyDescent="0.2">
      <c r="B1026" t="s">
        <v>6793</v>
      </c>
      <c r="C1026" s="713" t="s">
        <v>8841</v>
      </c>
      <c r="D1026" s="713" t="s">
        <v>34</v>
      </c>
      <c r="E1026" s="713" t="s">
        <v>7442</v>
      </c>
    </row>
    <row r="1027" spans="2:5" x14ac:dyDescent="0.2">
      <c r="B1027" t="s">
        <v>6794</v>
      </c>
      <c r="C1027" s="713" t="s">
        <v>8842</v>
      </c>
      <c r="D1027" s="713" t="s">
        <v>34</v>
      </c>
      <c r="E1027" s="713" t="s">
        <v>8843</v>
      </c>
    </row>
    <row r="1028" spans="2:5" x14ac:dyDescent="0.2">
      <c r="B1028" t="s">
        <v>6795</v>
      </c>
      <c r="C1028" s="713" t="s">
        <v>8844</v>
      </c>
      <c r="D1028" s="713" t="s">
        <v>34</v>
      </c>
      <c r="E1028" s="713" t="s">
        <v>8845</v>
      </c>
    </row>
    <row r="1029" spans="2:5" x14ac:dyDescent="0.2">
      <c r="B1029" t="s">
        <v>1791</v>
      </c>
      <c r="C1029" s="713" t="s">
        <v>8846</v>
      </c>
      <c r="D1029" s="713" t="s">
        <v>34</v>
      </c>
      <c r="E1029" s="713" t="s">
        <v>8847</v>
      </c>
    </row>
    <row r="1030" spans="2:5" x14ac:dyDescent="0.2">
      <c r="B1030" t="s">
        <v>6796</v>
      </c>
      <c r="C1030" s="713" t="s">
        <v>8848</v>
      </c>
      <c r="D1030" s="713" t="s">
        <v>34</v>
      </c>
      <c r="E1030" s="713" t="s">
        <v>8849</v>
      </c>
    </row>
    <row r="1031" spans="2:5" x14ac:dyDescent="0.2">
      <c r="B1031" t="s">
        <v>6797</v>
      </c>
      <c r="C1031" s="713" t="s">
        <v>34</v>
      </c>
      <c r="D1031" s="713" t="s">
        <v>34</v>
      </c>
      <c r="E1031" s="713" t="s">
        <v>7611</v>
      </c>
    </row>
    <row r="1032" spans="2:5" x14ac:dyDescent="0.2">
      <c r="B1032" t="s">
        <v>6798</v>
      </c>
      <c r="C1032" s="713" t="s">
        <v>8850</v>
      </c>
      <c r="D1032" s="713" t="s">
        <v>34</v>
      </c>
      <c r="E1032" s="713" t="s">
        <v>7442</v>
      </c>
    </row>
    <row r="1033" spans="2:5" x14ac:dyDescent="0.2">
      <c r="B1033" t="s">
        <v>6799</v>
      </c>
      <c r="C1033" s="713" t="s">
        <v>8851</v>
      </c>
      <c r="D1033" s="713" t="s">
        <v>34</v>
      </c>
      <c r="E1033" s="713" t="s">
        <v>7958</v>
      </c>
    </row>
    <row r="1034" spans="2:5" x14ac:dyDescent="0.2">
      <c r="B1034" t="s">
        <v>6800</v>
      </c>
      <c r="C1034" s="713" t="s">
        <v>8852</v>
      </c>
      <c r="D1034" s="713" t="s">
        <v>34</v>
      </c>
      <c r="E1034" s="713" t="s">
        <v>7418</v>
      </c>
    </row>
    <row r="1035" spans="2:5" x14ac:dyDescent="0.2">
      <c r="B1035" t="s">
        <v>6801</v>
      </c>
      <c r="C1035" s="713" t="s">
        <v>8853</v>
      </c>
      <c r="D1035" s="713" t="s">
        <v>34</v>
      </c>
      <c r="E1035" s="713" t="s">
        <v>8854</v>
      </c>
    </row>
    <row r="1036" spans="2:5" x14ac:dyDescent="0.2">
      <c r="B1036" t="s">
        <v>6802</v>
      </c>
      <c r="C1036" s="713" t="s">
        <v>8855</v>
      </c>
      <c r="D1036" s="713" t="s">
        <v>34</v>
      </c>
      <c r="E1036" s="713" t="s">
        <v>8856</v>
      </c>
    </row>
    <row r="1037" spans="2:5" x14ac:dyDescent="0.2">
      <c r="B1037" t="s">
        <v>6803</v>
      </c>
      <c r="C1037" s="713" t="s">
        <v>8857</v>
      </c>
      <c r="D1037" s="713" t="s">
        <v>34</v>
      </c>
      <c r="E1037" s="713" t="s">
        <v>8858</v>
      </c>
    </row>
    <row r="1038" spans="2:5" x14ac:dyDescent="0.2">
      <c r="B1038" t="s">
        <v>6804</v>
      </c>
      <c r="C1038" s="713" t="s">
        <v>8859</v>
      </c>
      <c r="D1038" s="713" t="s">
        <v>34</v>
      </c>
      <c r="E1038" s="713" t="s">
        <v>7644</v>
      </c>
    </row>
    <row r="1039" spans="2:5" x14ac:dyDescent="0.2">
      <c r="B1039" t="s">
        <v>6805</v>
      </c>
      <c r="C1039" s="713" t="s">
        <v>8860</v>
      </c>
      <c r="D1039" s="713" t="s">
        <v>34</v>
      </c>
      <c r="E1039" s="713" t="s">
        <v>7629</v>
      </c>
    </row>
    <row r="1040" spans="2:5" x14ac:dyDescent="0.2">
      <c r="B1040" t="s">
        <v>4907</v>
      </c>
      <c r="C1040" s="713" t="s">
        <v>8861</v>
      </c>
      <c r="D1040" s="713" t="s">
        <v>34</v>
      </c>
      <c r="E1040" s="713" t="s">
        <v>8440</v>
      </c>
    </row>
    <row r="1041" spans="2:5" x14ac:dyDescent="0.2">
      <c r="B1041" t="s">
        <v>6806</v>
      </c>
      <c r="C1041" s="713" t="s">
        <v>8862</v>
      </c>
      <c r="D1041" s="713" t="s">
        <v>34</v>
      </c>
      <c r="E1041" s="713" t="s">
        <v>8863</v>
      </c>
    </row>
    <row r="1042" spans="2:5" x14ac:dyDescent="0.2">
      <c r="B1042" t="s">
        <v>6807</v>
      </c>
      <c r="C1042" s="713" t="s">
        <v>8864</v>
      </c>
      <c r="D1042" s="713" t="s">
        <v>34</v>
      </c>
      <c r="E1042" s="713" t="s">
        <v>8865</v>
      </c>
    </row>
    <row r="1043" spans="2:5" x14ac:dyDescent="0.2">
      <c r="B1043" t="s">
        <v>6808</v>
      </c>
      <c r="C1043" s="713" t="s">
        <v>8866</v>
      </c>
      <c r="D1043" s="713" t="s">
        <v>34</v>
      </c>
      <c r="E1043" s="713" t="s">
        <v>8867</v>
      </c>
    </row>
    <row r="1044" spans="2:5" x14ac:dyDescent="0.2">
      <c r="B1044" t="s">
        <v>6809</v>
      </c>
      <c r="C1044" s="713" t="s">
        <v>8868</v>
      </c>
      <c r="D1044" s="713" t="s">
        <v>8869</v>
      </c>
      <c r="E1044" s="713" t="s">
        <v>7480</v>
      </c>
    </row>
    <row r="1045" spans="2:5" x14ac:dyDescent="0.2">
      <c r="B1045" t="s">
        <v>6810</v>
      </c>
      <c r="C1045" s="713" t="s">
        <v>8870</v>
      </c>
      <c r="D1045" s="713" t="s">
        <v>34</v>
      </c>
      <c r="E1045" s="713" t="s">
        <v>7587</v>
      </c>
    </row>
    <row r="1046" spans="2:5" x14ac:dyDescent="0.2">
      <c r="B1046" t="s">
        <v>6811</v>
      </c>
      <c r="C1046" s="713" t="s">
        <v>7790</v>
      </c>
      <c r="D1046" s="713" t="s">
        <v>34</v>
      </c>
      <c r="E1046" s="713" t="s">
        <v>7791</v>
      </c>
    </row>
    <row r="1047" spans="2:5" x14ac:dyDescent="0.2">
      <c r="B1047" t="s">
        <v>6812</v>
      </c>
      <c r="C1047" s="713" t="s">
        <v>7831</v>
      </c>
      <c r="D1047" s="713" t="s">
        <v>34</v>
      </c>
      <c r="E1047" s="713" t="s">
        <v>7815</v>
      </c>
    </row>
    <row r="1048" spans="2:5" x14ac:dyDescent="0.2">
      <c r="B1048" t="s">
        <v>6813</v>
      </c>
      <c r="C1048" s="713" t="s">
        <v>8871</v>
      </c>
      <c r="D1048" s="713" t="s">
        <v>34</v>
      </c>
      <c r="E1048" s="713" t="s">
        <v>7587</v>
      </c>
    </row>
    <row r="1049" spans="2:5" x14ac:dyDescent="0.2">
      <c r="B1049" t="s">
        <v>6814</v>
      </c>
      <c r="C1049" s="713" t="s">
        <v>8872</v>
      </c>
      <c r="D1049" s="713" t="s">
        <v>34</v>
      </c>
      <c r="E1049" s="713" t="s">
        <v>7587</v>
      </c>
    </row>
    <row r="1050" spans="2:5" x14ac:dyDescent="0.2">
      <c r="B1050" t="s">
        <v>6815</v>
      </c>
      <c r="C1050" s="713" t="s">
        <v>8873</v>
      </c>
      <c r="D1050" s="713" t="s">
        <v>34</v>
      </c>
      <c r="E1050" s="713" t="s">
        <v>7587</v>
      </c>
    </row>
    <row r="1051" spans="2:5" x14ac:dyDescent="0.2">
      <c r="B1051" t="s">
        <v>1553</v>
      </c>
      <c r="C1051" s="713" t="s">
        <v>8871</v>
      </c>
      <c r="D1051" s="713" t="s">
        <v>34</v>
      </c>
      <c r="E1051" s="713" t="s">
        <v>7587</v>
      </c>
    </row>
    <row r="1052" spans="2:5" x14ac:dyDescent="0.2">
      <c r="B1052" t="s">
        <v>6816</v>
      </c>
      <c r="C1052" s="713" t="s">
        <v>8874</v>
      </c>
      <c r="D1052" s="713" t="s">
        <v>34</v>
      </c>
      <c r="E1052" s="713" t="s">
        <v>8875</v>
      </c>
    </row>
    <row r="1053" spans="2:5" x14ac:dyDescent="0.2">
      <c r="B1053" t="s">
        <v>6817</v>
      </c>
      <c r="C1053" s="713" t="s">
        <v>8876</v>
      </c>
      <c r="D1053" s="713" t="s">
        <v>34</v>
      </c>
      <c r="E1053" s="713" t="s">
        <v>7462</v>
      </c>
    </row>
    <row r="1054" spans="2:5" x14ac:dyDescent="0.2">
      <c r="B1054" t="s">
        <v>6818</v>
      </c>
      <c r="C1054" s="713" t="s">
        <v>8877</v>
      </c>
      <c r="D1054" s="713" t="s">
        <v>34</v>
      </c>
      <c r="E1054" s="713" t="s">
        <v>7458</v>
      </c>
    </row>
    <row r="1055" spans="2:5" x14ac:dyDescent="0.2">
      <c r="B1055" t="s">
        <v>6819</v>
      </c>
      <c r="C1055" s="713" t="s">
        <v>8878</v>
      </c>
      <c r="D1055" s="713" t="s">
        <v>34</v>
      </c>
      <c r="E1055" s="713" t="s">
        <v>8879</v>
      </c>
    </row>
    <row r="1056" spans="2:5" x14ac:dyDescent="0.2">
      <c r="B1056" t="s">
        <v>6820</v>
      </c>
      <c r="C1056" s="713" t="s">
        <v>8880</v>
      </c>
      <c r="D1056" s="713" t="s">
        <v>34</v>
      </c>
      <c r="E1056" s="713" t="s">
        <v>8881</v>
      </c>
    </row>
    <row r="1057" spans="2:5" x14ac:dyDescent="0.2">
      <c r="B1057" t="s">
        <v>6821</v>
      </c>
      <c r="C1057" s="713" t="s">
        <v>8882</v>
      </c>
      <c r="D1057" s="713" t="s">
        <v>34</v>
      </c>
      <c r="E1057" s="713" t="s">
        <v>8883</v>
      </c>
    </row>
    <row r="1058" spans="2:5" x14ac:dyDescent="0.2">
      <c r="B1058" t="s">
        <v>6822</v>
      </c>
      <c r="C1058" s="713" t="s">
        <v>8884</v>
      </c>
      <c r="D1058" s="713" t="s">
        <v>34</v>
      </c>
      <c r="E1058" s="713" t="s">
        <v>7509</v>
      </c>
    </row>
    <row r="1059" spans="2:5" x14ac:dyDescent="0.2">
      <c r="B1059" t="s">
        <v>6823</v>
      </c>
      <c r="C1059" s="713" t="s">
        <v>8885</v>
      </c>
      <c r="D1059" s="713" t="s">
        <v>34</v>
      </c>
      <c r="E1059" s="713" t="s">
        <v>7442</v>
      </c>
    </row>
    <row r="1060" spans="2:5" x14ac:dyDescent="0.2">
      <c r="B1060" t="s">
        <v>6824</v>
      </c>
      <c r="C1060" s="713" t="s">
        <v>8886</v>
      </c>
      <c r="D1060" s="713" t="s">
        <v>34</v>
      </c>
      <c r="E1060" s="713" t="s">
        <v>8887</v>
      </c>
    </row>
    <row r="1061" spans="2:5" x14ac:dyDescent="0.2">
      <c r="B1061" t="s">
        <v>6825</v>
      </c>
      <c r="C1061" s="713" t="s">
        <v>8888</v>
      </c>
      <c r="D1061" s="713" t="s">
        <v>34</v>
      </c>
      <c r="E1061" s="713" t="s">
        <v>8746</v>
      </c>
    </row>
    <row r="1062" spans="2:5" x14ac:dyDescent="0.2">
      <c r="B1062" t="s">
        <v>6826</v>
      </c>
      <c r="C1062" s="713" t="s">
        <v>8889</v>
      </c>
      <c r="D1062" s="713" t="s">
        <v>34</v>
      </c>
      <c r="E1062" s="713" t="s">
        <v>8440</v>
      </c>
    </row>
    <row r="1063" spans="2:5" x14ac:dyDescent="0.2">
      <c r="B1063" t="s">
        <v>6827</v>
      </c>
      <c r="C1063" s="713" t="s">
        <v>8890</v>
      </c>
      <c r="D1063" s="713" t="s">
        <v>34</v>
      </c>
      <c r="E1063" s="713" t="s">
        <v>8891</v>
      </c>
    </row>
    <row r="1064" spans="2:5" x14ac:dyDescent="0.2">
      <c r="B1064" t="s">
        <v>6828</v>
      </c>
      <c r="C1064" s="713" t="s">
        <v>8892</v>
      </c>
      <c r="D1064" s="713" t="s">
        <v>34</v>
      </c>
      <c r="E1064" s="713" t="s">
        <v>7587</v>
      </c>
    </row>
    <row r="1065" spans="2:5" x14ac:dyDescent="0.2">
      <c r="B1065" t="s">
        <v>6829</v>
      </c>
      <c r="C1065" s="713" t="s">
        <v>8893</v>
      </c>
      <c r="D1065" s="713" t="s">
        <v>34</v>
      </c>
      <c r="E1065" s="713" t="s">
        <v>7587</v>
      </c>
    </row>
    <row r="1066" spans="2:5" x14ac:dyDescent="0.2">
      <c r="B1066" t="s">
        <v>6830</v>
      </c>
      <c r="C1066" s="713" t="s">
        <v>8894</v>
      </c>
      <c r="D1066" s="713" t="s">
        <v>34</v>
      </c>
      <c r="E1066" s="713" t="s">
        <v>8895</v>
      </c>
    </row>
    <row r="1067" spans="2:5" x14ac:dyDescent="0.2">
      <c r="B1067" t="s">
        <v>6831</v>
      </c>
      <c r="C1067" s="713" t="s">
        <v>8896</v>
      </c>
      <c r="D1067" s="713" t="s">
        <v>34</v>
      </c>
      <c r="E1067" s="713" t="s">
        <v>8897</v>
      </c>
    </row>
    <row r="1068" spans="2:5" x14ac:dyDescent="0.2">
      <c r="B1068" t="s">
        <v>6832</v>
      </c>
      <c r="C1068" s="713" t="s">
        <v>8898</v>
      </c>
      <c r="D1068" s="713" t="s">
        <v>34</v>
      </c>
      <c r="E1068" s="713" t="s">
        <v>8899</v>
      </c>
    </row>
    <row r="1069" spans="2:5" x14ac:dyDescent="0.2">
      <c r="B1069" t="s">
        <v>6833</v>
      </c>
      <c r="C1069" s="713" t="s">
        <v>8900</v>
      </c>
      <c r="D1069" s="713" t="s">
        <v>34</v>
      </c>
      <c r="E1069" s="713" t="s">
        <v>8901</v>
      </c>
    </row>
    <row r="1070" spans="2:5" x14ac:dyDescent="0.2">
      <c r="B1070" t="s">
        <v>6834</v>
      </c>
      <c r="C1070" s="713" t="s">
        <v>8902</v>
      </c>
      <c r="D1070" s="713" t="s">
        <v>34</v>
      </c>
      <c r="E1070" s="713" t="s">
        <v>7741</v>
      </c>
    </row>
    <row r="1071" spans="2:5" x14ac:dyDescent="0.2">
      <c r="B1071" t="s">
        <v>6835</v>
      </c>
      <c r="C1071" s="713" t="s">
        <v>8903</v>
      </c>
      <c r="D1071" s="713" t="s">
        <v>34</v>
      </c>
      <c r="E1071" s="713" t="s">
        <v>8904</v>
      </c>
    </row>
    <row r="1072" spans="2:5" x14ac:dyDescent="0.2">
      <c r="B1072" t="s">
        <v>6836</v>
      </c>
      <c r="C1072" s="713" t="s">
        <v>8905</v>
      </c>
      <c r="D1072" s="713" t="s">
        <v>34</v>
      </c>
      <c r="E1072" s="713" t="s">
        <v>8906</v>
      </c>
    </row>
    <row r="1073" spans="2:5" x14ac:dyDescent="0.2">
      <c r="B1073" t="s">
        <v>6837</v>
      </c>
      <c r="C1073" s="713" t="s">
        <v>8907</v>
      </c>
      <c r="D1073" s="713" t="s">
        <v>34</v>
      </c>
      <c r="E1073" s="713" t="s">
        <v>7396</v>
      </c>
    </row>
    <row r="1074" spans="2:5" x14ac:dyDescent="0.2">
      <c r="B1074" t="s">
        <v>6838</v>
      </c>
      <c r="C1074" s="713" t="s">
        <v>8908</v>
      </c>
      <c r="D1074" s="713" t="s">
        <v>34</v>
      </c>
      <c r="E1074" s="713" t="s">
        <v>8909</v>
      </c>
    </row>
    <row r="1075" spans="2:5" x14ac:dyDescent="0.2">
      <c r="B1075" t="s">
        <v>6839</v>
      </c>
      <c r="C1075" s="713" t="s">
        <v>8910</v>
      </c>
      <c r="D1075" s="713" t="s">
        <v>34</v>
      </c>
      <c r="E1075" s="713" t="s">
        <v>7412</v>
      </c>
    </row>
    <row r="1076" spans="2:5" x14ac:dyDescent="0.2">
      <c r="B1076" t="s">
        <v>6840</v>
      </c>
      <c r="C1076" s="713" t="s">
        <v>8911</v>
      </c>
      <c r="D1076" s="713" t="s">
        <v>34</v>
      </c>
      <c r="E1076" s="713" t="s">
        <v>7573</v>
      </c>
    </row>
    <row r="1077" spans="2:5" x14ac:dyDescent="0.2">
      <c r="B1077" t="s">
        <v>6841</v>
      </c>
      <c r="C1077" s="713" t="s">
        <v>8912</v>
      </c>
      <c r="D1077" s="713" t="s">
        <v>34</v>
      </c>
      <c r="E1077" s="713" t="s">
        <v>8913</v>
      </c>
    </row>
    <row r="1078" spans="2:5" x14ac:dyDescent="0.2">
      <c r="B1078" t="s">
        <v>6842</v>
      </c>
      <c r="C1078" s="713" t="s">
        <v>8914</v>
      </c>
      <c r="D1078" s="713" t="s">
        <v>34</v>
      </c>
      <c r="E1078" s="713" t="s">
        <v>7614</v>
      </c>
    </row>
    <row r="1079" spans="2:5" x14ac:dyDescent="0.2">
      <c r="B1079" t="s">
        <v>6843</v>
      </c>
      <c r="C1079" s="713" t="s">
        <v>8915</v>
      </c>
      <c r="D1079" s="713" t="s">
        <v>34</v>
      </c>
      <c r="E1079" s="713" t="s">
        <v>8916</v>
      </c>
    </row>
    <row r="1080" spans="2:5" x14ac:dyDescent="0.2">
      <c r="B1080" t="s">
        <v>6844</v>
      </c>
      <c r="C1080" s="713" t="s">
        <v>8917</v>
      </c>
      <c r="D1080" s="713" t="s">
        <v>34</v>
      </c>
      <c r="E1080" s="713" t="s">
        <v>8918</v>
      </c>
    </row>
    <row r="1081" spans="2:5" x14ac:dyDescent="0.2">
      <c r="B1081" t="s">
        <v>6845</v>
      </c>
      <c r="C1081" s="713" t="s">
        <v>8919</v>
      </c>
      <c r="D1081" s="713" t="s">
        <v>34</v>
      </c>
      <c r="E1081" s="713" t="s">
        <v>7404</v>
      </c>
    </row>
    <row r="1082" spans="2:5" x14ac:dyDescent="0.2">
      <c r="B1082" t="s">
        <v>6846</v>
      </c>
      <c r="C1082" s="713" t="s">
        <v>8920</v>
      </c>
      <c r="D1082" s="713" t="s">
        <v>34</v>
      </c>
      <c r="E1082" s="713" t="s">
        <v>7458</v>
      </c>
    </row>
    <row r="1083" spans="2:5" x14ac:dyDescent="0.2">
      <c r="B1083" t="s">
        <v>6847</v>
      </c>
      <c r="C1083" s="713" t="s">
        <v>8921</v>
      </c>
      <c r="D1083" s="713" t="s">
        <v>34</v>
      </c>
      <c r="E1083" s="713" t="s">
        <v>8922</v>
      </c>
    </row>
    <row r="1084" spans="2:5" x14ac:dyDescent="0.2">
      <c r="B1084" t="s">
        <v>6848</v>
      </c>
      <c r="C1084" s="713" t="s">
        <v>8923</v>
      </c>
      <c r="D1084" s="713" t="s">
        <v>34</v>
      </c>
      <c r="E1084" s="713" t="s">
        <v>8153</v>
      </c>
    </row>
    <row r="1085" spans="2:5" x14ac:dyDescent="0.2">
      <c r="B1085" t="s">
        <v>6849</v>
      </c>
      <c r="C1085" s="713" t="s">
        <v>8924</v>
      </c>
      <c r="D1085" s="713" t="s">
        <v>34</v>
      </c>
      <c r="E1085" s="713" t="s">
        <v>8925</v>
      </c>
    </row>
    <row r="1086" spans="2:5" x14ac:dyDescent="0.2">
      <c r="B1086" t="s">
        <v>6850</v>
      </c>
      <c r="C1086" s="713" t="s">
        <v>8926</v>
      </c>
      <c r="D1086" s="713" t="s">
        <v>34</v>
      </c>
      <c r="E1086" s="713" t="s">
        <v>8927</v>
      </c>
    </row>
    <row r="1087" spans="2:5" x14ac:dyDescent="0.2">
      <c r="B1087" t="s">
        <v>6851</v>
      </c>
      <c r="C1087" s="713" t="s">
        <v>8928</v>
      </c>
      <c r="D1087" s="713" t="s">
        <v>34</v>
      </c>
      <c r="E1087" s="713" t="s">
        <v>8929</v>
      </c>
    </row>
    <row r="1088" spans="2:5" x14ac:dyDescent="0.2">
      <c r="B1088" t="s">
        <v>6852</v>
      </c>
      <c r="C1088" s="713" t="s">
        <v>8930</v>
      </c>
      <c r="D1088" s="713" t="s">
        <v>34</v>
      </c>
      <c r="E1088" s="713" t="s">
        <v>8931</v>
      </c>
    </row>
    <row r="1089" spans="2:5" x14ac:dyDescent="0.2">
      <c r="B1089" t="s">
        <v>6853</v>
      </c>
      <c r="C1089" s="713" t="s">
        <v>8932</v>
      </c>
      <c r="D1089" s="713" t="s">
        <v>34</v>
      </c>
      <c r="E1089" s="713" t="s">
        <v>7667</v>
      </c>
    </row>
    <row r="1090" spans="2:5" x14ac:dyDescent="0.2">
      <c r="B1090" t="s">
        <v>6854</v>
      </c>
      <c r="C1090" s="713" t="s">
        <v>8933</v>
      </c>
      <c r="D1090" s="713" t="s">
        <v>34</v>
      </c>
      <c r="E1090" s="713" t="s">
        <v>8934</v>
      </c>
    </row>
    <row r="1091" spans="2:5" x14ac:dyDescent="0.2">
      <c r="B1091" t="s">
        <v>6855</v>
      </c>
      <c r="C1091" s="713" t="s">
        <v>8935</v>
      </c>
      <c r="D1091" s="713" t="s">
        <v>34</v>
      </c>
      <c r="E1091" s="713" t="s">
        <v>7841</v>
      </c>
    </row>
    <row r="1092" spans="2:5" x14ac:dyDescent="0.2">
      <c r="B1092" t="s">
        <v>6856</v>
      </c>
      <c r="C1092" s="713" t="s">
        <v>8936</v>
      </c>
      <c r="D1092" s="713" t="s">
        <v>34</v>
      </c>
      <c r="E1092" s="713" t="s">
        <v>7458</v>
      </c>
    </row>
    <row r="1093" spans="2:5" x14ac:dyDescent="0.2">
      <c r="B1093" t="s">
        <v>6857</v>
      </c>
      <c r="C1093" s="713" t="s">
        <v>8937</v>
      </c>
      <c r="D1093" s="713" t="s">
        <v>34</v>
      </c>
      <c r="E1093" s="713" t="s">
        <v>7587</v>
      </c>
    </row>
    <row r="1094" spans="2:5" x14ac:dyDescent="0.2">
      <c r="B1094" t="s">
        <v>6858</v>
      </c>
      <c r="C1094" s="713" t="s">
        <v>8938</v>
      </c>
      <c r="D1094" s="713" t="s">
        <v>34</v>
      </c>
      <c r="E1094" s="713" t="s">
        <v>8939</v>
      </c>
    </row>
    <row r="1095" spans="2:5" x14ac:dyDescent="0.2">
      <c r="B1095" t="s">
        <v>6859</v>
      </c>
      <c r="C1095" s="713" t="s">
        <v>8940</v>
      </c>
      <c r="D1095" s="713" t="s">
        <v>34</v>
      </c>
      <c r="E1095" s="713" t="s">
        <v>7623</v>
      </c>
    </row>
    <row r="1096" spans="2:5" x14ac:dyDescent="0.2">
      <c r="B1096" t="s">
        <v>6860</v>
      </c>
      <c r="C1096" s="713" t="s">
        <v>8941</v>
      </c>
      <c r="D1096" s="713" t="s">
        <v>34</v>
      </c>
      <c r="E1096" s="713" t="s">
        <v>7783</v>
      </c>
    </row>
    <row r="1097" spans="2:5" x14ac:dyDescent="0.2">
      <c r="B1097" t="s">
        <v>6861</v>
      </c>
      <c r="C1097" s="713" t="s">
        <v>8942</v>
      </c>
      <c r="D1097" s="713" t="s">
        <v>34</v>
      </c>
      <c r="E1097" s="713" t="s">
        <v>8060</v>
      </c>
    </row>
    <row r="1098" spans="2:5" x14ac:dyDescent="0.2">
      <c r="B1098" t="s">
        <v>6862</v>
      </c>
      <c r="C1098" s="713" t="s">
        <v>8943</v>
      </c>
      <c r="D1098" s="713" t="s">
        <v>34</v>
      </c>
      <c r="E1098" s="713" t="s">
        <v>7458</v>
      </c>
    </row>
    <row r="1099" spans="2:5" x14ac:dyDescent="0.2">
      <c r="B1099" t="s">
        <v>6863</v>
      </c>
      <c r="C1099" s="713" t="s">
        <v>8045</v>
      </c>
      <c r="D1099" s="713" t="s">
        <v>34</v>
      </c>
      <c r="E1099" s="713" t="s">
        <v>8046</v>
      </c>
    </row>
    <row r="1100" spans="2:5" x14ac:dyDescent="0.2">
      <c r="B1100" t="s">
        <v>6864</v>
      </c>
      <c r="C1100" s="713" t="s">
        <v>8944</v>
      </c>
      <c r="D1100" s="713" t="s">
        <v>34</v>
      </c>
      <c r="E1100" s="713" t="s">
        <v>7454</v>
      </c>
    </row>
    <row r="1101" spans="2:5" x14ac:dyDescent="0.2">
      <c r="B1101" t="s">
        <v>6865</v>
      </c>
      <c r="C1101" s="713" t="s">
        <v>8945</v>
      </c>
      <c r="D1101" s="713" t="s">
        <v>34</v>
      </c>
      <c r="E1101" s="713" t="s">
        <v>7495</v>
      </c>
    </row>
    <row r="1102" spans="2:5" x14ac:dyDescent="0.2">
      <c r="B1102" t="s">
        <v>6866</v>
      </c>
      <c r="C1102" s="713" t="s">
        <v>8946</v>
      </c>
      <c r="D1102" s="713" t="s">
        <v>34</v>
      </c>
      <c r="E1102" s="713" t="s">
        <v>8947</v>
      </c>
    </row>
    <row r="1103" spans="2:5" x14ac:dyDescent="0.2">
      <c r="B1103" t="s">
        <v>6867</v>
      </c>
      <c r="C1103" s="713" t="s">
        <v>8948</v>
      </c>
      <c r="D1103" s="713" t="s">
        <v>34</v>
      </c>
      <c r="E1103" s="713" t="s">
        <v>8949</v>
      </c>
    </row>
    <row r="1104" spans="2:5" x14ac:dyDescent="0.2">
      <c r="B1104" t="s">
        <v>6868</v>
      </c>
      <c r="C1104" s="713" t="s">
        <v>8950</v>
      </c>
      <c r="D1104" s="713" t="s">
        <v>34</v>
      </c>
      <c r="E1104" s="713" t="s">
        <v>8951</v>
      </c>
    </row>
    <row r="1105" spans="2:5" x14ac:dyDescent="0.2">
      <c r="B1105" t="s">
        <v>6869</v>
      </c>
      <c r="C1105" s="713" t="s">
        <v>8952</v>
      </c>
      <c r="D1105" s="713" t="s">
        <v>34</v>
      </c>
      <c r="E1105" s="713" t="s">
        <v>8953</v>
      </c>
    </row>
    <row r="1106" spans="2:5" x14ac:dyDescent="0.2">
      <c r="B1106" t="s">
        <v>6870</v>
      </c>
      <c r="C1106" s="713" t="s">
        <v>8954</v>
      </c>
      <c r="D1106" s="713" t="s">
        <v>34</v>
      </c>
      <c r="E1106" s="713" t="s">
        <v>7454</v>
      </c>
    </row>
    <row r="1107" spans="2:5" x14ac:dyDescent="0.2">
      <c r="B1107" t="s">
        <v>6871</v>
      </c>
      <c r="C1107" s="713" t="s">
        <v>8955</v>
      </c>
      <c r="D1107" s="713" t="s">
        <v>34</v>
      </c>
      <c r="E1107" s="713" t="s">
        <v>8956</v>
      </c>
    </row>
    <row r="1108" spans="2:5" x14ac:dyDescent="0.2">
      <c r="B1108" t="s">
        <v>6872</v>
      </c>
      <c r="C1108" s="713" t="s">
        <v>34</v>
      </c>
      <c r="D1108" s="713" t="s">
        <v>34</v>
      </c>
      <c r="E1108" s="713" t="s">
        <v>7611</v>
      </c>
    </row>
    <row r="1109" spans="2:5" x14ac:dyDescent="0.2">
      <c r="B1109" t="s">
        <v>6873</v>
      </c>
      <c r="C1109" s="713" t="s">
        <v>8957</v>
      </c>
      <c r="D1109" s="713" t="s">
        <v>34</v>
      </c>
      <c r="E1109" s="713" t="s">
        <v>7418</v>
      </c>
    </row>
    <row r="1110" spans="2:5" x14ac:dyDescent="0.2">
      <c r="B1110" t="s">
        <v>6874</v>
      </c>
      <c r="C1110" s="713" t="s">
        <v>8958</v>
      </c>
      <c r="D1110" s="713" t="s">
        <v>8959</v>
      </c>
      <c r="E1110" s="713" t="s">
        <v>7462</v>
      </c>
    </row>
    <row r="1111" spans="2:5" x14ac:dyDescent="0.2">
      <c r="B1111" t="s">
        <v>6875</v>
      </c>
      <c r="C1111" s="713" t="s">
        <v>8960</v>
      </c>
      <c r="D1111" s="713" t="s">
        <v>34</v>
      </c>
      <c r="E1111" s="713" t="s">
        <v>7564</v>
      </c>
    </row>
    <row r="1112" spans="2:5" x14ac:dyDescent="0.2">
      <c r="B1112" t="s">
        <v>6876</v>
      </c>
      <c r="C1112" s="713" t="s">
        <v>8961</v>
      </c>
      <c r="D1112" s="713" t="s">
        <v>34</v>
      </c>
      <c r="E1112" s="713" t="s">
        <v>8315</v>
      </c>
    </row>
    <row r="1113" spans="2:5" x14ac:dyDescent="0.2">
      <c r="B1113" t="s">
        <v>6877</v>
      </c>
      <c r="C1113" s="713" t="s">
        <v>8962</v>
      </c>
      <c r="D1113" s="713" t="s">
        <v>34</v>
      </c>
      <c r="E1113" s="713" t="s">
        <v>7741</v>
      </c>
    </row>
    <row r="1114" spans="2:5" x14ac:dyDescent="0.2">
      <c r="B1114" t="s">
        <v>6878</v>
      </c>
      <c r="C1114" s="713" t="s">
        <v>8963</v>
      </c>
      <c r="D1114" s="713" t="s">
        <v>34</v>
      </c>
      <c r="E1114" s="713" t="s">
        <v>7529</v>
      </c>
    </row>
    <row r="1115" spans="2:5" x14ac:dyDescent="0.2">
      <c r="B1115" t="s">
        <v>6879</v>
      </c>
      <c r="C1115" s="713" t="s">
        <v>8964</v>
      </c>
      <c r="D1115" s="713" t="s">
        <v>34</v>
      </c>
      <c r="E1115" s="713" t="s">
        <v>7695</v>
      </c>
    </row>
    <row r="1116" spans="2:5" x14ac:dyDescent="0.2">
      <c r="B1116" t="s">
        <v>6880</v>
      </c>
      <c r="C1116" s="713" t="s">
        <v>8965</v>
      </c>
      <c r="D1116" s="713" t="s">
        <v>34</v>
      </c>
      <c r="E1116" s="713" t="s">
        <v>8966</v>
      </c>
    </row>
    <row r="1117" spans="2:5" x14ac:dyDescent="0.2">
      <c r="B1117" t="s">
        <v>6881</v>
      </c>
      <c r="C1117" s="713" t="s">
        <v>8967</v>
      </c>
      <c r="D1117" s="713" t="s">
        <v>34</v>
      </c>
      <c r="E1117" s="713" t="s">
        <v>8197</v>
      </c>
    </row>
    <row r="1118" spans="2:5" x14ac:dyDescent="0.2">
      <c r="B1118" t="s">
        <v>6882</v>
      </c>
      <c r="C1118" s="713" t="s">
        <v>8968</v>
      </c>
      <c r="D1118" s="713" t="s">
        <v>34</v>
      </c>
      <c r="E1118" s="713" t="s">
        <v>7573</v>
      </c>
    </row>
    <row r="1119" spans="2:5" x14ac:dyDescent="0.2">
      <c r="B1119" t="s">
        <v>6883</v>
      </c>
      <c r="C1119" s="713" t="s">
        <v>8969</v>
      </c>
      <c r="D1119" s="713" t="s">
        <v>34</v>
      </c>
      <c r="E1119" s="713" t="s">
        <v>7462</v>
      </c>
    </row>
    <row r="1120" spans="2:5" x14ac:dyDescent="0.2">
      <c r="B1120" t="s">
        <v>6884</v>
      </c>
      <c r="C1120" s="713" t="s">
        <v>8970</v>
      </c>
      <c r="D1120" s="713" t="s">
        <v>34</v>
      </c>
      <c r="E1120" s="713" t="s">
        <v>7442</v>
      </c>
    </row>
    <row r="1121" spans="2:5" x14ac:dyDescent="0.2">
      <c r="B1121" t="s">
        <v>6885</v>
      </c>
      <c r="C1121" s="713" t="s">
        <v>8971</v>
      </c>
      <c r="D1121" s="713" t="s">
        <v>34</v>
      </c>
      <c r="E1121" s="713" t="s">
        <v>7410</v>
      </c>
    </row>
    <row r="1122" spans="2:5" x14ac:dyDescent="0.2">
      <c r="B1122" t="s">
        <v>6886</v>
      </c>
      <c r="C1122" s="713" t="s">
        <v>34</v>
      </c>
      <c r="D1122" s="713" t="s">
        <v>34</v>
      </c>
      <c r="E1122" s="713" t="s">
        <v>7611</v>
      </c>
    </row>
    <row r="1123" spans="2:5" x14ac:dyDescent="0.2">
      <c r="B1123" t="s">
        <v>6887</v>
      </c>
      <c r="C1123" s="713" t="s">
        <v>8972</v>
      </c>
      <c r="D1123" s="713" t="s">
        <v>34</v>
      </c>
      <c r="E1123" s="713" t="s">
        <v>7418</v>
      </c>
    </row>
    <row r="1124" spans="2:5" x14ac:dyDescent="0.2">
      <c r="B1124" t="s">
        <v>1619</v>
      </c>
      <c r="C1124" s="713" t="s">
        <v>8973</v>
      </c>
      <c r="D1124" s="713" t="s">
        <v>34</v>
      </c>
      <c r="E1124" s="713" t="s">
        <v>8974</v>
      </c>
    </row>
    <row r="1125" spans="2:5" x14ac:dyDescent="0.2">
      <c r="B1125" t="s">
        <v>6888</v>
      </c>
      <c r="C1125" s="713" t="s">
        <v>8975</v>
      </c>
      <c r="D1125" s="713" t="s">
        <v>34</v>
      </c>
      <c r="E1125" s="713" t="s">
        <v>8976</v>
      </c>
    </row>
    <row r="1126" spans="2:5" x14ac:dyDescent="0.2">
      <c r="B1126" t="s">
        <v>6889</v>
      </c>
      <c r="C1126" s="713" t="s">
        <v>8977</v>
      </c>
      <c r="D1126" s="713" t="s">
        <v>34</v>
      </c>
      <c r="E1126" s="713" t="s">
        <v>7462</v>
      </c>
    </row>
    <row r="1127" spans="2:5" x14ac:dyDescent="0.2">
      <c r="B1127" t="s">
        <v>6890</v>
      </c>
      <c r="C1127" s="713" t="s">
        <v>8978</v>
      </c>
      <c r="D1127" s="713" t="s">
        <v>34</v>
      </c>
      <c r="E1127" s="713" t="s">
        <v>8070</v>
      </c>
    </row>
    <row r="1128" spans="2:5" x14ac:dyDescent="0.2">
      <c r="B1128" t="s">
        <v>6891</v>
      </c>
      <c r="C1128" s="713" t="s">
        <v>8979</v>
      </c>
      <c r="D1128" s="713" t="s">
        <v>34</v>
      </c>
      <c r="E1128" s="713" t="s">
        <v>8800</v>
      </c>
    </row>
    <row r="1129" spans="2:5" x14ac:dyDescent="0.2">
      <c r="B1129" t="s">
        <v>6892</v>
      </c>
      <c r="C1129" s="713" t="s">
        <v>8980</v>
      </c>
      <c r="D1129" s="713" t="s">
        <v>34</v>
      </c>
      <c r="E1129" s="713" t="s">
        <v>8981</v>
      </c>
    </row>
    <row r="1130" spans="2:5" x14ac:dyDescent="0.2">
      <c r="B1130" t="s">
        <v>6893</v>
      </c>
      <c r="C1130" s="713" t="s">
        <v>8982</v>
      </c>
      <c r="D1130" s="713" t="s">
        <v>34</v>
      </c>
      <c r="E1130" s="713" t="s">
        <v>7495</v>
      </c>
    </row>
    <row r="1131" spans="2:5" x14ac:dyDescent="0.2">
      <c r="B1131" t="s">
        <v>6894</v>
      </c>
      <c r="C1131" s="713" t="s">
        <v>8983</v>
      </c>
      <c r="D1131" s="713" t="s">
        <v>34</v>
      </c>
      <c r="E1131" s="713" t="s">
        <v>8984</v>
      </c>
    </row>
    <row r="1132" spans="2:5" x14ac:dyDescent="0.2">
      <c r="B1132" t="s">
        <v>6895</v>
      </c>
      <c r="C1132" s="713" t="s">
        <v>8985</v>
      </c>
      <c r="D1132" s="713" t="s">
        <v>34</v>
      </c>
      <c r="E1132" s="713" t="s">
        <v>8986</v>
      </c>
    </row>
    <row r="1133" spans="2:5" x14ac:dyDescent="0.2">
      <c r="B1133" t="s">
        <v>6896</v>
      </c>
      <c r="C1133" s="713" t="s">
        <v>8987</v>
      </c>
      <c r="D1133" s="713" t="s">
        <v>34</v>
      </c>
      <c r="E1133" s="713" t="s">
        <v>7480</v>
      </c>
    </row>
    <row r="1134" spans="2:5" x14ac:dyDescent="0.2">
      <c r="B1134" t="s">
        <v>6897</v>
      </c>
      <c r="C1134" s="713" t="s">
        <v>8988</v>
      </c>
      <c r="D1134" s="713" t="s">
        <v>34</v>
      </c>
      <c r="E1134" s="713" t="s">
        <v>8204</v>
      </c>
    </row>
    <row r="1135" spans="2:5" x14ac:dyDescent="0.2">
      <c r="B1135" t="s">
        <v>6898</v>
      </c>
      <c r="C1135" s="713" t="s">
        <v>8989</v>
      </c>
      <c r="D1135" s="713" t="s">
        <v>34</v>
      </c>
      <c r="E1135" s="713" t="s">
        <v>8990</v>
      </c>
    </row>
    <row r="1136" spans="2:5" x14ac:dyDescent="0.2">
      <c r="B1136" t="s">
        <v>6899</v>
      </c>
      <c r="C1136" s="713" t="s">
        <v>8991</v>
      </c>
      <c r="D1136" s="713" t="s">
        <v>34</v>
      </c>
      <c r="E1136" s="713" t="s">
        <v>7480</v>
      </c>
    </row>
    <row r="1137" spans="2:5" x14ac:dyDescent="0.2">
      <c r="B1137" t="s">
        <v>6900</v>
      </c>
      <c r="C1137" s="713" t="s">
        <v>8992</v>
      </c>
      <c r="D1137" s="713" t="s">
        <v>34</v>
      </c>
      <c r="E1137" s="713" t="s">
        <v>7396</v>
      </c>
    </row>
    <row r="1138" spans="2:5" x14ac:dyDescent="0.2">
      <c r="B1138" t="s">
        <v>6901</v>
      </c>
      <c r="C1138" s="713" t="s">
        <v>7699</v>
      </c>
      <c r="D1138" s="713" t="s">
        <v>34</v>
      </c>
      <c r="E1138" s="713" t="s">
        <v>7410</v>
      </c>
    </row>
    <row r="1139" spans="2:5" x14ac:dyDescent="0.2">
      <c r="B1139" t="s">
        <v>6902</v>
      </c>
      <c r="C1139" s="713" t="s">
        <v>8993</v>
      </c>
      <c r="D1139" s="713" t="s">
        <v>34</v>
      </c>
      <c r="E1139" s="713" t="s">
        <v>7741</v>
      </c>
    </row>
    <row r="1140" spans="2:5" x14ac:dyDescent="0.2">
      <c r="B1140" t="s">
        <v>6903</v>
      </c>
      <c r="C1140" s="713" t="s">
        <v>8994</v>
      </c>
      <c r="D1140" s="713" t="s">
        <v>34</v>
      </c>
      <c r="E1140" s="713" t="s">
        <v>7418</v>
      </c>
    </row>
    <row r="1141" spans="2:5" x14ac:dyDescent="0.2">
      <c r="B1141" t="s">
        <v>6904</v>
      </c>
      <c r="C1141" s="713" t="s">
        <v>8995</v>
      </c>
      <c r="D1141" s="713" t="s">
        <v>34</v>
      </c>
      <c r="E1141" s="713" t="s">
        <v>8996</v>
      </c>
    </row>
    <row r="1142" spans="2:5" x14ac:dyDescent="0.2">
      <c r="B1142" t="s">
        <v>1623</v>
      </c>
      <c r="C1142" s="713" t="s">
        <v>8997</v>
      </c>
      <c r="D1142" s="713" t="s">
        <v>34</v>
      </c>
      <c r="E1142" s="713" t="s">
        <v>8625</v>
      </c>
    </row>
    <row r="1143" spans="2:5" x14ac:dyDescent="0.2">
      <c r="B1143" t="s">
        <v>6905</v>
      </c>
      <c r="C1143" s="713" t="s">
        <v>8998</v>
      </c>
      <c r="D1143" s="713" t="s">
        <v>34</v>
      </c>
      <c r="E1143" s="713" t="s">
        <v>8999</v>
      </c>
    </row>
    <row r="1144" spans="2:5" x14ac:dyDescent="0.2">
      <c r="B1144" t="s">
        <v>6906</v>
      </c>
      <c r="C1144" s="713" t="s">
        <v>9000</v>
      </c>
      <c r="D1144" s="713" t="s">
        <v>34</v>
      </c>
      <c r="E1144" s="713" t="s">
        <v>7822</v>
      </c>
    </row>
    <row r="1145" spans="2:5" x14ac:dyDescent="0.2">
      <c r="B1145" t="s">
        <v>6907</v>
      </c>
      <c r="C1145" s="713" t="s">
        <v>9001</v>
      </c>
      <c r="D1145" s="713" t="s">
        <v>34</v>
      </c>
      <c r="E1145" s="713" t="s">
        <v>9002</v>
      </c>
    </row>
    <row r="1146" spans="2:5" x14ac:dyDescent="0.2">
      <c r="B1146" t="s">
        <v>6908</v>
      </c>
      <c r="C1146" s="713" t="s">
        <v>9003</v>
      </c>
      <c r="D1146" s="713" t="s">
        <v>34</v>
      </c>
      <c r="E1146" s="713" t="s">
        <v>7587</v>
      </c>
    </row>
    <row r="1147" spans="2:5" x14ac:dyDescent="0.2">
      <c r="B1147" t="s">
        <v>6909</v>
      </c>
      <c r="C1147" s="713" t="s">
        <v>9004</v>
      </c>
      <c r="D1147" s="713" t="s">
        <v>34</v>
      </c>
      <c r="E1147" s="713" t="s">
        <v>7741</v>
      </c>
    </row>
    <row r="1148" spans="2:5" x14ac:dyDescent="0.2">
      <c r="B1148" t="s">
        <v>6910</v>
      </c>
      <c r="C1148" s="713" t="s">
        <v>9005</v>
      </c>
      <c r="D1148" s="713" t="s">
        <v>34</v>
      </c>
      <c r="E1148" s="713" t="s">
        <v>7741</v>
      </c>
    </row>
    <row r="1149" spans="2:5" x14ac:dyDescent="0.2">
      <c r="B1149" t="s">
        <v>6911</v>
      </c>
      <c r="C1149" s="713" t="s">
        <v>34</v>
      </c>
      <c r="D1149" s="713" t="s">
        <v>34</v>
      </c>
      <c r="E1149" s="713" t="s">
        <v>7611</v>
      </c>
    </row>
    <row r="1150" spans="2:5" x14ac:dyDescent="0.2">
      <c r="B1150" t="s">
        <v>6911</v>
      </c>
      <c r="C1150" s="713" t="s">
        <v>9006</v>
      </c>
      <c r="D1150" s="713" t="s">
        <v>34</v>
      </c>
      <c r="E1150" s="713" t="s">
        <v>8865</v>
      </c>
    </row>
    <row r="1151" spans="2:5" x14ac:dyDescent="0.2">
      <c r="B1151" t="s">
        <v>6912</v>
      </c>
      <c r="C1151" s="713" t="s">
        <v>9007</v>
      </c>
      <c r="D1151" s="713" t="s">
        <v>34</v>
      </c>
      <c r="E1151" s="713" t="s">
        <v>9008</v>
      </c>
    </row>
    <row r="1152" spans="2:5" x14ac:dyDescent="0.2">
      <c r="B1152" t="s">
        <v>6913</v>
      </c>
      <c r="C1152" s="713" t="s">
        <v>9009</v>
      </c>
      <c r="D1152" s="713" t="s">
        <v>34</v>
      </c>
      <c r="E1152" s="713" t="s">
        <v>7650</v>
      </c>
    </row>
    <row r="1153" spans="2:5" x14ac:dyDescent="0.2">
      <c r="B1153" t="s">
        <v>6914</v>
      </c>
      <c r="C1153" s="713" t="s">
        <v>9010</v>
      </c>
      <c r="D1153" s="713" t="s">
        <v>34</v>
      </c>
      <c r="E1153" s="713" t="s">
        <v>8999</v>
      </c>
    </row>
    <row r="1154" spans="2:5" x14ac:dyDescent="0.2">
      <c r="B1154" t="s">
        <v>6915</v>
      </c>
      <c r="C1154" s="713" t="s">
        <v>9011</v>
      </c>
      <c r="D1154" s="713" t="s">
        <v>34</v>
      </c>
      <c r="E1154" s="713" t="s">
        <v>9012</v>
      </c>
    </row>
    <row r="1155" spans="2:5" x14ac:dyDescent="0.2">
      <c r="B1155" t="s">
        <v>6916</v>
      </c>
      <c r="C1155" s="713" t="s">
        <v>9013</v>
      </c>
      <c r="D1155" s="713" t="s">
        <v>34</v>
      </c>
      <c r="E1155" s="713" t="s">
        <v>7546</v>
      </c>
    </row>
    <row r="1156" spans="2:5" x14ac:dyDescent="0.2">
      <c r="B1156" t="s">
        <v>6917</v>
      </c>
      <c r="C1156" s="713" t="s">
        <v>9014</v>
      </c>
      <c r="D1156" s="713" t="s">
        <v>34</v>
      </c>
      <c r="E1156" s="713" t="s">
        <v>7418</v>
      </c>
    </row>
    <row r="1157" spans="2:5" x14ac:dyDescent="0.2">
      <c r="B1157" t="s">
        <v>6918</v>
      </c>
      <c r="C1157" s="713" t="s">
        <v>9015</v>
      </c>
      <c r="D1157" s="713" t="s">
        <v>34</v>
      </c>
      <c r="E1157" s="713" t="s">
        <v>7490</v>
      </c>
    </row>
    <row r="1158" spans="2:5" x14ac:dyDescent="0.2">
      <c r="B1158" t="s">
        <v>6919</v>
      </c>
      <c r="C1158" s="713" t="s">
        <v>9016</v>
      </c>
      <c r="D1158" s="713" t="s">
        <v>34</v>
      </c>
      <c r="E1158" s="713" t="s">
        <v>7416</v>
      </c>
    </row>
    <row r="1159" spans="2:5" x14ac:dyDescent="0.2">
      <c r="B1159" t="s">
        <v>6920</v>
      </c>
      <c r="C1159" s="713" t="s">
        <v>9017</v>
      </c>
      <c r="D1159" s="713" t="s">
        <v>34</v>
      </c>
      <c r="E1159" s="713" t="s">
        <v>7404</v>
      </c>
    </row>
    <row r="1160" spans="2:5" x14ac:dyDescent="0.2">
      <c r="B1160" t="s">
        <v>6921</v>
      </c>
      <c r="C1160" s="713" t="s">
        <v>9018</v>
      </c>
      <c r="D1160" s="713" t="s">
        <v>34</v>
      </c>
      <c r="E1160" s="713" t="s">
        <v>7396</v>
      </c>
    </row>
    <row r="1161" spans="2:5" x14ac:dyDescent="0.2">
      <c r="B1161" t="s">
        <v>6922</v>
      </c>
      <c r="C1161" s="713" t="s">
        <v>9019</v>
      </c>
      <c r="D1161" s="713" t="s">
        <v>34</v>
      </c>
      <c r="E1161" s="713" t="s">
        <v>7396</v>
      </c>
    </row>
    <row r="1162" spans="2:5" x14ac:dyDescent="0.2">
      <c r="B1162" t="s">
        <v>6923</v>
      </c>
      <c r="C1162" s="713" t="s">
        <v>9020</v>
      </c>
      <c r="D1162" s="713" t="s">
        <v>34</v>
      </c>
      <c r="E1162" s="713" t="s">
        <v>9021</v>
      </c>
    </row>
    <row r="1163" spans="2:5" x14ac:dyDescent="0.2">
      <c r="B1163" t="s">
        <v>6924</v>
      </c>
      <c r="C1163" s="713" t="s">
        <v>9022</v>
      </c>
      <c r="D1163" s="713" t="s">
        <v>34</v>
      </c>
      <c r="E1163" s="713" t="s">
        <v>8317</v>
      </c>
    </row>
    <row r="1164" spans="2:5" x14ac:dyDescent="0.2">
      <c r="B1164" t="s">
        <v>6925</v>
      </c>
      <c r="C1164" s="713" t="s">
        <v>9023</v>
      </c>
      <c r="D1164" s="713" t="s">
        <v>34</v>
      </c>
      <c r="E1164" s="713" t="s">
        <v>7396</v>
      </c>
    </row>
    <row r="1165" spans="2:5" x14ac:dyDescent="0.2">
      <c r="B1165" t="s">
        <v>6926</v>
      </c>
      <c r="C1165" s="713" t="s">
        <v>9024</v>
      </c>
      <c r="D1165" s="713" t="s">
        <v>34</v>
      </c>
      <c r="E1165" s="713" t="s">
        <v>9025</v>
      </c>
    </row>
    <row r="1166" spans="2:5" x14ac:dyDescent="0.2">
      <c r="B1166" t="s">
        <v>6927</v>
      </c>
      <c r="C1166" s="713" t="s">
        <v>9026</v>
      </c>
      <c r="D1166" s="713" t="s">
        <v>34</v>
      </c>
      <c r="E1166" s="713" t="s">
        <v>7418</v>
      </c>
    </row>
    <row r="1167" spans="2:5" x14ac:dyDescent="0.2">
      <c r="B1167" t="s">
        <v>6928</v>
      </c>
      <c r="C1167" s="713" t="s">
        <v>9027</v>
      </c>
      <c r="D1167" s="713" t="s">
        <v>34</v>
      </c>
      <c r="E1167" s="713" t="s">
        <v>7564</v>
      </c>
    </row>
    <row r="1168" spans="2:5" x14ac:dyDescent="0.2">
      <c r="B1168" t="s">
        <v>6929</v>
      </c>
      <c r="C1168" s="713" t="s">
        <v>9028</v>
      </c>
      <c r="D1168" s="713" t="s">
        <v>34</v>
      </c>
      <c r="E1168" s="713" t="s">
        <v>9029</v>
      </c>
    </row>
    <row r="1169" spans="2:5" x14ac:dyDescent="0.2">
      <c r="B1169" t="s">
        <v>6930</v>
      </c>
      <c r="C1169" s="713" t="s">
        <v>9030</v>
      </c>
      <c r="D1169" s="713" t="s">
        <v>34</v>
      </c>
      <c r="E1169" s="713" t="s">
        <v>7410</v>
      </c>
    </row>
    <row r="1170" spans="2:5" x14ac:dyDescent="0.2">
      <c r="B1170" t="s">
        <v>6931</v>
      </c>
      <c r="C1170" s="713" t="s">
        <v>9031</v>
      </c>
      <c r="D1170" s="713" t="s">
        <v>34</v>
      </c>
      <c r="E1170" s="713" t="s">
        <v>9032</v>
      </c>
    </row>
    <row r="1171" spans="2:5" x14ac:dyDescent="0.2">
      <c r="B1171" t="s">
        <v>6932</v>
      </c>
      <c r="C1171" s="713" t="s">
        <v>9033</v>
      </c>
      <c r="D1171" s="713" t="s">
        <v>34</v>
      </c>
      <c r="E1171" s="713" t="s">
        <v>8176</v>
      </c>
    </row>
    <row r="1172" spans="2:5" x14ac:dyDescent="0.2">
      <c r="B1172" t="s">
        <v>3805</v>
      </c>
      <c r="C1172" s="713" t="s">
        <v>9034</v>
      </c>
      <c r="D1172" s="713" t="s">
        <v>34</v>
      </c>
      <c r="E1172" s="713" t="s">
        <v>7442</v>
      </c>
    </row>
    <row r="1173" spans="2:5" x14ac:dyDescent="0.2">
      <c r="B1173" t="s">
        <v>6933</v>
      </c>
      <c r="C1173" s="713" t="s">
        <v>9035</v>
      </c>
      <c r="D1173" s="713" t="s">
        <v>34</v>
      </c>
      <c r="E1173" s="713" t="s">
        <v>9036</v>
      </c>
    </row>
    <row r="1174" spans="2:5" x14ac:dyDescent="0.2">
      <c r="B1174" t="s">
        <v>6934</v>
      </c>
      <c r="C1174" s="713" t="s">
        <v>9037</v>
      </c>
      <c r="D1174" s="713" t="s">
        <v>34</v>
      </c>
      <c r="E1174" s="713" t="s">
        <v>9038</v>
      </c>
    </row>
    <row r="1175" spans="2:5" x14ac:dyDescent="0.2">
      <c r="B1175" t="s">
        <v>6935</v>
      </c>
      <c r="C1175" s="713" t="s">
        <v>9039</v>
      </c>
      <c r="D1175" s="713" t="s">
        <v>34</v>
      </c>
      <c r="E1175" s="713" t="s">
        <v>9040</v>
      </c>
    </row>
    <row r="1176" spans="2:5" x14ac:dyDescent="0.2">
      <c r="B1176" t="s">
        <v>6936</v>
      </c>
      <c r="C1176" s="713" t="s">
        <v>9041</v>
      </c>
      <c r="D1176" s="713" t="s">
        <v>9042</v>
      </c>
      <c r="E1176" s="713" t="s">
        <v>9043</v>
      </c>
    </row>
    <row r="1177" spans="2:5" x14ac:dyDescent="0.2">
      <c r="B1177" t="s">
        <v>6937</v>
      </c>
      <c r="C1177" s="713" t="s">
        <v>9044</v>
      </c>
      <c r="D1177" s="713" t="s">
        <v>34</v>
      </c>
      <c r="E1177" s="713" t="s">
        <v>7531</v>
      </c>
    </row>
    <row r="1178" spans="2:5" x14ac:dyDescent="0.2">
      <c r="B1178" t="s">
        <v>6938</v>
      </c>
      <c r="C1178" s="713" t="s">
        <v>9045</v>
      </c>
      <c r="D1178" s="713" t="s">
        <v>34</v>
      </c>
      <c r="E1178" s="713" t="s">
        <v>9046</v>
      </c>
    </row>
    <row r="1179" spans="2:5" x14ac:dyDescent="0.2">
      <c r="B1179" t="s">
        <v>6939</v>
      </c>
      <c r="C1179" s="713" t="s">
        <v>9047</v>
      </c>
      <c r="D1179" s="713" t="s">
        <v>34</v>
      </c>
      <c r="E1179" s="713" t="s">
        <v>7410</v>
      </c>
    </row>
    <row r="1180" spans="2:5" x14ac:dyDescent="0.2">
      <c r="B1180" t="s">
        <v>6940</v>
      </c>
      <c r="C1180" s="713" t="s">
        <v>34</v>
      </c>
      <c r="D1180" s="713" t="s">
        <v>34</v>
      </c>
      <c r="E1180" s="713" t="s">
        <v>7611</v>
      </c>
    </row>
    <row r="1181" spans="2:5" x14ac:dyDescent="0.2">
      <c r="B1181" t="s">
        <v>6941</v>
      </c>
      <c r="C1181" s="713" t="s">
        <v>9048</v>
      </c>
      <c r="D1181" s="713" t="s">
        <v>34</v>
      </c>
      <c r="E1181" s="713" t="s">
        <v>7442</v>
      </c>
    </row>
    <row r="1182" spans="2:5" x14ac:dyDescent="0.2">
      <c r="B1182" t="s">
        <v>1585</v>
      </c>
      <c r="C1182" s="713" t="s">
        <v>9049</v>
      </c>
      <c r="D1182" s="713" t="s">
        <v>34</v>
      </c>
      <c r="E1182" s="713" t="s">
        <v>9050</v>
      </c>
    </row>
    <row r="1183" spans="2:5" x14ac:dyDescent="0.2">
      <c r="B1183" t="s">
        <v>6942</v>
      </c>
      <c r="C1183" s="713" t="s">
        <v>9051</v>
      </c>
      <c r="D1183" s="713" t="s">
        <v>34</v>
      </c>
      <c r="E1183" s="713" t="s">
        <v>9052</v>
      </c>
    </row>
    <row r="1184" spans="2:5" x14ac:dyDescent="0.2">
      <c r="B1184" t="s">
        <v>6943</v>
      </c>
      <c r="C1184" s="713" t="s">
        <v>9053</v>
      </c>
      <c r="D1184" s="713" t="s">
        <v>34</v>
      </c>
      <c r="E1184" s="713" t="s">
        <v>7614</v>
      </c>
    </row>
    <row r="1185" spans="2:5" x14ac:dyDescent="0.2">
      <c r="B1185" t="s">
        <v>6944</v>
      </c>
      <c r="C1185" s="713" t="s">
        <v>9054</v>
      </c>
      <c r="D1185" s="713" t="s">
        <v>34</v>
      </c>
      <c r="E1185" s="713" t="s">
        <v>7462</v>
      </c>
    </row>
    <row r="1186" spans="2:5" x14ac:dyDescent="0.2">
      <c r="B1186" t="s">
        <v>6945</v>
      </c>
      <c r="C1186" s="713" t="s">
        <v>9055</v>
      </c>
      <c r="D1186" s="713" t="s">
        <v>34</v>
      </c>
      <c r="E1186" s="713" t="s">
        <v>9056</v>
      </c>
    </row>
    <row r="1187" spans="2:5" x14ac:dyDescent="0.2">
      <c r="B1187" t="s">
        <v>6946</v>
      </c>
      <c r="C1187" s="713" t="s">
        <v>9057</v>
      </c>
      <c r="D1187" s="713" t="s">
        <v>34</v>
      </c>
      <c r="E1187" s="713" t="s">
        <v>8728</v>
      </c>
    </row>
    <row r="1188" spans="2:5" x14ac:dyDescent="0.2">
      <c r="B1188" t="s">
        <v>6947</v>
      </c>
      <c r="C1188" s="713" t="s">
        <v>9058</v>
      </c>
      <c r="D1188" s="713" t="s">
        <v>34</v>
      </c>
      <c r="E1188" s="713" t="s">
        <v>9059</v>
      </c>
    </row>
    <row r="1189" spans="2:5" x14ac:dyDescent="0.2">
      <c r="B1189" t="s">
        <v>6948</v>
      </c>
      <c r="C1189" s="713" t="s">
        <v>9060</v>
      </c>
      <c r="D1189" s="713" t="s">
        <v>34</v>
      </c>
      <c r="E1189" s="713" t="s">
        <v>7768</v>
      </c>
    </row>
    <row r="1190" spans="2:5" x14ac:dyDescent="0.2">
      <c r="B1190" t="s">
        <v>6949</v>
      </c>
      <c r="C1190" s="713" t="s">
        <v>9061</v>
      </c>
      <c r="D1190" s="713" t="s">
        <v>34</v>
      </c>
      <c r="E1190" s="713" t="s">
        <v>9062</v>
      </c>
    </row>
    <row r="1191" spans="2:5" x14ac:dyDescent="0.2">
      <c r="B1191" t="s">
        <v>6950</v>
      </c>
      <c r="C1191" s="713" t="s">
        <v>9063</v>
      </c>
      <c r="D1191" s="713" t="s">
        <v>34</v>
      </c>
      <c r="E1191" s="713" t="s">
        <v>7412</v>
      </c>
    </row>
    <row r="1192" spans="2:5" x14ac:dyDescent="0.2">
      <c r="B1192" t="s">
        <v>6951</v>
      </c>
      <c r="C1192" s="713" t="s">
        <v>9064</v>
      </c>
      <c r="D1192" s="713" t="s">
        <v>34</v>
      </c>
      <c r="E1192" s="713" t="s">
        <v>9065</v>
      </c>
    </row>
    <row r="1193" spans="2:5" x14ac:dyDescent="0.2">
      <c r="B1193" t="s">
        <v>6952</v>
      </c>
      <c r="C1193" s="713" t="s">
        <v>9066</v>
      </c>
      <c r="D1193" s="713" t="s">
        <v>34</v>
      </c>
      <c r="E1193" s="713" t="s">
        <v>8897</v>
      </c>
    </row>
    <row r="1194" spans="2:5" x14ac:dyDescent="0.2">
      <c r="B1194" t="s">
        <v>6953</v>
      </c>
      <c r="C1194" s="713" t="s">
        <v>9067</v>
      </c>
      <c r="D1194" s="713" t="s">
        <v>34</v>
      </c>
      <c r="E1194" s="713" t="s">
        <v>7418</v>
      </c>
    </row>
    <row r="1195" spans="2:5" x14ac:dyDescent="0.2">
      <c r="B1195" t="s">
        <v>6954</v>
      </c>
      <c r="C1195" s="713" t="s">
        <v>9068</v>
      </c>
      <c r="D1195" s="713" t="s">
        <v>34</v>
      </c>
      <c r="E1195" s="713" t="s">
        <v>7546</v>
      </c>
    </row>
    <row r="1196" spans="2:5" x14ac:dyDescent="0.2">
      <c r="B1196" t="s">
        <v>6955</v>
      </c>
      <c r="C1196" s="713" t="s">
        <v>9069</v>
      </c>
      <c r="D1196" s="713" t="s">
        <v>34</v>
      </c>
      <c r="E1196" s="713" t="s">
        <v>9070</v>
      </c>
    </row>
    <row r="1197" spans="2:5" x14ac:dyDescent="0.2">
      <c r="B1197" t="s">
        <v>6956</v>
      </c>
      <c r="C1197" s="713" t="s">
        <v>9071</v>
      </c>
      <c r="D1197" s="713" t="s">
        <v>34</v>
      </c>
      <c r="E1197" s="713" t="s">
        <v>9072</v>
      </c>
    </row>
    <row r="1198" spans="2:5" x14ac:dyDescent="0.2">
      <c r="B1198" t="s">
        <v>6957</v>
      </c>
      <c r="C1198" s="713" t="s">
        <v>9073</v>
      </c>
      <c r="D1198" s="713" t="s">
        <v>34</v>
      </c>
      <c r="E1198" s="713" t="s">
        <v>7522</v>
      </c>
    </row>
    <row r="1199" spans="2:5" x14ac:dyDescent="0.2">
      <c r="B1199" t="s">
        <v>6958</v>
      </c>
      <c r="C1199" s="713" t="s">
        <v>9074</v>
      </c>
      <c r="D1199" s="713" t="s">
        <v>34</v>
      </c>
      <c r="E1199" s="713" t="s">
        <v>9075</v>
      </c>
    </row>
    <row r="1200" spans="2:5" x14ac:dyDescent="0.2">
      <c r="B1200" t="s">
        <v>6959</v>
      </c>
      <c r="C1200" s="713" t="s">
        <v>9076</v>
      </c>
      <c r="D1200" s="713" t="s">
        <v>34</v>
      </c>
      <c r="E1200" s="713" t="s">
        <v>9077</v>
      </c>
    </row>
    <row r="1201" spans="2:5" x14ac:dyDescent="0.2">
      <c r="B1201" t="s">
        <v>6960</v>
      </c>
      <c r="C1201" s="713" t="s">
        <v>9078</v>
      </c>
      <c r="D1201" s="713" t="s">
        <v>34</v>
      </c>
      <c r="E1201" s="713" t="s">
        <v>7394</v>
      </c>
    </row>
    <row r="1202" spans="2:5" x14ac:dyDescent="0.2">
      <c r="B1202" t="s">
        <v>6961</v>
      </c>
      <c r="C1202" s="713" t="s">
        <v>9079</v>
      </c>
      <c r="D1202" s="713" t="s">
        <v>34</v>
      </c>
      <c r="E1202" s="713" t="s">
        <v>7394</v>
      </c>
    </row>
    <row r="1203" spans="2:5" x14ac:dyDescent="0.2">
      <c r="B1203" t="s">
        <v>6962</v>
      </c>
      <c r="C1203" s="713" t="s">
        <v>9080</v>
      </c>
      <c r="D1203" s="713" t="s">
        <v>34</v>
      </c>
      <c r="E1203" s="713" t="s">
        <v>9081</v>
      </c>
    </row>
    <row r="1204" spans="2:5" x14ac:dyDescent="0.2">
      <c r="B1204" t="s">
        <v>6963</v>
      </c>
      <c r="C1204" s="713" t="s">
        <v>9082</v>
      </c>
      <c r="D1204" s="713" t="s">
        <v>34</v>
      </c>
      <c r="E1204" s="713" t="s">
        <v>7546</v>
      </c>
    </row>
    <row r="1205" spans="2:5" x14ac:dyDescent="0.2">
      <c r="B1205" t="s">
        <v>6964</v>
      </c>
      <c r="C1205" s="713" t="s">
        <v>9083</v>
      </c>
      <c r="D1205" s="713" t="s">
        <v>34</v>
      </c>
      <c r="E1205" s="713" t="s">
        <v>7418</v>
      </c>
    </row>
    <row r="1206" spans="2:5" x14ac:dyDescent="0.2">
      <c r="B1206" t="s">
        <v>6965</v>
      </c>
      <c r="C1206" s="713" t="s">
        <v>9084</v>
      </c>
      <c r="D1206" s="713" t="s">
        <v>34</v>
      </c>
      <c r="E1206" s="713" t="s">
        <v>7480</v>
      </c>
    </row>
    <row r="1207" spans="2:5" x14ac:dyDescent="0.2">
      <c r="B1207" t="s">
        <v>6966</v>
      </c>
      <c r="C1207" s="713" t="s">
        <v>9085</v>
      </c>
      <c r="D1207" s="713" t="s">
        <v>34</v>
      </c>
      <c r="E1207" s="713" t="s">
        <v>9086</v>
      </c>
    </row>
    <row r="1208" spans="2:5" x14ac:dyDescent="0.2">
      <c r="B1208" t="s">
        <v>6967</v>
      </c>
      <c r="C1208" s="713" t="s">
        <v>9087</v>
      </c>
      <c r="D1208" s="713" t="s">
        <v>34</v>
      </c>
      <c r="E1208" s="713" t="s">
        <v>7503</v>
      </c>
    </row>
    <row r="1209" spans="2:5" x14ac:dyDescent="0.2">
      <c r="B1209" t="s">
        <v>6968</v>
      </c>
      <c r="C1209" s="713" t="s">
        <v>9088</v>
      </c>
      <c r="D1209" s="713" t="s">
        <v>34</v>
      </c>
      <c r="E1209" s="713" t="s">
        <v>9089</v>
      </c>
    </row>
    <row r="1210" spans="2:5" x14ac:dyDescent="0.2">
      <c r="B1210" t="s">
        <v>6969</v>
      </c>
      <c r="C1210" s="713" t="s">
        <v>9090</v>
      </c>
      <c r="D1210" s="713" t="s">
        <v>34</v>
      </c>
      <c r="E1210" s="713" t="s">
        <v>9091</v>
      </c>
    </row>
    <row r="1211" spans="2:5" x14ac:dyDescent="0.2">
      <c r="B1211" t="s">
        <v>6970</v>
      </c>
      <c r="C1211" s="713" t="s">
        <v>9092</v>
      </c>
      <c r="D1211" s="713" t="s">
        <v>34</v>
      </c>
      <c r="E1211" s="713" t="s">
        <v>7442</v>
      </c>
    </row>
    <row r="1212" spans="2:5" x14ac:dyDescent="0.2">
      <c r="B1212" t="s">
        <v>6971</v>
      </c>
      <c r="C1212" s="713" t="s">
        <v>9093</v>
      </c>
      <c r="D1212" s="713" t="s">
        <v>34</v>
      </c>
      <c r="E1212" s="713" t="s">
        <v>9094</v>
      </c>
    </row>
    <row r="1213" spans="2:5" x14ac:dyDescent="0.2">
      <c r="B1213" t="s">
        <v>6972</v>
      </c>
      <c r="C1213" s="713" t="s">
        <v>9095</v>
      </c>
      <c r="D1213" s="713" t="s">
        <v>34</v>
      </c>
      <c r="E1213" s="713" t="s">
        <v>7442</v>
      </c>
    </row>
    <row r="1214" spans="2:5" x14ac:dyDescent="0.2">
      <c r="B1214" t="s">
        <v>6973</v>
      </c>
      <c r="C1214" s="713" t="s">
        <v>9096</v>
      </c>
      <c r="D1214" s="713" t="s">
        <v>34</v>
      </c>
      <c r="E1214" s="713" t="s">
        <v>7410</v>
      </c>
    </row>
    <row r="1215" spans="2:5" x14ac:dyDescent="0.2">
      <c r="B1215" t="s">
        <v>6974</v>
      </c>
      <c r="C1215" s="713" t="s">
        <v>9097</v>
      </c>
      <c r="D1215" s="713" t="s">
        <v>34</v>
      </c>
      <c r="E1215" s="713" t="s">
        <v>7404</v>
      </c>
    </row>
    <row r="1216" spans="2:5" x14ac:dyDescent="0.2">
      <c r="B1216" t="s">
        <v>6975</v>
      </c>
      <c r="C1216" s="713" t="s">
        <v>9098</v>
      </c>
      <c r="D1216" s="713" t="s">
        <v>34</v>
      </c>
      <c r="E1216" s="713" t="s">
        <v>9099</v>
      </c>
    </row>
    <row r="1217" spans="2:5" x14ac:dyDescent="0.2">
      <c r="B1217" t="s">
        <v>6976</v>
      </c>
      <c r="C1217" s="713" t="s">
        <v>9100</v>
      </c>
      <c r="D1217" s="713" t="s">
        <v>34</v>
      </c>
      <c r="E1217" s="713" t="s">
        <v>9101</v>
      </c>
    </row>
    <row r="1218" spans="2:5" x14ac:dyDescent="0.2">
      <c r="B1218" t="s">
        <v>6977</v>
      </c>
      <c r="C1218" s="713" t="s">
        <v>9102</v>
      </c>
      <c r="D1218" s="713" t="s">
        <v>34</v>
      </c>
      <c r="E1218" s="713" t="s">
        <v>7412</v>
      </c>
    </row>
    <row r="1219" spans="2:5" x14ac:dyDescent="0.2">
      <c r="B1219" t="s">
        <v>6978</v>
      </c>
      <c r="C1219" s="713" t="s">
        <v>9103</v>
      </c>
      <c r="D1219" s="713" t="s">
        <v>34</v>
      </c>
      <c r="E1219" s="713" t="s">
        <v>9104</v>
      </c>
    </row>
    <row r="1220" spans="2:5" x14ac:dyDescent="0.2">
      <c r="B1220" t="s">
        <v>6979</v>
      </c>
      <c r="C1220" s="713" t="s">
        <v>34</v>
      </c>
      <c r="D1220" s="713" t="s">
        <v>34</v>
      </c>
      <c r="E1220" s="713" t="s">
        <v>7611</v>
      </c>
    </row>
    <row r="1221" spans="2:5" x14ac:dyDescent="0.2">
      <c r="B1221" t="s">
        <v>6980</v>
      </c>
      <c r="C1221" s="713" t="s">
        <v>34</v>
      </c>
      <c r="D1221" s="713" t="s">
        <v>34</v>
      </c>
      <c r="E1221" s="713" t="s">
        <v>7611</v>
      </c>
    </row>
    <row r="1222" spans="2:5" x14ac:dyDescent="0.2">
      <c r="B1222" t="s">
        <v>6981</v>
      </c>
      <c r="C1222" s="713" t="s">
        <v>34</v>
      </c>
      <c r="D1222" s="713" t="s">
        <v>34</v>
      </c>
      <c r="E1222" s="713" t="s">
        <v>7611</v>
      </c>
    </row>
    <row r="1223" spans="2:5" x14ac:dyDescent="0.2">
      <c r="B1223" t="s">
        <v>6982</v>
      </c>
      <c r="C1223" s="713" t="s">
        <v>34</v>
      </c>
      <c r="D1223" s="713" t="s">
        <v>34</v>
      </c>
      <c r="E1223" s="713" t="s">
        <v>7611</v>
      </c>
    </row>
    <row r="1224" spans="2:5" x14ac:dyDescent="0.2">
      <c r="B1224" t="s">
        <v>6983</v>
      </c>
      <c r="C1224" s="713" t="s">
        <v>34</v>
      </c>
      <c r="D1224" s="713" t="s">
        <v>34</v>
      </c>
      <c r="E1224" s="713" t="s">
        <v>7611</v>
      </c>
    </row>
    <row r="1225" spans="2:5" x14ac:dyDescent="0.2">
      <c r="B1225" t="s">
        <v>6984</v>
      </c>
      <c r="C1225" s="713" t="s">
        <v>34</v>
      </c>
      <c r="D1225" s="713" t="s">
        <v>34</v>
      </c>
      <c r="E1225" s="713" t="s">
        <v>7611</v>
      </c>
    </row>
    <row r="1226" spans="2:5" x14ac:dyDescent="0.2">
      <c r="B1226" t="s">
        <v>6985</v>
      </c>
      <c r="C1226" s="713" t="s">
        <v>34</v>
      </c>
      <c r="D1226" s="713" t="s">
        <v>34</v>
      </c>
      <c r="E1226" s="713" t="s">
        <v>7611</v>
      </c>
    </row>
    <row r="1227" spans="2:5" x14ac:dyDescent="0.2">
      <c r="B1227" t="s">
        <v>6986</v>
      </c>
      <c r="C1227" s="713" t="s">
        <v>34</v>
      </c>
      <c r="D1227" s="713" t="s">
        <v>34</v>
      </c>
      <c r="E1227" s="713" t="s">
        <v>7611</v>
      </c>
    </row>
    <row r="1228" spans="2:5" x14ac:dyDescent="0.2">
      <c r="B1228" t="s">
        <v>6987</v>
      </c>
      <c r="C1228" s="713" t="s">
        <v>34</v>
      </c>
      <c r="D1228" s="713" t="s">
        <v>34</v>
      </c>
      <c r="E1228" s="713" t="s">
        <v>7611</v>
      </c>
    </row>
    <row r="1229" spans="2:5" x14ac:dyDescent="0.2">
      <c r="B1229" t="s">
        <v>6988</v>
      </c>
      <c r="C1229" s="713" t="s">
        <v>34</v>
      </c>
      <c r="D1229" s="713" t="s">
        <v>34</v>
      </c>
      <c r="E1229" s="713" t="s">
        <v>7611</v>
      </c>
    </row>
    <row r="1230" spans="2:5" x14ac:dyDescent="0.2">
      <c r="B1230" t="s">
        <v>6989</v>
      </c>
      <c r="C1230" s="713" t="s">
        <v>34</v>
      </c>
      <c r="D1230" s="713" t="s">
        <v>34</v>
      </c>
      <c r="E1230" s="713" t="s">
        <v>7611</v>
      </c>
    </row>
    <row r="1231" spans="2:5" x14ac:dyDescent="0.2">
      <c r="B1231" t="s">
        <v>6990</v>
      </c>
      <c r="C1231" s="713" t="s">
        <v>8464</v>
      </c>
      <c r="D1231" s="713" t="s">
        <v>34</v>
      </c>
      <c r="E1231" s="713" t="s">
        <v>8465</v>
      </c>
    </row>
    <row r="1232" spans="2:5" x14ac:dyDescent="0.2">
      <c r="B1232" t="s">
        <v>6991</v>
      </c>
      <c r="C1232" s="713" t="s">
        <v>8921</v>
      </c>
      <c r="D1232" s="713" t="s">
        <v>34</v>
      </c>
      <c r="E1232" s="713" t="s">
        <v>8922</v>
      </c>
    </row>
    <row r="1233" spans="2:5" x14ac:dyDescent="0.2">
      <c r="B1233" t="s">
        <v>6992</v>
      </c>
      <c r="C1233" s="713" t="s">
        <v>7984</v>
      </c>
      <c r="D1233" s="713" t="s">
        <v>34</v>
      </c>
      <c r="E1233" s="713" t="s">
        <v>7442</v>
      </c>
    </row>
    <row r="1234" spans="2:5" x14ac:dyDescent="0.2">
      <c r="B1234" t="s">
        <v>6993</v>
      </c>
      <c r="C1234" s="713" t="s">
        <v>34</v>
      </c>
      <c r="D1234" s="713" t="s">
        <v>34</v>
      </c>
      <c r="E1234" s="713" t="s">
        <v>7611</v>
      </c>
    </row>
    <row r="1235" spans="2:5" x14ac:dyDescent="0.2">
      <c r="B1235" t="s">
        <v>6994</v>
      </c>
      <c r="C1235" s="713" t="s">
        <v>7766</v>
      </c>
      <c r="D1235" s="713" t="s">
        <v>34</v>
      </c>
      <c r="E1235" s="713" t="s">
        <v>7394</v>
      </c>
    </row>
    <row r="1236" spans="2:5" x14ac:dyDescent="0.2">
      <c r="B1236" t="s">
        <v>6995</v>
      </c>
      <c r="C1236" s="713" t="s">
        <v>34</v>
      </c>
      <c r="D1236" s="713" t="s">
        <v>34</v>
      </c>
      <c r="E1236" s="713" t="s">
        <v>7611</v>
      </c>
    </row>
    <row r="1237" spans="2:5" x14ac:dyDescent="0.2">
      <c r="B1237" t="s">
        <v>6996</v>
      </c>
      <c r="C1237" s="713" t="s">
        <v>34</v>
      </c>
      <c r="D1237" s="713" t="s">
        <v>34</v>
      </c>
      <c r="E1237" s="713" t="s">
        <v>7611</v>
      </c>
    </row>
    <row r="1238" spans="2:5" x14ac:dyDescent="0.2">
      <c r="B1238" t="s">
        <v>6997</v>
      </c>
      <c r="C1238" s="713" t="s">
        <v>34</v>
      </c>
      <c r="D1238" s="713" t="s">
        <v>34</v>
      </c>
      <c r="E1238" s="713" t="s">
        <v>7611</v>
      </c>
    </row>
    <row r="1239" spans="2:5" x14ac:dyDescent="0.2">
      <c r="B1239" t="s">
        <v>6998</v>
      </c>
      <c r="C1239" s="713" t="s">
        <v>8663</v>
      </c>
      <c r="D1239" s="713" t="s">
        <v>34</v>
      </c>
      <c r="E1239" s="713" t="s">
        <v>7480</v>
      </c>
    </row>
    <row r="1240" spans="2:5" x14ac:dyDescent="0.2">
      <c r="B1240" t="s">
        <v>6999</v>
      </c>
      <c r="C1240" s="713" t="s">
        <v>8664</v>
      </c>
      <c r="D1240" s="713" t="s">
        <v>34</v>
      </c>
      <c r="E1240" s="713" t="s">
        <v>8379</v>
      </c>
    </row>
    <row r="1241" spans="2:5" x14ac:dyDescent="0.2">
      <c r="B1241" t="s">
        <v>7000</v>
      </c>
      <c r="C1241" s="713" t="s">
        <v>9105</v>
      </c>
      <c r="D1241" s="713" t="s">
        <v>34</v>
      </c>
      <c r="E1241" s="713" t="s">
        <v>9106</v>
      </c>
    </row>
    <row r="1242" spans="2:5" x14ac:dyDescent="0.2">
      <c r="B1242" t="s">
        <v>7001</v>
      </c>
      <c r="C1242" s="713" t="s">
        <v>34</v>
      </c>
      <c r="D1242" s="713" t="s">
        <v>34</v>
      </c>
      <c r="E1242" s="713" t="s">
        <v>7611</v>
      </c>
    </row>
    <row r="1243" spans="2:5" x14ac:dyDescent="0.2">
      <c r="B1243" t="s">
        <v>7002</v>
      </c>
      <c r="C1243" s="713" t="s">
        <v>34</v>
      </c>
      <c r="D1243" s="713" t="s">
        <v>34</v>
      </c>
      <c r="E1243" s="713" t="s">
        <v>7611</v>
      </c>
    </row>
    <row r="1244" spans="2:5" x14ac:dyDescent="0.2">
      <c r="B1244" t="s">
        <v>7003</v>
      </c>
      <c r="C1244" s="713" t="s">
        <v>34</v>
      </c>
      <c r="D1244" s="713" t="s">
        <v>34</v>
      </c>
      <c r="E1244" s="713" t="s">
        <v>7611</v>
      </c>
    </row>
    <row r="1245" spans="2:5" x14ac:dyDescent="0.2">
      <c r="B1245" t="s">
        <v>7004</v>
      </c>
      <c r="C1245" s="713" t="s">
        <v>34</v>
      </c>
      <c r="D1245" s="713" t="s">
        <v>34</v>
      </c>
      <c r="E1245" s="713" t="s">
        <v>7611</v>
      </c>
    </row>
    <row r="1246" spans="2:5" x14ac:dyDescent="0.2">
      <c r="B1246" t="s">
        <v>7005</v>
      </c>
      <c r="C1246" s="713" t="s">
        <v>34</v>
      </c>
      <c r="D1246" s="713" t="s">
        <v>34</v>
      </c>
      <c r="E1246" s="713" t="s">
        <v>7611</v>
      </c>
    </row>
    <row r="1247" spans="2:5" x14ac:dyDescent="0.2">
      <c r="B1247" t="s">
        <v>7006</v>
      </c>
      <c r="C1247" s="713" t="s">
        <v>34</v>
      </c>
      <c r="D1247" s="713" t="s">
        <v>34</v>
      </c>
      <c r="E1247" s="713" t="s">
        <v>7611</v>
      </c>
    </row>
    <row r="1248" spans="2:5" x14ac:dyDescent="0.2">
      <c r="B1248" t="s">
        <v>1431</v>
      </c>
      <c r="C1248" s="713" t="s">
        <v>8569</v>
      </c>
      <c r="D1248" s="713" t="s">
        <v>34</v>
      </c>
      <c r="E1248" s="713" t="s">
        <v>7573</v>
      </c>
    </row>
    <row r="1249" spans="2:5" x14ac:dyDescent="0.2">
      <c r="B1249" t="s">
        <v>7007</v>
      </c>
      <c r="C1249" s="713" t="s">
        <v>34</v>
      </c>
      <c r="D1249" s="713" t="s">
        <v>34</v>
      </c>
      <c r="E1249" s="713" t="s">
        <v>7611</v>
      </c>
    </row>
    <row r="1250" spans="2:5" x14ac:dyDescent="0.2">
      <c r="B1250" t="s">
        <v>7008</v>
      </c>
      <c r="C1250" s="713" t="s">
        <v>34</v>
      </c>
      <c r="D1250" s="713" t="s">
        <v>34</v>
      </c>
      <c r="E1250" s="713" t="s">
        <v>7611</v>
      </c>
    </row>
    <row r="1251" spans="2:5" x14ac:dyDescent="0.2">
      <c r="B1251" t="s">
        <v>7009</v>
      </c>
      <c r="C1251" s="713" t="s">
        <v>34</v>
      </c>
      <c r="D1251" s="713" t="s">
        <v>34</v>
      </c>
      <c r="E1251" s="713" t="s">
        <v>7611</v>
      </c>
    </row>
    <row r="1252" spans="2:5" x14ac:dyDescent="0.2">
      <c r="B1252" t="s">
        <v>7010</v>
      </c>
      <c r="C1252" s="713" t="s">
        <v>34</v>
      </c>
      <c r="D1252" s="713" t="s">
        <v>34</v>
      </c>
      <c r="E1252" s="713" t="s">
        <v>7611</v>
      </c>
    </row>
    <row r="1253" spans="2:5" x14ac:dyDescent="0.2">
      <c r="B1253" t="s">
        <v>7011</v>
      </c>
      <c r="C1253" s="713" t="s">
        <v>34</v>
      </c>
      <c r="D1253" s="713" t="s">
        <v>34</v>
      </c>
      <c r="E1253" s="713" t="s">
        <v>7611</v>
      </c>
    </row>
    <row r="1254" spans="2:5" x14ac:dyDescent="0.2">
      <c r="B1254" t="s">
        <v>7012</v>
      </c>
      <c r="C1254" s="713" t="s">
        <v>34</v>
      </c>
      <c r="D1254" s="713" t="s">
        <v>34</v>
      </c>
      <c r="E1254" s="713" t="s">
        <v>7611</v>
      </c>
    </row>
    <row r="1255" spans="2:5" x14ac:dyDescent="0.2">
      <c r="B1255" t="s">
        <v>7013</v>
      </c>
      <c r="C1255" s="713" t="s">
        <v>34</v>
      </c>
      <c r="D1255" s="713" t="s">
        <v>34</v>
      </c>
      <c r="E1255" s="713" t="s">
        <v>7611</v>
      </c>
    </row>
    <row r="1256" spans="2:5" x14ac:dyDescent="0.2">
      <c r="B1256" t="s">
        <v>7014</v>
      </c>
      <c r="C1256" s="713" t="s">
        <v>34</v>
      </c>
      <c r="D1256" s="713" t="s">
        <v>34</v>
      </c>
      <c r="E1256" s="713" t="s">
        <v>7611</v>
      </c>
    </row>
    <row r="1257" spans="2:5" x14ac:dyDescent="0.2">
      <c r="B1257" t="s">
        <v>7015</v>
      </c>
      <c r="C1257" s="713" t="s">
        <v>34</v>
      </c>
      <c r="D1257" s="713" t="s">
        <v>34</v>
      </c>
      <c r="E1257" s="713" t="s">
        <v>7611</v>
      </c>
    </row>
    <row r="1258" spans="2:5" x14ac:dyDescent="0.2">
      <c r="B1258" t="s">
        <v>7016</v>
      </c>
      <c r="C1258" s="713" t="s">
        <v>34</v>
      </c>
      <c r="D1258" s="713" t="s">
        <v>34</v>
      </c>
      <c r="E1258" s="713" t="s">
        <v>7611</v>
      </c>
    </row>
    <row r="1259" spans="2:5" x14ac:dyDescent="0.2">
      <c r="B1259" t="s">
        <v>7017</v>
      </c>
      <c r="C1259" s="713" t="s">
        <v>34</v>
      </c>
      <c r="D1259" s="713" t="s">
        <v>34</v>
      </c>
      <c r="E1259" s="713" t="s">
        <v>7611</v>
      </c>
    </row>
    <row r="1260" spans="2:5" x14ac:dyDescent="0.2">
      <c r="B1260" t="s">
        <v>7018</v>
      </c>
      <c r="C1260" s="713" t="s">
        <v>34</v>
      </c>
      <c r="D1260" s="713" t="s">
        <v>34</v>
      </c>
      <c r="E1260" s="713" t="s">
        <v>7611</v>
      </c>
    </row>
    <row r="1261" spans="2:5" x14ac:dyDescent="0.2">
      <c r="B1261" t="s">
        <v>7019</v>
      </c>
      <c r="C1261" s="713" t="s">
        <v>34</v>
      </c>
      <c r="D1261" s="713" t="s">
        <v>34</v>
      </c>
      <c r="E1261" s="713" t="s">
        <v>7611</v>
      </c>
    </row>
    <row r="1262" spans="2:5" x14ac:dyDescent="0.2">
      <c r="B1262" t="s">
        <v>7020</v>
      </c>
      <c r="C1262" s="713" t="s">
        <v>34</v>
      </c>
      <c r="D1262" s="713" t="s">
        <v>34</v>
      </c>
      <c r="E1262" s="713" t="s">
        <v>7611</v>
      </c>
    </row>
    <row r="1263" spans="2:5" x14ac:dyDescent="0.2">
      <c r="B1263" t="s">
        <v>7021</v>
      </c>
      <c r="C1263" s="713" t="s">
        <v>34</v>
      </c>
      <c r="D1263" s="713" t="s">
        <v>34</v>
      </c>
      <c r="E1263" s="713" t="s">
        <v>7611</v>
      </c>
    </row>
    <row r="1264" spans="2:5" x14ac:dyDescent="0.2">
      <c r="B1264" t="s">
        <v>7022</v>
      </c>
      <c r="C1264" s="713" t="s">
        <v>34</v>
      </c>
      <c r="D1264" s="713" t="s">
        <v>34</v>
      </c>
      <c r="E1264" s="713" t="s">
        <v>7611</v>
      </c>
    </row>
    <row r="1265" spans="2:5" x14ac:dyDescent="0.2">
      <c r="B1265" t="s">
        <v>7023</v>
      </c>
      <c r="C1265" s="713" t="s">
        <v>34</v>
      </c>
      <c r="D1265" s="713" t="s">
        <v>34</v>
      </c>
      <c r="E1265" s="713" t="s">
        <v>7611</v>
      </c>
    </row>
    <row r="1266" spans="2:5" x14ac:dyDescent="0.2">
      <c r="B1266" t="s">
        <v>7024</v>
      </c>
      <c r="C1266" s="713" t="s">
        <v>34</v>
      </c>
      <c r="D1266" s="713" t="s">
        <v>34</v>
      </c>
      <c r="E1266" s="713" t="s">
        <v>7611</v>
      </c>
    </row>
    <row r="1267" spans="2:5" x14ac:dyDescent="0.2">
      <c r="B1267" t="s">
        <v>7025</v>
      </c>
      <c r="C1267" s="713" t="s">
        <v>34</v>
      </c>
      <c r="D1267" s="713" t="s">
        <v>34</v>
      </c>
      <c r="E1267" s="713" t="s">
        <v>7611</v>
      </c>
    </row>
    <row r="1268" spans="2:5" x14ac:dyDescent="0.2">
      <c r="B1268" t="s">
        <v>7026</v>
      </c>
      <c r="C1268" s="713" t="s">
        <v>34</v>
      </c>
      <c r="D1268" s="713" t="s">
        <v>34</v>
      </c>
      <c r="E1268" s="713" t="s">
        <v>7611</v>
      </c>
    </row>
    <row r="1269" spans="2:5" x14ac:dyDescent="0.2">
      <c r="B1269" t="s">
        <v>7027</v>
      </c>
      <c r="C1269" s="713" t="s">
        <v>8319</v>
      </c>
      <c r="D1269" s="713" t="s">
        <v>34</v>
      </c>
      <c r="E1269" s="713" t="s">
        <v>7741</v>
      </c>
    </row>
    <row r="1270" spans="2:5" x14ac:dyDescent="0.2">
      <c r="B1270" t="s">
        <v>7028</v>
      </c>
      <c r="C1270" s="713" t="s">
        <v>9107</v>
      </c>
      <c r="D1270" s="713" t="s">
        <v>34</v>
      </c>
      <c r="E1270" s="713" t="s">
        <v>7958</v>
      </c>
    </row>
    <row r="1271" spans="2:5" x14ac:dyDescent="0.2">
      <c r="B1271" t="s">
        <v>7029</v>
      </c>
      <c r="C1271" s="713" t="s">
        <v>34</v>
      </c>
      <c r="D1271" s="713" t="s">
        <v>34</v>
      </c>
      <c r="E1271" s="713" t="s">
        <v>7611</v>
      </c>
    </row>
    <row r="1272" spans="2:5" x14ac:dyDescent="0.2">
      <c r="B1272" t="s">
        <v>7030</v>
      </c>
      <c r="C1272" s="713" t="s">
        <v>9108</v>
      </c>
      <c r="D1272" s="713" t="s">
        <v>34</v>
      </c>
      <c r="E1272" s="713" t="s">
        <v>9109</v>
      </c>
    </row>
    <row r="1273" spans="2:5" x14ac:dyDescent="0.2">
      <c r="B1273" t="s">
        <v>7031</v>
      </c>
      <c r="C1273" s="713" t="s">
        <v>9110</v>
      </c>
      <c r="D1273" s="713" t="s">
        <v>34</v>
      </c>
      <c r="E1273" s="713" t="s">
        <v>7841</v>
      </c>
    </row>
    <row r="1274" spans="2:5" x14ac:dyDescent="0.2">
      <c r="B1274" t="s">
        <v>7032</v>
      </c>
      <c r="C1274" s="713" t="s">
        <v>9111</v>
      </c>
      <c r="D1274" s="713" t="s">
        <v>34</v>
      </c>
      <c r="E1274" s="713" t="s">
        <v>9112</v>
      </c>
    </row>
    <row r="1275" spans="2:5" x14ac:dyDescent="0.2">
      <c r="B1275" t="s">
        <v>7033</v>
      </c>
      <c r="C1275" s="713" t="s">
        <v>34</v>
      </c>
      <c r="D1275" s="713" t="s">
        <v>34</v>
      </c>
      <c r="E1275" s="713" t="s">
        <v>7611</v>
      </c>
    </row>
    <row r="1276" spans="2:5" x14ac:dyDescent="0.2">
      <c r="B1276" t="s">
        <v>7034</v>
      </c>
      <c r="C1276" s="713" t="s">
        <v>8369</v>
      </c>
      <c r="D1276" s="713" t="s">
        <v>34</v>
      </c>
      <c r="E1276" s="713" t="s">
        <v>9113</v>
      </c>
    </row>
    <row r="1277" spans="2:5" x14ac:dyDescent="0.2">
      <c r="B1277" t="s">
        <v>7035</v>
      </c>
      <c r="C1277" s="713" t="s">
        <v>8346</v>
      </c>
      <c r="D1277" s="713" t="s">
        <v>34</v>
      </c>
      <c r="E1277" s="713" t="s">
        <v>8187</v>
      </c>
    </row>
    <row r="1278" spans="2:5" x14ac:dyDescent="0.2">
      <c r="B1278" t="s">
        <v>7036</v>
      </c>
      <c r="C1278" s="713" t="s">
        <v>34</v>
      </c>
      <c r="D1278" s="713" t="s">
        <v>34</v>
      </c>
      <c r="E1278" s="713" t="s">
        <v>7611</v>
      </c>
    </row>
    <row r="1279" spans="2:5" x14ac:dyDescent="0.2">
      <c r="B1279" t="s">
        <v>7037</v>
      </c>
      <c r="C1279" s="713" t="s">
        <v>9114</v>
      </c>
      <c r="D1279" s="713" t="s">
        <v>34</v>
      </c>
      <c r="E1279" s="713" t="s">
        <v>9115</v>
      </c>
    </row>
    <row r="1280" spans="2:5" x14ac:dyDescent="0.2">
      <c r="B1280" t="s">
        <v>7038</v>
      </c>
      <c r="C1280" s="713" t="s">
        <v>34</v>
      </c>
      <c r="D1280" s="713" t="s">
        <v>34</v>
      </c>
      <c r="E1280" s="713" t="s">
        <v>7611</v>
      </c>
    </row>
    <row r="1281" spans="2:5" x14ac:dyDescent="0.2">
      <c r="B1281" t="s">
        <v>7039</v>
      </c>
      <c r="C1281" s="713" t="s">
        <v>34</v>
      </c>
      <c r="D1281" s="713" t="s">
        <v>34</v>
      </c>
      <c r="E1281" s="713" t="s">
        <v>7611</v>
      </c>
    </row>
    <row r="1282" spans="2:5" x14ac:dyDescent="0.2">
      <c r="B1282" t="s">
        <v>7040</v>
      </c>
      <c r="C1282" s="713" t="s">
        <v>34</v>
      </c>
      <c r="D1282" s="713" t="s">
        <v>34</v>
      </c>
      <c r="E1282" s="713" t="s">
        <v>7611</v>
      </c>
    </row>
    <row r="1283" spans="2:5" x14ac:dyDescent="0.2">
      <c r="B1283" t="s">
        <v>7041</v>
      </c>
      <c r="C1283" s="713" t="s">
        <v>9116</v>
      </c>
      <c r="D1283" s="713" t="s">
        <v>34</v>
      </c>
      <c r="E1283" s="713" t="s">
        <v>8442</v>
      </c>
    </row>
    <row r="1284" spans="2:5" x14ac:dyDescent="0.2">
      <c r="B1284" t="s">
        <v>7042</v>
      </c>
      <c r="C1284" s="713" t="s">
        <v>9117</v>
      </c>
      <c r="D1284" s="713" t="s">
        <v>34</v>
      </c>
      <c r="E1284" s="713" t="s">
        <v>9118</v>
      </c>
    </row>
    <row r="1285" spans="2:5" x14ac:dyDescent="0.2">
      <c r="B1285" t="s">
        <v>7043</v>
      </c>
      <c r="C1285" s="713" t="s">
        <v>34</v>
      </c>
      <c r="D1285" s="713" t="s">
        <v>34</v>
      </c>
      <c r="E1285" s="713" t="s">
        <v>7611</v>
      </c>
    </row>
    <row r="1286" spans="2:5" x14ac:dyDescent="0.2">
      <c r="B1286" t="s">
        <v>7044</v>
      </c>
      <c r="C1286" s="713" t="s">
        <v>34</v>
      </c>
      <c r="D1286" s="713" t="s">
        <v>34</v>
      </c>
      <c r="E1286" s="713" t="s">
        <v>7611</v>
      </c>
    </row>
    <row r="1287" spans="2:5" x14ac:dyDescent="0.2">
      <c r="B1287" t="s">
        <v>7045</v>
      </c>
      <c r="C1287" s="713" t="s">
        <v>9119</v>
      </c>
      <c r="D1287" s="713" t="s">
        <v>34</v>
      </c>
      <c r="E1287" s="713" t="s">
        <v>9120</v>
      </c>
    </row>
    <row r="1288" spans="2:5" x14ac:dyDescent="0.2">
      <c r="B1288" t="s">
        <v>7046</v>
      </c>
      <c r="C1288" s="713" t="s">
        <v>9121</v>
      </c>
      <c r="D1288" s="713" t="s">
        <v>34</v>
      </c>
      <c r="E1288" s="713" t="s">
        <v>9122</v>
      </c>
    </row>
    <row r="1289" spans="2:5" x14ac:dyDescent="0.2">
      <c r="B1289" t="s">
        <v>7047</v>
      </c>
      <c r="C1289" s="713" t="s">
        <v>34</v>
      </c>
      <c r="D1289" s="713" t="s">
        <v>34</v>
      </c>
      <c r="E1289" s="713" t="s">
        <v>7611</v>
      </c>
    </row>
    <row r="1290" spans="2:5" x14ac:dyDescent="0.2">
      <c r="B1290" t="s">
        <v>7048</v>
      </c>
      <c r="C1290" s="713" t="s">
        <v>34</v>
      </c>
      <c r="D1290" s="713" t="s">
        <v>34</v>
      </c>
      <c r="E1290" s="713" t="s">
        <v>7611</v>
      </c>
    </row>
    <row r="1291" spans="2:5" x14ac:dyDescent="0.2">
      <c r="B1291" t="s">
        <v>7049</v>
      </c>
      <c r="C1291" s="713" t="s">
        <v>8401</v>
      </c>
      <c r="D1291" s="713" t="s">
        <v>34</v>
      </c>
      <c r="E1291" s="713" t="s">
        <v>8402</v>
      </c>
    </row>
    <row r="1292" spans="2:5" x14ac:dyDescent="0.2">
      <c r="B1292" t="s">
        <v>7050</v>
      </c>
      <c r="C1292" s="713" t="s">
        <v>9123</v>
      </c>
      <c r="D1292" s="713" t="s">
        <v>34</v>
      </c>
      <c r="E1292" s="713" t="s">
        <v>9124</v>
      </c>
    </row>
    <row r="1293" spans="2:5" x14ac:dyDescent="0.2">
      <c r="B1293" t="s">
        <v>7051</v>
      </c>
      <c r="C1293" s="713" t="s">
        <v>9125</v>
      </c>
      <c r="D1293" s="713" t="s">
        <v>34</v>
      </c>
      <c r="E1293" s="713" t="s">
        <v>9126</v>
      </c>
    </row>
    <row r="1294" spans="2:5" x14ac:dyDescent="0.2">
      <c r="B1294" t="s">
        <v>7052</v>
      </c>
      <c r="C1294" s="713" t="s">
        <v>34</v>
      </c>
      <c r="D1294" s="713" t="s">
        <v>34</v>
      </c>
      <c r="E1294" s="713" t="s">
        <v>7611</v>
      </c>
    </row>
    <row r="1295" spans="2:5" x14ac:dyDescent="0.2">
      <c r="B1295" t="s">
        <v>7053</v>
      </c>
      <c r="C1295" s="713" t="s">
        <v>8250</v>
      </c>
      <c r="D1295" s="713" t="s">
        <v>34</v>
      </c>
      <c r="E1295" s="713" t="s">
        <v>9127</v>
      </c>
    </row>
    <row r="1296" spans="2:5" x14ac:dyDescent="0.2">
      <c r="B1296" t="s">
        <v>7054</v>
      </c>
      <c r="C1296" s="713" t="s">
        <v>34</v>
      </c>
      <c r="D1296" s="713" t="s">
        <v>34</v>
      </c>
      <c r="E1296" s="713" t="s">
        <v>7611</v>
      </c>
    </row>
    <row r="1297" spans="2:5" x14ac:dyDescent="0.2">
      <c r="B1297" t="s">
        <v>7055</v>
      </c>
      <c r="C1297" s="713" t="s">
        <v>9128</v>
      </c>
      <c r="D1297" s="713" t="s">
        <v>34</v>
      </c>
      <c r="E1297" s="713" t="s">
        <v>7412</v>
      </c>
    </row>
    <row r="1298" spans="2:5" x14ac:dyDescent="0.2">
      <c r="B1298" t="s">
        <v>7056</v>
      </c>
      <c r="C1298" s="713" t="s">
        <v>9129</v>
      </c>
      <c r="D1298" s="713" t="s">
        <v>34</v>
      </c>
      <c r="E1298" s="713" t="s">
        <v>7650</v>
      </c>
    </row>
    <row r="1299" spans="2:5" x14ac:dyDescent="0.2">
      <c r="B1299" t="s">
        <v>7057</v>
      </c>
      <c r="C1299" s="713" t="s">
        <v>34</v>
      </c>
      <c r="D1299" s="713" t="s">
        <v>34</v>
      </c>
      <c r="E1299" s="713" t="s">
        <v>7611</v>
      </c>
    </row>
    <row r="1300" spans="2:5" x14ac:dyDescent="0.2">
      <c r="B1300" t="s">
        <v>7058</v>
      </c>
      <c r="C1300" s="713" t="s">
        <v>34</v>
      </c>
      <c r="D1300" s="713" t="s">
        <v>34</v>
      </c>
      <c r="E1300" s="713" t="s">
        <v>7611</v>
      </c>
    </row>
    <row r="1301" spans="2:5" x14ac:dyDescent="0.2">
      <c r="B1301" t="s">
        <v>7059</v>
      </c>
      <c r="C1301" s="713" t="s">
        <v>9130</v>
      </c>
      <c r="D1301" s="713" t="s">
        <v>34</v>
      </c>
      <c r="E1301" s="713" t="s">
        <v>7546</v>
      </c>
    </row>
    <row r="1302" spans="2:5" x14ac:dyDescent="0.2">
      <c r="B1302" t="s">
        <v>7060</v>
      </c>
      <c r="C1302" s="713" t="s">
        <v>9131</v>
      </c>
      <c r="D1302" s="713" t="s">
        <v>34</v>
      </c>
      <c r="E1302" s="713" t="s">
        <v>9132</v>
      </c>
    </row>
    <row r="1303" spans="2:5" x14ac:dyDescent="0.2">
      <c r="B1303" t="s">
        <v>7061</v>
      </c>
      <c r="C1303" s="713" t="s">
        <v>9133</v>
      </c>
      <c r="D1303" s="713" t="s">
        <v>34</v>
      </c>
      <c r="E1303" s="713" t="s">
        <v>9134</v>
      </c>
    </row>
    <row r="1304" spans="2:5" x14ac:dyDescent="0.2">
      <c r="B1304" t="s">
        <v>7062</v>
      </c>
      <c r="C1304" s="713" t="s">
        <v>34</v>
      </c>
      <c r="D1304" s="713" t="s">
        <v>34</v>
      </c>
      <c r="E1304" s="713" t="s">
        <v>7611</v>
      </c>
    </row>
    <row r="1305" spans="2:5" x14ac:dyDescent="0.2">
      <c r="B1305" t="s">
        <v>7063</v>
      </c>
      <c r="C1305" s="713" t="s">
        <v>34</v>
      </c>
      <c r="D1305" s="713" t="s">
        <v>34</v>
      </c>
      <c r="E1305" s="713" t="s">
        <v>7611</v>
      </c>
    </row>
    <row r="1306" spans="2:5" x14ac:dyDescent="0.2">
      <c r="B1306" t="s">
        <v>7064</v>
      </c>
      <c r="C1306" s="713" t="s">
        <v>34</v>
      </c>
      <c r="D1306" s="713" t="s">
        <v>34</v>
      </c>
      <c r="E1306" s="713" t="s">
        <v>7611</v>
      </c>
    </row>
    <row r="1307" spans="2:5" x14ac:dyDescent="0.2">
      <c r="B1307" t="s">
        <v>7065</v>
      </c>
      <c r="C1307" s="713" t="s">
        <v>34</v>
      </c>
      <c r="D1307" s="713" t="s">
        <v>34</v>
      </c>
      <c r="E1307" s="713" t="s">
        <v>7611</v>
      </c>
    </row>
    <row r="1308" spans="2:5" x14ac:dyDescent="0.2">
      <c r="B1308" t="s">
        <v>7066</v>
      </c>
      <c r="C1308" s="713" t="s">
        <v>9135</v>
      </c>
      <c r="D1308" s="713" t="s">
        <v>34</v>
      </c>
      <c r="E1308" s="713" t="s">
        <v>7967</v>
      </c>
    </row>
    <row r="1309" spans="2:5" x14ac:dyDescent="0.2">
      <c r="B1309" t="s">
        <v>7067</v>
      </c>
      <c r="C1309" s="713" t="s">
        <v>9129</v>
      </c>
      <c r="D1309" s="713" t="s">
        <v>34</v>
      </c>
      <c r="E1309" s="713" t="s">
        <v>7650</v>
      </c>
    </row>
    <row r="1310" spans="2:5" x14ac:dyDescent="0.2">
      <c r="B1310" t="s">
        <v>7068</v>
      </c>
      <c r="C1310" s="713" t="s">
        <v>9136</v>
      </c>
      <c r="D1310" s="713" t="s">
        <v>34</v>
      </c>
      <c r="E1310" s="713" t="s">
        <v>8070</v>
      </c>
    </row>
    <row r="1311" spans="2:5" x14ac:dyDescent="0.2">
      <c r="B1311" t="s">
        <v>7069</v>
      </c>
      <c r="C1311" s="713" t="s">
        <v>34</v>
      </c>
      <c r="D1311" s="713" t="s">
        <v>34</v>
      </c>
      <c r="E1311" s="713" t="s">
        <v>7611</v>
      </c>
    </row>
    <row r="1312" spans="2:5" x14ac:dyDescent="0.2">
      <c r="B1312" t="s">
        <v>7070</v>
      </c>
      <c r="C1312" s="713" t="s">
        <v>34</v>
      </c>
      <c r="D1312" s="713" t="s">
        <v>34</v>
      </c>
      <c r="E1312" s="713" t="s">
        <v>7611</v>
      </c>
    </row>
    <row r="1313" spans="2:5" x14ac:dyDescent="0.2">
      <c r="B1313" t="s">
        <v>7071</v>
      </c>
      <c r="C1313" s="713" t="s">
        <v>34</v>
      </c>
      <c r="D1313" s="713" t="s">
        <v>34</v>
      </c>
      <c r="E1313" s="713" t="s">
        <v>7611</v>
      </c>
    </row>
    <row r="1314" spans="2:5" x14ac:dyDescent="0.2">
      <c r="B1314" t="s">
        <v>7072</v>
      </c>
      <c r="C1314" s="713" t="s">
        <v>9137</v>
      </c>
      <c r="D1314" s="713" t="s">
        <v>34</v>
      </c>
      <c r="E1314" s="713" t="s">
        <v>7644</v>
      </c>
    </row>
    <row r="1315" spans="2:5" x14ac:dyDescent="0.2">
      <c r="B1315" t="s">
        <v>7073</v>
      </c>
      <c r="C1315" s="713" t="s">
        <v>9138</v>
      </c>
      <c r="D1315" s="713" t="s">
        <v>34</v>
      </c>
      <c r="E1315" s="713" t="s">
        <v>9139</v>
      </c>
    </row>
    <row r="1316" spans="2:5" x14ac:dyDescent="0.2">
      <c r="B1316" t="s">
        <v>7074</v>
      </c>
      <c r="C1316" s="713" t="s">
        <v>9140</v>
      </c>
      <c r="D1316" s="713" t="s">
        <v>34</v>
      </c>
      <c r="E1316" s="713" t="s">
        <v>7410</v>
      </c>
    </row>
    <row r="1317" spans="2:5" x14ac:dyDescent="0.2">
      <c r="B1317" t="s">
        <v>7075</v>
      </c>
      <c r="C1317" s="713" t="s">
        <v>9141</v>
      </c>
      <c r="D1317" s="713" t="s">
        <v>34</v>
      </c>
      <c r="E1317" s="713" t="s">
        <v>8091</v>
      </c>
    </row>
    <row r="1318" spans="2:5" x14ac:dyDescent="0.2">
      <c r="B1318" t="s">
        <v>7076</v>
      </c>
      <c r="C1318" s="713" t="s">
        <v>34</v>
      </c>
      <c r="D1318" s="713" t="s">
        <v>34</v>
      </c>
      <c r="E1318" s="713" t="s">
        <v>7611</v>
      </c>
    </row>
    <row r="1319" spans="2:5" x14ac:dyDescent="0.2">
      <c r="B1319" t="s">
        <v>188</v>
      </c>
      <c r="C1319" s="713" t="s">
        <v>9142</v>
      </c>
      <c r="D1319" s="713" t="s">
        <v>34</v>
      </c>
      <c r="E1319" s="713" t="s">
        <v>7517</v>
      </c>
    </row>
    <row r="1320" spans="2:5" x14ac:dyDescent="0.2">
      <c r="B1320" t="s">
        <v>7077</v>
      </c>
      <c r="C1320" s="713" t="s">
        <v>9143</v>
      </c>
      <c r="D1320" s="713" t="s">
        <v>34</v>
      </c>
      <c r="E1320" s="713" t="s">
        <v>9144</v>
      </c>
    </row>
    <row r="1321" spans="2:5" x14ac:dyDescent="0.2">
      <c r="B1321" t="s">
        <v>7078</v>
      </c>
      <c r="C1321" s="713" t="s">
        <v>9145</v>
      </c>
      <c r="D1321" s="713" t="s">
        <v>9146</v>
      </c>
      <c r="E1321" s="713" t="s">
        <v>7517</v>
      </c>
    </row>
    <row r="1322" spans="2:5" x14ac:dyDescent="0.2">
      <c r="B1322" t="s">
        <v>7079</v>
      </c>
      <c r="C1322" s="713" t="s">
        <v>9147</v>
      </c>
      <c r="D1322" s="713" t="s">
        <v>34</v>
      </c>
      <c r="E1322" s="713" t="s">
        <v>9148</v>
      </c>
    </row>
    <row r="1323" spans="2:5" x14ac:dyDescent="0.2">
      <c r="B1323" t="s">
        <v>7080</v>
      </c>
      <c r="C1323" s="713" t="s">
        <v>9149</v>
      </c>
      <c r="D1323" s="713" t="s">
        <v>34</v>
      </c>
      <c r="E1323" s="713" t="s">
        <v>9150</v>
      </c>
    </row>
    <row r="1324" spans="2:5" x14ac:dyDescent="0.2">
      <c r="B1324" t="s">
        <v>7081</v>
      </c>
      <c r="C1324" s="713" t="s">
        <v>9151</v>
      </c>
      <c r="D1324" s="713" t="s">
        <v>34</v>
      </c>
      <c r="E1324" s="713" t="s">
        <v>7458</v>
      </c>
    </row>
    <row r="1325" spans="2:5" x14ac:dyDescent="0.2">
      <c r="B1325" t="s">
        <v>7082</v>
      </c>
      <c r="C1325" s="713" t="s">
        <v>9152</v>
      </c>
      <c r="D1325" s="713" t="s">
        <v>34</v>
      </c>
      <c r="E1325" s="713" t="s">
        <v>9153</v>
      </c>
    </row>
    <row r="1326" spans="2:5" x14ac:dyDescent="0.2">
      <c r="B1326" t="s">
        <v>7083</v>
      </c>
      <c r="C1326" s="713" t="s">
        <v>8377</v>
      </c>
      <c r="D1326" s="713" t="s">
        <v>34</v>
      </c>
      <c r="E1326" s="713" t="s">
        <v>7570</v>
      </c>
    </row>
    <row r="1327" spans="2:5" x14ac:dyDescent="0.2">
      <c r="B1327" t="s">
        <v>7084</v>
      </c>
      <c r="C1327" s="713" t="s">
        <v>7970</v>
      </c>
      <c r="D1327" s="713" t="s">
        <v>34</v>
      </c>
      <c r="E1327" s="713" t="s">
        <v>7454</v>
      </c>
    </row>
    <row r="1328" spans="2:5" x14ac:dyDescent="0.2">
      <c r="B1328" t="s">
        <v>7085</v>
      </c>
      <c r="C1328" s="713" t="s">
        <v>9154</v>
      </c>
      <c r="D1328" s="713" t="s">
        <v>34</v>
      </c>
      <c r="E1328" s="713" t="s">
        <v>8317</v>
      </c>
    </row>
    <row r="1329" spans="2:5" x14ac:dyDescent="0.2">
      <c r="B1329" t="s">
        <v>7086</v>
      </c>
      <c r="C1329" s="713" t="s">
        <v>9155</v>
      </c>
      <c r="D1329" s="713" t="s">
        <v>34</v>
      </c>
      <c r="E1329" s="713" t="s">
        <v>7741</v>
      </c>
    </row>
    <row r="1330" spans="2:5" x14ac:dyDescent="0.2">
      <c r="B1330" t="s">
        <v>7087</v>
      </c>
      <c r="C1330" s="713" t="s">
        <v>9156</v>
      </c>
      <c r="D1330" s="713" t="s">
        <v>34</v>
      </c>
      <c r="E1330" s="713" t="s">
        <v>9157</v>
      </c>
    </row>
    <row r="1331" spans="2:5" x14ac:dyDescent="0.2">
      <c r="B1331" t="s">
        <v>7088</v>
      </c>
      <c r="C1331" s="713" t="s">
        <v>9158</v>
      </c>
      <c r="D1331" s="713" t="s">
        <v>34</v>
      </c>
      <c r="E1331" s="713" t="s">
        <v>7564</v>
      </c>
    </row>
    <row r="1332" spans="2:5" x14ac:dyDescent="0.2">
      <c r="B1332" t="s">
        <v>7089</v>
      </c>
      <c r="C1332" s="713" t="s">
        <v>9159</v>
      </c>
      <c r="D1332" s="713" t="s">
        <v>34</v>
      </c>
      <c r="E1332" s="713" t="s">
        <v>8583</v>
      </c>
    </row>
    <row r="1333" spans="2:5" x14ac:dyDescent="0.2">
      <c r="B1333" t="s">
        <v>7090</v>
      </c>
      <c r="C1333" s="713" t="s">
        <v>9160</v>
      </c>
      <c r="D1333" s="713" t="s">
        <v>34</v>
      </c>
      <c r="E1333" s="713" t="s">
        <v>9161</v>
      </c>
    </row>
    <row r="1334" spans="2:5" x14ac:dyDescent="0.2">
      <c r="B1334" t="s">
        <v>7091</v>
      </c>
      <c r="C1334" s="713" t="s">
        <v>9162</v>
      </c>
      <c r="D1334" s="713" t="s">
        <v>34</v>
      </c>
      <c r="E1334" s="713" t="s">
        <v>8359</v>
      </c>
    </row>
    <row r="1335" spans="2:5" x14ac:dyDescent="0.2">
      <c r="B1335" t="s">
        <v>7050</v>
      </c>
      <c r="C1335" s="713" t="s">
        <v>9123</v>
      </c>
      <c r="D1335" s="713" t="s">
        <v>34</v>
      </c>
      <c r="E1335" s="713" t="s">
        <v>9163</v>
      </c>
    </row>
    <row r="1336" spans="2:5" x14ac:dyDescent="0.2">
      <c r="B1336" t="s">
        <v>7092</v>
      </c>
      <c r="C1336" s="713" t="s">
        <v>8700</v>
      </c>
      <c r="D1336" s="713" t="s">
        <v>34</v>
      </c>
      <c r="E1336" s="713" t="s">
        <v>9164</v>
      </c>
    </row>
    <row r="1337" spans="2:5" x14ac:dyDescent="0.2">
      <c r="B1337" t="s">
        <v>7093</v>
      </c>
      <c r="C1337" s="713" t="s">
        <v>9165</v>
      </c>
      <c r="D1337" s="713" t="s">
        <v>34</v>
      </c>
      <c r="E1337" s="713" t="s">
        <v>9166</v>
      </c>
    </row>
    <row r="1338" spans="2:5" x14ac:dyDescent="0.2">
      <c r="B1338" t="s">
        <v>7094</v>
      </c>
      <c r="C1338" s="713" t="s">
        <v>9167</v>
      </c>
      <c r="D1338" s="713" t="s">
        <v>34</v>
      </c>
      <c r="E1338" s="713" t="s">
        <v>7396</v>
      </c>
    </row>
    <row r="1339" spans="2:5" x14ac:dyDescent="0.2">
      <c r="B1339" t="s">
        <v>7095</v>
      </c>
      <c r="C1339" s="713" t="s">
        <v>9168</v>
      </c>
      <c r="D1339" s="713" t="s">
        <v>34</v>
      </c>
      <c r="E1339" s="713" t="s">
        <v>7546</v>
      </c>
    </row>
    <row r="1340" spans="2:5" x14ac:dyDescent="0.2">
      <c r="B1340" t="s">
        <v>7096</v>
      </c>
      <c r="C1340" s="713" t="s">
        <v>9169</v>
      </c>
      <c r="D1340" s="713" t="s">
        <v>34</v>
      </c>
      <c r="E1340" s="713" t="s">
        <v>9170</v>
      </c>
    </row>
    <row r="1341" spans="2:5" x14ac:dyDescent="0.2">
      <c r="B1341" t="s">
        <v>7097</v>
      </c>
      <c r="C1341" s="713" t="s">
        <v>9171</v>
      </c>
      <c r="D1341" s="713" t="s">
        <v>34</v>
      </c>
      <c r="E1341" s="713" t="s">
        <v>8317</v>
      </c>
    </row>
    <row r="1342" spans="2:5" x14ac:dyDescent="0.2">
      <c r="B1342" t="s">
        <v>7098</v>
      </c>
      <c r="C1342" s="713" t="s">
        <v>9172</v>
      </c>
      <c r="D1342" s="713" t="s">
        <v>34</v>
      </c>
      <c r="E1342" s="713" t="s">
        <v>9173</v>
      </c>
    </row>
    <row r="1343" spans="2:5" x14ac:dyDescent="0.2">
      <c r="B1343" t="s">
        <v>7099</v>
      </c>
      <c r="C1343" s="713" t="s">
        <v>9174</v>
      </c>
      <c r="D1343" s="713" t="s">
        <v>34</v>
      </c>
      <c r="E1343" s="713" t="s">
        <v>8157</v>
      </c>
    </row>
    <row r="1344" spans="2:5" x14ac:dyDescent="0.2">
      <c r="B1344" t="s">
        <v>7100</v>
      </c>
      <c r="C1344" s="713" t="s">
        <v>9175</v>
      </c>
      <c r="D1344" s="713" t="s">
        <v>34</v>
      </c>
      <c r="E1344" s="713" t="s">
        <v>7490</v>
      </c>
    </row>
    <row r="1345" spans="2:5" x14ac:dyDescent="0.2">
      <c r="B1345" t="s">
        <v>7101</v>
      </c>
      <c r="C1345" s="713" t="s">
        <v>9176</v>
      </c>
      <c r="D1345" s="713" t="s">
        <v>34</v>
      </c>
      <c r="E1345" s="713" t="s">
        <v>9177</v>
      </c>
    </row>
    <row r="1346" spans="2:5" x14ac:dyDescent="0.2">
      <c r="B1346" t="s">
        <v>7102</v>
      </c>
      <c r="C1346" s="713" t="s">
        <v>9178</v>
      </c>
      <c r="D1346" s="713" t="s">
        <v>34</v>
      </c>
      <c r="E1346" s="713" t="s">
        <v>9179</v>
      </c>
    </row>
    <row r="1347" spans="2:5" x14ac:dyDescent="0.2">
      <c r="B1347" t="s">
        <v>7103</v>
      </c>
      <c r="C1347" s="713" t="s">
        <v>9180</v>
      </c>
      <c r="D1347" s="713" t="s">
        <v>34</v>
      </c>
      <c r="E1347" s="713" t="s">
        <v>7795</v>
      </c>
    </row>
    <row r="1348" spans="2:5" x14ac:dyDescent="0.2">
      <c r="B1348" t="s">
        <v>7104</v>
      </c>
      <c r="C1348" s="713" t="s">
        <v>9181</v>
      </c>
      <c r="D1348" s="713" t="s">
        <v>9182</v>
      </c>
      <c r="E1348" s="713" t="s">
        <v>9183</v>
      </c>
    </row>
    <row r="1349" spans="2:5" x14ac:dyDescent="0.2">
      <c r="B1349" t="s">
        <v>7105</v>
      </c>
      <c r="C1349" s="713" t="s">
        <v>9184</v>
      </c>
      <c r="D1349" s="713" t="s">
        <v>34</v>
      </c>
      <c r="E1349" s="713" t="s">
        <v>8301</v>
      </c>
    </row>
    <row r="1350" spans="2:5" x14ac:dyDescent="0.2">
      <c r="B1350" t="s">
        <v>7106</v>
      </c>
      <c r="C1350" s="713" t="s">
        <v>9185</v>
      </c>
      <c r="D1350" s="713" t="s">
        <v>34</v>
      </c>
      <c r="E1350" s="713" t="s">
        <v>7412</v>
      </c>
    </row>
    <row r="1351" spans="2:5" x14ac:dyDescent="0.2">
      <c r="B1351" t="s">
        <v>7107</v>
      </c>
      <c r="C1351" s="713" t="s">
        <v>9186</v>
      </c>
      <c r="D1351" s="713" t="s">
        <v>34</v>
      </c>
      <c r="E1351" s="713" t="s">
        <v>7992</v>
      </c>
    </row>
    <row r="1352" spans="2:5" x14ac:dyDescent="0.2">
      <c r="B1352" t="s">
        <v>7108</v>
      </c>
      <c r="C1352" s="713" t="s">
        <v>9187</v>
      </c>
      <c r="D1352" s="713" t="s">
        <v>34</v>
      </c>
      <c r="E1352" s="713" t="s">
        <v>7495</v>
      </c>
    </row>
    <row r="1353" spans="2:5" x14ac:dyDescent="0.2">
      <c r="B1353" t="s">
        <v>7109</v>
      </c>
      <c r="C1353" s="713" t="s">
        <v>9188</v>
      </c>
      <c r="D1353" s="713" t="s">
        <v>34</v>
      </c>
      <c r="E1353" s="713" t="s">
        <v>7503</v>
      </c>
    </row>
    <row r="1354" spans="2:5" x14ac:dyDescent="0.2">
      <c r="B1354" t="s">
        <v>7110</v>
      </c>
      <c r="C1354" s="713" t="s">
        <v>9189</v>
      </c>
      <c r="D1354" s="713" t="s">
        <v>34</v>
      </c>
      <c r="E1354" s="713" t="s">
        <v>9190</v>
      </c>
    </row>
    <row r="1355" spans="2:5" x14ac:dyDescent="0.2">
      <c r="B1355" t="s">
        <v>7111</v>
      </c>
      <c r="C1355" s="713" t="s">
        <v>9191</v>
      </c>
      <c r="D1355" s="713" t="s">
        <v>34</v>
      </c>
      <c r="E1355" s="713" t="s">
        <v>9192</v>
      </c>
    </row>
    <row r="1356" spans="2:5" x14ac:dyDescent="0.2">
      <c r="B1356" t="s">
        <v>7112</v>
      </c>
      <c r="C1356" s="713" t="s">
        <v>9193</v>
      </c>
      <c r="D1356" s="713" t="s">
        <v>34</v>
      </c>
      <c r="E1356" s="713" t="s">
        <v>7418</v>
      </c>
    </row>
    <row r="1357" spans="2:5" x14ac:dyDescent="0.2">
      <c r="B1357" t="s">
        <v>7113</v>
      </c>
      <c r="C1357" s="713" t="s">
        <v>9194</v>
      </c>
      <c r="D1357" s="713" t="s">
        <v>34</v>
      </c>
      <c r="E1357" s="713" t="s">
        <v>7795</v>
      </c>
    </row>
    <row r="1358" spans="2:5" x14ac:dyDescent="0.2">
      <c r="B1358" t="s">
        <v>7114</v>
      </c>
      <c r="C1358" s="713" t="s">
        <v>9195</v>
      </c>
      <c r="D1358" s="713" t="s">
        <v>34</v>
      </c>
      <c r="E1358" s="713" t="s">
        <v>9196</v>
      </c>
    </row>
    <row r="1359" spans="2:5" x14ac:dyDescent="0.2">
      <c r="B1359" t="s">
        <v>7115</v>
      </c>
      <c r="C1359" s="713" t="s">
        <v>9197</v>
      </c>
      <c r="D1359" s="713" t="s">
        <v>34</v>
      </c>
      <c r="E1359" s="713" t="s">
        <v>7429</v>
      </c>
    </row>
    <row r="1360" spans="2:5" x14ac:dyDescent="0.2">
      <c r="B1360" t="s">
        <v>7116</v>
      </c>
      <c r="C1360" s="713" t="s">
        <v>9198</v>
      </c>
      <c r="D1360" s="713" t="s">
        <v>34</v>
      </c>
      <c r="E1360" s="713" t="s">
        <v>7418</v>
      </c>
    </row>
    <row r="1361" spans="2:5" x14ac:dyDescent="0.2">
      <c r="B1361" t="s">
        <v>6639</v>
      </c>
      <c r="C1361" s="713" t="s">
        <v>8627</v>
      </c>
      <c r="D1361" s="713" t="s">
        <v>34</v>
      </c>
      <c r="E1361" s="713" t="s">
        <v>7546</v>
      </c>
    </row>
    <row r="1362" spans="2:5" x14ac:dyDescent="0.2">
      <c r="B1362" t="s">
        <v>7117</v>
      </c>
      <c r="C1362" s="713" t="s">
        <v>9199</v>
      </c>
      <c r="D1362" s="713" t="s">
        <v>34</v>
      </c>
      <c r="E1362" s="713" t="s">
        <v>7517</v>
      </c>
    </row>
    <row r="1363" spans="2:5" x14ac:dyDescent="0.2">
      <c r="B1363" t="s">
        <v>7118</v>
      </c>
      <c r="C1363" s="713" t="s">
        <v>9200</v>
      </c>
      <c r="D1363" s="713" t="s">
        <v>9201</v>
      </c>
      <c r="E1363" s="713" t="s">
        <v>7573</v>
      </c>
    </row>
    <row r="1364" spans="2:5" x14ac:dyDescent="0.2">
      <c r="B1364" t="s">
        <v>7119</v>
      </c>
      <c r="C1364" s="713" t="s">
        <v>9202</v>
      </c>
      <c r="D1364" s="713" t="s">
        <v>34</v>
      </c>
      <c r="E1364" s="713" t="s">
        <v>7442</v>
      </c>
    </row>
    <row r="1365" spans="2:5" x14ac:dyDescent="0.2">
      <c r="B1365" t="s">
        <v>7120</v>
      </c>
      <c r="C1365" s="713" t="s">
        <v>9203</v>
      </c>
      <c r="D1365" s="713" t="s">
        <v>9204</v>
      </c>
      <c r="E1365" s="713" t="s">
        <v>9205</v>
      </c>
    </row>
    <row r="1366" spans="2:5" x14ac:dyDescent="0.2">
      <c r="B1366" t="s">
        <v>7121</v>
      </c>
      <c r="C1366" s="713" t="s">
        <v>9206</v>
      </c>
      <c r="D1366" s="713" t="s">
        <v>9207</v>
      </c>
      <c r="E1366" s="713" t="s">
        <v>7509</v>
      </c>
    </row>
    <row r="1367" spans="2:5" x14ac:dyDescent="0.2">
      <c r="B1367" t="s">
        <v>7122</v>
      </c>
      <c r="C1367" s="713" t="s">
        <v>9208</v>
      </c>
      <c r="D1367" s="713" t="s">
        <v>34</v>
      </c>
      <c r="E1367" s="713" t="s">
        <v>7458</v>
      </c>
    </row>
    <row r="1368" spans="2:5" x14ac:dyDescent="0.2">
      <c r="B1368" t="s">
        <v>7123</v>
      </c>
      <c r="C1368" s="713" t="s">
        <v>9209</v>
      </c>
      <c r="D1368" s="713" t="s">
        <v>34</v>
      </c>
      <c r="E1368" s="713" t="s">
        <v>9210</v>
      </c>
    </row>
    <row r="1369" spans="2:5" x14ac:dyDescent="0.2">
      <c r="B1369" t="s">
        <v>6624</v>
      </c>
      <c r="C1369" s="713" t="s">
        <v>9211</v>
      </c>
      <c r="D1369" s="713" t="s">
        <v>34</v>
      </c>
      <c r="E1369" s="713" t="s">
        <v>9212</v>
      </c>
    </row>
    <row r="1370" spans="2:5" x14ac:dyDescent="0.2">
      <c r="B1370" t="s">
        <v>7124</v>
      </c>
      <c r="C1370" s="713" t="s">
        <v>9213</v>
      </c>
      <c r="D1370" s="713" t="s">
        <v>34</v>
      </c>
      <c r="E1370" s="713" t="s">
        <v>9214</v>
      </c>
    </row>
    <row r="1371" spans="2:5" x14ac:dyDescent="0.2">
      <c r="B1371" t="s">
        <v>7125</v>
      </c>
      <c r="C1371" s="713" t="s">
        <v>8352</v>
      </c>
      <c r="D1371" s="713" t="s">
        <v>34</v>
      </c>
      <c r="E1371" s="713" t="s">
        <v>8353</v>
      </c>
    </row>
    <row r="1372" spans="2:5" x14ac:dyDescent="0.2">
      <c r="B1372" t="s">
        <v>7126</v>
      </c>
      <c r="C1372" s="713" t="s">
        <v>9215</v>
      </c>
      <c r="D1372" s="713" t="s">
        <v>34</v>
      </c>
      <c r="E1372" s="713" t="s">
        <v>7517</v>
      </c>
    </row>
    <row r="1373" spans="2:5" x14ac:dyDescent="0.2">
      <c r="B1373" t="s">
        <v>7127</v>
      </c>
      <c r="C1373" s="713" t="s">
        <v>9187</v>
      </c>
      <c r="D1373" s="713" t="s">
        <v>34</v>
      </c>
      <c r="E1373" s="713" t="s">
        <v>7495</v>
      </c>
    </row>
    <row r="1374" spans="2:5" x14ac:dyDescent="0.2">
      <c r="B1374" t="s">
        <v>7128</v>
      </c>
      <c r="C1374" s="713" t="s">
        <v>9216</v>
      </c>
      <c r="D1374" s="713" t="s">
        <v>34</v>
      </c>
      <c r="E1374" s="713" t="s">
        <v>8197</v>
      </c>
    </row>
    <row r="1375" spans="2:5" x14ac:dyDescent="0.2">
      <c r="B1375" t="s">
        <v>7129</v>
      </c>
      <c r="C1375" s="713" t="s">
        <v>9217</v>
      </c>
      <c r="D1375" s="713" t="s">
        <v>34</v>
      </c>
      <c r="E1375" s="713" t="s">
        <v>9218</v>
      </c>
    </row>
    <row r="1376" spans="2:5" x14ac:dyDescent="0.2">
      <c r="B1376" t="s">
        <v>7130</v>
      </c>
      <c r="C1376" s="713" t="s">
        <v>9219</v>
      </c>
      <c r="D1376" s="713" t="s">
        <v>34</v>
      </c>
      <c r="E1376" s="713" t="s">
        <v>7587</v>
      </c>
    </row>
    <row r="1377" spans="2:5" x14ac:dyDescent="0.2">
      <c r="B1377" t="s">
        <v>7131</v>
      </c>
      <c r="C1377" s="713" t="s">
        <v>9220</v>
      </c>
      <c r="D1377" s="713" t="s">
        <v>34</v>
      </c>
      <c r="E1377" s="713" t="s">
        <v>7442</v>
      </c>
    </row>
    <row r="1378" spans="2:5" x14ac:dyDescent="0.2">
      <c r="B1378" t="s">
        <v>7132</v>
      </c>
      <c r="C1378" s="713" t="s">
        <v>9221</v>
      </c>
      <c r="D1378" s="713" t="s">
        <v>34</v>
      </c>
      <c r="E1378" s="713" t="s">
        <v>8782</v>
      </c>
    </row>
    <row r="1379" spans="2:5" x14ac:dyDescent="0.2">
      <c r="B1379" t="s">
        <v>7133</v>
      </c>
      <c r="C1379" s="713" t="s">
        <v>9222</v>
      </c>
      <c r="D1379" s="713" t="s">
        <v>34</v>
      </c>
      <c r="E1379" s="713" t="s">
        <v>7412</v>
      </c>
    </row>
    <row r="1380" spans="2:5" x14ac:dyDescent="0.2">
      <c r="B1380" t="s">
        <v>7028</v>
      </c>
      <c r="C1380" s="713" t="s">
        <v>9223</v>
      </c>
      <c r="D1380" s="713" t="s">
        <v>34</v>
      </c>
      <c r="E1380" s="713" t="s">
        <v>7958</v>
      </c>
    </row>
    <row r="1381" spans="2:5" x14ac:dyDescent="0.2">
      <c r="B1381" t="s">
        <v>7134</v>
      </c>
      <c r="C1381" s="713" t="s">
        <v>9224</v>
      </c>
      <c r="D1381" s="713" t="s">
        <v>34</v>
      </c>
      <c r="E1381" s="713" t="s">
        <v>9225</v>
      </c>
    </row>
    <row r="1382" spans="2:5" x14ac:dyDescent="0.2">
      <c r="B1382" t="s">
        <v>7135</v>
      </c>
      <c r="C1382" s="713" t="s">
        <v>9226</v>
      </c>
      <c r="D1382" s="713" t="s">
        <v>34</v>
      </c>
      <c r="E1382" s="713" t="s">
        <v>9227</v>
      </c>
    </row>
    <row r="1383" spans="2:5" x14ac:dyDescent="0.2">
      <c r="B1383" t="s">
        <v>7136</v>
      </c>
      <c r="C1383" s="713" t="s">
        <v>9228</v>
      </c>
      <c r="D1383" s="713" t="s">
        <v>34</v>
      </c>
      <c r="E1383" s="713" t="s">
        <v>9229</v>
      </c>
    </row>
    <row r="1384" spans="2:5" x14ac:dyDescent="0.2">
      <c r="B1384" t="s">
        <v>7137</v>
      </c>
      <c r="C1384" s="713" t="s">
        <v>9230</v>
      </c>
      <c r="D1384" s="713" t="s">
        <v>34</v>
      </c>
      <c r="E1384" s="713" t="s">
        <v>8144</v>
      </c>
    </row>
    <row r="1385" spans="2:5" x14ac:dyDescent="0.2">
      <c r="B1385" t="s">
        <v>7138</v>
      </c>
      <c r="C1385" s="713" t="s">
        <v>9231</v>
      </c>
      <c r="D1385" s="713" t="s">
        <v>34</v>
      </c>
      <c r="E1385" s="713" t="s">
        <v>7546</v>
      </c>
    </row>
    <row r="1386" spans="2:5" x14ac:dyDescent="0.2">
      <c r="B1386" t="s">
        <v>7139</v>
      </c>
      <c r="C1386" s="713" t="s">
        <v>9232</v>
      </c>
      <c r="D1386" s="713" t="s">
        <v>34</v>
      </c>
      <c r="E1386" s="713" t="s">
        <v>9233</v>
      </c>
    </row>
    <row r="1387" spans="2:5" x14ac:dyDescent="0.2">
      <c r="B1387" t="s">
        <v>7140</v>
      </c>
      <c r="C1387" s="713" t="s">
        <v>9234</v>
      </c>
      <c r="D1387" s="713" t="s">
        <v>34</v>
      </c>
      <c r="E1387" s="713" t="s">
        <v>9109</v>
      </c>
    </row>
    <row r="1388" spans="2:5" x14ac:dyDescent="0.2">
      <c r="B1388" t="s">
        <v>7141</v>
      </c>
      <c r="C1388" s="713" t="s">
        <v>9235</v>
      </c>
      <c r="D1388" s="713" t="s">
        <v>34</v>
      </c>
      <c r="E1388" s="713" t="s">
        <v>9236</v>
      </c>
    </row>
    <row r="1389" spans="2:5" x14ac:dyDescent="0.2">
      <c r="B1389" t="s">
        <v>7142</v>
      </c>
      <c r="C1389" s="713" t="s">
        <v>9237</v>
      </c>
      <c r="D1389" s="713" t="s">
        <v>34</v>
      </c>
      <c r="E1389" s="713" t="s">
        <v>9238</v>
      </c>
    </row>
    <row r="1390" spans="2:5" x14ac:dyDescent="0.2">
      <c r="B1390" t="s">
        <v>7098</v>
      </c>
      <c r="C1390" s="713" t="s">
        <v>9239</v>
      </c>
      <c r="D1390" s="713" t="s">
        <v>34</v>
      </c>
      <c r="E1390" s="713" t="s">
        <v>9240</v>
      </c>
    </row>
    <row r="1391" spans="2:5" x14ac:dyDescent="0.2">
      <c r="B1391" t="s">
        <v>7143</v>
      </c>
      <c r="C1391" s="713" t="s">
        <v>9241</v>
      </c>
      <c r="D1391" s="713" t="s">
        <v>34</v>
      </c>
      <c r="E1391" s="713" t="s">
        <v>8215</v>
      </c>
    </row>
    <row r="1392" spans="2:5" x14ac:dyDescent="0.2">
      <c r="B1392" t="s">
        <v>7144</v>
      </c>
      <c r="C1392" s="713" t="s">
        <v>9242</v>
      </c>
      <c r="D1392" s="713" t="s">
        <v>34</v>
      </c>
      <c r="E1392" s="713" t="s">
        <v>7841</v>
      </c>
    </row>
    <row r="1393" spans="2:5" x14ac:dyDescent="0.2">
      <c r="B1393" t="s">
        <v>7145</v>
      </c>
      <c r="C1393" s="713" t="s">
        <v>9243</v>
      </c>
      <c r="D1393" s="713" t="s">
        <v>34</v>
      </c>
      <c r="E1393" s="713" t="s">
        <v>7517</v>
      </c>
    </row>
    <row r="1394" spans="2:5" x14ac:dyDescent="0.2">
      <c r="B1394" t="s">
        <v>7146</v>
      </c>
      <c r="C1394" s="713" t="s">
        <v>9244</v>
      </c>
      <c r="D1394" s="713" t="s">
        <v>34</v>
      </c>
      <c r="E1394" s="713" t="s">
        <v>7869</v>
      </c>
    </row>
    <row r="1395" spans="2:5" x14ac:dyDescent="0.2">
      <c r="B1395" t="s">
        <v>7147</v>
      </c>
      <c r="C1395" s="713" t="s">
        <v>9245</v>
      </c>
      <c r="D1395" s="713" t="s">
        <v>34</v>
      </c>
      <c r="E1395" s="713" t="s">
        <v>9246</v>
      </c>
    </row>
    <row r="1396" spans="2:5" x14ac:dyDescent="0.2">
      <c r="B1396" t="s">
        <v>7148</v>
      </c>
      <c r="C1396" s="713" t="s">
        <v>9247</v>
      </c>
      <c r="D1396" s="713" t="s">
        <v>34</v>
      </c>
      <c r="E1396" s="713" t="s">
        <v>9248</v>
      </c>
    </row>
    <row r="1397" spans="2:5" x14ac:dyDescent="0.2">
      <c r="B1397" t="s">
        <v>7072</v>
      </c>
      <c r="C1397" s="713" t="s">
        <v>9137</v>
      </c>
      <c r="D1397" s="713" t="s">
        <v>34</v>
      </c>
      <c r="E1397" s="713" t="s">
        <v>9249</v>
      </c>
    </row>
    <row r="1398" spans="2:5" x14ac:dyDescent="0.2">
      <c r="B1398" t="s">
        <v>7149</v>
      </c>
      <c r="C1398" s="713" t="s">
        <v>9250</v>
      </c>
      <c r="D1398" s="713" t="s">
        <v>34</v>
      </c>
      <c r="E1398" s="713" t="s">
        <v>9251</v>
      </c>
    </row>
    <row r="1399" spans="2:5" x14ac:dyDescent="0.2">
      <c r="B1399" t="s">
        <v>7150</v>
      </c>
      <c r="C1399" s="713" t="s">
        <v>9252</v>
      </c>
      <c r="D1399" s="713" t="s">
        <v>34</v>
      </c>
      <c r="E1399" s="713" t="s">
        <v>7570</v>
      </c>
    </row>
    <row r="1400" spans="2:5" x14ac:dyDescent="0.2">
      <c r="B1400" t="s">
        <v>7151</v>
      </c>
      <c r="C1400" s="713" t="s">
        <v>9253</v>
      </c>
      <c r="D1400" s="713" t="s">
        <v>34</v>
      </c>
      <c r="E1400" s="713" t="s">
        <v>9254</v>
      </c>
    </row>
    <row r="1401" spans="2:5" x14ac:dyDescent="0.2">
      <c r="B1401" t="s">
        <v>7152</v>
      </c>
      <c r="C1401" s="713" t="s">
        <v>9255</v>
      </c>
      <c r="D1401" s="713" t="s">
        <v>34</v>
      </c>
      <c r="E1401" s="713" t="s">
        <v>9256</v>
      </c>
    </row>
    <row r="1402" spans="2:5" x14ac:dyDescent="0.2">
      <c r="B1402" t="s">
        <v>7153</v>
      </c>
      <c r="C1402" s="713" t="s">
        <v>9257</v>
      </c>
      <c r="D1402" s="713" t="s">
        <v>34</v>
      </c>
      <c r="E1402" s="713" t="s">
        <v>9258</v>
      </c>
    </row>
    <row r="1403" spans="2:5" x14ac:dyDescent="0.2">
      <c r="B1403" t="s">
        <v>7154</v>
      </c>
      <c r="C1403" s="713" t="s">
        <v>9259</v>
      </c>
      <c r="D1403" s="713" t="s">
        <v>34</v>
      </c>
      <c r="E1403" s="713" t="s">
        <v>7703</v>
      </c>
    </row>
    <row r="1404" spans="2:5" x14ac:dyDescent="0.2">
      <c r="B1404" t="s">
        <v>7155</v>
      </c>
      <c r="C1404" s="713" t="s">
        <v>9260</v>
      </c>
      <c r="D1404" s="713" t="s">
        <v>34</v>
      </c>
      <c r="E1404" s="713" t="s">
        <v>9261</v>
      </c>
    </row>
    <row r="1405" spans="2:5" x14ac:dyDescent="0.2">
      <c r="B1405" t="s">
        <v>6010</v>
      </c>
      <c r="C1405" s="713" t="s">
        <v>9262</v>
      </c>
      <c r="D1405" s="713" t="s">
        <v>34</v>
      </c>
      <c r="E1405" s="713" t="s">
        <v>7703</v>
      </c>
    </row>
    <row r="1406" spans="2:5" x14ac:dyDescent="0.2">
      <c r="B1406" t="s">
        <v>7156</v>
      </c>
      <c r="C1406" s="713" t="s">
        <v>9263</v>
      </c>
      <c r="D1406" s="713" t="s">
        <v>34</v>
      </c>
      <c r="E1406" s="713" t="s">
        <v>9264</v>
      </c>
    </row>
    <row r="1407" spans="2:5" x14ac:dyDescent="0.2">
      <c r="B1407" t="s">
        <v>6339</v>
      </c>
      <c r="C1407" s="713" t="s">
        <v>9265</v>
      </c>
      <c r="D1407" s="713" t="s">
        <v>8181</v>
      </c>
      <c r="E1407" s="713" t="s">
        <v>7420</v>
      </c>
    </row>
    <row r="1408" spans="2:5" x14ac:dyDescent="0.2">
      <c r="B1408" t="s">
        <v>7157</v>
      </c>
      <c r="C1408" s="713" t="s">
        <v>9266</v>
      </c>
      <c r="D1408" s="713" t="s">
        <v>34</v>
      </c>
      <c r="E1408" s="713" t="s">
        <v>9267</v>
      </c>
    </row>
    <row r="1409" spans="2:5" x14ac:dyDescent="0.2">
      <c r="B1409" t="s">
        <v>7158</v>
      </c>
      <c r="C1409" s="713" t="s">
        <v>9268</v>
      </c>
      <c r="D1409" s="713" t="s">
        <v>34</v>
      </c>
      <c r="E1409" s="713" t="s">
        <v>7768</v>
      </c>
    </row>
    <row r="1410" spans="2:5" x14ac:dyDescent="0.2">
      <c r="B1410" t="s">
        <v>7159</v>
      </c>
      <c r="C1410" s="713" t="s">
        <v>8542</v>
      </c>
      <c r="D1410" s="713" t="s">
        <v>34</v>
      </c>
      <c r="E1410" s="713" t="s">
        <v>7509</v>
      </c>
    </row>
    <row r="1411" spans="2:5" x14ac:dyDescent="0.2">
      <c r="B1411" t="s">
        <v>7160</v>
      </c>
      <c r="C1411" s="713" t="s">
        <v>9269</v>
      </c>
      <c r="D1411" s="713" t="s">
        <v>34</v>
      </c>
      <c r="E1411" s="713" t="s">
        <v>7637</v>
      </c>
    </row>
    <row r="1412" spans="2:5" x14ac:dyDescent="0.2">
      <c r="B1412" t="s">
        <v>7161</v>
      </c>
      <c r="C1412" s="713" t="s">
        <v>9270</v>
      </c>
      <c r="D1412" s="713" t="s">
        <v>34</v>
      </c>
      <c r="E1412" s="713" t="s">
        <v>7458</v>
      </c>
    </row>
    <row r="1413" spans="2:5" x14ac:dyDescent="0.2">
      <c r="B1413" t="s">
        <v>7162</v>
      </c>
      <c r="C1413" s="713" t="s">
        <v>9271</v>
      </c>
      <c r="D1413" s="713" t="s">
        <v>34</v>
      </c>
      <c r="E1413" s="713" t="s">
        <v>9272</v>
      </c>
    </row>
    <row r="1414" spans="2:5" x14ac:dyDescent="0.2">
      <c r="B1414" t="s">
        <v>7163</v>
      </c>
      <c r="C1414" s="713" t="s">
        <v>9273</v>
      </c>
      <c r="D1414" s="713" t="s">
        <v>34</v>
      </c>
      <c r="E1414" s="713" t="s">
        <v>9274</v>
      </c>
    </row>
    <row r="1415" spans="2:5" x14ac:dyDescent="0.2">
      <c r="B1415" t="s">
        <v>7164</v>
      </c>
      <c r="C1415" s="713" t="s">
        <v>9275</v>
      </c>
      <c r="D1415" s="713" t="s">
        <v>34</v>
      </c>
      <c r="E1415" s="713" t="s">
        <v>8947</v>
      </c>
    </row>
    <row r="1416" spans="2:5" x14ac:dyDescent="0.2">
      <c r="B1416" t="s">
        <v>7165</v>
      </c>
      <c r="C1416" s="713" t="s">
        <v>9276</v>
      </c>
      <c r="D1416" s="713" t="s">
        <v>34</v>
      </c>
      <c r="E1416" s="713" t="s">
        <v>7458</v>
      </c>
    </row>
    <row r="1417" spans="2:5" x14ac:dyDescent="0.2">
      <c r="B1417" t="s">
        <v>7166</v>
      </c>
      <c r="C1417" s="713" t="s">
        <v>9277</v>
      </c>
      <c r="D1417" s="713" t="s">
        <v>34</v>
      </c>
      <c r="E1417" s="713" t="s">
        <v>7396</v>
      </c>
    </row>
    <row r="1418" spans="2:5" x14ac:dyDescent="0.2">
      <c r="B1418" t="s">
        <v>7167</v>
      </c>
      <c r="C1418" s="713" t="s">
        <v>9278</v>
      </c>
      <c r="D1418" s="713" t="s">
        <v>34</v>
      </c>
      <c r="E1418" s="713" t="s">
        <v>7623</v>
      </c>
    </row>
    <row r="1419" spans="2:5" x14ac:dyDescent="0.2">
      <c r="B1419" t="s">
        <v>7168</v>
      </c>
      <c r="C1419" s="713" t="s">
        <v>9279</v>
      </c>
      <c r="D1419" s="713" t="s">
        <v>34</v>
      </c>
      <c r="E1419" s="713" t="s">
        <v>8561</v>
      </c>
    </row>
    <row r="1420" spans="2:5" x14ac:dyDescent="0.2">
      <c r="B1420" t="s">
        <v>7169</v>
      </c>
      <c r="C1420" s="713" t="s">
        <v>9280</v>
      </c>
      <c r="D1420" s="713" t="s">
        <v>34</v>
      </c>
      <c r="E1420" s="713" t="s">
        <v>7584</v>
      </c>
    </row>
    <row r="1421" spans="2:5" x14ac:dyDescent="0.2">
      <c r="B1421" t="s">
        <v>7170</v>
      </c>
      <c r="C1421" s="713" t="s">
        <v>9281</v>
      </c>
      <c r="D1421" s="713" t="s">
        <v>34</v>
      </c>
      <c r="E1421" s="713" t="s">
        <v>9282</v>
      </c>
    </row>
    <row r="1422" spans="2:5" x14ac:dyDescent="0.2">
      <c r="B1422" t="s">
        <v>7171</v>
      </c>
      <c r="C1422" s="713" t="s">
        <v>9283</v>
      </c>
      <c r="D1422" s="713" t="s">
        <v>34</v>
      </c>
      <c r="E1422" s="713" t="s">
        <v>7841</v>
      </c>
    </row>
    <row r="1423" spans="2:5" x14ac:dyDescent="0.2">
      <c r="B1423" t="s">
        <v>7172</v>
      </c>
      <c r="C1423" s="713" t="s">
        <v>9284</v>
      </c>
      <c r="D1423" s="713" t="s">
        <v>34</v>
      </c>
      <c r="E1423" s="713" t="s">
        <v>7667</v>
      </c>
    </row>
    <row r="1424" spans="2:5" x14ac:dyDescent="0.2">
      <c r="B1424" t="s">
        <v>7173</v>
      </c>
      <c r="C1424" s="713" t="s">
        <v>9285</v>
      </c>
      <c r="D1424" s="713" t="s">
        <v>34</v>
      </c>
      <c r="E1424" s="713" t="s">
        <v>9286</v>
      </c>
    </row>
    <row r="1425" spans="2:5" x14ac:dyDescent="0.2">
      <c r="B1425" t="s">
        <v>7174</v>
      </c>
      <c r="C1425" s="713" t="s">
        <v>9287</v>
      </c>
      <c r="D1425" s="713" t="s">
        <v>34</v>
      </c>
      <c r="E1425" s="713" t="s">
        <v>7546</v>
      </c>
    </row>
    <row r="1426" spans="2:5" x14ac:dyDescent="0.2">
      <c r="B1426" t="s">
        <v>7175</v>
      </c>
      <c r="C1426" s="713" t="s">
        <v>9288</v>
      </c>
      <c r="D1426" s="713" t="s">
        <v>34</v>
      </c>
      <c r="E1426" s="713" t="s">
        <v>7750</v>
      </c>
    </row>
    <row r="1427" spans="2:5" x14ac:dyDescent="0.2">
      <c r="B1427" t="s">
        <v>7176</v>
      </c>
      <c r="C1427" s="713" t="s">
        <v>9289</v>
      </c>
      <c r="D1427" s="713" t="s">
        <v>34</v>
      </c>
      <c r="E1427" s="713" t="s">
        <v>7546</v>
      </c>
    </row>
    <row r="1428" spans="2:5" x14ac:dyDescent="0.2">
      <c r="B1428" t="s">
        <v>7177</v>
      </c>
      <c r="C1428" s="713" t="s">
        <v>9290</v>
      </c>
      <c r="D1428" s="713" t="s">
        <v>34</v>
      </c>
      <c r="E1428" s="713" t="s">
        <v>9291</v>
      </c>
    </row>
    <row r="1429" spans="2:5" x14ac:dyDescent="0.2">
      <c r="B1429" t="s">
        <v>7178</v>
      </c>
      <c r="C1429" s="713" t="s">
        <v>9292</v>
      </c>
      <c r="D1429" s="713" t="s">
        <v>34</v>
      </c>
      <c r="E1429" s="713" t="s">
        <v>9293</v>
      </c>
    </row>
    <row r="1430" spans="2:5" x14ac:dyDescent="0.2">
      <c r="B1430" t="s">
        <v>7135</v>
      </c>
      <c r="C1430" s="713" t="s">
        <v>9294</v>
      </c>
      <c r="D1430" s="713" t="s">
        <v>34</v>
      </c>
      <c r="E1430" s="713" t="s">
        <v>9295</v>
      </c>
    </row>
    <row r="1431" spans="2:5" x14ac:dyDescent="0.2">
      <c r="B1431" t="s">
        <v>7179</v>
      </c>
      <c r="C1431" s="713" t="s">
        <v>9296</v>
      </c>
      <c r="D1431" s="713" t="s">
        <v>34</v>
      </c>
      <c r="E1431" s="713" t="s">
        <v>7703</v>
      </c>
    </row>
    <row r="1432" spans="2:5" x14ac:dyDescent="0.2">
      <c r="B1432" t="s">
        <v>7180</v>
      </c>
      <c r="C1432" s="713" t="s">
        <v>9297</v>
      </c>
      <c r="D1432" s="713" t="s">
        <v>34</v>
      </c>
      <c r="E1432" s="713" t="s">
        <v>9298</v>
      </c>
    </row>
    <row r="1433" spans="2:5" x14ac:dyDescent="0.2">
      <c r="B1433" t="s">
        <v>7181</v>
      </c>
      <c r="C1433" s="713" t="s">
        <v>9299</v>
      </c>
      <c r="D1433" s="713" t="s">
        <v>34</v>
      </c>
      <c r="E1433" s="713" t="s">
        <v>7895</v>
      </c>
    </row>
    <row r="1434" spans="2:5" x14ac:dyDescent="0.2">
      <c r="B1434" t="s">
        <v>7182</v>
      </c>
      <c r="C1434" s="713" t="s">
        <v>9300</v>
      </c>
      <c r="D1434" s="713" t="s">
        <v>9301</v>
      </c>
      <c r="E1434" s="713" t="s">
        <v>9302</v>
      </c>
    </row>
    <row r="1435" spans="2:5" x14ac:dyDescent="0.2">
      <c r="B1435" t="s">
        <v>7183</v>
      </c>
      <c r="C1435" s="713" t="s">
        <v>9303</v>
      </c>
      <c r="D1435" s="713" t="s">
        <v>34</v>
      </c>
      <c r="E1435" s="713" t="s">
        <v>9304</v>
      </c>
    </row>
    <row r="1436" spans="2:5" x14ac:dyDescent="0.2">
      <c r="B1436" t="s">
        <v>7184</v>
      </c>
      <c r="C1436" s="713" t="s">
        <v>9305</v>
      </c>
      <c r="D1436" s="713" t="s">
        <v>34</v>
      </c>
      <c r="E1436" s="713" t="s">
        <v>9306</v>
      </c>
    </row>
    <row r="1437" spans="2:5" x14ac:dyDescent="0.2">
      <c r="B1437" t="s">
        <v>7185</v>
      </c>
      <c r="C1437" s="713" t="s">
        <v>8361</v>
      </c>
      <c r="D1437" s="713" t="s">
        <v>34</v>
      </c>
      <c r="E1437" s="713" t="s">
        <v>7741</v>
      </c>
    </row>
    <row r="1438" spans="2:5" x14ac:dyDescent="0.2">
      <c r="B1438" t="s">
        <v>7186</v>
      </c>
      <c r="C1438" s="713" t="s">
        <v>9307</v>
      </c>
      <c r="D1438" s="713" t="s">
        <v>34</v>
      </c>
      <c r="E1438" s="713" t="s">
        <v>9308</v>
      </c>
    </row>
    <row r="1439" spans="2:5" x14ac:dyDescent="0.2">
      <c r="B1439" t="s">
        <v>7187</v>
      </c>
      <c r="C1439" s="713" t="s">
        <v>9309</v>
      </c>
      <c r="D1439" s="713" t="s">
        <v>34</v>
      </c>
      <c r="E1439" s="713" t="s">
        <v>9310</v>
      </c>
    </row>
    <row r="1440" spans="2:5" x14ac:dyDescent="0.2">
      <c r="B1440" t="s">
        <v>7188</v>
      </c>
      <c r="C1440" s="713" t="s">
        <v>9311</v>
      </c>
      <c r="D1440" s="713" t="s">
        <v>34</v>
      </c>
      <c r="E1440" s="713" t="s">
        <v>7396</v>
      </c>
    </row>
    <row r="1441" spans="2:5" x14ac:dyDescent="0.2">
      <c r="B1441" t="s">
        <v>7189</v>
      </c>
      <c r="C1441" s="713" t="s">
        <v>9312</v>
      </c>
      <c r="D1441" s="713" t="s">
        <v>34</v>
      </c>
      <c r="E1441" s="713" t="s">
        <v>7674</v>
      </c>
    </row>
    <row r="1442" spans="2:5" x14ac:dyDescent="0.2">
      <c r="B1442" t="s">
        <v>7190</v>
      </c>
      <c r="C1442" s="713" t="s">
        <v>9313</v>
      </c>
      <c r="D1442" s="713" t="s">
        <v>34</v>
      </c>
      <c r="E1442" s="713" t="s">
        <v>9314</v>
      </c>
    </row>
    <row r="1443" spans="2:5" x14ac:dyDescent="0.2">
      <c r="B1443" t="s">
        <v>7191</v>
      </c>
      <c r="C1443" s="713" t="s">
        <v>9315</v>
      </c>
      <c r="D1443" s="713" t="s">
        <v>34</v>
      </c>
      <c r="E1443" s="713" t="s">
        <v>9316</v>
      </c>
    </row>
    <row r="1444" spans="2:5" x14ac:dyDescent="0.2">
      <c r="B1444" t="s">
        <v>7192</v>
      </c>
      <c r="C1444" s="713" t="s">
        <v>9317</v>
      </c>
      <c r="D1444" s="713" t="s">
        <v>34</v>
      </c>
      <c r="E1444" s="713" t="s">
        <v>7396</v>
      </c>
    </row>
    <row r="1445" spans="2:5" x14ac:dyDescent="0.2">
      <c r="B1445" t="s">
        <v>7193</v>
      </c>
      <c r="C1445" s="713" t="s">
        <v>9318</v>
      </c>
      <c r="D1445" s="713" t="s">
        <v>34</v>
      </c>
      <c r="E1445" s="713" t="s">
        <v>9319</v>
      </c>
    </row>
    <row r="1446" spans="2:5" x14ac:dyDescent="0.2">
      <c r="B1446" t="s">
        <v>7194</v>
      </c>
      <c r="C1446" s="713" t="s">
        <v>9320</v>
      </c>
      <c r="D1446" s="713" t="s">
        <v>34</v>
      </c>
      <c r="E1446" s="713" t="s">
        <v>7570</v>
      </c>
    </row>
    <row r="1447" spans="2:5" x14ac:dyDescent="0.2">
      <c r="B1447" t="s">
        <v>7195</v>
      </c>
      <c r="C1447" s="713" t="s">
        <v>9321</v>
      </c>
      <c r="D1447" s="713" t="s">
        <v>34</v>
      </c>
      <c r="E1447" s="713" t="s">
        <v>7546</v>
      </c>
    </row>
    <row r="1448" spans="2:5" x14ac:dyDescent="0.2">
      <c r="B1448" t="s">
        <v>7196</v>
      </c>
      <c r="C1448" s="713" t="s">
        <v>9322</v>
      </c>
      <c r="D1448" s="713" t="s">
        <v>34</v>
      </c>
      <c r="E1448" s="713" t="s">
        <v>7721</v>
      </c>
    </row>
    <row r="1449" spans="2:5" x14ac:dyDescent="0.2">
      <c r="B1449" t="s">
        <v>7197</v>
      </c>
      <c r="C1449" s="713" t="s">
        <v>9323</v>
      </c>
      <c r="D1449" s="713" t="s">
        <v>34</v>
      </c>
      <c r="E1449" s="713" t="s">
        <v>7418</v>
      </c>
    </row>
    <row r="1450" spans="2:5" x14ac:dyDescent="0.2">
      <c r="B1450" t="s">
        <v>7198</v>
      </c>
      <c r="C1450" s="713" t="s">
        <v>9324</v>
      </c>
      <c r="D1450" s="713" t="s">
        <v>34</v>
      </c>
      <c r="E1450" s="713" t="s">
        <v>9325</v>
      </c>
    </row>
    <row r="1451" spans="2:5" x14ac:dyDescent="0.2">
      <c r="B1451" t="s">
        <v>7199</v>
      </c>
      <c r="C1451" s="713" t="s">
        <v>9326</v>
      </c>
      <c r="D1451" s="713" t="s">
        <v>34</v>
      </c>
      <c r="E1451" s="713" t="s">
        <v>7404</v>
      </c>
    </row>
    <row r="1452" spans="2:5" x14ac:dyDescent="0.2">
      <c r="B1452" t="s">
        <v>7200</v>
      </c>
      <c r="C1452" s="713" t="s">
        <v>9327</v>
      </c>
      <c r="D1452" s="713" t="s">
        <v>34</v>
      </c>
      <c r="E1452" s="713" t="s">
        <v>7992</v>
      </c>
    </row>
    <row r="1453" spans="2:5" x14ac:dyDescent="0.2">
      <c r="B1453" t="s">
        <v>7201</v>
      </c>
      <c r="C1453" s="713" t="s">
        <v>9328</v>
      </c>
      <c r="D1453" s="713" t="s">
        <v>34</v>
      </c>
      <c r="E1453" s="713" t="s">
        <v>9329</v>
      </c>
    </row>
    <row r="1454" spans="2:5" x14ac:dyDescent="0.2">
      <c r="B1454" t="s">
        <v>7202</v>
      </c>
      <c r="C1454" s="713" t="s">
        <v>9330</v>
      </c>
      <c r="D1454" s="713" t="s">
        <v>34</v>
      </c>
      <c r="E1454" s="713" t="s">
        <v>7458</v>
      </c>
    </row>
    <row r="1455" spans="2:5" x14ac:dyDescent="0.2">
      <c r="B1455" t="s">
        <v>7203</v>
      </c>
      <c r="C1455" s="713" t="s">
        <v>9331</v>
      </c>
      <c r="D1455" s="713" t="s">
        <v>34</v>
      </c>
      <c r="E1455" s="713" t="s">
        <v>8800</v>
      </c>
    </row>
    <row r="1456" spans="2:5" x14ac:dyDescent="0.2">
      <c r="B1456" t="s">
        <v>7204</v>
      </c>
      <c r="C1456" s="713" t="s">
        <v>9332</v>
      </c>
      <c r="D1456" s="713" t="s">
        <v>34</v>
      </c>
      <c r="E1456" s="713" t="s">
        <v>9274</v>
      </c>
    </row>
    <row r="1457" spans="2:5" x14ac:dyDescent="0.2">
      <c r="B1457" t="s">
        <v>7205</v>
      </c>
      <c r="C1457" s="713" t="s">
        <v>9333</v>
      </c>
      <c r="D1457" s="713" t="s">
        <v>34</v>
      </c>
      <c r="E1457" s="713" t="s">
        <v>7412</v>
      </c>
    </row>
    <row r="1458" spans="2:5" x14ac:dyDescent="0.2">
      <c r="B1458" t="s">
        <v>7206</v>
      </c>
      <c r="C1458" s="713" t="s">
        <v>9334</v>
      </c>
      <c r="D1458" s="713" t="s">
        <v>34</v>
      </c>
      <c r="E1458" s="713" t="s">
        <v>7396</v>
      </c>
    </row>
    <row r="1459" spans="2:5" x14ac:dyDescent="0.2">
      <c r="B1459" t="s">
        <v>7207</v>
      </c>
      <c r="C1459" s="713" t="s">
        <v>9335</v>
      </c>
      <c r="D1459" s="713" t="s">
        <v>34</v>
      </c>
      <c r="E1459" s="713" t="s">
        <v>9336</v>
      </c>
    </row>
    <row r="1460" spans="2:5" x14ac:dyDescent="0.2">
      <c r="B1460" t="s">
        <v>7208</v>
      </c>
      <c r="C1460" s="713" t="s">
        <v>9337</v>
      </c>
      <c r="D1460" s="713" t="s">
        <v>34</v>
      </c>
      <c r="E1460" s="713" t="s">
        <v>9338</v>
      </c>
    </row>
    <row r="1461" spans="2:5" x14ac:dyDescent="0.2">
      <c r="B1461" t="s">
        <v>7209</v>
      </c>
      <c r="C1461" s="713" t="s">
        <v>9339</v>
      </c>
      <c r="D1461" s="713" t="s">
        <v>34</v>
      </c>
      <c r="E1461" s="713" t="s">
        <v>7442</v>
      </c>
    </row>
    <row r="1462" spans="2:5" x14ac:dyDescent="0.2">
      <c r="B1462" t="s">
        <v>7210</v>
      </c>
      <c r="C1462" s="713" t="s">
        <v>9340</v>
      </c>
      <c r="D1462" s="713" t="s">
        <v>34</v>
      </c>
      <c r="E1462" s="713" t="s">
        <v>9341</v>
      </c>
    </row>
    <row r="1463" spans="2:5" x14ac:dyDescent="0.2">
      <c r="B1463" t="s">
        <v>7211</v>
      </c>
      <c r="C1463" s="713" t="s">
        <v>9342</v>
      </c>
      <c r="D1463" s="713" t="s">
        <v>34</v>
      </c>
      <c r="E1463" s="713" t="s">
        <v>9343</v>
      </c>
    </row>
    <row r="1464" spans="2:5" x14ac:dyDescent="0.2">
      <c r="B1464" t="s">
        <v>7212</v>
      </c>
      <c r="C1464" s="713" t="s">
        <v>9344</v>
      </c>
      <c r="D1464" s="713" t="s">
        <v>34</v>
      </c>
      <c r="E1464" s="713" t="s">
        <v>7551</v>
      </c>
    </row>
    <row r="1465" spans="2:5" x14ac:dyDescent="0.2">
      <c r="B1465" t="s">
        <v>7213</v>
      </c>
      <c r="C1465" s="713" t="s">
        <v>9345</v>
      </c>
      <c r="D1465" s="713" t="s">
        <v>34</v>
      </c>
      <c r="E1465" s="713" t="s">
        <v>7587</v>
      </c>
    </row>
    <row r="1466" spans="2:5" x14ac:dyDescent="0.2">
      <c r="B1466" t="s">
        <v>7214</v>
      </c>
      <c r="C1466" s="713" t="s">
        <v>9346</v>
      </c>
      <c r="D1466" s="713" t="s">
        <v>34</v>
      </c>
      <c r="E1466" s="713" t="s">
        <v>7404</v>
      </c>
    </row>
    <row r="1467" spans="2:5" x14ac:dyDescent="0.2">
      <c r="B1467" t="s">
        <v>7215</v>
      </c>
      <c r="C1467" s="713" t="s">
        <v>9347</v>
      </c>
      <c r="D1467" s="713" t="s">
        <v>34</v>
      </c>
      <c r="E1467" s="713" t="s">
        <v>8800</v>
      </c>
    </row>
    <row r="1468" spans="2:5" x14ac:dyDescent="0.2">
      <c r="B1468" t="s">
        <v>7067</v>
      </c>
      <c r="C1468" s="713" t="s">
        <v>9129</v>
      </c>
      <c r="D1468" s="713" t="s">
        <v>34</v>
      </c>
      <c r="E1468" s="713" t="s">
        <v>7650</v>
      </c>
    </row>
    <row r="1469" spans="2:5" x14ac:dyDescent="0.2">
      <c r="B1469" t="s">
        <v>7216</v>
      </c>
      <c r="C1469" s="713" t="s">
        <v>9348</v>
      </c>
      <c r="D1469" s="713" t="s">
        <v>34</v>
      </c>
      <c r="E1469" s="713" t="s">
        <v>7410</v>
      </c>
    </row>
    <row r="1470" spans="2:5" x14ac:dyDescent="0.2">
      <c r="B1470" t="s">
        <v>7217</v>
      </c>
      <c r="C1470" s="713" t="s">
        <v>9349</v>
      </c>
      <c r="D1470" s="713" t="s">
        <v>34</v>
      </c>
      <c r="E1470" s="713" t="s">
        <v>7587</v>
      </c>
    </row>
    <row r="1471" spans="2:5" x14ac:dyDescent="0.2">
      <c r="B1471" t="s">
        <v>7218</v>
      </c>
      <c r="C1471" s="713" t="s">
        <v>9350</v>
      </c>
      <c r="D1471" s="713" t="s">
        <v>34</v>
      </c>
      <c r="E1471" s="713" t="s">
        <v>9351</v>
      </c>
    </row>
    <row r="1472" spans="2:5" x14ac:dyDescent="0.2">
      <c r="B1472" t="s">
        <v>7219</v>
      </c>
      <c r="C1472" s="713" t="s">
        <v>9352</v>
      </c>
      <c r="D1472" s="713" t="s">
        <v>34</v>
      </c>
      <c r="E1472" s="713" t="s">
        <v>7458</v>
      </c>
    </row>
    <row r="1473" spans="2:5" x14ac:dyDescent="0.2">
      <c r="B1473" t="s">
        <v>7220</v>
      </c>
      <c r="C1473" s="713" t="s">
        <v>9353</v>
      </c>
      <c r="D1473" s="713" t="s">
        <v>34</v>
      </c>
      <c r="E1473" s="713" t="s">
        <v>9354</v>
      </c>
    </row>
    <row r="1474" spans="2:5" x14ac:dyDescent="0.2">
      <c r="B1474" t="s">
        <v>7221</v>
      </c>
      <c r="C1474" s="713" t="s">
        <v>9355</v>
      </c>
      <c r="D1474" s="713" t="s">
        <v>34</v>
      </c>
      <c r="E1474" s="713" t="s">
        <v>9356</v>
      </c>
    </row>
    <row r="1475" spans="2:5" x14ac:dyDescent="0.2">
      <c r="B1475" t="s">
        <v>7222</v>
      </c>
      <c r="C1475" s="713" t="s">
        <v>9357</v>
      </c>
      <c r="D1475" s="713" t="s">
        <v>34</v>
      </c>
      <c r="E1475" s="713" t="s">
        <v>9109</v>
      </c>
    </row>
    <row r="1476" spans="2:5" x14ac:dyDescent="0.2">
      <c r="B1476" t="s">
        <v>7223</v>
      </c>
      <c r="C1476" s="713" t="s">
        <v>9358</v>
      </c>
      <c r="D1476" s="713" t="s">
        <v>9359</v>
      </c>
      <c r="E1476" s="713" t="s">
        <v>7546</v>
      </c>
    </row>
    <row r="1477" spans="2:5" x14ac:dyDescent="0.2">
      <c r="B1477" t="s">
        <v>7224</v>
      </c>
      <c r="C1477" s="713" t="s">
        <v>9360</v>
      </c>
      <c r="D1477" s="713" t="s">
        <v>34</v>
      </c>
      <c r="E1477" s="713" t="s">
        <v>9274</v>
      </c>
    </row>
    <row r="1478" spans="2:5" x14ac:dyDescent="0.2">
      <c r="B1478" t="s">
        <v>7225</v>
      </c>
      <c r="C1478" s="713" t="s">
        <v>9361</v>
      </c>
      <c r="D1478" s="713" t="s">
        <v>34</v>
      </c>
      <c r="E1478" s="713" t="s">
        <v>7958</v>
      </c>
    </row>
    <row r="1479" spans="2:5" x14ac:dyDescent="0.2">
      <c r="B1479" t="s">
        <v>7226</v>
      </c>
      <c r="C1479" s="713" t="s">
        <v>9362</v>
      </c>
      <c r="D1479" s="713" t="s">
        <v>34</v>
      </c>
      <c r="E1479" s="713" t="s">
        <v>7841</v>
      </c>
    </row>
    <row r="1480" spans="2:5" x14ac:dyDescent="0.2">
      <c r="B1480" t="s">
        <v>7227</v>
      </c>
      <c r="C1480" s="713" t="s">
        <v>9363</v>
      </c>
      <c r="D1480" s="713" t="s">
        <v>34</v>
      </c>
      <c r="E1480" s="713" t="s">
        <v>9364</v>
      </c>
    </row>
    <row r="1481" spans="2:5" x14ac:dyDescent="0.2">
      <c r="B1481" t="s">
        <v>7228</v>
      </c>
      <c r="C1481" s="713" t="s">
        <v>9365</v>
      </c>
      <c r="D1481" s="713" t="s">
        <v>34</v>
      </c>
      <c r="E1481" s="713" t="s">
        <v>9366</v>
      </c>
    </row>
    <row r="1482" spans="2:5" x14ac:dyDescent="0.2">
      <c r="B1482" t="s">
        <v>7229</v>
      </c>
      <c r="C1482" s="713" t="s">
        <v>9367</v>
      </c>
      <c r="D1482" s="713" t="s">
        <v>34</v>
      </c>
      <c r="E1482" s="713" t="s">
        <v>7750</v>
      </c>
    </row>
    <row r="1483" spans="2:5" x14ac:dyDescent="0.2">
      <c r="B1483" t="s">
        <v>7230</v>
      </c>
      <c r="C1483" s="713" t="s">
        <v>9368</v>
      </c>
      <c r="D1483" s="713" t="s">
        <v>34</v>
      </c>
      <c r="E1483" s="713" t="s">
        <v>7674</v>
      </c>
    </row>
    <row r="1484" spans="2:5" x14ac:dyDescent="0.2">
      <c r="B1484" t="s">
        <v>7231</v>
      </c>
      <c r="C1484" s="713" t="s">
        <v>9369</v>
      </c>
      <c r="D1484" s="713" t="s">
        <v>34</v>
      </c>
      <c r="E1484" s="713" t="s">
        <v>9319</v>
      </c>
    </row>
    <row r="1485" spans="2:5" x14ac:dyDescent="0.2">
      <c r="B1485" t="s">
        <v>7232</v>
      </c>
      <c r="C1485" s="713" t="s">
        <v>9370</v>
      </c>
      <c r="D1485" s="713" t="s">
        <v>34</v>
      </c>
      <c r="E1485" s="713" t="s">
        <v>7741</v>
      </c>
    </row>
    <row r="1486" spans="2:5" x14ac:dyDescent="0.2">
      <c r="B1486" t="s">
        <v>7233</v>
      </c>
      <c r="C1486" s="713" t="s">
        <v>9371</v>
      </c>
      <c r="D1486" s="713" t="s">
        <v>34</v>
      </c>
      <c r="E1486" s="713" t="s">
        <v>7418</v>
      </c>
    </row>
    <row r="1487" spans="2:5" x14ac:dyDescent="0.2">
      <c r="B1487" t="s">
        <v>7234</v>
      </c>
      <c r="C1487" s="713" t="s">
        <v>9372</v>
      </c>
      <c r="D1487" s="713" t="s">
        <v>34</v>
      </c>
      <c r="E1487" s="713" t="s">
        <v>9373</v>
      </c>
    </row>
    <row r="1488" spans="2:5" x14ac:dyDescent="0.2">
      <c r="B1488" t="s">
        <v>7235</v>
      </c>
      <c r="C1488" s="713" t="s">
        <v>9374</v>
      </c>
      <c r="D1488" s="713" t="s">
        <v>34</v>
      </c>
      <c r="E1488" s="713" t="s">
        <v>8043</v>
      </c>
    </row>
    <row r="1489" spans="2:5" x14ac:dyDescent="0.2">
      <c r="B1489" t="s">
        <v>7236</v>
      </c>
      <c r="C1489" s="713" t="s">
        <v>9375</v>
      </c>
      <c r="D1489" s="713" t="s">
        <v>34</v>
      </c>
      <c r="E1489" s="713" t="s">
        <v>9376</v>
      </c>
    </row>
    <row r="1490" spans="2:5" x14ac:dyDescent="0.2">
      <c r="B1490" t="s">
        <v>7237</v>
      </c>
      <c r="C1490" s="713" t="s">
        <v>9377</v>
      </c>
      <c r="D1490" s="713" t="s">
        <v>34</v>
      </c>
      <c r="E1490" s="713" t="s">
        <v>7495</v>
      </c>
    </row>
    <row r="1491" spans="2:5" x14ac:dyDescent="0.2">
      <c r="B1491" t="s">
        <v>7238</v>
      </c>
      <c r="C1491" s="713" t="s">
        <v>9378</v>
      </c>
      <c r="D1491" s="713" t="s">
        <v>34</v>
      </c>
      <c r="E1491" s="713" t="s">
        <v>9379</v>
      </c>
    </row>
    <row r="1492" spans="2:5" x14ac:dyDescent="0.2">
      <c r="B1492" t="s">
        <v>7239</v>
      </c>
      <c r="C1492" s="713" t="s">
        <v>9380</v>
      </c>
      <c r="D1492" s="713" t="s">
        <v>34</v>
      </c>
      <c r="E1492" s="713" t="s">
        <v>7471</v>
      </c>
    </row>
    <row r="1493" spans="2:5" x14ac:dyDescent="0.2">
      <c r="B1493" t="s">
        <v>7240</v>
      </c>
      <c r="C1493" s="713" t="s">
        <v>9381</v>
      </c>
      <c r="D1493" s="713" t="s">
        <v>34</v>
      </c>
      <c r="E1493" s="713" t="s">
        <v>7520</v>
      </c>
    </row>
    <row r="1494" spans="2:5" x14ac:dyDescent="0.2">
      <c r="B1494" t="s">
        <v>7241</v>
      </c>
      <c r="C1494" s="713" t="s">
        <v>9382</v>
      </c>
      <c r="D1494" s="713" t="s">
        <v>34</v>
      </c>
      <c r="E1494" s="713" t="s">
        <v>9383</v>
      </c>
    </row>
    <row r="1495" spans="2:5" x14ac:dyDescent="0.2">
      <c r="B1495" t="s">
        <v>7242</v>
      </c>
      <c r="C1495" s="713" t="s">
        <v>9384</v>
      </c>
      <c r="D1495" s="713" t="s">
        <v>34</v>
      </c>
      <c r="E1495" s="713" t="s">
        <v>9385</v>
      </c>
    </row>
    <row r="1496" spans="2:5" x14ac:dyDescent="0.2">
      <c r="B1496" t="s">
        <v>7243</v>
      </c>
      <c r="C1496" s="713" t="s">
        <v>9386</v>
      </c>
      <c r="D1496" s="713" t="s">
        <v>34</v>
      </c>
      <c r="E1496" s="713" t="s">
        <v>9387</v>
      </c>
    </row>
    <row r="1497" spans="2:5" x14ac:dyDescent="0.2">
      <c r="B1497" t="s">
        <v>7244</v>
      </c>
      <c r="C1497" s="713" t="s">
        <v>9388</v>
      </c>
      <c r="D1497" s="713" t="s">
        <v>34</v>
      </c>
      <c r="E1497" s="713" t="s">
        <v>7509</v>
      </c>
    </row>
    <row r="1498" spans="2:5" x14ac:dyDescent="0.2">
      <c r="B1498" t="s">
        <v>7245</v>
      </c>
      <c r="C1498" s="713" t="s">
        <v>9389</v>
      </c>
      <c r="D1498" s="713" t="s">
        <v>34</v>
      </c>
      <c r="E1498" s="713" t="s">
        <v>9390</v>
      </c>
    </row>
    <row r="1499" spans="2:5" x14ac:dyDescent="0.2">
      <c r="B1499" t="s">
        <v>7246</v>
      </c>
      <c r="C1499" s="713" t="s">
        <v>9391</v>
      </c>
      <c r="D1499" s="713" t="s">
        <v>34</v>
      </c>
      <c r="E1499" s="713" t="s">
        <v>7741</v>
      </c>
    </row>
    <row r="1500" spans="2:5" x14ac:dyDescent="0.2">
      <c r="B1500" t="s">
        <v>7247</v>
      </c>
      <c r="C1500" s="713" t="s">
        <v>9392</v>
      </c>
      <c r="D1500" s="713" t="s">
        <v>34</v>
      </c>
      <c r="E1500" s="713" t="s">
        <v>8625</v>
      </c>
    </row>
    <row r="1501" spans="2:5" x14ac:dyDescent="0.2">
      <c r="B1501" t="s">
        <v>7248</v>
      </c>
      <c r="C1501" s="713" t="s">
        <v>9393</v>
      </c>
      <c r="D1501" s="713" t="s">
        <v>34</v>
      </c>
      <c r="E1501" s="713" t="s">
        <v>7791</v>
      </c>
    </row>
    <row r="1502" spans="2:5" x14ac:dyDescent="0.2">
      <c r="B1502" t="s">
        <v>7249</v>
      </c>
      <c r="C1502" s="713" t="s">
        <v>9394</v>
      </c>
      <c r="D1502" s="713" t="s">
        <v>34</v>
      </c>
      <c r="E1502" s="713" t="s">
        <v>7750</v>
      </c>
    </row>
    <row r="1503" spans="2:5" x14ac:dyDescent="0.2">
      <c r="B1503" t="s">
        <v>7250</v>
      </c>
      <c r="C1503" s="713" t="s">
        <v>9395</v>
      </c>
      <c r="D1503" s="713" t="s">
        <v>34</v>
      </c>
      <c r="E1503" s="713" t="s">
        <v>9396</v>
      </c>
    </row>
    <row r="1504" spans="2:5" x14ac:dyDescent="0.2">
      <c r="B1504" t="s">
        <v>7251</v>
      </c>
      <c r="C1504" s="713" t="s">
        <v>9397</v>
      </c>
      <c r="D1504" s="713" t="s">
        <v>34</v>
      </c>
      <c r="E1504" s="713" t="s">
        <v>8484</v>
      </c>
    </row>
    <row r="1505" spans="2:5" x14ac:dyDescent="0.2">
      <c r="B1505" t="s">
        <v>7252</v>
      </c>
      <c r="C1505" s="713" t="s">
        <v>9398</v>
      </c>
      <c r="D1505" s="713" t="s">
        <v>34</v>
      </c>
      <c r="E1505" s="713" t="s">
        <v>9399</v>
      </c>
    </row>
    <row r="1506" spans="2:5" x14ac:dyDescent="0.2">
      <c r="B1506" t="s">
        <v>7253</v>
      </c>
      <c r="C1506" s="713" t="s">
        <v>9400</v>
      </c>
      <c r="D1506" s="713" t="s">
        <v>34</v>
      </c>
      <c r="E1506" s="713" t="s">
        <v>9401</v>
      </c>
    </row>
    <row r="1507" spans="2:5" x14ac:dyDescent="0.2">
      <c r="B1507" t="s">
        <v>7254</v>
      </c>
      <c r="C1507" s="713" t="s">
        <v>9402</v>
      </c>
      <c r="D1507" s="713" t="s">
        <v>34</v>
      </c>
      <c r="E1507" s="713" t="s">
        <v>9403</v>
      </c>
    </row>
    <row r="1508" spans="2:5" x14ac:dyDescent="0.2">
      <c r="B1508" t="s">
        <v>7255</v>
      </c>
      <c r="C1508" s="713" t="s">
        <v>9404</v>
      </c>
      <c r="D1508" s="713" t="s">
        <v>34</v>
      </c>
      <c r="E1508" s="713" t="s">
        <v>8215</v>
      </c>
    </row>
    <row r="1509" spans="2:5" x14ac:dyDescent="0.2">
      <c r="B1509" t="s">
        <v>7256</v>
      </c>
      <c r="C1509" s="713" t="s">
        <v>9405</v>
      </c>
      <c r="D1509" s="713" t="s">
        <v>9406</v>
      </c>
      <c r="E1509" s="713" t="s">
        <v>8637</v>
      </c>
    </row>
    <row r="1510" spans="2:5" x14ac:dyDescent="0.2">
      <c r="B1510" t="s">
        <v>7257</v>
      </c>
      <c r="C1510" s="713" t="s">
        <v>9407</v>
      </c>
      <c r="D1510" s="713" t="s">
        <v>34</v>
      </c>
      <c r="E1510" s="713" t="s">
        <v>9408</v>
      </c>
    </row>
    <row r="1511" spans="2:5" x14ac:dyDescent="0.2">
      <c r="B1511" t="s">
        <v>7258</v>
      </c>
      <c r="C1511" s="713" t="s">
        <v>9409</v>
      </c>
      <c r="D1511" s="713" t="s">
        <v>34</v>
      </c>
      <c r="E1511" s="713" t="s">
        <v>7442</v>
      </c>
    </row>
    <row r="1512" spans="2:5" x14ac:dyDescent="0.2">
      <c r="B1512" t="s">
        <v>7259</v>
      </c>
      <c r="C1512" s="713" t="s">
        <v>9410</v>
      </c>
      <c r="D1512" s="713" t="s">
        <v>34</v>
      </c>
      <c r="E1512" s="713" t="s">
        <v>9411</v>
      </c>
    </row>
    <row r="1513" spans="2:5" x14ac:dyDescent="0.2">
      <c r="B1513" t="s">
        <v>7260</v>
      </c>
      <c r="C1513" s="713" t="s">
        <v>9412</v>
      </c>
      <c r="D1513" s="713" t="s">
        <v>34</v>
      </c>
      <c r="E1513" s="713" t="s">
        <v>9091</v>
      </c>
    </row>
    <row r="1514" spans="2:5" x14ac:dyDescent="0.2">
      <c r="B1514" t="s">
        <v>7261</v>
      </c>
      <c r="C1514" s="713" t="s">
        <v>9413</v>
      </c>
      <c r="D1514" s="713" t="s">
        <v>34</v>
      </c>
      <c r="E1514" s="713" t="s">
        <v>9414</v>
      </c>
    </row>
    <row r="1515" spans="2:5" x14ac:dyDescent="0.2">
      <c r="B1515" t="s">
        <v>7262</v>
      </c>
      <c r="C1515" s="713" t="s">
        <v>9415</v>
      </c>
      <c r="D1515" s="713" t="s">
        <v>34</v>
      </c>
      <c r="E1515" s="713" t="s">
        <v>9416</v>
      </c>
    </row>
    <row r="1516" spans="2:5" x14ac:dyDescent="0.2">
      <c r="B1516" t="s">
        <v>7263</v>
      </c>
      <c r="C1516" s="713" t="s">
        <v>9417</v>
      </c>
      <c r="D1516" s="713" t="s">
        <v>34</v>
      </c>
      <c r="E1516" s="713" t="s">
        <v>7538</v>
      </c>
    </row>
    <row r="1517" spans="2:5" x14ac:dyDescent="0.2">
      <c r="B1517" t="s">
        <v>7264</v>
      </c>
      <c r="C1517" s="713" t="s">
        <v>9418</v>
      </c>
      <c r="D1517" s="713" t="s">
        <v>34</v>
      </c>
      <c r="E1517" s="713" t="s">
        <v>9419</v>
      </c>
    </row>
    <row r="1518" spans="2:5" x14ac:dyDescent="0.2">
      <c r="B1518" t="s">
        <v>7265</v>
      </c>
      <c r="C1518" s="713" t="s">
        <v>9420</v>
      </c>
      <c r="D1518" s="713" t="s">
        <v>34</v>
      </c>
      <c r="E1518" s="713" t="s">
        <v>8413</v>
      </c>
    </row>
    <row r="1519" spans="2:5" x14ac:dyDescent="0.2">
      <c r="B1519" t="s">
        <v>7266</v>
      </c>
      <c r="C1519" s="713" t="s">
        <v>9421</v>
      </c>
      <c r="D1519" s="713" t="s">
        <v>34</v>
      </c>
      <c r="E1519" s="713" t="s">
        <v>7538</v>
      </c>
    </row>
    <row r="1520" spans="2:5" x14ac:dyDescent="0.2">
      <c r="B1520" t="s">
        <v>7267</v>
      </c>
      <c r="C1520" s="713" t="s">
        <v>9422</v>
      </c>
      <c r="D1520" s="713" t="s">
        <v>34</v>
      </c>
      <c r="E1520" s="713" t="s">
        <v>7454</v>
      </c>
    </row>
    <row r="1521" spans="2:5" x14ac:dyDescent="0.2">
      <c r="B1521" t="s">
        <v>7268</v>
      </c>
      <c r="C1521" s="713" t="s">
        <v>9423</v>
      </c>
      <c r="D1521" s="713" t="s">
        <v>34</v>
      </c>
      <c r="E1521" s="713" t="s">
        <v>7614</v>
      </c>
    </row>
    <row r="1522" spans="2:5" x14ac:dyDescent="0.2">
      <c r="B1522" t="s">
        <v>7269</v>
      </c>
      <c r="C1522" s="713" t="s">
        <v>9424</v>
      </c>
      <c r="D1522" s="713" t="s">
        <v>34</v>
      </c>
      <c r="E1522" s="713" t="s">
        <v>7458</v>
      </c>
    </row>
    <row r="1523" spans="2:5" x14ac:dyDescent="0.2">
      <c r="B1523" t="s">
        <v>7270</v>
      </c>
      <c r="C1523" s="713" t="s">
        <v>9425</v>
      </c>
      <c r="D1523" s="713" t="s">
        <v>34</v>
      </c>
      <c r="E1523" s="713" t="s">
        <v>7992</v>
      </c>
    </row>
    <row r="1524" spans="2:5" x14ac:dyDescent="0.2">
      <c r="B1524" t="s">
        <v>7271</v>
      </c>
      <c r="C1524" s="713" t="s">
        <v>9426</v>
      </c>
      <c r="D1524" s="713" t="s">
        <v>34</v>
      </c>
      <c r="E1524" s="713" t="s">
        <v>8255</v>
      </c>
    </row>
    <row r="1525" spans="2:5" x14ac:dyDescent="0.2">
      <c r="B1525" t="s">
        <v>7272</v>
      </c>
      <c r="C1525" s="713" t="s">
        <v>9427</v>
      </c>
      <c r="D1525" s="713" t="s">
        <v>34</v>
      </c>
      <c r="E1525" s="713" t="s">
        <v>9428</v>
      </c>
    </row>
    <row r="1526" spans="2:5" x14ac:dyDescent="0.2">
      <c r="B1526" t="s">
        <v>7273</v>
      </c>
      <c r="C1526" s="713" t="s">
        <v>9429</v>
      </c>
      <c r="D1526" s="713" t="s">
        <v>34</v>
      </c>
      <c r="E1526" s="713" t="s">
        <v>7741</v>
      </c>
    </row>
    <row r="1527" spans="2:5" x14ac:dyDescent="0.2">
      <c r="B1527" t="s">
        <v>7274</v>
      </c>
      <c r="C1527" s="713" t="s">
        <v>9430</v>
      </c>
      <c r="D1527" s="713" t="s">
        <v>34</v>
      </c>
      <c r="E1527" s="713" t="s">
        <v>7564</v>
      </c>
    </row>
    <row r="1528" spans="2:5" x14ac:dyDescent="0.2">
      <c r="B1528" t="s">
        <v>7275</v>
      </c>
      <c r="C1528" s="713" t="s">
        <v>9431</v>
      </c>
      <c r="D1528" s="713" t="s">
        <v>34</v>
      </c>
      <c r="E1528" s="713" t="s">
        <v>9432</v>
      </c>
    </row>
    <row r="1529" spans="2:5" x14ac:dyDescent="0.2">
      <c r="B1529" t="s">
        <v>7276</v>
      </c>
      <c r="C1529" s="713" t="s">
        <v>9433</v>
      </c>
      <c r="D1529" s="713" t="s">
        <v>34</v>
      </c>
      <c r="E1529" s="713" t="s">
        <v>7420</v>
      </c>
    </row>
    <row r="1530" spans="2:5" x14ac:dyDescent="0.2">
      <c r="B1530" t="s">
        <v>7277</v>
      </c>
      <c r="C1530" s="713" t="s">
        <v>9434</v>
      </c>
      <c r="D1530" s="713" t="s">
        <v>34</v>
      </c>
      <c r="E1530" s="713" t="s">
        <v>7418</v>
      </c>
    </row>
    <row r="1531" spans="2:5" x14ac:dyDescent="0.2">
      <c r="B1531" t="s">
        <v>7278</v>
      </c>
      <c r="C1531" s="713" t="s">
        <v>9435</v>
      </c>
      <c r="D1531" s="713" t="s">
        <v>34</v>
      </c>
      <c r="E1531" s="713" t="s">
        <v>9436</v>
      </c>
    </row>
    <row r="1532" spans="2:5" x14ac:dyDescent="0.2">
      <c r="B1532" t="s">
        <v>7279</v>
      </c>
      <c r="C1532" s="713" t="s">
        <v>9437</v>
      </c>
      <c r="D1532" s="713" t="s">
        <v>34</v>
      </c>
      <c r="E1532" s="713" t="s">
        <v>7520</v>
      </c>
    </row>
    <row r="1533" spans="2:5" x14ac:dyDescent="0.2">
      <c r="B1533" t="s">
        <v>7280</v>
      </c>
      <c r="C1533" s="713" t="s">
        <v>9438</v>
      </c>
      <c r="D1533" s="713" t="s">
        <v>34</v>
      </c>
      <c r="E1533" s="713" t="s">
        <v>9439</v>
      </c>
    </row>
    <row r="1534" spans="2:5" x14ac:dyDescent="0.2">
      <c r="B1534" t="s">
        <v>7281</v>
      </c>
      <c r="C1534" s="713" t="s">
        <v>9440</v>
      </c>
      <c r="D1534" s="713" t="s">
        <v>34</v>
      </c>
      <c r="E1534" s="713" t="s">
        <v>7458</v>
      </c>
    </row>
    <row r="1535" spans="2:5" x14ac:dyDescent="0.2">
      <c r="B1535" t="s">
        <v>7282</v>
      </c>
      <c r="C1535" s="713" t="s">
        <v>9441</v>
      </c>
      <c r="D1535" s="713" t="s">
        <v>34</v>
      </c>
      <c r="E1535" s="713" t="s">
        <v>7394</v>
      </c>
    </row>
    <row r="1536" spans="2:5" x14ac:dyDescent="0.2">
      <c r="B1536" t="s">
        <v>7283</v>
      </c>
      <c r="C1536" s="713" t="s">
        <v>9442</v>
      </c>
      <c r="D1536" s="713" t="s">
        <v>34</v>
      </c>
      <c r="E1536" s="713" t="s">
        <v>7721</v>
      </c>
    </row>
    <row r="1537" spans="2:5" x14ac:dyDescent="0.2">
      <c r="B1537" t="s">
        <v>7284</v>
      </c>
      <c r="C1537" s="713" t="s">
        <v>9443</v>
      </c>
      <c r="D1537" s="713" t="s">
        <v>34</v>
      </c>
      <c r="E1537" s="713" t="s">
        <v>7442</v>
      </c>
    </row>
    <row r="1538" spans="2:5" x14ac:dyDescent="0.2">
      <c r="B1538" t="s">
        <v>7285</v>
      </c>
      <c r="C1538" s="713" t="s">
        <v>9444</v>
      </c>
      <c r="D1538" s="713" t="s">
        <v>34</v>
      </c>
      <c r="E1538" s="713" t="s">
        <v>7416</v>
      </c>
    </row>
    <row r="1539" spans="2:5" x14ac:dyDescent="0.2">
      <c r="B1539" t="s">
        <v>7286</v>
      </c>
      <c r="C1539" s="713" t="s">
        <v>9445</v>
      </c>
      <c r="D1539" s="713" t="s">
        <v>34</v>
      </c>
      <c r="E1539" s="713" t="s">
        <v>7412</v>
      </c>
    </row>
    <row r="1540" spans="2:5" x14ac:dyDescent="0.2">
      <c r="B1540" t="s">
        <v>7287</v>
      </c>
      <c r="C1540" s="713" t="s">
        <v>9446</v>
      </c>
      <c r="D1540" s="713" t="s">
        <v>34</v>
      </c>
      <c r="E1540" s="713" t="s">
        <v>7410</v>
      </c>
    </row>
    <row r="1541" spans="2:5" x14ac:dyDescent="0.2">
      <c r="B1541" t="s">
        <v>7288</v>
      </c>
      <c r="C1541" s="713" t="s">
        <v>9447</v>
      </c>
      <c r="D1541" s="713" t="s">
        <v>34</v>
      </c>
      <c r="E1541" s="713" t="s">
        <v>7587</v>
      </c>
    </row>
    <row r="1542" spans="2:5" x14ac:dyDescent="0.2">
      <c r="B1542" t="s">
        <v>7289</v>
      </c>
      <c r="C1542" s="713" t="s">
        <v>9448</v>
      </c>
      <c r="D1542" s="713" t="s">
        <v>34</v>
      </c>
      <c r="E1542" s="713" t="s">
        <v>7992</v>
      </c>
    </row>
    <row r="1543" spans="2:5" x14ac:dyDescent="0.2">
      <c r="B1543" t="s">
        <v>7290</v>
      </c>
      <c r="C1543" s="713" t="s">
        <v>9449</v>
      </c>
      <c r="D1543" s="713" t="s">
        <v>34</v>
      </c>
      <c r="E1543" s="713" t="s">
        <v>7442</v>
      </c>
    </row>
    <row r="1544" spans="2:5" x14ac:dyDescent="0.2">
      <c r="B1544" t="s">
        <v>7291</v>
      </c>
      <c r="C1544" s="713" t="s">
        <v>9450</v>
      </c>
      <c r="D1544" s="713" t="s">
        <v>34</v>
      </c>
      <c r="E1544" s="713" t="s">
        <v>7454</v>
      </c>
    </row>
    <row r="1545" spans="2:5" x14ac:dyDescent="0.2">
      <c r="B1545" t="s">
        <v>7292</v>
      </c>
      <c r="C1545" s="713" t="s">
        <v>9451</v>
      </c>
      <c r="D1545" s="713" t="s">
        <v>34</v>
      </c>
      <c r="E1545" s="713" t="s">
        <v>8840</v>
      </c>
    </row>
    <row r="1546" spans="2:5" x14ac:dyDescent="0.2">
      <c r="B1546" t="s">
        <v>7293</v>
      </c>
      <c r="C1546" s="713" t="s">
        <v>9452</v>
      </c>
      <c r="D1546" s="713" t="s">
        <v>34</v>
      </c>
      <c r="E1546" s="713" t="s">
        <v>8512</v>
      </c>
    </row>
    <row r="1547" spans="2:5" x14ac:dyDescent="0.2">
      <c r="B1547" t="s">
        <v>7294</v>
      </c>
      <c r="C1547" s="713" t="s">
        <v>9453</v>
      </c>
      <c r="D1547" s="713" t="s">
        <v>34</v>
      </c>
      <c r="E1547" s="713" t="s">
        <v>7412</v>
      </c>
    </row>
    <row r="1548" spans="2:5" x14ac:dyDescent="0.2">
      <c r="B1548" t="s">
        <v>7295</v>
      </c>
      <c r="C1548" s="713" t="s">
        <v>9454</v>
      </c>
      <c r="D1548" s="713" t="s">
        <v>34</v>
      </c>
      <c r="E1548" s="713" t="s">
        <v>7741</v>
      </c>
    </row>
    <row r="1549" spans="2:5" x14ac:dyDescent="0.2">
      <c r="B1549" t="s">
        <v>7296</v>
      </c>
      <c r="C1549" s="713" t="s">
        <v>9455</v>
      </c>
      <c r="D1549" s="713" t="s">
        <v>34</v>
      </c>
      <c r="E1549" s="713" t="s">
        <v>7869</v>
      </c>
    </row>
    <row r="1550" spans="2:5" x14ac:dyDescent="0.2">
      <c r="B1550" t="s">
        <v>7297</v>
      </c>
      <c r="C1550" s="713" t="s">
        <v>9456</v>
      </c>
      <c r="D1550" s="713" t="s">
        <v>34</v>
      </c>
      <c r="E1550" s="713" t="s">
        <v>9457</v>
      </c>
    </row>
    <row r="1551" spans="2:5" x14ac:dyDescent="0.2">
      <c r="B1551" t="s">
        <v>7298</v>
      </c>
      <c r="C1551" s="713"/>
      <c r="D1551" s="713" t="s">
        <v>34</v>
      </c>
      <c r="E1551" s="713" t="s">
        <v>7412</v>
      </c>
    </row>
    <row r="1552" spans="2:5" x14ac:dyDescent="0.2">
      <c r="B1552" t="s">
        <v>7299</v>
      </c>
      <c r="C1552" s="713" t="s">
        <v>9458</v>
      </c>
      <c r="D1552" s="713" t="s">
        <v>34</v>
      </c>
      <c r="E1552" s="713" t="s">
        <v>8392</v>
      </c>
    </row>
    <row r="1553" spans="2:5" x14ac:dyDescent="0.2">
      <c r="B1553" t="s">
        <v>7300</v>
      </c>
      <c r="C1553" s="713" t="s">
        <v>9459</v>
      </c>
      <c r="D1553" s="713" t="s">
        <v>34</v>
      </c>
      <c r="E1553" s="713" t="s">
        <v>7992</v>
      </c>
    </row>
    <row r="1554" spans="2:5" x14ac:dyDescent="0.2">
      <c r="B1554" t="s">
        <v>7301</v>
      </c>
      <c r="C1554" s="713" t="s">
        <v>9460</v>
      </c>
      <c r="D1554" s="713" t="s">
        <v>34</v>
      </c>
      <c r="E1554" s="713" t="s">
        <v>9461</v>
      </c>
    </row>
    <row r="1555" spans="2:5" x14ac:dyDescent="0.2">
      <c r="B1555" t="s">
        <v>7302</v>
      </c>
      <c r="C1555" s="713" t="s">
        <v>9462</v>
      </c>
      <c r="D1555" s="713" t="s">
        <v>34</v>
      </c>
      <c r="E1555" s="713" t="s">
        <v>7667</v>
      </c>
    </row>
    <row r="1556" spans="2:5" x14ac:dyDescent="0.2">
      <c r="B1556" t="s">
        <v>7303</v>
      </c>
      <c r="C1556" s="713" t="s">
        <v>9463</v>
      </c>
      <c r="D1556" s="713" t="s">
        <v>34</v>
      </c>
      <c r="E1556" s="713" t="s">
        <v>7404</v>
      </c>
    </row>
    <row r="1557" spans="2:5" x14ac:dyDescent="0.2">
      <c r="B1557" t="s">
        <v>7304</v>
      </c>
      <c r="C1557" s="713" t="s">
        <v>9464</v>
      </c>
      <c r="D1557" s="713" t="s">
        <v>34</v>
      </c>
      <c r="E1557" s="713" t="s">
        <v>7442</v>
      </c>
    </row>
    <row r="1558" spans="2:5" x14ac:dyDescent="0.2">
      <c r="B1558" t="s">
        <v>7305</v>
      </c>
      <c r="C1558" s="713" t="s">
        <v>9465</v>
      </c>
      <c r="D1558" s="713" t="s">
        <v>34</v>
      </c>
      <c r="E1558" s="713" t="s">
        <v>9466</v>
      </c>
    </row>
    <row r="1559" spans="2:5" x14ac:dyDescent="0.2">
      <c r="B1559" t="s">
        <v>7306</v>
      </c>
      <c r="C1559" s="713" t="s">
        <v>9467</v>
      </c>
      <c r="D1559" s="713" t="s">
        <v>34</v>
      </c>
      <c r="E1559" s="713" t="s">
        <v>7614</v>
      </c>
    </row>
    <row r="1560" spans="2:5" x14ac:dyDescent="0.2">
      <c r="B1560" t="s">
        <v>7307</v>
      </c>
      <c r="C1560" s="713" t="s">
        <v>9468</v>
      </c>
      <c r="D1560" s="713" t="s">
        <v>34</v>
      </c>
      <c r="E1560" s="713" t="s">
        <v>9469</v>
      </c>
    </row>
    <row r="1561" spans="2:5" x14ac:dyDescent="0.2">
      <c r="B1561" t="s">
        <v>7308</v>
      </c>
      <c r="C1561" s="713" t="s">
        <v>9470</v>
      </c>
      <c r="D1561" s="713" t="s">
        <v>34</v>
      </c>
      <c r="E1561" s="713" t="s">
        <v>9249</v>
      </c>
    </row>
    <row r="1562" spans="2:5" x14ac:dyDescent="0.2">
      <c r="B1562" t="s">
        <v>7309</v>
      </c>
      <c r="C1562" s="713" t="s">
        <v>7550</v>
      </c>
      <c r="D1562" s="713" t="s">
        <v>34</v>
      </c>
      <c r="E1562" s="713" t="s">
        <v>7551</v>
      </c>
    </row>
    <row r="1563" spans="2:5" x14ac:dyDescent="0.2">
      <c r="B1563" t="s">
        <v>7310</v>
      </c>
      <c r="C1563" s="713" t="s">
        <v>9471</v>
      </c>
      <c r="D1563" s="713" t="s">
        <v>34</v>
      </c>
      <c r="E1563" s="713" t="s">
        <v>9472</v>
      </c>
    </row>
    <row r="1564" spans="2:5" x14ac:dyDescent="0.2">
      <c r="B1564" t="s">
        <v>7311</v>
      </c>
      <c r="C1564" s="713" t="s">
        <v>9473</v>
      </c>
      <c r="D1564" s="713" t="s">
        <v>34</v>
      </c>
      <c r="E1564" s="713" t="s">
        <v>9474</v>
      </c>
    </row>
    <row r="1565" spans="2:5" x14ac:dyDescent="0.2">
      <c r="B1565" t="s">
        <v>7312</v>
      </c>
      <c r="C1565" s="713" t="s">
        <v>9475</v>
      </c>
      <c r="D1565" s="713" t="s">
        <v>34</v>
      </c>
      <c r="E1565" s="713" t="s">
        <v>7495</v>
      </c>
    </row>
    <row r="1566" spans="2:5" x14ac:dyDescent="0.2">
      <c r="B1566" t="s">
        <v>7313</v>
      </c>
      <c r="C1566" s="713" t="s">
        <v>9476</v>
      </c>
      <c r="D1566" s="713" t="s">
        <v>34</v>
      </c>
      <c r="E1566" s="713" t="s">
        <v>7396</v>
      </c>
    </row>
    <row r="1567" spans="2:5" x14ac:dyDescent="0.2">
      <c r="B1567" t="s">
        <v>7314</v>
      </c>
      <c r="C1567" s="713" t="s">
        <v>9477</v>
      </c>
      <c r="D1567" s="713" t="s">
        <v>34</v>
      </c>
      <c r="E1567" s="713" t="s">
        <v>7458</v>
      </c>
    </row>
    <row r="1568" spans="2:5" x14ac:dyDescent="0.2">
      <c r="B1568" t="s">
        <v>7315</v>
      </c>
      <c r="C1568" s="713" t="s">
        <v>9478</v>
      </c>
      <c r="D1568" s="713" t="s">
        <v>34</v>
      </c>
      <c r="E1568" s="713" t="s">
        <v>7410</v>
      </c>
    </row>
    <row r="1569" spans="2:5" x14ac:dyDescent="0.2">
      <c r="B1569" t="s">
        <v>7316</v>
      </c>
      <c r="C1569" s="713" t="s">
        <v>9479</v>
      </c>
      <c r="D1569" s="713" t="s">
        <v>34</v>
      </c>
      <c r="E1569" s="713" t="s">
        <v>7538</v>
      </c>
    </row>
    <row r="1570" spans="2:5" x14ac:dyDescent="0.2">
      <c r="B1570" t="s">
        <v>7317</v>
      </c>
      <c r="C1570" s="713" t="s">
        <v>9480</v>
      </c>
      <c r="D1570" s="713" t="s">
        <v>34</v>
      </c>
      <c r="E1570" s="713" t="s">
        <v>9481</v>
      </c>
    </row>
    <row r="1571" spans="2:5" x14ac:dyDescent="0.2">
      <c r="B1571" t="s">
        <v>7318</v>
      </c>
      <c r="C1571" s="713" t="s">
        <v>9482</v>
      </c>
      <c r="D1571" s="713" t="s">
        <v>34</v>
      </c>
      <c r="E1571" s="713" t="s">
        <v>7524</v>
      </c>
    </row>
    <row r="1572" spans="2:5" x14ac:dyDescent="0.2">
      <c r="B1572" t="s">
        <v>7319</v>
      </c>
      <c r="C1572" s="713" t="s">
        <v>9483</v>
      </c>
      <c r="D1572" s="713" t="s">
        <v>34</v>
      </c>
      <c r="E1572" s="713" t="s">
        <v>7520</v>
      </c>
    </row>
    <row r="1573" spans="2:5" x14ac:dyDescent="0.2">
      <c r="B1573" t="s">
        <v>7320</v>
      </c>
      <c r="C1573" s="713" t="s">
        <v>9484</v>
      </c>
      <c r="D1573" s="713" t="s">
        <v>34</v>
      </c>
      <c r="E1573" s="713" t="s">
        <v>9485</v>
      </c>
    </row>
    <row r="1574" spans="2:5" x14ac:dyDescent="0.2">
      <c r="B1574" t="s">
        <v>7321</v>
      </c>
      <c r="C1574" s="713" t="s">
        <v>9486</v>
      </c>
      <c r="D1574" s="713" t="s">
        <v>34</v>
      </c>
      <c r="E1574" s="713" t="s">
        <v>7721</v>
      </c>
    </row>
    <row r="1575" spans="2:5" x14ac:dyDescent="0.2">
      <c r="B1575" t="s">
        <v>7322</v>
      </c>
      <c r="C1575" s="713" t="s">
        <v>9487</v>
      </c>
      <c r="D1575" s="713" t="s">
        <v>34</v>
      </c>
      <c r="E1575" s="713" t="s">
        <v>9428</v>
      </c>
    </row>
    <row r="1576" spans="2:5" x14ac:dyDescent="0.2">
      <c r="B1576" t="s">
        <v>7323</v>
      </c>
      <c r="C1576" s="713" t="s">
        <v>9488</v>
      </c>
      <c r="D1576" s="713" t="s">
        <v>34</v>
      </c>
      <c r="E1576" s="713" t="s">
        <v>7644</v>
      </c>
    </row>
    <row r="1577" spans="2:5" x14ac:dyDescent="0.2">
      <c r="B1577" t="s">
        <v>7324</v>
      </c>
      <c r="C1577" s="713" t="s">
        <v>9489</v>
      </c>
      <c r="D1577" s="713" t="s">
        <v>34</v>
      </c>
      <c r="E1577" s="713" t="s">
        <v>7520</v>
      </c>
    </row>
    <row r="1578" spans="2:5" x14ac:dyDescent="0.2">
      <c r="B1578" t="s">
        <v>7325</v>
      </c>
      <c r="C1578" s="713" t="s">
        <v>9490</v>
      </c>
      <c r="D1578" s="713" t="s">
        <v>34</v>
      </c>
      <c r="E1578" s="713" t="s">
        <v>7577</v>
      </c>
    </row>
    <row r="1579" spans="2:5" x14ac:dyDescent="0.2">
      <c r="B1579" t="s">
        <v>7326</v>
      </c>
      <c r="C1579" s="713" t="s">
        <v>9491</v>
      </c>
      <c r="D1579" s="713" t="s">
        <v>34</v>
      </c>
      <c r="E1579" s="713" t="s">
        <v>9492</v>
      </c>
    </row>
    <row r="1580" spans="2:5" x14ac:dyDescent="0.2">
      <c r="B1580" t="s">
        <v>7327</v>
      </c>
      <c r="C1580" s="713" t="s">
        <v>9493</v>
      </c>
      <c r="D1580" s="713" t="s">
        <v>34</v>
      </c>
      <c r="E1580" s="713" t="s">
        <v>7538</v>
      </c>
    </row>
    <row r="1581" spans="2:5" x14ac:dyDescent="0.2">
      <c r="B1581" t="s">
        <v>7328</v>
      </c>
      <c r="C1581" s="713" t="s">
        <v>9494</v>
      </c>
      <c r="D1581" s="713" t="s">
        <v>34</v>
      </c>
      <c r="E1581" s="713" t="s">
        <v>7734</v>
      </c>
    </row>
    <row r="1582" spans="2:5" x14ac:dyDescent="0.2">
      <c r="B1582" t="s">
        <v>7329</v>
      </c>
      <c r="C1582" s="713" t="s">
        <v>9495</v>
      </c>
      <c r="D1582" s="713" t="s">
        <v>34</v>
      </c>
      <c r="E1582" s="713" t="s">
        <v>7396</v>
      </c>
    </row>
    <row r="1583" spans="2:5" x14ac:dyDescent="0.2">
      <c r="B1583" t="s">
        <v>7330</v>
      </c>
      <c r="C1583" s="713" t="s">
        <v>9496</v>
      </c>
      <c r="D1583" s="713" t="s">
        <v>34</v>
      </c>
      <c r="E1583" s="713" t="s">
        <v>9497</v>
      </c>
    </row>
    <row r="1584" spans="2:5" x14ac:dyDescent="0.2">
      <c r="B1584" t="s">
        <v>7331</v>
      </c>
      <c r="C1584" s="713" t="s">
        <v>9498</v>
      </c>
      <c r="D1584" s="713" t="s">
        <v>34</v>
      </c>
      <c r="E1584" s="713" t="s">
        <v>7524</v>
      </c>
    </row>
    <row r="1585" spans="2:5" x14ac:dyDescent="0.2">
      <c r="B1585" t="s">
        <v>7332</v>
      </c>
      <c r="C1585" s="713" t="s">
        <v>9499</v>
      </c>
      <c r="D1585" s="713" t="s">
        <v>34</v>
      </c>
      <c r="E1585" s="713" t="s">
        <v>7674</v>
      </c>
    </row>
    <row r="1586" spans="2:5" x14ac:dyDescent="0.2">
      <c r="B1586" t="s">
        <v>7333</v>
      </c>
      <c r="C1586" s="713" t="s">
        <v>9500</v>
      </c>
      <c r="D1586" s="713" t="s">
        <v>34</v>
      </c>
      <c r="E1586" s="713" t="s">
        <v>9501</v>
      </c>
    </row>
    <row r="1587" spans="2:5" x14ac:dyDescent="0.2">
      <c r="B1587" t="s">
        <v>7334</v>
      </c>
      <c r="C1587" s="713" t="s">
        <v>9502</v>
      </c>
      <c r="D1587" s="713" t="s">
        <v>34</v>
      </c>
      <c r="E1587" s="713" t="s">
        <v>9503</v>
      </c>
    </row>
    <row r="1588" spans="2:5" x14ac:dyDescent="0.2">
      <c r="B1588" t="s">
        <v>7335</v>
      </c>
      <c r="C1588" s="713" t="s">
        <v>9504</v>
      </c>
      <c r="D1588" s="713" t="s">
        <v>34</v>
      </c>
      <c r="E1588" s="713" t="s">
        <v>8197</v>
      </c>
    </row>
    <row r="1589" spans="2:5" x14ac:dyDescent="0.2">
      <c r="B1589" t="s">
        <v>7336</v>
      </c>
      <c r="C1589" s="713" t="s">
        <v>9505</v>
      </c>
      <c r="D1589" s="713" t="s">
        <v>34</v>
      </c>
      <c r="E1589" s="713" t="s">
        <v>7564</v>
      </c>
    </row>
    <row r="1590" spans="2:5" x14ac:dyDescent="0.2">
      <c r="B1590" t="s">
        <v>7337</v>
      </c>
      <c r="C1590" s="713" t="s">
        <v>9506</v>
      </c>
      <c r="D1590" s="713" t="s">
        <v>34</v>
      </c>
      <c r="E1590" s="713" t="s">
        <v>8637</v>
      </c>
    </row>
    <row r="1591" spans="2:5" x14ac:dyDescent="0.2">
      <c r="B1591" t="s">
        <v>7338</v>
      </c>
      <c r="C1591" s="713" t="s">
        <v>9507</v>
      </c>
      <c r="D1591" s="713" t="s">
        <v>34</v>
      </c>
      <c r="E1591" s="713" t="s">
        <v>9508</v>
      </c>
    </row>
    <row r="1592" spans="2:5" x14ac:dyDescent="0.2">
      <c r="B1592" t="s">
        <v>7339</v>
      </c>
      <c r="C1592" s="713" t="s">
        <v>9509</v>
      </c>
      <c r="D1592" s="713" t="s">
        <v>34</v>
      </c>
      <c r="E1592" s="713" t="s">
        <v>7418</v>
      </c>
    </row>
    <row r="1593" spans="2:5" x14ac:dyDescent="0.2">
      <c r="B1593" t="s">
        <v>7340</v>
      </c>
      <c r="C1593" s="713" t="s">
        <v>9510</v>
      </c>
      <c r="D1593" s="713" t="s">
        <v>9511</v>
      </c>
      <c r="E1593" s="713" t="s">
        <v>9512</v>
      </c>
    </row>
    <row r="1594" spans="2:5" x14ac:dyDescent="0.2">
      <c r="B1594" t="s">
        <v>7341</v>
      </c>
      <c r="C1594" s="713" t="s">
        <v>9513</v>
      </c>
      <c r="D1594" s="713" t="s">
        <v>34</v>
      </c>
      <c r="E1594" s="713" t="s">
        <v>7442</v>
      </c>
    </row>
    <row r="1595" spans="2:5" x14ac:dyDescent="0.2">
      <c r="B1595" t="s">
        <v>7342</v>
      </c>
      <c r="C1595" s="713" t="s">
        <v>9514</v>
      </c>
      <c r="D1595" s="713" t="s">
        <v>34</v>
      </c>
      <c r="E1595" s="713" t="s">
        <v>7644</v>
      </c>
    </row>
    <row r="1596" spans="2:5" x14ac:dyDescent="0.2">
      <c r="B1596" t="s">
        <v>7343</v>
      </c>
      <c r="C1596" s="713" t="s">
        <v>9515</v>
      </c>
      <c r="D1596" s="713" t="s">
        <v>34</v>
      </c>
      <c r="E1596" s="713" t="s">
        <v>7546</v>
      </c>
    </row>
    <row r="1597" spans="2:5" x14ac:dyDescent="0.2">
      <c r="B1597" t="s">
        <v>7344</v>
      </c>
      <c r="C1597" s="713" t="s">
        <v>9516</v>
      </c>
      <c r="D1597" s="713" t="s">
        <v>34</v>
      </c>
      <c r="E1597" s="713" t="s">
        <v>7546</v>
      </c>
    </row>
    <row r="1598" spans="2:5" x14ac:dyDescent="0.2">
      <c r="B1598" t="s">
        <v>7345</v>
      </c>
      <c r="C1598" s="713" t="s">
        <v>9517</v>
      </c>
      <c r="D1598" s="713" t="s">
        <v>34</v>
      </c>
      <c r="E1598" s="713" t="s">
        <v>9518</v>
      </c>
    </row>
    <row r="1599" spans="2:5" x14ac:dyDescent="0.2">
      <c r="B1599" t="s">
        <v>7346</v>
      </c>
      <c r="C1599" s="713" t="s">
        <v>9519</v>
      </c>
      <c r="D1599" s="713" t="s">
        <v>34</v>
      </c>
      <c r="E1599" s="713" t="s">
        <v>8187</v>
      </c>
    </row>
    <row r="1600" spans="2:5" x14ac:dyDescent="0.2">
      <c r="B1600" t="s">
        <v>7347</v>
      </c>
      <c r="C1600" s="713" t="s">
        <v>9520</v>
      </c>
      <c r="D1600" s="713" t="s">
        <v>34</v>
      </c>
      <c r="E1600" s="713" t="s">
        <v>9521</v>
      </c>
    </row>
    <row r="1601" spans="2:5" x14ac:dyDescent="0.2">
      <c r="B1601" t="s">
        <v>7348</v>
      </c>
      <c r="C1601" s="713" t="s">
        <v>9522</v>
      </c>
      <c r="D1601" s="713" t="s">
        <v>34</v>
      </c>
      <c r="E1601" s="713" t="s">
        <v>9523</v>
      </c>
    </row>
    <row r="1602" spans="2:5" x14ac:dyDescent="0.2">
      <c r="B1602" t="s">
        <v>7349</v>
      </c>
      <c r="C1602" s="713" t="s">
        <v>9524</v>
      </c>
      <c r="D1602" s="713" t="s">
        <v>34</v>
      </c>
      <c r="E1602" s="713" t="s">
        <v>9525</v>
      </c>
    </row>
    <row r="1603" spans="2:5" x14ac:dyDescent="0.2">
      <c r="B1603" t="s">
        <v>7350</v>
      </c>
      <c r="C1603" s="713" t="s">
        <v>9526</v>
      </c>
      <c r="D1603" s="713" t="s">
        <v>34</v>
      </c>
      <c r="E1603" s="713" t="s">
        <v>7520</v>
      </c>
    </row>
    <row r="1604" spans="2:5" x14ac:dyDescent="0.2">
      <c r="B1604" t="s">
        <v>7351</v>
      </c>
      <c r="C1604" s="713" t="s">
        <v>9527</v>
      </c>
      <c r="D1604" s="713" t="s">
        <v>34</v>
      </c>
      <c r="E1604" s="713" t="s">
        <v>9528</v>
      </c>
    </row>
    <row r="1605" spans="2:5" x14ac:dyDescent="0.2">
      <c r="B1605" t="s">
        <v>7352</v>
      </c>
      <c r="C1605" s="713" t="s">
        <v>9529</v>
      </c>
      <c r="D1605" s="713" t="s">
        <v>34</v>
      </c>
      <c r="E1605" s="713" t="s">
        <v>9530</v>
      </c>
    </row>
    <row r="1606" spans="2:5" x14ac:dyDescent="0.2">
      <c r="B1606" t="s">
        <v>7353</v>
      </c>
      <c r="C1606" s="713" t="s">
        <v>9531</v>
      </c>
      <c r="D1606" s="713" t="s">
        <v>34</v>
      </c>
      <c r="E1606" s="713" t="s">
        <v>9532</v>
      </c>
    </row>
    <row r="1607" spans="2:5" x14ac:dyDescent="0.2">
      <c r="B1607" t="s">
        <v>7354</v>
      </c>
      <c r="C1607" s="713" t="s">
        <v>9533</v>
      </c>
      <c r="D1607" s="713" t="s">
        <v>34</v>
      </c>
      <c r="E1607" s="713" t="s">
        <v>7418</v>
      </c>
    </row>
    <row r="1608" spans="2:5" x14ac:dyDescent="0.2">
      <c r="B1608" t="s">
        <v>7355</v>
      </c>
      <c r="C1608" s="713" t="s">
        <v>8454</v>
      </c>
      <c r="D1608" s="713" t="s">
        <v>34</v>
      </c>
      <c r="E1608" s="713" t="s">
        <v>8455</v>
      </c>
    </row>
    <row r="1609" spans="2:5" x14ac:dyDescent="0.2">
      <c r="B1609" t="s">
        <v>7356</v>
      </c>
      <c r="C1609" s="713" t="s">
        <v>9534</v>
      </c>
      <c r="D1609" s="713" t="s">
        <v>34</v>
      </c>
      <c r="E1609" s="713" t="s">
        <v>9535</v>
      </c>
    </row>
    <row r="1610" spans="2:5" x14ac:dyDescent="0.2">
      <c r="B1610" t="s">
        <v>7357</v>
      </c>
      <c r="C1610" s="713" t="s">
        <v>9536</v>
      </c>
      <c r="D1610" s="713" t="s">
        <v>34</v>
      </c>
      <c r="E1610" s="713" t="s">
        <v>9523</v>
      </c>
    </row>
    <row r="1611" spans="2:5" x14ac:dyDescent="0.2">
      <c r="B1611" t="s">
        <v>7358</v>
      </c>
      <c r="C1611" s="713" t="s">
        <v>9537</v>
      </c>
      <c r="D1611" s="713" t="s">
        <v>34</v>
      </c>
      <c r="E1611" s="713" t="s">
        <v>7841</v>
      </c>
    </row>
    <row r="1612" spans="2:5" x14ac:dyDescent="0.2">
      <c r="B1612" t="s">
        <v>7359</v>
      </c>
      <c r="C1612" s="713" t="s">
        <v>8543</v>
      </c>
      <c r="D1612" s="713" t="s">
        <v>34</v>
      </c>
      <c r="E1612" s="713" t="s">
        <v>7741</v>
      </c>
    </row>
    <row r="1613" spans="2:5" x14ac:dyDescent="0.2">
      <c r="B1613" t="s">
        <v>7360</v>
      </c>
      <c r="C1613" s="713" t="s">
        <v>9538</v>
      </c>
      <c r="D1613" s="713" t="s">
        <v>34</v>
      </c>
      <c r="E1613" s="713" t="s">
        <v>8728</v>
      </c>
    </row>
    <row r="1614" spans="2:5" x14ac:dyDescent="0.2">
      <c r="B1614" t="s">
        <v>7361</v>
      </c>
      <c r="C1614" s="713" t="s">
        <v>9539</v>
      </c>
      <c r="D1614" s="713" t="s">
        <v>34</v>
      </c>
      <c r="E1614" s="713" t="s">
        <v>7412</v>
      </c>
    </row>
    <row r="1615" spans="2:5" x14ac:dyDescent="0.2">
      <c r="B1615" t="s">
        <v>7362</v>
      </c>
      <c r="C1615" s="713" t="s">
        <v>9540</v>
      </c>
      <c r="D1615" s="713" t="s">
        <v>34</v>
      </c>
      <c r="E1615" s="713" t="s">
        <v>7458</v>
      </c>
    </row>
    <row r="1616" spans="2:5" x14ac:dyDescent="0.2">
      <c r="B1616" t="s">
        <v>7363</v>
      </c>
      <c r="C1616" s="713" t="s">
        <v>9541</v>
      </c>
      <c r="D1616" s="713" t="s">
        <v>34</v>
      </c>
      <c r="E1616" s="713" t="s">
        <v>7517</v>
      </c>
    </row>
    <row r="1617" spans="2:5" x14ac:dyDescent="0.2">
      <c r="B1617" t="s">
        <v>7364</v>
      </c>
      <c r="C1617" s="713" t="s">
        <v>9542</v>
      </c>
      <c r="D1617" s="713" t="s">
        <v>34</v>
      </c>
      <c r="E1617" s="713" t="s">
        <v>7396</v>
      </c>
    </row>
    <row r="1618" spans="2:5" x14ac:dyDescent="0.2">
      <c r="B1618" t="s">
        <v>7365</v>
      </c>
      <c r="C1618" s="713" t="s">
        <v>9543</v>
      </c>
      <c r="D1618" s="713" t="s">
        <v>34</v>
      </c>
      <c r="E1618" s="713" t="s">
        <v>9544</v>
      </c>
    </row>
    <row r="1619" spans="2:5" x14ac:dyDescent="0.2">
      <c r="B1619" t="s">
        <v>7366</v>
      </c>
      <c r="C1619" s="713" t="s">
        <v>9545</v>
      </c>
      <c r="D1619" s="713" t="s">
        <v>34</v>
      </c>
      <c r="E1619" s="713" t="s">
        <v>9546</v>
      </c>
    </row>
    <row r="1620" spans="2:5" x14ac:dyDescent="0.2">
      <c r="B1620" t="s">
        <v>7367</v>
      </c>
      <c r="C1620" s="713" t="s">
        <v>9547</v>
      </c>
      <c r="D1620" s="713" t="s">
        <v>9548</v>
      </c>
      <c r="E1620" s="713" t="s">
        <v>7442</v>
      </c>
    </row>
    <row r="1621" spans="2:5" x14ac:dyDescent="0.2">
      <c r="B1621" t="s">
        <v>7368</v>
      </c>
      <c r="C1621" s="713" t="s">
        <v>9549</v>
      </c>
      <c r="D1621" s="713" t="s">
        <v>34</v>
      </c>
      <c r="E1621" s="713" t="s">
        <v>7416</v>
      </c>
    </row>
    <row r="1622" spans="2:5" x14ac:dyDescent="0.2">
      <c r="B1622" t="s">
        <v>7369</v>
      </c>
      <c r="C1622" s="713" t="s">
        <v>9550</v>
      </c>
      <c r="D1622" s="713" t="s">
        <v>34</v>
      </c>
      <c r="E1622" s="713" t="s">
        <v>9551</v>
      </c>
    </row>
    <row r="1623" spans="2:5" x14ac:dyDescent="0.2">
      <c r="B1623" t="s">
        <v>7370</v>
      </c>
      <c r="C1623" s="713" t="s">
        <v>9552</v>
      </c>
      <c r="D1623" s="713" t="s">
        <v>34</v>
      </c>
      <c r="E1623" s="713" t="s">
        <v>8639</v>
      </c>
    </row>
    <row r="1624" spans="2:5" x14ac:dyDescent="0.2">
      <c r="B1624" t="s">
        <v>7371</v>
      </c>
      <c r="C1624" s="713" t="s">
        <v>9553</v>
      </c>
      <c r="D1624" s="713" t="s">
        <v>34</v>
      </c>
      <c r="E1624" s="713" t="s">
        <v>7412</v>
      </c>
    </row>
    <row r="1625" spans="2:5" x14ac:dyDescent="0.2">
      <c r="B1625" t="s">
        <v>7372</v>
      </c>
      <c r="C1625" s="713" t="s">
        <v>9554</v>
      </c>
      <c r="D1625" s="713" t="s">
        <v>34</v>
      </c>
      <c r="E1625" s="713" t="s">
        <v>7517</v>
      </c>
    </row>
    <row r="1626" spans="2:5" x14ac:dyDescent="0.2">
      <c r="B1626" t="s">
        <v>7373</v>
      </c>
      <c r="C1626" s="713" t="s">
        <v>9555</v>
      </c>
      <c r="D1626" s="713" t="s">
        <v>34</v>
      </c>
      <c r="E1626" s="713" t="s">
        <v>9556</v>
      </c>
    </row>
    <row r="1627" spans="2:5" x14ac:dyDescent="0.2">
      <c r="B1627" t="s">
        <v>7374</v>
      </c>
      <c r="C1627" s="713" t="s">
        <v>9557</v>
      </c>
      <c r="D1627" s="713" t="s">
        <v>34</v>
      </c>
      <c r="E1627" s="713" t="s">
        <v>7795</v>
      </c>
    </row>
    <row r="1628" spans="2:5" x14ac:dyDescent="0.2">
      <c r="B1628" t="s">
        <v>7375</v>
      </c>
      <c r="C1628" s="713" t="s">
        <v>9558</v>
      </c>
      <c r="D1628" s="713" t="s">
        <v>9559</v>
      </c>
      <c r="E1628" s="713" t="s">
        <v>8070</v>
      </c>
    </row>
    <row r="1629" spans="2:5" x14ac:dyDescent="0.2">
      <c r="B1629" t="s">
        <v>6668</v>
      </c>
      <c r="C1629" s="713" t="s">
        <v>9560</v>
      </c>
      <c r="D1629" s="713" t="s">
        <v>34</v>
      </c>
      <c r="E1629" s="713" t="s">
        <v>9561</v>
      </c>
    </row>
    <row r="1630" spans="2:5" x14ac:dyDescent="0.2">
      <c r="B1630" t="s">
        <v>7376</v>
      </c>
      <c r="C1630" s="713" t="s">
        <v>9562</v>
      </c>
      <c r="D1630" s="713" t="s">
        <v>34</v>
      </c>
      <c r="E1630" s="713" t="s">
        <v>7741</v>
      </c>
    </row>
    <row r="1631" spans="2:5" x14ac:dyDescent="0.2">
      <c r="B1631" t="s">
        <v>7377</v>
      </c>
      <c r="C1631" s="713" t="s">
        <v>9563</v>
      </c>
      <c r="D1631" s="713" t="s">
        <v>34</v>
      </c>
      <c r="E1631" s="713" t="s">
        <v>7462</v>
      </c>
    </row>
    <row r="1632" spans="2:5" x14ac:dyDescent="0.2">
      <c r="B1632" t="s">
        <v>7378</v>
      </c>
      <c r="C1632" s="713" t="s">
        <v>9564</v>
      </c>
      <c r="D1632" s="713" t="s">
        <v>34</v>
      </c>
      <c r="E1632" s="713" t="s">
        <v>7524</v>
      </c>
    </row>
    <row r="1633" spans="2:5" x14ac:dyDescent="0.2">
      <c r="B1633" t="s">
        <v>7379</v>
      </c>
      <c r="C1633" s="713" t="s">
        <v>9565</v>
      </c>
      <c r="D1633" s="713" t="s">
        <v>34</v>
      </c>
      <c r="E1633" s="713" t="s">
        <v>7442</v>
      </c>
    </row>
    <row r="1634" spans="2:5" x14ac:dyDescent="0.2">
      <c r="B1634" t="s">
        <v>7380</v>
      </c>
      <c r="C1634" s="713" t="s">
        <v>9566</v>
      </c>
      <c r="D1634" s="713" t="s">
        <v>34</v>
      </c>
      <c r="E1634" s="713" t="s">
        <v>7442</v>
      </c>
    </row>
    <row r="1635" spans="2:5" x14ac:dyDescent="0.2">
      <c r="B1635" t="s">
        <v>7381</v>
      </c>
      <c r="C1635" s="713" t="s">
        <v>9567</v>
      </c>
      <c r="D1635" s="713" t="s">
        <v>34</v>
      </c>
      <c r="E1635" s="713" t="s">
        <v>7404</v>
      </c>
    </row>
    <row r="1636" spans="2:5" x14ac:dyDescent="0.2">
      <c r="B1636" t="s">
        <v>7382</v>
      </c>
      <c r="C1636" s="713" t="s">
        <v>9568</v>
      </c>
      <c r="D1636" s="713" t="s">
        <v>34</v>
      </c>
      <c r="E1636" s="713" t="s">
        <v>7640</v>
      </c>
    </row>
    <row r="1637" spans="2:5" x14ac:dyDescent="0.2">
      <c r="B1637" t="s">
        <v>7383</v>
      </c>
      <c r="C1637" s="713" t="s">
        <v>9569</v>
      </c>
      <c r="D1637" s="713" t="s">
        <v>34</v>
      </c>
      <c r="E1637" s="713" t="s">
        <v>7442</v>
      </c>
    </row>
    <row r="1638" spans="2:5" x14ac:dyDescent="0.2">
      <c r="B1638" t="s">
        <v>7384</v>
      </c>
      <c r="C1638" s="713" t="s">
        <v>9570</v>
      </c>
      <c r="D1638" s="713" t="s">
        <v>34</v>
      </c>
      <c r="E1638" s="713" t="s">
        <v>7741</v>
      </c>
    </row>
    <row r="1639" spans="2:5" x14ac:dyDescent="0.2">
      <c r="B1639" t="s">
        <v>7385</v>
      </c>
      <c r="C1639" s="713" t="s">
        <v>9571</v>
      </c>
      <c r="D1639" s="713" t="s">
        <v>34</v>
      </c>
      <c r="E1639" s="713" t="s">
        <v>7412</v>
      </c>
    </row>
    <row r="1640" spans="2:5" x14ac:dyDescent="0.2">
      <c r="B1640" t="s">
        <v>7386</v>
      </c>
      <c r="C1640" s="713" t="s">
        <v>9572</v>
      </c>
      <c r="D1640" s="713" t="s">
        <v>34</v>
      </c>
      <c r="E1640" s="713" t="s">
        <v>9109</v>
      </c>
    </row>
    <row r="1641" spans="2:5" x14ac:dyDescent="0.2">
      <c r="B1641" t="s">
        <v>7387</v>
      </c>
      <c r="C1641" s="713" t="s">
        <v>9573</v>
      </c>
      <c r="D1641" s="713" t="s">
        <v>34</v>
      </c>
      <c r="E1641" s="713" t="s">
        <v>7418</v>
      </c>
    </row>
    <row r="1642" spans="2:5" x14ac:dyDescent="0.2">
      <c r="B1642" t="s">
        <v>7388</v>
      </c>
      <c r="C1642" s="713" t="s">
        <v>9574</v>
      </c>
      <c r="D1642" s="713" t="s">
        <v>9575</v>
      </c>
      <c r="E1642" s="713" t="s">
        <v>7779</v>
      </c>
    </row>
    <row r="1643" spans="2:5" x14ac:dyDescent="0.2">
      <c r="B1643" t="s">
        <v>7389</v>
      </c>
      <c r="C1643" s="713" t="s">
        <v>9576</v>
      </c>
      <c r="D1643" s="713" t="s">
        <v>34</v>
      </c>
      <c r="E1643" s="713" t="s">
        <v>7869</v>
      </c>
    </row>
  </sheetData>
  <sheetProtection algorithmName="SHA-512" hashValue="yOs4+U1Kq/C9SNBdVC16GzpDV5YXYXci7LMxAHEx/er8RZzj7cLyszusQp0kV4PKezFYxq+mg7IsuHidygG10A==" saltValue="VbXLQy79iP8689ncJR9vkA==" spinCount="100000" sheet="1" objects="1" scenarios="1"/>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1628</v>
      </c>
      <c r="C53" s="44" t="s">
        <v>1629</v>
      </c>
      <c r="D53" s="103">
        <v>42972</v>
      </c>
      <c r="E53" s="44" t="s">
        <v>1630</v>
      </c>
      <c r="F53" s="44" t="s">
        <v>142</v>
      </c>
      <c r="G53" s="44" t="s">
        <v>142</v>
      </c>
    </row>
    <row r="54" spans="1:7" x14ac:dyDescent="0.2">
      <c r="A54" s="142" t="s">
        <v>1744</v>
      </c>
      <c r="C54" s="44" t="s">
        <v>1702</v>
      </c>
      <c r="D54" s="103">
        <v>43007</v>
      </c>
      <c r="E54" s="44" t="s">
        <v>1745</v>
      </c>
      <c r="F54" s="44" t="s">
        <v>142</v>
      </c>
      <c r="G54" s="44" t="s">
        <v>142</v>
      </c>
    </row>
    <row r="55" spans="1:7" x14ac:dyDescent="0.2">
      <c r="A55" s="142" t="s">
        <v>1753</v>
      </c>
      <c r="C55" s="44" t="s">
        <v>1754</v>
      </c>
      <c r="D55" s="103">
        <v>43041</v>
      </c>
      <c r="E55" s="44" t="s">
        <v>1755</v>
      </c>
      <c r="F55" s="44" t="s">
        <v>142</v>
      </c>
      <c r="G55" s="44" t="s">
        <v>259</v>
      </c>
    </row>
    <row r="56" spans="1:7" x14ac:dyDescent="0.2">
      <c r="A56" s="142" t="s">
        <v>1759</v>
      </c>
      <c r="C56" s="44" t="s">
        <v>1760</v>
      </c>
      <c r="D56" s="103">
        <v>43042</v>
      </c>
      <c r="E56" s="44" t="s">
        <v>1761</v>
      </c>
      <c r="F56" s="44" t="s">
        <v>142</v>
      </c>
      <c r="G56" s="44" t="s">
        <v>153</v>
      </c>
    </row>
    <row r="57" spans="1:7" x14ac:dyDescent="0.2">
      <c r="A57" s="142" t="s">
        <v>1762</v>
      </c>
      <c r="C57" s="44" t="s">
        <v>170</v>
      </c>
      <c r="D57" s="103">
        <v>43123</v>
      </c>
      <c r="E57" s="44" t="s">
        <v>1763</v>
      </c>
      <c r="F57" s="44" t="s">
        <v>142</v>
      </c>
      <c r="G57" s="44" t="s">
        <v>142</v>
      </c>
    </row>
    <row r="58" spans="1:7" x14ac:dyDescent="0.2">
      <c r="A58" s="142" t="s">
        <v>1797</v>
      </c>
      <c r="C58" s="44" t="s">
        <v>268</v>
      </c>
      <c r="D58" s="103">
        <v>43143</v>
      </c>
      <c r="E58" s="44" t="s">
        <v>1798</v>
      </c>
      <c r="F58" s="44" t="s">
        <v>142</v>
      </c>
      <c r="G58" s="44" t="s">
        <v>259</v>
      </c>
    </row>
    <row r="59" spans="1:7" x14ac:dyDescent="0.2">
      <c r="A59" s="142" t="s">
        <v>1799</v>
      </c>
      <c r="C59" s="44" t="s">
        <v>268</v>
      </c>
      <c r="D59" s="103">
        <v>43157</v>
      </c>
      <c r="E59" s="44" t="s">
        <v>1800</v>
      </c>
      <c r="F59" s="44" t="s">
        <v>142</v>
      </c>
      <c r="G59" s="44" t="s">
        <v>259</v>
      </c>
    </row>
    <row r="60" spans="1:7" x14ac:dyDescent="0.2">
      <c r="A60" s="142" t="s">
        <v>1849</v>
      </c>
      <c r="C60" s="44" t="s">
        <v>140</v>
      </c>
      <c r="D60" s="103">
        <v>43224</v>
      </c>
      <c r="E60" s="44" t="s">
        <v>1850</v>
      </c>
      <c r="F60" s="44" t="s">
        <v>153</v>
      </c>
      <c r="G60" s="44" t="s">
        <v>153</v>
      </c>
    </row>
    <row r="61" spans="1:7" x14ac:dyDescent="0.2">
      <c r="A61" s="142" t="s">
        <v>1879</v>
      </c>
      <c r="C61" s="44" t="s">
        <v>1915</v>
      </c>
      <c r="D61" s="103">
        <v>43329</v>
      </c>
      <c r="E61" s="44" t="s">
        <v>1916</v>
      </c>
      <c r="F61" s="44" t="s">
        <v>153</v>
      </c>
      <c r="G61" s="44" t="s">
        <v>259</v>
      </c>
    </row>
    <row r="62" spans="1:7" x14ac:dyDescent="0.2">
      <c r="A62" s="142" t="s">
        <v>1943</v>
      </c>
      <c r="C62" s="44" t="s">
        <v>1944</v>
      </c>
      <c r="D62" s="103">
        <v>43355</v>
      </c>
      <c r="E62" s="44" t="s">
        <v>1945</v>
      </c>
      <c r="F62" s="44" t="s">
        <v>259</v>
      </c>
      <c r="G62" s="44" t="s">
        <v>259</v>
      </c>
    </row>
    <row r="63" spans="1:7" x14ac:dyDescent="0.2">
      <c r="A63" s="142" t="s">
        <v>2000</v>
      </c>
      <c r="C63" s="44" t="s">
        <v>159</v>
      </c>
      <c r="D63" s="103">
        <v>43738</v>
      </c>
      <c r="E63" s="44" t="s">
        <v>2001</v>
      </c>
      <c r="F63" s="44" t="s">
        <v>153</v>
      </c>
      <c r="G63" s="44" t="s">
        <v>259</v>
      </c>
    </row>
    <row r="64" spans="1:7" x14ac:dyDescent="0.2">
      <c r="A64" s="142" t="s">
        <v>2002</v>
      </c>
      <c r="C64" s="44" t="s">
        <v>268</v>
      </c>
      <c r="D64" s="103">
        <v>43756</v>
      </c>
      <c r="E64" s="44" t="s">
        <v>2003</v>
      </c>
      <c r="F64" s="44" t="s">
        <v>153</v>
      </c>
      <c r="G64" s="44" t="s">
        <v>153</v>
      </c>
    </row>
    <row r="65" spans="1:7" x14ac:dyDescent="0.2">
      <c r="A65" s="142" t="s">
        <v>3750</v>
      </c>
      <c r="C65" s="44" t="s">
        <v>1629</v>
      </c>
      <c r="D65" s="103">
        <v>43886</v>
      </c>
      <c r="E65" s="44" t="s">
        <v>3751</v>
      </c>
      <c r="F65" s="44" t="s">
        <v>259</v>
      </c>
      <c r="G65" s="44" t="s">
        <v>259</v>
      </c>
    </row>
    <row r="66" spans="1:7" x14ac:dyDescent="0.2">
      <c r="A66" s="142" t="s">
        <v>3749</v>
      </c>
      <c r="C66" s="44" t="s">
        <v>170</v>
      </c>
      <c r="D66" s="103">
        <v>43907</v>
      </c>
      <c r="E66" s="44" t="s">
        <v>3753</v>
      </c>
      <c r="F66" s="44" t="s">
        <v>153</v>
      </c>
      <c r="G66" s="44" t="s">
        <v>153</v>
      </c>
    </row>
    <row r="67" spans="1:7" x14ac:dyDescent="0.2">
      <c r="A67" s="142" t="s">
        <v>4472</v>
      </c>
      <c r="C67" s="44" t="s">
        <v>4473</v>
      </c>
      <c r="D67" s="103">
        <v>44127</v>
      </c>
      <c r="E67" s="44" t="s">
        <v>4474</v>
      </c>
      <c r="F67" s="44" t="s">
        <v>259</v>
      </c>
      <c r="G67" s="44" t="s">
        <v>259</v>
      </c>
    </row>
    <row r="68" spans="1:7" x14ac:dyDescent="0.2">
      <c r="A68" s="142" t="s">
        <v>4726</v>
      </c>
      <c r="C68" s="44" t="s">
        <v>265</v>
      </c>
      <c r="D68" s="103">
        <v>44357</v>
      </c>
      <c r="E68" s="44" t="s">
        <v>4727</v>
      </c>
      <c r="F68" s="44" t="s">
        <v>259</v>
      </c>
      <c r="G68" s="44" t="s">
        <v>259</v>
      </c>
    </row>
    <row r="69" spans="1:7" x14ac:dyDescent="0.2">
      <c r="A69" s="142" t="s">
        <v>4760</v>
      </c>
      <c r="C69" s="44" t="s">
        <v>268</v>
      </c>
      <c r="D69" s="103">
        <v>44378</v>
      </c>
      <c r="E69" s="44" t="s">
        <v>4761</v>
      </c>
      <c r="F69" s="44" t="s">
        <v>153</v>
      </c>
      <c r="G69" s="44" t="s">
        <v>259</v>
      </c>
    </row>
    <row r="70" spans="1:7" x14ac:dyDescent="0.2">
      <c r="A70" s="142" t="s">
        <v>4800</v>
      </c>
      <c r="C70" s="44" t="s">
        <v>268</v>
      </c>
      <c r="D70" s="103">
        <v>44455</v>
      </c>
      <c r="E70" s="44" t="s">
        <v>4801</v>
      </c>
      <c r="F70" s="44" t="s">
        <v>153</v>
      </c>
      <c r="G70" s="44" t="s">
        <v>153</v>
      </c>
    </row>
    <row r="71" spans="1:7" x14ac:dyDescent="0.2">
      <c r="A71" s="142" t="s">
        <v>4910</v>
      </c>
      <c r="C71" s="44" t="s">
        <v>4911</v>
      </c>
      <c r="D71" s="103">
        <v>44544</v>
      </c>
      <c r="E71" s="44" t="s">
        <v>4912</v>
      </c>
      <c r="F71" s="44" t="s">
        <v>259</v>
      </c>
      <c r="G71" s="44" t="s">
        <v>259</v>
      </c>
    </row>
    <row r="72" spans="1:7" x14ac:dyDescent="0.2">
      <c r="A72" s="142" t="s">
        <v>5400</v>
      </c>
      <c r="C72" s="44" t="s">
        <v>5401</v>
      </c>
      <c r="D72" s="103">
        <v>45266</v>
      </c>
      <c r="E72" s="44" t="s">
        <v>5402</v>
      </c>
      <c r="F72" s="44" t="s">
        <v>259</v>
      </c>
      <c r="G72" s="44" t="s">
        <v>259</v>
      </c>
    </row>
    <row r="73" spans="1:7" x14ac:dyDescent="0.2">
      <c r="A73" s="142" t="s">
        <v>5562</v>
      </c>
      <c r="C73" s="44" t="s">
        <v>5553</v>
      </c>
      <c r="D73" s="103">
        <v>45392</v>
      </c>
      <c r="E73" s="44" t="s">
        <v>5554</v>
      </c>
      <c r="F73" s="44" t="s">
        <v>5555</v>
      </c>
      <c r="G73" s="44" t="s">
        <v>211</v>
      </c>
    </row>
    <row r="74" spans="1:7" x14ac:dyDescent="0.2">
      <c r="A74" s="142" t="s">
        <v>5563</v>
      </c>
      <c r="C74" s="44" t="s">
        <v>1760</v>
      </c>
      <c r="D74" s="103">
        <v>45394</v>
      </c>
      <c r="E74" s="44" t="s">
        <v>5564</v>
      </c>
      <c r="F74" s="44" t="s">
        <v>5555</v>
      </c>
      <c r="G74" s="44" t="s">
        <v>211</v>
      </c>
    </row>
    <row r="75" spans="1:7" x14ac:dyDescent="0.2">
      <c r="A75" s="142" t="s">
        <v>5699</v>
      </c>
      <c r="C75" s="44" t="s">
        <v>5700</v>
      </c>
      <c r="D75" s="103">
        <v>45518</v>
      </c>
      <c r="E75" s="44" t="s">
        <v>5701</v>
      </c>
      <c r="F75" s="44" t="s">
        <v>5555</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2025-04-02T06:58:04Z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