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9B44E3E-B156-4988-AD7F-CB14272062A2}"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WorkItemDetails!$B$8</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Standards_Import!$O$1:$Z$41</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6" hidden="1">AllDaqbookOffsets!$A$1:$D$7556</definedName>
    <definedName name="ExternalData_2" localSheetId="2" hidden="1">Query1!$A$1:$B$25</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2" l="1"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P11" i="5" a="1"/>
  <c r="P11" i="5" s="1"/>
  <c r="O11" i="5" a="1"/>
  <c r="O11" i="5" s="1"/>
  <c r="N11" i="5" a="1"/>
  <c r="N11" i="5" s="1"/>
  <c r="M11" i="5" a="1"/>
  <c r="M11" i="5" s="1"/>
  <c r="L11" i="5" a="1"/>
  <c r="L11" i="5" s="1"/>
  <c r="K11" i="5" a="1"/>
  <c r="K11" i="5" s="1"/>
  <c r="J11" i="5" a="1"/>
  <c r="J11" i="5" s="1"/>
  <c r="I11" i="5" a="1"/>
  <c r="I11" i="5" s="1"/>
  <c r="H11" i="5" a="1"/>
  <c r="H11" i="5" s="1"/>
  <c r="G11" i="5" a="1"/>
  <c r="G11" i="5" s="1"/>
  <c r="F11" i="5" a="1"/>
  <c r="F11" i="5" s="1"/>
  <c r="E11" i="5" a="1"/>
  <c r="E11" i="5" s="1"/>
  <c r="D11" i="5" a="1"/>
  <c r="D11" i="5" s="1"/>
  <c r="C11" i="5" a="1"/>
  <c r="C11" i="5" s="1"/>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G19" i="1"/>
  <c r="B10" i="1"/>
  <c r="B12" i="1"/>
  <c r="D15" i="1"/>
  <c r="B11"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B16" i="1"/>
  <c r="L25" i="1"/>
  <c r="F21" i="1"/>
  <c r="M21" i="1"/>
  <c r="N22" i="1"/>
  <c r="O13" i="1"/>
  <c r="N15" i="1"/>
  <c r="N20" i="1"/>
  <c r="K15" i="1"/>
  <c r="J22" i="1"/>
  <c r="M12" i="1"/>
  <c r="N14" i="1"/>
  <c r="H14" i="1"/>
  <c r="I16" i="1"/>
  <c r="A19" i="1"/>
  <c r="I15" i="1"/>
  <c r="D24" i="1"/>
  <c r="C11" i="1"/>
  <c r="L18" i="1"/>
  <c r="B14" i="1"/>
  <c r="M13" i="1"/>
  <c r="D12" i="1"/>
  <c r="O25" i="1"/>
  <c r="J12" i="1"/>
  <c r="H16" i="1"/>
  <c r="N11" i="1"/>
  <c r="F20" i="1"/>
  <c r="D21" i="1"/>
  <c r="C21" i="1"/>
  <c r="J14" i="1"/>
  <c r="F11" i="1"/>
  <c r="L10" i="1"/>
  <c r="D20" i="1"/>
  <c r="M20" i="1"/>
  <c r="B20" i="1"/>
  <c r="K12" i="1"/>
  <c r="E22" i="1"/>
  <c r="L19" i="1"/>
  <c r="J11" i="1"/>
  <c r="I14" i="1"/>
  <c r="F22" i="1"/>
  <c r="O15" i="1"/>
  <c r="A14" i="1"/>
  <c r="E10" i="1"/>
  <c r="A12" i="1"/>
  <c r="K24" i="1"/>
  <c r="D16" i="1"/>
  <c r="L20" i="1"/>
  <c r="A20" i="1"/>
  <c r="F17" i="1"/>
  <c r="G14" i="1"/>
  <c r="H20" i="1"/>
  <c r="M24" i="1"/>
  <c r="G25" i="1"/>
  <c r="G10" i="1"/>
  <c r="I25" i="1"/>
  <c r="O20" i="1"/>
  <c r="C16" i="1"/>
  <c r="D23" i="1"/>
  <c r="D11" i="1"/>
  <c r="M10" i="1"/>
  <c r="M22" i="1"/>
  <c r="D13" i="1"/>
  <c r="E11" i="1"/>
  <c r="L22" i="1"/>
  <c r="H19" i="1"/>
  <c r="A11" i="1"/>
  <c r="E16" i="1"/>
  <c r="O24" i="1"/>
  <c r="G12" i="1"/>
  <c r="F24" i="1"/>
  <c r="N25" i="1"/>
  <c r="K23" i="1"/>
  <c r="E19" i="1"/>
  <c r="E14" i="1"/>
  <c r="F14" i="1"/>
  <c r="J17" i="1"/>
  <c r="J13" i="1"/>
  <c r="J21" i="1"/>
  <c r="L16" i="1"/>
  <c r="A13" i="1"/>
  <c r="L21" i="1"/>
  <c r="H21" i="1"/>
  <c r="A10" i="1"/>
  <c r="F10" i="1"/>
  <c r="O16" i="1"/>
  <c r="D22" i="1"/>
  <c r="A18" i="1"/>
  <c r="I22" i="1"/>
  <c r="G21" i="1"/>
  <c r="I18" i="1"/>
  <c r="D17" i="1"/>
  <c r="F12" i="1"/>
  <c r="J20" i="1"/>
  <c r="B22" i="1"/>
  <c r="G15" i="1"/>
  <c r="A21" i="1"/>
  <c r="K14" i="1"/>
  <c r="C18" i="1"/>
  <c r="B15" i="1"/>
  <c r="J16" i="1"/>
  <c r="M23" i="1"/>
  <c r="G18" i="1"/>
  <c r="J15" i="1"/>
  <c r="L23" i="1"/>
  <c r="D10" i="1"/>
  <c r="B19" i="1"/>
  <c r="G16" i="1"/>
  <c r="C19" i="1"/>
  <c r="D19" i="1"/>
  <c r="O11" i="1"/>
  <c r="F25" i="1"/>
  <c r="G17" i="1"/>
  <c r="B24" i="1"/>
  <c r="L14" i="1"/>
  <c r="N24" i="1"/>
  <c r="N19" i="1"/>
  <c r="E21" i="1"/>
  <c r="A23" i="1"/>
  <c r="E12" i="1"/>
  <c r="C14" i="1"/>
  <c r="O21" i="1"/>
  <c r="A22" i="1"/>
  <c r="O18" i="1"/>
  <c r="O22" i="1"/>
  <c r="F16" i="1"/>
  <c r="C12" i="1"/>
  <c r="K20" i="1"/>
  <c r="J23" i="1"/>
  <c r="L17" i="1"/>
  <c r="B17" i="1"/>
  <c r="H22" i="1"/>
  <c r="K18" i="1"/>
  <c r="J19" i="1"/>
  <c r="F15" i="1"/>
  <c r="B18" i="1"/>
  <c r="C25" i="1"/>
  <c r="C22" i="1"/>
  <c r="G11" i="1"/>
  <c r="K25" i="1"/>
  <c r="N17" i="1"/>
  <c r="A15" i="1"/>
  <c r="E25" i="1"/>
  <c r="H23" i="1"/>
  <c r="B21" i="1"/>
  <c r="N16" i="1"/>
  <c r="K17" i="1"/>
  <c r="L13" i="1"/>
  <c r="L12" i="1"/>
  <c r="H24" i="1"/>
  <c r="O12" i="1"/>
  <c r="L24" i="1"/>
  <c r="A24" i="1"/>
  <c r="G24" i="1"/>
  <c r="O17" i="1"/>
  <c r="B13" i="1"/>
  <c r="O10" i="1"/>
  <c r="H12" i="1"/>
  <c r="K10" i="1"/>
  <c r="I20" i="1"/>
  <c r="K22" i="1"/>
  <c r="L11" i="1"/>
  <c r="H11" i="1"/>
  <c r="I13" i="1"/>
  <c r="M17" i="1"/>
  <c r="B23" i="1"/>
  <c r="C15" i="1"/>
  <c r="J24" i="1"/>
  <c r="K11" i="1"/>
  <c r="C23" i="1"/>
  <c r="H10" i="1"/>
  <c r="E13" i="1"/>
  <c r="K13" i="1"/>
  <c r="N13" i="1"/>
  <c r="M18" i="1"/>
  <c r="O19" i="1"/>
  <c r="G13" i="1"/>
  <c r="D18" i="1"/>
  <c r="H18" i="1"/>
  <c r="C17" i="1"/>
  <c r="J18" i="1"/>
  <c r="M11" i="1"/>
  <c r="E18" i="1"/>
  <c r="H13" i="1"/>
  <c r="J10" i="1"/>
  <c r="G22" i="1"/>
  <c r="K19" i="1"/>
  <c r="I17" i="1"/>
  <c r="N12" i="1"/>
  <c r="A16" i="1"/>
  <c r="C24" i="1"/>
  <c r="I23" i="1"/>
  <c r="C13" i="1"/>
  <c r="M25" i="1"/>
  <c r="G20" i="1"/>
  <c r="O23" i="1"/>
  <c r="I21" i="1"/>
  <c r="M15" i="1"/>
  <c r="I19" i="1"/>
  <c r="F19" i="1"/>
  <c r="I24" i="1"/>
  <c r="C20" i="1"/>
  <c r="A17" i="1"/>
  <c r="G23" i="1"/>
  <c r="M16" i="1"/>
  <c r="I10" i="1"/>
  <c r="H15" i="1"/>
  <c r="K16" i="1"/>
  <c r="A25" i="1"/>
  <c r="M19" i="1"/>
  <c r="C10" i="1"/>
  <c r="I12" i="1"/>
  <c r="N18" i="1"/>
  <c r="N10" i="1"/>
  <c r="O14" i="1"/>
  <c r="E17" i="1"/>
  <c r="F18" i="1"/>
  <c r="N23" i="1"/>
  <c r="M14" i="1"/>
  <c r="B25" i="1"/>
  <c r="E20" i="1"/>
  <c r="I11" i="1"/>
  <c r="H17" i="1"/>
  <c r="F13" i="1"/>
  <c r="E15" i="1"/>
  <c r="N21" i="1"/>
  <c r="F23" i="1"/>
  <c r="E24" i="1"/>
  <c r="D14" i="1"/>
  <c r="K21" i="1"/>
  <c r="D25" i="1"/>
  <c r="E23" i="1"/>
  <c r="H25" i="1"/>
  <c r="J25" i="1"/>
  <c r="L1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O17" i="1"/>
  <c r="AH15" i="1"/>
  <c r="AE11" i="1"/>
  <c r="W19" i="1"/>
  <c r="U20" i="1"/>
  <c r="AF22" i="1"/>
  <c r="X19" i="1"/>
  <c r="AV13" i="1"/>
  <c r="AD22" i="1"/>
  <c r="AY14" i="1"/>
  <c r="AE24" i="1"/>
  <c r="Y10" i="1"/>
  <c r="U13" i="1"/>
  <c r="AH25" i="1"/>
  <c r="AX22" i="1"/>
  <c r="AC23" i="1"/>
  <c r="Z13" i="1"/>
  <c r="AT14" i="1"/>
  <c r="AS15" i="1"/>
  <c r="AA10" i="1"/>
  <c r="Z10" i="1"/>
  <c r="AU14" i="1"/>
  <c r="AC21" i="1"/>
  <c r="AB20" i="1"/>
  <c r="Z11" i="1"/>
  <c r="AS19" i="1"/>
  <c r="U24" i="1"/>
  <c r="AI15" i="1"/>
  <c r="AV20" i="1"/>
  <c r="AC11" i="1"/>
  <c r="AB21" i="1"/>
  <c r="AX15" i="1"/>
  <c r="AE23" i="1"/>
  <c r="AG18" i="1"/>
  <c r="AY22" i="1"/>
  <c r="AX20" i="1"/>
  <c r="AS23" i="1"/>
  <c r="AU12" i="1"/>
  <c r="AO24" i="1"/>
  <c r="Y11" i="1"/>
  <c r="X21" i="1"/>
  <c r="AX12" i="1"/>
  <c r="AE12" i="1"/>
  <c r="AG19" i="1"/>
  <c r="AO20" i="1"/>
  <c r="AP23" i="1"/>
  <c r="AR23" i="1"/>
  <c r="AC22" i="1"/>
  <c r="AB13" i="1"/>
  <c r="BA12" i="1"/>
  <c r="AI16" i="1"/>
  <c r="V14" i="1"/>
  <c r="AF15" i="1"/>
  <c r="AE16" i="1"/>
  <c r="AB15" i="1"/>
  <c r="AT24" i="1"/>
  <c r="AD24" i="1"/>
  <c r="AA16" i="1"/>
  <c r="BA11" i="1"/>
  <c r="AI21" i="1"/>
  <c r="AQ15" i="1"/>
  <c r="AE14" i="1"/>
  <c r="AQ23" i="1"/>
  <c r="Z20" i="1"/>
  <c r="W25" i="1"/>
  <c r="AZ14" i="1"/>
  <c r="AS14" i="1"/>
  <c r="AU25" i="1"/>
  <c r="X16" i="1"/>
  <c r="X13" i="1"/>
  <c r="AU22" i="1"/>
  <c r="AR10" i="1"/>
  <c r="AY23" i="1"/>
  <c r="AP14" i="1"/>
  <c r="V17" i="1"/>
  <c r="AG13" i="1"/>
  <c r="AP15" i="1"/>
  <c r="AU19" i="1"/>
  <c r="AE13" i="1"/>
  <c r="AY17" i="1"/>
  <c r="AX10" i="1"/>
  <c r="AD14" i="1"/>
  <c r="AF11" i="1"/>
  <c r="AX13" i="1"/>
  <c r="AS21" i="1"/>
  <c r="U25" i="1"/>
  <c r="Z22" i="1"/>
  <c r="AQ14" i="1"/>
  <c r="W23" i="1"/>
  <c r="AI19" i="1"/>
  <c r="AO21" i="1"/>
  <c r="AI14" i="1"/>
  <c r="AP13" i="1"/>
  <c r="U14" i="1"/>
  <c r="AZ12" i="1"/>
  <c r="AV15" i="1"/>
  <c r="AF20" i="1"/>
  <c r="V19" i="1"/>
  <c r="BA17" i="1"/>
  <c r="U23" i="1"/>
  <c r="AZ22" i="1"/>
  <c r="Y17" i="1"/>
  <c r="AB22" i="1"/>
  <c r="AT11" i="1"/>
  <c r="AO10" i="1"/>
  <c r="U22" i="1"/>
  <c r="AR14" i="1"/>
  <c r="AP12" i="1"/>
  <c r="U15" i="1"/>
  <c r="BA24" i="1"/>
  <c r="AZ17" i="1"/>
  <c r="AG15" i="1"/>
  <c r="AF23" i="1"/>
  <c r="AZ25" i="1"/>
  <c r="AO23" i="1"/>
  <c r="AI22" i="1"/>
  <c r="AE25" i="1"/>
  <c r="AI25" i="1"/>
  <c r="AU15" i="1"/>
  <c r="AQ16" i="1"/>
  <c r="AS24" i="1"/>
  <c r="Y18" i="1"/>
  <c r="W11" i="1"/>
  <c r="AF12" i="1"/>
  <c r="AT25" i="1"/>
  <c r="Z12" i="1"/>
  <c r="AQ20" i="1"/>
  <c r="AG21" i="1"/>
  <c r="AY13" i="1"/>
  <c r="AQ21" i="1"/>
  <c r="AR18" i="1"/>
  <c r="U16" i="1"/>
  <c r="AH13" i="1"/>
  <c r="AY20" i="1"/>
  <c r="AQ25" i="1"/>
  <c r="AG22" i="1"/>
  <c r="Z14" i="1"/>
  <c r="AW23" i="1"/>
  <c r="AD19" i="1"/>
  <c r="AE22" i="1"/>
  <c r="AO18" i="1"/>
  <c r="X18" i="1"/>
  <c r="AD15" i="1"/>
  <c r="AB11" i="1"/>
  <c r="V21" i="1"/>
  <c r="Y21" i="1"/>
  <c r="AH10" i="1"/>
  <c r="AP22" i="1"/>
  <c r="AO14" i="1"/>
  <c r="AZ19" i="1"/>
  <c r="AU13" i="1"/>
  <c r="X25" i="1"/>
  <c r="AB17" i="1"/>
  <c r="AP20" i="1"/>
  <c r="AD16" i="1"/>
  <c r="AC14" i="1"/>
  <c r="AE20" i="1"/>
  <c r="AH23" i="1"/>
  <c r="AI10" i="1"/>
  <c r="W13" i="1"/>
  <c r="AR13" i="1"/>
  <c r="AS22" i="1"/>
  <c r="U17" i="1"/>
  <c r="U10" i="1"/>
  <c r="BA18" i="1"/>
  <c r="Y24" i="1"/>
  <c r="AT10" i="1"/>
  <c r="AU16" i="1"/>
  <c r="AF17" i="1"/>
  <c r="AR15" i="1"/>
  <c r="AY19" i="1"/>
  <c r="AH24" i="1"/>
  <c r="AV25" i="1"/>
  <c r="AB19" i="1"/>
  <c r="AZ21" i="1"/>
  <c r="AH11" i="1"/>
  <c r="AZ16" i="1"/>
  <c r="X11" i="1"/>
  <c r="U12" i="1"/>
  <c r="BA22" i="1"/>
  <c r="AE21" i="1"/>
  <c r="X15" i="1"/>
  <c r="AV11" i="1"/>
  <c r="AI20" i="1"/>
  <c r="AA20" i="1"/>
  <c r="BA15" i="1"/>
  <c r="AR24" i="1"/>
  <c r="AH17" i="1"/>
  <c r="X17" i="1"/>
  <c r="Z24" i="1"/>
  <c r="AW21" i="1"/>
  <c r="BA23" i="1"/>
  <c r="V10" i="1"/>
  <c r="AQ24" i="1"/>
  <c r="AA25" i="1"/>
  <c r="AF24" i="1"/>
  <c r="AX21" i="1"/>
  <c r="Y25" i="1"/>
  <c r="AG11" i="1"/>
  <c r="AF10" i="1"/>
  <c r="AS12" i="1"/>
  <c r="AP19" i="1"/>
  <c r="AF14" i="1"/>
  <c r="AG10" i="1"/>
  <c r="W14" i="1"/>
  <c r="AF21" i="1"/>
  <c r="AD18" i="1"/>
  <c r="AD13" i="1"/>
  <c r="AA15" i="1"/>
  <c r="AA17" i="1"/>
  <c r="AR16" i="1"/>
  <c r="V16" i="1"/>
  <c r="AS25" i="1"/>
  <c r="W20" i="1"/>
  <c r="AQ18" i="1"/>
  <c r="AG24" i="1"/>
  <c r="AW18" i="1"/>
  <c r="AX17" i="1"/>
  <c r="AW25" i="1"/>
  <c r="AU17" i="1"/>
  <c r="X14" i="1"/>
  <c r="AD11" i="1"/>
  <c r="AD23" i="1"/>
  <c r="AO13" i="1"/>
  <c r="AC15" i="1"/>
  <c r="AA23" i="1"/>
  <c r="AF25" i="1"/>
  <c r="AG14" i="1"/>
  <c r="AX23" i="1"/>
  <c r="AY21" i="1"/>
  <c r="Y23" i="1"/>
  <c r="Y19" i="1"/>
  <c r="AT23" i="1"/>
  <c r="AD10" i="1"/>
  <c r="AP25" i="1"/>
  <c r="AS10" i="1"/>
  <c r="AG17" i="1"/>
  <c r="AT12" i="1"/>
  <c r="AW12" i="1"/>
  <c r="AW24" i="1"/>
  <c r="AS20" i="1"/>
  <c r="AR25" i="1"/>
  <c r="W18" i="1"/>
  <c r="AO25" i="1"/>
  <c r="Y16" i="1"/>
  <c r="W16" i="1"/>
  <c r="AZ18" i="1"/>
  <c r="AB12" i="1"/>
  <c r="Y12" i="1"/>
  <c r="BA10" i="1"/>
  <c r="AH21" i="1"/>
  <c r="AW14" i="1"/>
  <c r="X20" i="1"/>
  <c r="AX25" i="1"/>
  <c r="AD25" i="1"/>
  <c r="AC24" i="1"/>
  <c r="AP24" i="1"/>
  <c r="AW11" i="1"/>
  <c r="W22" i="1"/>
  <c r="AA22" i="1"/>
  <c r="AY10" i="1"/>
  <c r="AP11" i="1"/>
  <c r="AV18" i="1"/>
  <c r="AV24" i="1"/>
  <c r="AV17" i="1"/>
  <c r="AB14" i="1"/>
  <c r="AP10" i="1"/>
  <c r="AG16" i="1"/>
  <c r="Y15" i="1"/>
  <c r="AF19" i="1"/>
  <c r="V22" i="1"/>
  <c r="AY15" i="1"/>
  <c r="AI11" i="1"/>
  <c r="Y20" i="1"/>
  <c r="AR21" i="1"/>
  <c r="AZ11" i="1"/>
  <c r="AX16" i="1"/>
  <c r="AV14" i="1"/>
  <c r="U11" i="1"/>
  <c r="AY11" i="1"/>
  <c r="V23" i="1"/>
  <c r="AW15" i="1"/>
  <c r="Z21" i="1"/>
  <c r="V24" i="1"/>
  <c r="AW19" i="1"/>
  <c r="AQ17" i="1"/>
  <c r="V11" i="1"/>
  <c r="AW13" i="1"/>
  <c r="AV21" i="1"/>
  <c r="AY24" i="1"/>
  <c r="AU18" i="1"/>
  <c r="AU10" i="1"/>
  <c r="AO12" i="1"/>
  <c r="AB10" i="1"/>
  <c r="AI18" i="1"/>
  <c r="AR11" i="1"/>
  <c r="AH20" i="1"/>
  <c r="BA14" i="1"/>
  <c r="AC25" i="1"/>
  <c r="W17" i="1"/>
  <c r="AU21" i="1"/>
  <c r="AS13" i="1"/>
  <c r="AT17" i="1"/>
  <c r="AT22" i="1"/>
  <c r="AR12" i="1"/>
  <c r="AT19" i="1"/>
  <c r="AD12" i="1"/>
  <c r="AC20" i="1"/>
  <c r="AY25" i="1"/>
  <c r="AT18" i="1"/>
  <c r="AD21" i="1"/>
  <c r="X24" i="1"/>
  <c r="Z19" i="1"/>
  <c r="AS18" i="1"/>
  <c r="AA11" i="1"/>
  <c r="AA21" i="1"/>
  <c r="AC18" i="1"/>
  <c r="AB24" i="1"/>
  <c r="AV16" i="1"/>
  <c r="AG20" i="1"/>
  <c r="AA18" i="1"/>
  <c r="AB18" i="1"/>
  <c r="W10" i="1"/>
  <c r="AG12" i="1"/>
  <c r="AA13" i="1"/>
  <c r="AA19" i="1"/>
  <c r="AI17" i="1"/>
  <c r="Y14" i="1"/>
  <c r="AG25" i="1"/>
  <c r="Z25" i="1"/>
  <c r="W12" i="1"/>
  <c r="AC17" i="1"/>
  <c r="AV19" i="1"/>
  <c r="AC10" i="1"/>
  <c r="Y22" i="1"/>
  <c r="AQ12" i="1"/>
  <c r="Z15" i="1"/>
  <c r="AX24" i="1"/>
  <c r="Y13" i="1"/>
  <c r="AY16" i="1"/>
  <c r="AE19" i="1"/>
  <c r="AC19" i="1"/>
  <c r="AH19" i="1"/>
  <c r="V25" i="1"/>
  <c r="AW17" i="1"/>
  <c r="W24" i="1"/>
  <c r="U21" i="1"/>
  <c r="AD17" i="1"/>
  <c r="AR20" i="1"/>
  <c r="AF13" i="1"/>
  <c r="BA21" i="1"/>
  <c r="AY18" i="1"/>
  <c r="AY12" i="1"/>
  <c r="AP18" i="1"/>
  <c r="AT15" i="1"/>
  <c r="AU23" i="1"/>
  <c r="AE15" i="1"/>
  <c r="AR19" i="1"/>
  <c r="BA16" i="1"/>
  <c r="AA24" i="1"/>
  <c r="AU11" i="1"/>
  <c r="AV10" i="1"/>
  <c r="V13" i="1"/>
  <c r="U19" i="1"/>
  <c r="AV12" i="1"/>
  <c r="AQ13" i="1"/>
  <c r="AO16" i="1"/>
  <c r="AA14" i="1"/>
  <c r="AO15" i="1"/>
  <c r="AR22" i="1"/>
  <c r="AF16" i="1"/>
  <c r="AH18" i="1"/>
  <c r="AV22" i="1"/>
  <c r="AQ19" i="1"/>
  <c r="AQ22" i="1"/>
  <c r="AV23" i="1"/>
  <c r="V15" i="1"/>
  <c r="W15" i="1"/>
  <c r="AZ10" i="1"/>
  <c r="AH14" i="1"/>
  <c r="AE18" i="1"/>
  <c r="AI13" i="1"/>
  <c r="AZ15" i="1"/>
  <c r="AE10" i="1"/>
  <c r="AB23" i="1"/>
  <c r="AW22" i="1"/>
  <c r="AP21" i="1"/>
  <c r="AW20" i="1"/>
  <c r="AC16" i="1"/>
  <c r="AB16" i="1"/>
  <c r="Z18" i="1"/>
  <c r="V18" i="1"/>
  <c r="AT13" i="1"/>
  <c r="Z17" i="1"/>
  <c r="AX14" i="1"/>
  <c r="AZ13" i="1"/>
  <c r="AQ10" i="1"/>
  <c r="AA12" i="1"/>
  <c r="AT21" i="1"/>
  <c r="AO22" i="1"/>
  <c r="AS16" i="1"/>
  <c r="AT20" i="1"/>
  <c r="AH22" i="1"/>
  <c r="AW16" i="1"/>
  <c r="V12" i="1"/>
  <c r="U18" i="1"/>
  <c r="AO19" i="1"/>
  <c r="X10" i="1"/>
  <c r="W21" i="1"/>
  <c r="AT16" i="1"/>
  <c r="AD20" i="1"/>
  <c r="AC12" i="1"/>
  <c r="AZ24" i="1"/>
  <c r="AE17" i="1"/>
  <c r="AZ23" i="1"/>
  <c r="BA20" i="1"/>
  <c r="AQ11" i="1"/>
  <c r="AB25" i="1"/>
  <c r="AP16" i="1"/>
  <c r="BA19" i="1"/>
  <c r="AP17" i="1"/>
  <c r="AF18" i="1"/>
  <c r="Z16" i="1"/>
  <c r="AR17" i="1"/>
  <c r="X23" i="1"/>
  <c r="AX11" i="1"/>
  <c r="AH12" i="1"/>
  <c r="X12" i="1"/>
  <c r="AX19" i="1"/>
  <c r="V20" i="1"/>
  <c r="AI23" i="1"/>
  <c r="AU24" i="1"/>
  <c r="AZ20" i="1"/>
  <c r="AO11" i="1"/>
  <c r="AW10" i="1"/>
  <c r="X22" i="1"/>
  <c r="AC13" i="1"/>
  <c r="AH16" i="1"/>
  <c r="AG23" i="1"/>
  <c r="BA25" i="1"/>
  <c r="AS17" i="1"/>
  <c r="BA13" i="1"/>
  <c r="AS11" i="1"/>
  <c r="AI24" i="1"/>
  <c r="AX18" i="1"/>
  <c r="AI12" i="1"/>
  <c r="Z23" i="1"/>
  <c r="AU2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background="1" saveData="1">
    <dbPr connection="Provider=Microsoft.Mashup.OleDb.1;Data Source=$Workbook$;Location=Employee;Extended Properties=&quot;&quot;" command="SELECT * FROM [Employee]"/>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<sst xmlns="http://schemas.openxmlformats.org/spreadsheetml/2006/main" count="1964" uniqueCount="926">
  <si>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</si>
  <si>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</si>
  <si>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</si>
  <si>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</si>
  <si>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</si>
  <si>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</si>
  <si>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</si>
  <si>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</si>
  <si>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</si>
  <si>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</si>
  <si>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</si>
  <si>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</si>
  <si>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</si>
  <si>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</si>
  <si>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</si>
  <si>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</si>
  <si>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</si>
  <si>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</si>
  <si>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</si>
  <si>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</si>
  <si>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</si>
  <si>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</si>
  <si>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</si>
  <si>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</si>
  <si>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</si>
  <si>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</si>
  <si>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</si>
  <si>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</si>
  <si>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</si>
  <si>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</si>
  <si>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</si>
  <si>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</si>
  <si>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</si>
  <si>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</si>
  <si>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</si>
  <si>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</si>
  <si>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</si>
  <si>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</si>
  <si>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</si>
  <si>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</si>
  <si>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</si>
  <si>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</si>
  <si>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</si>
  <si>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</si>
  <si>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</si>
  <si>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</si>
  <si>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</si>
  <si>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</si>
  <si>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</si>
  <si>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</si>
  <si>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</si>
  <si>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</si>
  <si>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</si>
  <si>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</si>
  <si>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</si>
  <si>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</si>
  <si>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</si>
  <si>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</si>
  <si>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</si>
  <si>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</si>
  <si>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</si>
  <si>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</si>
  <si>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</si>
  <si>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</si>
  <si>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</si>
  <si>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</si>
  <si>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</si>
  <si>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</si>
  <si>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</si>
  <si>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</si>
  <si>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</si>
  <si>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</si>
  <si>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</si>
  <si>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</si>
  <si>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</si>
  <si>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</si>
  <si>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</si>
  <si>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</si>
  <si>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</si>
  <si>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</si>
  <si>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</si>
  <si>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</si>
  <si>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</si>
  <si>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</si>
  <si>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</si>
  <si>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</si>
  <si>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</si>
  <si>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</si>
  <si>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</si>
  <si>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</si>
  <si>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</si>
  <si>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</si>
  <si>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</si>
  <si>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</si>
  <si>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</si>
  <si>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</si>
  <si>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</si>
  <si>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</si>
  <si>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</si>
  <si>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</si>
  <si>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</si>
  <si>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</si>
  <si>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</si>
  <si>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</si>
  <si>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</si>
  <si>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</si>
  <si>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</si>
  <si>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</si>
  <si>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</si>
  <si>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</si>
  <si>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</si>
  <si>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</si>
  <si>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</si>
  <si>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</si>
  <si>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</si>
  <si>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</si>
  <si>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</si>
  <si>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</si>
  <si>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</si>
  <si>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</si>
  <si>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</si>
  <si>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</si>
  <si>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</si>
  <si>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</si>
  <si>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</si>
  <si>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</si>
  <si>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</si>
  <si>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</si>
  <si>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</si>
  <si>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</si>
  <si>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</si>
  <si>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</si>
  <si>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</si>
  <si>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</si>
  <si>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</si>
  <si>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</si>
  <si>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</si>
  <si>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</si>
  <si>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</si>
  <si>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</si>
  <si>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</si>
  <si>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</si>
  <si>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</si>
  <si>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</si>
  <si>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</si>
  <si>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</si>
  <si>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</si>
  <si>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</si>
  <si>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</si>
  <si>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</si>
  <si>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</si>
  <si>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</si>
  <si>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</si>
  <si>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</si>
  <si>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</si>
  <si>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</si>
  <si>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</si>
  <si>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</si>
  <si>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</si>
  <si>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</si>
  <si>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</si>
  <si>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</si>
  <si>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</si>
  <si>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</si>
  <si>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</si>
  <si>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</si>
  <si>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</si>
  <si>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</si>
  <si>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</si>
  <si>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</si>
  <si>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</si>
  <si>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</si>
  <si>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</si>
  <si>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</si>
  <si>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</si>
  <si>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</si>
  <si>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</si>
  <si>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</si>
  <si>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</si>
  <si>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</si>
  <si>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</si>
  <si>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</si>
  <si>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</si>
  <si>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</si>
  <si>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</si>
  <si>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</si>
  <si>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</si>
  <si>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</si>
  <si>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</si>
  <si>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</si>
  <si>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</si>
  <si>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</si>
  <si>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</si>
  <si>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</si>
  <si>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</si>
  <si>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</si>
  <si>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</si>
  <si>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</si>
  <si>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</si>
  <si>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</si>
  <si>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</si>
  <si>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</si>
  <si>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</si>
  <si>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</si>
  <si>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</si>
  <si>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</si>
  <si>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</si>
  <si>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</si>
  <si>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</si>
  <si>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</si>
  <si>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</si>
  <si>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</si>
  <si>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</si>
  <si>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</si>
  <si>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</si>
  <si>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</si>
  <si>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</si>
  <si>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</si>
  <si>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</si>
  <si>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</si>
  <si>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</si>
  <si>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</si>
  <si>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</si>
  <si>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</si>
  <si>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</si>
  <si>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</si>
  <si>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</si>
  <si>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</si>
  <si>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</si>
  <si>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</si>
  <si>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</si>
  <si>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</si>
  <si>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</si>
  <si>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</si>
  <si>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</si>
  <si>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</si>
  <si>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</si>
  <si>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</si>
  <si>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</si>
  <si>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</si>
  <si>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</si>
  <si>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</si>
  <si>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</si>
  <si>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</si>
  <si>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</si>
  <si>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</si>
  <si>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</si>
  <si>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</si>
  <si>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</si>
  <si>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</si>
  <si>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</si>
  <si>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</si>
  <si>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</si>
  <si>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</si>
  <si>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</si>
  <si>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</si>
  <si>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</si>
  <si>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</si>
  <si>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</si>
  <si>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</si>
  <si>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</si>
  <si>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</si>
  <si>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</si>
  <si>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</si>
  <si>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</si>
  <si>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</si>
  <si>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</si>
  <si>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</si>
  <si>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</si>
  <si>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</si>
  <si>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</si>
  <si>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</si>
  <si>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</si>
  <si>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</si>
  <si>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</si>
  <si>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</si>
  <si>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</si>
  <si>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</si>
  <si>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</si>
  <si>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</si>
  <si>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</si>
  <si>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</si>
  <si>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</si>
  <si>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</si>
  <si>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</si>
  <si>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</si>
  <si>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</si>
  <si>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</si>
  <si>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</si>
  <si>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</si>
  <si>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</si>
  <si>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</si>
  <si>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</si>
  <si>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</si>
  <si>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</si>
  <si>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</si>
  <si>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</si>
  <si>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</si>
  <si>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</si>
  <si>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</si>
  <si>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</si>
  <si>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</si>
  <si>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</si>
  <si>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</si>
  <si>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</si>
  <si>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</si>
  <si>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</si>
  <si>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</si>
  <si>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</si>
  <si>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</si>
  <si>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</si>
  <si>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</si>
  <si>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</si>
  <si>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</si>
  <si>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</si>
  <si>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</si>
  <si>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</si>
  <si>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</si>
  <si>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</si>
  <si>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</si>
  <si>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</si>
  <si>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</si>
  <si>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</si>
  <si>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</si>
  <si>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</si>
  <si>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</si>
  <si>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</si>
  <si>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</si>
  <si>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</si>
  <si>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</si>
  <si>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</si>
  <si>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</si>
  <si>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</si>
  <si>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</si>
  <si>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</si>
  <si>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</si>
  <si>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</si>
  <si>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</si>
  <si>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</si>
  <si>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</si>
  <si>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</si>
  <si>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</si>
  <si>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</si>
  <si>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</si>
  <si>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</si>
  <si>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</si>
  <si>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</si>
  <si>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</si>
  <si>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</si>
  <si>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</si>
  <si>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</si>
  <si>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</si>
  <si>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</si>
  <si>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</si>
  <si>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</si>
  <si>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</si>
  <si>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</si>
  <si>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</si>
  <si>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</si>
  <si>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</si>
  <si>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</si>
  <si>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</si>
  <si>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</si>
  <si>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</si>
  <si>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</si>
  <si>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</si>
  <si>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</si>
  <si>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</si>
  <si>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</si>
  <si>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</si>
  <si>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</si>
  <si>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</si>
  <si>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</si>
  <si>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</si>
  <si>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</si>
  <si>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</si>
  <si>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</si>
  <si>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</si>
  <si>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</si>
  <si>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</si>
  <si>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</si>
  <si>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</si>
  <si>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</si>
  <si>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</si>
  <si>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</si>
  <si>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</si>
  <si>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</si>
  <si>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</si>
  <si>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</si>
  <si>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</si>
  <si>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</si>
  <si>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</si>
  <si>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</si>
  <si>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</si>
  <si>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</si>
  <si>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</si>
  <si>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</si>
  <si>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</si>
  <si>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</si>
  <si>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</si>
  <si>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</si>
  <si>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</si>
  <si>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</si>
  <si>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</si>
  <si>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</si>
  <si>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</si>
  <si>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</si>
  <si>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</si>
  <si>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</si>
  <si>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</si>
  <si>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</si>
  <si>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</si>
  <si>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</si>
  <si>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</si>
  <si>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</si>
  <si>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</si>
  <si>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</si>
  <si>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</si>
  <si>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</si>
  <si>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</si>
  <si>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</si>
  <si>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</si>
  <si>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</si>
  <si>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</si>
  <si>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</si>
  <si>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</si>
  <si>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</si>
  <si>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</si>
  <si>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</si>
  <si>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</si>
  <si>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</si>
  <si>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</si>
  <si>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</si>
  <si>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</si>
  <si>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</si>
  <si>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</si>
  <si>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</si>
  <si>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</si>
  <si>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</si>
  <si>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</si>
  <si>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</si>
  <si>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</si>
  <si>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</si>
  <si>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</si>
  <si>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</si>
  <si>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</si>
  <si>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</si>
  <si>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</si>
  <si>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</si>
  <si>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</si>
  <si>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</si>
  <si>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</si>
  <si>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</si>
  <si>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</si>
  <si>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</si>
  <si>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</si>
  <si>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</si>
  <si>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</si>
  <si>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</si>
  <si>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</si>
  <si>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</si>
  <si>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</si>
  <si>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</si>
  <si>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</si>
  <si>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</si>
  <si>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</si>
  <si>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</si>
  <si>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</si>
  <si>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</si>
  <si>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</si>
  <si>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</si>
  <si>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</si>
  <si>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</si>
  <si>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</si>
  <si>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</si>
  <si>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</si>
  <si>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</si>
  <si>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</si>
  <si>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</si>
  <si>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</si>
  <si>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</si>
  <si>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</si>
  <si>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</si>
  <si>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</si>
  <si>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</si>
  <si>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</si>
  <si>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</si>
  <si>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</si>
  <si>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</si>
  <si>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</si>
  <si>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</si>
  <si>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</si>
  <si>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</si>
  <si>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</si>
  <si>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</si>
  <si>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</si>
  <si>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</si>
  <si>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</si>
  <si>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</si>
  <si>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</si>
  <si>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</si>
  <si>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</si>
  <si>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</si>
  <si>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</si>
  <si>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</si>
  <si>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</si>
  <si>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</si>
  <si>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</si>
  <si>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</si>
  <si>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</si>
  <si>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</si>
  <si>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</si>
  <si>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</si>
  <si>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</si>
  <si>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</si>
  <si>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</si>
  <si>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</si>
  <si>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</si>
  <si>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</si>
  <si>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</si>
  <si>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</si>
  <si>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</si>
  <si>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</si>
  <si>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</si>
  <si>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</si>
  <si>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</si>
  <si>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</si>
  <si>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</si>
  <si>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</si>
  <si>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</si>
  <si>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</si>
  <si>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</si>
  <si>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</si>
  <si>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</si>
  <si>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</si>
  <si>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</si>
  <si>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</si>
  <si>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</si>
  <si>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</si>
  <si>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</si>
  <si>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</si>
  <si>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</si>
  <si>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</si>
  <si>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</si>
  <si>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</si>
  <si>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</si>
  <si>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</si>
  <si>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</si>
  <si>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</si>
  <si>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</si>
  <si>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</si>
  <si>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</si>
  <si>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</si>
  <si>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</si>
  <si>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</si>
  <si>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</si>
  <si>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</si>
  <si>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</si>
  <si>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</si>
  <si>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</si>
  <si>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</si>
  <si>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</si>
  <si>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</si>
  <si>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</si>
  <si>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</si>
  <si>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</si>
  <si>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</si>
  <si>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</si>
  <si>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</si>
  <si>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</si>
  <si>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</si>
  <si>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</si>
  <si>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</si>
  <si>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</si>
  <si>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</si>
  <si>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</si>
  <si>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</si>
  <si>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</si>
  <si>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</si>
  <si>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</si>
  <si>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</si>
  <si>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</si>
  <si>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</si>
  <si>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</si>
  <si>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</si>
  <si>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</si>
  <si>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</si>
  <si>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</si>
  <si>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</si>
  <si>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</si>
  <si>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</si>
  <si>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</si>
  <si>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</si>
  <si>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</si>
  <si>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</si>
  <si>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</si>
  <si>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</si>
  <si>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</si>
  <si>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</si>
  <si>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</si>
  <si>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</si>
  <si>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</si>
  <si>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</si>
  <si>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</si>
  <si>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</si>
  <si>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</si>
  <si>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</si>
  <si>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</si>
  <si>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</si>
  <si>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</si>
  <si>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</si>
  <si>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</si>
  <si>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</si>
  <si>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</si>
  <si>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</si>
  <si>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</si>
  <si>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</si>
  <si>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</si>
  <si>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</si>
  <si>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</si>
  <si>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</si>
  <si>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</si>
  <si>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</si>
  <si>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</si>
  <si>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</si>
  <si>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</si>
  <si>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</si>
  <si>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</si>
  <si>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</si>
  <si>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</si>
  <si>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</si>
  <si>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</si>
  <si>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</si>
  <si>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</si>
  <si>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</si>
  <si>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</si>
  <si>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</si>
  <si>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</si>
  <si>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</si>
  <si>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</si>
  <si>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</si>
  <si>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</si>
  <si>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</si>
  <si>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</si>
  <si>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</si>
  <si>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</si>
  <si>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</si>
  <si>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</si>
  <si>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</si>
  <si>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</si>
  <si>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</si>
  <si>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</si>
  <si>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</si>
  <si>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</si>
  <si>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</si>
  <si>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</si>
  <si>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</si>
  <si>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</si>
  <si>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</si>
  <si>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</si>
  <si>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</si>
  <si>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</si>
  <si>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</si>
  <si>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</si>
  <si>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</si>
  <si>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</si>
  <si>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</si>
  <si>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</si>
  <si>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</si>
  <si>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</si>
  <si>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</si>
  <si>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</si>
  <si>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</si>
  <si>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</si>
  <si>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</si>
  <si>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</si>
  <si>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</si>
  <si>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</si>
  <si>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</si>
  <si>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</si>
  <si>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</si>
  <si>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</si>
  <si>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</si>
  <si>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</si>
  <si>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</si>
  <si>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</si>
  <si>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</si>
  <si>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</si>
  <si>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</si>
  <si>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</si>
  <si>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</si>
  <si>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</si>
  <si>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</si>
  <si>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</si>
  <si>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</si>
  <si>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</si>
  <si>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</si>
  <si>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</si>
  <si>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</si>
  <si>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</si>
  <si>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</si>
  <si>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</si>
  <si>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</si>
  <si>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</si>
  <si>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</si>
  <si>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</si>
  <si>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</si>
  <si>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</si>
  <si>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</si>
  <si>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</si>
  <si>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</si>
  <si>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</si>
  <si>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</si>
  <si>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</si>
  <si>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</si>
  <si>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</si>
  <si>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</si>
  <si>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</si>
  <si>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</si>
  <si>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</si>
  <si>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</si>
  <si>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</si>
  <si>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</si>
  <si>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</si>
  <si>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</si>
  <si>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</si>
  <si>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</si>
  <si>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</si>
  <si>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</si>
  <si>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</si>
  <si>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</si>
  <si>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</si>
  <si>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</si>
  <si>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</si>
  <si>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</si>
  <si>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</si>
  <si>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</si>
  <si>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</si>
  <si>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</si>
  <si>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</si>
  <si>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</si>
  <si>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</si>
  <si>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</si>
  <si>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</si>
  <si>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</si>
  <si>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</si>
  <si>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</si>
  <si>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</si>
  <si>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</si>
  <si>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</si>
  <si>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</si>
  <si>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</si>
  <si>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</si>
  <si>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</si>
  <si>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</si>
  <si>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</si>
  <si>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</si>
  <si>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</si>
  <si>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</si>
  <si>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</si>
  <si>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</si>
  <si>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</si>
  <si>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</si>
  <si>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</si>
  <si>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</si>
  <si>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</si>
  <si>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</si>
  <si>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</si>
  <si>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</si>
  <si>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</si>
  <si>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</si>
  <si>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</si>
  <si>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</si>
  <si>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</si>
  <si>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</si>
  <si>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</si>
  <si>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</si>
  <si>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</si>
  <si>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</si>
  <si>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</si>
  <si>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</si>
  <si>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</si>
  <si>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</si>
  <si>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</si>
  <si>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</si>
  <si>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</si>
  <si>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</si>
  <si>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</si>
  <si>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</si>
  <si>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</si>
  <si>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</si>
  <si>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</si>
  <si>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</si>
  <si>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</si>
  <si>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</si>
  <si>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</si>
  <si>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</si>
  <si>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</si>
  <si>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</si>
  <si>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</si>
  <si>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</si>
  <si>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</si>
  <si>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</si>
  <si>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</si>
  <si>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</si>
  <si>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</si>
  <si>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</si>
  <si>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</si>
  <si>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</si>
  <si>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</si>
  <si>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</si>
  <si>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</si>
  <si>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</si>
  <si>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</si>
  <si>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</si>
  <si>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</si>
  <si>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</si>
  <si>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</si>
  <si>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</si>
  <si>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</si>
  <si>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</si>
  <si>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</si>
  <si>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</si>
  <si>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</si>
  <si>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</si>
  <si>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</si>
  <si>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</si>
  <si>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</si>
  <si>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</si>
  <si>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</si>
  <si>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</si>
  <si>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</si>
  <si>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</si>
  <si>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</si>
  <si>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</si>
  <si>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</si>
  <si>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</si>
  <si>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</si>
  <si>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</si>
  <si>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</si>
  <si>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</si>
  <si>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</si>
  <si>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</si>
  <si>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</si>
  <si>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</si>
  <si>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</si>
  <si>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</si>
  <si>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</si>
  <si>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</si>
  <si>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</si>
  <si>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</si>
  <si>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</si>
  <si>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</si>
  <si>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</si>
  <si>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</si>
  <si>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</si>
  <si>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</si>
  <si>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</si>
  <si>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</si>
  <si>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</si>
  <si>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</si>
  <si>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</si>
  <si>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</si>
  <si>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</si>
  <si>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</si>
  <si>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</si>
  <si>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</si>
  <si>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</si>
  <si>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</si>
  <si>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</si>
  <si>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</si>
  <si>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</si>
  <si>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</si>
  <si>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</si>
  <si>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</si>
  <si>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</si>
  <si>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</si>
  <si>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</si>
  <si>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</si>
  <si>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</si>
  <si>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</si>
  <si>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</si>
  <si>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</si>
  <si>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</si>
  <si>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</si>
  <si>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</si>
  <si>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</si>
  <si>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</si>
  <si>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</si>
  <si>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</si>
  <si>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</si>
  <si>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</si>
  <si>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</si>
  <si>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</si>
  <si>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</si>
  <si>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</si>
  <si>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</si>
  <si>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</si>
  <si>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</si>
  <si>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</si>
  <si>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</si>
  <si>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</si>
  <si>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</si>
  <si>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</si>
  <si>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</si>
  <si>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</si>
  <si>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</si>
  <si>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</si>
  <si>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</si>
  <si>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</si>
  <si>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</si>
  <si>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</si>
  <si>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</si>
  <si>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</si>
  <si>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</si>
  <si>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</si>
  <si>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</si>
  <si>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</si>
  <si>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</si>
  <si>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</si>
  <si>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</si>
  <si>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</si>
  <si>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</si>
  <si>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</si>
  <si>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Ver. 06.22.25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</si>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</sst>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5" fillId="0" borderId="0" xfId="0" applyFont="1"/>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Column1" queryTableFieldId="1"/>
    <tableColumn id="2" xr3:uid="{E95B5FD5-AB97-41CA-B5BA-9D46CF4F5670}" uniqueName="2" name="Column2"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5" tableType="queryTable" totalsRowShown="0">
  <autoFilter ref="A1:B25" xr:uid="{44B64AE2-EB40-4A89-B603-C2B04C1E14AD}"/>
  <tableColumns count="2">
    <tableColumn id="1" xr3:uid="{2EC31082-B752-4E14-A9AF-2F4937309D95}" uniqueName="1" name="Column1" queryTableFieldId="1"/>
    <tableColumn id="5" xr3:uid="{F4C60F15-632A-4C3D-A80A-5BD9D6E589C5}" uniqueName="5" name="Column2"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6"/>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5">
  <autoFilter ref="A1:C9" xr:uid="{8AF992F3-27EF-4265-960D-70EC6F74FAFA}"/>
  <sortState xmlns:xlrd2="http://schemas.microsoft.com/office/spreadsheetml/2017/richdata2" ref="A2:C9">
    <sortCondition ref="B1:B9"/>
  </sortState>
  <tableColumns count="3">
    <tableColumn id="1" xr3:uid="{1F7D0D09-7152-4679-B25C-65CF0E0AB2D4}" name="Type" dataDxfId="8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3"/>
    <tableColumn id="7" xr3:uid="{3E130632-D63E-485B-AA7F-FF01BB115CD8}" uniqueName="7" name="AddressLine2" queryTableFieldId="7" dataDxfId="82"/>
    <tableColumn id="8" xr3:uid="{B07B805E-B475-4FEF-A83E-C870164F0C1C}" uniqueName="8" name="AddressLine3" queryTableFieldId="8" dataDxfId="81"/>
    <tableColumn id="9" xr3:uid="{3603DEDD-08A6-4233-A5D5-79D5A1A0055E}" uniqueName="9" name="FormNumber" queryTableFieldId="9" dataDxfId="80"/>
    <tableColumn id="10" xr3:uid="{B63B6E05-D199-4BCD-9A28-28B5F5832CE0}" uniqueName="10" name="CalibrationMethod" queryTableFieldId="10" dataDxfId="79"/>
    <tableColumn id="11" xr3:uid="{EC51B02C-FD97-492B-BF24-15D683C6ED4C}" uniqueName="11" name="ToleranceSource" queryTableFieldId="11" dataDxfId="78"/>
    <tableColumn id="12" xr3:uid="{706BF144-B069-4B3F-AFB9-7848E93D758C}" uniqueName="12" name="Item" queryTableFieldId="12" dataDxfId="7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6"/>
    <tableColumn id="18" xr3:uid="{2B4941C4-9755-4A0D-86C3-2C668815DEF2}" uniqueName="18" name="Tolerance" queryTableFieldId="18" dataDxfId="75"/>
    <tableColumn id="19" xr3:uid="{756D3CB6-E1A4-4B24-93A7-8AB4732E9BE6}" uniqueName="19" name="HeatingMethod" queryTableFieldId="19" dataDxfId="74"/>
    <tableColumn id="20" xr3:uid="{A46E5597-E3E9-444B-8D64-D35898DCC2B4}" uniqueName="20" name="WorkingZoneSize" queryTableFieldId="20" dataDxfId="7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2"/>
    <tableColumn id="32" xr3:uid="{1852EB3E-F034-42EA-8A35-98DDD1845F7B}" uniqueName="32" name="TestLocation" queryTableFieldId="32" dataDxfId="71"/>
    <tableColumn id="33" xr3:uid="{15129CDA-47B3-4B02-8524-3F9672DC4216}" uniqueName="33" name="OvenLocation" queryTableFieldId="33" dataDxfId="70"/>
    <tableColumn id="34" xr3:uid="{F4A9D00F-E54E-4736-976C-15166BF81AEF}" uniqueName="34" name="Condition" queryTableFieldId="34" dataDxfId="6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67" dataDxfId="66">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5" dataDxfId="6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63"/>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Column1" queryTableFieldId="1"/>
    <tableColumn id="67" xr3:uid="{001D00FD-1B09-486F-8FC5-D73CCE6BC900}" uniqueName="67" name="Column2" queryTableFieldId="155"/>
    <tableColumn id="68" xr3:uid="{96202F99-45CE-4263-9E73-CA07BBFF784B}" uniqueName="68" name="Column3" queryTableFieldId="156"/>
    <tableColumn id="69" xr3:uid="{14BC76BB-A197-4DF8-9617-1D7AD5FDBFD9}" uniqueName="69" name="Column4" queryTableFieldId="157"/>
    <tableColumn id="70" xr3:uid="{E7FC9399-E59F-41F7-A9BC-10121318E4C8}" uniqueName="70" name="Column5" queryTableFieldId="158"/>
    <tableColumn id="71" xr3:uid="{8F3E43CA-3E81-4AFC-BAB7-EC0678FABC2D}" uniqueName="71" name="Column6" queryTableFieldId="159"/>
    <tableColumn id="72" xr3:uid="{FB1A60DB-284A-45E4-936E-9F5D334A7166}" uniqueName="72" name="Column7" queryTableFieldId="160"/>
    <tableColumn id="73" xr3:uid="{791A1F3B-1BD0-4710-8249-627B494D442B}" uniqueName="73" name="Column8" queryTableFieldId="161"/>
    <tableColumn id="74" xr3:uid="{018DC03F-1263-432D-B466-980FA19FF41C}" uniqueName="74" name="Column9" queryTableFieldId="162"/>
    <tableColumn id="75" xr3:uid="{96246A9E-00ED-41F1-8BA5-283C2718B4BA}" uniqueName="75" name="Column10" queryTableFieldId="163"/>
    <tableColumn id="76" xr3:uid="{A49B5F35-519F-4F79-9058-CB16228F9F53}" uniqueName="76" name="Column11" queryTableFieldId="164"/>
    <tableColumn id="77" xr3:uid="{3C1578B5-1824-4CF0-ACC1-2814D4FD53BE}" uniqueName="77" name="Column12" queryTableFieldId="16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7" dataDxfId="16" headerRowCellStyle="Normal 2" dataCellStyle="Normal 2">
  <autoFilter ref="U11:V25" xr:uid="{DCCFF26E-EC5C-4962-98DB-A7DA1F3C8CE2}"/>
  <tableColumns count="2">
    <tableColumn id="1" xr3:uid="{DFC40837-B092-4826-9847-4A23BE22020F}" name="4" dataDxfId="15" dataCellStyle="Normal 2"/>
    <tableColumn id="2" xr3:uid="{0711DB07-19DA-4D5E-A417-C242A0304453}" name="10" dataDxfId="14"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8"/>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c r="B1"/>
    </row>
    <row r="8" spans="1:2" x14ac:dyDescent="0.2">
      <c r="A8" s="4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924</v>
      </c>
      <c r="B1" s="176"/>
      <c r="C1" s="550" t="s">
        <v>62</v>
      </c>
      <c r="D1" s="551"/>
      <c r="E1" s="551"/>
      <c r="F1" s="551"/>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52" t="s">
        <v>126</v>
      </c>
      <c r="K3" s="553"/>
      <c r="L3" s="554"/>
      <c r="M3" s="179"/>
      <c r="N3" s="569" t="s">
        <v>115</v>
      </c>
      <c r="O3" s="569"/>
      <c r="P3" s="569"/>
      <c r="Q3" s="569"/>
      <c r="R3" s="569"/>
      <c r="S3" s="569"/>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57" t="s">
        <v>4</v>
      </c>
      <c r="K4" s="558"/>
      <c r="L4" s="189">
        <f ca="1">IF(ISERROR(Access_Data!$D$33),0,Access_Data!$D$33)</f>
        <v>0</v>
      </c>
      <c r="M4" s="179"/>
      <c r="N4" s="190" t="s">
        <v>114</v>
      </c>
      <c r="O4" s="191" t="s">
        <v>113</v>
      </c>
      <c r="P4" s="555" t="s">
        <v>124</v>
      </c>
      <c r="Q4" s="556"/>
      <c r="R4" s="192" t="s">
        <v>161</v>
      </c>
      <c r="S4" s="192" t="s">
        <v>165</v>
      </c>
      <c r="T4" s="185"/>
      <c r="U4" s="428"/>
      <c r="V4" s="428"/>
      <c r="W4" s="428"/>
      <c r="X4" s="428"/>
      <c r="Y4" s="428"/>
      <c r="Z4" s="428"/>
      <c r="AA4" s="428"/>
      <c r="AB4" s="428"/>
      <c r="AC4" s="188"/>
    </row>
    <row r="5" spans="1:29" x14ac:dyDescent="0.2">
      <c r="A5" s="181"/>
      <c r="B5" s="186"/>
      <c r="C5" s="187" t="s">
        <v>53</v>
      </c>
      <c r="D5" s="573" t="e">
        <f>companyName</f>
        <v>#N/A</v>
      </c>
      <c r="E5" s="574"/>
      <c r="F5" s="574"/>
      <c r="G5" s="574"/>
      <c r="H5" s="575"/>
      <c r="I5" s="500" t="e">
        <f>VLOOKUP(D5,customers_table[],5,FALSE)</f>
        <v>#N/A</v>
      </c>
      <c r="J5" s="557" t="s">
        <v>5</v>
      </c>
      <c r="K5" s="558"/>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70" t="e">
        <f>VLOOKUP("assetName",WorkItemDetails[],2,FALSE)</f>
        <v>#N/A</v>
      </c>
      <c r="E6" s="571"/>
      <c r="F6" s="571"/>
      <c r="G6" s="571"/>
      <c r="H6" s="572"/>
      <c r="I6" s="478"/>
      <c r="J6" s="557" t="s">
        <v>125</v>
      </c>
      <c r="K6" s="558"/>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519"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67" t="str">
        <f>IFERROR(VLOOKUP("PoNumber",WorkItemDetails[],2,FALSE),"")</f>
        <v/>
      </c>
      <c r="L13" s="568"/>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576"/>
      <c r="L14" s="577"/>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61"/>
      <c r="L15" s="562"/>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23" t="s">
        <v>191</v>
      </c>
      <c r="K16" s="524"/>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v>
      </c>
      <c r="I17" s="184"/>
      <c r="J17" s="523" t="s">
        <v>192</v>
      </c>
      <c r="K17" s="524"/>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59" t="str">
        <f>IF(K15="Salt",0, IF(OR(K15="Hot",K15="SIM Load Hot"),IF(OR(D26="",D28=""),"N/A",IF(ISBLANK(D26),"N/A",D28-D26)),"N/A"))</f>
        <v>N/A</v>
      </c>
      <c r="H19" s="560"/>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63" t="str">
        <f>IF(I94=TRUE,"SAT Tolerance (per AMS2750):","SAT Tolerance (per BAC5621):")</f>
        <v>SAT Tolerance (per AMS2750):</v>
      </c>
      <c r="C20" s="564"/>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40" t="s">
        <v>413</v>
      </c>
      <c r="H23" s="541"/>
      <c r="I23" s="541"/>
      <c r="J23" s="541"/>
      <c r="K23" s="542"/>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408</v>
      </c>
      <c r="AA23" s="428"/>
      <c r="AB23" s="428"/>
      <c r="AC23" s="188"/>
    </row>
    <row r="24" spans="1:29" x14ac:dyDescent="0.2">
      <c r="A24" s="181"/>
      <c r="B24" s="565" t="s">
        <v>597</v>
      </c>
      <c r="C24" s="566"/>
      <c r="D24" s="493" t="e" cm="1" vm="2">
        <f t="array" ref="D24">_xlfn.REGEXEXTRACT(WorkItemNumber, "-\d{2}(R\d{1,2})?$")</f>
        <v>#N/A</v>
      </c>
      <c r="E24" s="179"/>
      <c r="F24" s="224" t="s">
        <v>122</v>
      </c>
      <c r="G24" s="543"/>
      <c r="H24" s="544"/>
      <c r="I24" s="544"/>
      <c r="J24" s="544"/>
      <c r="K24" s="545"/>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409</v>
      </c>
      <c r="AA24" s="428"/>
      <c r="AB24" s="428"/>
      <c r="AC24" s="188"/>
    </row>
    <row r="25" spans="1:29" x14ac:dyDescent="0.2">
      <c r="A25" s="181"/>
      <c r="B25" s="202"/>
      <c r="C25" s="209"/>
      <c r="D25" s="204"/>
      <c r="E25" s="179"/>
      <c r="F25" s="224" t="s">
        <v>123</v>
      </c>
      <c r="G25" s="543"/>
      <c r="H25" s="544"/>
      <c r="I25" s="544"/>
      <c r="J25" s="544"/>
      <c r="K25" s="545"/>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410</v>
      </c>
      <c r="AA25" s="428"/>
      <c r="AB25" s="428"/>
      <c r="AC25" s="188"/>
    </row>
    <row r="26" spans="1:29" x14ac:dyDescent="0.2">
      <c r="A26" s="181"/>
      <c r="B26" s="212"/>
      <c r="C26" s="213" t="s">
        <v>76</v>
      </c>
      <c r="D26" s="51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512"/>
      <c r="E27" s="225"/>
      <c r="F27" s="368" t="s">
        <v>304</v>
      </c>
      <c r="G27" s="367">
        <f>IF(CheckRec="y","Cal by Customer",D$3)</f>
        <v>0</v>
      </c>
      <c r="H27" s="538" t="str">
        <f>IF(ISBLANK(D6),"",IF(CheckRec="x","CHECK INSTRUMENT CAL DATES!!!!             CHECK INSTRUMENT CAL DATES!!!!",""))</f>
        <v/>
      </c>
      <c r="I27" s="539"/>
      <c r="J27" s="539"/>
      <c r="K27" s="539"/>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512"/>
      <c r="E28" s="225"/>
      <c r="F28" s="368" t="s">
        <v>305</v>
      </c>
      <c r="G28" s="367">
        <f>IF(CheckRec="y","Cal by Customer",D$3)</f>
        <v>0</v>
      </c>
      <c r="H28" s="538"/>
      <c r="I28" s="539"/>
      <c r="J28" s="539"/>
      <c r="K28" s="539"/>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414</v>
      </c>
      <c r="AA29" s="428"/>
      <c r="AB29" s="428"/>
      <c r="AC29" s="188"/>
    </row>
    <row r="30" spans="1:29" x14ac:dyDescent="0.2">
      <c r="A30" s="181"/>
      <c r="B30" s="429">
        <v>45</v>
      </c>
      <c r="C30" s="216" t="s">
        <v>79</v>
      </c>
      <c r="D30" s="512"/>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52" t="s">
        <v>61</v>
      </c>
      <c r="C34" s="553"/>
      <c r="D34" s="553"/>
      <c r="E34" s="553"/>
      <c r="F34" s="553"/>
      <c r="G34" s="553"/>
      <c r="H34" s="553"/>
      <c r="I34" s="553"/>
      <c r="J34" s="553"/>
      <c r="K34" s="553"/>
      <c r="L34" s="554"/>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20" t="s">
        <v>45</v>
      </c>
      <c r="E46" s="521"/>
      <c r="F46" s="521"/>
      <c r="G46" s="521"/>
      <c r="H46" s="521"/>
      <c r="I46" s="522"/>
      <c r="J46" s="369"/>
      <c r="K46" s="369"/>
      <c r="L46" s="369"/>
      <c r="M46" s="546" t="s">
        <v>363</v>
      </c>
      <c r="N46" s="547"/>
      <c r="O46" s="548"/>
      <c r="P46" s="549"/>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27" t="s">
        <v>366</v>
      </c>
      <c r="Q47" s="527"/>
      <c r="R47" s="373" t="s">
        <v>367</v>
      </c>
      <c r="S47" s="370"/>
      <c r="T47" s="370"/>
      <c r="U47" s="370"/>
    </row>
    <row r="48" spans="1:29" x14ac:dyDescent="0.2">
      <c r="A48" s="181"/>
      <c r="B48" s="249"/>
      <c r="C48" s="509" t="s">
        <v>46</v>
      </c>
      <c r="D48" s="508"/>
      <c r="E48" s="508"/>
      <c r="F48" s="508"/>
      <c r="G48" s="508"/>
      <c r="H48" s="508"/>
      <c r="I48" s="508"/>
      <c r="J48" s="369"/>
      <c r="K48" s="369"/>
      <c r="L48" s="369"/>
      <c r="M48" s="528" t="s">
        <v>368</v>
      </c>
      <c r="N48" s="528"/>
      <c r="O48" s="389"/>
      <c r="P48" s="529" t="s">
        <v>425</v>
      </c>
      <c r="Q48" s="530"/>
      <c r="R48" s="531"/>
      <c r="S48" s="433"/>
      <c r="T48" s="437"/>
      <c r="U48" s="529" t="s">
        <v>428</v>
      </c>
      <c r="V48" s="530"/>
      <c r="W48" s="531"/>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32" t="s">
        <v>430</v>
      </c>
      <c r="Q49" s="533"/>
      <c r="R49" s="534"/>
      <c r="S49" s="457"/>
      <c r="T49" s="439"/>
      <c r="U49" s="532" t="s">
        <v>429</v>
      </c>
      <c r="V49" s="533"/>
      <c r="W49" s="534"/>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35" t="s">
        <v>371</v>
      </c>
      <c r="Q50" s="536"/>
      <c r="R50" s="537"/>
      <c r="S50" s="436"/>
      <c r="T50" s="440"/>
      <c r="U50" s="535" t="s">
        <v>371</v>
      </c>
      <c r="V50" s="536"/>
      <c r="W50" s="537"/>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32" t="s">
        <v>426</v>
      </c>
      <c r="Q51" s="533"/>
      <c r="R51" s="534"/>
      <c r="S51" s="457"/>
      <c r="T51" s="442"/>
      <c r="U51" s="532" t="s">
        <v>431</v>
      </c>
      <c r="V51" s="533"/>
      <c r="W51" s="534"/>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35" t="s">
        <v>371</v>
      </c>
      <c r="Q52" s="536"/>
      <c r="R52" s="537"/>
      <c r="S52" s="436"/>
      <c r="T52" s="441"/>
      <c r="U52" s="535" t="s">
        <v>371</v>
      </c>
      <c r="V52" s="536"/>
      <c r="W52" s="537"/>
      <c r="X52" s="370"/>
    </row>
    <row r="53" spans="1:24" ht="12.75" customHeight="1" x14ac:dyDescent="0.2">
      <c r="A53" s="181"/>
      <c r="B53" s="249"/>
      <c r="C53" s="376" t="s">
        <v>74</v>
      </c>
      <c r="D53" s="510" t="str">
        <f>_xlfn.XLOOKUP(D$48,WireSets[serial_number],WireSets[Max],"",0)</f>
        <v/>
      </c>
      <c r="E53" s="510" t="str">
        <f>_xlfn.XLOOKUP(E$48,WireSets[serial_number],WireSets[Max],"",0)</f>
        <v/>
      </c>
      <c r="F53" s="510" t="str">
        <f>_xlfn.XLOOKUP(F$48,WireSets[serial_number],WireSets[Max],"",0)</f>
        <v/>
      </c>
      <c r="G53" s="510" t="str">
        <f>_xlfn.XLOOKUP(G$48,WireSets[serial_number],WireSets[Max],"",0)</f>
        <v/>
      </c>
      <c r="H53" s="510" t="str">
        <f>_xlfn.XLOOKUP(H$48,WireSets[serial_number],WireSets[Max],"",0)</f>
        <v/>
      </c>
      <c r="I53" s="510" t="str">
        <f>_xlfn.XLOOKUP(I$48,WireSets[serial_number],WireSets[Max],"",0)</f>
        <v/>
      </c>
      <c r="J53" s="369"/>
      <c r="K53" s="427"/>
      <c r="L53" s="427"/>
      <c r="M53" s="412" t="s">
        <v>373</v>
      </c>
      <c r="N53" s="374" t="str">
        <f>IF(Other2="","",Other2)</f>
        <v/>
      </c>
      <c r="O53" s="304"/>
      <c r="P53" s="578" t="s">
        <v>427</v>
      </c>
      <c r="Q53" s="579"/>
      <c r="R53" s="580"/>
      <c r="S53" s="458"/>
      <c r="T53" s="438"/>
      <c r="U53" s="578" t="s">
        <v>432</v>
      </c>
      <c r="V53" s="579"/>
      <c r="W53" s="580"/>
      <c r="X53" s="391"/>
    </row>
    <row r="54" spans="1:24" x14ac:dyDescent="0.2">
      <c r="A54" s="181"/>
      <c r="B54" s="249"/>
      <c r="C54" s="377" t="s">
        <v>106</v>
      </c>
      <c r="D54" s="518" t="str">
        <f>_xlfn.XLOOKUP(D$48,WireSets[serial_number],WireSets[certificate_number],"",0)</f>
        <v/>
      </c>
      <c r="E54" s="518" t="str">
        <f>_xlfn.XLOOKUP(E$48,WireSets[serial_number],WireSets[certificate_number],"",0)</f>
        <v/>
      </c>
      <c r="F54" s="518" t="str">
        <f>_xlfn.XLOOKUP(F$48,WireSets[serial_number],WireSets[certificate_number],"",0)</f>
        <v/>
      </c>
      <c r="G54" s="518" t="str">
        <f>_xlfn.XLOOKUP(G$48,WireSets[serial_number],WireSets[certificate_number],"",0)</f>
        <v/>
      </c>
      <c r="H54" s="518" t="str">
        <f>_xlfn.XLOOKUP(H$48,WireSets[serial_number],WireSets[certificate_number],"",0)</f>
        <v/>
      </c>
      <c r="I54" s="518" t="str">
        <f>_xlfn.XLOOKUP(I$48,WireSets[serial_number],WireSets[certificate_number],"",0)</f>
        <v/>
      </c>
      <c r="J54" s="305"/>
      <c r="K54" s="413"/>
      <c r="L54" s="414"/>
      <c r="M54" s="415" t="s">
        <v>401</v>
      </c>
      <c r="N54" s="424" t="s">
        <v>405</v>
      </c>
      <c r="O54" s="225"/>
      <c r="P54" s="581"/>
      <c r="Q54" s="582"/>
      <c r="R54" s="583"/>
      <c r="S54" s="435"/>
      <c r="T54" s="432"/>
      <c r="U54" s="581"/>
      <c r="V54" s="582"/>
      <c r="W54" s="583"/>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20" t="s">
        <v>184</v>
      </c>
      <c r="D58" s="521"/>
      <c r="E58" s="521"/>
      <c r="F58" s="521"/>
      <c r="G58" s="521"/>
      <c r="H58" s="521"/>
      <c r="I58" s="521"/>
      <c r="J58" s="521"/>
      <c r="K58" s="525"/>
      <c r="L58" s="526"/>
      <c r="M58" s="320"/>
      <c r="N58" s="320"/>
      <c r="O58" s="320"/>
      <c r="P58" s="320"/>
      <c r="Q58" s="320"/>
      <c r="R58" s="370"/>
      <c r="S58" s="370"/>
      <c r="T58" s="370"/>
      <c r="U58" s="370"/>
    </row>
    <row r="59" spans="1:24" x14ac:dyDescent="0.2">
      <c r="A59" s="181"/>
      <c r="B59" s="247"/>
      <c r="C59" s="520" t="s">
        <v>189</v>
      </c>
      <c r="D59" s="521"/>
      <c r="E59" s="521"/>
      <c r="F59" s="521"/>
      <c r="G59" s="521"/>
      <c r="H59" s="521"/>
      <c r="I59" s="521"/>
      <c r="J59" s="521"/>
      <c r="K59" s="521"/>
      <c r="L59" s="522"/>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e" cm="1">
        <f t="array" ref="B72:B85">TRANSPOSE(TUS_Worksheet!C$13:P$13)</f>
        <v>#N/A</v>
      </c>
      <c r="C72" s="281">
        <v>1</v>
      </c>
      <c r="D72" s="282" t="e" cm="1">
        <f t="array" ref="D72:D111">IF(B72:B111="","",C72:C111)</f>
        <v>#N/A</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e">
        <v>#N/A</v>
      </c>
      <c r="C73" s="281">
        <v>2</v>
      </c>
      <c r="D73" s="282" t="e">
        <v>#N/A</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e">
        <v>#N/A</v>
      </c>
      <c r="C74" s="281">
        <v>3</v>
      </c>
      <c r="D74" s="282" t="e">
        <v>#N/A</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e">
        <v>#N/A</v>
      </c>
      <c r="C75" s="281">
        <v>4</v>
      </c>
      <c r="D75" s="282" t="e">
        <v>#N/A</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e">
        <v>#N/A</v>
      </c>
      <c r="C76" s="281">
        <v>5</v>
      </c>
      <c r="D76" s="282" t="e">
        <v>#N/A</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e">
        <v>#N/A</v>
      </c>
      <c r="C77" s="281">
        <v>6</v>
      </c>
      <c r="D77" s="282" t="e">
        <v>#N/A</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e">
        <v>#N/A</v>
      </c>
      <c r="C78" s="281">
        <v>7</v>
      </c>
      <c r="D78" s="282" t="e">
        <v>#N/A</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e">
        <v>#N/A</v>
      </c>
      <c r="C79" s="281">
        <v>8</v>
      </c>
      <c r="D79" s="282" t="e">
        <v>#N/A</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e">
        <v>#N/A</v>
      </c>
      <c r="C80" s="281">
        <v>9</v>
      </c>
      <c r="D80" s="282" t="e">
        <v>#N/A</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e">
        <v>#N/A</v>
      </c>
      <c r="C81" s="281">
        <v>10</v>
      </c>
      <c r="D81" s="282" t="e">
        <v>#N/A</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e">
        <v>#N/A</v>
      </c>
      <c r="C82" s="281">
        <v>11</v>
      </c>
      <c r="D82" s="282" t="e">
        <v>#N/A</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e">
        <v>#N/A</v>
      </c>
      <c r="C83" s="281">
        <v>12</v>
      </c>
      <c r="D83" s="282" t="e">
        <v>#N/A</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e">
        <v>#N/A</v>
      </c>
      <c r="C84" s="281">
        <v>13</v>
      </c>
      <c r="D84" s="282" t="e">
        <v>#N/A</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e">
        <v>#N/A</v>
      </c>
      <c r="C85" s="281">
        <v>14</v>
      </c>
      <c r="D85" s="282" t="e">
        <v>#N/A</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e" cm="1">
        <f t="array" ref="B86:B99">TRANSPOSE(TUS_Worksheet!C$19:P$19)</f>
        <v>#N/A</v>
      </c>
      <c r="C86" s="281">
        <v>15</v>
      </c>
      <c r="D86" s="282" t="e">
        <v>#N/A</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e">
        <v>#N/A</v>
      </c>
      <c r="C87" s="281">
        <v>16</v>
      </c>
      <c r="D87" s="282" t="e">
        <v>#N/A</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e">
        <v>#N/A</v>
      </c>
      <c r="C88" s="281">
        <v>17</v>
      </c>
      <c r="D88" s="282" t="e">
        <v>#N/A</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e">
        <v>#N/A</v>
      </c>
      <c r="C89" s="281">
        <v>18</v>
      </c>
      <c r="D89" s="282" t="e">
        <v>#N/A</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e">
        <v>#N/A</v>
      </c>
      <c r="C90" s="281">
        <v>19</v>
      </c>
      <c r="D90" s="282" t="e">
        <v>#N/A</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e">
        <v>#N/A</v>
      </c>
      <c r="C91" s="281">
        <v>20</v>
      </c>
      <c r="D91" s="282" t="e">
        <v>#N/A</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e">
        <v>#N/A</v>
      </c>
      <c r="C92" s="281">
        <v>21</v>
      </c>
      <c r="D92" s="282" t="e">
        <v>#N/A</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e">
        <v>#N/A</v>
      </c>
      <c r="C93" s="281">
        <v>22</v>
      </c>
      <c r="D93" s="282" t="e">
        <v>#N/A</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e">
        <v>#N/A</v>
      </c>
      <c r="C94" s="281">
        <v>23</v>
      </c>
      <c r="D94" s="282" t="e">
        <v>#N/A</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e">
        <v>#N/A</v>
      </c>
      <c r="C95" s="281">
        <v>24</v>
      </c>
      <c r="D95" s="282" t="e">
        <v>#N/A</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e">
        <v>#N/A</v>
      </c>
      <c r="C96" s="281">
        <v>25</v>
      </c>
      <c r="D96" s="282" t="e">
        <v>#N/A</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e">
        <v>#N/A</v>
      </c>
      <c r="C97" s="281">
        <v>26</v>
      </c>
      <c r="D97" s="282" t="e">
        <v>#N/A</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e">
        <v>#N/A</v>
      </c>
      <c r="C98" s="281">
        <v>27</v>
      </c>
      <c r="D98" s="282" t="e">
        <v>#N/A</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e">
        <v>#N/A</v>
      </c>
      <c r="C99" s="281">
        <v>28</v>
      </c>
      <c r="D99" s="282" t="e">
        <v>#N/A</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e" cm="1">
        <f t="array" ref="B100:B111">TRANSPOSE(TUS_Worksheet!C$25:N$25)</f>
        <v>#N/A</v>
      </c>
      <c r="C100" s="281">
        <v>29</v>
      </c>
      <c r="D100" s="282" t="e">
        <v>#N/A</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e">
        <v>#N/A</v>
      </c>
      <c r="C101" s="281">
        <v>30</v>
      </c>
      <c r="D101" s="282" t="e">
        <v>#N/A</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e">
        <v>#N/A</v>
      </c>
      <c r="C102" s="281">
        <v>31</v>
      </c>
      <c r="D102" s="282" t="e">
        <v>#N/A</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e">
        <v>#N/A</v>
      </c>
      <c r="C103" s="281">
        <v>32</v>
      </c>
      <c r="D103" s="282" t="e">
        <v>#N/A</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e">
        <v>#N/A</v>
      </c>
      <c r="C104" s="281">
        <v>33</v>
      </c>
      <c r="D104" s="282" t="e">
        <v>#N/A</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e">
        <v>#N/A</v>
      </c>
      <c r="C105" s="281">
        <v>34</v>
      </c>
      <c r="D105" s="282" t="e">
        <v>#N/A</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e">
        <v>#N/A</v>
      </c>
      <c r="C106" s="281">
        <v>35</v>
      </c>
      <c r="D106" s="282" t="e">
        <v>#N/A</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e">
        <v>#N/A</v>
      </c>
      <c r="C107" s="281">
        <v>36</v>
      </c>
      <c r="D107" s="282" t="e">
        <v>#N/A</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e">
        <v>#N/A</v>
      </c>
      <c r="C108" s="281">
        <v>37</v>
      </c>
      <c r="D108" s="282" t="e">
        <v>#N/A</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e">
        <v>#N/A</v>
      </c>
      <c r="C109" s="281">
        <v>38</v>
      </c>
      <c r="D109" s="282" t="e">
        <v>#N/A</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e">
        <v>#N/A</v>
      </c>
      <c r="C110" s="281">
        <v>39</v>
      </c>
      <c r="D110" s="282" t="e">
        <v>#N/A</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e">
        <v>#N/A</v>
      </c>
      <c r="C111" s="281">
        <v>40</v>
      </c>
      <c r="D111" s="282" t="e">
        <v>#N/A</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HzMyW4KH3FafmKW/syU7c1oHdXlp69S/29Ffjt+xSkVlu0wyW6BOidZeF5D5vtSW5RG2zgcNPOEwQktaISexIg==" saltValue="7bmQk7/nQABjCh3G2pp/Nw==" spinCount="100000" sheet="1" objects="1" scenarios="1" selectLockedCells="1" autoFilter="0"/>
  <dataConsolidate/>
  <mergeCells count="40">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lzXbVssGNkIbfXqEtQXB9NH4SY+P4NLoSiufEOZwOkUpb7tbmqSgSs6dLdZjgXZP1DmStoSJFKI6bAJTSFNG+w==" saltValue="mvSwVYa0/03WIgqwgOT3Q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wA41skPqmBgEai/Elzkzlnez/Eq7D1jxdpR7zB3xLmh6Mmy+v36XtVAj8FvCBDIiJGKRoiLQNcbJEGOHGxL/xQ==" saltValue="RIc1xZPqWMnoV89fuFk5a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07" t="s">
        <v>140</v>
      </c>
      <c r="E1" s="607"/>
      <c r="F1" s="607"/>
      <c r="G1" s="607"/>
      <c r="H1" s="607"/>
      <c r="I1" s="607"/>
      <c r="J1" s="607"/>
      <c r="K1" s="607"/>
      <c r="L1" s="607"/>
      <c r="M1" s="607"/>
    </row>
    <row r="2" spans="1:18" ht="23.25" customHeight="1" x14ac:dyDescent="0.3">
      <c r="C2" s="358"/>
      <c r="D2" s="358" t="s">
        <v>356</v>
      </c>
      <c r="E2" s="358"/>
      <c r="F2" s="358"/>
      <c r="G2" s="358"/>
      <c r="H2" s="358"/>
      <c r="I2" s="358"/>
      <c r="J2" s="358"/>
      <c r="K2" s="358"/>
      <c r="L2" s="358"/>
      <c r="M2" s="358"/>
    </row>
    <row r="3" spans="1:18" ht="23.25" x14ac:dyDescent="0.35">
      <c r="C3" s="608"/>
      <c r="D3" s="608"/>
      <c r="E3" s="608"/>
      <c r="F3" s="608"/>
      <c r="G3" s="608"/>
      <c r="H3" s="608"/>
      <c r="I3" s="608"/>
      <c r="J3" s="608"/>
      <c r="K3" s="608"/>
      <c r="L3" s="608"/>
      <c r="M3" s="608"/>
    </row>
    <row r="4" spans="1:18" ht="23.25" x14ac:dyDescent="0.35">
      <c r="C4" s="342"/>
      <c r="D4" s="342"/>
      <c r="E4" s="342"/>
      <c r="F4" s="342"/>
      <c r="G4" s="342"/>
      <c r="H4" s="342"/>
      <c r="I4" s="342"/>
      <c r="J4" s="342"/>
      <c r="K4" s="342"/>
      <c r="L4" s="342"/>
      <c r="M4" s="342"/>
    </row>
    <row r="5" spans="1:18" ht="23.25" x14ac:dyDescent="0.35">
      <c r="C5" s="604" t="s">
        <v>18</v>
      </c>
      <c r="D5" s="604"/>
      <c r="E5" s="604"/>
      <c r="F5" s="604"/>
      <c r="G5" s="604"/>
      <c r="H5" s="604"/>
      <c r="I5" s="604"/>
      <c r="J5" s="604"/>
      <c r="K5" s="604"/>
      <c r="L5" s="604"/>
      <c r="M5" s="604"/>
    </row>
    <row r="6" spans="1:18" ht="23.25" x14ac:dyDescent="0.35">
      <c r="C6" s="343"/>
      <c r="D6" s="343"/>
      <c r="E6" s="624" t="str">
        <f>IF(Main!K14="","",CONCATENATE("Report Number: ", WorkItemNumber))</f>
        <v/>
      </c>
      <c r="F6" s="624"/>
      <c r="G6" s="624"/>
      <c r="H6" s="624"/>
      <c r="I6" s="624"/>
      <c r="J6" s="624"/>
      <c r="K6" s="624"/>
      <c r="L6" s="343"/>
      <c r="M6" s="343"/>
    </row>
    <row r="7" spans="1:18" ht="18.75" customHeight="1" x14ac:dyDescent="0.3">
      <c r="G7" s="605"/>
      <c r="H7" s="605"/>
      <c r="I7" s="316"/>
      <c r="R7" t="str">
        <f>CONCATENATE("Page ",Main!L9," of ",Main!L10)</f>
        <v xml:space="preserve">Page  of </v>
      </c>
    </row>
    <row r="8" spans="1:18" ht="18" customHeight="1" x14ac:dyDescent="0.25">
      <c r="G8" s="617"/>
      <c r="H8" s="617"/>
      <c r="J8" s="106"/>
      <c r="K8" s="344" t="s">
        <v>353</v>
      </c>
      <c r="L8" s="627" t="str">
        <f>FormNumber</f>
        <v>40100 Revision C 12-26-19</v>
      </c>
      <c r="M8" s="627"/>
      <c r="N8" s="627"/>
      <c r="O8" s="627"/>
    </row>
    <row r="9" spans="1:18" ht="18" customHeight="1" x14ac:dyDescent="0.25">
      <c r="A9" s="344" t="s">
        <v>309</v>
      </c>
      <c r="B9" s="38" t="e">
        <f>Main!D5</f>
        <v>#N/A</v>
      </c>
      <c r="J9" s="106"/>
      <c r="K9" s="344" t="s">
        <v>354</v>
      </c>
      <c r="L9" s="619" t="str">
        <f>CalMethod</f>
        <v>JGI WP4100, AMS 2750H</v>
      </c>
      <c r="M9" s="619"/>
      <c r="N9" s="619"/>
      <c r="O9" s="619"/>
    </row>
    <row r="10" spans="1:18" ht="18" customHeight="1" x14ac:dyDescent="0.25">
      <c r="A10" s="118"/>
      <c r="B10" s="339" t="e">
        <f>_xlfn.XLOOKUP(clientCompanyId,customers_table[company_id],customers_table[Address1])</f>
        <v>#N/A</v>
      </c>
      <c r="J10" s="106"/>
      <c r="K10" s="344"/>
      <c r="L10" s="619"/>
      <c r="M10" s="619"/>
      <c r="N10" s="619"/>
      <c r="O10" s="619"/>
    </row>
    <row r="11" spans="1:18" ht="18" customHeight="1" x14ac:dyDescent="0.25">
      <c r="A11" s="118"/>
      <c r="B11" s="339" t="e">
        <f>_xlfn.XLOOKUP(clientCompanyId,customers_table[company_id],customers_table[Merged])</f>
        <v>#N/A</v>
      </c>
      <c r="J11" s="106"/>
      <c r="K11" s="344" t="s">
        <v>355</v>
      </c>
      <c r="L11" s="627" t="str">
        <f>TolSource</f>
        <v>Customer</v>
      </c>
      <c r="M11" s="627"/>
      <c r="N11" s="627"/>
      <c r="O11" s="627"/>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HOT FORM PRESS</v>
      </c>
      <c r="C14" s="347"/>
      <c r="D14" s="347"/>
      <c r="E14" s="347"/>
      <c r="F14" s="321"/>
      <c r="G14" s="335" t="s">
        <v>315</v>
      </c>
      <c r="H14" s="346" t="str">
        <f>Range</f>
        <v>1400°F/1675°F</v>
      </c>
      <c r="I14" s="321"/>
      <c r="J14" s="321"/>
      <c r="K14" s="321"/>
      <c r="L14" s="321"/>
      <c r="M14" s="335" t="s">
        <v>320</v>
      </c>
      <c r="N14" s="346" t="str">
        <f>Main!D7</f>
        <v>Jeff Hall</v>
      </c>
      <c r="O14" s="322"/>
    </row>
    <row r="15" spans="1:18" ht="18" customHeight="1" x14ac:dyDescent="0.25">
      <c r="A15" s="350" t="s">
        <v>311</v>
      </c>
      <c r="B15" s="348" t="str">
        <f>ModelNumber</f>
        <v>DAKE 927-556</v>
      </c>
      <c r="C15" s="339"/>
      <c r="D15" s="339"/>
      <c r="E15" s="339"/>
      <c r="G15" s="344" t="s">
        <v>316</v>
      </c>
      <c r="H15" s="348" t="str">
        <f>Tolerance</f>
        <v>±25°F</v>
      </c>
      <c r="M15" s="344" t="s">
        <v>321</v>
      </c>
      <c r="N15" s="352">
        <f>Main!D3</f>
        <v>0</v>
      </c>
      <c r="O15" s="323"/>
    </row>
    <row r="16" spans="1:18" ht="18" customHeight="1" x14ac:dyDescent="0.25">
      <c r="A16" s="350" t="s">
        <v>312</v>
      </c>
      <c r="B16" s="620">
        <f>SerialNumber</f>
        <v>159874</v>
      </c>
      <c r="C16" s="620"/>
      <c r="D16" s="620"/>
      <c r="E16" s="620"/>
      <c r="G16" s="344" t="s">
        <v>317</v>
      </c>
      <c r="H16" s="348" t="str">
        <f>HeatingMethod</f>
        <v>ELECTRIC</v>
      </c>
      <c r="M16" s="344" t="s">
        <v>322</v>
      </c>
      <c r="N16" s="352">
        <f>IF(CalInterval="N/A", "N/A", EDATE(N15, CHOOSE(MATCH(CalInterval, {"M","2 Mo","Q","4 Mo","6 Mo","A","2Yr","3Yr"}, 0), 1, 2, 3, 4, 6, 12, 24, 36)))</f>
        <v>182</v>
      </c>
      <c r="O16" s="323"/>
    </row>
    <row r="17" spans="1:19" ht="18" customHeight="1" x14ac:dyDescent="0.25">
      <c r="A17" s="350" t="s">
        <v>313</v>
      </c>
      <c r="B17" s="399" t="str">
        <f>UnitNumber</f>
        <v>VAC-584</v>
      </c>
      <c r="C17" s="339"/>
      <c r="D17" s="339"/>
      <c r="E17" s="339"/>
      <c r="G17" s="344" t="s">
        <v>318</v>
      </c>
      <c r="H17" s="348" t="str">
        <f>WorkingZoneSize</f>
        <v>See Drawing</v>
      </c>
      <c r="M17" s="344" t="str">
        <f>IF(Main!K13="","","PO:")</f>
        <v/>
      </c>
      <c r="N17" s="348" t="str">
        <f>IF(Main!K13="","",Main!K13)</f>
        <v/>
      </c>
      <c r="O17" s="323"/>
    </row>
    <row r="18" spans="1:19" ht="18" customHeight="1" x14ac:dyDescent="0.25">
      <c r="A18" s="350" t="s">
        <v>314</v>
      </c>
      <c r="B18" s="611" t="str">
        <f>Class</f>
        <v>UNASSIGNED</v>
      </c>
      <c r="C18" s="611"/>
      <c r="D18" s="611"/>
      <c r="E18" s="611"/>
      <c r="G18" s="344" t="s">
        <v>319</v>
      </c>
      <c r="H18" s="348">
        <f>CubicFeet</f>
        <v>0</v>
      </c>
      <c r="M18" s="344" t="s">
        <v>323</v>
      </c>
      <c r="N18" s="348" t="str">
        <f>Main!G18</f>
        <v>ACCEPTED</v>
      </c>
      <c r="O18" s="323"/>
    </row>
    <row r="19" spans="1:19" ht="18" customHeight="1" x14ac:dyDescent="0.25">
      <c r="A19" s="334"/>
      <c r="B19" s="612"/>
      <c r="C19" s="612"/>
      <c r="D19" s="612"/>
      <c r="E19" s="61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21" t="str">
        <f>Controller</f>
        <v>EUROTHERM 3216</v>
      </c>
      <c r="C21" s="621"/>
      <c r="D21" s="621"/>
      <c r="E21" s="621"/>
      <c r="F21" s="335" t="s">
        <v>326</v>
      </c>
      <c r="G21" s="621" t="str">
        <f>ContSN</f>
        <v>VAC-644</v>
      </c>
      <c r="H21" s="621"/>
      <c r="I21" s="621"/>
      <c r="J21" s="335" t="s">
        <v>327</v>
      </c>
      <c r="K21" s="347" t="str">
        <f>ContTol</f>
        <v>±5°F</v>
      </c>
      <c r="L21" s="321"/>
      <c r="M21" s="335" t="s">
        <v>328</v>
      </c>
      <c r="N21" s="360">
        <f>Main!G27</f>
        <v>0</v>
      </c>
      <c r="O21" s="322"/>
    </row>
    <row r="22" spans="1:19" ht="18" customHeight="1" x14ac:dyDescent="0.25">
      <c r="A22" s="353" t="s">
        <v>325</v>
      </c>
      <c r="B22" s="622">
        <f>_xlnm.Recorder</f>
        <v>0</v>
      </c>
      <c r="C22" s="622"/>
      <c r="D22" s="622"/>
      <c r="E22" s="622"/>
      <c r="F22" s="336" t="s">
        <v>326</v>
      </c>
      <c r="G22" s="622">
        <f>RecSN</f>
        <v>0</v>
      </c>
      <c r="H22" s="622"/>
      <c r="I22" s="622"/>
      <c r="J22" s="336" t="s">
        <v>327</v>
      </c>
      <c r="K22" s="359">
        <f>RecTol</f>
        <v>0</v>
      </c>
      <c r="L22" s="324"/>
      <c r="M22" s="336" t="s">
        <v>328</v>
      </c>
      <c r="N22" s="361">
        <f>Main!G28</f>
        <v>0</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18" t="s">
        <v>338</v>
      </c>
      <c r="D27" s="618"/>
      <c r="E27" s="618"/>
      <c r="F27" s="618"/>
      <c r="G27" s="618"/>
      <c r="H27" s="618"/>
      <c r="I27" s="618"/>
      <c r="J27" s="618"/>
      <c r="K27" s="618"/>
      <c r="L27" s="618"/>
      <c r="M27" s="618"/>
      <c r="N27" s="324"/>
      <c r="O27" s="325"/>
    </row>
    <row r="28" spans="1:19" ht="8.1" customHeight="1" x14ac:dyDescent="0.2"/>
    <row r="29" spans="1:19" ht="18" customHeight="1" x14ac:dyDescent="0.2">
      <c r="A29" s="614" t="s">
        <v>307</v>
      </c>
      <c r="B29" s="615"/>
      <c r="C29" s="616"/>
      <c r="D29" s="614" t="s">
        <v>339</v>
      </c>
      <c r="E29" s="615"/>
      <c r="F29" s="615"/>
      <c r="G29" s="616"/>
      <c r="H29" s="614" t="s">
        <v>308</v>
      </c>
      <c r="I29" s="615"/>
      <c r="J29" s="615"/>
      <c r="K29" s="616"/>
      <c r="L29" s="614" t="s">
        <v>289</v>
      </c>
      <c r="M29" s="615"/>
      <c r="N29" s="615"/>
      <c r="O29" s="616"/>
    </row>
    <row r="30" spans="1:19" ht="18" customHeight="1" x14ac:dyDescent="0.2">
      <c r="A30" s="340"/>
      <c r="B30" s="330" t="str">
        <f>TestLocation</f>
        <v>On-Site</v>
      </c>
      <c r="C30" s="341"/>
      <c r="D30" s="591" t="str">
        <f>CONCATENATE(Main!D22,"°F"," / ",Main!D23,"% RH")</f>
        <v>°F / % RH</v>
      </c>
      <c r="E30" s="592"/>
      <c r="F30" s="592"/>
      <c r="G30" s="593"/>
      <c r="H30" s="591" t="str">
        <f>OvenLocation</f>
        <v>PRODUCTION - Tested on Site</v>
      </c>
      <c r="I30" s="592"/>
      <c r="J30" s="592"/>
      <c r="K30" s="593"/>
      <c r="L30" s="591" t="str">
        <f>Condition</f>
        <v>Used</v>
      </c>
      <c r="M30" s="592"/>
      <c r="N30" s="592"/>
      <c r="O30" s="593"/>
    </row>
    <row r="31" spans="1:19" ht="18" customHeight="1" x14ac:dyDescent="0.2"/>
    <row r="32" spans="1:19" ht="18" customHeight="1" x14ac:dyDescent="0.25">
      <c r="A32" s="363" t="s">
        <v>340</v>
      </c>
      <c r="B32" s="606" t="s">
        <v>341</v>
      </c>
      <c r="C32" s="606"/>
      <c r="D32" s="363" t="s">
        <v>303</v>
      </c>
      <c r="E32" s="363" t="s">
        <v>302</v>
      </c>
      <c r="F32" s="363" t="s">
        <v>342</v>
      </c>
      <c r="G32" s="106"/>
      <c r="H32" s="106"/>
      <c r="I32" s="363" t="s">
        <v>340</v>
      </c>
      <c r="J32" s="606" t="s">
        <v>341</v>
      </c>
      <c r="K32" s="606"/>
      <c r="L32" s="363" t="s">
        <v>303</v>
      </c>
      <c r="M32" s="363" t="s">
        <v>302</v>
      </c>
      <c r="N32" s="363" t="s">
        <v>342</v>
      </c>
    </row>
    <row r="33" spans="1:14" ht="18" customHeight="1" x14ac:dyDescent="0.2">
      <c r="A33" s="364" t="str">
        <f>IF(B33="","",1)</f>
        <v/>
      </c>
      <c r="B33" s="605" t="str">
        <f>IF(Main!O5="","",Main!O5)</f>
        <v/>
      </c>
      <c r="C33" s="605"/>
      <c r="D33" s="365" t="str">
        <f ca="1">IF(Access_Data!B27="","",Access_Data!B27)</f>
        <v/>
      </c>
      <c r="E33" s="365" t="str">
        <f ca="1">IF(Access_Data!B29="","",Access_Data!B29)</f>
        <v/>
      </c>
      <c r="F33" s="365" t="str">
        <f ca="1">IF(Access_Data!B31="","",Access_Data!B31)</f>
        <v/>
      </c>
      <c r="G33" s="106"/>
      <c r="H33" s="106"/>
      <c r="I33" s="364" t="str">
        <f>IF(J33="","",21)</f>
        <v/>
      </c>
      <c r="J33" s="605" t="str">
        <f>IF(Main!O25="","",Main!O25)</f>
        <v/>
      </c>
      <c r="K33" s="605"/>
      <c r="L33" s="365" t="str">
        <f ca="1">IF(Access_Data!AB27="","",Access_Data!AB27)</f>
        <v/>
      </c>
      <c r="M33" s="365" t="str">
        <f ca="1">IF(Access_Data!AB29="","",Access_Data!AB29)</f>
        <v/>
      </c>
      <c r="N33" s="365" t="str">
        <f ca="1">IF(Access_Data!AB31="","",Access_Data!AB31)</f>
        <v/>
      </c>
    </row>
    <row r="34" spans="1:14" ht="18" customHeight="1" x14ac:dyDescent="0.2">
      <c r="A34" s="364" t="str">
        <f>IF(B34="","",2)</f>
        <v/>
      </c>
      <c r="B34" s="605" t="str">
        <f>IF(Main!O6="","",Main!O6)</f>
        <v/>
      </c>
      <c r="C34" s="605"/>
      <c r="D34" s="365" t="str">
        <f ca="1">IF(Access_Data!C27="","",Access_Data!C27)</f>
        <v/>
      </c>
      <c r="E34" s="365" t="str">
        <f ca="1">IF(Access_Data!C29="","",Access_Data!C29)</f>
        <v/>
      </c>
      <c r="F34" s="365" t="str">
        <f ca="1">IF(Access_Data!C31="","",Access_Data!C31)</f>
        <v/>
      </c>
      <c r="G34" s="106"/>
      <c r="H34" s="106"/>
      <c r="I34" s="364" t="str">
        <f>IF(J34="","",22)</f>
        <v/>
      </c>
      <c r="J34" s="605" t="str">
        <f>IF(Main!O26="","",Main!O26)</f>
        <v/>
      </c>
      <c r="K34" s="605"/>
      <c r="L34" s="365" t="str">
        <f ca="1">IF(Access_Data!AC27="","",Access_Data!AC27)</f>
        <v/>
      </c>
      <c r="M34" s="365" t="str">
        <f ca="1">IF(Access_Data!AC29="","",Access_Data!AC29)</f>
        <v/>
      </c>
      <c r="N34" s="365" t="str">
        <f ca="1">IF(Access_Data!AC31="","",Access_Data!AC31)</f>
        <v/>
      </c>
    </row>
    <row r="35" spans="1:14" ht="18" customHeight="1" x14ac:dyDescent="0.2">
      <c r="A35" s="364" t="str">
        <f>IF(B35="","",3)</f>
        <v/>
      </c>
      <c r="B35" s="605" t="str">
        <f>IF(Main!O7="","",Main!O7)</f>
        <v/>
      </c>
      <c r="C35" s="605"/>
      <c r="D35" s="365" t="str">
        <f ca="1">IF(Access_Data!D27="","",Access_Data!D27)</f>
        <v/>
      </c>
      <c r="E35" s="365" t="str">
        <f ca="1">IF(Access_Data!D29="","",Access_Data!D29)</f>
        <v/>
      </c>
      <c r="F35" s="365" t="str">
        <f ca="1">IF(Access_Data!D31="","",Access_Data!D31)</f>
        <v/>
      </c>
      <c r="G35" s="106"/>
      <c r="H35" s="106"/>
      <c r="I35" s="364" t="str">
        <f>IF(J35="","",23)</f>
        <v/>
      </c>
      <c r="J35" s="605" t="str">
        <f>IF(Main!O27="","",Main!O27)</f>
        <v/>
      </c>
      <c r="K35" s="605"/>
      <c r="L35" s="365" t="str">
        <f ca="1">IF(Access_Data!AD27="","",Access_Data!AD27)</f>
        <v/>
      </c>
      <c r="M35" s="365" t="str">
        <f ca="1">IF(Access_Data!AD29="","",Access_Data!AD29)</f>
        <v/>
      </c>
      <c r="N35" s="365" t="str">
        <f ca="1">IF(Access_Data!AD31="","",Access_Data!AD31)</f>
        <v/>
      </c>
    </row>
    <row r="36" spans="1:14" ht="18" customHeight="1" x14ac:dyDescent="0.2">
      <c r="A36" s="364" t="str">
        <f>IF(B36="","",4)</f>
        <v/>
      </c>
      <c r="B36" s="605" t="str">
        <f>IF(Main!O8="","",Main!O8)</f>
        <v/>
      </c>
      <c r="C36" s="605"/>
      <c r="D36" s="365" t="str">
        <f ca="1">IF(Access_Data!E27="","",Access_Data!E27)</f>
        <v/>
      </c>
      <c r="E36" s="365" t="str">
        <f ca="1">IF(Access_Data!E29="","",Access_Data!E29)</f>
        <v/>
      </c>
      <c r="F36" s="365" t="str">
        <f ca="1">IF(Access_Data!E31="","",Access_Data!E31)</f>
        <v/>
      </c>
      <c r="G36" s="106"/>
      <c r="H36" s="106"/>
      <c r="I36" s="364" t="str">
        <f>IF(J36="","",24)</f>
        <v/>
      </c>
      <c r="J36" s="605" t="str">
        <f>IF(Main!O28="","",Main!O28)</f>
        <v/>
      </c>
      <c r="K36" s="605"/>
      <c r="L36" s="365" t="str">
        <f ca="1">IF(Access_Data!AE27="","",Access_Data!AE27)</f>
        <v/>
      </c>
      <c r="M36" s="365" t="str">
        <f ca="1">IF(Access_Data!AE29="","",Access_Data!AE29)</f>
        <v/>
      </c>
      <c r="N36" s="365" t="str">
        <f ca="1">IF(Access_Data!AE31="","",Access_Data!AE31)</f>
        <v/>
      </c>
    </row>
    <row r="37" spans="1:14" ht="18" customHeight="1" x14ac:dyDescent="0.2">
      <c r="A37" s="364" t="str">
        <f>IF(B37="","",5)</f>
        <v/>
      </c>
      <c r="B37" s="605" t="str">
        <f>IF(Main!O9="","",Main!O9)</f>
        <v/>
      </c>
      <c r="C37" s="605"/>
      <c r="D37" s="365" t="str">
        <f ca="1">IF(Access_Data!F27="","",Access_Data!F27)</f>
        <v/>
      </c>
      <c r="E37" s="365" t="str">
        <f ca="1">IF(Access_Data!F29="","",Access_Data!F29)</f>
        <v/>
      </c>
      <c r="F37" s="365" t="str">
        <f ca="1">IF(Access_Data!F31="","",Access_Data!F31)</f>
        <v/>
      </c>
      <c r="G37" s="106"/>
      <c r="H37" s="106"/>
      <c r="I37" s="364" t="str">
        <f>IF(J37="","",25)</f>
        <v/>
      </c>
      <c r="J37" s="605" t="str">
        <f>IF(Main!O29="","",Main!O29)</f>
        <v/>
      </c>
      <c r="K37" s="605"/>
      <c r="L37" s="365" t="str">
        <f ca="1">IF(Access_Data!AF27="","",Access_Data!AF27)</f>
        <v/>
      </c>
      <c r="M37" s="365" t="str">
        <f ca="1">IF(Access_Data!AF29="","",Access_Data!AF29)</f>
        <v/>
      </c>
      <c r="N37" s="365" t="str">
        <f ca="1">IF(Access_Data!AF31="","",Access_Data!AF31)</f>
        <v/>
      </c>
    </row>
    <row r="38" spans="1:14" ht="18" customHeight="1" x14ac:dyDescent="0.2">
      <c r="A38" s="364" t="str">
        <f>IF(B38="","",6)</f>
        <v/>
      </c>
      <c r="B38" s="605" t="str">
        <f>IF(Main!O10="","",Main!O10)</f>
        <v/>
      </c>
      <c r="C38" s="605"/>
      <c r="D38" s="365" t="str">
        <f ca="1">IF(Access_Data!G27="","",Access_Data!G27)</f>
        <v/>
      </c>
      <c r="E38" s="365" t="str">
        <f ca="1">IF(Access_Data!G29="","",Access_Data!G29)</f>
        <v/>
      </c>
      <c r="F38" s="365" t="str">
        <f ca="1">IF(Access_Data!G31="","",Access_Data!G31)</f>
        <v/>
      </c>
      <c r="G38" s="106"/>
      <c r="H38" s="106"/>
      <c r="I38" s="364" t="str">
        <f>IF(J38="","",26)</f>
        <v/>
      </c>
      <c r="J38" s="605" t="str">
        <f>IF(Main!O30="","",Main!O30)</f>
        <v/>
      </c>
      <c r="K38" s="605"/>
      <c r="L38" s="365" t="str">
        <f ca="1">IF(Access_Data!AG27="","",Access_Data!AG27)</f>
        <v/>
      </c>
      <c r="M38" s="365" t="str">
        <f ca="1">IF(Access_Data!AG29="","",Access_Data!AG29)</f>
        <v/>
      </c>
      <c r="N38" s="365" t="str">
        <f ca="1">IF(Access_Data!AG31="","",Access_Data!AG31)</f>
        <v/>
      </c>
    </row>
    <row r="39" spans="1:14" ht="18" customHeight="1" x14ac:dyDescent="0.2">
      <c r="A39" s="364" t="str">
        <f>IF(B39="","",7)</f>
        <v/>
      </c>
      <c r="B39" s="605" t="str">
        <f>IF(Main!O11="","",Main!O11)</f>
        <v/>
      </c>
      <c r="C39" s="605"/>
      <c r="D39" s="365" t="str">
        <f ca="1">IF(Access_Data!H27="","",Access_Data!H27)</f>
        <v/>
      </c>
      <c r="E39" s="365" t="str">
        <f ca="1">IF(Access_Data!H29="","",Access_Data!H29)</f>
        <v/>
      </c>
      <c r="F39" s="365" t="str">
        <f ca="1">IF(Access_Data!H31="","",Access_Data!H31)</f>
        <v/>
      </c>
      <c r="G39" s="106"/>
      <c r="H39" s="106"/>
      <c r="I39" s="364" t="str">
        <f>IF(J39="","",27)</f>
        <v/>
      </c>
      <c r="J39" s="605" t="str">
        <f>IF(Main!O31="","",Main!O31)</f>
        <v/>
      </c>
      <c r="K39" s="605"/>
      <c r="L39" s="365" t="str">
        <f ca="1">IF(Access_Data!AH27="","",Access_Data!AH27)</f>
        <v/>
      </c>
      <c r="M39" s="365" t="str">
        <f ca="1">IF(Access_Data!AH29="","",Access_Data!AH29)</f>
        <v/>
      </c>
      <c r="N39" s="365" t="str">
        <f ca="1">IF(Access_Data!AH31="","",Access_Data!AH31)</f>
        <v/>
      </c>
    </row>
    <row r="40" spans="1:14" ht="18" customHeight="1" x14ac:dyDescent="0.2">
      <c r="A40" s="364" t="str">
        <f>IF(B40="","",8)</f>
        <v/>
      </c>
      <c r="B40" s="605" t="str">
        <f>IF(Main!O12="","",Main!O12)</f>
        <v/>
      </c>
      <c r="C40" s="605"/>
      <c r="D40" s="365" t="str">
        <f ca="1">IF(Access_Data!I27="","",Access_Data!I27)</f>
        <v/>
      </c>
      <c r="E40" s="365" t="str">
        <f ca="1">IF(Access_Data!I29="","",Access_Data!I29)</f>
        <v/>
      </c>
      <c r="F40" s="365" t="str">
        <f ca="1">IF(Access_Data!I31="","",Access_Data!I31)</f>
        <v/>
      </c>
      <c r="G40" s="106"/>
      <c r="H40" s="106"/>
      <c r="I40" s="364" t="str">
        <f>IF(J40="","",28)</f>
        <v/>
      </c>
      <c r="J40" s="605" t="str">
        <f>IF(Main!O32="","",Main!O32)</f>
        <v/>
      </c>
      <c r="K40" s="605"/>
      <c r="L40" s="365" t="str">
        <f ca="1">IF(Access_Data!AI27="","",Access_Data!AI27)</f>
        <v/>
      </c>
      <c r="M40" s="365" t="str">
        <f ca="1">IF(Access_Data!AI29="","",Access_Data!AI29)</f>
        <v/>
      </c>
      <c r="N40" s="365" t="str">
        <f ca="1">IF(Access_Data!AI31="","",Access_Data!AI31)</f>
        <v/>
      </c>
    </row>
    <row r="41" spans="1:14" ht="18" customHeight="1" x14ac:dyDescent="0.2">
      <c r="A41" s="364" t="str">
        <f>IF(B41="","",9)</f>
        <v/>
      </c>
      <c r="B41" s="605" t="str">
        <f>IF(Main!O13="","",Main!O13)</f>
        <v/>
      </c>
      <c r="C41" s="605"/>
      <c r="D41" s="365" t="str">
        <f ca="1">IF(Access_Data!J27="","",Access_Data!J27)</f>
        <v/>
      </c>
      <c r="E41" s="365" t="str">
        <f ca="1">IF(Access_Data!J29="","",Access_Data!J29)</f>
        <v/>
      </c>
      <c r="F41" s="365" t="str">
        <f ca="1">IF(Access_Data!J31="","",Access_Data!J31)</f>
        <v/>
      </c>
      <c r="G41" s="106"/>
      <c r="H41" s="106"/>
      <c r="I41" s="364" t="str">
        <f>IF(J41="","",29)</f>
        <v/>
      </c>
      <c r="J41" s="605" t="str">
        <f>IF(Main!O33="","",Main!O33)</f>
        <v/>
      </c>
      <c r="K41" s="605"/>
      <c r="L41" s="365" t="str">
        <f ca="1">IF(Access_Data!AP27="","",Access_Data!AP27)</f>
        <v/>
      </c>
      <c r="M41" s="365" t="str">
        <f ca="1">IF(Access_Data!AP29="","",Access_Data!AP29)</f>
        <v/>
      </c>
      <c r="N41" s="365" t="str">
        <f ca="1">IF(Access_Data!AP31="","",Access_Data!AP31)</f>
        <v/>
      </c>
    </row>
    <row r="42" spans="1:14" ht="18" customHeight="1" x14ac:dyDescent="0.2">
      <c r="A42" s="364" t="str">
        <f>IF(B42="","",10)</f>
        <v/>
      </c>
      <c r="B42" s="605" t="str">
        <f>IF(Main!O14="","",Main!O14)</f>
        <v/>
      </c>
      <c r="C42" s="605"/>
      <c r="D42" s="365" t="str">
        <f ca="1">IF(Access_Data!K27="","",Access_Data!K27)</f>
        <v/>
      </c>
      <c r="E42" s="365" t="str">
        <f ca="1">IF(Access_Data!K29="","",Access_Data!K29)</f>
        <v/>
      </c>
      <c r="F42" s="365" t="str">
        <f ca="1">IF(Access_Data!K31="","",Access_Data!K31)</f>
        <v/>
      </c>
      <c r="G42" s="106"/>
      <c r="H42" s="106"/>
      <c r="I42" s="364" t="str">
        <f>IF(J42="","",30)</f>
        <v/>
      </c>
      <c r="J42" s="605" t="str">
        <f>IF(Main!O34="","",Main!O34)</f>
        <v/>
      </c>
      <c r="K42" s="605"/>
      <c r="L42" s="365" t="str">
        <f ca="1">IF(Access_Data!AQ27="","",Access_Data!AQ27)</f>
        <v/>
      </c>
      <c r="M42" s="365" t="str">
        <f ca="1">IF(Access_Data!AQ29="","",Access_Data!AQ29)</f>
        <v/>
      </c>
      <c r="N42" s="365">
        <f ca="1">IF(Access_Data!AQ31="","",Access_Data!AQ31)</f>
        <v>0</v>
      </c>
    </row>
    <row r="43" spans="1:14" ht="18" customHeight="1" x14ac:dyDescent="0.2">
      <c r="A43" s="364" t="str">
        <f>IF(B43="","",11)</f>
        <v/>
      </c>
      <c r="B43" s="605" t="str">
        <f>IF(Main!O15="","",Main!O15)</f>
        <v/>
      </c>
      <c r="C43" s="605"/>
      <c r="D43" s="365" t="str">
        <f ca="1">IF(Access_Data!L27="","",Access_Data!L27)</f>
        <v/>
      </c>
      <c r="E43" s="365" t="str">
        <f ca="1">IF(Access_Data!L29="","",Access_Data!L29)</f>
        <v/>
      </c>
      <c r="F43" s="365" t="str">
        <f ca="1">IF(Access_Data!L31="","",Access_Data!L31)</f>
        <v/>
      </c>
      <c r="G43" s="106"/>
      <c r="H43" s="106"/>
      <c r="I43" s="364" t="str">
        <f>IF(J43="","",31)</f>
        <v/>
      </c>
      <c r="J43" s="605" t="str">
        <f>IF(Main!O35="","",Main!O35)</f>
        <v/>
      </c>
      <c r="K43" s="605"/>
      <c r="L43" s="365" t="str">
        <f ca="1">IF(Access_Data!AR27="","",Access_Data!AR27)</f>
        <v/>
      </c>
      <c r="M43" s="365" t="str">
        <f ca="1">IF(Access_Data!AR29="","",Access_Data!AR29)</f>
        <v/>
      </c>
      <c r="N43" s="365">
        <f ca="1">IF(Access_Data!AR31="","",Access_Data!AR31)</f>
        <v>0</v>
      </c>
    </row>
    <row r="44" spans="1:14" ht="18" customHeight="1" x14ac:dyDescent="0.2">
      <c r="A44" s="364" t="str">
        <f>IF(B44="","",12)</f>
        <v/>
      </c>
      <c r="B44" s="605" t="str">
        <f>IF(Main!O16="","",Main!O16)</f>
        <v/>
      </c>
      <c r="C44" s="605"/>
      <c r="D44" s="365" t="str">
        <f ca="1">IF(Access_Data!M27="","",Access_Data!M27)</f>
        <v/>
      </c>
      <c r="E44" s="365" t="str">
        <f ca="1">IF(Access_Data!M29="","",Access_Data!M29)</f>
        <v/>
      </c>
      <c r="F44" s="365" t="str">
        <f ca="1">IF(Access_Data!M31="","",Access_Data!M31)</f>
        <v/>
      </c>
      <c r="G44" s="106"/>
      <c r="H44" s="106"/>
      <c r="I44" s="364" t="str">
        <f>IF(J44="","",32)</f>
        <v/>
      </c>
      <c r="J44" s="605" t="str">
        <f>IF(Main!O36="","",Main!O36)</f>
        <v/>
      </c>
      <c r="K44" s="605"/>
      <c r="L44" s="365" t="str">
        <f ca="1">IF(Access_Data!AS27="","",Access_Data!AS27)</f>
        <v/>
      </c>
      <c r="M44" s="365" t="str">
        <f ca="1">IF(Access_Data!AS29="","",Access_Data!AS29)</f>
        <v/>
      </c>
      <c r="N44" s="365">
        <f ca="1">IF(Access_Data!AS31="","",Access_Data!AS31)</f>
        <v>0</v>
      </c>
    </row>
    <row r="45" spans="1:14" ht="18" customHeight="1" x14ac:dyDescent="0.2">
      <c r="A45" s="364" t="str">
        <f>IF(B45="","",13)</f>
        <v/>
      </c>
      <c r="B45" s="605" t="str">
        <f>IF(Main!O17="","",Main!O17)</f>
        <v/>
      </c>
      <c r="C45" s="605"/>
      <c r="D45" s="365" t="str">
        <f ca="1">IF(Access_Data!N27="","",Access_Data!N27)</f>
        <v/>
      </c>
      <c r="E45" s="365" t="str">
        <f ca="1">IF(Access_Data!N29="","",Access_Data!N29)</f>
        <v/>
      </c>
      <c r="F45" s="365" t="str">
        <f ca="1">IF(Access_Data!N31="","",Access_Data!N31)</f>
        <v/>
      </c>
      <c r="G45" s="106"/>
      <c r="H45" s="106"/>
      <c r="I45" s="364" t="str">
        <f>IF(J45="","",33)</f>
        <v/>
      </c>
      <c r="J45" s="605" t="str">
        <f>IF(Main!O37="","",Main!O37)</f>
        <v/>
      </c>
      <c r="K45" s="605"/>
      <c r="L45" s="365" t="str">
        <f ca="1">IF(Access_Data!AT27="","",Access_Data!AT27)</f>
        <v/>
      </c>
      <c r="M45" s="365" t="str">
        <f ca="1">IF(Access_Data!AT29="","",Access_Data!AT29)</f>
        <v/>
      </c>
      <c r="N45" s="365">
        <f ca="1">IF(Access_Data!AT31="","",Access_Data!AT31)</f>
        <v>0</v>
      </c>
    </row>
    <row r="46" spans="1:14" ht="18" customHeight="1" x14ac:dyDescent="0.2">
      <c r="A46" s="364" t="str">
        <f>IF(B46="","",14)</f>
        <v/>
      </c>
      <c r="B46" s="605" t="str">
        <f>IF(Main!O18="","",Main!O18)</f>
        <v/>
      </c>
      <c r="C46" s="605"/>
      <c r="D46" s="365" t="str">
        <f ca="1">IF(Access_Data!O27="","",Access_Data!O27)</f>
        <v/>
      </c>
      <c r="E46" s="365" t="str">
        <f ca="1">IF(Access_Data!O29="","",Access_Data!O29)</f>
        <v/>
      </c>
      <c r="F46" s="365" t="str">
        <f ca="1">IF(Access_Data!O31="","",Access_Data!O31)</f>
        <v/>
      </c>
      <c r="G46" s="106"/>
      <c r="H46" s="106"/>
      <c r="I46" s="364" t="str">
        <f>IF(J46="","",34)</f>
        <v/>
      </c>
      <c r="J46" s="605" t="str">
        <f>IF(Main!O38="","",Main!O38)</f>
        <v/>
      </c>
      <c r="K46" s="605"/>
      <c r="L46" s="365" t="str">
        <f ca="1">IF(Access_Data!AU27="","",Access_Data!AU27)</f>
        <v/>
      </c>
      <c r="M46" s="365" t="str">
        <f ca="1">IF(Access_Data!AU29="","",Access_Data!AU29)</f>
        <v/>
      </c>
      <c r="N46" s="365">
        <f ca="1">IF(Access_Data!AU31="","",Access_Data!AU31)</f>
        <v>0</v>
      </c>
    </row>
    <row r="47" spans="1:14" ht="18" customHeight="1" x14ac:dyDescent="0.2">
      <c r="A47" s="364" t="str">
        <f>IF(B47="","",15)</f>
        <v/>
      </c>
      <c r="B47" s="605" t="str">
        <f>IF(Main!O19="","",Main!O19)</f>
        <v/>
      </c>
      <c r="C47" s="605"/>
      <c r="D47" s="365" t="str">
        <f ca="1">IF(Access_Data!V27="","",Access_Data!V27)</f>
        <v/>
      </c>
      <c r="E47" s="365" t="str">
        <f ca="1">IF(Access_Data!V29="","",Access_Data!V29)</f>
        <v/>
      </c>
      <c r="F47" s="365" t="str">
        <f ca="1">IF(Access_Data!V31="","",Access_Data!V31)</f>
        <v/>
      </c>
      <c r="G47" s="106"/>
      <c r="H47" s="106"/>
      <c r="I47" s="364" t="str">
        <f>IF(J47="","",35)</f>
        <v/>
      </c>
      <c r="J47" s="605" t="str">
        <f>IF(Main!O39="","",Main!O39)</f>
        <v/>
      </c>
      <c r="K47" s="605"/>
      <c r="L47" s="365" t="str">
        <f ca="1">IF(Access_Data!AV27="","",Access_Data!AV27)</f>
        <v/>
      </c>
      <c r="M47" s="365" t="str">
        <f ca="1">IF(Access_Data!AV29="","",Access_Data!AV29)</f>
        <v/>
      </c>
      <c r="N47" s="365">
        <f ca="1">IF(Access_Data!AV31="","",Access_Data!AV31)</f>
        <v>0</v>
      </c>
    </row>
    <row r="48" spans="1:14" ht="18" customHeight="1" x14ac:dyDescent="0.2">
      <c r="A48" s="364" t="str">
        <f>IF(B48="","",16)</f>
        <v/>
      </c>
      <c r="B48" s="605" t="str">
        <f>IF(Main!O20="","",Main!O20)</f>
        <v/>
      </c>
      <c r="C48" s="605"/>
      <c r="D48" s="365" t="str">
        <f ca="1">IF(Access_Data!W27="","",Access_Data!W27)</f>
        <v/>
      </c>
      <c r="E48" s="365" t="str">
        <f ca="1">IF(Access_Data!W29="","",Access_Data!W29)</f>
        <v/>
      </c>
      <c r="F48" s="365" t="str">
        <f ca="1">IF(Access_Data!W31="","",Access_Data!W31)</f>
        <v/>
      </c>
      <c r="G48" s="106"/>
      <c r="H48" s="106"/>
      <c r="I48" s="364" t="str">
        <f>IF(J48="","",36)</f>
        <v/>
      </c>
      <c r="J48" s="605" t="str">
        <f>IF(Main!O40="","",Main!O40)</f>
        <v/>
      </c>
      <c r="K48" s="605"/>
      <c r="L48" s="365" t="str">
        <f ca="1">IF(Access_Data!AW27="","",Access_Data!AW27)</f>
        <v/>
      </c>
      <c r="M48" s="365" t="str">
        <f ca="1">IF(Access_Data!AW29="","",Access_Data!AW29)</f>
        <v/>
      </c>
      <c r="N48" s="365">
        <f ca="1">IF(Access_Data!AW31="","",Access_Data!AW31)</f>
        <v>0</v>
      </c>
    </row>
    <row r="49" spans="1:20" ht="18" customHeight="1" x14ac:dyDescent="0.2">
      <c r="A49" s="364" t="str">
        <f>IF(B49="","",17)</f>
        <v/>
      </c>
      <c r="B49" s="605" t="str">
        <f>IF(Main!O21="","",Main!O21)</f>
        <v/>
      </c>
      <c r="C49" s="605"/>
      <c r="D49" s="365" t="str">
        <f ca="1">IF(Access_Data!X27="","",Access_Data!X27)</f>
        <v/>
      </c>
      <c r="E49" s="365" t="str">
        <f ca="1">IF(Access_Data!X29="","",Access_Data!X29)</f>
        <v/>
      </c>
      <c r="F49" s="365" t="str">
        <f ca="1">IF(Access_Data!X31="","",Access_Data!X31)</f>
        <v/>
      </c>
      <c r="G49" s="106"/>
      <c r="H49" s="106"/>
      <c r="I49" s="364" t="str">
        <f>IF(J49="","",37)</f>
        <v/>
      </c>
      <c r="J49" s="605" t="str">
        <f>IF(Main!O41="","",Main!O41)</f>
        <v/>
      </c>
      <c r="K49" s="605"/>
      <c r="L49" s="365" t="str">
        <f ca="1">IF(Access_Data!AX27="","",Access_Data!AX27)</f>
        <v/>
      </c>
      <c r="M49" s="365" t="str">
        <f ca="1">IF(Access_Data!AX29="","",Access_Data!AX29)</f>
        <v/>
      </c>
      <c r="N49" s="365">
        <f ca="1">IF(Access_Data!AX31="","",Access_Data!AX31)</f>
        <v>0</v>
      </c>
    </row>
    <row r="50" spans="1:20" ht="18" customHeight="1" x14ac:dyDescent="0.2">
      <c r="A50" s="364" t="str">
        <f>IF(B50="","",18)</f>
        <v/>
      </c>
      <c r="B50" s="605" t="str">
        <f>IF(Main!O22="","",Main!O22)</f>
        <v/>
      </c>
      <c r="C50" s="605"/>
      <c r="D50" s="365" t="str">
        <f ca="1">IF(Access_Data!Y27="","",Access_Data!Y27)</f>
        <v/>
      </c>
      <c r="E50" s="365" t="str">
        <f ca="1">IF(Access_Data!Y29="","",Access_Data!Y29)</f>
        <v/>
      </c>
      <c r="F50" s="365" t="str">
        <f ca="1">IF(Access_Data!Y31="","",Access_Data!Y31)</f>
        <v/>
      </c>
      <c r="G50" s="106"/>
      <c r="H50" s="106"/>
      <c r="I50" s="364" t="str">
        <f>IF(J50="","",38)</f>
        <v/>
      </c>
      <c r="J50" s="605" t="str">
        <f>IF(Main!O42="","",Main!O42)</f>
        <v/>
      </c>
      <c r="K50" s="605"/>
      <c r="L50" s="365" t="str">
        <f ca="1">IF(Access_Data!AY27="","",Access_Data!AY27)</f>
        <v/>
      </c>
      <c r="M50" s="365" t="str">
        <f ca="1">IF(Access_Data!AY29="","",Access_Data!AY29)</f>
        <v/>
      </c>
      <c r="N50" s="365">
        <f ca="1">IF(Access_Data!AY31="","",Access_Data!AY31)</f>
        <v>0</v>
      </c>
    </row>
    <row r="51" spans="1:20" ht="18" customHeight="1" x14ac:dyDescent="0.2">
      <c r="A51" s="364" t="str">
        <f>IF(B51="","",19)</f>
        <v/>
      </c>
      <c r="B51" s="605" t="str">
        <f>IF(Main!O23="","",Main!O23)</f>
        <v/>
      </c>
      <c r="C51" s="605"/>
      <c r="D51" s="365" t="str">
        <f ca="1">IF(Access_Data!Z27="","",Access_Data!X27)</f>
        <v/>
      </c>
      <c r="E51" s="365" t="str">
        <f ca="1">IF(Access_Data!Z29="","",Access_Data!Z29)</f>
        <v/>
      </c>
      <c r="F51" s="365" t="str">
        <f ca="1">IF(Access_Data!Z31="","",Access_Data!Z31)</f>
        <v/>
      </c>
      <c r="G51" s="106"/>
      <c r="H51" s="106"/>
      <c r="I51" s="364" t="str">
        <f>IF(J51="","",39)</f>
        <v/>
      </c>
      <c r="J51" s="605" t="str">
        <f>IF(Main!O43="","",Main!O43)</f>
        <v/>
      </c>
      <c r="K51" s="605"/>
      <c r="L51" s="365" t="str">
        <f ca="1">IF(Access_Data!AZ27="","",Access_Data!AZ27)</f>
        <v/>
      </c>
      <c r="M51" s="365" t="str">
        <f ca="1">IF(Access_Data!AZ29="","",Access_Data!AZ29)</f>
        <v/>
      </c>
      <c r="N51" s="365">
        <f ca="1">IF(Access_Data!AZ31="","",Access_Data!AZ31)</f>
        <v>0</v>
      </c>
    </row>
    <row r="52" spans="1:20" ht="18" customHeight="1" x14ac:dyDescent="0.2">
      <c r="A52" s="364" t="str">
        <f>IF(B52="","",20)</f>
        <v/>
      </c>
      <c r="B52" s="605" t="str">
        <f>IF(Main!O24="","",Main!O24)</f>
        <v/>
      </c>
      <c r="C52" s="605"/>
      <c r="D52" s="365" t="str">
        <f ca="1">IF(Access_Data!AA27="","",Access_Data!AA27)</f>
        <v/>
      </c>
      <c r="E52" s="365" t="str">
        <f ca="1">IF(Access_Data!AA29="","",Access_Data!AA29)</f>
        <v/>
      </c>
      <c r="F52" s="365" t="str">
        <f ca="1">IF(Access_Data!AA31="","",Access_Data!AA31)</f>
        <v/>
      </c>
      <c r="G52" s="106"/>
      <c r="H52" s="106"/>
      <c r="I52" s="364" t="str">
        <f>IF(J52="","",40)</f>
        <v/>
      </c>
      <c r="J52" s="605" t="str">
        <f>IF(Main!O44="","",Main!O44)</f>
        <v/>
      </c>
      <c r="K52" s="605"/>
      <c r="L52" s="365" t="str">
        <f ca="1">IF(Access_Data!BA27="","",Access_Data!BA27)</f>
        <v/>
      </c>
      <c r="M52" s="365" t="str">
        <f ca="1">IF(Access_Data!BA29="","",Access_Data!BA29)</f>
        <v/>
      </c>
      <c r="N52" s="365">
        <f ca="1">IF(Access_Data!BA31="","",Access_Data!BA31)</f>
        <v>0</v>
      </c>
    </row>
    <row r="53" spans="1:20" ht="18" customHeight="1" x14ac:dyDescent="0.2">
      <c r="B53" s="610" t="s">
        <v>343</v>
      </c>
      <c r="C53" s="610"/>
      <c r="D53" s="610"/>
      <c r="E53" s="610"/>
      <c r="F53" s="610"/>
      <c r="G53" s="610"/>
      <c r="H53" s="610"/>
      <c r="I53" s="610"/>
      <c r="J53" s="610"/>
      <c r="K53" s="610"/>
      <c r="L53" s="610"/>
      <c r="M53" s="610"/>
      <c r="N53" s="610"/>
    </row>
    <row r="54" spans="1:20" ht="18" customHeight="1" x14ac:dyDescent="0.25">
      <c r="A54" s="366" t="s">
        <v>344</v>
      </c>
      <c r="B54" s="619" t="str">
        <f>CONCATENATE(Main!G23,"  ",FurnaceSpecificComments,Main!U25)</f>
        <v xml:space="preserve">Found in tolerance.  No adjustment required.  </v>
      </c>
      <c r="C54" s="619"/>
      <c r="D54" s="619"/>
      <c r="E54" s="619"/>
      <c r="F54" s="619"/>
      <c r="G54" s="619"/>
      <c r="H54" s="619"/>
      <c r="I54" s="619"/>
      <c r="J54" s="619"/>
      <c r="K54" s="619"/>
      <c r="L54" s="619"/>
      <c r="M54" s="619"/>
      <c r="N54" s="619"/>
      <c r="O54" s="619"/>
    </row>
    <row r="55" spans="1:20" ht="18" customHeight="1" x14ac:dyDescent="0.25">
      <c r="A55" s="103"/>
      <c r="B55" s="619"/>
      <c r="C55" s="619"/>
      <c r="D55" s="619"/>
      <c r="E55" s="619"/>
      <c r="F55" s="619"/>
      <c r="G55" s="619"/>
      <c r="H55" s="619"/>
      <c r="I55" s="619"/>
      <c r="J55" s="619"/>
      <c r="K55" s="619"/>
      <c r="L55" s="619"/>
      <c r="M55" s="619"/>
      <c r="N55" s="619"/>
      <c r="O55" s="619"/>
    </row>
    <row r="56" spans="1:20" ht="18" customHeight="1" x14ac:dyDescent="0.25">
      <c r="A56" s="103"/>
      <c r="B56" s="619"/>
      <c r="C56" s="619"/>
      <c r="D56" s="619"/>
      <c r="E56" s="619"/>
      <c r="F56" s="619"/>
      <c r="G56" s="619"/>
      <c r="H56" s="619"/>
      <c r="I56" s="619"/>
      <c r="J56" s="619"/>
      <c r="K56" s="619"/>
      <c r="L56" s="619"/>
      <c r="M56" s="619"/>
      <c r="N56" s="619"/>
      <c r="O56" s="619"/>
    </row>
    <row r="57" spans="1:20" ht="18" customHeight="1" x14ac:dyDescent="0.25">
      <c r="A57" s="103"/>
      <c r="B57" s="619"/>
      <c r="C57" s="619"/>
      <c r="D57" s="619"/>
      <c r="E57" s="619"/>
      <c r="F57" s="619"/>
      <c r="G57" s="619"/>
      <c r="H57" s="619"/>
      <c r="I57" s="619"/>
      <c r="J57" s="619"/>
      <c r="K57" s="619"/>
      <c r="L57" s="619"/>
      <c r="M57" s="619"/>
      <c r="N57" s="619"/>
      <c r="O57" s="619"/>
    </row>
    <row r="58" spans="1:20" ht="18" customHeight="1" x14ac:dyDescent="0.25">
      <c r="A58" s="103"/>
      <c r="B58" s="619"/>
      <c r="C58" s="619"/>
      <c r="D58" s="619"/>
      <c r="E58" s="619"/>
      <c r="F58" s="619"/>
      <c r="G58" s="619"/>
      <c r="H58" s="619"/>
      <c r="I58" s="619"/>
      <c r="J58" s="619"/>
      <c r="K58" s="619"/>
      <c r="L58" s="619"/>
      <c r="M58" s="619"/>
      <c r="N58" s="619"/>
      <c r="O58" s="619"/>
    </row>
    <row r="59" spans="1:20" ht="18" customHeight="1" x14ac:dyDescent="0.25">
      <c r="A59" s="103"/>
      <c r="B59" s="619"/>
      <c r="C59" s="619"/>
      <c r="D59" s="619"/>
      <c r="E59" s="619"/>
      <c r="F59" s="619"/>
      <c r="G59" s="619"/>
      <c r="H59" s="619"/>
      <c r="I59" s="619"/>
      <c r="J59" s="619"/>
      <c r="K59" s="619"/>
      <c r="L59" s="619"/>
      <c r="M59" s="619"/>
      <c r="N59" s="619"/>
      <c r="O59" s="619"/>
    </row>
    <row r="60" spans="1:20" ht="18" customHeight="1" x14ac:dyDescent="0.2">
      <c r="A60" s="609" t="s">
        <v>352</v>
      </c>
      <c r="B60" s="609"/>
      <c r="C60" s="609"/>
      <c r="D60" s="609"/>
      <c r="E60" s="609"/>
      <c r="F60" s="609"/>
      <c r="G60" s="609"/>
      <c r="H60" s="609"/>
      <c r="I60" s="609"/>
      <c r="J60" s="609"/>
      <c r="K60" s="609"/>
      <c r="L60" s="609"/>
      <c r="M60" s="609"/>
      <c r="N60" s="609"/>
      <c r="O60" s="609"/>
    </row>
    <row r="61" spans="1:20" ht="18" customHeight="1" x14ac:dyDescent="0.2">
      <c r="A61" s="613" t="s">
        <v>345</v>
      </c>
      <c r="B61" s="613"/>
      <c r="C61" s="613"/>
      <c r="D61" s="613"/>
      <c r="E61" s="613"/>
      <c r="F61" s="623" t="s">
        <v>346</v>
      </c>
      <c r="G61" s="623"/>
      <c r="H61" s="623"/>
      <c r="I61" s="623" t="s">
        <v>347</v>
      </c>
      <c r="J61" s="623"/>
      <c r="K61" s="623" t="s">
        <v>348</v>
      </c>
      <c r="L61" s="623"/>
      <c r="M61" s="623" t="s">
        <v>349</v>
      </c>
      <c r="N61" s="623"/>
      <c r="O61" s="623"/>
      <c r="R61" s="44" t="s">
        <v>921</v>
      </c>
      <c r="T61" s="44" t="s">
        <v>922</v>
      </c>
    </row>
    <row r="62" spans="1:20" ht="18" customHeight="1" x14ac:dyDescent="0.2">
      <c r="A62" s="594" t="str">
        <f>IF(F62="","",CONCATENATE(T62," - ",R62))</f>
        <v/>
      </c>
      <c r="B62" s="595"/>
      <c r="C62" s="595"/>
      <c r="D62" s="595"/>
      <c r="E62" s="596"/>
      <c r="F62" s="594" t="str" cm="1">
        <f t="array" ref="F62">IFERROR(
  _xlfn.XLOOKUP(
    Main!D9,
    _xlfn._xlws.FILTER(AssetPool[asset_tag], AssetPool[root_category_name]="DAQ Modules"),
    _xlfn._xlws.FILTER(AssetPool[serial_number], AssetPool[root_category_name]="DAQ Modules")
  ),
  ""
)</f>
        <v/>
      </c>
      <c r="G62" s="595"/>
      <c r="H62" s="596"/>
      <c r="I62" s="625" t="str">
        <f>IF(F62="","",Main!D12)</f>
        <v/>
      </c>
      <c r="J62" s="626"/>
      <c r="K62" s="625" t="str">
        <f>IF(F62="","",Main!D13)</f>
        <v/>
      </c>
      <c r="L62" s="626"/>
      <c r="M62" s="588" t="str">
        <f>IF(F62="","",REPLACE(Main!D14,3,1,""))</f>
        <v/>
      </c>
      <c r="N62" s="589"/>
      <c r="O62" s="590"/>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85" t="str">
        <f t="shared" ref="A63:A68" si="0">IF(Q63="","",CONCATENATE(T63," - ",R63))</f>
        <v/>
      </c>
      <c r="B63" s="586"/>
      <c r="C63" s="586"/>
      <c r="D63" s="586"/>
      <c r="E63" s="587"/>
      <c r="F63" s="585" t="str">
        <f>IF(Main!D48="","",Main!D48)</f>
        <v/>
      </c>
      <c r="G63" s="586"/>
      <c r="H63" s="587"/>
      <c r="I63" s="602" t="str">
        <f>IF(Q63="","",Main!D49)</f>
        <v/>
      </c>
      <c r="J63" s="603"/>
      <c r="K63" s="602" t="str">
        <f>IF(Q63="","",Main!D50)</f>
        <v/>
      </c>
      <c r="L63" s="603"/>
      <c r="M63" s="585" t="str">
        <f>IF(Q63="","",Main!D54)</f>
        <v/>
      </c>
      <c r="N63" s="586"/>
      <c r="O63" s="587"/>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85" t="str">
        <f t="shared" si="0"/>
        <v/>
      </c>
      <c r="B64" s="586"/>
      <c r="C64" s="586"/>
      <c r="D64" s="586"/>
      <c r="E64" s="587"/>
      <c r="F64" s="585" t="str">
        <f>IF(Main!E48="","",Main!E48)</f>
        <v/>
      </c>
      <c r="G64" s="586"/>
      <c r="H64" s="587"/>
      <c r="I64" s="602" t="str">
        <f>IF(Q64="","",Main!E49)</f>
        <v/>
      </c>
      <c r="J64" s="603"/>
      <c r="K64" s="602" t="str">
        <f>IF(Q64="","",Main!E50)</f>
        <v/>
      </c>
      <c r="L64" s="603"/>
      <c r="M64" s="585" t="str">
        <f>IF(Q64="","",Main!E54)</f>
        <v/>
      </c>
      <c r="N64" s="586"/>
      <c r="O64" s="587"/>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85" t="str">
        <f t="shared" si="0"/>
        <v/>
      </c>
      <c r="B65" s="586"/>
      <c r="C65" s="586"/>
      <c r="D65" s="586"/>
      <c r="E65" s="587"/>
      <c r="F65" s="585" t="str">
        <f>IF(Main!F48="","",Main!F48)</f>
        <v/>
      </c>
      <c r="G65" s="586"/>
      <c r="H65" s="587"/>
      <c r="I65" s="602" t="str">
        <f>IF(Q65="","",Main!F49)</f>
        <v/>
      </c>
      <c r="J65" s="603"/>
      <c r="K65" s="602" t="str">
        <f>IF(Q65="","",Main!F50)</f>
        <v/>
      </c>
      <c r="L65" s="603"/>
      <c r="M65" s="585" t="str">
        <f>IF(Q65="","",Main!F54)</f>
        <v/>
      </c>
      <c r="N65" s="586"/>
      <c r="O65" s="587"/>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85" t="str">
        <f t="shared" si="0"/>
        <v/>
      </c>
      <c r="B66" s="586"/>
      <c r="C66" s="586"/>
      <c r="D66" s="586"/>
      <c r="E66" s="587"/>
      <c r="F66" s="585" t="str">
        <f>IF(Main!G48="","",Main!G48)</f>
        <v/>
      </c>
      <c r="G66" s="586"/>
      <c r="H66" s="587"/>
      <c r="I66" s="602" t="str">
        <f>IF(Q66="","",Main!G49)</f>
        <v/>
      </c>
      <c r="J66" s="603"/>
      <c r="K66" s="602" t="str">
        <f>IF(Q66="","",Main!G50)</f>
        <v/>
      </c>
      <c r="L66" s="603"/>
      <c r="M66" s="585" t="str">
        <f>IF(Q66="","",Main!G54)</f>
        <v/>
      </c>
      <c r="N66" s="586"/>
      <c r="O66" s="587"/>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85" t="str">
        <f t="shared" si="0"/>
        <v/>
      </c>
      <c r="B67" s="586"/>
      <c r="C67" s="586"/>
      <c r="D67" s="586"/>
      <c r="E67" s="587"/>
      <c r="F67" s="585" t="str">
        <f>IF(Main!H48="","",Main!H48)</f>
        <v/>
      </c>
      <c r="G67" s="586"/>
      <c r="H67" s="587"/>
      <c r="I67" s="602" t="str">
        <f>IF(Q67="","",Main!H49)</f>
        <v/>
      </c>
      <c r="J67" s="603"/>
      <c r="K67" s="602" t="str">
        <f>IF(Q67="","",Main!H50)</f>
        <v/>
      </c>
      <c r="L67" s="603"/>
      <c r="M67" s="585" t="str">
        <f>IF(Q67="","",Main!H54)</f>
        <v/>
      </c>
      <c r="N67" s="586"/>
      <c r="O67" s="587"/>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85" t="str">
        <f t="shared" si="0"/>
        <v/>
      </c>
      <c r="B68" s="586"/>
      <c r="C68" s="586"/>
      <c r="D68" s="586"/>
      <c r="E68" s="587"/>
      <c r="F68" s="585" t="str">
        <f>IF(Main!I48="","",Main!I48)</f>
        <v/>
      </c>
      <c r="G68" s="586"/>
      <c r="H68" s="587"/>
      <c r="I68" s="602" t="str">
        <f>IF(Q68="","",Main!I49)</f>
        <v/>
      </c>
      <c r="J68" s="603"/>
      <c r="K68" s="602" t="str">
        <f>IF(Q68="","",Main!I50)</f>
        <v/>
      </c>
      <c r="L68" s="603"/>
      <c r="M68" s="585" t="str">
        <f>IF(Q68="","",Main!I54)</f>
        <v/>
      </c>
      <c r="N68" s="586"/>
      <c r="O68" s="587"/>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591" t="str">
        <f>IF(T69="","",CONCATENATE(T69," - ",R69))</f>
        <v/>
      </c>
      <c r="B69" s="592"/>
      <c r="C69" s="592"/>
      <c r="D69" s="592"/>
      <c r="E69" s="593"/>
      <c r="F69" s="597" t="str">
        <f>IF(W69="","",W69)</f>
        <v/>
      </c>
      <c r="G69" s="598"/>
      <c r="H69" s="599"/>
      <c r="I69" s="600"/>
      <c r="J69" s="601"/>
      <c r="K69" s="600"/>
      <c r="L69" s="601"/>
      <c r="M69" s="591"/>
      <c r="N69" s="592"/>
      <c r="O69" s="593"/>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584" t="s">
        <v>406</v>
      </c>
      <c r="B71" s="584"/>
      <c r="C71" s="584"/>
      <c r="D71" s="584"/>
      <c r="E71" s="584"/>
      <c r="F71" s="584"/>
      <c r="G71" s="584"/>
      <c r="H71" s="584"/>
      <c r="I71" s="584"/>
      <c r="J71" s="584"/>
      <c r="K71" s="584"/>
      <c r="L71" s="584"/>
      <c r="M71" s="584"/>
      <c r="N71" s="584"/>
      <c r="O71" s="584"/>
    </row>
    <row r="72" spans="1:20" ht="18" customHeight="1" x14ac:dyDescent="0.2">
      <c r="A72" s="584"/>
      <c r="B72" s="584"/>
      <c r="C72" s="584"/>
      <c r="D72" s="584"/>
      <c r="E72" s="584"/>
      <c r="F72" s="584"/>
      <c r="G72" s="584"/>
      <c r="H72" s="584"/>
      <c r="I72" s="584"/>
      <c r="J72" s="584"/>
      <c r="K72" s="584"/>
      <c r="L72" s="584"/>
      <c r="M72" s="584"/>
      <c r="N72" s="584"/>
      <c r="O72" s="584"/>
    </row>
    <row r="73" spans="1:20" ht="18" customHeight="1" x14ac:dyDescent="0.2">
      <c r="A73" s="584"/>
      <c r="B73" s="584"/>
      <c r="C73" s="584"/>
      <c r="D73" s="584"/>
      <c r="E73" s="584"/>
      <c r="F73" s="584"/>
      <c r="G73" s="584"/>
      <c r="H73" s="584"/>
      <c r="I73" s="584"/>
      <c r="J73" s="584"/>
      <c r="K73" s="584"/>
      <c r="L73" s="584"/>
      <c r="M73" s="584"/>
      <c r="N73" s="584"/>
      <c r="O73" s="584"/>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kiilrQzxIEE1LZLahYr1KHUSWIXHpXzkXgOSRvTI/phWnQ4vP2usBzzKDkA/97LxHNb+gdsDQDz4S8XcdKs4WQ==" saltValue="37HZGC7Eg4gbr3VX6SvpV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0</v>
      </c>
      <c r="AR2">
        <v>57452</v>
      </c>
      <c r="AS2" t="str">
        <v>VAC-584</v>
      </c>
      <c r="AT2" t="str">
        <v>3333 MAIN STREET</v>
      </c>
      <c r="AU2" t="str">
        <v>PARSONS, KS 67357</v>
      </c>
      <c r="AV2" t="str">
        <v/>
      </c>
      <c r="AW2" t="str">
        <v>40100 Revision C 12-26-19</v>
      </c>
      <c r="AX2" t="str">
        <v>JGI WP4100, AMS 2750H</v>
      </c>
      <c r="AY2" t="str">
        <v>Customer</v>
      </c>
      <c r="AZ2" t="str">
        <v>HOT FORM PRESS</v>
      </c>
      <c r="BA2" t="str">
        <v>DAKE 927-556</v>
      </c>
      <c r="BB2">
        <v>159874</v>
      </c>
      <c r="BC2" t="str">
        <v>VAC-584</v>
      </c>
      <c r="BD2" t="str">
        <v>UNASSIGNED</v>
      </c>
      <c r="BE2" t="str">
        <v>1400°F/1675°F</v>
      </c>
      <c r="BF2" t="str">
        <v>±25°F</v>
      </c>
      <c r="BG2" t="str">
        <v>ELECTRIC</v>
      </c>
      <c r="BH2" t="str">
        <v>See Drawing</v>
      </c>
      <c r="BI2">
        <v>0</v>
      </c>
      <c r="BJ2" t="str">
        <v>6 Mo</v>
      </c>
      <c r="BK2">
        <v>1633315</v>
      </c>
      <c r="BL2" t="str">
        <v>EUROTHERM 3216</v>
      </c>
      <c r="BM2" t="str">
        <v>VAC-644</v>
      </c>
      <c r="BN2" t="str">
        <v>±5°F</v>
      </c>
      <c r="BO2">
        <v>0</v>
      </c>
      <c r="BP2">
        <v>0</v>
      </c>
      <c r="BQ2">
        <v>0</v>
      </c>
      <c r="BR2">
        <v>0</v>
      </c>
      <c r="BS2" t="str">
        <v/>
      </c>
      <c r="BT2" t="str">
        <v>On-Site</v>
      </c>
      <c r="BU2" t="str">
        <v>PRODUCTION - Tested on Site</v>
      </c>
      <c r="BV2" t="str">
        <v>Used</v>
      </c>
      <c r="BW2" t="str">
        <v>Unavailable</v>
      </c>
      <c r="BX2" t="str">
        <v/>
      </c>
      <c r="BY2" t="str">
        <v/>
      </c>
      <c r="BZ2" t="str">
        <v/>
      </c>
      <c r="CA2" t="str">
        <v/>
      </c>
      <c r="CB2" t="str">
        <v/>
      </c>
      <c r="CC2" t="str">
        <v>Empty</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#N/A</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2" sqref="C12"/>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e" cm="1">
        <f t="array" ref="C11">_xlfn.XLOOKUP(
  TEXT(Temperature, "0"),
  DaqbookOffsets[#Headers],
  _xlfn.XLOOKUP(C10, DaqbookOffsets[Column1], DaqbookOffsets[]),
  "No match", 1
  )</f>
        <v>#N/A</v>
      </c>
      <c r="D11" s="143" t="e" cm="1">
        <f t="array" ref="D11">_xlfn.XLOOKUP(
  TEXT(Temperature, "0"),
  DaqbookOffsets[#Headers],
  _xlfn.XLOOKUP(D10, DaqbookOffsets[Column1], DaqbookOffsets[]),
  "No match", 1
  )</f>
        <v>#N/A</v>
      </c>
      <c r="E11" s="143" t="e" cm="1">
        <f t="array" ref="E11">_xlfn.XLOOKUP(
  TEXT(Temperature, "0"),
  DaqbookOffsets[#Headers],
  _xlfn.XLOOKUP(E10, DaqbookOffsets[Column1], DaqbookOffsets[]),
  "No match", 1
  )</f>
        <v>#N/A</v>
      </c>
      <c r="F11" s="143" t="e" cm="1">
        <f t="array" ref="F11">_xlfn.XLOOKUP(
  TEXT(Temperature, "0"),
  DaqbookOffsets[#Headers],
  _xlfn.XLOOKUP(F10, DaqbookOffsets[Column1], DaqbookOffsets[]),
  "No match", 1
  )</f>
        <v>#N/A</v>
      </c>
      <c r="G11" s="143" t="e" cm="1">
        <f t="array" ref="G11">_xlfn.XLOOKUP(
  TEXT(Temperature, "0"),
  DaqbookOffsets[#Headers],
  _xlfn.XLOOKUP(G10, DaqbookOffsets[Column1], DaqbookOffsets[]),
  "No match", 1
  )</f>
        <v>#N/A</v>
      </c>
      <c r="H11" s="143" t="e" cm="1">
        <f t="array" ref="H11">_xlfn.XLOOKUP(
  TEXT(Temperature, "0"),
  DaqbookOffsets[#Headers],
  _xlfn.XLOOKUP(H10, DaqbookOffsets[Column1], DaqbookOffsets[]),
  "No match", 1
  )</f>
        <v>#N/A</v>
      </c>
      <c r="I11" s="143" t="e" cm="1">
        <f t="array" ref="I11">_xlfn.XLOOKUP(
  TEXT(Temperature, "0"),
  DaqbookOffsets[#Headers],
  _xlfn.XLOOKUP(I10, DaqbookOffsets[Column1], DaqbookOffsets[]),
  "No match", 1
  )</f>
        <v>#N/A</v>
      </c>
      <c r="J11" s="143" t="e" cm="1">
        <f t="array" ref="J11">_xlfn.XLOOKUP(
  TEXT(Temperature, "0"),
  DaqbookOffsets[#Headers],
  _xlfn.XLOOKUP(J10, DaqbookOffsets[Column1], DaqbookOffsets[]),
  "No match", 1
  )</f>
        <v>#N/A</v>
      </c>
      <c r="K11" s="143" t="e" cm="1">
        <f t="array" ref="K11">_xlfn.XLOOKUP(
  TEXT(Temperature, "0"),
  DaqbookOffsets[#Headers],
  _xlfn.XLOOKUP(K10, DaqbookOffsets[Column1], DaqbookOffsets[]),
  "No match", 1
  )</f>
        <v>#N/A</v>
      </c>
      <c r="L11" s="143" t="e" cm="1">
        <f t="array" ref="L11">_xlfn.XLOOKUP(
  TEXT(Temperature, "0"),
  DaqbookOffsets[#Headers],
  _xlfn.XLOOKUP(L10, DaqbookOffsets[Column1], DaqbookOffsets[]),
  "No match", 1
  )</f>
        <v>#N/A</v>
      </c>
      <c r="M11" s="143" t="e" cm="1">
        <f t="array" ref="M11">_xlfn.XLOOKUP(
  TEXT(Temperature, "0"),
  DaqbookOffsets[#Headers],
  _xlfn.XLOOKUP(M10, DaqbookOffsets[Column1], DaqbookOffsets[]),
  "No match", 1
  )</f>
        <v>#N/A</v>
      </c>
      <c r="N11" s="143" t="e" cm="1">
        <f t="array" ref="N11">_xlfn.XLOOKUP(
  TEXT(Temperature, "0"),
  DaqbookOffsets[#Headers],
  _xlfn.XLOOKUP(N10, DaqbookOffsets[Column1], DaqbookOffsets[]),
  "No match", 1
  )</f>
        <v>#N/A</v>
      </c>
      <c r="O11" s="143" t="e" cm="1">
        <f t="array" ref="O11">_xlfn.XLOOKUP(
  TEXT(Temperature, "0"),
  DaqbookOffsets[#Headers],
  _xlfn.XLOOKUP(O10, DaqbookOffsets[Column1], DaqbookOffsets[]),
  "No match", 1
  )</f>
        <v>#N/A</v>
      </c>
      <c r="P11" s="143" t="e" cm="1">
        <f t="array" ref="P11">_xlfn.XLOOKUP(
  TEXT(Temperature, "0"),
  DaqbookOffsets[#Headers],
  _xlfn.XLOOKUP(P10, DaqbookOffsets[Column1], DaqbookOffsets[]),
  "No match", 1
  )</f>
        <v>#N/A</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e">
        <f>IF(OR(C11="",C12=""),"",SUM(C11:C12))</f>
        <v>#N/A</v>
      </c>
      <c r="D13" s="140" t="e">
        <f t="shared" ref="D13:P13" si="0">IF(OR(D11="",D12=""),"",SUM(D11:D12))</f>
        <v>#N/A</v>
      </c>
      <c r="E13" s="140" t="e">
        <f t="shared" si="0"/>
        <v>#N/A</v>
      </c>
      <c r="F13" s="140" t="e">
        <f t="shared" si="0"/>
        <v>#N/A</v>
      </c>
      <c r="G13" s="140" t="e">
        <f t="shared" si="0"/>
        <v>#N/A</v>
      </c>
      <c r="H13" s="140" t="e">
        <f t="shared" si="0"/>
        <v>#N/A</v>
      </c>
      <c r="I13" s="140" t="e">
        <f t="shared" si="0"/>
        <v>#N/A</v>
      </c>
      <c r="J13" s="140" t="e">
        <f t="shared" si="0"/>
        <v>#N/A</v>
      </c>
      <c r="K13" s="140" t="e">
        <f t="shared" si="0"/>
        <v>#N/A</v>
      </c>
      <c r="L13" s="140" t="e">
        <f t="shared" si="0"/>
        <v>#N/A</v>
      </c>
      <c r="M13" s="140" t="e">
        <f t="shared" si="0"/>
        <v>#N/A</v>
      </c>
      <c r="N13" s="140" t="e">
        <f t="shared" si="0"/>
        <v>#N/A</v>
      </c>
      <c r="O13" s="140" t="e">
        <f t="shared" si="0"/>
        <v>#N/A</v>
      </c>
      <c r="P13" s="140" t="e">
        <f t="shared" si="0"/>
        <v>#N/A</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e" cm="1">
        <f t="array" ref="C17">_xlfn.XLOOKUP(
  TEXT(Temperature, "0"),
  DaqbookOffsets[#Headers],
  _xlfn.XLOOKUP(C16, DaqbookOffsets[Column1], DaqbookOffsets[]),
  "No match", 1
)</f>
        <v>#N/A</v>
      </c>
      <c r="D17" s="143" t="e" cm="1">
        <f t="array" ref="D17">_xlfn.XLOOKUP(
  TEXT(Temperature, "0"),
  DaqbookOffsets[#Headers],
  _xlfn.XLOOKUP(D16, DaqbookOffsets[Column1], DaqbookOffsets[]),
  "No match", 1
)</f>
        <v>#N/A</v>
      </c>
      <c r="E17" s="143" t="e" cm="1">
        <f t="array" ref="E17">_xlfn.XLOOKUP(
  TEXT(Temperature, "0"),
  DaqbookOffsets[#Headers],
  _xlfn.XLOOKUP(E16, DaqbookOffsets[Column1], DaqbookOffsets[]),
  "No match", 1
)</f>
        <v>#N/A</v>
      </c>
      <c r="F17" s="143" t="e" cm="1">
        <f t="array" ref="F17">_xlfn.XLOOKUP(
  TEXT(Temperature, "0"),
  DaqbookOffsets[#Headers],
  _xlfn.XLOOKUP(F16, DaqbookOffsets[Column1], DaqbookOffsets[]),
  "No match", 1
)</f>
        <v>#N/A</v>
      </c>
      <c r="G17" s="143" t="e" cm="1">
        <f t="array" ref="G17">_xlfn.XLOOKUP(
  TEXT(Temperature, "0"),
  DaqbookOffsets[#Headers],
  _xlfn.XLOOKUP(G16, DaqbookOffsets[Column1], DaqbookOffsets[]),
  "No match", 1
)</f>
        <v>#N/A</v>
      </c>
      <c r="H17" s="143" t="e" cm="1">
        <f t="array" ref="H17">_xlfn.XLOOKUP(
  TEXT(Temperature, "0"),
  DaqbookOffsets[#Headers],
  _xlfn.XLOOKUP(H16, DaqbookOffsets[Column1], DaqbookOffsets[]),
  "No match", 1
)</f>
        <v>#N/A</v>
      </c>
      <c r="I17" s="143" t="e" cm="1">
        <f t="array" ref="I17">_xlfn.XLOOKUP(
  TEXT(Temperature, "0"),
  DaqbookOffsets[#Headers],
  _xlfn.XLOOKUP(I16, DaqbookOffsets[Column1], DaqbookOffsets[]),
  "No match", 1
)</f>
        <v>#N/A</v>
      </c>
      <c r="J17" s="143" t="e" cm="1">
        <f t="array" ref="J17">_xlfn.XLOOKUP(
  TEXT(Temperature, "0"),
  DaqbookOffsets[#Headers],
  _xlfn.XLOOKUP(J16, DaqbookOffsets[Column1], DaqbookOffsets[]),
  "No match", 1
)</f>
        <v>#N/A</v>
      </c>
      <c r="K17" s="143" t="e" cm="1">
        <f t="array" ref="K17">_xlfn.XLOOKUP(
  TEXT(Temperature, "0"),
  DaqbookOffsets[#Headers],
  _xlfn.XLOOKUP(K16, DaqbookOffsets[Column1], DaqbookOffsets[]),
  "No match", 1
)</f>
        <v>#N/A</v>
      </c>
      <c r="L17" s="143" t="e" cm="1">
        <f t="array" ref="L17">_xlfn.XLOOKUP(
  TEXT(Temperature, "0"),
  DaqbookOffsets[#Headers],
  _xlfn.XLOOKUP(L16, DaqbookOffsets[Column1], DaqbookOffsets[]),
  "No match", 1
)</f>
        <v>#N/A</v>
      </c>
      <c r="M17" s="143" t="e" cm="1">
        <f t="array" ref="M17">_xlfn.XLOOKUP(
  TEXT(Temperature, "0"),
  DaqbookOffsets[#Headers],
  _xlfn.XLOOKUP(M16, DaqbookOffsets[Column1], DaqbookOffsets[]),
  "No match", 1
)</f>
        <v>#N/A</v>
      </c>
      <c r="N17" s="143" t="e" cm="1">
        <f t="array" ref="N17">_xlfn.XLOOKUP(
  TEXT(Temperature, "0"),
  DaqbookOffsets[#Headers],
  _xlfn.XLOOKUP(N16, DaqbookOffsets[Column1], DaqbookOffsets[]),
  "No match", 1
)</f>
        <v>#N/A</v>
      </c>
      <c r="O17" s="143" t="e" cm="1">
        <f t="array" ref="O17">_xlfn.XLOOKUP(
  TEXT(Temperature, "0"),
  DaqbookOffsets[#Headers],
  _xlfn.XLOOKUP(O16, DaqbookOffsets[Column1], DaqbookOffsets[]),
  "No match", 1
)</f>
        <v>#N/A</v>
      </c>
      <c r="P17" s="143" t="e" cm="1">
        <f t="array" ref="P17">_xlfn.XLOOKUP(
  TEXT(Temperature, "0"),
  DaqbookOffsets[#Headers],
  _xlfn.XLOOKUP(P16, DaqbookOffsets[Column1], DaqbookOffsets[]),
  "No match", 1
)</f>
        <v>#N/A</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e">
        <f>IF(OR(C17="",C18=""),"",SUM(C17:C18))</f>
        <v>#N/A</v>
      </c>
      <c r="D19" s="140" t="e">
        <f t="shared" ref="D19:P19" si="1">IF(OR(D17="",D18=""),"",SUM(D17:D18))</f>
        <v>#N/A</v>
      </c>
      <c r="E19" s="140" t="e">
        <f t="shared" si="1"/>
        <v>#N/A</v>
      </c>
      <c r="F19" s="140" t="e">
        <f t="shared" si="1"/>
        <v>#N/A</v>
      </c>
      <c r="G19" s="140" t="e">
        <f t="shared" si="1"/>
        <v>#N/A</v>
      </c>
      <c r="H19" s="140" t="e">
        <f t="shared" si="1"/>
        <v>#N/A</v>
      </c>
      <c r="I19" s="140" t="e">
        <f t="shared" si="1"/>
        <v>#N/A</v>
      </c>
      <c r="J19" s="140" t="e">
        <f t="shared" si="1"/>
        <v>#N/A</v>
      </c>
      <c r="K19" s="140" t="e">
        <f t="shared" si="1"/>
        <v>#N/A</v>
      </c>
      <c r="L19" s="140" t="e">
        <f t="shared" si="1"/>
        <v>#N/A</v>
      </c>
      <c r="M19" s="140" t="e">
        <f t="shared" si="1"/>
        <v>#N/A</v>
      </c>
      <c r="N19" s="140" t="e">
        <f t="shared" si="1"/>
        <v>#N/A</v>
      </c>
      <c r="O19" s="140" t="e">
        <f t="shared" si="1"/>
        <v>#N/A</v>
      </c>
      <c r="P19" s="140" t="e">
        <f t="shared" si="1"/>
        <v>#N/A</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e" cm="1">
        <f t="array" ref="C23">_xlfn.XLOOKUP(
  TEXT(Temperature, "0"),
  DaqbookOffsets[#Headers],
  _xlfn.XLOOKUP(C22, DaqbookOffsets[Column1], DaqbookOffsets[]),
  "No match", 1
)</f>
        <v>#N/A</v>
      </c>
      <c r="D23" s="143" t="e" cm="1">
        <f t="array" ref="D23">_xlfn.XLOOKUP(
  TEXT(Temperature, "0"),
  DaqbookOffsets[#Headers],
  _xlfn.XLOOKUP(D22, DaqbookOffsets[Column1], DaqbookOffsets[]),
  "No match", 1
)</f>
        <v>#N/A</v>
      </c>
      <c r="E23" s="143" t="e" cm="1">
        <f t="array" ref="E23">_xlfn.XLOOKUP(
  TEXT(Temperature, "0"),
  DaqbookOffsets[#Headers],
  _xlfn.XLOOKUP(E22, DaqbookOffsets[Column1], DaqbookOffsets[]),
  "No match", 1
)</f>
        <v>#N/A</v>
      </c>
      <c r="F23" s="143" t="e" cm="1">
        <f t="array" ref="F23">_xlfn.XLOOKUP(
  TEXT(Temperature, "0"),
  DaqbookOffsets[#Headers],
  _xlfn.XLOOKUP(F22, DaqbookOffsets[Column1], DaqbookOffsets[]),
  "No match", 1
)</f>
        <v>#N/A</v>
      </c>
      <c r="G23" s="143" t="e" cm="1">
        <f t="array" ref="G23">_xlfn.XLOOKUP(
  TEXT(Temperature, "0"),
  DaqbookOffsets[#Headers],
  _xlfn.XLOOKUP(G22, DaqbookOffsets[Column1], DaqbookOffsets[]),
  "No match", 1
)</f>
        <v>#N/A</v>
      </c>
      <c r="H23" s="143" t="e" cm="1">
        <f t="array" ref="H23">_xlfn.XLOOKUP(
  TEXT(Temperature, "0"),
  DaqbookOffsets[#Headers],
  _xlfn.XLOOKUP(H22, DaqbookOffsets[Column1], DaqbookOffsets[]),
  "No match", 1
)</f>
        <v>#N/A</v>
      </c>
      <c r="I23" s="143" t="e" cm="1">
        <f t="array" ref="I23">_xlfn.XLOOKUP(
  TEXT(Temperature, "0"),
  DaqbookOffsets[#Headers],
  _xlfn.XLOOKUP(I22, DaqbookOffsets[Column1], DaqbookOffsets[]),
  "No match", 1
)</f>
        <v>#N/A</v>
      </c>
      <c r="J23" s="143" t="e" cm="1">
        <f t="array" ref="J23">_xlfn.XLOOKUP(
  TEXT(Temperature, "0"),
  DaqbookOffsets[#Headers],
  _xlfn.XLOOKUP(J22, DaqbookOffsets[Column1], DaqbookOffsets[]),
  "No match", 1
)</f>
        <v>#N/A</v>
      </c>
      <c r="K23" s="143" t="e" cm="1">
        <f t="array" ref="K23">_xlfn.XLOOKUP(
  TEXT(Temperature, "0"),
  DaqbookOffsets[#Headers],
  _xlfn.XLOOKUP(K22, DaqbookOffsets[Column1], DaqbookOffsets[]),
  "No match", 1
)</f>
        <v>#N/A</v>
      </c>
      <c r="L23" s="143" t="e" cm="1">
        <f t="array" ref="L23">_xlfn.XLOOKUP(
  TEXT(Temperature, "0"),
  DaqbookOffsets[#Headers],
  _xlfn.XLOOKUP(L22, DaqbookOffsets[Column1], DaqbookOffsets[]),
  "No match", 1
)</f>
        <v>#N/A</v>
      </c>
      <c r="M23" s="143" t="e" cm="1">
        <f t="array" ref="M23">_xlfn.XLOOKUP(
  TEXT(Temperature, "0"),
  DaqbookOffsets[#Headers],
  _xlfn.XLOOKUP(M22, DaqbookOffsets[Column1], DaqbookOffsets[]),
  "No match", 1
)</f>
        <v>#N/A</v>
      </c>
      <c r="N23" s="143" t="e" cm="1">
        <f t="array" ref="N23">_xlfn.XLOOKUP(
  TEXT(Temperature, "0"),
  DaqbookOffsets[#Headers],
  _xlfn.XLOOKUP(N22, DaqbookOffsets[Column1], DaqbookOffsets[]),
  "No match", 1
)</f>
        <v>#N/A</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e">
        <f>IF(OR(C23="",C24=""),"",SUM(C23:C24))</f>
        <v>#N/A</v>
      </c>
      <c r="D25" s="140" t="e">
        <f t="shared" ref="D25:N25" si="2">IF(OR(D23="",D24=""),"",SUM(D23:D24))</f>
        <v>#N/A</v>
      </c>
      <c r="E25" s="140" t="e">
        <f t="shared" si="2"/>
        <v>#N/A</v>
      </c>
      <c r="F25" s="140" t="e">
        <f t="shared" si="2"/>
        <v>#N/A</v>
      </c>
      <c r="G25" s="140" t="e">
        <f t="shared" si="2"/>
        <v>#N/A</v>
      </c>
      <c r="H25" s="140" t="e">
        <f t="shared" si="2"/>
        <v>#N/A</v>
      </c>
      <c r="I25" s="140" t="e">
        <f t="shared" si="2"/>
        <v>#N/A</v>
      </c>
      <c r="J25" s="140" t="e">
        <f t="shared" si="2"/>
        <v>#N/A</v>
      </c>
      <c r="K25" s="140" t="e">
        <f t="shared" si="2"/>
        <v>#N/A</v>
      </c>
      <c r="L25" s="140" t="e">
        <f t="shared" si="2"/>
        <v>#N/A</v>
      </c>
      <c r="M25" s="140" t="e">
        <f t="shared" si="2"/>
        <v>#N/A</v>
      </c>
      <c r="N25" s="140" t="e">
        <f t="shared" si="2"/>
        <v>#N/A</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28" t="s">
        <v>380</v>
      </c>
      <c r="I28" s="628"/>
      <c r="J28" s="628"/>
      <c r="K28" s="628"/>
      <c r="L28" s="628"/>
      <c r="M28" s="628"/>
      <c r="N28" s="628"/>
      <c r="O28" s="628"/>
      <c r="P28" s="628"/>
      <c r="Q28" s="628"/>
      <c r="R28" s="628"/>
    </row>
    <row r="29" spans="1:20" x14ac:dyDescent="0.2">
      <c r="A29" s="636" t="s">
        <v>46</v>
      </c>
      <c r="B29" s="637"/>
      <c r="C29" s="65" t="str">
        <f>IF(Main!D48="","",Main!D48)</f>
        <v/>
      </c>
      <c r="D29" s="65" t="str">
        <f>IF(Main!E48="","",Main!E48)</f>
        <v/>
      </c>
      <c r="E29" s="65" t="str">
        <f>IF(Main!F48="","",Main!F48)</f>
        <v/>
      </c>
      <c r="F29" s="65" t="str">
        <f>IF(Main!G48="","",Main!G48)</f>
        <v/>
      </c>
      <c r="G29" s="459"/>
      <c r="H29" s="454" t="s">
        <v>381</v>
      </c>
      <c r="I29" s="143" t="str">
        <f>IF(Main!N47="","",Main!N47)</f>
        <v>Periodic</v>
      </c>
      <c r="J29" s="638" t="s">
        <v>382</v>
      </c>
      <c r="K29" s="639"/>
      <c r="L29" s="143" t="str">
        <f>IF(Main!R47="","",Main!R47)</f>
        <v>Air</v>
      </c>
    </row>
    <row r="30" spans="1:20" x14ac:dyDescent="0.2">
      <c r="A30" s="636" t="s">
        <v>47</v>
      </c>
      <c r="B30" s="637"/>
      <c r="C30" s="66" t="str">
        <f>IF(Main!D49="","",Main!D49)</f>
        <v/>
      </c>
      <c r="D30" s="66" t="str">
        <f>IF(Main!E49="","",Main!E49)</f>
        <v/>
      </c>
      <c r="E30" s="66" t="str">
        <f>IF(Main!F49="","",Main!F49)</f>
        <v/>
      </c>
      <c r="F30" s="66" t="str">
        <f>IF(Main!G49="","",Main!G49)</f>
        <v/>
      </c>
      <c r="G30" s="461"/>
      <c r="H30" s="629" t="s">
        <v>368</v>
      </c>
      <c r="I30" s="629"/>
      <c r="J30" s="640" t="s">
        <v>425</v>
      </c>
      <c r="K30" s="641"/>
      <c r="L30" s="642"/>
      <c r="M30" s="451"/>
      <c r="O30" s="630" t="s">
        <v>428</v>
      </c>
      <c r="P30" s="631"/>
      <c r="Q30" s="632"/>
      <c r="T30" s="44"/>
    </row>
    <row r="31" spans="1:20" x14ac:dyDescent="0.2">
      <c r="A31" s="636" t="s">
        <v>48</v>
      </c>
      <c r="B31" s="637"/>
      <c r="C31" s="66" t="str">
        <f>IF(Main!D50="","",Main!D50)</f>
        <v/>
      </c>
      <c r="D31" s="66" t="str">
        <f>IF(Main!E50="","",Main!E50)</f>
        <v/>
      </c>
      <c r="E31" s="66" t="str">
        <f>IF(Main!F50="","",Main!F50)</f>
        <v/>
      </c>
      <c r="F31" s="66" t="str">
        <f>IF(Main!G50="","",Main!G50)</f>
        <v/>
      </c>
      <c r="G31" s="461"/>
      <c r="H31" s="379" t="s">
        <v>383</v>
      </c>
      <c r="I31" s="398" t="str">
        <f>IF(Main!N49="","",Main!N49)</f>
        <v>Unavailable</v>
      </c>
      <c r="J31" s="655" t="s">
        <v>433</v>
      </c>
      <c r="K31" s="656"/>
      <c r="L31" s="657"/>
      <c r="M31" s="452" t="str">
        <f>IF(Main!S49="","",Main!S49)</f>
        <v/>
      </c>
      <c r="O31" s="633" t="s">
        <v>435</v>
      </c>
      <c r="P31" s="634"/>
      <c r="Q31" s="635"/>
      <c r="R31" s="82" t="str">
        <f>IF(Main!X49="","",Main!X49)</f>
        <v/>
      </c>
      <c r="T31" s="44"/>
    </row>
    <row r="32" spans="1:20" ht="12.75" customHeight="1" x14ac:dyDescent="0.2">
      <c r="A32" s="636" t="s">
        <v>49</v>
      </c>
      <c r="B32" s="637"/>
      <c r="C32" s="65" t="str">
        <f>IF(Main!D51="","",Main!D51)</f>
        <v/>
      </c>
      <c r="D32" s="65" t="str">
        <f>IF(Main!E51="","",Main!E51)</f>
        <v/>
      </c>
      <c r="E32" s="65" t="str">
        <f>IF(Main!F51="","",Main!F51)</f>
        <v/>
      </c>
      <c r="F32" s="65" t="str">
        <f>IF(Main!G51="","",Main!G51)</f>
        <v/>
      </c>
      <c r="G32" s="459"/>
      <c r="H32" s="379" t="s">
        <v>399</v>
      </c>
      <c r="I32" s="398" t="str">
        <f>IF(Main!N50="","",Main!N50)</f>
        <v/>
      </c>
      <c r="J32" s="646" t="s">
        <v>371</v>
      </c>
      <c r="K32" s="647"/>
      <c r="L32" s="648"/>
      <c r="M32" s="434"/>
      <c r="O32" s="646" t="s">
        <v>371</v>
      </c>
      <c r="P32" s="647"/>
      <c r="Q32" s="648"/>
      <c r="T32" s="44"/>
    </row>
    <row r="33" spans="1:20" ht="12.75" customHeight="1" x14ac:dyDescent="0.2">
      <c r="A33" s="636" t="s">
        <v>384</v>
      </c>
      <c r="B33" s="637"/>
      <c r="C33" s="65" t="str">
        <f>IF(Main!D52="","",Main!D52)</f>
        <v/>
      </c>
      <c r="D33" s="65" t="str">
        <f>IF(Main!E52="","",Main!E52)</f>
        <v/>
      </c>
      <c r="E33" s="65" t="str">
        <f>IF(Main!F52="","",Main!F52)</f>
        <v/>
      </c>
      <c r="F33" s="65" t="str">
        <f>IF(Main!G52="","",Main!G52)</f>
        <v/>
      </c>
      <c r="G33" s="459"/>
      <c r="H33" s="379" t="s">
        <v>385</v>
      </c>
      <c r="I33" s="398" t="str">
        <f>IF(Main!N51="","",Main!N51)</f>
        <v/>
      </c>
      <c r="J33" s="643" t="s">
        <v>434</v>
      </c>
      <c r="K33" s="644"/>
      <c r="L33" s="645"/>
      <c r="M33" s="431" t="str">
        <f>IF(Main!S51="","",Main!S51)</f>
        <v/>
      </c>
      <c r="O33" s="643" t="s">
        <v>436</v>
      </c>
      <c r="P33" s="644"/>
      <c r="Q33" s="645"/>
      <c r="R33" s="82" t="str">
        <f>IF(Main!X51="","",Main!X51)</f>
        <v/>
      </c>
      <c r="T33" s="44"/>
    </row>
    <row r="34" spans="1:20" ht="12.75" customHeight="1" x14ac:dyDescent="0.2">
      <c r="A34" s="636" t="s">
        <v>50</v>
      </c>
      <c r="B34" s="637"/>
      <c r="C34" s="67" t="str">
        <f>IF(Main!D53="","",Main!D53)</f>
        <v/>
      </c>
      <c r="D34" s="67" t="str">
        <f>IF(Main!E53="","",Main!E53)</f>
        <v/>
      </c>
      <c r="E34" s="67" t="str">
        <f>IF(Main!F53="","",Main!F53)</f>
        <v/>
      </c>
      <c r="F34" s="67" t="str">
        <f>IF(Main!G53="","",Main!G53)</f>
        <v/>
      </c>
      <c r="G34" s="462"/>
      <c r="H34" s="379" t="s">
        <v>386</v>
      </c>
      <c r="I34" s="378" t="str">
        <f>IF(Main!N52="","",Main!N52)</f>
        <v/>
      </c>
      <c r="J34" s="646" t="s">
        <v>371</v>
      </c>
      <c r="K34" s="647"/>
      <c r="L34" s="648"/>
      <c r="O34" s="646" t="s">
        <v>371</v>
      </c>
      <c r="P34" s="647"/>
      <c r="Q34" s="648"/>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49" t="s">
        <v>437</v>
      </c>
      <c r="K35" s="650"/>
      <c r="L35" s="651"/>
      <c r="M35" s="455" t="str">
        <f>IF(Main!S53="","",Main!S53)</f>
        <v/>
      </c>
      <c r="O35" s="649" t="s">
        <v>438</v>
      </c>
      <c r="P35" s="650"/>
      <c r="Q35" s="651"/>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52"/>
      <c r="K36" s="653"/>
      <c r="L36" s="654"/>
      <c r="M36" s="450"/>
      <c r="O36" s="652"/>
      <c r="P36" s="653"/>
      <c r="Q36" s="654"/>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WZP5O/7o/KU1ikr4ujhE/C7yA6jl/4Klk1vkECFUo1dDvmZzaRpTBMZQentoadv2u+x430YLc6alQVgrrt+nLg==" saltValue="wUmqb9CQYME8/wpJeh4fq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NnDtvWMHUHLhtGBlC342gARH9MpvLnrkRnx0RMb64oli46zCLnht8f6rJjv6+tOAWZy14BXTed5orznX5FBvfw==" saltValue="6ispUpYAO6r5/ut+mRnJO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72</v>
      </c>
      <c r="B1" s="617"/>
      <c r="C1" s="617"/>
      <c r="D1" s="617"/>
      <c r="E1" s="40" t="s">
        <v>182</v>
      </c>
      <c r="G1" s="617" t="s">
        <v>85</v>
      </c>
      <c r="H1" s="617"/>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925</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mZEXgBnKbMm6Ehb0094xuCESfZ227BEzzh7e9MpY8oxWUiIFCgM8KHXDfS+VXK9j73Amaul0Ak3yWwUlfPCG+g==" saltValue="wxPzeXRV//q9DRBuz+8o5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Z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26" x14ac:dyDescent="0.2">
      <c r="C1" t="e" cm="1" vm="3">
        <f t="array" ref="C1">TRANSPOSE(_xlfn._xlws.FILTER(WireOffsets[nominal_temp], WireOffsets[traceability_no]=A3))</f>
        <v>#VALUE!</v>
      </c>
      <c r="O1"/>
      <c r="P1"/>
      <c r="Q1"/>
      <c r="R1"/>
      <c r="S1"/>
      <c r="T1"/>
      <c r="U1"/>
      <c r="V1"/>
      <c r="W1"/>
      <c r="X1"/>
      <c r="Y1"/>
      <c r="Z1"/>
    </row>
    <row r="2" spans="1:26" x14ac:dyDescent="0.2">
      <c r="I2" s="6"/>
      <c r="J2" s="6"/>
      <c r="K2" s="6"/>
      <c r="L2" s="6"/>
      <c r="M2" s="6"/>
      <c r="N2" s="6"/>
    </row>
    <row r="3" spans="1:26" x14ac:dyDescent="0.2">
      <c r="A3" s="430" t="str">
        <f>Main!D55</f>
        <v/>
      </c>
      <c r="C3" t="e" cm="1" vm="3">
        <f t="array" ref="C3">TRANSPOSE(_xlfn._xlws.FILTER(WireOffsets[correction_factor], WireOffsets[traceability_no]=A3))</f>
        <v>#VALUE!</v>
      </c>
      <c r="I3" s="6"/>
      <c r="J3" s="6"/>
      <c r="K3" s="6"/>
      <c r="L3" s="6"/>
      <c r="M3" s="6"/>
      <c r="N3" s="6"/>
    </row>
    <row r="4" spans="1:26" x14ac:dyDescent="0.2">
      <c r="I4" s="6"/>
      <c r="J4" s="6"/>
      <c r="K4" s="6"/>
      <c r="L4" s="6"/>
      <c r="M4" s="6"/>
      <c r="N4" s="6"/>
    </row>
    <row r="5" spans="1:26" x14ac:dyDescent="0.2">
      <c r="I5" s="6"/>
      <c r="J5" s="6"/>
      <c r="K5" s="6"/>
      <c r="L5" s="6"/>
      <c r="M5" s="6"/>
      <c r="N5" s="6"/>
    </row>
    <row r="6" spans="1:26" x14ac:dyDescent="0.2">
      <c r="I6" s="6"/>
      <c r="J6" s="6"/>
      <c r="K6" s="6"/>
      <c r="L6" s="6"/>
      <c r="M6" s="6"/>
      <c r="N6" s="6"/>
    </row>
    <row r="7" spans="1:26" x14ac:dyDescent="0.2">
      <c r="I7" s="6"/>
      <c r="J7" s="6"/>
      <c r="K7" s="6"/>
      <c r="L7" s="6"/>
      <c r="M7" s="6"/>
      <c r="N7" s="6"/>
    </row>
    <row r="8" spans="1:26" x14ac:dyDescent="0.2">
      <c r="I8" s="6"/>
      <c r="J8" s="6"/>
      <c r="K8" s="6"/>
      <c r="L8" s="6"/>
      <c r="M8" s="6"/>
      <c r="N8" s="6"/>
    </row>
    <row r="9" spans="1:26" x14ac:dyDescent="0.2">
      <c r="I9" s="6"/>
      <c r="J9" s="6"/>
      <c r="K9" s="6"/>
      <c r="L9" s="6"/>
      <c r="M9" s="6"/>
      <c r="N9" s="6"/>
    </row>
    <row r="10" spans="1:26" x14ac:dyDescent="0.2">
      <c r="I10" s="6"/>
      <c r="J10" s="6"/>
      <c r="K10" s="6"/>
      <c r="L10" s="6"/>
      <c r="M10" s="6"/>
      <c r="N10" s="6"/>
    </row>
    <row r="11" spans="1:26" x14ac:dyDescent="0.2">
      <c r="I11" s="6"/>
      <c r="J11" s="6"/>
      <c r="K11" s="6"/>
      <c r="L11" s="6"/>
      <c r="M11" s="6"/>
      <c r="N11" s="6"/>
    </row>
    <row r="12" spans="1:26" x14ac:dyDescent="0.2">
      <c r="I12" s="6"/>
      <c r="J12" s="6"/>
      <c r="K12" s="6"/>
      <c r="L12" s="6"/>
      <c r="M12" s="6"/>
      <c r="N12" s="6"/>
    </row>
    <row r="13" spans="1:26" x14ac:dyDescent="0.2">
      <c r="I13" s="6"/>
      <c r="J13" s="6"/>
      <c r="K13" s="6"/>
      <c r="L13" s="6"/>
      <c r="M13" s="6"/>
      <c r="N13" s="6"/>
    </row>
    <row r="14" spans="1:26" x14ac:dyDescent="0.2">
      <c r="I14" s="6"/>
      <c r="J14" s="6"/>
      <c r="K14" s="6"/>
      <c r="L14" s="6"/>
      <c r="M14" s="6"/>
      <c r="N14" s="6"/>
    </row>
    <row r="15" spans="1:26" x14ac:dyDescent="0.2">
      <c r="I15" s="6"/>
      <c r="J15" s="6"/>
      <c r="K15" s="6"/>
      <c r="L15" s="6"/>
      <c r="M15" s="6"/>
      <c r="N15" s="6"/>
    </row>
    <row r="16" spans="1:26"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516" t="str">
        <f>IF(Main!$E$30="","A10",ADDRESS(13+(MATCH(Main!$E$30,Data_Sheet!$A$14:$A$903,0)),1,4))</f>
        <v>A10</v>
      </c>
      <c r="Q1" s="516">
        <f>VALUE(MID(P1, 2, LEN(P1)-1))</f>
        <v>10</v>
      </c>
    </row>
    <row r="2" spans="1:18" x14ac:dyDescent="0.2">
      <c r="B2" s="148">
        <f>Main!$D$19</f>
        <v>0</v>
      </c>
      <c r="C2" s="142">
        <f>$B$1+$B$2</f>
        <v>0</v>
      </c>
      <c r="D2" s="142">
        <f>(Main!$D$19)/2</f>
        <v>0</v>
      </c>
      <c r="E2" s="142">
        <f>B1+D2</f>
        <v>0</v>
      </c>
      <c r="F2" s="149"/>
      <c r="G2" s="149"/>
      <c r="H2" s="149"/>
      <c r="I2" s="174" t="s">
        <v>257</v>
      </c>
      <c r="J2" s="149"/>
      <c r="K2" s="149"/>
      <c r="L2" s="149"/>
      <c r="M2" s="662" t="s">
        <v>127</v>
      </c>
      <c r="N2" s="662"/>
      <c r="O2" s="662"/>
      <c r="P2" s="517" t="str">
        <f>IF(Main!$E$30="","A10",ADDRESS(13+Standards_Info!W2+(MATCH(Main!$E$30,Data_Sheet!$A$14:$A$903,0)),1,4))</f>
        <v>A10</v>
      </c>
      <c r="Q2" s="516">
        <f>VALUE(MID(P2, 2, LEN(P2)-1))</f>
        <v>10</v>
      </c>
    </row>
    <row r="3" spans="1:18" ht="14.25" x14ac:dyDescent="0.2">
      <c r="B3" s="152" t="s">
        <v>0</v>
      </c>
      <c r="C3" s="147"/>
      <c r="D3" s="134"/>
      <c r="E3" s="134"/>
      <c r="F3" s="134"/>
      <c r="G3" s="134"/>
      <c r="H3" s="134"/>
      <c r="I3" s="134"/>
      <c r="J3" s="134"/>
      <c r="K3" s="134"/>
      <c r="L3" s="134"/>
      <c r="M3" s="663" t="s">
        <v>128</v>
      </c>
      <c r="N3" s="664"/>
      <c r="O3" s="665"/>
      <c r="P3" s="134"/>
      <c r="Q3" s="134"/>
    </row>
    <row r="4" spans="1:18" ht="15" x14ac:dyDescent="0.25">
      <c r="B4" s="144" t="s">
        <v>37</v>
      </c>
      <c r="C4" s="86"/>
      <c r="D4" s="44"/>
      <c r="E4" s="44"/>
      <c r="F4" s="44"/>
      <c r="G4" s="44"/>
      <c r="H4" s="44"/>
      <c r="I4" s="44"/>
      <c r="J4" s="44"/>
      <c r="K4" s="44"/>
      <c r="L4" s="44"/>
      <c r="M4" s="666" t="s">
        <v>169</v>
      </c>
      <c r="N4" s="667"/>
      <c r="O4" s="668"/>
      <c r="P4" s="116"/>
    </row>
    <row r="5" spans="1:18" x14ac:dyDescent="0.2">
      <c r="B5" s="145" t="s">
        <v>38</v>
      </c>
      <c r="C5" s="80">
        <f>Main!D3</f>
        <v>0</v>
      </c>
      <c r="D5" s="44"/>
      <c r="E5" s="44"/>
      <c r="F5" s="44"/>
      <c r="G5" s="44"/>
      <c r="H5" s="44"/>
      <c r="I5" s="78" t="s">
        <v>9</v>
      </c>
      <c r="J5" s="44" t="e">
        <f>Main!D5</f>
        <v>#N/A</v>
      </c>
      <c r="L5" s="44"/>
      <c r="M5" s="669" t="s">
        <v>168</v>
      </c>
      <c r="N5" s="670"/>
      <c r="O5" s="671"/>
      <c r="P5" s="163"/>
    </row>
    <row r="6" spans="1:18" ht="13.5" thickBot="1" x14ac:dyDescent="0.25">
      <c r="B6" s="145" t="s">
        <v>7</v>
      </c>
      <c r="C6" s="81" t="e">
        <f>Main!D6</f>
        <v>#N/A</v>
      </c>
      <c r="D6" s="44"/>
      <c r="E6" s="44"/>
      <c r="F6" s="44"/>
      <c r="G6" s="44"/>
      <c r="H6" s="44"/>
      <c r="I6" s="78" t="s">
        <v>10</v>
      </c>
      <c r="J6" s="77">
        <f>Main!D16</f>
        <v>0</v>
      </c>
      <c r="L6" s="44"/>
      <c r="M6" s="672" t="s">
        <v>167</v>
      </c>
      <c r="N6" s="673"/>
      <c r="O6" s="674"/>
      <c r="P6" s="117"/>
    </row>
    <row r="7" spans="1:18" ht="13.5" thickBot="1" x14ac:dyDescent="0.25">
      <c r="B7" s="145" t="s">
        <v>39</v>
      </c>
      <c r="C7" s="81" t="str">
        <f>Main!D7</f>
        <v>Jeff Hall</v>
      </c>
      <c r="D7" s="44"/>
      <c r="E7" s="44"/>
      <c r="F7" s="44"/>
      <c r="G7" s="44"/>
      <c r="H7" s="44"/>
      <c r="I7" s="83" t="s">
        <v>195</v>
      </c>
      <c r="J7" s="660">
        <f>Main!$D$30</f>
        <v>0</v>
      </c>
      <c r="K7" s="661"/>
      <c r="L7" s="131"/>
      <c r="M7" s="659" t="s">
        <v>166</v>
      </c>
      <c r="N7" s="659"/>
      <c r="O7" s="65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qyHb2CfNJhYVjqPA91u5tkLGQg3dh1pCcL98Y8ig+7ZJ/XmaZ+Ma9jc2w/q3M9AftbeMcqqpCCGQTLoYTauDPA==" saltValue="/w6gLHitErFLB0M/a7hEl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2" priority="2" stopIfTrue="1" operator="between">
      <formula>$E$1</formula>
      <formula>$E$2</formula>
    </cfRule>
    <cfRule type="cellIs" dxfId="61" priority="3" stopIfTrue="1" operator="greaterThan">
      <formula>$C$2</formula>
    </cfRule>
    <cfRule type="cellIs" dxfId="60" priority="4" stopIfTrue="1" operator="lessThan">
      <formula>$C$1</formula>
    </cfRule>
    <cfRule type="cellIs" dxfId="59" priority="5" stopIfTrue="1" operator="greaterThanOrEqual">
      <formula>$C$1</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516" t="str">
        <f>IF(Main!$E$30="","A10",ADDRESS(13+(MATCH(Main!$E$30,Data_Sheet!$A$14:$A$903,0)),1,4))</f>
        <v>A10</v>
      </c>
      <c r="Q1" s="516">
        <f>VALUE(MID(P1, 2, LEN(P1)-1))</f>
        <v>10</v>
      </c>
    </row>
    <row r="2" spans="1:17" x14ac:dyDescent="0.2">
      <c r="B2" s="148">
        <f>Main!$D$19</f>
        <v>0</v>
      </c>
      <c r="C2" s="142">
        <f>$B$1+$B$2</f>
        <v>0</v>
      </c>
      <c r="D2" s="142">
        <f>(Main!$D$19)/2</f>
        <v>0</v>
      </c>
      <c r="E2" s="148">
        <f>B1+D2</f>
        <v>0</v>
      </c>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t="e">
        <f>Main!D5</f>
        <v>#N/A</v>
      </c>
      <c r="M5" s="676" t="s">
        <v>168</v>
      </c>
      <c r="N5" s="677"/>
      <c r="O5" s="678"/>
    </row>
    <row r="6" spans="1:17" ht="13.5" thickBot="1" x14ac:dyDescent="0.25">
      <c r="B6" s="145" t="s">
        <v>7</v>
      </c>
      <c r="C6" s="81" t="e">
        <f>Main!D6</f>
        <v>#N/A</v>
      </c>
      <c r="D6" s="44"/>
      <c r="E6" s="44"/>
      <c r="F6" s="44"/>
      <c r="G6" s="44"/>
      <c r="H6" s="44"/>
      <c r="I6" s="78" t="s">
        <v>10</v>
      </c>
      <c r="J6" s="46">
        <f>Main!D16</f>
        <v>0</v>
      </c>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7hr7o2CGl+g6MZDhPD4gChpoIqIJZQfo7WelxlO/DwvRredA/3+/Fn1d47GoncYHg+lb5RKPXD2BWMeFaAV57Q==" saltValue="uK0j2hfacbOMUse1F+F5C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57" priority="2" stopIfTrue="1" operator="between">
      <formula>$E$1</formula>
      <formula>$E$2</formula>
    </cfRule>
    <cfRule type="cellIs" dxfId="56" priority="3" stopIfTrue="1" operator="greaterThan">
      <formula>$C$2</formula>
    </cfRule>
    <cfRule type="cellIs" dxfId="55" priority="4" stopIfTrue="1" operator="lessThan">
      <formula>$C$1</formula>
    </cfRule>
    <cfRule type="cellIs" dxfId="54" priority="5" stopIfTrue="1" operator="greaterThanOrEqual">
      <formula>$C$1</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516" t="str">
        <f>IF(Main!$E$30="","A10",ADDRESS(13+(MATCH(Main!$E$30,Data_Sheet!$A$14:$A$903,0)),1,4))</f>
        <v>A10</v>
      </c>
      <c r="Q1" s="516">
        <f>VALUE(MID(P1, 2, LEN(P1)-1))</f>
        <v>10</v>
      </c>
    </row>
    <row r="2" spans="1:17" x14ac:dyDescent="0.2">
      <c r="A2" s="141"/>
      <c r="B2" s="148">
        <f>Main!$D$19</f>
        <v>0</v>
      </c>
      <c r="C2" s="142">
        <f>$B$1+$B$2</f>
        <v>0</v>
      </c>
      <c r="D2" s="142">
        <f>(Main!$D$19)/2</f>
        <v>0</v>
      </c>
      <c r="E2" s="148">
        <f>B1+D2</f>
        <v>0</v>
      </c>
      <c r="F2" s="134"/>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s="44" t="e">
        <f>Main!D5</f>
        <v>#N/A</v>
      </c>
      <c r="L5" s="44"/>
      <c r="M5" s="669" t="s">
        <v>168</v>
      </c>
      <c r="N5" s="670"/>
      <c r="O5" s="671"/>
    </row>
    <row r="6" spans="1:17" ht="13.5" thickBot="1" x14ac:dyDescent="0.25">
      <c r="B6" s="145" t="s">
        <v>7</v>
      </c>
      <c r="C6" s="81" t="e">
        <f>Main!D6</f>
        <v>#N/A</v>
      </c>
      <c r="D6" s="44"/>
      <c r="E6" s="44"/>
      <c r="F6" s="44"/>
      <c r="G6" s="44"/>
      <c r="H6" s="44"/>
      <c r="I6" s="78" t="s">
        <v>10</v>
      </c>
      <c r="J6" s="77">
        <f>Main!D16</f>
        <v>0</v>
      </c>
      <c r="L6" s="44"/>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3aDjI19afHDfiCGw9yaLGeZCvXTec/of39ahgDjAW5VlaCUMjAnhTvZpgP1hVDnrp4KnoZSU8g0jzKOwqBG4zw==" saltValue="MXBfF1mH/sMAPjwOG39l5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2" priority="2" stopIfTrue="1" operator="between">
      <formula>$E$1</formula>
      <formula>$E$2</formula>
    </cfRule>
    <cfRule type="cellIs" dxfId="51" priority="3" stopIfTrue="1" operator="greaterThan">
      <formula>$C$2</formula>
    </cfRule>
    <cfRule type="cellIs" dxfId="50" priority="4" stopIfTrue="1" operator="lessThan">
      <formula>$C$1</formula>
    </cfRule>
    <cfRule type="cellIs" dxfId="49" priority="6" stopIfTrue="1" operator="greaterThanOrEqual">
      <formula>$C$1</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681">
        <f>Main!D3</f>
        <v>0</v>
      </c>
      <c r="E10" s="681"/>
      <c r="F10" s="68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680" t="s">
        <v>418</v>
      </c>
      <c r="F15" s="680"/>
      <c r="G15" s="680"/>
      <c r="H15" s="680"/>
    </row>
    <row r="16" spans="3:8" ht="15" x14ac:dyDescent="0.2">
      <c r="C16" s="164"/>
      <c r="D16" s="100"/>
      <c r="E16" s="505" t="s">
        <v>148</v>
      </c>
      <c r="F16" s="505"/>
      <c r="G16" s="505"/>
      <c r="H16" s="505"/>
    </row>
    <row r="17" spans="3:8" ht="15" x14ac:dyDescent="0.2">
      <c r="C17" s="164"/>
      <c r="D17" s="100"/>
      <c r="E17" s="679" t="s">
        <v>149</v>
      </c>
      <c r="F17" s="679"/>
      <c r="G17" s="679"/>
      <c r="H17" s="679"/>
    </row>
    <row r="18" spans="3:8" ht="15" x14ac:dyDescent="0.2">
      <c r="C18" s="164"/>
      <c r="D18" s="100"/>
      <c r="E18" s="679" t="s">
        <v>18</v>
      </c>
      <c r="F18" s="679"/>
      <c r="G18" s="679"/>
      <c r="H18" s="679"/>
    </row>
    <row r="19" spans="3:8" ht="15" x14ac:dyDescent="0.2">
      <c r="C19" s="164"/>
      <c r="D19" s="100"/>
      <c r="E19" s="679" t="s">
        <v>154</v>
      </c>
      <c r="F19" s="679"/>
      <c r="G19" s="679"/>
      <c r="H19" s="679"/>
    </row>
    <row r="20" spans="3:8" ht="15" x14ac:dyDescent="0.2">
      <c r="C20" s="164"/>
      <c r="D20" s="100"/>
      <c r="E20" s="679" t="s">
        <v>151</v>
      </c>
      <c r="F20" s="679"/>
      <c r="G20" s="679"/>
      <c r="H20" s="679"/>
    </row>
    <row r="21" spans="3:8" ht="15" x14ac:dyDescent="0.2">
      <c r="C21" s="164"/>
      <c r="D21" s="100"/>
      <c r="E21" s="679" t="s">
        <v>152</v>
      </c>
      <c r="F21" s="679"/>
      <c r="G21" s="679"/>
      <c r="H21" s="679"/>
    </row>
    <row r="22" spans="3:8" ht="15" x14ac:dyDescent="0.2">
      <c r="C22" s="164"/>
      <c r="D22" s="100"/>
      <c r="E22" s="679" t="s">
        <v>130</v>
      </c>
      <c r="F22" s="679"/>
      <c r="G22" s="679"/>
      <c r="H22" s="679"/>
    </row>
    <row r="23" spans="3:8" ht="15" x14ac:dyDescent="0.2">
      <c r="C23" s="164"/>
      <c r="D23" s="100"/>
      <c r="E23" s="679" t="s">
        <v>153</v>
      </c>
      <c r="F23" s="679"/>
      <c r="G23" s="679"/>
      <c r="H23" s="679"/>
    </row>
    <row r="24" spans="3:8" ht="15" x14ac:dyDescent="0.2">
      <c r="C24" s="109"/>
      <c r="D24" s="100"/>
      <c r="E24" s="679" t="s">
        <v>173</v>
      </c>
      <c r="F24" s="679"/>
      <c r="G24" s="679"/>
      <c r="H24" s="679"/>
    </row>
    <row r="25" spans="3:8" ht="15" x14ac:dyDescent="0.2">
      <c r="C25" s="109"/>
      <c r="D25" s="100"/>
      <c r="E25" s="679"/>
      <c r="F25" s="679"/>
      <c r="G25" s="679"/>
      <c r="H25" s="679"/>
    </row>
    <row r="26" spans="3:8" ht="15" x14ac:dyDescent="0.2">
      <c r="C26" s="109"/>
      <c r="D26" s="100"/>
      <c r="E26" s="679"/>
      <c r="F26" s="679"/>
      <c r="G26" s="679"/>
      <c r="H26" s="679"/>
    </row>
    <row r="27" spans="3:8" ht="15" x14ac:dyDescent="0.2">
      <c r="C27" s="109"/>
      <c r="D27" s="100"/>
      <c r="E27" s="679"/>
      <c r="F27" s="679"/>
      <c r="G27" s="679"/>
      <c r="H27" s="679"/>
    </row>
    <row r="28" spans="3:8" ht="15" x14ac:dyDescent="0.2">
      <c r="C28" s="109"/>
      <c r="D28" s="100"/>
      <c r="E28" s="679"/>
      <c r="F28" s="679"/>
      <c r="G28" s="679"/>
      <c r="H28" s="679"/>
    </row>
    <row r="29" spans="3:8" ht="15" x14ac:dyDescent="0.2">
      <c r="C29" s="109"/>
      <c r="D29" s="100"/>
      <c r="E29" s="679"/>
      <c r="F29" s="679"/>
      <c r="G29" s="679"/>
      <c r="H29" s="679"/>
    </row>
    <row r="30" spans="3:8" ht="15" x14ac:dyDescent="0.2">
      <c r="C30" s="109"/>
      <c r="D30" s="100"/>
      <c r="E30" s="679"/>
      <c r="F30" s="679"/>
      <c r="G30" s="679"/>
      <c r="H30" s="679"/>
    </row>
    <row r="31" spans="3:8" ht="15" x14ac:dyDescent="0.2">
      <c r="C31" s="430" t="s">
        <v>419</v>
      </c>
      <c r="E31" s="679"/>
      <c r="F31" s="679"/>
      <c r="G31" s="679"/>
      <c r="H31" s="679"/>
    </row>
    <row r="32" spans="3:8" ht="15" x14ac:dyDescent="0.2">
      <c r="C32" s="109"/>
      <c r="D32" s="100"/>
      <c r="E32" s="679"/>
      <c r="F32" s="679"/>
      <c r="G32" s="679"/>
      <c r="H32" s="679"/>
    </row>
    <row r="33" spans="3:8" ht="15" x14ac:dyDescent="0.2">
      <c r="C33" s="109"/>
      <c r="D33" s="100"/>
      <c r="E33" s="679"/>
      <c r="F33" s="679"/>
      <c r="G33" s="679"/>
      <c r="H33" s="679"/>
    </row>
    <row r="34" spans="3:8" ht="15" x14ac:dyDescent="0.2">
      <c r="C34" s="109"/>
      <c r="D34" s="100"/>
      <c r="E34" s="679"/>
      <c r="F34" s="679"/>
      <c r="G34" s="679"/>
      <c r="H34" s="679"/>
    </row>
    <row r="35" spans="3:8" ht="15" x14ac:dyDescent="0.2">
      <c r="C35" s="109"/>
      <c r="D35" s="100"/>
      <c r="E35" s="679"/>
      <c r="F35" s="679"/>
      <c r="G35" s="679"/>
      <c r="H35" s="679"/>
    </row>
    <row r="36" spans="3:8" ht="15" x14ac:dyDescent="0.2">
      <c r="C36" s="100"/>
      <c r="D36" s="100"/>
      <c r="E36" s="679"/>
      <c r="F36" s="679"/>
      <c r="G36" s="679"/>
      <c r="H36" s="67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tBXBCnRsqRz0k0dBoKDbSKbccZULJhKITehKmnli+kZNy2kPoFuEI6hqYSEJhuTq/iiLcZWaEspvsaguBnGX3w==" saltValue="rrCzMpXlZHam8rn1nfO5k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kmjvEknZiVJSYKMZbcImYyiZCZQSmLsWtKQd9gwzLLi5KqDUojT4pTcWTEP60wEkyR9U8cB3UPJM+RHecjD6Mw==" saltValue="2lop0BiRLq+qdfo6kXEExg=="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e">
        <f>Main!D5</f>
        <v>#N/A</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e">
        <f>Main!D6</f>
        <v>#N/A</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b+wDAhiglk9cBTf7iCA+qO053mbRRPkm7SpkZl8VmFRvdoWE2EPSBvuP6oFIa+GLyXSaaE4pXm+xOTJThheVkQ==" saltValue="tJpzb+3ndnt+DQNIEErpsQ==" spinCount="100000" sheet="1" objects="1" scenarios="1" selectLockedCells="1" autoFilter="0"/>
  <mergeCells count="2">
    <mergeCell ref="D32:M34"/>
    <mergeCell ref="C37:M40"/>
  </mergeCells>
  <phoneticPr fontId="23" type="noConversion"/>
  <conditionalFormatting sqref="C45">
    <cfRule type="expression" dxfId="47" priority="33">
      <formula>ISNUMBER(SEARCH(".",C45))</formula>
    </cfRule>
    <cfRule type="expression" dxfId="46" priority="34">
      <formula>ISERROR(SEARCH(".",C45))</formula>
    </cfRule>
  </conditionalFormatting>
  <conditionalFormatting sqref="D10:D18">
    <cfRule type="expression" dxfId="45" priority="31">
      <formula>ISERROR(SEARCH(1,$D$19))</formula>
    </cfRule>
    <cfRule type="expression" dxfId="44" priority="32">
      <formula>ISNUMBER(SEARCH(1,$D$19))</formula>
    </cfRule>
  </conditionalFormatting>
  <conditionalFormatting sqref="G11:G18">
    <cfRule type="expression" dxfId="43" priority="29">
      <formula>ISERROR(SEARCH(1,$G$19))</formula>
    </cfRule>
    <cfRule type="expression" dxfId="42" priority="30">
      <formula>ISNUMBER(SEARCH(1,$G$19))</formula>
    </cfRule>
  </conditionalFormatting>
  <conditionalFormatting sqref="G10">
    <cfRule type="expression" dxfId="41" priority="27">
      <formula>ISERROR(SEARCH(1,$G$19))</formula>
    </cfRule>
    <cfRule type="expression" dxfId="40" priority="28">
      <formula>ISNUMBER(SEARCH(1,$G$19))</formula>
    </cfRule>
  </conditionalFormatting>
  <conditionalFormatting sqref="J11:J18">
    <cfRule type="expression" dxfId="39" priority="25">
      <formula>ISERROR(SEARCH(1,$J$19))</formula>
    </cfRule>
    <cfRule type="expression" dxfId="38" priority="26">
      <formula>ISNUMBER(SEARCH(1,$J$19))</formula>
    </cfRule>
  </conditionalFormatting>
  <conditionalFormatting sqref="J10">
    <cfRule type="expression" dxfId="37" priority="23">
      <formula>ISERROR(SEARCH(1,$J$19))</formula>
    </cfRule>
    <cfRule type="expression" dxfId="36" priority="24">
      <formula>ISNUMBER(SEARCH(1,$J$19))</formula>
    </cfRule>
  </conditionalFormatting>
  <conditionalFormatting sqref="M11:M18">
    <cfRule type="expression" dxfId="35" priority="21">
      <formula>ISERROR(SEARCH(1,$M$19))</formula>
    </cfRule>
    <cfRule type="expression" dxfId="34" priority="22">
      <formula>ISNUMBER(SEARCH(1,$M$19))</formula>
    </cfRule>
  </conditionalFormatting>
  <conditionalFormatting sqref="M10">
    <cfRule type="expression" dxfId="33" priority="19">
      <formula>ISERROR(SEARCH(1,$M$19))</formula>
    </cfRule>
    <cfRule type="expression" dxfId="32" priority="20">
      <formula>ISNUMBER(SEARCH(1,$M$19))</formula>
    </cfRule>
  </conditionalFormatting>
  <conditionalFormatting sqref="G23:G30">
    <cfRule type="expression" dxfId="31" priority="13">
      <formula>ISERROR(SEARCH(1,$G$31))</formula>
    </cfRule>
    <cfRule type="expression" dxfId="30" priority="14">
      <formula>ISNUMBER(SEARCH(1,$G$31))</formula>
    </cfRule>
  </conditionalFormatting>
  <conditionalFormatting sqref="G22">
    <cfRule type="expression" dxfId="29" priority="11">
      <formula>ISERROR(SEARCH(1,$G$31))</formula>
    </cfRule>
    <cfRule type="expression" dxfId="28" priority="12">
      <formula>ISNUMBER(SEARCH(1,$G$31))</formula>
    </cfRule>
  </conditionalFormatting>
  <conditionalFormatting sqref="J23:J30">
    <cfRule type="expression" dxfId="27" priority="9">
      <formula>ISERROR(SEARCH(1,$J$31))</formula>
    </cfRule>
    <cfRule type="expression" dxfId="26" priority="10">
      <formula>ISNUMBER(SEARCH(1,$J$31))</formula>
    </cfRule>
  </conditionalFormatting>
  <conditionalFormatting sqref="J22">
    <cfRule type="expression" dxfId="25" priority="7">
      <formula>ISERROR(SEARCH(1,$J$31))</formula>
    </cfRule>
    <cfRule type="expression" dxfId="24" priority="8">
      <formula>ISNUMBER(SEARCH(1,$J$31))</formula>
    </cfRule>
  </conditionalFormatting>
  <conditionalFormatting sqref="M23:M30">
    <cfRule type="expression" dxfId="23" priority="5">
      <formula>ISERROR(SEARCH(1,$M$31))</formula>
    </cfRule>
    <cfRule type="expression" dxfId="22" priority="6">
      <formula>ISNUMBER(SEARCH(1,$M$31))</formula>
    </cfRule>
  </conditionalFormatting>
  <conditionalFormatting sqref="M22">
    <cfRule type="expression" dxfId="21" priority="3">
      <formula>ISERROR(SEARCH(1,$M$31))</formula>
    </cfRule>
    <cfRule type="expression" dxfId="20" priority="4">
      <formula>ISNUMBER(SEARCH(1,$M$31))</formula>
    </cfRule>
  </conditionalFormatting>
  <conditionalFormatting sqref="D22:D30">
    <cfRule type="expression" dxfId="19" priority="1">
      <formula>ISERROR(SEARCH(1,$D$19))</formula>
    </cfRule>
    <cfRule type="expression" dxfId="18"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XiuA4ACiRS5K6sShA7RSxwCzUoV56yANxZxkWzj+VOKbCIYjMjt4emL5Ds30AEVZZDXtQCYYyDpCQblYQny7VA==" saltValue="IeH+3fURZLPeWPa69/9F/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513">
        <f>Main!D16</f>
        <v>0</v>
      </c>
      <c r="B1" s="51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515">
        <f>Main!D19</f>
        <v>0</v>
      </c>
      <c r="B2" s="51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wo72nHRHXoiPHcFlBAb9VbC1+D/FxLGRj1/1OCSc43MfN4QQ4sF3uwtQn7QEDjg5h2LbZ6FiRmUQxpJlUVmf5g==" saltValue="E4QqnFEgr8n8axdbtxwAE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vt:i4>
      </vt:variant>
    </vt:vector>
  </HeadingPairs>
  <TitlesOfParts>
    <vt:vector size="93"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2025-06-23T02:21:57Z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