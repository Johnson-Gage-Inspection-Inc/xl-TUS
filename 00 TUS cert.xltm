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0DFF745D-5BFE-4019-BD73-351B318630E1}"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620646</definedName>
    <definedName name="Assets_GetAssetByAssetPool" localSheetId="4" hidden="1">AssetPool!$A$1:$O$71</definedName>
    <definedName name="ClientAssetAttributes_GetAssetAttributesByAssetId" localSheetId="5" hidden="1">'ClientAssetAttributes'!$A$1:$B$25</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2" i="30" l="1"/>
  <c r="CC2" i="30"/>
  <c r="CD2" i="30"/>
  <c r="CE2" i="30"/>
  <c r="BW2" i="30"/>
  <c r="BX2" i="30"/>
  <c r="BY2" i="30"/>
  <c r="BZ2" i="30"/>
  <c r="BR2" i="30"/>
  <c r="BS2" i="30"/>
  <c r="BT2" i="30"/>
  <c r="BU2" i="30"/>
  <c r="BV2" i="30"/>
  <c r="BP2" i="30"/>
  <c r="BQ2" i="30"/>
  <c r="BO2" i="30"/>
  <c r="BN2" i="30"/>
  <c r="BM2" i="30"/>
  <c r="BL2" i="30"/>
  <c r="BK2" i="30"/>
  <c r="BJ2" i="30"/>
  <c r="BI2" i="30"/>
  <c r="BG2" i="30"/>
  <c r="BH2" i="30"/>
  <c r="BF2" i="30"/>
  <c r="BA2" i="30"/>
  <c r="AZ2" i="30"/>
  <c r="AY2" i="30"/>
  <c r="AX2" i="30"/>
  <c r="AU2" i="30"/>
  <c r="I6" i="8"/>
  <c r="BE2" i="30" s="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0" i="1"/>
  <c r="B11" i="1"/>
  <c r="D15" i="1"/>
  <c r="B12" i="1"/>
  <c r="G19"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E24" i="20"/>
  <c r="AC7" i="20"/>
  <c r="AA27" i="20"/>
  <c r="AE40" i="20"/>
  <c r="AC5" i="20"/>
  <c r="AE38" i="20"/>
  <c r="AE3" i="20"/>
  <c r="AB24" i="20"/>
  <c r="AA16" i="20"/>
  <c r="AA20" i="20"/>
  <c r="AE9" i="20"/>
  <c r="AD29" i="20"/>
  <c r="AA17" i="20"/>
  <c r="AA41" i="20"/>
  <c r="AD33" i="20"/>
  <c r="AA4" i="20"/>
  <c r="AA12" i="20"/>
  <c r="AD2" i="20"/>
  <c r="AE23" i="20"/>
  <c r="AE34" i="20"/>
  <c r="AC4" i="20"/>
  <c r="AB39" i="20"/>
  <c r="AE16" i="20"/>
  <c r="AD21" i="20"/>
  <c r="AB27" i="20"/>
  <c r="AC28" i="20"/>
  <c r="AB23" i="20"/>
  <c r="AD17" i="20"/>
  <c r="AD14" i="20"/>
  <c r="AB6" i="20"/>
  <c r="AE30" i="20"/>
  <c r="AA33" i="20"/>
  <c r="AD18" i="20"/>
  <c r="AE19" i="20"/>
  <c r="AA6" i="20"/>
  <c r="AE10" i="20"/>
  <c r="AE21" i="20"/>
  <c r="AA22" i="20"/>
  <c r="AD7" i="20"/>
  <c r="AE27" i="20"/>
  <c r="AD26" i="20"/>
  <c r="AB35" i="20"/>
  <c r="AB41" i="20"/>
  <c r="AB16" i="20"/>
  <c r="AB36" i="20"/>
  <c r="AC2" i="20"/>
  <c r="AB25" i="20"/>
  <c r="AD27" i="20"/>
  <c r="AA30" i="20"/>
  <c r="AD19" i="20"/>
  <c r="AC41" i="20"/>
  <c r="AD13" i="20"/>
  <c r="AB8" i="20"/>
  <c r="AB4" i="20"/>
  <c r="AA18" i="20"/>
  <c r="AB26" i="20"/>
  <c r="AE33" i="20"/>
  <c r="AD16" i="20"/>
  <c r="AC34" i="20"/>
  <c r="AD6" i="20"/>
  <c r="AA13" i="20"/>
  <c r="AA7" i="20"/>
  <c r="AE22" i="20"/>
  <c r="AC13" i="20"/>
  <c r="AA11" i="20"/>
  <c r="AD30" i="20"/>
  <c r="AA14" i="20"/>
  <c r="AB18" i="20"/>
  <c r="AB30" i="20"/>
  <c r="AE29" i="20"/>
  <c r="AC18" i="20"/>
  <c r="AB13" i="20"/>
  <c r="AC22" i="20"/>
  <c r="AB14" i="20"/>
  <c r="AC36" i="20"/>
  <c r="AC23" i="20"/>
  <c r="AD36" i="20"/>
  <c r="AA36" i="20"/>
  <c r="AD9" i="20"/>
  <c r="AA9" i="20"/>
  <c r="AC8" i="20"/>
  <c r="AB37" i="20"/>
  <c r="AE25" i="20"/>
  <c r="AE36" i="20"/>
  <c r="AB32" i="20"/>
  <c r="AB19" i="20"/>
  <c r="AC3" i="20"/>
  <c r="AC32" i="20"/>
  <c r="AD31" i="20"/>
  <c r="AE31" i="20"/>
  <c r="AD40" i="20"/>
  <c r="AE20" i="20"/>
  <c r="AE17" i="20"/>
  <c r="AD20" i="20"/>
  <c r="AE4" i="20"/>
  <c r="AD38" i="20"/>
  <c r="AA31" i="20"/>
  <c r="AD41" i="20"/>
  <c r="AA5" i="20"/>
  <c r="AC10" i="20"/>
  <c r="AE39" i="20"/>
  <c r="AD5" i="20"/>
  <c r="AB21" i="20"/>
  <c r="AD10" i="20"/>
  <c r="AA19" i="20"/>
  <c r="AB34" i="20"/>
  <c r="AA25" i="20"/>
  <c r="AA21" i="20"/>
  <c r="AD34" i="20"/>
  <c r="AA15" i="20"/>
  <c r="AE35" i="20"/>
  <c r="AC24" i="20"/>
  <c r="AE15" i="20"/>
  <c r="AE8" i="20"/>
  <c r="AA39" i="20"/>
  <c r="AC15" i="20"/>
  <c r="AD12" i="20"/>
  <c r="AD37" i="20"/>
  <c r="AC35" i="20"/>
  <c r="AD25" i="20"/>
  <c r="AB33" i="20"/>
  <c r="AD8" i="20"/>
  <c r="AA29" i="20"/>
  <c r="AE12" i="20"/>
  <c r="AA34" i="20"/>
  <c r="AB31" i="20"/>
  <c r="AD35" i="20"/>
  <c r="AC20" i="20"/>
  <c r="AB28" i="20"/>
  <c r="AB40" i="20"/>
  <c r="AC39" i="20"/>
  <c r="AE5" i="20"/>
  <c r="AD24" i="20"/>
  <c r="AC37" i="20"/>
  <c r="AC21" i="20"/>
  <c r="AD11" i="20"/>
  <c r="AB5" i="20"/>
  <c r="AA24" i="20"/>
  <c r="AB12" i="20"/>
  <c r="AB29" i="20"/>
  <c r="AC33" i="20"/>
  <c r="AA26" i="20"/>
  <c r="AA40" i="20"/>
  <c r="AC38" i="20"/>
  <c r="AA37" i="20"/>
  <c r="AE18" i="20"/>
  <c r="AA3" i="20"/>
  <c r="AB2" i="20"/>
  <c r="AC19" i="20"/>
  <c r="AB7" i="20"/>
  <c r="AC11" i="20"/>
  <c r="AE32" i="20"/>
  <c r="AC40" i="20"/>
  <c r="AE13" i="20"/>
  <c r="AB15" i="20"/>
  <c r="AD3" i="20"/>
  <c r="AC6" i="20"/>
  <c r="AC25" i="20"/>
  <c r="AD39" i="20"/>
  <c r="AB9" i="20"/>
  <c r="AE11" i="20"/>
  <c r="AB17" i="20"/>
  <c r="AA23" i="20"/>
  <c r="AC29" i="20"/>
  <c r="AE26" i="20"/>
  <c r="AE37" i="20"/>
  <c r="AE14" i="20"/>
  <c r="AB38" i="20"/>
  <c r="AC12" i="20"/>
  <c r="AC27" i="20"/>
  <c r="AC31" i="20"/>
  <c r="AC30" i="20"/>
  <c r="AA8" i="20"/>
  <c r="AD23" i="20"/>
  <c r="AC14" i="20"/>
  <c r="AD15" i="20"/>
  <c r="AA28" i="20"/>
  <c r="AD22" i="20"/>
  <c r="AD4" i="20"/>
  <c r="AB3" i="20"/>
  <c r="AC16" i="20"/>
  <c r="AA35" i="20"/>
  <c r="AE2" i="20"/>
  <c r="AA32" i="20"/>
  <c r="AD28" i="20"/>
  <c r="AD32" i="20"/>
  <c r="AA10" i="20"/>
  <c r="AB20" i="20"/>
  <c r="AC9" i="20"/>
  <c r="AB11" i="20"/>
  <c r="AE41" i="20"/>
  <c r="AE6" i="20"/>
  <c r="AE28" i="20"/>
  <c r="AC26" i="20"/>
  <c r="AB22" i="20"/>
  <c r="AB10" i="20"/>
  <c r="AC17" i="20"/>
  <c r="AE7" i="20"/>
  <c r="AA38"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A21" i="1"/>
  <c r="L23" i="1"/>
  <c r="M14" i="1"/>
  <c r="C12" i="1"/>
  <c r="D11" i="1"/>
  <c r="G11" i="1"/>
  <c r="H10" i="1"/>
  <c r="I19" i="1"/>
  <c r="L14" i="1"/>
  <c r="B20" i="1"/>
  <c r="J22" i="1"/>
  <c r="C15" i="1"/>
  <c r="J19" i="1"/>
  <c r="M18" i="1"/>
  <c r="F11" i="1"/>
  <c r="E15" i="1"/>
  <c r="E22" i="1"/>
  <c r="L22" i="1"/>
  <c r="J23" i="1"/>
  <c r="F23" i="1"/>
  <c r="N24" i="1"/>
  <c r="K20" i="1"/>
  <c r="D23" i="1"/>
  <c r="M16" i="1"/>
  <c r="M24" i="1"/>
  <c r="H12" i="1"/>
  <c r="F12" i="1"/>
  <c r="D21" i="1"/>
  <c r="N23" i="1"/>
  <c r="J10" i="1"/>
  <c r="C16" i="1"/>
  <c r="G22" i="1"/>
  <c r="C18" i="1"/>
  <c r="B15" i="1"/>
  <c r="L25" i="1"/>
  <c r="C19" i="1"/>
  <c r="D20" i="1"/>
  <c r="A11" i="1"/>
  <c r="I14" i="1"/>
  <c r="I16" i="1"/>
  <c r="L15" i="1"/>
  <c r="C23" i="1"/>
  <c r="E19" i="1"/>
  <c r="G20" i="1"/>
  <c r="H24" i="1"/>
  <c r="F13" i="1"/>
  <c r="B19" i="1"/>
  <c r="A16" i="1"/>
  <c r="H11" i="1"/>
  <c r="I23" i="1"/>
  <c r="A22" i="1"/>
  <c r="O25" i="1"/>
  <c r="G21" i="1"/>
  <c r="F18" i="1"/>
  <c r="M22" i="1"/>
  <c r="B21" i="1"/>
  <c r="E16" i="1"/>
  <c r="J18" i="1"/>
  <c r="G18" i="1"/>
  <c r="J24" i="1"/>
  <c r="B16" i="1"/>
  <c r="C14" i="1"/>
  <c r="B18" i="1"/>
  <c r="O11" i="1"/>
  <c r="K15" i="1"/>
  <c r="A12" i="1"/>
  <c r="J20" i="1"/>
  <c r="A13" i="1"/>
  <c r="F21" i="1"/>
  <c r="N22" i="1"/>
  <c r="G12" i="1"/>
  <c r="O15" i="1"/>
  <c r="A25" i="1"/>
  <c r="A15" i="1"/>
  <c r="G10" i="1"/>
  <c r="E18" i="1"/>
  <c r="K23" i="1"/>
  <c r="M13" i="1"/>
  <c r="K21" i="1"/>
  <c r="O21" i="1"/>
  <c r="D16" i="1"/>
  <c r="E10" i="1"/>
  <c r="A23" i="1"/>
  <c r="A14" i="1"/>
  <c r="I22" i="1"/>
  <c r="I21" i="1"/>
  <c r="A19" i="1"/>
  <c r="L18" i="1"/>
  <c r="B17" i="1"/>
  <c r="K16" i="1"/>
  <c r="E17" i="1"/>
  <c r="M15" i="1"/>
  <c r="E12" i="1"/>
  <c r="D14" i="1"/>
  <c r="F19" i="1"/>
  <c r="H17" i="1"/>
  <c r="N15" i="1"/>
  <c r="F16" i="1"/>
  <c r="N14" i="1"/>
  <c r="N21" i="1"/>
  <c r="F25" i="1"/>
  <c r="A10" i="1"/>
  <c r="A24" i="1"/>
  <c r="O18" i="1"/>
  <c r="M11" i="1"/>
  <c r="I10" i="1"/>
  <c r="C10" i="1"/>
  <c r="M21" i="1"/>
  <c r="O10" i="1"/>
  <c r="O14" i="1"/>
  <c r="E14" i="1"/>
  <c r="M23" i="1"/>
  <c r="E25" i="1"/>
  <c r="C11" i="1"/>
  <c r="K24" i="1"/>
  <c r="L17" i="1"/>
  <c r="O12" i="1"/>
  <c r="B13" i="1"/>
  <c r="D10" i="1"/>
  <c r="B14" i="1"/>
  <c r="I24" i="1"/>
  <c r="H13" i="1"/>
  <c r="I11" i="1"/>
  <c r="J13" i="1"/>
  <c r="K14" i="1"/>
  <c r="G14" i="1"/>
  <c r="F20" i="1"/>
  <c r="H15" i="1"/>
  <c r="L20" i="1"/>
  <c r="J11" i="1"/>
  <c r="K25" i="1"/>
  <c r="N19" i="1"/>
  <c r="I20" i="1"/>
  <c r="D18" i="1"/>
  <c r="N13" i="1"/>
  <c r="H21" i="1"/>
  <c r="N20" i="1"/>
  <c r="J12" i="1"/>
  <c r="I13" i="1"/>
  <c r="H14" i="1"/>
  <c r="J14" i="1"/>
  <c r="N10" i="1"/>
  <c r="K19" i="1"/>
  <c r="G15" i="1"/>
  <c r="N25" i="1"/>
  <c r="H25" i="1"/>
  <c r="O22" i="1"/>
  <c r="D25" i="1"/>
  <c r="F14" i="1"/>
  <c r="O24" i="1"/>
  <c r="K13" i="1"/>
  <c r="C13" i="1"/>
  <c r="K10" i="1"/>
  <c r="L12" i="1"/>
  <c r="J25" i="1"/>
  <c r="M17" i="1"/>
  <c r="H22" i="1"/>
  <c r="B23" i="1"/>
  <c r="N11" i="1"/>
  <c r="O19" i="1"/>
  <c r="D22" i="1"/>
  <c r="B22" i="1"/>
  <c r="K22" i="1"/>
  <c r="E23" i="1"/>
  <c r="M19" i="1"/>
  <c r="F17" i="1"/>
  <c r="N18" i="1"/>
  <c r="J21" i="1"/>
  <c r="B24" i="1"/>
  <c r="D12" i="1"/>
  <c r="H16" i="1"/>
  <c r="I12" i="1"/>
  <c r="N12" i="1"/>
  <c r="N17" i="1"/>
  <c r="J16" i="1"/>
  <c r="L10" i="1"/>
  <c r="M12" i="1"/>
  <c r="E20" i="1"/>
  <c r="A20" i="1"/>
  <c r="C24" i="1"/>
  <c r="E13" i="1"/>
  <c r="O17" i="1"/>
  <c r="G13" i="1"/>
  <c r="L21" i="1"/>
  <c r="D19" i="1"/>
  <c r="I18" i="1"/>
  <c r="I25" i="1"/>
  <c r="E24" i="1"/>
  <c r="O20" i="1"/>
  <c r="K11" i="1"/>
  <c r="L16" i="1"/>
  <c r="D24" i="1"/>
  <c r="H20" i="1"/>
  <c r="G17" i="1"/>
  <c r="K18" i="1"/>
  <c r="J17" i="1"/>
  <c r="E11" i="1"/>
  <c r="J15" i="1"/>
  <c r="O23" i="1"/>
  <c r="C22" i="1"/>
  <c r="G25" i="1"/>
  <c r="M25" i="1"/>
  <c r="L13" i="1"/>
  <c r="L19" i="1"/>
  <c r="A18" i="1"/>
  <c r="M20" i="1"/>
  <c r="H18" i="1"/>
  <c r="D17" i="1"/>
  <c r="C20" i="1"/>
  <c r="I17" i="1"/>
  <c r="L11" i="1"/>
  <c r="C17" i="1"/>
  <c r="L24" i="1"/>
  <c r="C25" i="1"/>
  <c r="K12" i="1"/>
  <c r="G16" i="1"/>
  <c r="M10" i="1"/>
  <c r="F10" i="1"/>
  <c r="N16" i="1"/>
  <c r="B25" i="1"/>
  <c r="G24" i="1"/>
  <c r="I15" i="1"/>
  <c r="F24" i="1"/>
  <c r="K17" i="1"/>
  <c r="H19" i="1"/>
  <c r="O16" i="1"/>
  <c r="F15" i="1"/>
  <c r="A17" i="1"/>
  <c r="H23" i="1"/>
  <c r="G23" i="1"/>
  <c r="O13" i="1"/>
  <c r="C21" i="1"/>
  <c r="D13" i="1"/>
  <c r="F22" i="1"/>
  <c r="E21"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Q25" i="1"/>
  <c r="AT10" i="1"/>
  <c r="Z12" i="1"/>
  <c r="AV18" i="1"/>
  <c r="AR24" i="1"/>
  <c r="AW16" i="1"/>
  <c r="AF18" i="1"/>
  <c r="AQ19" i="1"/>
  <c r="AS12" i="1"/>
  <c r="Z22" i="1"/>
  <c r="AC15" i="1"/>
  <c r="AE20" i="1"/>
  <c r="AB13" i="1"/>
  <c r="AI18" i="1"/>
  <c r="AD13" i="1"/>
  <c r="V18" i="1"/>
  <c r="AZ23" i="1"/>
  <c r="AQ11" i="1"/>
  <c r="AI19" i="1"/>
  <c r="AO15" i="1"/>
  <c r="Z13" i="1"/>
  <c r="AW22" i="1"/>
  <c r="AS13" i="1"/>
  <c r="AR10" i="1"/>
  <c r="AA18" i="1"/>
  <c r="AW12" i="1"/>
  <c r="AZ10" i="1"/>
  <c r="X22" i="1"/>
  <c r="AA13" i="1"/>
  <c r="AG17" i="1"/>
  <c r="AQ22" i="1"/>
  <c r="AU19" i="1"/>
  <c r="BA18" i="1"/>
  <c r="Z19" i="1"/>
  <c r="BA15" i="1"/>
  <c r="AI12" i="1"/>
  <c r="AO17" i="1"/>
  <c r="BA17" i="1"/>
  <c r="AU23" i="1"/>
  <c r="AP18" i="1"/>
  <c r="AT22" i="1"/>
  <c r="AI20" i="1"/>
  <c r="AZ22" i="1"/>
  <c r="Y12" i="1"/>
  <c r="V19" i="1"/>
  <c r="AH15" i="1"/>
  <c r="AA22" i="1"/>
  <c r="AU11" i="1"/>
  <c r="AC14" i="1"/>
  <c r="AC16" i="1"/>
  <c r="AF14" i="1"/>
  <c r="AE25" i="1"/>
  <c r="AC13" i="1"/>
  <c r="AA23" i="1"/>
  <c r="AU13" i="1"/>
  <c r="AG10" i="1"/>
  <c r="AP13" i="1"/>
  <c r="AO14" i="1"/>
  <c r="AB24" i="1"/>
  <c r="AE19" i="1"/>
  <c r="AW24" i="1"/>
  <c r="AW20" i="1"/>
  <c r="AX10" i="1"/>
  <c r="AV23" i="1"/>
  <c r="AT23" i="1"/>
  <c r="X11" i="1"/>
  <c r="AB20" i="1"/>
  <c r="AD16" i="1"/>
  <c r="W18" i="1"/>
  <c r="AV25" i="1"/>
  <c r="U25" i="1"/>
  <c r="V21" i="1"/>
  <c r="AI23" i="1"/>
  <c r="AE23" i="1"/>
  <c r="AW17" i="1"/>
  <c r="AW23" i="1"/>
  <c r="BA22" i="1"/>
  <c r="AD14" i="1"/>
  <c r="Y13" i="1"/>
  <c r="V13" i="1"/>
  <c r="AC19" i="1"/>
  <c r="Y18" i="1"/>
  <c r="AA20" i="1"/>
  <c r="AG25" i="1"/>
  <c r="AD24" i="1"/>
  <c r="Z21" i="1"/>
  <c r="AX25" i="1"/>
  <c r="AA15" i="1"/>
  <c r="AU10" i="1"/>
  <c r="AE14" i="1"/>
  <c r="AB18" i="1"/>
  <c r="AP12" i="1"/>
  <c r="AG12" i="1"/>
  <c r="AU25" i="1"/>
  <c r="AR14" i="1"/>
  <c r="Y17" i="1"/>
  <c r="AZ18" i="1"/>
  <c r="AR20" i="1"/>
  <c r="V23" i="1"/>
  <c r="AF12" i="1"/>
  <c r="AH12" i="1"/>
  <c r="AS22" i="1"/>
  <c r="AQ17" i="1"/>
  <c r="AT21" i="1"/>
  <c r="AI15" i="1"/>
  <c r="Z18" i="1"/>
  <c r="AQ14" i="1"/>
  <c r="AX14" i="1"/>
  <c r="U23" i="1"/>
  <c r="AU16" i="1"/>
  <c r="AF17" i="1"/>
  <c r="AG21" i="1"/>
  <c r="AP14" i="1"/>
  <c r="W25" i="1"/>
  <c r="AY14" i="1"/>
  <c r="AD23" i="1"/>
  <c r="X13" i="1"/>
  <c r="AQ24" i="1"/>
  <c r="Y11" i="1"/>
  <c r="AI13" i="1"/>
  <c r="AX24" i="1"/>
  <c r="AX22" i="1"/>
  <c r="AQ20" i="1"/>
  <c r="AW10" i="1"/>
  <c r="AA19" i="1"/>
  <c r="Y22" i="1"/>
  <c r="V22" i="1"/>
  <c r="U17" i="1"/>
  <c r="AI21" i="1"/>
  <c r="V10" i="1"/>
  <c r="AH14" i="1"/>
  <c r="AB23" i="1"/>
  <c r="AO24" i="1"/>
  <c r="AU20" i="1"/>
  <c r="AI22" i="1"/>
  <c r="AO19" i="1"/>
  <c r="AG14" i="1"/>
  <c r="V14" i="1"/>
  <c r="V17" i="1"/>
  <c r="X12" i="1"/>
  <c r="Y20" i="1"/>
  <c r="X18" i="1"/>
  <c r="BA10" i="1"/>
  <c r="AZ20" i="1"/>
  <c r="AS14" i="1"/>
  <c r="BA14" i="1"/>
  <c r="AX17" i="1"/>
  <c r="AP17" i="1"/>
  <c r="U18" i="1"/>
  <c r="AP22" i="1"/>
  <c r="AB15" i="1"/>
  <c r="AG18" i="1"/>
  <c r="Z24" i="1"/>
  <c r="W19" i="1"/>
  <c r="AR18" i="1"/>
  <c r="AC12" i="1"/>
  <c r="BA16" i="1"/>
  <c r="AR19" i="1"/>
  <c r="AB25" i="1"/>
  <c r="AE16" i="1"/>
  <c r="W13" i="1"/>
  <c r="AG19" i="1"/>
  <c r="AA14" i="1"/>
  <c r="W17" i="1"/>
  <c r="AF25" i="1"/>
  <c r="AF24" i="1"/>
  <c r="AA17" i="1"/>
  <c r="AY21" i="1"/>
  <c r="AU15" i="1"/>
  <c r="AG13" i="1"/>
  <c r="AH16" i="1"/>
  <c r="AP25" i="1"/>
  <c r="X14" i="1"/>
  <c r="Y14" i="1"/>
  <c r="AC22" i="1"/>
  <c r="BA23" i="1"/>
  <c r="AT24" i="1"/>
  <c r="AA16" i="1"/>
  <c r="AV19" i="1"/>
  <c r="AR11" i="1"/>
  <c r="AT13" i="1"/>
  <c r="AQ21" i="1"/>
  <c r="AS20" i="1"/>
  <c r="AY15" i="1"/>
  <c r="AF13" i="1"/>
  <c r="W23" i="1"/>
  <c r="V12" i="1"/>
  <c r="AA12" i="1"/>
  <c r="AC20" i="1"/>
  <c r="U19" i="1"/>
  <c r="Z25" i="1"/>
  <c r="AD17" i="1"/>
  <c r="AE15" i="1"/>
  <c r="Y16" i="1"/>
  <c r="AV21" i="1"/>
  <c r="AZ14" i="1"/>
  <c r="AF16" i="1"/>
  <c r="AW13" i="1"/>
  <c r="AF21" i="1"/>
  <c r="AF20" i="1"/>
  <c r="Y25" i="1"/>
  <c r="AE10" i="1"/>
  <c r="W16" i="1"/>
  <c r="AY24" i="1"/>
  <c r="Y24" i="1"/>
  <c r="V25" i="1"/>
  <c r="AU24" i="1"/>
  <c r="AD25" i="1"/>
  <c r="AD12" i="1"/>
  <c r="AP24" i="1"/>
  <c r="AP20" i="1"/>
  <c r="W10" i="1"/>
  <c r="X15" i="1"/>
  <c r="AO16" i="1"/>
  <c r="AC18" i="1"/>
  <c r="Y23" i="1"/>
  <c r="AC11" i="1"/>
  <c r="AG15" i="1"/>
  <c r="AV13" i="1"/>
  <c r="AU18" i="1"/>
  <c r="AT15" i="1"/>
  <c r="AS16" i="1"/>
  <c r="W11" i="1"/>
  <c r="AY16" i="1"/>
  <c r="AV16" i="1"/>
  <c r="AT11" i="1"/>
  <c r="AT17" i="1"/>
  <c r="X10" i="1"/>
  <c r="W15" i="1"/>
  <c r="AY25" i="1"/>
  <c r="AB10" i="1"/>
  <c r="AS18" i="1"/>
  <c r="AR23" i="1"/>
  <c r="U20" i="1"/>
  <c r="Z17" i="1"/>
  <c r="AG22" i="1"/>
  <c r="AI17" i="1"/>
  <c r="AE18" i="1"/>
  <c r="AW11" i="1"/>
  <c r="AH24" i="1"/>
  <c r="AT16" i="1"/>
  <c r="AD18" i="1"/>
  <c r="AA25" i="1"/>
  <c r="AQ18" i="1"/>
  <c r="AC10" i="1"/>
  <c r="AU12" i="1"/>
  <c r="Y10" i="1"/>
  <c r="AF22" i="1"/>
  <c r="AV10" i="1"/>
  <c r="W14" i="1"/>
  <c r="X17" i="1"/>
  <c r="Z11" i="1"/>
  <c r="AR21" i="1"/>
  <c r="AD22" i="1"/>
  <c r="AX13" i="1"/>
  <c r="AO11" i="1"/>
  <c r="AQ15" i="1"/>
  <c r="X25" i="1"/>
  <c r="AQ13" i="1"/>
  <c r="AY10" i="1"/>
  <c r="AS25" i="1"/>
  <c r="AY13" i="1"/>
  <c r="AS15" i="1"/>
  <c r="AH11" i="1"/>
  <c r="BA25" i="1"/>
  <c r="U21" i="1"/>
  <c r="U13" i="1"/>
  <c r="AH10" i="1"/>
  <c r="AT18" i="1"/>
  <c r="AD11" i="1"/>
  <c r="AP19" i="1"/>
  <c r="AR15" i="1"/>
  <c r="AQ23" i="1"/>
  <c r="AF10" i="1"/>
  <c r="V11" i="1"/>
  <c r="AT14" i="1"/>
  <c r="AZ13" i="1"/>
  <c r="AU22" i="1"/>
  <c r="AR13" i="1"/>
  <c r="AX15" i="1"/>
  <c r="AA10" i="1"/>
  <c r="AG16" i="1"/>
  <c r="AI14" i="1"/>
  <c r="AY19" i="1"/>
  <c r="AU14" i="1"/>
  <c r="Z15" i="1"/>
  <c r="AW14" i="1"/>
  <c r="BA13" i="1"/>
  <c r="AE22" i="1"/>
  <c r="U16" i="1"/>
  <c r="U10" i="1"/>
  <c r="AZ16" i="1"/>
  <c r="AO21" i="1"/>
  <c r="BA20" i="1"/>
  <c r="AX23" i="1"/>
  <c r="AY18" i="1"/>
  <c r="AX18" i="1"/>
  <c r="AV14" i="1"/>
  <c r="AX20" i="1"/>
  <c r="AT12" i="1"/>
  <c r="AZ11" i="1"/>
  <c r="AF19" i="1"/>
  <c r="AY20" i="1"/>
  <c r="U24" i="1"/>
  <c r="AC17" i="1"/>
  <c r="X20" i="1"/>
  <c r="W21" i="1"/>
  <c r="AQ16" i="1"/>
  <c r="AB19" i="1"/>
  <c r="AE24" i="1"/>
  <c r="AI10" i="1"/>
  <c r="AH20" i="1"/>
  <c r="AD10" i="1"/>
  <c r="AH21" i="1"/>
  <c r="AC23" i="1"/>
  <c r="AI24" i="1"/>
  <c r="AP21" i="1"/>
  <c r="AP23" i="1"/>
  <c r="AD19" i="1"/>
  <c r="AB22" i="1"/>
  <c r="AO20" i="1"/>
  <c r="AO12" i="1"/>
  <c r="AD15" i="1"/>
  <c r="AB14" i="1"/>
  <c r="AV11" i="1"/>
  <c r="AO23" i="1"/>
  <c r="AS17" i="1"/>
  <c r="AA24" i="1"/>
  <c r="AW21" i="1"/>
  <c r="AC21" i="1"/>
  <c r="W22" i="1"/>
  <c r="AY17" i="1"/>
  <c r="AB17" i="1"/>
  <c r="AT25" i="1"/>
  <c r="AR22" i="1"/>
  <c r="X16" i="1"/>
  <c r="X23" i="1"/>
  <c r="AP15" i="1"/>
  <c r="AE12" i="1"/>
  <c r="AT19" i="1"/>
  <c r="V20" i="1"/>
  <c r="AU17" i="1"/>
  <c r="AD20" i="1"/>
  <c r="AE11" i="1"/>
  <c r="AO18" i="1"/>
  <c r="AO10" i="1"/>
  <c r="AQ10" i="1"/>
  <c r="AQ12" i="1"/>
  <c r="AO25" i="1"/>
  <c r="U14" i="1"/>
  <c r="U12" i="1"/>
  <c r="AE13" i="1"/>
  <c r="AZ21" i="1"/>
  <c r="AH17" i="1"/>
  <c r="Z10" i="1"/>
  <c r="U22" i="1"/>
  <c r="X24" i="1"/>
  <c r="AY23" i="1"/>
  <c r="X19" i="1"/>
  <c r="AF23" i="1"/>
  <c r="AZ24" i="1"/>
  <c r="W20" i="1"/>
  <c r="AB16" i="1"/>
  <c r="Z14" i="1"/>
  <c r="AH25" i="1"/>
  <c r="AA21" i="1"/>
  <c r="V16" i="1"/>
  <c r="AB12" i="1"/>
  <c r="BA19" i="1"/>
  <c r="Y21" i="1"/>
  <c r="Y19" i="1"/>
  <c r="AH23" i="1"/>
  <c r="AB21" i="1"/>
  <c r="AZ15" i="1"/>
  <c r="AO13" i="1"/>
  <c r="AA11" i="1"/>
  <c r="AH18" i="1"/>
  <c r="AF15" i="1"/>
  <c r="AH13" i="1"/>
  <c r="AH19" i="1"/>
  <c r="AC24" i="1"/>
  <c r="AV12" i="1"/>
  <c r="Z16" i="1"/>
  <c r="AS11" i="1"/>
  <c r="AE21" i="1"/>
  <c r="Z23" i="1"/>
  <c r="AZ17" i="1"/>
  <c r="AV15" i="1"/>
  <c r="AW19" i="1"/>
  <c r="BA12" i="1"/>
  <c r="AC25" i="1"/>
  <c r="V24" i="1"/>
  <c r="AX16" i="1"/>
  <c r="AV22" i="1"/>
  <c r="AY22" i="1"/>
  <c r="AV17" i="1"/>
  <c r="AX12" i="1"/>
  <c r="AR17" i="1"/>
  <c r="AG11" i="1"/>
  <c r="AI25" i="1"/>
  <c r="U15" i="1"/>
  <c r="AB11" i="1"/>
  <c r="AD21" i="1"/>
  <c r="AG24" i="1"/>
  <c r="AU21" i="1"/>
  <c r="AG23" i="1"/>
  <c r="AP11" i="1"/>
  <c r="AS24" i="1"/>
  <c r="AR12" i="1"/>
  <c r="AZ19" i="1"/>
  <c r="AG20" i="1"/>
  <c r="AP10" i="1"/>
  <c r="AV20" i="1"/>
  <c r="AX11" i="1"/>
  <c r="AI11" i="1"/>
  <c r="AS21" i="1"/>
  <c r="AS23" i="1"/>
  <c r="BA11" i="1"/>
  <c r="AW18" i="1"/>
  <c r="Y15" i="1"/>
  <c r="AW15" i="1"/>
  <c r="AX19" i="1"/>
  <c r="BA21" i="1"/>
  <c r="AP16" i="1"/>
  <c r="AS10" i="1"/>
  <c r="AR16" i="1"/>
  <c r="AT20" i="1"/>
  <c r="BA24" i="1"/>
  <c r="AO22" i="1"/>
  <c r="AH22" i="1"/>
  <c r="AZ12" i="1"/>
  <c r="AS19" i="1"/>
  <c r="AI16" i="1"/>
  <c r="AX21" i="1"/>
  <c r="AF11" i="1"/>
  <c r="Z20" i="1"/>
  <c r="U11" i="1"/>
  <c r="AR25" i="1"/>
  <c r="AE17" i="1"/>
  <c r="X21" i="1"/>
  <c r="AY12" i="1"/>
  <c r="W24" i="1"/>
  <c r="AZ25" i="1"/>
  <c r="W12" i="1"/>
  <c r="V15" i="1"/>
  <c r="AW25" i="1"/>
  <c r="AV24" i="1"/>
  <c r="AY11" i="1"/>
  <c r="X30" i="1" l="1"/>
  <c r="X31" i="1"/>
  <c r="AQ31" i="1"/>
  <c r="AQ30" i="1"/>
  <c r="W30" i="1"/>
  <c r="W31" i="1"/>
  <c r="AU30" i="1"/>
  <c r="AU27" i="1" s="1"/>
  <c r="AU31" i="1"/>
  <c r="AE31" i="1"/>
  <c r="AE30" i="1"/>
  <c r="AD31" i="1"/>
  <c r="AD30" i="1"/>
  <c r="AI30" i="1"/>
  <c r="AI27" i="1" s="1"/>
  <c r="AI31" i="1"/>
  <c r="AS30" i="1"/>
  <c r="AS31" i="1"/>
  <c r="AP31" i="1"/>
  <c r="AP30" i="1"/>
  <c r="AX30" i="1"/>
  <c r="AX31" i="1"/>
  <c r="AG30" i="1"/>
  <c r="AG31" i="1"/>
  <c r="AA31" i="1"/>
  <c r="AA30" i="1"/>
  <c r="AA27" i="1" s="1"/>
  <c r="AF31" i="1"/>
  <c r="AF30" i="1"/>
  <c r="AH30" i="1"/>
  <c r="AH31" i="1"/>
  <c r="AY31" i="1"/>
  <c r="AY30" i="1"/>
  <c r="BA30" i="1"/>
  <c r="BA31" i="1"/>
  <c r="AZ30" i="1"/>
  <c r="AZ27" i="1" s="1"/>
  <c r="AZ31" i="1"/>
  <c r="AR30" i="1"/>
  <c r="AR31" i="1"/>
  <c r="AV30" i="1"/>
  <c r="AV31" i="1"/>
  <c r="Y31" i="1"/>
  <c r="Y30" i="1"/>
  <c r="V31" i="1"/>
  <c r="V30" i="1"/>
  <c r="AC30" i="1"/>
  <c r="AC31" i="1"/>
  <c r="AW30" i="1"/>
  <c r="AW31" i="1"/>
  <c r="Z31" i="1"/>
  <c r="Z30" i="1"/>
  <c r="AT31" i="1"/>
  <c r="AT30" i="1"/>
  <c r="AT27" i="1" s="1"/>
  <c r="AB31" i="1"/>
  <c r="AB30" i="1"/>
  <c r="AB27" i="1" s="1"/>
  <c r="Y27" i="1" l="1"/>
  <c r="Y29" i="1" s="1"/>
  <c r="N43" i="26"/>
  <c r="P102" i="8"/>
  <c r="N49" i="26"/>
  <c r="P108" i="8"/>
  <c r="P105" i="8"/>
  <c r="N46" i="26"/>
  <c r="AC27" i="1"/>
  <c r="AC29" i="1" s="1"/>
  <c r="AR27" i="1"/>
  <c r="AR29" i="1" s="1"/>
  <c r="BA27" i="1"/>
  <c r="BA29" i="1" s="1"/>
  <c r="AH27" i="1"/>
  <c r="AH29" i="1" s="1"/>
  <c r="F52" i="26"/>
  <c r="P91" i="8"/>
  <c r="AX27" i="1"/>
  <c r="AX29" i="1" s="1"/>
  <c r="AS27" i="1"/>
  <c r="AS29" i="1" s="1"/>
  <c r="P94" i="8"/>
  <c r="N35" i="26"/>
  <c r="AU29" i="1"/>
  <c r="L46" i="26"/>
  <c r="AU28" i="1"/>
  <c r="N105" i="8"/>
  <c r="P101" i="8"/>
  <c r="N42" i="26"/>
  <c r="Z27" i="1"/>
  <c r="Z29" i="1" s="1"/>
  <c r="AA29" i="1"/>
  <c r="N91" i="8"/>
  <c r="AA28" i="1"/>
  <c r="D52" i="26"/>
  <c r="P103" i="8"/>
  <c r="N44" i="26"/>
  <c r="AQ27" i="1"/>
  <c r="AQ29" i="1" s="1"/>
  <c r="P92" i="8"/>
  <c r="N33" i="26"/>
  <c r="F51" i="26"/>
  <c r="P90" i="8"/>
  <c r="F50" i="26"/>
  <c r="P89" i="8"/>
  <c r="AT29" i="1"/>
  <c r="AT28" i="1"/>
  <c r="L45" i="26"/>
  <c r="N104" i="8"/>
  <c r="P107" i="8"/>
  <c r="N48" i="26"/>
  <c r="V27" i="1"/>
  <c r="V29" i="1" s="1"/>
  <c r="N47" i="26"/>
  <c r="P106" i="8"/>
  <c r="P110" i="8"/>
  <c r="N51" i="26"/>
  <c r="AY27" i="1"/>
  <c r="AY29" i="1" s="1"/>
  <c r="AF27" i="1"/>
  <c r="AF29" i="1" s="1"/>
  <c r="P97" i="8"/>
  <c r="N38" i="26"/>
  <c r="AP27" i="1"/>
  <c r="AP29" i="1" s="1"/>
  <c r="P99" i="8"/>
  <c r="N40" i="26"/>
  <c r="AE27" i="1"/>
  <c r="AE29" i="1" s="1"/>
  <c r="F48" i="26"/>
  <c r="P87" i="8"/>
  <c r="F49" i="26"/>
  <c r="P88" i="8"/>
  <c r="AB29" i="1"/>
  <c r="AB28" i="1"/>
  <c r="N92" i="8"/>
  <c r="L33" i="26"/>
  <c r="P93" i="8"/>
  <c r="N34" i="26"/>
  <c r="P111" i="8"/>
  <c r="N52" i="26"/>
  <c r="P98" i="8"/>
  <c r="N39" i="26"/>
  <c r="AD27" i="1"/>
  <c r="AD29" i="1" s="1"/>
  <c r="M35" i="26" s="1"/>
  <c r="P104" i="8"/>
  <c r="N45" i="26"/>
  <c r="AW27" i="1"/>
  <c r="AW29" i="1" s="1"/>
  <c r="F47" i="26"/>
  <c r="P86" i="8"/>
  <c r="AV27" i="1"/>
  <c r="AV29" i="1" s="1"/>
  <c r="AZ29" i="1"/>
  <c r="AZ28" i="1"/>
  <c r="L51" i="26"/>
  <c r="N110" i="8"/>
  <c r="P109" i="8"/>
  <c r="N50" i="26"/>
  <c r="P96" i="8"/>
  <c r="N37" i="26"/>
  <c r="AG27" i="1"/>
  <c r="AG29" i="1" s="1"/>
  <c r="N41" i="26"/>
  <c r="P100" i="8"/>
  <c r="AI29" i="1"/>
  <c r="AI28" i="1"/>
  <c r="L40" i="26"/>
  <c r="N99" i="8"/>
  <c r="P95" i="8"/>
  <c r="N36" i="26"/>
  <c r="W27" i="1"/>
  <c r="W29" i="1" s="1"/>
  <c r="X27" i="1"/>
  <c r="X29" i="1" s="1"/>
  <c r="O109" i="8" l="1"/>
  <c r="M50" i="26"/>
  <c r="AG28" i="1"/>
  <c r="N97" i="8"/>
  <c r="L38" i="26"/>
  <c r="M51" i="26"/>
  <c r="O110" i="8"/>
  <c r="O92" i="8"/>
  <c r="M33" i="26"/>
  <c r="AY28" i="1"/>
  <c r="L50" i="26"/>
  <c r="N109" i="8"/>
  <c r="O104" i="8"/>
  <c r="M45" i="26"/>
  <c r="N101" i="8"/>
  <c r="L42" i="26"/>
  <c r="AQ28" i="1"/>
  <c r="Z28" i="1"/>
  <c r="D51" i="26"/>
  <c r="N90" i="8"/>
  <c r="AX28" i="1"/>
  <c r="L49" i="26"/>
  <c r="N108" i="8"/>
  <c r="AH28" i="1"/>
  <c r="N98" i="8"/>
  <c r="L39" i="26"/>
  <c r="N102" i="8"/>
  <c r="AR28" i="1"/>
  <c r="L43" i="26"/>
  <c r="O88" i="8"/>
  <c r="E49" i="26"/>
  <c r="O90" i="8"/>
  <c r="E51" i="26"/>
  <c r="O98" i="8"/>
  <c r="M39" i="26"/>
  <c r="O87" i="8"/>
  <c r="E48" i="26"/>
  <c r="M47" i="26"/>
  <c r="O106" i="8"/>
  <c r="O107" i="8"/>
  <c r="M48" i="26"/>
  <c r="M36" i="26"/>
  <c r="O95" i="8"/>
  <c r="M41" i="26"/>
  <c r="O100" i="8"/>
  <c r="J65" i="1" a="1"/>
  <c r="J65" i="1" s="1"/>
  <c r="AO33" i="1"/>
  <c r="O96" i="8"/>
  <c r="M37" i="26"/>
  <c r="O86" i="8"/>
  <c r="E47" i="26"/>
  <c r="U33" i="1"/>
  <c r="J51" i="1" a="1"/>
  <c r="J51" i="1" s="1"/>
  <c r="O103" i="8"/>
  <c r="M44" i="26"/>
  <c r="O111" i="8"/>
  <c r="M52" i="26"/>
  <c r="M34" i="26"/>
  <c r="O93" i="8"/>
  <c r="E50" i="26"/>
  <c r="O89" i="8"/>
  <c r="M38" i="26"/>
  <c r="O97" i="8"/>
  <c r="M42" i="26"/>
  <c r="O101" i="8"/>
  <c r="O108" i="8"/>
  <c r="M49" i="26"/>
  <c r="M43" i="26"/>
  <c r="O102" i="8"/>
  <c r="X28" i="1"/>
  <c r="N88" i="8"/>
  <c r="D49" i="26"/>
  <c r="M40" i="26"/>
  <c r="O99" i="8"/>
  <c r="W28" i="1"/>
  <c r="D48" i="26"/>
  <c r="N87" i="8"/>
  <c r="AV28" i="1"/>
  <c r="N106" i="8"/>
  <c r="L47" i="26"/>
  <c r="N107" i="8"/>
  <c r="AW28" i="1"/>
  <c r="L48" i="26"/>
  <c r="AD28" i="1"/>
  <c r="N94" i="8"/>
  <c r="L35" i="26"/>
  <c r="O94" i="8"/>
  <c r="AE28" i="1"/>
  <c r="N95" i="8"/>
  <c r="L36" i="26"/>
  <c r="N100" i="8"/>
  <c r="AP28" i="1"/>
  <c r="L65" i="1" a="1"/>
  <c r="L65" i="1" s="1"/>
  <c r="L41" i="26"/>
  <c r="AO34" i="1"/>
  <c r="L37" i="26"/>
  <c r="AF28" i="1"/>
  <c r="N96" i="8"/>
  <c r="V28" i="1"/>
  <c r="N86" i="8"/>
  <c r="U34" i="1"/>
  <c r="J34" i="1" s="1"/>
  <c r="D47" i="26"/>
  <c r="L51" i="1" a="1"/>
  <c r="L51" i="1" s="1"/>
  <c r="O91" i="8"/>
  <c r="E52" i="26"/>
  <c r="M46" i="26"/>
  <c r="O105" i="8"/>
  <c r="AS28" i="1"/>
  <c r="L44" i="26"/>
  <c r="N103" i="8"/>
  <c r="BA28" i="1"/>
  <c r="N111" i="8"/>
  <c r="L52" i="26"/>
  <c r="L34" i="26"/>
  <c r="AC28" i="1"/>
  <c r="N93" i="8"/>
  <c r="Y28" i="1"/>
  <c r="D50" i="26"/>
  <c r="N89" i="8"/>
  <c r="F34" i="1" l="1"/>
  <c r="H33" i="1"/>
  <c r="D33" i="1"/>
  <c r="N24" i="26" s="1"/>
  <c r="K34" i="1"/>
  <c r="L4" i="8" l="1"/>
  <c r="L5" i="8"/>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E1500F-D0D6-4886-A8F1-2E7C8C6296FB}" odcFile="https://jgiquality.sharepoint.com/sites/JGI/Shared Documents/General/Excel-Qualer-SDK/Clients/Clients_GetAll.odc" keepAlive="1" name="Clients_GetAll" description="Connection to the 'Clients_GetAll' query in the workbook." type="5" refreshedVersion="0" new="1" onlyUseConnectionFile="1" background="1" saveData="1">
    <dbPr connection="Provider=Microsoft.Mashup.OleDb.1;Data Source=$Workbook$;Location=Clients_GetAll;Extended Properties=&quot;&quot;" command="SELECT * FROM [Clients_GetAll]"/>
  </connection>
  <connection id="2" xr16:uid="{E5073D8D-801C-4DA7-921A-B17CF18A69AA}" name="customers" description="Exported from query" type="5" refreshedVersion="0" background="1">
    <dbPr connection="Provider=Microsoft.Mashup.OleDb.1" command="customers"/>
  </connection>
  <connection id="3"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4"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saveData="1">
    <dbPr connection="Provider=Microsoft.Mashup.OleDb.1;Data Source=$Workbook$;Location=ClientAssetAttributes_GetAssetAttributesByAssetId;Extended Properties=&quot;&quot;" command="SELECT * FROM [ClientAssetAttributes_GetAssetAttributesByAssetId]"/>
  </connection>
  <connection id="5"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saveData="1">
    <dbPr connection="Provider=Microsoft.Mashup.OleDb.1;Data Source=$Workbook$;Location=ClientAssets_GetAssetsByClientCompanyId;Extended Properties=&quot;&quot;" command="SELECT * FROM [ClientAssets_GetAssetsByClientCompanyId]"/>
  </connection>
  <connection id="6"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<sst xmlns="http://schemas.openxmlformats.org/spreadsheetml/2006/main" count="21211" uniqueCount="5540">
  <si>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</si>
  <si>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</si>
  <si>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</si>
  <si>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</si>
  <si>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</si>
  <si>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</si>
  <si>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</si>
  <si>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</si>
  <si>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</si>
  <si>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</si>
  <si>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</si>
  <si>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</si>
  <si>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</si>
  <si>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</si>
  <si>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</si>
  <si>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</si>
  <si>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</si>
  <si>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</si>
  <si>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</si>
  <si>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</si>
  <si>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</si>
  <si>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</si>
  <si>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</si>
  <si>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</si>
  <si>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</si>
  <si>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</si>
  <si>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</si>
  <si>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</si>
  <si>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</si>
  <si>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</si>
  <si>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</si>
  <si>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</si>
  <si>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</si>
  <si>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</si>
  <si>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</si>
  <si>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</si>
  <si>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</si>
  <si>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</si>
  <si>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</si>
  <si>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</si>
  <si>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</si>
  <si>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</si>
  <si>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</si>
  <si>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</si>
  <si>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</si>
  <si>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</si>
  <si>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</si>
  <si>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</si>
  <si>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</si>
  <si>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</si>
  <si>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</si>
  <si>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</si>
  <si>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</si>
  <si>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</si>
  <si>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</si>
  <si>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</si>
  <si>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</si>
  <si>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</si>
  <si>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</si>
  <si>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</si>
  <si>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</si>
  <si>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</si>
  <si>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</si>
  <si>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</si>
  <si>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</si>
  <si>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</si>
  <si>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</si>
  <si>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</si>
  <si>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</si>
  <si>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</si>
  <si>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</si>
  <si>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</si>
  <si>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</si>
  <si>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</si>
  <si>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</si>
  <si>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</si>
  <si>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</si>
  <si>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</si>
  <si>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</si>
  <si>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</si>
  <si>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</si>
  <si>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</si>
  <si>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</si>
  <si>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</si>
  <si>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</si>
  <si>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</si>
  <si>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</si>
  <si>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</si>
  <si>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</si>
  <si>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</si>
  <si>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</si>
  <si>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</si>
  <si>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</si>
  <si>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</si>
  <si>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</si>
  <si>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</si>
  <si>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</si>
  <si>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</si>
  <si>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</si>
  <si>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</si>
  <si>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</si>
  <si>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</si>
  <si>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</si>
  <si>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</si>
  <si>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</si>
  <si>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</si>
  <si>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</si>
  <si>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</si>
  <si>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</si>
  <si>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</si>
  <si>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</si>
  <si>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</si>
  <si>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</si>
  <si>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</si>
  <si>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</si>
  <si>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</si>
  <si>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</si>
  <si>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</si>
  <si>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</si>
  <si>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</si>
  <si>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</si>
  <si>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</si>
  <si>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</si>
  <si>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</si>
  <si>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</si>
  <si>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</si>
  <si>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</si>
  <si>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</si>
  <si>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</si>
  <si>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</si>
  <si>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</si>
  <si>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</si>
  <si>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</si>
  <si>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</si>
  <si>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</si>
  <si>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</si>
  <si>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</si>
  <si>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</si>
  <si>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</si>
  <si>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</si>
  <si>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</si>
  <si>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</si>
  <si>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</si>
  <si>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</si>
  <si>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</si>
  <si>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</si>
  <si>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</si>
  <si>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</si>
  <si>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</si>
  <si>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</si>
  <si>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</si>
  <si>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</si>
  <si>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</si>
  <si>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</si>
  <si>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</si>
  <si>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</si>
  <si>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</si>
  <si>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</si>
  <si>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</si>
  <si>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</si>
  <si>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</si>
  <si>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</si>
  <si>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</si>
  <si>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</si>
  <si>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</si>
  <si>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</si>
  <si>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</si>
  <si>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</si>
  <si>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</si>
  <si>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</si>
  <si>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</si>
  <si>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</si>
  <si>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</si>
  <si>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</si>
  <si>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</si>
  <si>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</si>
  <si>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</si>
  <si>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</si>
  <si>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</si>
  <si>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</si>
  <si>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</si>
  <si>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</si>
  <si>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</si>
  <si>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</si>
  <si>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</si>
  <si>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</si>
  <si>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</si>
  <si>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</si>
  <si>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</si>
  <si>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</si>
  <si>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</si>
  <si>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</si>
  <si>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</si>
  <si>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</si>
  <si>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</si>
  <si>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</si>
  <si>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</si>
  <si>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</si>
  <si>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</si>
  <si>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</si>
  <si>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</si>
  <si>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</si>
  <si>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</si>
  <si>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</si>
  <si>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</si>
  <si>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</si>
  <si>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</si>
  <si>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</si>
  <si>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</si>
  <si>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</si>
  <si>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</si>
  <si>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</si>
  <si>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</si>
  <si>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</si>
  <si>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</si>
  <si>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</si>
  <si>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</si>
  <si>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</si>
  <si>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</si>
  <si>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</si>
  <si>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</si>
  <si>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</si>
  <si>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</si>
  <si>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</si>
  <si>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</si>
  <si>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</si>
  <si>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</si>
  <si>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</si>
  <si>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</si>
  <si>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</si>
  <si>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</si>
  <si>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</si>
  <si>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</si>
  <si>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</si>
  <si>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</si>
  <si>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</si>
  <si>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</si>
  <si>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</si>
  <si>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</si>
  <si>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</si>
  <si>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</si>
  <si>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</si>
  <si>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</si>
  <si>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</si>
  <si>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</si>
  <si>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</si>
  <si>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</si>
  <si>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</si>
  <si>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</si>
  <si>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</si>
  <si>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</si>
  <si>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</si>
  <si>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</si>
  <si>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</si>
  <si>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</si>
  <si>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</si>
  <si>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</si>
  <si>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</si>
  <si>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</si>
  <si>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</si>
  <si>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</si>
  <si>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</si>
  <si>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</si>
  <si>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</si>
  <si>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</si>
  <si>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</si>
  <si>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</si>
  <si>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</si>
  <si>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</si>
  <si>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</si>
  <si>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</si>
  <si>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</si>
  <si>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</si>
  <si>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</si>
  <si>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</si>
  <si>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</si>
  <si>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</si>
  <si>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</si>
  <si>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</si>
  <si>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</si>
  <si>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</si>
  <si>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</si>
  <si>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</si>
  <si>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</si>
  <si>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</si>
  <si>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</si>
  <si>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</si>
  <si>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</si>
  <si>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</si>
  <si>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</si>
  <si>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</si>
  <si>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</si>
  <si>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</si>
  <si>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</si>
  <si>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</si>
  <si>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</si>
  <si>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</si>
  <si>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</si>
  <si>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</si>
  <si>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</si>
  <si>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</si>
  <si>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</si>
  <si>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</si>
  <si>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</si>
  <si>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</si>
  <si>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</si>
  <si>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</si>
  <si>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</si>
  <si>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</si>
  <si>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</si>
  <si>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</si>
  <si>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</si>
  <si>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</si>
  <si>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</si>
  <si>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</si>
  <si>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</si>
  <si>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</si>
  <si>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</si>
  <si>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</si>
  <si>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</si>
  <si>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</si>
  <si>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</si>
  <si>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</si>
  <si>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</si>
  <si>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</si>
  <si>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</si>
  <si>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</si>
  <si>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</si>
  <si>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</si>
  <si>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</si>
  <si>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</si>
  <si>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</si>
  <si>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</si>
  <si>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</si>
  <si>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</si>
  <si>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</si>
  <si>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</si>
  <si>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</si>
  <si>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</si>
  <si>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</si>
  <si>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</si>
  <si>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</si>
  <si>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</si>
  <si>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</si>
  <si>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</si>
  <si>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</si>
  <si>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</si>
  <si>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</si>
  <si>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</si>
  <si>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</si>
  <si>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</si>
  <si>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</si>
  <si>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</si>
  <si>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</si>
  <si>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</si>
  <si>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</si>
  <si>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</si>
  <si>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</si>
  <si>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</si>
  <si>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</si>
  <si>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</si>
  <si>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</si>
  <si>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</si>
  <si>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</si>
  <si>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</si>
  <si>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</si>
  <si>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</si>
  <si>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</si>
  <si>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</si>
  <si>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</si>
  <si>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</si>
  <si>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</si>
  <si>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</si>
  <si>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</si>
  <si>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</si>
  <si>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</si>
  <si>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</si>
  <si>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</si>
  <si>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</si>
  <si>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</si>
  <si>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</si>
  <si>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</si>
  <si>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</si>
  <si>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</si>
  <si>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</si>
  <si>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</si>
  <si>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</si>
  <si>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</si>
  <si>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</si>
  <si>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</si>
  <si>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</si>
  <si>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</si>
  <si>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</si>
  <si>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</si>
  <si>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</si>
  <si>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</si>
  <si>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</si>
  <si>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</si>
  <si>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</si>
  <si>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</si>
  <si>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</si>
  <si>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</si>
  <si>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</si>
  <si>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</si>
  <si>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</si>
  <si>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</si>
  <si>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</si>
  <si>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</si>
  <si>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</si>
  <si>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</si>
  <si>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</si>
  <si>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</si>
  <si>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</si>
  <si>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</si>
  <si>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</si>
  <si>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</si>
  <si>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</si>
  <si>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</si>
  <si>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</si>
  <si>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</si>
  <si>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</si>
  <si>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</si>
  <si>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</si>
  <si>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</si>
  <si>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</si>
  <si>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</si>
  <si>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</si>
  <si>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</si>
  <si>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</si>
  <si>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</si>
  <si>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</si>
  <si>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</si>
  <si>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</si>
  <si>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</si>
  <si>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</si>
  <si>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</si>
  <si>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</si>
  <si>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</si>
  <si>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</si>
  <si>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</si>
  <si>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</si>
  <si>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</si>
  <si>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</si>
  <si>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</si>
  <si>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</si>
  <si>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</si>
  <si>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</si>
  <si>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</si>
  <si>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</si>
  <si>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</si>
  <si>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</si>
  <si>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</si>
  <si>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</si>
  <si>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</si>
  <si>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</si>
  <si>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</si>
  <si>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</si>
  <si>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</si>
  <si>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</si>
  <si>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</si>
  <si>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</si>
  <si>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</si>
  <si>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</si>
  <si>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</si>
  <si>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</si>
  <si>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</si>
  <si>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</si>
  <si>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</si>
  <si>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</si>
  <si>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</si>
  <si>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</si>
  <si>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</si>
  <si>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</si>
  <si>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</si>
  <si>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</si>
  <si>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</si>
  <si>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</si>
  <si>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</si>
  <si>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</si>
  <si>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</si>
  <si>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</si>
  <si>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</si>
  <si>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</si>
  <si>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</si>
  <si>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</si>
  <si>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</si>
  <si>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</si>
  <si>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</si>
  <si>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</si>
  <si>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</si>
  <si>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</si>
  <si>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</si>
  <si>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</si>
  <si>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</si>
  <si>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</si>
  <si>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</si>
  <si>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</si>
  <si>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</si>
  <si>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</si>
  <si>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</si>
  <si>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</si>
  <si>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</si>
  <si>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</si>
  <si>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</si>
  <si>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</si>
  <si>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</si>
  <si>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</si>
  <si>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</si>
  <si>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</si>
  <si>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</si>
  <si>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</si>
  <si>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</si>
  <si>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</si>
  <si>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</si>
  <si>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</si>
  <si>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</si>
  <si>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</si>
  <si>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</si>
  <si>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</si>
  <si>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</si>
  <si>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</si>
  <si>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</si>
  <si>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</si>
  <si>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</si>
  <si>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</si>
  <si>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</si>
  <si>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</si>
  <si>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</si>
  <si>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</si>
  <si>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</si>
  <si>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</si>
  <si>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</si>
  <si>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</si>
  <si>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</si>
  <si>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</si>
  <si>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</si>
  <si>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</si>
  <si>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</si>
  <si>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</si>
  <si>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</si>
  <si>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</si>
  <si>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</si>
  <si>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</si>
  <si>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</si>
  <si>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</si>
  <si>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</si>
  <si>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</si>
  <si>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</si>
  <si>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</si>
  <si>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</si>
  <si>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</si>
  <si>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</si>
  <si>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</si>
  <si>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</si>
  <si>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</si>
  <si>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</si>
  <si>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</si>
  <si>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</si>
  <si>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</si>
  <si>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</si>
  <si>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</si>
  <si>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</si>
  <si>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</si>
  <si>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</si>
  <si>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</si>
  <si>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</si>
  <si>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</si>
  <si>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</si>
  <si>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</si>
  <si>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</si>
  <si>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</si>
  <si>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</si>
  <si>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</si>
  <si>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</si>
  <si>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</si>
  <si>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</si>
  <si>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</si>
  <si>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</si>
  <si>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</si>
  <si>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</si>
  <si>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</si>
  <si>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</si>
  <si>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</si>
  <si>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</si>
  <si>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</si>
  <si>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</si>
  <si>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</si>
  <si>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</si>
  <si>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</si>
  <si>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</si>
  <si>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</si>
  <si>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</si>
  <si>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</si>
  <si>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</si>
  <si>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</si>
  <si>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</si>
  <si>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</si>
  <si>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</si>
  <si>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</si>
  <si>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</si>
  <si>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</si>
  <si>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</si>
  <si>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</si>
  <si>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</si>
  <si>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</si>
  <si>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</si>
  <si>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</si>
  <si>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</si>
  <si>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</si>
  <si>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</si>
  <si>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</si>
  <si>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</si>
  <si>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</si>
  <si>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</si>
  <si>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</si>
  <si>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</si>
  <si>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</si>
  <si>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</si>
  <si>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</si>
  <si>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</si>
  <si>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</si>
  <si>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</si>
  <si>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</si>
  <si>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</si>
  <si>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</si>
  <si>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</si>
  <si>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</si>
  <si>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</si>
  <si>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</si>
  <si>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</si>
  <si>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</si>
  <si>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</si>
  <si>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</si>
  <si>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</si>
  <si>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</si>
  <si>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</si>
  <si>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</si>
  <si>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</si>
  <si>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</si>
  <si>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</si>
  <si>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</si>
  <si>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</si>
  <si>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</si>
  <si>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</si>
  <si>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</si>
  <si>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</si>
  <si>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</si>
  <si>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</si>
  <si>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</si>
  <si>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</si>
  <si>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</si>
  <si>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</si>
  <si>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</si>
  <si>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</si>
  <si>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</si>
  <si>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</si>
  <si>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</si>
  <si>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</si>
  <si>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</si>
  <si>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</si>
  <si>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</si>
  <si>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</si>
  <si>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</si>
  <si>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</si>
  <si>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</si>
  <si>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</si>
  <si>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</si>
  <si>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</si>
  <si>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</si>
  <si>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</si>
  <si>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</si>
  <si>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</si>
  <si>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</si>
  <si>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</si>
  <si>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</si>
  <si>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</si>
  <si>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</si>
  <si>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</si>
  <si>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</si>
  <si>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</si>
  <si>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</si>
  <si>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</si>
  <si>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</si>
  <si>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</si>
  <si>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</si>
  <si>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</si>
  <si>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</si>
  <si>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</si>
  <si>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</si>
  <si>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</si>
  <si>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</si>
  <si>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</si>
  <si>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</si>
  <si>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</si>
  <si>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</si>
  <si>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</si>
  <si>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</si>
  <si>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</si>
  <si>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</si>
  <si>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</si>
  <si>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</si>
  <si>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</si>
  <si>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</si>
  <si>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</si>
  <si>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</si>
  <si>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</si>
  <si>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</si>
  <si>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</si>
  <si>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</si>
  <si>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</si>
  <si>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</si>
  <si>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</si>
  <si>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</si>
  <si>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</si>
  <si>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</si>
  <si>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</si>
  <si>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</si>
  <si>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</si>
  <si>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</si>
  <si>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</si>
  <si>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</si>
  <si>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</si>
  <si>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</si>
  <si>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</si>
  <si>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</si>
  <si>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</si>
  <si>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</si>
  <si>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</si>
  <si>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</si>
  <si>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</si>
  <si>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</si>
  <si>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</si>
  <si>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</si>
  <si>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</si>
  <si>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</si>
  <si>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</si>
  <si>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</si>
  <si>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</si>
  <si>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</si>
  <si>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</si>
  <si>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</si>
  <si>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</si>
  <si>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</si>
  <si>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</si>
  <si>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</si>
  <si>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</si>
  <si>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</si>
  <si>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</si>
  <si>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</si>
  <si>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</si>
  <si>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</si>
  <si>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</si>
  <si>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</si>
  <si>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</si>
  <si>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</si>
  <si>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</si>
  <si>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</si>
  <si>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</si>
  <si>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</si>
  <si>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</si>
  <si>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</si>
  <si>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</si>
  <si>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</si>
  <si>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</si>
  <si>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</si>
  <si>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</si>
  <si>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</si>
  <si>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</si>
  <si>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</si>
  <si>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</si>
  <si>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</si>
  <si>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</si>
  <si>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</si>
  <si>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</si>
  <si>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</si>
  <si>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</si>
  <si>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</si>
  <si>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</si>
  <si>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</si>
  <si>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</si>
  <si>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</si>
  <si>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</si>
  <si>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</si>
  <si>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</si>
  <si>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</si>
  <si>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</si>
  <si>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</si>
  <si>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</si>
  <si>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</si>
  <si>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</si>
  <si>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</si>
  <si>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</si>
  <si>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</si>
  <si>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</si>
  <si>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</si>
  <si>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</si>
  <si>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</si>
  <si>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</si>
  <si>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</si>
  <si>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</si>
  <si>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</si>
  <si>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</si>
  <si>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</si>
  <si>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</si>
  <si>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</si>
  <si>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</si>
  <si>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</si>
  <si>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</si>
  <si>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</si>
  <si>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</si>
  <si>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</si>
  <si>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</si>
  <si>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</si>
  <si>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</si>
  <si>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</si>
  <si>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</si>
  <si>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</si>
  <si>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</si>
  <si>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</si>
  <si>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</si>
  <si>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</si>
  <si>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</si>
  <si>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</si>
  <si>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</si>
  <si>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</si>
  <si>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</si>
  <si>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</si>
  <si>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</si>
  <si>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</si>
  <si>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</si>
  <si>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</si>
  <si>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</si>
  <si>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</si>
  <si>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</si>
  <si>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</si>
  <si>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</si>
  <si>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</si>
  <si>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</si>
  <si>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</si>
  <si>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</si>
  <si>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</si>
  <si>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</si>
  <si>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</si>
  <si>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</si>
  <si>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</si>
  <si>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</si>
  <si>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</si>
  <si>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</si>
  <si>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</si>
  <si>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</si>
  <si>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</si>
  <si>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</si>
  <si>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</si>
  <si>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</si>
  <si>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</si>
  <si>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</si>
  <si>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</si>
  <si>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</si>
  <si>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</si>
  <si>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</si>
  <si>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</si>
  <si>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</si>
  <si>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</si>
  <si>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</si>
  <si>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</si>
  <si>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</si>
  <si>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</si>
  <si>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</si>
  <si>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</si>
  <si>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</si>
  <si>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</si>
  <si>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</si>
  <si>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</si>
  <si>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</si>
  <si>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</si>
  <si>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</si>
  <si>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</si>
  <si>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</si>
  <si>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</si>
  <si>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</si>
  <si>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</si>
  <si>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</si>
  <si>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</si>
  <si>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</si>
  <si>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</si>
  <si>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</si>
  <si>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</si>
  <si>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</si>
  <si>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</si>
  <si>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</si>
  <si>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</si>
  <si>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</si>
  <si>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</si>
  <si>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</si>
  <si>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</si>
  <si>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</si>
  <si>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</si>
  <si>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</si>
  <si>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</si>
  <si>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</si>
  <si>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</si>
  <si>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</si>
  <si>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</si>
  <si>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</si>
  <si>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</si>
  <si>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</si>
  <si>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</si>
  <si>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</si>
  <si>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</si>
  <si>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</si>
  <si>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</si>
  <si>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</si>
  <si>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</si>
  <si>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</si>
  <si>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</si>
  <si>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</si>
  <si>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</si>
  <si>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</si>
  <si>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</si>
  <si>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</si>
  <si>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</si>
  <si>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</si>
  <si>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</si>
  <si>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</si>
  <si>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</si>
  <si>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</si>
  <si>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</si>
  <si>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</si>
  <si>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</si>
  <si>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</si>
  <si>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</si>
  <si>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</si>
  <si>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</si>
  <si>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</si>
  <si>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</si>
  <si>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</si>
  <si>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</si>
  <si>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</si>
  <si>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</si>
  <si>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</si>
  <si>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</si>
  <si>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</si>
  <si>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</si>
  <si>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</si>
  <si>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</si>
  <si>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</si>
  <si>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</si>
  <si>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</si>
  <si>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</si>
  <si>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</si>
  <si>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</si>
  <si>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</si>
  <si>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</si>
  <si>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</si>
  <si>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</si>
  <si>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</si>
  <si>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</si>
  <si>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</si>
  <si>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</si>
  <si>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</si>
  <si>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</si>
  <si>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</si>
  <si>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</si>
  <si>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</si>
  <si>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</si>
  <si>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</si>
  <si>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</si>
  <si>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</si>
  <si>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</si>
  <si>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</si>
  <si>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</si>
  <si>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</si>
  <si>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</si>
  <si>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</si>
  <si>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</si>
  <si>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</si>
  <si>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</si>
  <si>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</si>
  <si>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</si>
  <si>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</si>
  <si>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</si>
  <si>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</si>
  <si>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</si>
  <si>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</si>
  <si>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</si>
  <si>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</si>
  <si>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</si>
  <si>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</si>
  <si>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</si>
  <si>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</si>
  <si>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</si>
  <si>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</si>
  <si>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</si>
  <si>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</si>
  <si>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</si>
  <si>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</si>
  <si>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</si>
  <si>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</si>
  <si>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</si>
  <si>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</si>
  <si>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</si>
  <si>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</si>
  <si>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</si>
  <si>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</si>
  <si>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</si>
  <si>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</si>
  <si>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</si>
  <si>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</si>
  <si>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</si>
  <si>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</si>
  <si>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</si>
  <si>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</si>
  <si>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</si>
  <si>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</si>
  <si>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</si>
  <si>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</si>
  <si>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</si>
  <si>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</si>
  <si>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</si>
  <si>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</si>
  <si>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</si>
  <si>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</si>
  <si>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</si>
  <si>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</si>
  <si>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</si>
  <si>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</si>
  <si>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</si>
  <si>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</si>
  <si>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</si>
  <si>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</si>
  <si>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</si>
  <si>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</si>
  <si>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</si>
  <si>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</si>
  <si>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</si>
  <si>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</si>
  <si>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</si>
  <si>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</si>
  <si>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</si>
  <si>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</si>
  <si>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</si>
  <si>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</si>
  <si>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</si>
  <si>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</si>
  <si>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</si>
  <si>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</si>
  <si>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</si>
  <si>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</si>
  <si>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</si>
  <si>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</si>
  <si>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</si>
  <si>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</si>
  <si>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</si>
  <si>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</si>
  <si>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</si>
  <si>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</si>
  <si>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</si>
  <si>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</si>
  <si>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</si>
  <si>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</si>
  <si>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</si>
  <si>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</si>
  <si>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</si>
  <si>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</si>
  <si>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</si>
  <si>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</si>
  <si>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</si>
  <si>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</si>
  <si>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</si>
  <si>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</si>
  <si>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</si>
  <si>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</si>
  <si>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</si>
  <si>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</si>
  <si>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</si>
  <si>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</si>
  <si>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</si>
  <si>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</si>
  <si>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</si>
  <si>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</si>
  <si>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</si>
  <si>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</si>
  <si>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</si>
  <si>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</si>
  <si>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</si>
  <si>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</si>
  <si>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</si>
  <si>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</si>
  <si>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</si>
  <si>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</si>
  <si>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</si>
  <si>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</si>
  <si>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</si>
  <si>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</si>
  <si>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</si>
  <si>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</si>
  <si>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</si>
  <si>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</si>
  <si>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</si>
  <si>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</si>
  <si>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</si>
  <si>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</si>
  <si>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</si>
  <si>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</si>
  <si>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</si>
  <si>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</si>
  <si>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</si>
  <si>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</si>
  <si>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</si>
  <si>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</si>
  <si>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</si>
  <si>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</si>
  <si>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</si>
  <si>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</si>
  <si>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</si>
  <si>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</si>
  <si>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</si>
  <si>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</si>
  <si>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</si>
  <si>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</si>
  <si>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</si>
  <si>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</si>
  <si>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</si>
  <si>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</si>
  <si>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</si>
  <si>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</si>
  <si>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</si>
  <si>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</si>
  <si>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</si>
  <si>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</si>
  <si>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</si>
  <si>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</si>
  <si>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</si>
  <si>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</si>
  <si>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</si>
  <si>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</si>
  <si>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</si>
  <si>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</si>
  <si>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</si>
  <si>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</si>
  <si>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</si>
  <si>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</si>
  <si>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</si>
  <si>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</si>
  <si>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</si>
  <si>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</si>
  <si>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</si>
  <si>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</si>
  <si>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</si>
  <si>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</si>
  <si>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</si>
  <si>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</si>
  <si>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</si>
  <si>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</si>
  <si>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</si>
  <si>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</si>
  <si>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</si>
  <si>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</si>
  <si>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</si>
  <si>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</si>
  <si>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</si>
  <si>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</si>
  <si>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</si>
  <si>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</si>
  <si>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</si>
  <si>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</si>
  <si>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</si>
  <si>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</si>
  <si>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</si>
  <si>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</si>
  <si>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</si>
  <si>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</si>
  <si>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</si>
  <si>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</si>
  <si>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</si>
  <si>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</si>
  <si>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</si>
  <si>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</si>
  <si>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</si>
  <si>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</si>
  <si>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</si>
  <si>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</si>
  <si>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</si>
  <si>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</si>
  <si>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</si>
  <si>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</si>
  <si>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</si>
  <si>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</si>
  <si>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</si>
  <si>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</si>
  <si>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</si>
  <si>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</si>
  <si>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</si>
  <si>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</si>
  <si>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</si>
  <si>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</si>
  <si>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</si>
  <si>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</si>
  <si>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</si>
  <si>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</si>
  <si>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</si>
  <si>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</si>
  <si>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</si>
  <si>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</si>
  <si>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</si>
  <si>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</si>
  <si>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</si>
  <si>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</si>
  <si>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</si>
  <si>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</si>
  <si>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</si>
  <si>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</si>
  <si>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</si>
  <si>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</si>
  <si>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</si>
  <si>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</si>
  <si>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</si>
  <si>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</si>
  <si>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</si>
  <si>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</si>
  <si>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</si>
  <si>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</si>
  <si>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</si>
  <si>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</si>
  <si>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</si>
  <si>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</si>
  <si>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</si>
  <si>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</si>
  <si>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</si>
  <si>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</si>
  <si>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</si>
  <si>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</si>
  <si>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</si>
  <si>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</si>
  <si>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</si>
  <si>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</si>
  <si>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</si>
  <si>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</si>
  <si>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</si>
  <si>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</si>
  <si>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</si>
  <si>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</si>
  <si>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</si>
  <si>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</si>
  <si>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</si>
  <si>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</si>
  <si>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</si>
  <si>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</si>
  <si>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</si>
  <si>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</si>
  <si>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</si>
  <si>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</si>
  <si>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</si>
  <si>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</si>
  <si>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</si>
  <si>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</si>
  <si>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</si>
  <si>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</si>
  <si>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</si>
  <si>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</si>
  <si>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</si>
  <si>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</si>
  <si>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</si>
  <si>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</si>
  <si>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</si>
  <si>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</si>
  <si>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</si>
  <si>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</si>
  <si>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</si>
  <si>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</si>
  <si>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</si>
  <si>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</si>
  <si>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</si>
  <si>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</si>
  <si>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</si>
  <si>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</si>
  <si>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</si>
  <si>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</si>
  <si>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</si>
  <si>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</si>
  <si>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</si>
  <si>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</si>
  <si>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</si>
  <si>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</si>
  <si>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</si>
  <si>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</si>
  <si>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</si>
  <si>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</si>
  <si>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</si>
  <si>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</si>
  <si>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</si>
  <si>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</si>
  <si>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</si>
  <si>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</si>
  <si>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</si>
  <si>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</si>
  <si>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</si>
  <si>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</si>
  <si>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</si>
  <si>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</si>
  <si>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</si>
  <si>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</si>
  <si>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</si>
  <si>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</si>
  <si>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</si>
  <si>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</si>
  <si>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</si>
  <si>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</si>
  <si>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</si>
  <si>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</si>
  <si>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</si>
  <si>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</si>
  <si>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</si>
  <si>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</si>
  <si>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</si>
  <si>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</si>
  <si>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</si>
  <si>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</si>
  <si>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</si>
  <si>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</si>
  <si>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</si>
  <si>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</si>
  <si>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</si>
  <si>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</si>
  <si>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</si>
  <si>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</si>
  <si>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</si>
  <si>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</si>
  <si>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</si>
  <si>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</si>
  <si>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</si>
  <si>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</si>
  <si>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</si>
  <si>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</si>
  <si>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</si>
  <si>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</si>
  <si>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</si>
  <si>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</si>
  <si>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</si>
  <si>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</si>
  <si>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</si>
  <si>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</si>
  <si>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</si>
  <si>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</si>
  <si>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</si>
  <si>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</si>
  <si>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</si>
  <si>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</si>
  <si>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</si>
  <si>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</si>
  <si>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</si>
  <si>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</si>
  <si>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</si>
  <si>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</si>
  <si>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</si>
  <si>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</si>
  <si>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</si>
  <si>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</si>
  <si>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</si>
  <si>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</si>
  <si>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</si>
  <si>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</si>
  <si>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</si>
  <si>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</si>
  <si>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</si>
  <si>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</si>
  <si>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</si>
  <si>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</si>
  <si>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</si>
  <si>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</si>
  <si>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</si>
  <si>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</si>
  <si>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</si>
  <si>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</si>
  <si>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</si>
  <si>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</si>
  <si>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</si>
  <si>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</si>
  <si>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</si>
  <si>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</si>
  <si>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</si>
  <si>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</si>
  <si>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</si>
  <si>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</si>
  <si>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</si>
  <si>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</si>
  <si>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</si>
  <si>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</si>
  <si>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</si>
  <si>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</si>
  <si>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</si>
  <si>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</si>
  <si>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</si>
  <si>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</si>
  <si>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</si>
  <si>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</si>
  <si>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</si>
  <si>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</si>
  <si>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</si>
  <si>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</si>
  <si>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</si>
  <si>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</si>
  <si>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</si>
  <si>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</si>
  <si>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</si>
  <si>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</si>
  <si>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</si>
  <si>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</si>
  <si>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</si>
  <si>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</si>
  <si>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</si>
  <si>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</si>
  <si>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</si>
  <si>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</si>
  <si>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</si>
  <si>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</si>
  <si>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</si>
  <si>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</si>
  <si>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</si>
  <si>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</si>
  <si>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</si>
  <si>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</si>
  <si>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</si>
  <si>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</si>
  <si>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</si>
  <si>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</si>
  <si>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</si>
  <si>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</si>
  <si>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</si>
  <si>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</si>
  <si>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</si>
  <si>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</si>
  <si>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</si>
  <si>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</si>
  <si>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</si>
  <si>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</si>
  <si>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</si>
  <si>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</si>
  <si>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</si>
  <si>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</si>
  <si>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</si>
  <si>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</si>
  <si>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</si>
  <si>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</si>
  <si>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</si>
  <si>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</si>
  <si>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</si>
  <si>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</si>
  <si>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</si>
  <si>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</si>
  <si>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</si>
  <si>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</si>
  <si>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</si>
  <si>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</si>
  <si>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</si>
  <si>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</si>
  <si>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</si>
  <si>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</si>
  <si>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</si>
  <si>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</si>
  <si>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</si>
  <si>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</si>
  <si>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</si>
  <si>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</si>
  <si>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</si>
  <si>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</si>
  <si>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</si>
  <si>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</si>
  <si>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</si>
  <si>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</si>
  <si>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</si>
  <si>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</si>
  <si>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</si>
  <si>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</si>
  <si>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</si>
  <si>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</si>
  <si>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</si>
  <si>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</si>
  <si>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</si>
  <si>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</si>
  <si>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</si>
  <si>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</si>
  <si>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</si>
  <si>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</si>
  <si>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</si>
  <si>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</si>
  <si>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</si>
  <si>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</si>
  <si>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</si>
  <si>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</si>
  <si>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</si>
  <si>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</si>
  <si>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</si>
  <si>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</si>
  <si>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</si>
  <si>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</si>
  <si>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</si>
  <si>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</si>
  <si>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</si>
  <si>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</si>
  <si>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</si>
  <si>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</si>
  <si>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</si>
  <si>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</si>
  <si>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</si>
  <si>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</si>
  <si>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</si>
  <si>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</si>
  <si>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</si>
  <si>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</si>
  <si>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</si>
  <si>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</si>
  <si>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</si>
  <si>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</si>
  <si>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</si>
  <si>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</si>
  <si>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</si>
  <si>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</si>
  <si>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</si>
  <si>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</si>
  <si>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</si>
  <si>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</si>
  <si>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</si>
  <si>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</si>
  <si>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</si>
  <si>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</si>
  <si>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</si>
  <si>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</si>
  <si>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</si>
  <si>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</si>
  <si>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</si>
  <si>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</si>
  <si>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</si>
  <si>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</si>
  <si>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</si>
  <si>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</si>
  <si>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</si>
  <si>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</si>
  <si>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</si>
  <si>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</si>
  <si>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</si>
  <si>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</si>
  <si>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</si>
  <si>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</si>
  <si>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</si>
  <si>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</si>
  <si>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</si>
  <si>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</si>
  <si>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</si>
  <si>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</si>
  <si>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</si>
  <si>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</si>
  <si>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</si>
  <si>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</si>
  <si>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</si>
  <si>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</si>
  <si>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</si>
  <si>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</si>
  <si>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</si>
  <si>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</si>
  <si>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</si>
  <si>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</si>
  <si>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</si>
  <si>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</si>
  <si>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</si>
  <si>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</si>
  <si>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</si>
  <si>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</si>
  <si>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</si>
  <si>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</si>
  <si>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</si>
  <si>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</si>
  <si>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</si>
  <si>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</si>
  <si>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</si>
  <si>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</si>
  <si>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</si>
  <si>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</si>
  <si>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</si>
  <si>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</si>
  <si>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</si>
  <si>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</si>
  <si>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</si>
  <si>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</si>
  <si>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</si>
  <si>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</si>
  <si>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</si>
  <si>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</si>
  <si>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</si>
  <si>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</si>
  <si>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</si>
  <si>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</si>
  <si>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</si>
  <si>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</si>
  <si>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</si>
  <si>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</si>
  <si>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</si>
  <si>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</si>
  <si>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</si>
  <si>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</si>
  <si>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</si>
  <si>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</si>
  <si>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</si>
  <si>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</si>
  <si>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</si>
  <si>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</si>
  <si>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</si>
  <si>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</si>
  <si>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</si>
  <si>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</si>
  <si>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</si>
  <si>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</si>
  <si>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</si>
  <si>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</si>
  <si>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</si>
  <si>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</si>
  <si>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</si>
  <si>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</si>
  <si>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</si>
  <si>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</si>
  <si>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</si>
  <si>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</si>
  <si>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</si>
  <si>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</si>
  <si>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</si>
  <si>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</si>
  <si>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</si>
  <si>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</si>
  <si>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</si>
  <si>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</si>
  <si>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</si>
  <si>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</si>
  <si>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</si>
  <si>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</si>
  <si>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</si>
  <si>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</si>
  <si>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</si>
  <si>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</si>
  <si>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</si>
  <si>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</si>
  <si>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</si>
  <si>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</si>
  <si>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</si>
  <si>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</si>
  <si>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</si>
  <si>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</si>
  <si>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</si>
  <si>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</si>
  <si>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</si>
  <si>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</si>
  <si>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</si>
  <si>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</si>
  <si>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</si>
  <si>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</si>
  <si>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</si>
  <si>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</si>
  <si>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</si>
  <si>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</si>
  <si>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</si>
  <si>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</si>
  <si>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</si>
  <si>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</si>
  <si>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</si>
  <si>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</si>
  <si>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</si>
  <si>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</si>
  <si>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</si>
  <si>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</si>
  <si>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</si>
  <si>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</si>
  <si>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</si>
  <si>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</si>
  <si>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</si>
  <si>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</si>
  <si>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</si>
  <si>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</si>
  <si>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</si>
  <si>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</si>
  <si>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</si>
  <si>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</si>
  <si>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</si>
  <si>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</si>
  <si>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</si>
  <si>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</si>
  <si>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</si>
  <si>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</si>
  <si>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</si>
  <si>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</si>
  <si>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</si>
  <si>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</si>
  <si>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</si>
  <si>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</si>
  <si>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</si>
  <si>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</si>
  <si>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</si>
  <si>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</si>
  <si>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</si>
  <si>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</si>
  <si>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</si>
  <si>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</si>
  <si>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</si>
  <si>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</si>
  <si>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</si>
  <si>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</si>
  <si>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</si>
  <si>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</si>
  <si>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</si>
  <si>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</si>
  <si>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</si>
  <si>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</si>
  <si>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</si>
  <si>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</si>
  <si>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</si>
  <si>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</si>
  <si>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</si>
  <si>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</si>
  <si>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</si>
  <si>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</si>
  <si>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</si>
  <si>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</si>
  <si>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</si>
  <si>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</si>
  <si>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</si>
  <si>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</si>
  <si>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</si>
  <si>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</si>
  <si>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</si>
  <si>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</si>
  <si>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</si>
  <si>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</si>
  <si>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</si>
  <si>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</si>
  <si>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</si>
  <si>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</si>
  <si>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</si>
  <si>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</si>
  <si>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</si>
  <si>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</si>
  <si>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</si>
  <si>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</si>
  <si>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</si>
  <si>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</si>
  <si>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</si>
  <si>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</si>
  <si>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</si>
  <si>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</si>
  <si>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</si>
  <si>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</si>
  <si>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</si>
  <si>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</si>
  <si>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</si>
  <si>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</si>
  <si>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</si>
  <si>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</si>
  <si>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</si>
  <si>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</si>
  <si>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</si>
  <si>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</si>
  <si>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</si>
  <si>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</si>
  <si>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</si>
  <si>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</si>
  <si>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</si>
  <si>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</si>
  <si>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</si>
  <si>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</si>
  <si>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</si>
  <si>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</si>
  <si>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</si>
  <si>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</si>
  <si>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</si>
  <si>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</si>
  <si>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</si>
  <si>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</si>
  <si>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</si>
  <si>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</si>
  <si>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</si>
  <si>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</si>
  <si>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</si>
  <si>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</si>
  <si>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</si>
  <si>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</si>
  <si>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</si>
  <si>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</si>
  <si>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</si>
  <si>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</si>
  <si>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</si>
  <si>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</si>
  <si>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</si>
  <si>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</si>
  <si>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</si>
  <si>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</si>
  <si>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</si>
  <si>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</si>
  <si>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</si>
  <si>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</si>
  <si>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</si>
  <si>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</si>
  <si>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</si>
  <si>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</si>
  <si>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</si>
  <si>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</si>
  <si>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</si>
  <si>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</si>
  <si>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</si>
  <si>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</si>
  <si>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</si>
  <si>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</si>
  <si>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</si>
  <si>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</si>
  <si>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</si>
  <si>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</si>
  <si>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</si>
  <si>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</si>
  <si>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</si>
  <si>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</si>
  <si>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</si>
  <si>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</si>
  <si>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</si>
  <si>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</si>
  <si>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</si>
  <si>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</si>
  <si>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</si>
  <si>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</si>
  <si>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</si>
  <si>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</si>
  <si>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</si>
  <si>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</si>
  <si>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</si>
  <si>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</si>
  <si>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</si>
  <si>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</si>
  <si>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</si>
  <si>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</si>
  <si>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</si>
  <si>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</si>
  <si>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</si>
  <si>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</si>
  <si>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</si>
  <si>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</si>
  <si>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</si>
  <si>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</si>
  <si>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</si>
  <si>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</si>
  <si>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</si>
  <si>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</si>
  <si>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</si>
  <si>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</si>
  <si>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</si>
  <si>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</si>
  <si>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</si>
  <si>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</si>
  <si>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</si>
  <si>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</si>
  <si>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</si>
  <si>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</si>
  <si>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</si>
  <si>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</si>
  <si>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</si>
  <si>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</si>
  <si>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</si>
  <si>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</si>
  <si>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</si>
  <si>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</si>
  <si>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</si>
  <si>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</si>
  <si>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</si>
  <si>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</si>
  <si>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</si>
  <si>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</si>
  <si>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</si>
  <si>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</si>
  <si>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</si>
  <si>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</si>
  <si>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</si>
  <si>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</si>
  <si>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</si>
  <si>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</si>
  <si>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</si>
  <si>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</si>
  <si>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</si>
  <si>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</si>
  <si>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</si>
  <si>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</si>
  <si>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</si>
  <si>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</si>
  <si>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</si>
  <si>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</si>
  <si>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</si>
  <si>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</si>
  <si>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</si>
  <si>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</si>
  <si>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</si>
  <si>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</si>
  <si>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</si>
  <si>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</si>
  <si>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</si>
  <si>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</si>
  <si>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</si>
  <si>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</si>
  <si>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</si>
  <si>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</si>
  <si>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</si>
  <si>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</si>
  <si>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</si>
  <si>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</si>
  <si>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</si>
  <si>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</si>
  <si>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</si>
  <si>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</si>
  <si>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</si>
  <si>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</si>
  <si>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</si>
  <si>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</si>
  <si>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</si>
  <si>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</si>
  <si>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</si>
  <si>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</si>
  <si>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</si>
  <si>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</si>
  <si>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</si>
  <si>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</si>
  <si>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</si>
  <si>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</si>
  <si>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</si>
  <si>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</si>
  <si>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</si>
  <si>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</si>
  <si>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</si>
  <si>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</si>
  <si>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</si>
  <si>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</si>
  <si>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</si>
  <si>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</si>
  <si>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</si>
  <si>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</si>
  <si>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</si>
  <si>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</si>
  <si>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</si>
  <si>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</si>
  <si>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</si>
  <si>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</si>
  <si>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</si>
  <si>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</si>
  <si>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</si>
  <si>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</si>
  <si>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</si>
  <si>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</si>
  <si>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</si>
  <si>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</si>
  <si>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</si>
  <si>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</si>
  <si>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</si>
  <si>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</si>
  <si>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</si>
  <si>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</si>
  <si>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</si>
  <si>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</si>
  <si>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</si>
  <si>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</si>
  <si>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</si>
  <si>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</si>
  <si>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</si>
  <si>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</si>
  <si>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</si>
  <si>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</si>
  <si>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</si>
  <si>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</si>
  <si>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</si>
  <si>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</si>
  <si>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</si>
  <si>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</si>
  <si>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</si>
  <si>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</si>
  <si>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</si>
  <si>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</si>
  <si>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</si>
  <si>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</si>
  <si>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</si>
  <si>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</si>
  <si>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</si>
  <si>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</si>
  <si>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</si>
  <si>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</si>
  <si>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</si>
  <si>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</si>
  <si>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</si>
  <si>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</si>
  <si>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</si>
  <si>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</si>
  <si>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</si>
  <si>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</si>
  <si>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</si>
  <si>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</si>
  <si>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</si>
  <si>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</si>
  <si>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</si>
  <si>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</si>
  <si>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</si>
  <si>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</si>
  <si>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</si>
  <si>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</si>
  <si>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</si>
  <si>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</si>
  <si>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</si>
  <si>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</si>
  <si>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</si>
  <si>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</si>
  <si>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</si>
  <si>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</si>
  <si>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</si>
  <si>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</si>
  <si>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</si>
  <si>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</si>
  <si>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</si>
  <si>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</si>
  <si>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</si>
  <si>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</si>
  <si>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</si>
  <si>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</si>
  <si>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</si>
  <si>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</si>
  <si>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</si>
  <si>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</si>
  <si>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</si>
  <si>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</si>
  <si>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</si>
  <si>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</si>
  <si>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</si>
  <si>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</si>
  <si>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</si>
  <si>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</si>
  <si>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</si>
  <si>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</si>
  <si>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</si>
  <si>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</si>
  <si>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</si>
  <si>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</si>
  <si>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</si>
  <si>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</si>
  <si>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</si>
  <si>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</si>
  <si>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</si>
  <si>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</si>
  <si>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</si>
  <si>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</si>
  <si>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</si>
  <si>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</si>
  <si>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</si>
  <si>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</si>
  <si>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</si>
  <si>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</si>
  <si>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</si>
  <si>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</si>
  <si>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</si>
  <si>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</si>
  <si>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</si>
  <si>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</si>
  <si>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</si>
  <si>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</si>
  <si>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</si>
  <si>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</si>
  <si>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</si>
  <si>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</si>
  <si>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</si>
  <si>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</si>
  <si>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</si>
  <si>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</si>
  <si>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</si>
  <si>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</si>
  <si>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</si>
  <si>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</si>
  <si>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</si>
  <si>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</si>
  <si>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</si>
  <si>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</si>
  <si>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</si>
  <si>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</si>
  <si>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</si>
  <si>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</si>
  <si>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</si>
  <si>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</si>
  <si>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</si>
  <si>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</si>
  <si>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</si>
  <si>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</si>
  <si>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</si>
  <si>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</si>
  <si>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</si>
  <si>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</si>
  <si>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</si>
  <si>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</si>
  <si>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</si>
  <si>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</si>
  <si>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</si>
  <si>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</si>
  <si>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</si>
  <si>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</si>
  <si>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</si>
  <si>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</si>
  <si>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</si>
  <si>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</si>
  <si>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</si>
  <si>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</si>
  <si>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</si>
  <si>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</si>
  <si>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</si>
  <si>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</si>
  <si>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</si>
  <si>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</si>
  <si>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</si>
  <si>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</si>
  <si>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</si>
  <si>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</si>
  <si>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</si>
  <si>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</si>
  <si>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</si>
  <si>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</si>
  <si>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</si>
  <si>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</si>
  <si>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</si>
  <si>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</si>
  <si>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</si>
  <si>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</si>
  <si>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</si>
  <si>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</si>
  <si>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</si>
  <si>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</si>
  <si>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</si>
  <si>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</si>
  <si>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</si>
  <si>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</si>
  <si>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</si>
  <si>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</si>
  <si>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</si>
  <si>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</si>
  <si>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</si>
  <si>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</si>
  <si>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</si>
  <si>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</si>
  <si>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</si>
  <si>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</si>
  <si>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</si>
  <si>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</si>
  <si>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</si>
  <si>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</si>
  <si>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</si>
  <si>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</si>
  <si>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</si>
  <si>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</si>
  <si>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</si>
  <si>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</si>
  <si>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</si>
  <si>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</si>
  <si>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</si>
  <si>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</si>
  <si>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</si>
  <si>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</si>
  <si>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</si>
  <si>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</si>
  <si>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</si>
  <si>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</si>
  <si>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</si>
  <si>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</si>
  <si>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</si>
  <si>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</si>
  <si>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</si>
  <si>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</si>
  <si>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</si>
  <si>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</si>
  <si>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</si>
  <si>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</si>
  <si>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</si>
  <si>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</si>
  <si>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</si>
  <si>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</si>
  <si>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</si>
  <si>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</si>
  <si>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</si>
  <si>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</si>
  <si>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</si>
  <si>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</si>
  <si>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</si>
  <si>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</si>
  <si>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</si>
  <si>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</si>
  <si>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</si>
  <si>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</si>
  <si>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</si>
  <si>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</si>
  <si>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</si>
  <si>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</si>
  <si>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</si>
  <si>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</si>
  <si>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</si>
  <si>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</si>
  <si>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</si>
  <si>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</si>
  <si>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</si>
  <si>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</si>
  <si>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</si>
  <si>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</si>
  <si>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</si>
  <si>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</si>
  <si>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</si>
  <si>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</si>
  <si>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</si>
  <si>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</si>
  <si>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</si>
  <si>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</si>
  <si>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</si>
  <si>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</si>
  <si>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</si>
  <si>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</si>
  <si>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</si>
  <si>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</si>
  <si>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</si>
  <si>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</si>
  <si>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</si>
  <si>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</si>
  <si>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</si>
  <si>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</si>
  <si>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</si>
  <si>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</si>
  <si>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</si>
  <si>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</si>
  <si>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</si>
  <si>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</si>
  <si>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</si>
  <si>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</si>
  <si>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</si>
  <si>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</si>
  <si>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</si>
  <si>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</si>
  <si>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</si>
  <si>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</si>
  <si>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</si>
  <si>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</si>
  <si>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</si>
  <si>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</si>
  <si>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</si>
  <si>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</si>
  <si>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</si>
  <si>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</si>
  <si>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</si>
  <si>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</si>
  <si>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</si>
  <si>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</si>
  <si>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</si>
  <si>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</si>
  <si>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</si>
  <si>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</si>
  <si>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</si>
  <si>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</si>
  <si>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</si>
  <si>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</si>
  <si>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</si>
  <si>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</si>
  <si>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</si>
  <si>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</si>
  <si>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</si>
  <si>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</si>
  <si>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</si>
  <si>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</si>
  <si>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</si>
  <si>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</si>
  <si>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</si>
  <si>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</si>
  <si>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</si>
  <si>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</si>
  <si>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</si>
  <si>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</si>
  <si>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</si>
  <si>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</si>
  <si>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</si>
  <si>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</si>
  <si>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</si>
  <si>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</si>
  <si>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</si>
  <si>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</si>
  <si>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</si>
  <si>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</si>
  <si>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</si>
  <si>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</si>
  <si>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</si>
  <si>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</si>
  <si>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</si>
  <si>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</si>
  <si>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</si>
  <si>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</si>
  <si>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</si>
  <si>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</si>
  <si>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</si>
  <si>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</si>
  <si>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</si>
  <si>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</si>
  <si>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</si>
  <si>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</si>
  <si>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</si>
  <si>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</si>
  <si>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</si>
  <si>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</si>
  <si>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</si>
  <si>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</si>
  <si>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</si>
  <si>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</si>
  <si>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</si>
  <si>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</si>
  <si>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</si>
  <si>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</si>
  <si>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</si>
  <si>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</si>
  <si>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</si>
  <si>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</si>
  <si>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</si>
  <si>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</si>
  <si>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</si>
  <si>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</si>
  <si>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</si>
  <si>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</si>
  <si>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</si>
  <si>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</si>
  <si>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</si>
  <si>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</si>
  <si>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</si>
  <si>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</si>
  <si>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</si>
  <si>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</si>
  <si>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</si>
  <si>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</si>
  <si>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</si>
  <si>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</si>
  <si>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</si>
  <si>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</si>
  <si>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</si>
  <si>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</si>
  <si>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</si>
  <si>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</si>
  <si>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</si>
  <si>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</si>
  <si>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</si>
  <si>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</si>
  <si>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</si>
  <si>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</si>
  <si>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</si>
  <si>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</si>
  <si>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</si>
  <si>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</si>
  <si>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</si>
  <si>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</si>
  <si>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</si>
  <si>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</si>
  <si>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</si>
  <si>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</si>
  <si>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</si>
  <si>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</si>
  <si>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</si>
  <si>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</si>
  <si>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</si>
  <si>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</si>
  <si>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</si>
  <si>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</si>
  <si>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</si>
  <si>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</si>
  <si>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</si>
  <si>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</si>
  <si>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</si>
  <si>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</si>
  <si>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</si>
  <si>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</si>
  <si>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</si>
  <si>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</si>
  <si>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</si>
  <si>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</si>
  <si>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</si>
  <si>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</si>
  <si>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</si>
  <si>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</si>
  <si>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</si>
  <si>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</si>
  <si>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</si>
  <si>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</si>
  <si>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</si>
  <si>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</si>
  <si>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</si>
  <si>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</si>
  <si>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</si>
  <si>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</si>
  <si>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</si>
  <si>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</si>
  <si>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</si>
  <si>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</si>
  <si>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</si>
  <si>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</si>
  <si>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</si>
  <si>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</si>
  <si>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</si>
  <si>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</si>
  <si>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</si>
  <si>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</si>
  <si>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</si>
  <si>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</si>
  <si>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</si>
  <si>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</si>
  <si>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</si>
  <si>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</si>
  <si>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</si>
  <si>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</si>
  <si>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</si>
  <si>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</si>
  <si>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</si>
  <si>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</si>
  <si>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</si>
  <si>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</si>
  <si>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</si>
  <si>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</si>
  <si>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</si>
  <si>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</si>
  <si>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</si>
  <si>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</si>
  <si>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</si>
  <si>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</si>
  <si>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</si>
  <si>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</si>
  <si>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</si>
  <si>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</si>
  <si>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</si>
  <si>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</si>
  <si>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</si>
  <si>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</si>
  <si>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</si>
  <si>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</si>
  <si>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</si>
  <si>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</si>
  <si>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</si>
  <si>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</si>
  <si>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</si>
  <si>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</si>
  <si>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</si>
  <si>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</si>
  <si>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</si>
  <si>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</si>
  <si>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</si>
  <si>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</si>
  <si>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</si>
  <si>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</si>
  <si>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</si>
  <si>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</si>
  <si>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</si>
  <si>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</si>
  <si>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</si>
  <si>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</si>
  <si>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</si>
  <si>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</si>
  <si>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</si>
  <si>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</si>
  <si>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</si>
  <si>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</si>
  <si>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</si>
  <si>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</si>
  <si>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</si>
  <si>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</si>
  <si>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</si>
  <si>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</si>
  <si>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</si>
  <si>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</si>
  <si>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</si>
  <si>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</si>
  <si>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</si>
  <si>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</si>
  <si>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</si>
  <si>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</si>
  <si>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</si>
  <si>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</si>
  <si>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</si>
  <si>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</si>
  <si>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</si>
  <si>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</si>
  <si>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</si>
  <si>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</si>
  <si>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</si>
  <si>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</si>
  <si>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</si>
  <si>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</si>
  <si>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</si>
  <si>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</si>
  <si>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</si>
  <si>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</si>
  <si>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</si>
  <si>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</si>
  <si>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</si>
  <si>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</si>
  <si>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</si>
  <si>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</si>
  <si>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</si>
  <si>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</si>
  <si>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</si>
  <si>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</si>
  <si>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</si>
  <si>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</si>
  <si>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</si>
  <si>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</si>
  <si>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</si>
  <si>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</si>
  <si>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</si>
  <si>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</si>
  <si>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</si>
  <si>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</si>
  <si>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</si>
  <si>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</si>
  <si>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</si>
  <si>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</si>
  <si>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</si>
  <si>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</si>
  <si>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</si>
  <si>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</si>
  <si>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</si>
  <si>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</si>
  <si>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</si>
  <si>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</si>
  <si>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</si>
  <si>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</si>
  <si>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</si>
  <si>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</si>
  <si>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</si>
  <si>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</si>
  <si>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</si>
  <si>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</si>
  <si>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</si>
  <si>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</si>
  <si>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</si>
  <si>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</si>
  <si>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</si>
  <si>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</si>
  <si>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</si>
  <si>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</si>
  <si>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</si>
  <si>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</si>
  <si>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</si>
  <si>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</si>
  <si>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</si>
  <si>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</si>
  <si>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</si>
  <si>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</si>
  <si>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</si>
  <si>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</si>
  <si>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</si>
  <si>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</si>
  <si>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</si>
  <si>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</si>
  <si>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</si>
  <si>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</si>
  <si>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</si>
  <si>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</si>
  <si>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</si>
  <si>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</si>
  <si>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</si>
  <si>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</si>
  <si>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</si>
  <si>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</si>
  <si>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</si>
  <si>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</si>
  <si>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</si>
  <si>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</si>
  <si>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</si>
  <si>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</si>
  <si>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</si>
  <si>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</si>
  <si>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</si>
  <si>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</si>
  <si>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</si>
  <si>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</si>
  <si>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</si>
  <si>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</si>
  <si>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</si>
  <si>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</si>
  <si>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</si>
  <si>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</si>
  <si>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</si>
  <si>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</si>
  <si>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</si>
  <si>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</si>
  <si>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</si>
  <si>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</si>
  <si>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</si>
  <si>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</si>
  <si>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</si>
  <si>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</si>
  <si>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</si>
  <si>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</si>
  <si>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</si>
  <si>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</si>
  <si>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</si>
  <si>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</si>
  <si>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</si>
  <si>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</si>
  <si>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</si>
  <si>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</si>
  <si>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</si>
  <si>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</si>
  <si>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</si>
  <si>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</si>
  <si>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</si>
  <si>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</si>
  <si>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</si>
  <si>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</si>
  <si>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</si>
  <si>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</si>
  <si>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</si>
  <si>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</si>
  <si>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</si>
  <si>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</si>
  <si>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</si>
  <si>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</si>
  <si>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</si>
  <si>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</si>
  <si>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</si>
  <si>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</si>
  <si>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</si>
  <si>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</si>
  <si>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</si>
  <si>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</si>
  <si>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</si>
  <si>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</si>
  <si>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</si>
  <si>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</si>
  <si>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</si>
  <si>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</si>
  <si>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</si>
  <si>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</si>
  <si>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</si>
  <si>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</si>
  <si>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</si>
  <si>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</si>
  <si>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</si>
  <si>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</si>
  <si>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</si>
  <si>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</si>
  <si>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</si>
  <si>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</si>
  <si>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</si>
  <si>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</si>
  <si>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</si>
  <si>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</si>
  <si>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</si>
  <si>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</si>
  <si>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</si>
  <si>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</si>
  <si>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</si>
  <si>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</si>
  <si>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</si>
  <si>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</si>
  <si>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</si>
  <si>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</si>
  <si>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</si>
  <si>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</si>
  <si>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</si>
  <si>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</si>
  <si>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</si>
  <si>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</si>
  <si>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</si>
  <si>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</si>
  <si>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</si>
  <si>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</si>
  <si>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</si>
  <si>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</si>
  <si>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</si>
  <si>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</si>
  <si>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</si>
  <si>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</si>
  <si>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</si>
  <si>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</si>
  <si>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</si>
  <si>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</si>
  <si>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</si>
  <si>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</si>
  <si>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</si>
  <si>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</si>
  <si>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</si>
  <si>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</si>
  <si>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</si>
  <si>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</si>
  <si>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</si>
  <si>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</si>
  <si>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</si>
  <si>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</si>
  <si>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</si>
  <si>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</si>
  <si>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</si>
  <si>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</si>
  <si>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</si>
  <si>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</si>
  <si>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</si>
  <si>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</si>
  <si>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</si>
  <si>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</si>
  <si>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</si>
  <si>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</si>
  <si>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</si>
  <si>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</si>
  <si>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</si>
  <si>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</si>
  <si>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</si>
  <si>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</si>
  <si>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</si>
  <si>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</si>
  <si>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</si>
  <si>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</si>
  <si>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</si>
  <si>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</si>
  <si>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</si>
  <si>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</si>
  <si>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</si>
  <si>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</si>
  <si>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</si>
  <si>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</si>
  <si>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</si>
  <si>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</si>
  <si>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</si>
  <si>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</si>
  <si>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</si>
  <si>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</si>
  <si>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</si>
  <si>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</si>
  <si>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</si>
  <si>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</si>
  <si>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</si>
  <si>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</si>
  <si>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</si>
  <si>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</si>
  <si>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</si>
  <si>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</si>
  <si>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</si>
  <si>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</si>
  <si>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</si>
  <si>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</si>
  <si>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</si>
  <si>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</si>
  <si>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</si>
  <si>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</si>
  <si>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</si>
  <si>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</si>
  <si>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</si>
  <si>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</si>
  <si>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</si>
  <si>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</si>
  <si>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</si>
  <si>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</si>
  <si>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</si>
  <si>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</si>
  <si>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</si>
  <si>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</si>
  <si>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</si>
  <si>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</si>
  <si>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</si>
  <si>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</si>
  <si>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</si>
  <si>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</si>
  <si>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</si>
  <si>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</si>
  <si>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</si>
  <si>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</si>
  <si>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</si>
  <si>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</si>
  <si>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</si>
  <si>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</si>
  <si>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</si>
  <si>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</si>
  <si>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</si>
  <si>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</si>
  <si>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</si>
  <si>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</si>
  <si>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</si>
  <si>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</si>
  <si>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</si>
  <si>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</si>
  <si>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</si>
  <si>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</si>
  <si>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</si>
  <si>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</si>
  <si>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</si>
  <si>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</si>
  <si>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</si>
  <si>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</si>
  <si>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</si>
  <si>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</si>
  <si>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</si>
  <si>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</si>
  <si>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</si>
  <si>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</si>
  <si>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</si>
  <si>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</si>
  <si>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</si>
  <si>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</si>
  <si>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</si>
  <si>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</si>
  <si>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</si>
  <si>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</si>
  <si>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</si>
  <si>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</si>
  <si>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</si>
  <si>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</si>
  <si>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</si>
  <si>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</si>
  <si>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</si>
  <si>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</si>
  <si>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</si>
  <si>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</si>
  <si>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</si>
  <si>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</si>
  <si>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</si>
  <si>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</si>
  <si>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</si>
  <si>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</si>
  <si>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</si>
  <si>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</si>
  <si>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</si>
  <si>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</si>
  <si>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</si>
  <si>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</si>
  <si>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</si>
  <si>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</si>
  <si>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</si>
  <si>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</si>
  <si>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</si>
  <si>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</si>
  <si>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</si>
  <si>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</si>
  <si>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</si>
  <si>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</si>
  <si>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</si>
  <si>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</si>
  <si>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</si>
  <si>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</si>
  <si>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</si>
  <si>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</si>
  <si>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</si>
  <si>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</si>
  <si>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</si>
  <si>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</si>
  <si>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</si>
  <si>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</si>
  <si>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</si>
  <si>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</si>
  <si>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</si>
  <si>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</si>
  <si>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</si>
  <si>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</si>
  <si>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</si>
  <si>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</si>
  <si>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</si>
  <si>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</si>
  <si>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</si>
  <si>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</si>
  <si>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</si>
  <si>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</si>
  <si>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</si>
  <si>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</si>
  <si>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</si>
  <si>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</si>
  <si>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</si>
  <si>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</si>
  <si>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</si>
  <si>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</si>
  <si>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</si>
  <si>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</si>
  <si>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</si>
  <si>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</si>
  <si>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</si>
  <si>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</si>
  <si>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</si>
  <si>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</si>
  <si>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</si>
  <si>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</si>
  <si>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</si>
  <si>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</si>
  <si>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</si>
  <si>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</si>
  <si>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</si>
  <si>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</si>
  <si>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</si>
  <si>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</si>
  <si>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</si>
  <si>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</si>
  <si>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</si>
  <si>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</si>
  <si>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</si>
  <si>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</si>
  <si>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</si>
  <si>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</si>
  <si>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</si>
  <si>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</si>
  <si>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</si>
  <si>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</si>
  <si>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</si>
  <si>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</si>
  <si>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</si>
  <si>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</si>
  <si>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</si>
  <si>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</si>
  <si>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</si>
  <si>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</si>
  <si>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</si>
  <si>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</si>
  <si>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</si>
  <si>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</si>
  <si>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</si>
  <si>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</si>
  <si>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</si>
  <si>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</si>
  <si>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</si>
  <si>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</si>
  <si>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</si>
  <si>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</si>
  <si>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</si>
  <si>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</si>
  <si>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</si>
  <si>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</si>
  <si>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</si>
  <si>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</si>
  <si>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</si>
  <si>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</si>
  <si>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</si>
  <si>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</si>
  <si>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</si>
  <si>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</si>
  <si>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</si>
  <si>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</si>
  <si>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</si>
  <si>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</si>
  <si>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</si>
  <si>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</si>
  <si>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</si>
  <si>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</si>
  <si>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</si>
  <si>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</si>
  <si>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</si>
  <si>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</si>
  <si>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</si>
  <si>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</si>
  <si>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</si>
  <si>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</si>
  <si>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</si>
  <si>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</si>
  <si>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</si>
  <si>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</si>
  <si>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</si>
  <si>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</si>
  <si>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</si>
  <si>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</si>
  <si>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</si>
  <si>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</si>
  <si>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</si>
  <si>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</si>
  <si>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</si>
  <si>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</si>
  <si>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</si>
  <si>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</si>
  <si>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</si>
  <si>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</si>
  <si>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</si>
  <si>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</si>
  <si>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</si>
  <si>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</si>
  <si>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</si>
  <si>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</si>
  <si>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</si>
  <si>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</si>
  <si>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</si>
  <si>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</si>
  <si>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</si>
  <si>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</si>
  <si>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</si>
  <si>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</si>
  <si>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</si>
  <si>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</si>
  <si>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</si>
  <si>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</si>
  <si>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</si>
  <si>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</si>
  <si>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</si>
  <si>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</si>
  <si>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</si>
  <si>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</si>
  <si>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</si>
  <si>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</si>
  <si>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</si>
  <si>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</si>
  <si>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</si>
  <si>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</si>
  <si>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</si>
  <si>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</si>
  <si>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</si>
  <si>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</si>
  <si>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</si>
  <si>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</si>
  <si>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</si>
  <si>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</si>
  <si>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</si>
  <si>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</si>
  <si>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</si>
  <si>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</si>
  <si>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</si>
  <si>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</si>
  <si>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</si>
  <si>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</si>
  <si>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</si>
  <si>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</si>
  <si>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</si>
  <si>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</si>
  <si>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</si>
  <si>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</si>
  <si>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</si>
  <si>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</si>
  <si>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</si>
  <si>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</si>
  <si>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</si>
  <si>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</si>
  <si>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</si>
  <si>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</si>
  <si>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</si>
  <si>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</si>
  <si>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</si>
  <si>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</si>
  <si>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</si>
  <si>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</si>
  <si>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</si>
  <si>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</si>
  <si>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</si>
  <si>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</si>
  <si>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</si>
  <si>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</si>
  <si>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</si>
  <si>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</si>
  <si>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</si>
  <si>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</si>
  <si>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</si>
  <si>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</si>
  <si>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</si>
  <si>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</si>
  <si>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</si>
  <si>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</si>
  <si>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</si>
  <si>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</si>
  <si>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</si>
  <si>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</si>
  <si>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</si>
  <si>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</si>
  <si>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</si>
  <si>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</si>
  <si>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</si>
  <si>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</si>
  <si>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</si>
  <si>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</si>
  <si>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</si>
  <si>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</si>
  <si>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</si>
  <si>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</si>
  <si>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</si>
  <si>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</si>
  <si>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</si>
  <si>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</si>
  <si>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</si>
  <si>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</si>
  <si>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</si>
  <si>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</si>
  <si>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</si>
  <si>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</si>
  <si>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</si>
  <si>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</si>
  <si>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</si>
  <si>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</si>
  <si>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</si>
  <si>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</si>
  <si>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</si>
  <si>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</si>
  <si>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</si>
  <si>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</si>
  <si>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</si>
  <si>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</si>
  <si>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</si>
  <si>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</si>
  <si>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</si>
  <si>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</si>
  <si>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</si>
  <si>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</si>
  <si>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</si>
  <si>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</si>
  <si>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</si>
  <si>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</si>
  <si>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</si>
  <si>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</si>
  <si>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</si>
  <si>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</si>
  <si>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</si>
  <si>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</si>
  <si>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</si>
  <si>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</si>
  <si>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</si>
  <si>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</si>
  <si>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</si>
  <si>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</si>
  <si>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</si>
  <si>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</si>
  <si>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</si>
  <si>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</si>
  <si>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</si>
  <si>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</si>
  <si>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</si>
  <si>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</si>
  <si>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</si>
  <si>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</si>
  <si>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</si>
  <si>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</si>
  <si>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</si>
  <si>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</si>
  <si>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</si>
  <si>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</si>
  <si>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</si>
  <si>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</si>
  <si>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</si>
  <si>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</si>
  <si>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</si>
  <si>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</si>
  <si>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</si>
  <si>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</si>
  <si>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</si>
  <si>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</si>
  <si>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</si>
  <si>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</si>
  <si>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</si>
  <si>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</si>
  <si>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</si>
  <si>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</si>
  <si>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</si>
  <si>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</si>
  <si>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</si>
  <si>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</si>
  <si>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</si>
  <si>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</si>
  <si>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</si>
  <si>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</si>
  <si>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</si>
  <si>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</si>
  <si>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</si>
  <si>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</si>
  <si>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</si>
  <si>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</si>
  <si>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</si>
  <si>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</si>
  <si>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</si>
  <si>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</si>
  <si>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</si>
  <si>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</si>
  <si>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</si>
  <si>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</si>
  <si>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</si>
  <si>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</si>
  <si>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</si>
  <si>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</si>
  <si>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</si>
  <si>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</si>
  <si>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</si>
  <si>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</si>
  <si>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</si>
  <si>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</si>
  <si>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</si>
  <si>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</si>
  <si>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</si>
  <si>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</si>
  <si>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</si>
  <si>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</si>
  <si>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</si>
  <si>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</si>
  <si>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</si>
  <si>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</si>
  <si>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</si>
  <si>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</si>
  <si>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</si>
  <si>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</si>
  <si>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</si>
  <si>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</si>
  <si>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</si>
  <si>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</si>
  <si>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</si>
  <si>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</si>
  <si>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</si>
  <si>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</si>
  <si>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</si>
  <si>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</si>
  <si>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</si>
  <si>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</si>
  <si>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</si>
  <si>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</si>
  <si>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</si>
  <si>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</si>
  <si>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</si>
  <si>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</si>
  <si>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</si>
  <si>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</si>
  <si>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</si>
  <si>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</si>
  <si>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</si>
  <si>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</si>
  <si>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</si>
  <si>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</si>
  <si>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</si>
  <si>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</si>
  <si>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</si>
  <si>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</si>
  <si>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</si>
  <si>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</si>
  <si>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</si>
  <si>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</si>
  <si>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</si>
  <si>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</si>
  <si>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</si>
  <si>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</si>
  <si>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</si>
  <si>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</si>
  <si>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</si>
  <si>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</si>
  <si>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</si>
  <si>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</si>
  <si>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</si>
  <si>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</si>
  <si>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</si>
  <si>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</si>
  <si>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</si>
  <si>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</si>
  <si>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</si>
  <si>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</si>
  <si>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</si>
  <si>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</si>
  <si>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</si>
  <si>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</si>
  <si>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</si>
  <si>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</si>
  <si>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</si>
  <si>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</si>
  <si>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</si>
  <si>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</si>
  <si>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</si>
  <si>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</si>
  <si>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</si>
  <si>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</si>
  <si>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</si>
  <si>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</si>
  <si>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</si>
  <si>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</si>
  <si>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</si>
  <si>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</si>
  <si>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</si>
  <si>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</si>
  <si>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</si>
  <si>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</si>
  <si>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</si>
  <si>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</si>
  <si>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</si>
  <si>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</si>
  <si>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</si>
  <si>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</si>
  <si>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</si>
  <si>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</si>
  <si>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</si>
  <si>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</si>
  <si>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</si>
  <si>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</si>
  <si>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</si>
  <si>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</si>
  <si>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</si>
  <si>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</si>
  <si>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</si>
  <si>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</si>
  <si>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</si>
  <si>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</si>
  <si>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</si>
  <si>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</si>
  <si>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</si>
  <si>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</si>
  <si>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</si>
  <si>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</si>
  <si>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</si>
  <si>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</si>
  <si>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</si>
  <si>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</si>
  <si>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</si>
  <si>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</si>
  <si>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</si>
  <si>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</si>
  <si>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</si>
  <si>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</si>
  <si>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</si>
  <si>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</si>
  <si>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</si>
  <si>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</si>
  <si>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</si>
  <si>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</si>
  <si>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</si>
  <si>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</si>
  <si>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</si>
  <si>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</si>
  <si>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</si>
  <si>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</si>
  <si>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</si>
  <si>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</si>
  <si>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</si>
  <si>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</si>
  <si>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</si>
  <si>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</si>
  <si>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</si>
  <si>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</si>
  <si>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</si>
  <si>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</si>
  <si>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</si>
  <si>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</si>
  <si>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</si>
  <si>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</si>
  <si>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</si>
  <si>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</si>
  <si>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</si>
  <si>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</si>
  <si>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</si>
  <si>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</si>
  <si>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</si>
  <si>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</si>
  <si>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</si>
  <si>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</si>
  <si>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</si>
  <si>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</si>
  <si>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</si>
  <si>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</si>
  <si>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</si>
  <si>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</si>
  <si>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</si>
  <si>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</si>
  <si>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</si>
  <si>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</si>
  <si>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</si>
  <si>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</si>
  <si>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</si>
  <si>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</si>
  <si>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</si>
  <si>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</si>
  <si>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</si>
  <si>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</si>
  <si>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</si>
  <si>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</si>
  <si>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</si>
  <si>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</si>
  <si>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</si>
  <si>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</si>
  <si>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</si>
  <si>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</si>
  <si>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</si>
  <si>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</si>
  <si>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</si>
  <si>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</si>
  <si>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</si>
  <si>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</si>
  <si>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</si>
  <si>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</si>
  <si>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</si>
  <si>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</si>
  <si>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</si>
  <si>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</si>
  <si>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</si>
  <si>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</si>
  <si>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</si>
  <si>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</si>
  <si>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</si>
  <si>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</si>
  <si>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</si>
  <si>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</si>
  <si>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</si>
  <si>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</si>
  <si>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</si>
  <si>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</si>
  <si>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</si>
  <si>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</si>
  <si>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</si>
  <si>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</si>
  <si>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</si>
  <si>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</si>
  <si>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</si>
  <si>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</si>
  <si>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</si>
  <si>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</si>
  <si>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</si>
  <si>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</si>
  <si>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</si>
  <si>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</si>
  <si>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</si>
  <si>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</si>
  <si>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</si>
  <si>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</si>
  <si>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</si>
  <si>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</si>
  <si>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</si>
  <si>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</si>
  <si>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</si>
  <si>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</si>
  <si>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</si>
  <si>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</si>
  <si>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</si>
  <si>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</si>
  <si>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</si>
  <si>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</si>
  <si>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</si>
  <si>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</si>
  <si>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</si>
  <si>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</si>
  <si>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</si>
  <si>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</si>
  <si>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</si>
  <si>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</si>
  <si>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</si>
  <si>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</si>
  <si>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</si>
  <si>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</si>
  <si>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</si>
  <si>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</si>
  <si>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</si>
  <si>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</si>
  <si>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</si>
  <si>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</si>
  <si>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</si>
  <si>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</si>
  <si>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</si>
  <si>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</si>
  <si>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</si>
  <si>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</si>
  <si>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</si>
  <si>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</si>
  <si>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</si>
  <si>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</si>
  <si>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</si>
  <si>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</si>
  <si>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</si>
  <si>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</si>
  <si>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</si>
  <si>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</si>
  <si>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</si>
  <si>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</si>
  <si>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</si>
  <si>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</si>
  <si>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</si>
  <si>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</si>
  <si>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</si>
  <si>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</si>
  <si>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</si>
  <si>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</si>
  <si>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</si>
  <si>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</si>
  <si>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</si>
  <si>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</si>
  <si>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</si>
  <si>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</si>
  <si>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</si>
  <si>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</si>
  <si>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</si>
  <si>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</si>
  <si>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</si>
  <si>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</si>
  <si>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</si>
  <si>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</si>
  <si>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</si>
  <si>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</si>
  <si>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</si>
  <si>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</si>
  <si>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</si>
  <si>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</si>
  <si>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</si>
  <si>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</si>
  <si>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</si>
  <si>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</si>
  <si>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</si>
  <si>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</si>
  <si>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</si>
  <si>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</si>
  <si>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</si>
  <si>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</si>
  <si>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</si>
  <si>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</si>
  <si>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</si>
  <si>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</si>
  <si>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</si>
  <si>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</si>
  <si>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</si>
  <si>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</si>
  <si>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</si>
  <si>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</si>
  <si>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</si>
  <si>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</si>
  <si>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</si>
  <si>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</si>
  <si>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</si>
  <si>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</si>
  <si>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</si>
  <si>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</si>
  <si>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</si>
  <si>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</si>
  <si>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</si>
  <si>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</si>
  <si>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</si>
  <si>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</si>
  <si>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</si>
  <si>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</si>
  <si>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</si>
  <si>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</si>
  <si>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</si>
  <si>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</si>
  <si>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</si>
  <si>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</si>
  <si>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</si>
  <si>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</si>
  <si>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</si>
  <si>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</si>
  <si>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</si>
  <si>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</si>
  <si>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</si>
  <si>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</si>
  <si>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</si>
  <si>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</si>
  <si>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</si>
  <si>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</si>
  <si>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</si>
  <si>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</si>
  <si>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</si>
  <si>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</si>
  <si>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</si>
  <si>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</si>
  <si>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</si>
  <si>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</si>
  <si>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</si>
  <si>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</si>
  <si>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</si>
  <si>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</si>
  <si>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</si>
  <si>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</si>
  <si>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</si>
  <si>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</si>
  <si>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</si>
  <si>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</si>
  <si>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</si>
  <si>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</si>
  <si>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</si>
  <si>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</si>
  <si>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</si>
  <si>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</si>
  <si>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</si>
  <si>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</si>
  <si>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</si>
  <si>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</si>
  <si>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</si>
  <si>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</si>
  <si>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</si>
  <si>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</si>
  <si>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</si>
  <si>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</si>
  <si>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</si>
  <si>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</si>
  <si>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</si>
  <si>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</si>
  <si>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</si>
  <si>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</si>
  <si>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</si>
  <si>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</si>
  <si>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</si>
  <si>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</si>
  <si>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</si>
  <si>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</si>
  <si>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</si>
  <si>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</si>
  <si>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</si>
  <si>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</si>
  <si>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</si>
  <si>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</si>
  <si>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</si>
  <si>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</si>
  <si>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</si>
  <si>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</si>
  <si>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</si>
  <si>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</si>
  <si>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</si>
  <si>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</si>
  <si>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</si>
  <si>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</si>
  <si>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</si>
  <si>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</si>
  <si>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</si>
  <si>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</si>
  <si>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</si>
  <si>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</si>
  <si>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</si>
  <si>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</si>
  <si>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</si>
  <si>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</si>
  <si>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</si>
  <si>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</si>
  <si>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</si>
  <si>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</si>
  <si>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</si>
  <si>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</si>
  <si>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</si>
  <si>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</si>
  <si>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</si>
  <si>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</si>
  <si>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</si>
  <si>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</si>
  <si>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</si>
  <si>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</si>
  <si>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</si>
  <si>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</si>
  <si>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</si>
  <si>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</si>
  <si>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</si>
  <si>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</si>
  <si>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</si>
  <si>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</si>
  <si>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</si>
  <si>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</si>
  <si>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</si>
  <si>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</si>
  <si>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</si>
  <si>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</si>
  <si>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</si>
  <si>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</si>
  <si>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</si>
  <si>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</si>
  <si>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</si>
  <si>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</si>
  <si>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</si>
  <si>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</si>
  <si>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</si>
  <si>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</si>
  <si>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</si>
  <si>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</si>
  <si>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</si>
  <si>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</si>
  <si>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</si>
  <si>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</si>
  <si>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</si>
  <si>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</si>
  <si>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</si>
  <si>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</si>
  <si>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</si>
  <si>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</si>
  <si>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</si>
  <si>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</si>
  <si>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</si>
  <si>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</si>
  <si>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</si>
  <si>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</si>
  <si>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</si>
  <si>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</si>
  <si>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</si>
  <si>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</si>
  <si>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</si>
  <si>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</si>
  <si>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</si>
  <si>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</si>
  <si>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</si>
  <si>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</si>
  <si>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</si>
  <si>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</si>
  <si>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</si>
  <si>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</si>
  <si>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</si>
  <si>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</si>
  <si>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</si>
  <si>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</si>
  <si>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</si>
  <si>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</si>
  <si>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</si>
  <si>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</si>
  <si>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</si>
  <si>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</si>
  <si>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</si>
  <si>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</si>
  <si>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</si>
  <si>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</si>
  <si>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</si>
  <si>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</si>
  <si>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</si>
  <si>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</si>
  <si>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</si>
  <si>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</si>
  <si>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</si>
  <si>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</si>
  <si>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</si>
  <si>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</si>
  <si>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</si>
  <si>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</si>
  <si>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</si>
  <si>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</si>
  <si>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</si>
  <si>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</si>
  <si>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</si>
  <si>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</si>
  <si>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</si>
  <si>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</si>
  <si>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</si>
  <si>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</si>
  <si>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</si>
  <si>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</si>
  <si>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</si>
  <si>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</si>
  <si>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</si>
  <si>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</si>
  <si>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</si>
  <si>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</si>
  <si>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</si>
  <si>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</si>
  <si>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</si>
  <si>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</si>
  <si>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</si>
  <si>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</si>
  <si>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</si>
  <si>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</si>
  <si>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</si>
  <si>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</si>
  <si>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</si>
  <si>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</si>
  <si>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</si>
  <si>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</si>
  <si>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</si>
  <si>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</si>
  <si>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</si>
  <si>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</si>
  <si>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</si>
  <si>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</si>
  <si>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</si>
  <si>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</si>
  <si>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</si>
  <si>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</si>
  <si>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</si>
  <si>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</si>
  <si>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</si>
  <si>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</si>
  <si>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</si>
  <si>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</si>
  <si>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</si>
  <si>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</si>
  <si>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</si>
  <si>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</si>
  <si>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</si>
  <si>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</si>
  <si>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</si>
  <si>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</si>
  <si>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</si>
  <si>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</si>
  <si>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</si>
  <si>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</si>
  <si>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</si>
  <si>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</si>
  <si>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</si>
  <si>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</si>
  <si>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</si>
  <si>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</si>
  <si>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</si>
  <si>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</si>
  <si>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</si>
  <si>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</si>
  <si>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</si>
  <si>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</si>
  <si>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</si>
  <si>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</si>
  <si>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</si>
  <si>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</si>
  <si>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</si>
  <si>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</si>
  <si>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</si>
  <si>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</si>
  <si>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</si>
  <si>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</si>
  <si>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</si>
  <si>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</si>
  <si>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</si>
  <si>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</si>
  <si>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</si>
  <si>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</si>
  <si>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</si>
  <si>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</si>
  <si>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</si>
  <si>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</si>
  <si>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</si>
  <si>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</si>
  <si>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</si>
  <si>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</si>
  <si>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</si>
  <si>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</si>
  <si>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</si>
  <si>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</si>
  <si>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</si>
  <si>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</si>
  <si>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</si>
  <si>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</si>
  <si>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</si>
  <si>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</si>
  <si>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</si>
  <si>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</si>
  <si>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</si>
  <si>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</si>
  <si>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</si>
  <si>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</si>
  <si>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</si>
  <si>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</si>
  <si>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</si>
  <si>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</si>
  <si>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</si>
  <si>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</si>
  <si>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</si>
  <si>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</si>
  <si>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</si>
  <si>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</si>
  <si>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</si>
  <si>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</si>
  <si>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</si>
  <si>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</si>
  <si>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</si>
  <si>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</si>
  <si>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</si>
  <si>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</si>
  <si>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</si>
  <si>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</si>
  <si>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</si>
  <si>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</si>
  <si>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</si>
  <si>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</si>
  <si>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</si>
  <si>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</si>
  <si>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</si>
  <si>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</si>
  <si>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</si>
  <si>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</si>
  <si>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</si>
  <si>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</si>
  <si>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</si>
  <si>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</si>
  <si>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</si>
  <si>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</si>
  <si>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</si>
  <si>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</si>
  <si>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</si>
  <si>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</si>
  <si>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</si>
  <si>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</si>
  <si>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</si>
  <si>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</si>
  <si>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</si>
  <si>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</si>
  <si>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</si>
  <si>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</si>
  <si>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</si>
  <si>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</si>
  <si>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</si>
  <si>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</si>
  <si>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</si>
  <si>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</si>
  <si>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</si>
  <si>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</si>
  <si>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</si>
  <si>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</si>
  <si>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</si>
  <si>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</si>
  <si>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</si>
  <si>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</si>
  <si>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</si>
  <si>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</si>
  <si>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</si>
  <si>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</si>
  <si>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</si>
  <si>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</si>
  <si>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</si>
  <si>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</si>
  <si>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</si>
  <si>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</si>
  <si>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</si>
  <si>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</si>
  <si>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</si>
  <si>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</si>
  <si>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</si>
  <si>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</si>
  <si>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</si>
  <si>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</si>
  <si>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</si>
  <si>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</si>
  <si>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</si>
  <si>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</si>
  <si>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</si>
  <si>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</si>
  <si>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</si>
  <si>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</si>
  <si>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</si>
  <si>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</si>
  <si>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</si>
  <si>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</si>
  <si>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</si>
  <si>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</si>
  <si>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</si>
  <si>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</si>
  <si>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</si>
  <si>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</si>
  <si>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</si>
  <si>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</si>
  <si>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</si>
  <si>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</si>
  <si>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</si>
  <si>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</si>
  <si>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</si>
  <si>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</si>
  <si>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</si>
  <si>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</si>
  <si>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</si>
  <si>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</si>
  <si>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</si>
  <si>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</si>
  <si>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</si>
  <si>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</si>
  <si>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</si>
  <si>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</si>
  <si>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</si>
  <si>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</si>
  <si>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</si>
  <si>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</si>
  <si>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</si>
  <si>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</si>
  <si>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</si>
  <si>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</si>
  <si>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</si>
  <si>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</si>
  <si>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</si>
  <si>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</si>
  <si>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</si>
  <si>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</si>
  <si>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</si>
  <si>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</si>
  <si>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</si>
  <si>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</si>
  <si>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</si>
  <si>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</si>
  <si>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</si>
  <si>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</si>
  <si>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</si>
  <si>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</si>
  <si>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</si>
  <si>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</si>
  <si>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</si>
  <si>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</si>
  <si>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</si>
  <si>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</si>
  <si>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</si>
  <si>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</si>
  <si>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</si>
  <si>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</si>
  <si>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</si>
  <si>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</si>
  <si>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</si>
  <si>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</si>
  <si>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</si>
  <si>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</si>
  <si>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</si>
  <si>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</si>
  <si>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</si>
  <si>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</si>
  <si>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</si>
  <si>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</si>
  <si>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</si>
  <si>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</si>
  <si>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</si>
  <si>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</si>
  <si>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</si>
  <si>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</si>
  <si>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</si>
  <si>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</si>
  <si>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</si>
  <si>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</si>
  <si>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</si>
  <si>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</si>
  <si>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</si>
  <si>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</si>
  <si>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</si>
  <si>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</si>
  <si>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</si>
  <si>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</si>
  <si>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</si>
  <si>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</si>
  <si>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</si>
  <si>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</si>
  <si>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</si>
  <si>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</si>
  <si>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</si>
  <si>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</si>
  <si>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</si>
  <si>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</si>
  <si>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</si>
  <si>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</si>
  <si>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</si>
  <si>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</si>
  <si>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</si>
  <si>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</si>
  <si>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</si>
  <si>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</si>
  <si>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</si>
  <si>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</si>
  <si>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</si>
  <si>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</si>
  <si>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</si>
  <si>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</si>
  <si>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</si>
  <si>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</si>
  <si>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</si>
  <si>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</si>
  <si>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</si>
  <si>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</si>
  <si>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</si>
  <si>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</si>
  <si>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</si>
  <si>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</si>
  <si>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</si>
  <si>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</si>
  <si>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</si>
  <si>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</si>
  <si>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</si>
  <si>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</si>
  <si>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</si>
  <si>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</si>
  <si>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</si>
  <si>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</si>
  <si>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</si>
  <si>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</si>
  <si>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</si>
  <si>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</si>
  <si>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</si>
  <si>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</si>
  <si>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</si>
  <si>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</si>
  <si>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</si>
  <si>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</si>
  <si>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</si>
  <si>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</si>
  <si>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</si>
  <si>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</si>
  <si>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</si>
  <si>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</si>
  <si>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</si>
  <si>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</si>
  <si>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</si>
  <si>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</si>
  <si>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</si>
  <si>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</si>
  <si>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</si>
  <si>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</si>
  <si>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</si>
  <si>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</si>
  <si>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</si>
  <si>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</si>
  <si>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</si>
  <si>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</si>
  <si>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</si>
  <si>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</si>
  <si>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</si>
  <si>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</si>
  <si>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</si>
  <si>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</si>
  <si>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</si>
  <si>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</si>
  <si>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</si>
  <si>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</si>
  <si>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</si>
  <si>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</si>
  <si>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</si>
  <si>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</si>
  <si>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</si>
  <si>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</si>
  <si>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</si>
  <si>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</si>
  <si>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</si>
  <si>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</si>
  <si>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</si>
  <si>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</si>
  <si>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</si>
  <si>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</si>
  <si>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</si>
  <si>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</si>
  <si>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</si>
  <si>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</si>
  <si>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</si>
  <si>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</si>
  <si>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</si>
  <si>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</si>
  <si>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</si>
  <si>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</si>
  <si>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</si>
  <si>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</si>
  <si>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</si>
  <si>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</si>
  <si>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</si>
  <si>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</si>
  <si>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</si>
  <si>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</si>
  <si>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</si>
  <si>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</si>
  <si>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</si>
  <si>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</si>
  <si>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</si>
  <si>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</si>
  <si>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</si>
  <si>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</si>
  <si>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</si>
  <si>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</si>
  <si>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</si>
  <si>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</si>
  <si>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</si>
  <si>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</si>
  <si>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</si>
  <si>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</si>
  <si>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</si>
  <si>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</si>
  <si>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</si>
  <si>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</si>
  <si>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</si>
  <si>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</si>
  <si>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</si>
  <si>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</si>
  <si>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</si>
  <si>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</si>
  <si>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</si>
  <si>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</si>
  <si>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</si>
  <si>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</si>
  <si>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</si>
  <si>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</si>
  <si>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</si>
  <si>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</si>
  <si>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</si>
  <si>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</si>
  <si>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</si>
  <si>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</si>
  <si>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</si>
  <si>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</si>
  <si>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</si>
  <si>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</si>
  <si>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</si>
  <si>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</si>
  <si>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</si>
  <si>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</si>
  <si>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</si>
  <si>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</si>
  <si>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</si>
  <si>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</si>
  <si>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</si>
  <si>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</si>
  <si>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</si>
  <si>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</si>
  <si>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</si>
  <si>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</si>
  <si>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</si>
  <si>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</si>
  <si>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</si>
  <si>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</si>
  <si>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</si>
  <si>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</si>
  <si>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</si>
  <si>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</si>
  <si>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</si>
  <si>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</si>
  <si>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</si>
  <si>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</si>
  <si>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</si>
  <si>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</si>
  <si>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</si>
  <si>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</si>
  <si>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</si>
  <si>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</si>
  <si>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</si>
  <si>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</si>
  <si>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</si>
  <si>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</si>
  <si>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</si>
  <si>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</si>
  <si>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</si>
  <si>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</si>
  <si>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</si>
  <si>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</si>
  <si>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</si>
  <si>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</si>
  <si>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</si>
  <si>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</si>
  <si>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</si>
  <si>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</si>
  <si>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</si>
  <si>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</si>
  <si>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</si>
  <si>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</si>
  <si>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</si>
  <si>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</si>
  <si>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</si>
  <si>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</si>
  <si>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</si>
  <si>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</si>
  <si>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</si>
  <si>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</si>
  <si>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</si>
  <si>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</si>
  <si>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</si>
  <si>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</si>
  <si>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</si>
  <si>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</si>
  <si>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</si>
  <si>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</si>
  <si>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</si>
  <si>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</si>
  <si>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</si>
  <si>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</si>
  <si>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</si>
  <si>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</si>
  <si>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</si>
  <si>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</si>
  <si>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</si>
  <si>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</si>
  <si>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</si>
  <si>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</si>
  <si>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</si>
  <si>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</si>
  <si>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</si>
  <si>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</si>
  <si>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</si>
  <si>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</si>
  <si>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</si>
  <si>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</si>
  <si>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</si>
  <si>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</si>
  <si>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</si>
  <si>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</si>
  <si>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</si>
  <si>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</si>
  <si>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</si>
  <si>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</si>
  <si>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</si>
  <si>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</si>
  <si>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</si>
  <si>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</si>
  <si>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</si>
  <si>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</si>
  <si>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</si>
  <si>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</si>
  <si>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</si>
  <si>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</si>
  <si>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</si>
  <si>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</si>
  <si>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</si>
  <si>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</si>
  <si>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</si>
  <si>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</si>
  <si>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</si>
  <si>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</si>
  <si>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</si>
  <si>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</si>
  <si>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</si>
  <si>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</si>
  <si>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</si>
  <si>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</si>
  <si>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</si>
  <si>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</si>
  <si>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</si>
  <si>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</si>
  <si>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</si>
  <si>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</si>
  <si>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</si>
  <si>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</si>
  <si>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</si>
  <si>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</si>
  <si>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</si>
  <si>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</si>
  <si>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</si>
  <si>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</si>
  <si>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</si>
  <si>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</si>
  <si>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</si>
  <si>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</si>
  <si>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</si>
  <si>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</si>
  <si>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</si>
  <si>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</si>
  <si>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</si>
  <si>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</si>
  <si>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</si>
  <si>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</si>
  <si>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</si>
  <si>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</si>
  <si>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</si>
  <si>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</si>
  <si>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</si>
  <si>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</si>
  <si>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</si>
  <si>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</si>
  <si>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</si>
  <si>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</si>
  <si>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</si>
  <si>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</si>
  <si>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</si>
  <si>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</si>
  <si>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</si>
  <si>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</si>
  <si>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</si>
  <si>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</si>
  <si>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</si>
  <si>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</si>
  <si>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</si>
  <si>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</si>
  <si>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</si>
  <si>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</si>
  <si>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</si>
  <si>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</si>
  <si>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</si>
  <si>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</si>
  <si>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</si>
  <si>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</si>
  <si>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</si>
  <si>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</si>
  <si>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</si>
  <si>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</si>
  <si>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</si>
  <si>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</si>
  <si>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</si>
  <si>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</si>
  <si>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</si>
  <si>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</si>
  <si>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</si>
  <si>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</si>
  <si>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</si>
  <si>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</si>
  <si>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</si>
  <si>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</si>
  <si>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</si>
  <si>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</si>
  <si>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</si>
  <si>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</si>
  <si>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</si>
  <si>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</si>
  <si>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</si>
  <si>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</si>
  <si>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</si>
  <si>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</si>
  <si>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</si>
  <si>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</si>
  <si>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</si>
  <si>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</si>
  <si>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</si>
  <si>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</si>
  <si>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</si>
  <si>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</si>
  <si>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</si>
  <si>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</si>
  <si>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</si>
  <si>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</si>
  <si>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</si>
  <si>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</si>
  <si>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</si>
  <si>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</si>
  <si>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</si>
  <si>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</si>
  <si>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</si>
  <si>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</si>
  <si>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</si>
  <si>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</si>
  <si>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</si>
  <si>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</si>
  <si>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</si>
  <si>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</si>
  <si>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</si>
  <si>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</si>
  <si>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</si>
  <si>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</si>
  <si>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</si>
  <si>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</si>
  <si>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</si>
  <si>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</si>
  <si>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</si>
  <si>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</si>
  <si>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</si>
  <si>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</si>
  <si>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</si>
  <si>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</si>
  <si>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</si>
  <si>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</si>
  <si>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</si>
  <si>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</si>
  <si>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</si>
  <si>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</si>
  <si>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</si>
  <si>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</si>
  <si>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</si>
  <si>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</si>
  <si>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</si>
  <si>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</si>
  <si>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</si>
  <si>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</si>
  <si>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</si>
  <si>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</si>
  <si>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</si>
  <si>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</si>
  <si>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</si>
  <si>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</si>
  <si>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</si>
  <si>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</si>
  <si>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</si>
  <si>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</si>
  <si>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</si>
  <si>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</si>
  <si>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</si>
  <si>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</si>
  <si>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</si>
  <si>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</si>
  <si>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</si>
  <si>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</si>
  <si>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</si>
  <si>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</si>
  <si>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</si>
  <si>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</si>
  <si>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</si>
  <si>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</si>
  <si>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</si>
  <si>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</si>
  <si>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</si>
  <si>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</si>
  <si>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</si>
  <si>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</si>
  <si>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</si>
  <si>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</si>
  <si>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</si>
  <si>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</si>
  <si>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</si>
  <si>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</si>
  <si>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</si>
  <si>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</si>
  <si>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</si>
  <si>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</si>
  <si>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</si>
  <si>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</si>
  <si>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</si>
  <si>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</si>
  <si>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</si>
  <si>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</si>
  <si>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</si>
  <si>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</si>
  <si>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</si>
  <si>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</si>
  <si>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</si>
  <si>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</si>
  <si>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</si>
  <si>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</si>
  <si>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</si>
  <si>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</si>
  <si>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</si>
  <si>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</si>
  <si>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</si>
  <si>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</si>
  <si>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</si>
  <si>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</si>
  <si>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</si>
  <si>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</si>
  <si>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</si>
  <si>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</si>
  <si>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</si>
  <si>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</si>
  <si>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</si>
  <si>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</si>
  <si>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</si>
  <si>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</si>
  <si>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</si>
  <si>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</si>
  <si>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</si>
  <si>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</si>
  <si>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</si>
  <si>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</si>
  <si>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</si>
  <si>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</si>
  <si>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</si>
  <si>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</si>
  <si>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</si>
  <si>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</si>
  <si>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</si>
  <si>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</si>
  <si>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</si>
  <si>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</si>
  <si>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</si>
  <si>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</si>
  <si>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</si>
  <si>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</si>
  <si>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</si>
  <si>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</si>
  <si>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</si>
  <si>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</si>
  <si>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</si>
  <si>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</si>
  <si>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</si>
  <si>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</si>
  <si>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</si>
  <si>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</si>
  <si>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</si>
  <si>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</si>
  <si>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</si>
  <si>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</si>
  <si>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</si>
  <si>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</si>
  <si>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</si>
  <si>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</si>
  <si>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</si>
  <si>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</si>
  <si>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</si>
  <si>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</si>
  <si>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</si>
  <si>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</si>
  <si>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</si>
  <si>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</si>
  <si>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</si>
  <si>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</si>
  <si>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</si>
  <si>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</si>
  <si>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</si>
  <si>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</si>
  <si>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</si>
  <si>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</si>
  <si>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</si>
  <si>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</si>
  <si>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</si>
  <si>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</si>
  <si>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</si>
  <si>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</si>
  <si>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</si>
  <si>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</si>
  <si>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</si>
  <si>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</si>
  <si>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</si>
  <si>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</si>
  <si>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</si>
  <si>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</si>
  <si>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</si>
  <si>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</si>
  <si>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</si>
  <si>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</si>
  <si>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</si>
  <si>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</si>
  <si>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</si>
  <si>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</si>
  <si>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</si>
  <si>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</si>
  <si>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</si>
  <si>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</si>
  <si>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</si>
  <si>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</si>
  <si>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</si>
  <si>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</si>
  <si>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</si>
  <si>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</si>
  <si>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</si>
  <si>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</si>
  <si>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</si>
  <si>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</si>
  <si>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</si>
  <si>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</si>
  <si>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</si>
  <si>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</si>
  <si>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</si>
  <si>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</si>
  <si>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</si>
  <si>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</si>
  <si>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</si>
  <si>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</si>
  <si>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</si>
  <si>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</si>
  <si>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</si>
  <si>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</si>
  <si>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</si>
  <si>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</si>
  <si>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</si>
  <si>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</si>
  <si>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</si>
  <si>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</si>
  <si>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</si>
  <si>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</si>
  <si>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</si>
  <si>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</si>
  <si>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</si>
  <si>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</si>
  <si>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</si>
  <si>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</si>
  <si>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</si>
  <si>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</si>
  <si>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</si>
  <si>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</si>
  <si>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</si>
  <si>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</si>
  <si>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</si>
  <si>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</si>
  <si>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</si>
  <si>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</si>
  <si>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</si>
  <si>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</si>
  <si>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</si>
  <si>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</si>
  <si>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</si>
  <si>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</si>
  <si>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</si>
  <si>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</si>
  <si>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</si>
  <si>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</si>
  <si>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</si>
  <si>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</si>
  <si>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</si>
  <si>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</si>
  <si>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</si>
  <si>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</si>
  <si>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</si>
  <si>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</si>
  <si>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</si>
  <si>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</si>
  <si>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</si>
  <si>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</si>
  <si>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</si>
  <si>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</si>
  <si>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</si>
  <si>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</si>
  <si>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</si>
  <si>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</si>
  <si>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</si>
  <si>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</si>
  <si>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</si>
  <si>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</si>
  <si>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</si>
  <si>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</si>
  <si>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</si>
  <si>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</si>
  <si>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</si>
  <si>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</si>
  <si>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</si>
  <si>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</si>
  <si>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</si>
  <si>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</si>
  <si>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</si>
  <si>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</si>
  <si>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</si>
  <si>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</si>
  <si>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</si>
  <si>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</si>
  <si>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</si>
  <si>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</si>
  <si>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</si>
  <si>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</si>
  <si>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</si>
  <si>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</si>
  <si>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</si>
  <si>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</si>
  <si>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</si>
  <si>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</si>
  <si>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</si>
  <si>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</si>
  <si>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</si>
  <si>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</si>
  <si>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</si>
  <si>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</si>
  <si>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</si>
  <si>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</si>
  <si>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</si>
  <si>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</si>
  <si>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</si>
  <si>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</si>
  <si>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</si>
  <si>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</si>
  <si>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</si>
  <si>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</si>
  <si>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</si>
  <si>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</si>
  <si>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</si>
  <si>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</si>
  <si>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</si>
  <si>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</si>
  <si>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</si>
  <si>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</si>
  <si>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</si>
  <si>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</si>
  <si>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</si>
  <si>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</si>
  <si>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</si>
  <si>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</si>
  <si>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</si>
  <si>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</si>
  <si>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</si>
  <si>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</si>
  <si>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</si>
  <si>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</si>
  <si>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</si>
  <si>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</si>
  <si>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</si>
  <si>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</si>
  <si>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</si>
  <si>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</si>
  <si>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</si>
  <si>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</si>
  <si>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</si>
  <si>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</si>
  <si>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</si>
  <si>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</si>
  <si>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</si>
  <si>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</si>
  <si>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</si>
  <si>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</si>
  <si>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</si>
  <si>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</si>
  <si>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</si>
  <si>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</si>
  <si>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</si>
  <si>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</si>
  <si>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</si>
  <si>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</si>
  <si>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</si>
  <si>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</si>
  <si>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</si>
  <si>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</si>
  <si>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</si>
  <si>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</si>
  <si>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</si>
  <si>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</si>
  <si>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</si>
  <si>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</si>
  <si>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</si>
  <si>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</si>
  <si>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</si>
  <si>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</si>
  <si>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</si>
  <si>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</si>
  <si>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</si>
  <si>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</si>
  <si>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</si>
  <si>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</si>
  <si>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</si>
  <si>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</si>
  <si>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</si>
  <si>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</si>
  <si>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</si>
  <si>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</si>
  <si>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</si>
  <si>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</si>
  <si>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</si>
  <si>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</si>
  <si>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</si>
  <si>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</si>
  <si>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</si>
  <si>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</si>
  <si>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</si>
  <si>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</si>
  <si>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</si>
  <si>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</si>
  <si>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</si>
  <si>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</si>
  <si>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</si>
  <si>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</si>
  <si>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</si>
  <si>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</si>
  <si>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</si>
  <si>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</si>
  <si>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</si>
  <si>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</si>
  <si>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</si>
  <si>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</si>
  <si>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</si>
  <si>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</si>
  <si>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</si>
  <si>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</si>
  <si>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</si>
  <si>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</si>
  <si>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</si>
  <si>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</si>
  <si>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</si>
  <si>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</si>
  <si>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</si>
  <si>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</si>
  <si>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</si>
  <si>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</si>
  <si>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</si>
  <si>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</si>
  <si>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</si>
  <si>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</si>
  <si>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</si>
  <si>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</si>
  <si>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</si>
  <si>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</si>
  <si>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</si>
  <si>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</si>
  <si>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</si>
  <si>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</si>
  <si>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</si>
  <si>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</si>
  <si>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</si>
  <si>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</si>
  <si>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</si>
  <si>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</si>
  <si>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</si>
  <si>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</si>
  <si>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</si>
  <si>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</si>
  <si>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</si>
  <si>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</si>
  <si>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</si>
  <si>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</si>
  <si>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</si>
  <si>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</si>
  <si>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</si>
  <si>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</si>
  <si>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</si>
  <si>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</si>
  <si>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</si>
  <si>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</si>
  <si>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</si>
  <si>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</si>
  <si>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</si>
  <si>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</si>
  <si>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</si>
  <si>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</si>
  <si>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</si>
  <si>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</si>
  <si>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</si>
  <si>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</si>
  <si>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</si>
  <si>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</si>
  <si>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</si>
  <si>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</si>
  <si>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</si>
  <si>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</si>
  <si>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</si>
  <si>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</si>
  <si>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</si>
  <si>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</si>
  <si>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</si>
  <si>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</si>
  <si>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</si>
  <si>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</si>
  <si>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</si>
  <si>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</si>
  <si>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</si>
  <si>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</si>
  <si>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</si>
  <si>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</si>
  <si>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</si>
  <si>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</si>
  <si>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</si>
  <si>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</si>
  <si>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</si>
  <si>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</si>
  <si>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</si>
  <si>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</si>
  <si>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</si>
  <si>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</si>
  <si>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</si>
  <si>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</si>
  <si>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</si>
  <si>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</si>
  <si>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</si>
  <si>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</si>
  <si>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</si>
  <si>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</si>
  <si>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</si>
  <si>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</si>
  <si>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</si>
  <si>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</si>
  <si>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</si>
  <si>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</si>
  <si>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</si>
  <si>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</si>
  <si>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</si>
  <si>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</si>
  <si>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</si>
  <si>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</si>
  <si>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</si>
  <si>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</si>
  <si>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</si>
  <si>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</si>
  <si>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</si>
  <si>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</si>
  <si>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</si>
  <si>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</si>
  <si>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</si>
  <si>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</si>
  <si>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</si>
  <si>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</si>
  <si>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</si>
  <si>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</si>
  <si>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</si>
  <si>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</si>
  <si>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</si>
  <si>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</si>
  <si>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</si>
  <si>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</si>
  <si>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</si>
  <si>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</si>
  <si>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</si>
  <si>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</si>
  <si>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</si>
  <si>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</si>
  <si>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</si>
  <si>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</si>
  <si>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</si>
  <si>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</si>
  <si>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</si>
  <si>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</si>
  <si>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</si>
  <si>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</si>
  <si>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</si>
  <si>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</si>
  <si>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</si>
  <si>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</si>
  <si>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</si>
  <si>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</si>
  <si>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</si>
  <si>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</si>
  <si>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</si>
  <si>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</si>
  <si>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</si>
  <si>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</si>
  <si>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</si>
  <si>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</si>
  <si>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</si>
  <si>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</si>
  <si>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</si>
  <si>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</si>
  <si>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</si>
  <si>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</si>
  <si>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</si>
  <si>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</si>
  <si>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</si>
  <si>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</si>
  <si>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</si>
  <si>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</si>
  <si>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</si>
  <si>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</si>
  <si>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</si>
  <si>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</si>
  <si>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</si>
  <si>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</si>
  <si>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</si>
  <si>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</si>
  <si>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</si>
  <si>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</si>
  <si>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</si>
  <si>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</si>
  <si>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</si>
  <si>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</si>
  <si>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</si>
  <si>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</si>
  <si>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</si>
  <si>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</si>
  <si>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</si>
  <si>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</si>
  <si>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</si>
  <si>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</si>
  <si>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</si>
  <si>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</si>
  <si>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</si>
  <si>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</si>
  <si>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</si>
  <si>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</si>
  <si>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</si>
  <si>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</si>
  <si>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</si>
  <si>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</si>
  <si>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</si>
  <si>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</si>
  <si>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</si>
  <si>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</si>
  <si>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</si>
  <si>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</si>
  <si>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</si>
  <si>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</si>
  <si>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</si>
  <si>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</si>
  <si>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</si>
  <si>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</si>
  <si>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</si>
  <si>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</si>
  <si>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</si>
  <si>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</si>
  <si>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</si>
  <si>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</si>
  <si>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</si>
  <si>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</si>
  <si>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</si>
  <si>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</si>
  <si>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</si>
  <si>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</si>
  <si>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</si>
  <si>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</si>
  <si>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</si>
  <si>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</si>
  <si>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</si>
  <si>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</si>
  <si>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</si>
  <si>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</si>
  <si>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</si>
  <si>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</si>
  <si>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</si>
  <si>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</si>
  <si>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</si>
  <si>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</si>
  <si>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</si>
  <si>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</si>
  <si>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</si>
  <si>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</si>
  <si>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</si>
  <si>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</si>
  <si>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</si>
  <si>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</si>
  <si>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</si>
  <si>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</si>
  <si>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</si>
  <si>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</si>
  <si>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</si>
  <si>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</si>
  <si>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</si>
  <si>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</si>
  <si>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</si>
  <si>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</si>
  <si>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</si>
  <si>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</si>
  <si>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</si>
  <si>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</si>
  <si>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</si>
  <si>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</si>
  <si>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</si>
  <si>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</si>
  <si>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</si>
  <si>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</si>
  <si>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</si>
  <si>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</si>
  <si>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</si>
  <si>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</si>
  <si>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</si>
  <si>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</si>
  <si>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</si>
  <si>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</si>
  <si>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</si>
  <si>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</si>
  <si>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</si>
  <si>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</si>
  <si>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</si>
  <si>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</si>
  <si>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</si>
  <si>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</si>
  <si>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</si>
  <si>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</si>
  <si>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</si>
  <si>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</si>
  <si>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</si>
  <si>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</si>
  <si>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</si>
  <si>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</si>
  <si>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</si>
  <si>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</si>
  <si>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</si>
  <si>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</si>
  <si>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</si>
  <si>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</si>
  <si>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</si>
  <si>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</si>
  <si>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</si>
  <si>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</si>
  <si>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</si>
  <si>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</si>
  <si>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</si>
  <si>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</si>
  <si>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</si>
  <si>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</si>
  <si>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</si>
  <si>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</si>
  <si>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</si>
  <si>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</si>
  <si>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</si>
  <si>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</si>
  <si>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</si>
  <si>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</si>
  <si>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</si>
  <si>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</si>
  <si>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</si>
  <si>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</si>
  <si>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</si>
  <si>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</si>
  <si>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</si>
  <si>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</si>
  <si>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</si>
  <si>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</si>
  <si>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</si>
  <si>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</si>
  <si>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</si>
  <si>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</si>
  <si>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</si>
  <si>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</si>
  <si>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</si>
  <si>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</si>
  <si>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</si>
  <si>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</si>
  <si>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</si>
  <si>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</si>
  <si>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</si>
  <si>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</si>
  <si>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</si>
  <si>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</si>
  <si>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</si>
  <si>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</si>
  <si>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</si>
  <si>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</si>
  <si>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</si>
  <si>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</si>
  <si>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</si>
  <si>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</si>
  <si>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</si>
  <si>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</si>
  <si>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</si>
  <si>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</si>
  <si>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</si>
  <si>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</si>
  <si>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</si>
  <si>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</si>
  <si>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</si>
  <si>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</si>
  <si>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</si>
  <si>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</si>
  <si>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</si>
  <si>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</si>
  <si>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</si>
  <si>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</si>
  <si>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</si>
  <si>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</si>
  <si>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</si>
  <si>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</si>
  <si>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</si>
  <si>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</si>
  <si>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</si>
  <si>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</si>
  <si>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</si>
  <si>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</si>
  <si>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</si>
  <si>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</si>
  <si>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</si>
  <si>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</si>
  <si>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</si>
  <si>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</si>
  <si>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</si>
  <si>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</si>
  <si>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</si>
  <si>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</si>
  <si>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</si>
  <si>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</si>
  <si>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</si>
  <si>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</si>
  <si>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</si>
  <si>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</si>
  <si>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</si>
  <si>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</si>
  <si>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</si>
  <si>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</si>
  <si>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</si>
  <si>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</si>
  <si>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</si>
  <si>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</si>
  <si>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</si>
  <si>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</si>
  <si>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</si>
  <si>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</si>
  <si>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</si>
  <si>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</si>
  <si>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</si>
  <si>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</si>
  <si>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</si>
  <si>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</si>
  <si>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</si>
  <si>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</si>
  <si>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</si>
  <si>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</si>
  <si>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</si>
  <si>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</si>
  <si>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</si>
  <si>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</si>
  <si>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</si>
  <si>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</si>
  <si>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</si>
  <si>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</si>
  <si>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</si>
  <si>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</si>
  <si>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</si>
  <si>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</si>
  <si>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</si>
  <si>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</si>
  <si>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</si>
  <si>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</si>
  <si>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</si>
  <si>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</si>
  <si>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</si>
  <si>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</si>
  <si>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</si>
  <si>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</si>
  <si>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</si>
  <si>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</si>
  <si>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</si>
  <si>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</si>
  <si>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</si>
  <si>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</si>
  <si>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</si>
  <si>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</si>
  <si>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</si>
  <si>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</si>
  <si>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</si>
  <si>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</si>
  <si>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</si>
  <si>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</si>
  <si>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</si>
  <si>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</si>
  <si>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</si>
  <si>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</si>
  <si>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</si>
  <si>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</si>
  <si>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</si>
  <si>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</si>
  <si>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</si>
  <si>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</si>
  <si>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</si>
  <si>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</si>
  <si>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</si>
  <si>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</si>
  <si>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</si>
  <si>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</si>
  <si>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</si>
  <si>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</si>
  <si>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</si>
  <si>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</si>
  <si>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</si>
  <si>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</si>
  <si>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</si>
  <si>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</si>
  <si>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</si>
  <si>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</si>
  <si>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</si>
  <si>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</si>
  <si>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</si>
  <si>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</si>
  <si>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</si>
  <si>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</si>
  <si>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</si>
  <si>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</si>
  <si>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</si>
  <si>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</si>
  <si>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</si>
  <si>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</si>
  <si>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</si>
  <si>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</si>
  <si>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</si>
  <si>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</si>
  <si>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</si>
  <si>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</si>
  <si>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</si>
  <si>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</si>
  <si>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</si>
  <si>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</si>
  <si>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</si>
  <si>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</si>
  <si>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</si>
  <si>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</si>
  <si>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</si>
  <si>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</si>
  <si>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</si>
  <si>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</si>
  <si>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</si>
  <si>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</si>
  <si>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</si>
  <si>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</si>
  <si>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</si>
  <si>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</si>
  <si>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</si>
  <si>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</si>
  <si>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</si>
  <si>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</si>
  <si>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</si>
  <si>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</si>
  <si>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</si>
  <si>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</si>
  <si>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</si>
  <si>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</si>
  <si>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</si>
  <si>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</si>
  <si>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</si>
  <si>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</si>
  <si>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</si>
  <si>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</si>
  <si>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</si>
  <si>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</si>
  <si>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</si>
  <si>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</si>
  <si>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</si>
  <si>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</si>
  <si>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</si>
  <si>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</si>
  <si>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</si>
  <si>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</si>
  <si>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</si>
  <si>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</si>
  <si>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</si>
  <si>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</si>
  <si>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</si>
  <si>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</si>
  <si>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</si>
  <si>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</si>
  <si>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</si>
  <si>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</si>
  <si>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</si>
  <si>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</si>
  <si>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</si>
  <si>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</si>
  <si>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</si>
  <si>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</si>
  <si>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</si>
  <si>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</si>
  <si>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</si>
  <si>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</si>
  <si>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</si>
  <si>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</si>
  <si>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</si>
  <si>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</si>
  <si>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</si>
  <si>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</si>
  <si>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</si>
  <si>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</si>
  <si>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</si>
  <si>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</si>
  <si>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</si>
  <si>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</si>
  <si>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</si>
  <si>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</si>
  <si>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</si>
  <si>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</si>
  <si>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</si>
  <si>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</si>
  <si>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</si>
  <si>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</si>
  <si>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</si>
  <si>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</si>
  <si>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</si>
  <si>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</si>
  <si>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</si>
  <si>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</si>
  <si>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</si>
  <si>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</si>
  <si>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</si>
  <si>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</si>
  <si>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</si>
  <si>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</si>
  <si>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</si>
  <si>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</si>
  <si>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</si>
  <si>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</si>
  <si>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</si>
  <si>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</si>
  <si>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</si>
  <si>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</si>
  <si>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</si>
  <si>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</si>
  <si>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</si>
  <si>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</si>
  <si>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</si>
  <si>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</si>
  <si>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</si>
  <si>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</si>
  <si>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</si>
  <si>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</si>
  <si>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</si>
  <si>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</si>
  <si>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</si>
  <si>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</si>
  <si>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</si>
  <si>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</si>
  <si>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</si>
  <si>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</si>
  <si>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</si>
  <si>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</si>
  <si>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</si>
  <si>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</si>
  <si>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</si>
  <si>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</si>
  <si>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</si>
  <si>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</si>
  <si>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</si>
  <si>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</si>
  <si>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</si>
  <si>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</si>
  <si>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</si>
  <si>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</si>
  <si>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</si>
  <si>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</si>
  <si>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</si>
  <si>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</si>
  <si>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</si>
  <si>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</si>
  <si>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</si>
  <si>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</si>
  <si>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</si>
  <si>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</si>
  <si>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</si>
  <si>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</si>
  <si>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</si>
  <si>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</si>
  <si>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</si>
  <si>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</si>
  <si>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</si>
  <si>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</si>
  <si>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</si>
  <si>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</si>
  <si>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</si>
  <si>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</si>
  <si>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</si>
  <si>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</si>
  <si>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</si>
  <si>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</si>
  <si>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</si>
  <si>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</si>
  <si>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</si>
  <si>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</si>
  <si>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</si>
  <si>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</si>
  <si>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</si>
  <si>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</si>
  <si>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</si>
  <si>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</si>
  <si>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</si>
  <si>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</si>
  <si>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</si>
  <si>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</si>
  <si>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</si>
  <si>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</si>
  <si>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</si>
  <si>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</si>
  <si>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</si>
  <si>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</si>
  <si>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</si>
  <si>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</si>
  <si>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</si>
  <si>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</si>
  <si>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</si>
  <si>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</si>
  <si>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</si>
  <si>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</si>
  <si>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</si>
  <si>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</si>
  <si>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</si>
  <si>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</si>
  <si>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</si>
  <si>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</si>
  <si>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</si>
  <si>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</si>
  <si>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</si>
  <si>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</si>
  <si>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</si>
  <si>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</si>
  <si>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</si>
  <si>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</si>
  <si>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</si>
  <si>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</si>
  <si>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</si>
  <si>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</si>
  <si>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</si>
  <si>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</si>
  <si>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</si>
  <si>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</si>
  <si>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</si>
  <si>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</si>
  <si>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</si>
  <si>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</si>
  <si>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</si>
  <si>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</si>
  <si>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</si>
  <si>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</si>
  <si>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</si>
  <si>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</si>
  <si>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</si>
  <si>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</si>
  <si>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</si>
  <si>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</si>
  <si>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</si>
  <si>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</si>
  <si>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</si>
  <si>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</si>
  <si>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</si>
  <si>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</si>
  <si>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</si>
  <si>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</si>
  <si>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</si>
  <si>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</si>
  <si>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</si>
  <si>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</si>
  <si>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</si>
  <si>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</si>
  <si>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</si>
  <si>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</si>
  <si>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</si>
  <si>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</si>
  <si>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</si>
  <si>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</si>
  <si>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</si>
  <si>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</si>
  <si>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</si>
  <si>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</si>
  <si>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</si>
  <si>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</si>
  <si>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</si>
  <si>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</si>
  <si>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</si>
  <si>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</si>
  <si>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</si>
  <si>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</si>
  <si>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</si>
  <si>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</si>
  <si>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</si>
  <si>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</si>
  <si>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</si>
  <si>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</si>
  <si>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</si>
  <si>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</si>
  <si>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</si>
  <si>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</si>
  <si>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</si>
  <si>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</si>
  <si>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</si>
  <si>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</si>
  <si>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</si>
  <si>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</si>
  <si>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</si>
  <si>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</si>
  <si>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</si>
  <si>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</si>
  <si>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Form Number</t>
  </si>
  <si>
    <t>Ver. 04.17.25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</si>
</sst>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6"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5"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backgroundRefresh="0" connectionId="4"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4"/>
    <tableColumn id="18" xr3:uid="{5DE66976-8962-4778-9F2F-F1825B5EABCC}" uniqueName="18" name="Address1" queryTableFieldId="18" dataDxfId="3"/>
    <tableColumn id="19" xr3:uid="{31D68568-B5E1-4705-9496-19F08F967786}" uniqueName="19" name="Address2" queryTableFieldId="19" dataDxfId="2"/>
    <tableColumn id="20" xr3:uid="{5AE80B19-572A-40D3-B26F-1A4C57286083}" uniqueName="20" name="Merged" queryTableFieldId="20" dataDxfId="1"/>
    <tableColumn id="1" xr3:uid="{937E5B89-42F7-4DEC-A227-75548CDE4F9D}" uniqueName="1" name="CompanyId" queryTableFieldId="21"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insertRow="1" totalsRowShown="0" headerRowDxfId="192" dataDxfId="191">
  <autoFilter ref="A1:AT2" xr:uid="{A274804B-99F1-44FB-92BC-D164E6289DDA}"/>
  <tableColumns count="46">
    <tableColumn id="1" xr3:uid="{EAC6D7E4-B2A3-4627-933E-DD71D842A917}" uniqueName="1" name="Column1" queryTableFieldId="1" dataDxfId="190"/>
    <tableColumn id="2" xr3:uid="{0FA75F58-4125-42EC-BD14-294977DA97DB}" uniqueName="2" name="Column2" queryTableFieldId="2" dataDxfId="189"/>
    <tableColumn id="3" xr3:uid="{5BF963B6-E4BC-43DF-9164-EDA2E9AC7AD6}" uniqueName="3" name="Column3" queryTableFieldId="3" dataDxfId="188"/>
    <tableColumn id="4" xr3:uid="{BEEE5E7F-780E-44E4-B31B-A8B2E6F4D03A}" uniqueName="4" name="Column4" queryTableFieldId="4" dataDxfId="187"/>
    <tableColumn id="5" xr3:uid="{055872E1-81FE-453F-AE3C-5E38534B84CC}" uniqueName="5" name="Column5" queryTableFieldId="5" dataDxfId="186"/>
    <tableColumn id="6" xr3:uid="{32476223-99F8-4CF0-8127-EED9E48AB6A8}" uniqueName="6" name="Column6" queryTableFieldId="6" dataDxfId="185"/>
    <tableColumn id="7" xr3:uid="{FAEBBB13-B142-46A2-A2EB-A8587FA90C6D}" uniqueName="7" name="Column7" queryTableFieldId="7" dataDxfId="184"/>
    <tableColumn id="8" xr3:uid="{E828F966-F867-410A-9DBF-BE4FFECD5AD2}" uniqueName="8" name="Column8" queryTableFieldId="8" dataDxfId="183"/>
    <tableColumn id="9" xr3:uid="{CC78C0E1-BA0A-4C89-81EF-BB8F73DFC9C9}" uniqueName="9" name="Column9" queryTableFieldId="9" dataDxfId="182"/>
    <tableColumn id="10" xr3:uid="{3C8F8836-2E87-4A5B-9CE9-563693E168A5}" uniqueName="10" name="Column10" queryTableFieldId="10" dataDxfId="181"/>
    <tableColumn id="11" xr3:uid="{EEE724E0-0EDE-42B6-B2EF-9797866CE681}" uniqueName="11" name="Column11" queryTableFieldId="11" dataDxfId="180"/>
    <tableColumn id="12" xr3:uid="{6D0E696C-CE3A-4076-AD88-EC1B1F19759A}" uniqueName="12" name="Column12" queryTableFieldId="12" dataDxfId="179"/>
    <tableColumn id="13" xr3:uid="{F04E50C8-4A7E-4819-A240-7889E58D9C1B}" uniqueName="13" name="Column13" queryTableFieldId="13" dataDxfId="178"/>
    <tableColumn id="14" xr3:uid="{56E8DC7F-7C2A-4104-9854-E0F399D52451}" uniqueName="14" name="Column14" queryTableFieldId="14" dataDxfId="177"/>
    <tableColumn id="15" xr3:uid="{046B296C-51A8-4E7F-9A58-50DC86D95E3B}" uniqueName="15" name="Column15" queryTableFieldId="15" dataDxfId="176"/>
    <tableColumn id="16" xr3:uid="{C32A3E0A-B8D8-4B03-8961-AA02841CF8AF}" uniqueName="16" name="Column16" queryTableFieldId="16" dataDxfId="175"/>
    <tableColumn id="17" xr3:uid="{6192A3E9-AC70-4349-9CEC-D6DB3ADAC88F}" uniqueName="17" name="Column17" queryTableFieldId="17" dataDxfId="174"/>
    <tableColumn id="18" xr3:uid="{D3EF1C70-5537-4EB7-B6B3-8A174DC6544B}" uniqueName="18" name="Column18" queryTableFieldId="18" dataDxfId="173"/>
    <tableColumn id="19" xr3:uid="{B60E35CA-133A-4104-8F11-57F27B773030}" uniqueName="19" name="Column19" queryTableFieldId="19" dataDxfId="172"/>
    <tableColumn id="20" xr3:uid="{3B956444-3999-45C8-99C3-A643D84A396E}" uniqueName="20" name="Column20" queryTableFieldId="20" dataDxfId="171"/>
    <tableColumn id="21" xr3:uid="{60B40141-2419-493C-B805-7BB962095222}" uniqueName="21" name="Column21" queryTableFieldId="21" dataDxfId="170"/>
    <tableColumn id="22" xr3:uid="{6BA61444-F7CF-42D1-BA65-3AC9D09C39DE}" uniqueName="22" name="Column22" queryTableFieldId="22" dataDxfId="169"/>
    <tableColumn id="23" xr3:uid="{6412C1F7-B5E9-4762-9E3C-9B38F8EE7063}" uniqueName="23" name="Column23" queryTableFieldId="23" dataDxfId="168"/>
    <tableColumn id="24" xr3:uid="{ECDF6478-DDFC-4D2E-981C-341622008055}" uniqueName="24" name="Column24" queryTableFieldId="24" dataDxfId="167"/>
    <tableColumn id="25" xr3:uid="{5428022D-956B-4351-BD25-CB9314F716F8}" uniqueName="25" name="Column25" queryTableFieldId="25" dataDxfId="166"/>
    <tableColumn id="26" xr3:uid="{AE7A9F61-F597-4253-8900-7C03E8ACA6F3}" uniqueName="26" name="Column26" queryTableFieldId="26" dataDxfId="165"/>
    <tableColumn id="27" xr3:uid="{55C07B81-61A2-438A-A9EA-45A7E802A515}" uniqueName="27" name="Column27" queryTableFieldId="27" dataDxfId="164"/>
    <tableColumn id="28" xr3:uid="{655B483B-C8A4-4DE9-8ED9-3840C9805A01}" uniqueName="28" name="Column28" queryTableFieldId="28" dataDxfId="163"/>
    <tableColumn id="29" xr3:uid="{286E59E8-5B27-47B5-998D-9CCBA4BE286C}" uniqueName="29" name="Column29" queryTableFieldId="29" dataDxfId="162"/>
    <tableColumn id="30" xr3:uid="{CDBAC17E-3BFC-441E-A59B-DB9717B9A5DA}" uniqueName="30" name="Column30" queryTableFieldId="30" dataDxfId="161"/>
    <tableColumn id="31" xr3:uid="{BA252CAA-3B94-4D72-98DA-67E2829231E8}" uniqueName="31" name="Column31" queryTableFieldId="31" dataDxfId="160"/>
    <tableColumn id="32" xr3:uid="{22E77385-E664-4424-8D74-BDDE114D8E88}" uniqueName="32" name="Column32" queryTableFieldId="32" dataDxfId="159"/>
    <tableColumn id="33" xr3:uid="{0E0C43F5-821A-4428-B22F-0DB564727CAB}" uniqueName="33" name="Column33" queryTableFieldId="33" dataDxfId="158"/>
    <tableColumn id="34" xr3:uid="{2861F3EA-9D52-4062-88E1-FE35E1F516CF}" uniqueName="34" name="Column34" queryTableFieldId="34" dataDxfId="157"/>
    <tableColumn id="35" xr3:uid="{A2373E19-71F0-49A1-928C-822D24D31FCB}" uniqueName="35" name="Column35" queryTableFieldId="35" dataDxfId="156"/>
    <tableColumn id="36" xr3:uid="{E97B7E33-8A19-47B3-BEAA-63572B41F8C7}" uniqueName="36" name="Column36" queryTableFieldId="36" dataDxfId="155"/>
    <tableColumn id="37" xr3:uid="{442EB070-7D7C-4CFC-B9CD-A9D2E0BA9298}" uniqueName="37" name="Column37" queryTableFieldId="37" dataDxfId="154"/>
    <tableColumn id="38" xr3:uid="{2AE61D1A-1049-491C-9842-9AFA4C49BE64}" uniqueName="38" name="Column38" queryTableFieldId="38" dataDxfId="153"/>
    <tableColumn id="39" xr3:uid="{A9F24BC4-FEC8-485A-9061-E4095C5A52E1}" uniqueName="39" name="Column39" queryTableFieldId="39" dataDxfId="152"/>
    <tableColumn id="40" xr3:uid="{ABFEF8D6-DF64-42C7-A2B5-157EC270C59E}" uniqueName="40" name="Column40" queryTableFieldId="40" dataDxfId="151"/>
    <tableColumn id="41" xr3:uid="{852FFFB2-9B18-4BD9-BE95-B5CC31685BC3}" uniqueName="41" name="Column41" queryTableFieldId="41" dataDxfId="150"/>
    <tableColumn id="42" xr3:uid="{A353548E-EA44-448F-8038-2B256209051B}" uniqueName="42" name="Column42" queryTableFieldId="42" dataDxfId="149"/>
    <tableColumn id="43" xr3:uid="{82917293-1921-4B4D-874B-3205B2701EDE}" uniqueName="43" name="Column43" queryTableFieldId="43" dataDxfId="148"/>
    <tableColumn id="44" xr3:uid="{20A565C4-DE21-47E9-B58F-FB885284512F}" uniqueName="44" name="Column44" queryTableFieldId="44" dataDxfId="147"/>
    <tableColumn id="45" xr3:uid="{3BA82FF8-9D2C-4E77-BF8E-73E8E3125339}" uniqueName="45" name="Column45" queryTableFieldId="45" dataDxfId="146"/>
    <tableColumn id="46" xr3:uid="{2D48C41D-5217-4FD7-9034-7F6E792D8081}" uniqueName="46" name="Column46" queryTableFieldId="46" dataDxfId="14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44" dataDxfId="143">
  <autoFilter ref="A1:O71" xr:uid="{B7DAA5D0-88EA-445C-9A72-D29C019D034E}"/>
  <tableColumns count="15">
    <tableColumn id="1" xr3:uid="{12283C1A-6994-47F7-AF4D-C43742C4D014}" uniqueName="1" name="AssetId" queryTableFieldId="1" dataDxfId="19"/>
    <tableColumn id="2" xr3:uid="{CB5573B6-B28A-4716-B652-26F10985AEB3}" uniqueName="2" name="SerialNumber" queryTableFieldId="2" dataDxfId="18"/>
    <tableColumn id="3" xr3:uid="{432AC706-5812-46FA-AB87-43CD0D547CD9}" uniqueName="3" name="AssetUser" queryTableFieldId="3" dataDxfId="17"/>
    <tableColumn id="4" xr3:uid="{7272864B-CAB3-4C23-9FCC-93F1E22EEC23}" uniqueName="4" name="AssetTag" queryTableFieldId="4" dataDxfId="16"/>
    <tableColumn id="5" xr3:uid="{7FFF2583-ECEA-4DE3-A5D5-B1E209DA3322}" uniqueName="5" name="AssetName" queryTableFieldId="5" dataDxfId="15"/>
    <tableColumn id="6" xr3:uid="{299D4E0C-13E8-406E-9D83-23A2515A3BBC}" uniqueName="6" name="AssetDescription" queryTableFieldId="6" dataDxfId="14"/>
    <tableColumn id="7" xr3:uid="{91B08AF0-372F-45DD-956B-C22EF90F587D}" uniqueName="7" name="AssetMaker" queryTableFieldId="7" dataDxfId="13"/>
    <tableColumn id="8" xr3:uid="{40701A37-7265-47E9-AA2D-AEA5D4F82866}" uniqueName="8" name="RootCategoryName" queryTableFieldId="8" dataDxfId="12"/>
    <tableColumn id="9" xr3:uid="{79BFA242-2CA8-4FE5-B23B-EA1BC49C229B}" uniqueName="9" name="CategoryName" queryTableFieldId="9" dataDxfId="11"/>
    <tableColumn id="10" xr3:uid="{D1669272-0806-4D59-87F6-1DB49CA0B0C1}" uniqueName="10" name="Department" queryTableFieldId="10" dataDxfId="10"/>
    <tableColumn id="11" xr3:uid="{48BC425D-225D-4DB3-A151-D583A73AA082}" uniqueName="11" name="Notes" queryTableFieldId="11" dataDxfId="9"/>
    <tableColumn id="12" xr3:uid="{FC54C917-CD88-4717-9F41-614EEFC8EF62}" uniqueName="12" name="ManufacturerPartNumber" queryTableFieldId="12" dataDxfId="8"/>
    <tableColumn id="13" xr3:uid="{962AAB86-70A9-44B7-B3C0-B860881B5B57}" uniqueName="13" name="ProductName" queryTableFieldId="13" dataDxfId="7"/>
    <tableColumn id="14" xr3:uid="{1E573EC1-2B26-4E5E-9B95-83541F3BA1E8}" uniqueName="14" name="ProductDescription" queryTableFieldId="14" dataDxfId="6"/>
    <tableColumn id="15" xr3:uid="{145A72CA-E9E9-4531-9C9D-FAC6CE82F904}" uniqueName="15" name="ProductManufacturer" queryTableFieldId="15" dataDxf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5" tableType="queryTable" totalsRowShown="0">
  <autoFilter ref="A1:B25" xr:uid="{E66AE8D2-C5EA-4915-9EB3-7EE28CE94B9A}"/>
  <tableColumns count="2">
    <tableColumn id="1" xr3:uid="{F8540D2E-D56E-49F9-8628-429417BEA77D}" uniqueName="1" name="Column1" queryTableFieldId="1"/>
    <tableColumn id="2" xr3:uid="{58B0ADE0-21C5-4B22-9614-3800AE602A12}"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42" dataDxfId="141">
  <autoFilter ref="B1:E524" xr:uid="{00000000-0009-0000-0100-000001000000}"/>
  <tableColumns count="4">
    <tableColumn id="1" xr3:uid="{00000000-0010-0000-0000-000001000000}" name="account__r.name" dataDxfId="140"/>
    <tableColumn id="2" xr3:uid="{00000000-0010-0000-0000-000002000000}" name="account__c" dataDxfId="139"/>
    <tableColumn id="3" xr3:uid="{00000000-0010-0000-0000-000003000000}" name="name" dataDxfId="138"/>
    <tableColumn id="4" xr3:uid="{00000000-0010-0000-0000-000004000000}" name="id" dataDxfId="137"/>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36" dataDxfId="135">
  <autoFilter ref="N1:O14" xr:uid="{00000000-0009-0000-0100-000002000000}"/>
  <tableColumns count="2">
    <tableColumn id="1" xr3:uid="{00000000-0010-0000-0100-000001000000}" name="id" dataDxfId="134"/>
    <tableColumn id="2" xr3:uid="{00000000-0010-0000-0100-000002000000}" name="Inspectors_Name__c" dataDxfId="13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32" dataDxfId="131">
  <autoFilter ref="Q1:V81" xr:uid="{00000000-0009-0000-0100-000003000000}"/>
  <tableColumns count="6">
    <tableColumn id="1" xr3:uid="{00000000-0010-0000-0200-000001000000}" name="id" dataDxfId="130"/>
    <tableColumn id="2" xr3:uid="{00000000-0010-0000-0200-000002000000}" name="name" dataDxfId="129"/>
    <tableColumn id="3" xr3:uid="{00000000-0010-0000-0200-000003000000}" name="model_number__c" dataDxfId="128"/>
    <tableColumn id="4" xr3:uid="{00000000-0010-0000-0200-000004000000}" name="CategoryName" dataDxfId="127"/>
    <tableColumn id="5" xr3:uid="{00000000-0010-0000-0200-000005000000}" name="AssetTag" dataDxfId="126"/>
    <tableColumn id="6" xr3:uid="{00000000-0010-0000-0200-000006000000}" name="SerialNumber" dataDxfId="12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24" dataDxfId="123">
  <autoFilter ref="X1:Y3" xr:uid="{00000000-0009-0000-0100-000004000000}"/>
  <tableColumns count="2">
    <tableColumn id="1" xr3:uid="{00000000-0010-0000-0300-000001000000}" name="id" dataDxfId="122"/>
    <tableColumn id="2" xr3:uid="{00000000-0010-0000-0300-000002000000}" name="name" dataDxfId="12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20" dataDxfId="119">
  <autoFilter ref="AA1:AB2" xr:uid="{00000000-0009-0000-0100-000005000000}"/>
  <tableColumns count="2">
    <tableColumn id="1" xr3:uid="{00000000-0010-0000-0400-000001000000}" name="id" dataDxfId="118"/>
    <tableColumn id="2" xr3:uid="{00000000-0010-0000-0400-000002000000}" name="name" dataDxfId="117"/>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16" dataDxfId="115">
  <autoFilter ref="AD1:AH2" xr:uid="{00000000-0009-0000-0100-000006000000}"/>
  <tableColumns count="5">
    <tableColumn id="1" xr3:uid="{00000000-0010-0000-0500-000001000000}" name="id" dataDxfId="114"/>
    <tableColumn id="2" xr3:uid="{00000000-0010-0000-0500-000002000000}" name="name" dataDxfId="113"/>
    <tableColumn id="3" xr3:uid="{00000000-0010-0000-0500-000003000000}" name="Revision_Date__c" dataDxfId="112"/>
    <tableColumn id="4" xr3:uid="{00000000-0010-0000-0500-000004000000}" name="Current_Revision__c" dataDxfId="111"/>
    <tableColumn id="5" xr3:uid="{00000000-0010-0000-0500-000005000000}" name="Tool__c" dataDxfId="11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09" dataDxfId="108">
  <autoFilter ref="A1:AP524" xr:uid="{52283BBB-F64D-40EC-A855-EA187553BDB5}"/>
  <tableColumns count="42">
    <tableColumn id="1" xr3:uid="{A987BB49-0CAD-4504-840A-C5054006E8B1}" name="Column1" dataDxfId="107"/>
    <tableColumn id="2" xr3:uid="{9B49AB3A-BA03-441C-973E-37C13FD71EDA}" name="Customer" dataDxfId="106"/>
    <tableColumn id="3" xr3:uid="{8F8D5C19-E6F3-4A6A-85B6-2737B3806A69}" name="Furnace" dataDxfId="105"/>
    <tableColumn id="4" xr3:uid="{37536E97-8FAD-42E5-B467-C028EBF1FD67}" name="Concatenated Reference" dataDxfId="104"/>
    <tableColumn id="5" xr3:uid="{5CC99D59-066B-4C4B-948B-95B9C27DE3C7}" name="Address Line 1" dataDxfId="103"/>
    <tableColumn id="6" xr3:uid="{E67099E9-4051-42BB-B63D-500A1D2B560A}" name="Address Line 2" dataDxfId="102"/>
    <tableColumn id="7" xr3:uid="{61A93EEF-0CE9-4D8E-95C5-FD32A5A4BC8E}" name="Address Line 3" dataDxfId="101"/>
    <tableColumn id="8" xr3:uid="{2F0DB7F6-3B08-4390-9DF6-540465A65961}" name="Form Number:" dataDxfId="100"/>
    <tableColumn id="9" xr3:uid="{5AF32C11-B524-4825-A4C3-76B8A2FF1C94}" name="Calibration Method" dataDxfId="99"/>
    <tableColumn id="10" xr3:uid="{526EA414-CA16-4AF3-9117-A7DE7D6BC013}" name="Tolerance Source" dataDxfId="98"/>
    <tableColumn id="11" xr3:uid="{D502D306-59C0-4D92-B0C8-AAFB6632A667}" name="Item" dataDxfId="97"/>
    <tableColumn id="12" xr3:uid="{797754D1-931C-4C52-A2C4-612FF381BC48}" name="Model Number" dataDxfId="96"/>
    <tableColumn id="13" xr3:uid="{BBEB7322-B09B-4208-966B-8DE9D7F2CFC0}" name="Serial Number" dataDxfId="95"/>
    <tableColumn id="14" xr3:uid="{696AC0B4-7919-4B5D-B714-F63A8070B923}" name="Unit Number" dataDxfId="94"/>
    <tableColumn id="15" xr3:uid="{70D21DFD-588A-4161-B95E-EBE5B34A50E3}" name="Class" dataDxfId="93"/>
    <tableColumn id="16" xr3:uid="{0EBE7F60-1E92-4DD1-94E4-EB9813385557}" name="Range" dataDxfId="92"/>
    <tableColumn id="17" xr3:uid="{C67F2B6F-1AE4-4EF5-ACDB-079D17A3EC54}" name="Tolerance" dataDxfId="91"/>
    <tableColumn id="18" xr3:uid="{21A0C815-9D2F-4301-B7A4-53F0C7B9E691}" name="Heating Method" dataDxfId="90"/>
    <tableColumn id="19" xr3:uid="{91B76172-A766-495D-91B5-57968753A0A6}" name="Working Zone Size" dataDxfId="89"/>
    <tableColumn id="20" xr3:uid="{29FA2FFE-23F0-4B31-824B-25B30CE5D087}" name="Cubic Feet" dataDxfId="88"/>
    <tableColumn id="21" xr3:uid="{2A0866BE-9774-4AA4-BABB-7F13A689062E}" name="Cal. Interval" dataDxfId="87"/>
    <tableColumn id="22" xr3:uid="{62C65A52-85A6-4762-A05A-C38EAF3E3228}" name="Controller" dataDxfId="86"/>
    <tableColumn id="23" xr3:uid="{4FED36EA-F57D-4588-B504-B403675027AC}" name="Cont S/N" dataDxfId="85"/>
    <tableColumn id="24" xr3:uid="{3CA0C733-7C4A-4224-881D-3922A674A378}" name="Cont Tol." dataDxfId="84"/>
    <tableColumn id="25" xr3:uid="{0A968E33-8069-42C6-8632-634E7C7E055C}" name="Recorder" dataDxfId="83"/>
    <tableColumn id="26" xr3:uid="{935D9B22-9631-4B0A-AD26-E313F61FD100}" name="Rec S/N" dataDxfId="82"/>
    <tableColumn id="27" xr3:uid="{4852C9B9-5C1E-414B-A725-9D9E5FBE1880}" name="Rec Tol." dataDxfId="81"/>
    <tableColumn id="28" xr3:uid="{F0744C7D-E7C1-4117-9DCF-C011CC116BEF}" name="Furnace Specific Comments" dataDxfId="80"/>
    <tableColumn id="29" xr3:uid="{1D4C4ABD-093F-4012-BB97-849B89CCF511}" name="Test Location" dataDxfId="79"/>
    <tableColumn id="30" xr3:uid="{B17CEE47-005B-4C5E-97FF-7817C982F050}" name="Oven Location" dataDxfId="78"/>
    <tableColumn id="31" xr3:uid="{A3FB0B73-6760-4F45-A7BD-98BDBEC512C3}" name="Condition" dataDxfId="77"/>
    <tableColumn id="32" xr3:uid="{980EF1C5-9BCB-48F8-A39F-07D3430296B9}" name="PB" dataDxfId="76"/>
    <tableColumn id="33" xr3:uid="{2F436CAE-1E97-4231-9DA4-B673A4CB7F4E}" name="Intergral" dataDxfId="75"/>
    <tableColumn id="34" xr3:uid="{D1AABE92-4EC2-4ECF-8027-B0AABE469674}" name="Derivative" dataDxfId="74"/>
    <tableColumn id="35" xr3:uid="{B2F598DB-FD0C-4ABA-8C48-8E99BFBE1788}" name="Other 1" dataDxfId="73"/>
    <tableColumn id="36" xr3:uid="{273FF7AF-5D95-48B4-933B-32309F5AF9FE}" name="Other 2" dataDxfId="72"/>
    <tableColumn id="37" xr3:uid="{01D307CC-841C-4BD5-B290-2A3BE09DE96C}" name="Fine Print" dataDxfId="71"/>
    <tableColumn id="38" xr3:uid="{13AEA69B-7C28-4D2C-9925-580CB4591308}" name="Check Rec" dataDxfId="70"/>
    <tableColumn id="39" xr3:uid="{5F4A1A72-54D4-4A82-AA84-D8715EC24190}" name="Load" dataDxfId="69"/>
    <tableColumn id="40" xr3:uid="{A292DE76-023E-4C51-BC22-BC36C0020C5F}" name="Lag Limit" dataDxfId="68"/>
    <tableColumn id="41" xr3:uid="{2CF6E803-8BAB-4910-82F4-97A52950BA71}" name="Recovery Limit" dataDxfId="67"/>
    <tableColumn id="42" xr3:uid="{966CA662-2FAA-45E6-885F-89DA490C05D6}" name="Furnace Lookup" dataDxfId="66"/>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3" dataDxfId="22" headerRowCellStyle="Normal 2" dataCellStyle="Normal 2">
  <autoFilter ref="U11:V25" xr:uid="{DCCFF26E-EC5C-4962-98DB-A7DA1F3C8CE2}"/>
  <tableColumns count="2">
    <tableColumn id="1" xr3:uid="{DFC40837-B092-4826-9847-4A23BE22020F}" name="4" dataDxfId="21" dataCellStyle="Normal 2"/>
    <tableColumn id="2" xr3:uid="{0711DB07-19DA-4D5E-A417-C242A0304453}" name="10" dataDxfId="2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5539</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0"/>
      <c r="V4" s="480"/>
      <c r="W4" s="480"/>
      <c r="X4" s="480"/>
      <c r="Y4" s="480"/>
      <c r="Z4" s="480"/>
      <c r="AA4" s="480"/>
      <c r="AB4" s="480"/>
      <c r="AC4" s="209"/>
    </row>
    <row r="5" spans="1:29" x14ac:dyDescent="0.2">
      <c r="A5" s="202"/>
      <c r="B5" s="207"/>
      <c r="C5" s="208" t="s">
        <v>54</v>
      </c>
      <c r="D5" s="610"/>
      <c r="E5" s="611"/>
      <c r="F5" s="611"/>
      <c r="G5" s="611"/>
      <c r="H5" s="612"/>
      <c r="I5" s="556" t="e">
        <f>VLOOKUP(D5,customers[],5,FALSE)</f>
        <v>#N/A</v>
      </c>
      <c r="J5" s="584" t="s">
        <v>5</v>
      </c>
      <c r="K5" s="585"/>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1"/>
      <c r="E6" s="602"/>
      <c r="F6" s="602"/>
      <c r="G6" s="602"/>
      <c r="H6" s="603"/>
      <c r="I6" s="556">
        <f>_xlfn.XLOOKUP(D6,ClientAssets[Column8],ClientAssets[Column2],NA())</f>
        <v>0</v>
      </c>
      <c r="J6" s="584" t="s">
        <v>130</v>
      </c>
      <c r="K6" s="585"/>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6"/>
      <c r="L13" s="597"/>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599" t="str">
        <f>IF(MONTH(D13-D12)=1,D9&amp;TEXT(D12,"mmddyy"),CONCATENATE(D9&amp;"_"&amp;TEXT(D12,"mmyy")))</f>
        <v>010000</v>
      </c>
      <c r="E14" s="600"/>
      <c r="F14" s="200"/>
      <c r="G14" s="205" t="str">
        <f>IF(Access_Data!$D$52=1,"!!!!! OVEN OVERSHOT IN POINTS 29-40","")</f>
        <v/>
      </c>
      <c r="H14" s="200"/>
      <c r="I14" s="200"/>
      <c r="J14" s="234" t="s">
        <v>209</v>
      </c>
      <c r="K14" s="590"/>
      <c r="L14" s="591"/>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88"/>
      <c r="L15" s="589"/>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560" t="s">
        <v>254</v>
      </c>
      <c r="K16" s="561"/>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560" t="s">
        <v>255</v>
      </c>
      <c r="K17" s="561"/>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6" t="str">
        <f>IF(K15="Salt",0, IF(OR(K15="Hot",K15="SIM Load Hot"),IF(OR(D26="",D28=""),"N/A",IF(ISBLANK(D26),"N/A",D28-D26)),"N/A"))</f>
        <v>N/A</v>
      </c>
      <c r="H19" s="587"/>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2" t="str">
        <f>IF(I94=TRUE,"SAT Tolerance (per AMS2750):","SAT Tolerance (per BAC5621):")</f>
        <v>SAT Tolerance (per AMS2750):</v>
      </c>
      <c r="C20" s="593"/>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4" t="s">
        <v>4939</v>
      </c>
      <c r="C24" s="595"/>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575" t="str">
        <f>IF(ISBLANK(D6),"",IF('Header Info'!CB2="x","CHECK INSTRUMENT CAL DATES!!!!             CHECK INSTRUMENT CAL DATES!!!!",""))</f>
        <v/>
      </c>
      <c r="I27" s="576"/>
      <c r="J27" s="576"/>
      <c r="K27" s="57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575"/>
      <c r="I28" s="576"/>
      <c r="J28" s="576"/>
      <c r="K28" s="57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79" t="s">
        <v>63</v>
      </c>
      <c r="C34" s="580"/>
      <c r="D34" s="580"/>
      <c r="E34" s="580"/>
      <c r="F34" s="580"/>
      <c r="G34" s="580"/>
      <c r="H34" s="580"/>
      <c r="I34" s="580"/>
      <c r="J34" s="580"/>
      <c r="K34" s="580"/>
      <c r="L34" s="581"/>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557" t="s">
        <v>46</v>
      </c>
      <c r="E46" s="558"/>
      <c r="F46" s="558"/>
      <c r="G46" s="558"/>
      <c r="H46" s="558"/>
      <c r="I46" s="559"/>
      <c r="J46" s="411"/>
      <c r="K46" s="411"/>
      <c r="L46" s="411"/>
      <c r="M46" s="613" t="s">
        <v>3524</v>
      </c>
      <c r="N46" s="614"/>
      <c r="O46" s="615"/>
      <c r="P46" s="616"/>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564" t="s">
        <v>3527</v>
      </c>
      <c r="Q47" s="564"/>
      <c r="R47" s="416" t="s">
        <v>3528</v>
      </c>
      <c r="S47" s="412"/>
      <c r="T47" s="412"/>
      <c r="U47" s="412"/>
    </row>
    <row r="48" spans="1:29" x14ac:dyDescent="0.2">
      <c r="A48" s="202"/>
      <c r="B48" s="280"/>
      <c r="C48" s="419" t="s">
        <v>47</v>
      </c>
      <c r="D48" s="343"/>
      <c r="E48" s="343"/>
      <c r="F48" s="343"/>
      <c r="G48" s="343"/>
      <c r="H48" s="343"/>
      <c r="I48" s="343"/>
      <c r="J48" s="411" t="str">
        <v/>
      </c>
      <c r="K48" s="411" t="str">
        <v/>
      </c>
      <c r="L48" s="411"/>
      <c r="M48" s="565" t="s">
        <v>3529</v>
      </c>
      <c r="N48" s="565"/>
      <c r="O48" s="437"/>
      <c r="P48" s="566" t="s">
        <v>5328</v>
      </c>
      <c r="Q48" s="567"/>
      <c r="R48" s="568"/>
      <c r="S48" s="486"/>
      <c r="T48" s="490"/>
      <c r="U48" s="566" t="s">
        <v>5331</v>
      </c>
      <c r="V48" s="567"/>
      <c r="W48" s="56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9" t="s">
        <v>5333</v>
      </c>
      <c r="Q49" s="570"/>
      <c r="R49" s="571"/>
      <c r="S49" s="510"/>
      <c r="T49" s="492"/>
      <c r="U49" s="569" t="s">
        <v>5332</v>
      </c>
      <c r="V49" s="570"/>
      <c r="W49" s="571"/>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72" t="s">
        <v>3532</v>
      </c>
      <c r="Q50" s="573"/>
      <c r="R50" s="574"/>
      <c r="S50" s="489"/>
      <c r="T50" s="493"/>
      <c r="U50" s="572" t="s">
        <v>3532</v>
      </c>
      <c r="V50" s="573"/>
      <c r="W50" s="574"/>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9" t="s">
        <v>5329</v>
      </c>
      <c r="Q51" s="570"/>
      <c r="R51" s="571"/>
      <c r="S51" s="510"/>
      <c r="T51" s="495"/>
      <c r="U51" s="569" t="s">
        <v>5334</v>
      </c>
      <c r="V51" s="570"/>
      <c r="W51" s="571"/>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72" t="s">
        <v>3532</v>
      </c>
      <c r="Q52" s="573"/>
      <c r="R52" s="574"/>
      <c r="S52" s="489"/>
      <c r="T52" s="494"/>
      <c r="U52" s="572" t="s">
        <v>3532</v>
      </c>
      <c r="V52" s="573"/>
      <c r="W52" s="574"/>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604" t="s">
        <v>5330</v>
      </c>
      <c r="Q53" s="605"/>
      <c r="R53" s="606"/>
      <c r="S53" s="511"/>
      <c r="T53" s="491"/>
      <c r="U53" s="604" t="s">
        <v>5335</v>
      </c>
      <c r="V53" s="605"/>
      <c r="W53" s="606"/>
      <c r="X53" s="439"/>
    </row>
    <row r="54" spans="1:24" x14ac:dyDescent="0.2">
      <c r="A54" s="202"/>
      <c r="B54" s="280"/>
      <c r="C54" s="420" t="s">
        <v>111</v>
      </c>
      <c r="D54" s="343"/>
      <c r="E54" s="343"/>
      <c r="F54" s="343"/>
      <c r="G54" s="343"/>
      <c r="H54" s="343"/>
      <c r="I54" s="343"/>
      <c r="J54" s="337"/>
      <c r="K54" s="464"/>
      <c r="L54" s="465"/>
      <c r="M54" s="466" t="s">
        <v>4731</v>
      </c>
      <c r="N54" s="475" t="s">
        <v>4735</v>
      </c>
      <c r="O54" s="256"/>
      <c r="P54" s="607"/>
      <c r="Q54" s="608"/>
      <c r="R54" s="609"/>
      <c r="S54" s="488"/>
      <c r="T54" s="485"/>
      <c r="U54" s="607"/>
      <c r="V54" s="608"/>
      <c r="W54" s="609"/>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557" t="s">
        <v>247</v>
      </c>
      <c r="D58" s="558"/>
      <c r="E58" s="558"/>
      <c r="F58" s="558"/>
      <c r="G58" s="558"/>
      <c r="H58" s="558"/>
      <c r="I58" s="558"/>
      <c r="J58" s="558"/>
      <c r="K58" s="562"/>
      <c r="L58" s="563"/>
      <c r="M58" s="359"/>
      <c r="N58" s="359"/>
      <c r="O58" s="359"/>
      <c r="P58" s="359"/>
      <c r="Q58" s="359"/>
      <c r="R58" s="412"/>
      <c r="S58" s="412"/>
      <c r="T58" s="412"/>
      <c r="U58" s="412"/>
    </row>
    <row r="59" spans="1:24" x14ac:dyDescent="0.2">
      <c r="A59" s="202"/>
      <c r="B59" s="278"/>
      <c r="C59" s="557" t="s">
        <v>252</v>
      </c>
      <c r="D59" s="558"/>
      <c r="E59" s="558"/>
      <c r="F59" s="558"/>
      <c r="G59" s="558"/>
      <c r="H59" s="558"/>
      <c r="I59" s="558"/>
      <c r="J59" s="558"/>
      <c r="K59" s="558"/>
      <c r="L59" s="559"/>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rflDh6Iiipf94el8o8uBlwLNzLqA1ZvowHEV+lfP0+ZbyYhy9NBHh5nMb3Cd+LiZ6bucpKfY5+b29UikTqI8mQ==" saltValue="tG2wEMbTpGUG60TTlj0JwA=="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7" t="s">
        <v>188</v>
      </c>
      <c r="E1" s="637"/>
      <c r="F1" s="637"/>
      <c r="G1" s="637"/>
      <c r="H1" s="637"/>
      <c r="I1" s="637"/>
      <c r="J1" s="637"/>
      <c r="K1" s="637"/>
      <c r="L1" s="637"/>
      <c r="M1" s="637"/>
    </row>
    <row r="2" spans="1:18" ht="23.25" customHeight="1" x14ac:dyDescent="0.3">
      <c r="C2" s="397"/>
      <c r="D2" s="397" t="s">
        <v>1877</v>
      </c>
      <c r="E2" s="397"/>
      <c r="F2" s="397"/>
      <c r="G2" s="397"/>
      <c r="H2" s="397"/>
      <c r="I2" s="397"/>
      <c r="J2" s="397"/>
      <c r="K2" s="397"/>
      <c r="L2" s="397"/>
      <c r="M2" s="397"/>
    </row>
    <row r="3" spans="1:18" ht="23.25" x14ac:dyDescent="0.35">
      <c r="C3" s="638"/>
      <c r="D3" s="638"/>
      <c r="E3" s="638"/>
      <c r="F3" s="638"/>
      <c r="G3" s="638"/>
      <c r="H3" s="638"/>
      <c r="I3" s="638"/>
      <c r="J3" s="638"/>
      <c r="K3" s="638"/>
      <c r="L3" s="638"/>
      <c r="M3" s="638"/>
    </row>
    <row r="4" spans="1:18" ht="23.25" x14ac:dyDescent="0.35">
      <c r="C4" s="381"/>
      <c r="D4" s="381"/>
      <c r="E4" s="381"/>
      <c r="F4" s="381"/>
      <c r="G4" s="381"/>
      <c r="H4" s="381"/>
      <c r="I4" s="381"/>
      <c r="J4" s="381"/>
      <c r="K4" s="381"/>
      <c r="L4" s="381"/>
      <c r="M4" s="381"/>
    </row>
    <row r="5" spans="1:18" ht="23.25" x14ac:dyDescent="0.35">
      <c r="C5" s="634" t="s">
        <v>18</v>
      </c>
      <c r="D5" s="634"/>
      <c r="E5" s="634"/>
      <c r="F5" s="634"/>
      <c r="G5" s="634"/>
      <c r="H5" s="634"/>
      <c r="I5" s="634"/>
      <c r="J5" s="634"/>
      <c r="K5" s="634"/>
      <c r="L5" s="634"/>
      <c r="M5" s="634"/>
    </row>
    <row r="6" spans="1:18" ht="23.25" x14ac:dyDescent="0.35">
      <c r="C6" s="382"/>
      <c r="D6" s="382"/>
      <c r="E6" s="654" t="str">
        <f>IF(Main!K14="","",CONCATENATE("Report Number: ",Main!K14,Main!D24))</f>
        <v/>
      </c>
      <c r="F6" s="654"/>
      <c r="G6" s="654"/>
      <c r="H6" s="654"/>
      <c r="I6" s="654"/>
      <c r="J6" s="654"/>
      <c r="K6" s="654"/>
      <c r="L6" s="382"/>
      <c r="M6" s="382"/>
    </row>
    <row r="7" spans="1:18" ht="18.75" customHeight="1" x14ac:dyDescent="0.3">
      <c r="G7" s="635"/>
      <c r="H7" s="635"/>
      <c r="I7" s="354"/>
      <c r="R7" t="str">
        <f>CONCATENATE("Page ",Main!L9," of ",Main!L10)</f>
        <v xml:space="preserve">Page  of </v>
      </c>
    </row>
    <row r="8" spans="1:18" ht="18" customHeight="1" x14ac:dyDescent="0.25">
      <c r="G8" s="647"/>
      <c r="H8" s="647"/>
      <c r="J8" s="117"/>
      <c r="K8" s="383" t="s">
        <v>1874</v>
      </c>
      <c r="L8" s="378" t="e">
        <f>'Header Info'!AX2</f>
        <v>#N/A</v>
      </c>
      <c r="M8" s="378"/>
      <c r="N8" s="378"/>
      <c r="O8" s="378"/>
    </row>
    <row r="9" spans="1:18" ht="18" customHeight="1" x14ac:dyDescent="0.25">
      <c r="A9" s="383" t="s">
        <v>1826</v>
      </c>
      <c r="B9" s="38">
        <f>Main!D5</f>
        <v>0</v>
      </c>
      <c r="J9" s="117"/>
      <c r="K9" s="383" t="s">
        <v>1875</v>
      </c>
      <c r="L9" s="649" t="e">
        <f>'Header Info'!AY2</f>
        <v>#N/A</v>
      </c>
      <c r="M9" s="649"/>
      <c r="N9" s="649"/>
      <c r="O9" s="649"/>
    </row>
    <row r="10" spans="1:18" ht="18" customHeight="1" x14ac:dyDescent="0.25">
      <c r="A10" s="129"/>
      <c r="B10" s="378" t="str">
        <f>IF('Header Info'!AU2=0,"",'Header Info'!AU2)</f>
        <v>3838 W. MAY ST.</v>
      </c>
      <c r="J10" s="117"/>
      <c r="K10" s="383"/>
      <c r="L10" s="649"/>
      <c r="M10" s="649"/>
      <c r="N10" s="649"/>
      <c r="O10" s="649"/>
    </row>
    <row r="11" spans="1:18" ht="18" customHeight="1" x14ac:dyDescent="0.25">
      <c r="A11" s="129"/>
      <c r="B11" s="378" t="str">
        <f>IF('Header Info'!AV2=0,"",'Header Info'!AV2)</f>
        <v>WICHITA, KS 67213</v>
      </c>
      <c r="J11" s="117"/>
      <c r="K11" s="383" t="s">
        <v>1876</v>
      </c>
      <c r="L11" s="378" t="e">
        <f>'Header Info'!AZ2</f>
        <v>#N/A</v>
      </c>
      <c r="M11" s="378"/>
      <c r="N11" s="378"/>
      <c r="O11" s="378"/>
    </row>
    <row r="12" spans="1:18" ht="18" customHeight="1" x14ac:dyDescent="0.25">
      <c r="A12" s="129"/>
      <c r="B12" s="378" t="str">
        <f>IF('Header Info'!AW2=0,"",'Header Info'!AW2)</f>
        <v/>
      </c>
      <c r="J12" s="117"/>
      <c r="K12" s="383"/>
      <c r="L12" s="384"/>
      <c r="M12" s="384"/>
      <c r="N12" s="384"/>
      <c r="O12" s="384"/>
    </row>
    <row r="13" spans="1:18" ht="8.1" customHeight="1" x14ac:dyDescent="0.2">
      <c r="A13" s="129"/>
      <c r="K13" s="371"/>
    </row>
    <row r="14" spans="1:18" ht="18" customHeight="1" x14ac:dyDescent="0.25">
      <c r="A14" s="388" t="s">
        <v>1827</v>
      </c>
      <c r="B14" s="385" t="str">
        <f>'Header Info'!BA2</f>
        <v>CURE OVEN</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str">
        <f>'Header Info'!BB2</f>
        <v/>
      </c>
      <c r="C15" s="378"/>
      <c r="D15" s="378"/>
      <c r="E15" s="378"/>
      <c r="G15" s="383" t="s">
        <v>1833</v>
      </c>
      <c r="H15" s="387" t="e">
        <f>'Header Info'!BG2</f>
        <v>#N/A</v>
      </c>
      <c r="M15" s="383" t="s">
        <v>1838</v>
      </c>
      <c r="N15" s="391">
        <f>Main!D3</f>
        <v>0</v>
      </c>
      <c r="O15" s="362"/>
    </row>
    <row r="16" spans="1:18" ht="18" customHeight="1" x14ac:dyDescent="0.25">
      <c r="A16" s="389" t="s">
        <v>1829</v>
      </c>
      <c r="B16" s="650" t="str">
        <f>'Header Info'!BC2</f>
        <v/>
      </c>
      <c r="C16" s="650"/>
      <c r="D16" s="650"/>
      <c r="E16" s="650"/>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str">
        <f>'Header Info'!BD2</f>
        <v>Oven No. 1</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41" t="str">
        <f>'Header Info'!BE2</f>
        <v/>
      </c>
      <c r="C18" s="641"/>
      <c r="D18" s="641"/>
      <c r="E18" s="641"/>
      <c r="G18" s="383" t="s">
        <v>1836</v>
      </c>
      <c r="H18" s="387" t="e">
        <f>'Header Info'!BJ2</f>
        <v>#N/A</v>
      </c>
      <c r="M18" s="383" t="s">
        <v>1840</v>
      </c>
      <c r="N18" s="387" t="str">
        <f>Main!G18</f>
        <v>ACCEPTED</v>
      </c>
      <c r="O18" s="362"/>
    </row>
    <row r="19" spans="1:19" ht="18" customHeight="1" x14ac:dyDescent="0.25">
      <c r="A19" s="373"/>
      <c r="B19" s="642"/>
      <c r="C19" s="642"/>
      <c r="D19" s="642"/>
      <c r="E19" s="642"/>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51" t="e">
        <f>'Header Info'!BL2</f>
        <v>#N/A</v>
      </c>
      <c r="C21" s="651"/>
      <c r="D21" s="651"/>
      <c r="E21" s="651"/>
      <c r="F21" s="374" t="s">
        <v>1847</v>
      </c>
      <c r="G21" s="651" t="e">
        <f>'Header Info'!BM2</f>
        <v>#N/A</v>
      </c>
      <c r="H21" s="651"/>
      <c r="I21" s="651"/>
      <c r="J21" s="374" t="s">
        <v>1848</v>
      </c>
      <c r="K21" s="386" t="e">
        <f>'Header Info'!BN2</f>
        <v>#N/A</v>
      </c>
      <c r="L21" s="360"/>
      <c r="M21" s="374" t="s">
        <v>1849</v>
      </c>
      <c r="N21" s="399" t="e">
        <f>Main!G27</f>
        <v>#N/A</v>
      </c>
      <c r="O21" s="361"/>
    </row>
    <row r="22" spans="1:19" ht="18" customHeight="1" x14ac:dyDescent="0.25">
      <c r="A22" s="392" t="s">
        <v>1846</v>
      </c>
      <c r="B22" s="652" t="e">
        <f>'Header Info'!BO2</f>
        <v>#N/A</v>
      </c>
      <c r="C22" s="652"/>
      <c r="D22" s="652"/>
      <c r="E22" s="652"/>
      <c r="F22" s="375" t="s">
        <v>1847</v>
      </c>
      <c r="G22" s="652" t="e">
        <f>'Header Info'!BP2</f>
        <v>#N/A</v>
      </c>
      <c r="H22" s="652"/>
      <c r="I22" s="652"/>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8" t="s">
        <v>1859</v>
      </c>
      <c r="D27" s="648"/>
      <c r="E27" s="648"/>
      <c r="F27" s="648"/>
      <c r="G27" s="648"/>
      <c r="H27" s="648"/>
      <c r="I27" s="648"/>
      <c r="J27" s="648"/>
      <c r="K27" s="648"/>
      <c r="L27" s="648"/>
      <c r="M27" s="648"/>
      <c r="N27" s="363"/>
      <c r="O27" s="364"/>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79"/>
      <c r="B30" s="369" t="e">
        <f>'Header Info'!BS2</f>
        <v>#N/A</v>
      </c>
      <c r="C30" s="380"/>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2" t="s">
        <v>1861</v>
      </c>
      <c r="B32" s="636" t="s">
        <v>1862</v>
      </c>
      <c r="C32" s="636"/>
      <c r="D32" s="402" t="s">
        <v>1783</v>
      </c>
      <c r="E32" s="402" t="s">
        <v>1782</v>
      </c>
      <c r="F32" s="402" t="s">
        <v>1863</v>
      </c>
      <c r="G32" s="117"/>
      <c r="H32" s="117"/>
      <c r="I32" s="402" t="s">
        <v>1861</v>
      </c>
      <c r="J32" s="636" t="s">
        <v>1862</v>
      </c>
      <c r="K32" s="636"/>
      <c r="L32" s="402" t="s">
        <v>1783</v>
      </c>
      <c r="M32" s="402" t="s">
        <v>1782</v>
      </c>
      <c r="N32" s="402" t="s">
        <v>1863</v>
      </c>
    </row>
    <row r="33" spans="1:14" ht="18" customHeight="1" x14ac:dyDescent="0.2">
      <c r="A33" s="403" t="str">
        <f>IF(B33="","",1)</f>
        <v/>
      </c>
      <c r="B33" s="635" t="str">
        <f>IF(Main!O5="","",Main!O5)</f>
        <v/>
      </c>
      <c r="C33" s="635"/>
      <c r="D33" s="404" t="str">
        <f ca="1">IF(Access_Data!B27="","",Access_Data!B27)</f>
        <v/>
      </c>
      <c r="E33" s="404" t="str">
        <f ca="1">IF(Access_Data!B29="","",Access_Data!B29)</f>
        <v/>
      </c>
      <c r="F33" s="404" t="str">
        <f ca="1">IF(Access_Data!B31="","",Access_Data!B31)</f>
        <v/>
      </c>
      <c r="G33" s="117"/>
      <c r="H33" s="117"/>
      <c r="I33" s="403" t="str">
        <f>IF(J33="","",21)</f>
        <v/>
      </c>
      <c r="J33" s="635" t="str">
        <f>IF(Main!O25="","",Main!O25)</f>
        <v/>
      </c>
      <c r="K33" s="635"/>
      <c r="L33" s="404" t="str">
        <f ca="1">IF(Access_Data!AB27="","",Access_Data!AB27)</f>
        <v/>
      </c>
      <c r="M33" s="404" t="str">
        <f ca="1">IF(Access_Data!AB29="","",Access_Data!AB29)</f>
        <v/>
      </c>
      <c r="N33" s="404" t="str">
        <f ca="1">IF(Access_Data!AB31="","",Access_Data!AB31)</f>
        <v/>
      </c>
    </row>
    <row r="34" spans="1:14" ht="18" customHeight="1" x14ac:dyDescent="0.2">
      <c r="A34" s="403" t="str">
        <f>IF(B34="","",2)</f>
        <v/>
      </c>
      <c r="B34" s="635" t="str">
        <f>IF(Main!O6="","",Main!O6)</f>
        <v/>
      </c>
      <c r="C34" s="635"/>
      <c r="D34" s="404" t="str">
        <f ca="1">IF(Access_Data!C27="","",Access_Data!C27)</f>
        <v/>
      </c>
      <c r="E34" s="404" t="str">
        <f ca="1">IF(Access_Data!C29="","",Access_Data!C29)</f>
        <v/>
      </c>
      <c r="F34" s="404" t="str">
        <f ca="1">IF(Access_Data!C31="","",Access_Data!C31)</f>
        <v/>
      </c>
      <c r="G34" s="117"/>
      <c r="H34" s="117"/>
      <c r="I34" s="403" t="str">
        <f>IF(J34="","",22)</f>
        <v/>
      </c>
      <c r="J34" s="635" t="str">
        <f>IF(Main!O26="","",Main!O26)</f>
        <v/>
      </c>
      <c r="K34" s="635"/>
      <c r="L34" s="404" t="str">
        <f ca="1">IF(Access_Data!AC27="","",Access_Data!AC27)</f>
        <v/>
      </c>
      <c r="M34" s="404" t="str">
        <f ca="1">IF(Access_Data!AC29="","",Access_Data!AC29)</f>
        <v/>
      </c>
      <c r="N34" s="404" t="str">
        <f ca="1">IF(Access_Data!AC31="","",Access_Data!AC31)</f>
        <v/>
      </c>
    </row>
    <row r="35" spans="1:14" ht="18" customHeight="1" x14ac:dyDescent="0.2">
      <c r="A35" s="403" t="str">
        <f>IF(B35="","",3)</f>
        <v/>
      </c>
      <c r="B35" s="635" t="str">
        <f>IF(Main!O7="","",Main!O7)</f>
        <v/>
      </c>
      <c r="C35" s="635"/>
      <c r="D35" s="404" t="str">
        <f ca="1">IF(Access_Data!D27="","",Access_Data!D27)</f>
        <v/>
      </c>
      <c r="E35" s="404" t="str">
        <f ca="1">IF(Access_Data!D29="","",Access_Data!D29)</f>
        <v/>
      </c>
      <c r="F35" s="404" t="str">
        <f ca="1">IF(Access_Data!D31="","",Access_Data!D31)</f>
        <v/>
      </c>
      <c r="G35" s="117"/>
      <c r="H35" s="117"/>
      <c r="I35" s="403" t="str">
        <f>IF(J35="","",23)</f>
        <v/>
      </c>
      <c r="J35" s="635" t="str">
        <f>IF(Main!O27="","",Main!O27)</f>
        <v/>
      </c>
      <c r="K35" s="635"/>
      <c r="L35" s="404" t="str">
        <f ca="1">IF(Access_Data!AD27="","",Access_Data!AD27)</f>
        <v/>
      </c>
      <c r="M35" s="404" t="str">
        <f ca="1">IF(Access_Data!AD29="","",Access_Data!AD29)</f>
        <v/>
      </c>
      <c r="N35" s="404" t="str">
        <f ca="1">IF(Access_Data!AD31="","",Access_Data!AD31)</f>
        <v/>
      </c>
    </row>
    <row r="36" spans="1:14" ht="18" customHeight="1" x14ac:dyDescent="0.2">
      <c r="A36" s="403" t="str">
        <f>IF(B36="","",4)</f>
        <v/>
      </c>
      <c r="B36" s="635" t="str">
        <f>IF(Main!O8="","",Main!O8)</f>
        <v/>
      </c>
      <c r="C36" s="635"/>
      <c r="D36" s="404" t="str">
        <f ca="1">IF(Access_Data!E27="","",Access_Data!E27)</f>
        <v/>
      </c>
      <c r="E36" s="404" t="str">
        <f ca="1">IF(Access_Data!E29="","",Access_Data!E29)</f>
        <v/>
      </c>
      <c r="F36" s="404" t="str">
        <f ca="1">IF(Access_Data!E31="","",Access_Data!E31)</f>
        <v/>
      </c>
      <c r="G36" s="117"/>
      <c r="H36" s="117"/>
      <c r="I36" s="403" t="str">
        <f>IF(J36="","",24)</f>
        <v/>
      </c>
      <c r="J36" s="635" t="str">
        <f>IF(Main!O28="","",Main!O28)</f>
        <v/>
      </c>
      <c r="K36" s="635"/>
      <c r="L36" s="404" t="str">
        <f ca="1">IF(Access_Data!AE27="","",Access_Data!AE27)</f>
        <v/>
      </c>
      <c r="M36" s="404" t="str">
        <f ca="1">IF(Access_Data!AE29="","",Access_Data!AE29)</f>
        <v/>
      </c>
      <c r="N36" s="404" t="str">
        <f ca="1">IF(Access_Data!AE31="","",Access_Data!AE31)</f>
        <v/>
      </c>
    </row>
    <row r="37" spans="1:14" ht="18" customHeight="1" x14ac:dyDescent="0.2">
      <c r="A37" s="403" t="str">
        <f>IF(B37="","",5)</f>
        <v/>
      </c>
      <c r="B37" s="635" t="str">
        <f>IF(Main!O9="","",Main!O9)</f>
        <v/>
      </c>
      <c r="C37" s="635"/>
      <c r="D37" s="404" t="str">
        <f ca="1">IF(Access_Data!F27="","",Access_Data!F27)</f>
        <v/>
      </c>
      <c r="E37" s="404" t="str">
        <f ca="1">IF(Access_Data!F29="","",Access_Data!F29)</f>
        <v/>
      </c>
      <c r="F37" s="404" t="str">
        <f ca="1">IF(Access_Data!F31="","",Access_Data!F31)</f>
        <v/>
      </c>
      <c r="G37" s="117"/>
      <c r="H37" s="117"/>
      <c r="I37" s="403" t="str">
        <f>IF(J37="","",25)</f>
        <v/>
      </c>
      <c r="J37" s="635" t="str">
        <f>IF(Main!O29="","",Main!O29)</f>
        <v/>
      </c>
      <c r="K37" s="635"/>
      <c r="L37" s="404" t="str">
        <f ca="1">IF(Access_Data!AF27="","",Access_Data!AF27)</f>
        <v/>
      </c>
      <c r="M37" s="404" t="str">
        <f ca="1">IF(Access_Data!AF29="","",Access_Data!AF29)</f>
        <v/>
      </c>
      <c r="N37" s="404" t="str">
        <f ca="1">IF(Access_Data!AF31="","",Access_Data!AF31)</f>
        <v/>
      </c>
    </row>
    <row r="38" spans="1:14" ht="18" customHeight="1" x14ac:dyDescent="0.2">
      <c r="A38" s="403" t="str">
        <f>IF(B38="","",6)</f>
        <v/>
      </c>
      <c r="B38" s="635" t="str">
        <f>IF(Main!O10="","",Main!O10)</f>
        <v/>
      </c>
      <c r="C38" s="635"/>
      <c r="D38" s="404" t="str">
        <f ca="1">IF(Access_Data!G27="","",Access_Data!G27)</f>
        <v/>
      </c>
      <c r="E38" s="404" t="str">
        <f ca="1">IF(Access_Data!G29="","",Access_Data!G29)</f>
        <v/>
      </c>
      <c r="F38" s="404" t="str">
        <f ca="1">IF(Access_Data!G31="","",Access_Data!G31)</f>
        <v/>
      </c>
      <c r="G38" s="117"/>
      <c r="H38" s="117"/>
      <c r="I38" s="403" t="str">
        <f>IF(J38="","",26)</f>
        <v/>
      </c>
      <c r="J38" s="635" t="str">
        <f>IF(Main!O30="","",Main!O30)</f>
        <v/>
      </c>
      <c r="K38" s="635"/>
      <c r="L38" s="404" t="str">
        <f ca="1">IF(Access_Data!AG27="","",Access_Data!AG27)</f>
        <v/>
      </c>
      <c r="M38" s="404" t="str">
        <f ca="1">IF(Access_Data!AG29="","",Access_Data!AG29)</f>
        <v/>
      </c>
      <c r="N38" s="404" t="str">
        <f ca="1">IF(Access_Data!AG31="","",Access_Data!AG31)</f>
        <v/>
      </c>
    </row>
    <row r="39" spans="1:14" ht="18" customHeight="1" x14ac:dyDescent="0.2">
      <c r="A39" s="403" t="str">
        <f>IF(B39="","",7)</f>
        <v/>
      </c>
      <c r="B39" s="635" t="str">
        <f>IF(Main!O11="","",Main!O11)</f>
        <v/>
      </c>
      <c r="C39" s="635"/>
      <c r="D39" s="404" t="str">
        <f ca="1">IF(Access_Data!H27="","",Access_Data!H27)</f>
        <v/>
      </c>
      <c r="E39" s="404" t="str">
        <f ca="1">IF(Access_Data!H29="","",Access_Data!H29)</f>
        <v/>
      </c>
      <c r="F39" s="404" t="str">
        <f ca="1">IF(Access_Data!H31="","",Access_Data!H31)</f>
        <v/>
      </c>
      <c r="G39" s="117"/>
      <c r="H39" s="117"/>
      <c r="I39" s="403" t="str">
        <f>IF(J39="","",27)</f>
        <v/>
      </c>
      <c r="J39" s="635" t="str">
        <f>IF(Main!O31="","",Main!O31)</f>
        <v/>
      </c>
      <c r="K39" s="635"/>
      <c r="L39" s="404" t="str">
        <f ca="1">IF(Access_Data!AH27="","",Access_Data!AH27)</f>
        <v/>
      </c>
      <c r="M39" s="404" t="str">
        <f ca="1">IF(Access_Data!AH29="","",Access_Data!AH29)</f>
        <v/>
      </c>
      <c r="N39" s="404" t="str">
        <f ca="1">IF(Access_Data!AH31="","",Access_Data!AH31)</f>
        <v/>
      </c>
    </row>
    <row r="40" spans="1:14" ht="18" customHeight="1" x14ac:dyDescent="0.2">
      <c r="A40" s="403" t="str">
        <f>IF(B40="","",8)</f>
        <v/>
      </c>
      <c r="B40" s="635" t="str">
        <f>IF(Main!O12="","",Main!O12)</f>
        <v/>
      </c>
      <c r="C40" s="635"/>
      <c r="D40" s="404" t="str">
        <f ca="1">IF(Access_Data!I27="","",Access_Data!I27)</f>
        <v/>
      </c>
      <c r="E40" s="404" t="str">
        <f ca="1">IF(Access_Data!I29="","",Access_Data!I29)</f>
        <v/>
      </c>
      <c r="F40" s="404" t="str">
        <f ca="1">IF(Access_Data!I31="","",Access_Data!I31)</f>
        <v/>
      </c>
      <c r="G40" s="117"/>
      <c r="H40" s="117"/>
      <c r="I40" s="403" t="str">
        <f>IF(J40="","",28)</f>
        <v/>
      </c>
      <c r="J40" s="635" t="str">
        <f>IF(Main!O32="","",Main!O32)</f>
        <v/>
      </c>
      <c r="K40" s="635"/>
      <c r="L40" s="404" t="str">
        <f ca="1">IF(Access_Data!AI27="","",Access_Data!AI27)</f>
        <v/>
      </c>
      <c r="M40" s="404" t="str">
        <f ca="1">IF(Access_Data!AI29="","",Access_Data!AI29)</f>
        <v/>
      </c>
      <c r="N40" s="404" t="str">
        <f ca="1">IF(Access_Data!AI31="","",Access_Data!AI31)</f>
        <v/>
      </c>
    </row>
    <row r="41" spans="1:14" ht="18" customHeight="1" x14ac:dyDescent="0.2">
      <c r="A41" s="403" t="str">
        <f>IF(B41="","",9)</f>
        <v/>
      </c>
      <c r="B41" s="635" t="str">
        <f>IF(Main!O13="","",Main!O13)</f>
        <v/>
      </c>
      <c r="C41" s="635"/>
      <c r="D41" s="404" t="str">
        <f ca="1">IF(Access_Data!J27="","",Access_Data!J27)</f>
        <v/>
      </c>
      <c r="E41" s="404" t="str">
        <f ca="1">IF(Access_Data!J29="","",Access_Data!J29)</f>
        <v/>
      </c>
      <c r="F41" s="404" t="str">
        <f ca="1">IF(Access_Data!J31="","",Access_Data!J31)</f>
        <v/>
      </c>
      <c r="G41" s="117"/>
      <c r="H41" s="117"/>
      <c r="I41" s="403" t="str">
        <f>IF(J41="","",29)</f>
        <v/>
      </c>
      <c r="J41" s="635" t="str">
        <f>IF(Main!O33="","",Main!O33)</f>
        <v/>
      </c>
      <c r="K41" s="635"/>
      <c r="L41" s="404" t="str">
        <f ca="1">IF(Access_Data!AP27="","",Access_Data!AP27)</f>
        <v/>
      </c>
      <c r="M41" s="404" t="str">
        <f ca="1">IF(Access_Data!AP29="","",Access_Data!AP29)</f>
        <v/>
      </c>
      <c r="N41" s="404" t="str">
        <f ca="1">IF(Access_Data!AP31="","",Access_Data!AP31)</f>
        <v/>
      </c>
    </row>
    <row r="42" spans="1:14" ht="18" customHeight="1" x14ac:dyDescent="0.2">
      <c r="A42" s="403" t="str">
        <f>IF(B42="","",10)</f>
        <v/>
      </c>
      <c r="B42" s="635" t="str">
        <f>IF(Main!O14="","",Main!O14)</f>
        <v/>
      </c>
      <c r="C42" s="635"/>
      <c r="D42" s="404" t="str">
        <f ca="1">IF(Access_Data!K27="","",Access_Data!K27)</f>
        <v/>
      </c>
      <c r="E42" s="404" t="str">
        <f ca="1">IF(Access_Data!K29="","",Access_Data!K29)</f>
        <v/>
      </c>
      <c r="F42" s="404" t="str">
        <f ca="1">IF(Access_Data!K31="","",Access_Data!K31)</f>
        <v/>
      </c>
      <c r="G42" s="117"/>
      <c r="H42" s="117"/>
      <c r="I42" s="403" t="str">
        <f>IF(J42="","",30)</f>
        <v/>
      </c>
      <c r="J42" s="635" t="str">
        <f>IF(Main!O34="","",Main!O34)</f>
        <v/>
      </c>
      <c r="K42" s="635"/>
      <c r="L42" s="404" t="str">
        <f ca="1">IF(Access_Data!AQ27="","",Access_Data!AQ27)</f>
        <v/>
      </c>
      <c r="M42" s="404" t="str">
        <f ca="1">IF(Access_Data!AQ29="","",Access_Data!AQ29)</f>
        <v/>
      </c>
      <c r="N42" s="404">
        <f ca="1">IF(Access_Data!AQ31="","",Access_Data!AQ31)</f>
        <v>0</v>
      </c>
    </row>
    <row r="43" spans="1:14" ht="18" customHeight="1" x14ac:dyDescent="0.2">
      <c r="A43" s="403" t="str">
        <f>IF(B43="","",11)</f>
        <v/>
      </c>
      <c r="B43" s="635" t="str">
        <f>IF(Main!O15="","",Main!O15)</f>
        <v/>
      </c>
      <c r="C43" s="635"/>
      <c r="D43" s="404" t="str">
        <f ca="1">IF(Access_Data!L27="","",Access_Data!L27)</f>
        <v/>
      </c>
      <c r="E43" s="404" t="str">
        <f ca="1">IF(Access_Data!L29="","",Access_Data!L29)</f>
        <v/>
      </c>
      <c r="F43" s="404" t="str">
        <f ca="1">IF(Access_Data!L31="","",Access_Data!L31)</f>
        <v/>
      </c>
      <c r="G43" s="117"/>
      <c r="H43" s="117"/>
      <c r="I43" s="403" t="str">
        <f>IF(J43="","",31)</f>
        <v/>
      </c>
      <c r="J43" s="635" t="str">
        <f>IF(Main!O35="","",Main!O35)</f>
        <v/>
      </c>
      <c r="K43" s="635"/>
      <c r="L43" s="404" t="str">
        <f ca="1">IF(Access_Data!AR27="","",Access_Data!AR27)</f>
        <v/>
      </c>
      <c r="M43" s="404" t="str">
        <f ca="1">IF(Access_Data!AR29="","",Access_Data!AR29)</f>
        <v/>
      </c>
      <c r="N43" s="404">
        <f ca="1">IF(Access_Data!AR31="","",Access_Data!AR31)</f>
        <v>0</v>
      </c>
    </row>
    <row r="44" spans="1:14" ht="18" customHeight="1" x14ac:dyDescent="0.2">
      <c r="A44" s="403" t="str">
        <f>IF(B44="","",12)</f>
        <v/>
      </c>
      <c r="B44" s="635" t="str">
        <f>IF(Main!O16="","",Main!O16)</f>
        <v/>
      </c>
      <c r="C44" s="635"/>
      <c r="D44" s="404" t="str">
        <f ca="1">IF(Access_Data!M27="","",Access_Data!M27)</f>
        <v/>
      </c>
      <c r="E44" s="404" t="str">
        <f ca="1">IF(Access_Data!M29="","",Access_Data!M29)</f>
        <v/>
      </c>
      <c r="F44" s="404" t="str">
        <f ca="1">IF(Access_Data!M31="","",Access_Data!M31)</f>
        <v/>
      </c>
      <c r="G44" s="117"/>
      <c r="H44" s="117"/>
      <c r="I44" s="403" t="str">
        <f>IF(J44="","",32)</f>
        <v/>
      </c>
      <c r="J44" s="635" t="str">
        <f>IF(Main!O36="","",Main!O36)</f>
        <v/>
      </c>
      <c r="K44" s="635"/>
      <c r="L44" s="404" t="str">
        <f ca="1">IF(Access_Data!AS27="","",Access_Data!AS27)</f>
        <v/>
      </c>
      <c r="M44" s="404" t="str">
        <f ca="1">IF(Access_Data!AS29="","",Access_Data!AS29)</f>
        <v/>
      </c>
      <c r="N44" s="404">
        <f ca="1">IF(Access_Data!AS31="","",Access_Data!AS31)</f>
        <v>0</v>
      </c>
    </row>
    <row r="45" spans="1:14" ht="18" customHeight="1" x14ac:dyDescent="0.2">
      <c r="A45" s="403" t="str">
        <f>IF(B45="","",13)</f>
        <v/>
      </c>
      <c r="B45" s="635" t="str">
        <f>IF(Main!O17="","",Main!O17)</f>
        <v/>
      </c>
      <c r="C45" s="635"/>
      <c r="D45" s="404" t="str">
        <f ca="1">IF(Access_Data!N27="","",Access_Data!N27)</f>
        <v/>
      </c>
      <c r="E45" s="404" t="str">
        <f ca="1">IF(Access_Data!N29="","",Access_Data!N29)</f>
        <v/>
      </c>
      <c r="F45" s="404" t="str">
        <f ca="1">IF(Access_Data!N31="","",Access_Data!N31)</f>
        <v/>
      </c>
      <c r="G45" s="117"/>
      <c r="H45" s="117"/>
      <c r="I45" s="403" t="str">
        <f>IF(J45="","",33)</f>
        <v/>
      </c>
      <c r="J45" s="635" t="str">
        <f>IF(Main!O37="","",Main!O37)</f>
        <v/>
      </c>
      <c r="K45" s="635"/>
      <c r="L45" s="404" t="str">
        <f ca="1">IF(Access_Data!AT27="","",Access_Data!AT27)</f>
        <v/>
      </c>
      <c r="M45" s="404" t="str">
        <f ca="1">IF(Access_Data!AT29="","",Access_Data!AT29)</f>
        <v/>
      </c>
      <c r="N45" s="404">
        <f ca="1">IF(Access_Data!AT31="","",Access_Data!AT31)</f>
        <v>0</v>
      </c>
    </row>
    <row r="46" spans="1:14" ht="18" customHeight="1" x14ac:dyDescent="0.2">
      <c r="A46" s="403" t="str">
        <f>IF(B46="","",14)</f>
        <v/>
      </c>
      <c r="B46" s="635" t="str">
        <f>IF(Main!O18="","",Main!O18)</f>
        <v/>
      </c>
      <c r="C46" s="635"/>
      <c r="D46" s="404" t="str">
        <f ca="1">IF(Access_Data!O27="","",Access_Data!O27)</f>
        <v/>
      </c>
      <c r="E46" s="404" t="str">
        <f ca="1">IF(Access_Data!O29="","",Access_Data!O29)</f>
        <v/>
      </c>
      <c r="F46" s="404" t="str">
        <f ca="1">IF(Access_Data!O31="","",Access_Data!O31)</f>
        <v/>
      </c>
      <c r="G46" s="117"/>
      <c r="H46" s="117"/>
      <c r="I46" s="403" t="str">
        <f>IF(J46="","",34)</f>
        <v/>
      </c>
      <c r="J46" s="635" t="str">
        <f>IF(Main!O38="","",Main!O38)</f>
        <v/>
      </c>
      <c r="K46" s="635"/>
      <c r="L46" s="404" t="str">
        <f ca="1">IF(Access_Data!AU27="","",Access_Data!AU27)</f>
        <v/>
      </c>
      <c r="M46" s="404" t="str">
        <f ca="1">IF(Access_Data!AU29="","",Access_Data!AU29)</f>
        <v/>
      </c>
      <c r="N46" s="404">
        <f ca="1">IF(Access_Data!AU31="","",Access_Data!AU31)</f>
        <v>0</v>
      </c>
    </row>
    <row r="47" spans="1:14" ht="18" customHeight="1" x14ac:dyDescent="0.2">
      <c r="A47" s="403" t="str">
        <f>IF(B47="","",15)</f>
        <v/>
      </c>
      <c r="B47" s="635" t="str">
        <f>IF(Main!O19="","",Main!O19)</f>
        <v/>
      </c>
      <c r="C47" s="635"/>
      <c r="D47" s="404" t="str">
        <f ca="1">IF(Access_Data!V27="","",Access_Data!V27)</f>
        <v/>
      </c>
      <c r="E47" s="404" t="str">
        <f ca="1">IF(Access_Data!V29="","",Access_Data!V29)</f>
        <v/>
      </c>
      <c r="F47" s="404" t="str">
        <f ca="1">IF(Access_Data!V31="","",Access_Data!V31)</f>
        <v/>
      </c>
      <c r="G47" s="117"/>
      <c r="H47" s="117"/>
      <c r="I47" s="403" t="str">
        <f>IF(J47="","",35)</f>
        <v/>
      </c>
      <c r="J47" s="635" t="str">
        <f>IF(Main!O39="","",Main!O39)</f>
        <v/>
      </c>
      <c r="K47" s="635"/>
      <c r="L47" s="404" t="str">
        <f ca="1">IF(Access_Data!AV27="","",Access_Data!AV27)</f>
        <v/>
      </c>
      <c r="M47" s="404" t="str">
        <f ca="1">IF(Access_Data!AV29="","",Access_Data!AV29)</f>
        <v/>
      </c>
      <c r="N47" s="404">
        <f ca="1">IF(Access_Data!AV31="","",Access_Data!AV31)</f>
        <v>0</v>
      </c>
    </row>
    <row r="48" spans="1:14" ht="18" customHeight="1" x14ac:dyDescent="0.2">
      <c r="A48" s="403" t="str">
        <f>IF(B48="","",16)</f>
        <v/>
      </c>
      <c r="B48" s="635" t="str">
        <f>IF(Main!O20="","",Main!O20)</f>
        <v/>
      </c>
      <c r="C48" s="635"/>
      <c r="D48" s="404" t="str">
        <f ca="1">IF(Access_Data!W27="","",Access_Data!W27)</f>
        <v/>
      </c>
      <c r="E48" s="404" t="str">
        <f ca="1">IF(Access_Data!W29="","",Access_Data!W29)</f>
        <v/>
      </c>
      <c r="F48" s="404" t="str">
        <f ca="1">IF(Access_Data!W31="","",Access_Data!W31)</f>
        <v/>
      </c>
      <c r="G48" s="117"/>
      <c r="H48" s="117"/>
      <c r="I48" s="403" t="str">
        <f>IF(J48="","",36)</f>
        <v/>
      </c>
      <c r="J48" s="635" t="str">
        <f>IF(Main!O40="","",Main!O40)</f>
        <v/>
      </c>
      <c r="K48" s="635"/>
      <c r="L48" s="404" t="str">
        <f ca="1">IF(Access_Data!AW27="","",Access_Data!AW27)</f>
        <v/>
      </c>
      <c r="M48" s="404" t="str">
        <f ca="1">IF(Access_Data!AW29="","",Access_Data!AW29)</f>
        <v/>
      </c>
      <c r="N48" s="404">
        <f ca="1">IF(Access_Data!AW31="","",Access_Data!AW31)</f>
        <v>0</v>
      </c>
    </row>
    <row r="49" spans="1:23" ht="18" customHeight="1" x14ac:dyDescent="0.2">
      <c r="A49" s="403" t="str">
        <f>IF(B49="","",17)</f>
        <v/>
      </c>
      <c r="B49" s="635" t="str">
        <f>IF(Main!O21="","",Main!O21)</f>
        <v/>
      </c>
      <c r="C49" s="635"/>
      <c r="D49" s="404" t="str">
        <f ca="1">IF(Access_Data!X27="","",Access_Data!X27)</f>
        <v/>
      </c>
      <c r="E49" s="404" t="str">
        <f ca="1">IF(Access_Data!X29="","",Access_Data!X29)</f>
        <v/>
      </c>
      <c r="F49" s="404" t="str">
        <f ca="1">IF(Access_Data!X31="","",Access_Data!X31)</f>
        <v/>
      </c>
      <c r="G49" s="117"/>
      <c r="H49" s="117"/>
      <c r="I49" s="403" t="str">
        <f>IF(J49="","",37)</f>
        <v/>
      </c>
      <c r="J49" s="635" t="str">
        <f>IF(Main!O41="","",Main!O41)</f>
        <v/>
      </c>
      <c r="K49" s="635"/>
      <c r="L49" s="404" t="str">
        <f ca="1">IF(Access_Data!AX27="","",Access_Data!AX27)</f>
        <v/>
      </c>
      <c r="M49" s="404" t="str">
        <f ca="1">IF(Access_Data!AX29="","",Access_Data!AX29)</f>
        <v/>
      </c>
      <c r="N49" s="404">
        <f ca="1">IF(Access_Data!AX31="","",Access_Data!AX31)</f>
        <v>0</v>
      </c>
    </row>
    <row r="50" spans="1:23" ht="18" customHeight="1" x14ac:dyDescent="0.2">
      <c r="A50" s="403" t="str">
        <f>IF(B50="","",18)</f>
        <v/>
      </c>
      <c r="B50" s="635" t="str">
        <f>IF(Main!O22="","",Main!O22)</f>
        <v/>
      </c>
      <c r="C50" s="635"/>
      <c r="D50" s="404" t="str">
        <f ca="1">IF(Access_Data!Y27="","",Access_Data!Y27)</f>
        <v/>
      </c>
      <c r="E50" s="404" t="str">
        <f ca="1">IF(Access_Data!Y29="","",Access_Data!Y29)</f>
        <v/>
      </c>
      <c r="F50" s="404" t="str">
        <f ca="1">IF(Access_Data!Y31="","",Access_Data!Y31)</f>
        <v/>
      </c>
      <c r="G50" s="117"/>
      <c r="H50" s="117"/>
      <c r="I50" s="403" t="str">
        <f>IF(J50="","",38)</f>
        <v/>
      </c>
      <c r="J50" s="635" t="str">
        <f>IF(Main!O42="","",Main!O42)</f>
        <v/>
      </c>
      <c r="K50" s="635"/>
      <c r="L50" s="404" t="str">
        <f ca="1">IF(Access_Data!AY27="","",Access_Data!AY27)</f>
        <v/>
      </c>
      <c r="M50" s="404" t="str">
        <f ca="1">IF(Access_Data!AY29="","",Access_Data!AY29)</f>
        <v/>
      </c>
      <c r="N50" s="404">
        <f ca="1">IF(Access_Data!AY31="","",Access_Data!AY31)</f>
        <v>0</v>
      </c>
    </row>
    <row r="51" spans="1:23" ht="18" customHeight="1" x14ac:dyDescent="0.2">
      <c r="A51" s="403" t="str">
        <f>IF(B51="","",19)</f>
        <v/>
      </c>
      <c r="B51" s="635" t="str">
        <f>IF(Main!O23="","",Main!O23)</f>
        <v/>
      </c>
      <c r="C51" s="635"/>
      <c r="D51" s="404" t="str">
        <f ca="1">IF(Access_Data!Z27="","",Access_Data!X27)</f>
        <v/>
      </c>
      <c r="E51" s="404" t="str">
        <f ca="1">IF(Access_Data!Z29="","",Access_Data!Z29)</f>
        <v/>
      </c>
      <c r="F51" s="404" t="str">
        <f ca="1">IF(Access_Data!Z31="","",Access_Data!Z31)</f>
        <v/>
      </c>
      <c r="G51" s="117"/>
      <c r="H51" s="117"/>
      <c r="I51" s="403" t="str">
        <f>IF(J51="","",39)</f>
        <v/>
      </c>
      <c r="J51" s="635" t="str">
        <f>IF(Main!O43="","",Main!O43)</f>
        <v/>
      </c>
      <c r="K51" s="635"/>
      <c r="L51" s="404" t="str">
        <f ca="1">IF(Access_Data!AZ27="","",Access_Data!AZ27)</f>
        <v/>
      </c>
      <c r="M51" s="404" t="str">
        <f ca="1">IF(Access_Data!AZ29="","",Access_Data!AZ29)</f>
        <v/>
      </c>
      <c r="N51" s="404">
        <f ca="1">IF(Access_Data!AZ31="","",Access_Data!AZ31)</f>
        <v>0</v>
      </c>
    </row>
    <row r="52" spans="1:23" ht="18" customHeight="1" x14ac:dyDescent="0.2">
      <c r="A52" s="403" t="str">
        <f>IF(B52="","",20)</f>
        <v/>
      </c>
      <c r="B52" s="635" t="str">
        <f>IF(Main!O24="","",Main!O24)</f>
        <v/>
      </c>
      <c r="C52" s="635"/>
      <c r="D52" s="404" t="str">
        <f ca="1">IF(Access_Data!AA27="","",Access_Data!AA27)</f>
        <v/>
      </c>
      <c r="E52" s="404" t="str">
        <f ca="1">IF(Access_Data!AA29="","",Access_Data!AA29)</f>
        <v/>
      </c>
      <c r="F52" s="404" t="str">
        <f ca="1">IF(Access_Data!AA31="","",Access_Data!AA31)</f>
        <v/>
      </c>
      <c r="G52" s="117"/>
      <c r="H52" s="117"/>
      <c r="I52" s="403" t="str">
        <f>IF(J52="","",40)</f>
        <v/>
      </c>
      <c r="J52" s="635" t="str">
        <f>IF(Main!O44="","",Main!O44)</f>
        <v/>
      </c>
      <c r="K52" s="635"/>
      <c r="L52" s="404" t="str">
        <f ca="1">IF(Access_Data!BA27="","",Access_Data!BA27)</f>
        <v/>
      </c>
      <c r="M52" s="404" t="str">
        <f ca="1">IF(Access_Data!BA29="","",Access_Data!BA29)</f>
        <v/>
      </c>
      <c r="N52" s="404">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5"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0" t="str">
        <f>IFERROR(VLOOKUP(Main!$L47,Table3[],3,FALSE),"")</f>
        <v/>
      </c>
      <c r="T63" s="360" t="str">
        <f>IFERROR(VLOOKUP(Main!$L$47,Table3[],4,FALSE),"")</f>
        <v/>
      </c>
      <c r="V63" s="360"/>
      <c r="W63" s="360"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0" t="str">
        <f>IFERROR(VLOOKUP(Main!$L48,Table3[],3,FALSE),"")</f>
        <v/>
      </c>
      <c r="T64" s="360" t="str">
        <f>IFERROR(VLOOKUP(Main!$L$47,Table3[],4,FALSE),"")</f>
        <v/>
      </c>
      <c r="V64" s="360"/>
      <c r="W64" s="360"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0" t="str">
        <f>IFERROR(VLOOKUP(Main!$L49,Table3[],3,FALSE),"")</f>
        <v/>
      </c>
      <c r="T65" s="360" t="str">
        <f>IFERROR(VLOOKUP(Main!$L$47,Table3[],4,FALSE),"")</f>
        <v/>
      </c>
      <c r="V65" s="360"/>
      <c r="W65" s="360"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0" t="str">
        <f>IFERROR(VLOOKUP(Main!$L50,Table3[],3,FALSE),"")</f>
        <v/>
      </c>
      <c r="T66" s="360" t="str">
        <f>IFERROR(VLOOKUP(Main!$L$47,Table3[],4,FALSE),"")</f>
        <v/>
      </c>
      <c r="V66" s="360"/>
      <c r="W66" s="360"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0" t="str">
        <f>IFERROR(VLOOKUP(Main!$L51,Table3[],3,FALSE),"")</f>
        <v/>
      </c>
      <c r="T67" s="360" t="str">
        <f>IFERROR(VLOOKUP(Main!$L$47,Table3[],4,FALSE),"")</f>
        <v/>
      </c>
      <c r="V67" s="360"/>
      <c r="W67" s="360"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0" t="str">
        <f>IFERROR(VLOOKUP(Main!$L52,Table3[],3,FALSE),"")</f>
        <v/>
      </c>
      <c r="T68" s="360" t="str">
        <f>IFERROR(VLOOKUP(Main!$L$47,Table3[],4,FALSE),"")</f>
        <v/>
      </c>
      <c r="V68" s="360"/>
      <c r="W68" s="360"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ErBMlhbuCHuTSjTCOp1PYoa+PGeMJoKAiosvIvE2TNorA41TTAx1+We2HGKRaarP5zEljxeWu6kG68cw++VUnA==" saltValue="w4s2pxBUx5S2C/Akm51DgQ=="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sqref="A1:B23"/>
    </sheetView>
  </sheetViews>
  <sheetFormatPr defaultRowHeight="12.75" x14ac:dyDescent="0.2"/>
  <cols>
    <col min="1" max="1" width="24.85546875" bestFit="1" customWidth="1"/>
    <col min="2" max="2" width="32.85546875" bestFit="1" customWidth="1"/>
  </cols>
  <sheetData>
    <row r="1" spans="1:2" x14ac:dyDescent="0.2">
      <c r="A1"/>
      <c r="B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oK72uOT37ZuJlh0QOYu6KJYGkBNVRt1Mug8Wbt8LDED3wgvnli0MXBYT32ZyB9ZpBiSG15YRB2oJ+U9ABhkOww==" saltValue="lt2TA/7Ak240cWtqNmjob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TH8GMJxB+ng0EEjKfCVTYHG+k/DS412PspTseja/6k0Kd2W3uUIqP1EE1B0fm6iHa3TOAY46b+7uz+Ar8CmHtw==" saltValue="pa5F9lj8ya2UcUV7sE6lMQ=="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P1" zoomScale="80" zoomScaleNormal="80" workbookViewId="0">
      <selection activeCell="CA13" sqref="CA1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5538</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
        <v>3667</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_xlfn.XLOOKUP(AssetId,ClientAssets[Column2],ClientAssets[Column27],"")</f>
        <v/>
      </c>
      <c r="BC2" t="str">
        <f>_xlfn.XLOOKUP(AssetId,ClientAssets[Column2],ClientAssets[Column3],"")</f>
        <v/>
      </c>
      <c r="BD2" t="str">
        <f>VLOOKUP($AP2,$D2:$AK977,11,FALSE)</f>
        <v>Oven No. 1</v>
      </c>
      <c r="BE2" t="str">
        <f>_xlfn.XLOOKUP(AssetId,ClientAssets[Column2],ClientAssets[Column17],"")</f>
        <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1818</v>
      </c>
      <c r="CB2" t="e">
        <f>VLOOKUP(CB1,ClientAssetAttributes[],2,FALSE)</f>
        <v>#N/A</v>
      </c>
      <c r="CC2" t="e">
        <f>VLOOKUP(CC1,ClientAssetAttributes[],2,FALSE)</f>
        <v>#N/A</v>
      </c>
      <c r="CD2" t="e">
        <f>VLOOKUP(CD1,ClientAssetAttributes[],2,FALSE)</f>
        <v>#N/A</v>
      </c>
      <c r="CE2" t="e">
        <f>VLOOKUP(CE1,ClientAssetAttributes[],2,FALSE)</f>
        <v>#N/A</v>
      </c>
      <c r="CF2" t="e">
        <f>MATCH(Main!D$5,B$2:B$500,1)</f>
        <v>#N/A</v>
      </c>
      <c r="CG2" s="446" t="str" cm="1">
        <f t="array" ref="CG2:CG1644">customers[CompanyName]</f>
        <v>1 VISION AVIATION</v>
      </c>
      <c r="CH2" cm="1">
        <f t="array" ref="CH2">ClientAssets[Column8]</f>
        <v>0</v>
      </c>
      <c r="CI2" s="483"/>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spiGKahonRkjHCIuQtLC1txwhaFA2eVkuxCksqveeCc+glPPkl0OGXpCE1P45bXSpuq/d7tyruH5dZn9KKzs7Q==" saltValue="gxNR+5FP8hcUaKo3C7rs2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tiSgdcApoRO+DvCzZJXePqvpVFSMty5njF1T2Jx+6rYkSFNjESSa96RtV4aZGL1phaLBREgjmTDpdo1kG/2PFQ==" saltValue="a3V4GU0rdcuVfyLVuibxr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5" priority="1" stopIfTrue="1" operator="between">
      <formula>$E$1</formula>
      <formula>$E$2</formula>
    </cfRule>
    <cfRule type="cellIs" dxfId="64" priority="2" stopIfTrue="1" operator="greaterThan">
      <formula>$C$2</formula>
    </cfRule>
    <cfRule type="cellIs" dxfId="63" priority="3" stopIfTrue="1" operator="lessThan">
      <formula>$C$1</formula>
    </cfRule>
    <cfRule type="cellIs" dxfId="6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H8D2W/zxIxbtr7YhYFABVsPTe6NsHHGJK3Wu//QAkwsmJIAjAdHWKOj22F3zzHv5t8DctMhQ96/+m5CMgCOLzQ==" saltValue="NJ4EQDHmiPtNxOLt/NFCs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1" priority="1" stopIfTrue="1" operator="between">
      <formula>$E$1</formula>
      <formula>$E$2</formula>
    </cfRule>
    <cfRule type="cellIs" dxfId="60" priority="2" stopIfTrue="1" operator="greaterThan">
      <formula>$C$2</formula>
    </cfRule>
    <cfRule type="cellIs" dxfId="59" priority="3" stopIfTrue="1" operator="lessThan">
      <formula>$C$1</formula>
    </cfRule>
    <cfRule type="cellIs" dxfId="5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b9I8p3rxFXx/eDc7ZQTUwrEwGkbGXUkCqHsxUcHPw2nmKk7NCyqxW9+s4QH1OXhkLcNwSQGFQJTMlhRBKPRCeQ==" saltValue="JQnjNjPiVN9luWJNuDRb2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7" priority="1" stopIfTrue="1" operator="between">
      <formula>$E$1</formula>
      <formula>$E$2</formula>
    </cfRule>
    <cfRule type="cellIs" dxfId="56" priority="2" stopIfTrue="1" operator="greaterThan">
      <formula>$C$2</formula>
    </cfRule>
    <cfRule type="cellIs" dxfId="55" priority="3" stopIfTrue="1" operator="lessThan">
      <formula>$C$1</formula>
    </cfRule>
    <cfRule type="cellIs" dxfId="5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cwvxNsyJltOUhmAwEoS56XAXoslBKObEbbjvPa5HBr6VE+YoQPztG05O2KkOjivkKyXiLpK12PDG1HVCqW2ckw==" saltValue="RAnRdwitNm89rHIYh87SlA=="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yFY5HduehZdkjEgY44TW7b8UV0m1qW8XWKXHBu/EwyewzMjE1PP3RQ2vuPXkIUaZf8WLV0PPftXeJJ1KsjV5+w==" saltValue="QNZQwYYEOLKo6PnDXc0TxQ==" spinCount="100000" sheet="1" objects="1" scenarios="1" selectLockedCells="1" autoFilter="0"/>
  <mergeCells count="2">
    <mergeCell ref="D32:M34"/>
    <mergeCell ref="C37:M40"/>
  </mergeCells>
  <phoneticPr fontId="23" type="noConversion"/>
  <conditionalFormatting sqref="C45">
    <cfRule type="expression" dxfId="53" priority="33">
      <formula>ISNUMBER(SEARCH(".",C45))</formula>
    </cfRule>
    <cfRule type="expression" dxfId="52" priority="34">
      <formula>ISERROR(SEARCH(".",C45))</formula>
    </cfRule>
  </conditionalFormatting>
  <conditionalFormatting sqref="D10:D18">
    <cfRule type="expression" dxfId="51" priority="31">
      <formula>ISERROR(SEARCH(1,$D$19))</formula>
    </cfRule>
    <cfRule type="expression" dxfId="50" priority="32">
      <formula>ISNUMBER(SEARCH(1,$D$19))</formula>
    </cfRule>
  </conditionalFormatting>
  <conditionalFormatting sqref="G11:G18">
    <cfRule type="expression" dxfId="49" priority="29">
      <formula>ISERROR(SEARCH(1,$G$19))</formula>
    </cfRule>
    <cfRule type="expression" dxfId="48" priority="30">
      <formula>ISNUMBER(SEARCH(1,$G$19))</formula>
    </cfRule>
  </conditionalFormatting>
  <conditionalFormatting sqref="G10">
    <cfRule type="expression" dxfId="47" priority="27">
      <formula>ISERROR(SEARCH(1,$G$19))</formula>
    </cfRule>
    <cfRule type="expression" dxfId="46" priority="28">
      <formula>ISNUMBER(SEARCH(1,$G$19))</formula>
    </cfRule>
  </conditionalFormatting>
  <conditionalFormatting sqref="J11:J18">
    <cfRule type="expression" dxfId="45" priority="25">
      <formula>ISERROR(SEARCH(1,$J$19))</formula>
    </cfRule>
    <cfRule type="expression" dxfId="44" priority="26">
      <formula>ISNUMBER(SEARCH(1,$J$19))</formula>
    </cfRule>
  </conditionalFormatting>
  <conditionalFormatting sqref="J10">
    <cfRule type="expression" dxfId="43" priority="23">
      <formula>ISERROR(SEARCH(1,$J$19))</formula>
    </cfRule>
    <cfRule type="expression" dxfId="42" priority="24">
      <formula>ISNUMBER(SEARCH(1,$J$19))</formula>
    </cfRule>
  </conditionalFormatting>
  <conditionalFormatting sqref="M11:M18">
    <cfRule type="expression" dxfId="41" priority="21">
      <formula>ISERROR(SEARCH(1,$M$19))</formula>
    </cfRule>
    <cfRule type="expression" dxfId="40" priority="22">
      <formula>ISNUMBER(SEARCH(1,$M$19))</formula>
    </cfRule>
  </conditionalFormatting>
  <conditionalFormatting sqref="M10">
    <cfRule type="expression" dxfId="39" priority="19">
      <formula>ISERROR(SEARCH(1,$M$19))</formula>
    </cfRule>
    <cfRule type="expression" dxfId="38" priority="20">
      <formula>ISNUMBER(SEARCH(1,$M$19))</formula>
    </cfRule>
  </conditionalFormatting>
  <conditionalFormatting sqref="G23:G30">
    <cfRule type="expression" dxfId="37" priority="13">
      <formula>ISERROR(SEARCH(1,$G$31))</formula>
    </cfRule>
    <cfRule type="expression" dxfId="36" priority="14">
      <formula>ISNUMBER(SEARCH(1,$G$31))</formula>
    </cfRule>
  </conditionalFormatting>
  <conditionalFormatting sqref="G22">
    <cfRule type="expression" dxfId="35" priority="11">
      <formula>ISERROR(SEARCH(1,$G$31))</formula>
    </cfRule>
    <cfRule type="expression" dxfId="34" priority="12">
      <formula>ISNUMBER(SEARCH(1,$G$31))</formula>
    </cfRule>
  </conditionalFormatting>
  <conditionalFormatting sqref="J23:J30">
    <cfRule type="expression" dxfId="33" priority="9">
      <formula>ISERROR(SEARCH(1,$J$31))</formula>
    </cfRule>
    <cfRule type="expression" dxfId="32" priority="10">
      <formula>ISNUMBER(SEARCH(1,$J$31))</formula>
    </cfRule>
  </conditionalFormatting>
  <conditionalFormatting sqref="J22">
    <cfRule type="expression" dxfId="31" priority="7">
      <formula>ISERROR(SEARCH(1,$J$31))</formula>
    </cfRule>
    <cfRule type="expression" dxfId="30" priority="8">
      <formula>ISNUMBER(SEARCH(1,$J$31))</formula>
    </cfRule>
  </conditionalFormatting>
  <conditionalFormatting sqref="M23:M30">
    <cfRule type="expression" dxfId="29" priority="5">
      <formula>ISERROR(SEARCH(1,$M$31))</formula>
    </cfRule>
    <cfRule type="expression" dxfId="28" priority="6">
      <formula>ISNUMBER(SEARCH(1,$M$31))</formula>
    </cfRule>
  </conditionalFormatting>
  <conditionalFormatting sqref="M22">
    <cfRule type="expression" dxfId="27" priority="3">
      <formula>ISERROR(SEARCH(1,$M$31))</formula>
    </cfRule>
    <cfRule type="expression" dxfId="26" priority="4">
      <formula>ISNUMBER(SEARCH(1,$M$31))</formula>
    </cfRule>
  </conditionalFormatting>
  <conditionalFormatting sqref="D22:D30">
    <cfRule type="expression" dxfId="25" priority="1">
      <formula>ISERROR(SEARCH(1,$D$19))</formula>
    </cfRule>
    <cfRule type="expression" dxfId="2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2"/>
      <c r="H29" s="507"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4"/>
      <c r="H30" s="684" t="s">
        <v>3529</v>
      </c>
      <c r="I30" s="684"/>
      <c r="J30" s="695" t="s">
        <v>5328</v>
      </c>
      <c r="K30" s="696"/>
      <c r="L30" s="697"/>
      <c r="M30" s="504"/>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4"/>
      <c r="H31" s="422" t="s">
        <v>3544</v>
      </c>
      <c r="I31" s="448" t="e">
        <f>IF(Main!N49="","",Main!N49)</f>
        <v>#N/A</v>
      </c>
      <c r="J31" s="710" t="s">
        <v>5336</v>
      </c>
      <c r="K31" s="711"/>
      <c r="L31" s="712"/>
      <c r="M31" s="505"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2"/>
      <c r="H32" s="422" t="s">
        <v>4117</v>
      </c>
      <c r="I32" s="448" t="e">
        <f>IF(Main!N50="","",Main!N50)</f>
        <v>#N/A</v>
      </c>
      <c r="J32" s="701" t="s">
        <v>3532</v>
      </c>
      <c r="K32" s="702"/>
      <c r="L32" s="703"/>
      <c r="M32" s="487"/>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2"/>
      <c r="H33" s="422" t="s">
        <v>3546</v>
      </c>
      <c r="I33" s="448" t="e">
        <f>IF(Main!N51="","",Main!N51)</f>
        <v>#N/A</v>
      </c>
      <c r="J33" s="698" t="s">
        <v>5337</v>
      </c>
      <c r="K33" s="699"/>
      <c r="L33" s="700"/>
      <c r="M33" s="484"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5"/>
      <c r="H34" s="422" t="s">
        <v>3547</v>
      </c>
      <c r="I34" s="421"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704" t="s">
        <v>5340</v>
      </c>
      <c r="K35" s="705"/>
      <c r="L35" s="706"/>
      <c r="M35" s="508" t="str">
        <f>IF(Main!S53="","",Main!S53)</f>
        <v/>
      </c>
      <c r="O35" s="704" t="s">
        <v>5341</v>
      </c>
      <c r="P35" s="705"/>
      <c r="Q35" s="706"/>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707"/>
      <c r="K36" s="708"/>
      <c r="L36" s="709"/>
      <c r="M36" s="503"/>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ds70dBYlzx7Rl6TPm1VANiDQZpUvQIQ3hMUI5JdWk0pfNxX+agmbMF2ls7PLaPOhdzKmfgS6O053uMNBBBpY9Q==" saltValue="qsgv0kvknN0fV0UAn5OYJ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tzLvCXTsCcVlsuQYdfP+QF0Wgxe1GMe6wd8rQCltiYgINnWnO4tEWCxuymwCQ2N1+Vi5eK7I0+QD+LTBb0g==" saltValue="8qcXVy1cQpi8xuL7pPz0r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I/rfWLW41zH3Qjihp7f/hk/l2uKMX+evyfN0Ia3Sl5PX5Sag/2C1orHAS1/ykgbwHYifTTFcfsNhw21gkDDeiw==" saltValue="lDf4l0TGOiFPxoiXuKf0d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B6i6gC4o5410iXw0DKNo1t3ZLNMjqBVJFiiTO5gq7TIf9gH1j6W4Gm6CqSNuhozG+dwpMj8C6b3RibtmMJlgwg==" saltValue="hdXZXxOwQKMkOC7XZ8qr2Q=="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bQfKtPzHqfMpKKBaCSYnauoBC/rpIOhqwqx9il8nuWW1MOj7++YrmbU7FL5jJJTDe6GLpKwigd36gMGwlkcb2A==" saltValue="HFfoIlqTQpFEDxahTKAqr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FHjZPlA4w7WEDvn5sVreJVr5McS7gJ86+odyndHmUjI8//JhmRqHgzo/YIPK1f2X78ySuwypx/+hS6lAEGGyRg==" saltValue="ZkYWHT4lK724VMPYsWuDtw=="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Dp2tN8IcD27yS8G0tZ8h2P4diO45HruXtu8Cydo1VqhAzMq4S6xB7uvnrB3gvE5NZN4/RTegG6XllPegqy/I7w==" saltValue="0loCtT3RFODHPYMG+suD2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9iZvK8W6cTOSq/YaNbembzPndga1ivKRMNVYuR30K6QE3EIyBcINCcra3ztzcMPmJvepK2PWZaLtY0uFSmisAw==" saltValue="acxKfvMLCckXQB7+S8pKy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2025-04-18T00:42:25Z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