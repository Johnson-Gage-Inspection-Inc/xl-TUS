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omments3.xml" ContentType="application/vnd.openxmlformats-officedocument.spreadsheetml.comments+xml"/>
  <Override PartName="/xl/threadedComments/threadedComment2.xml" ContentType="application/vnd.ms-excel.threadedcomments+xml"/>
  <Override PartName="/xl/customProperty13.bin" ContentType="application/vnd.openxmlformats-officedocument.spreadsheetml.customProperty"/>
  <Override PartName="/xl/customProperty14.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4.xml" ContentType="application/vnd.openxmlformats-officedocument.spreadsheetml.table+xml"/>
  <Override PartName="/xl/comments4.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132B26B-962D-495D-A2B4-7F8681B2B840}"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CERT" sheetId="26" r:id="rId9"/>
    <sheet name="Header_Info" sheetId="77" state="hidden" r:id="rId10"/>
    <sheet name="Customer Table" sheetId="29" state="hidden" r:id="rId11"/>
    <sheet name="AssetPool" sheetId="35" state="hidden" r:id="rId12"/>
    <sheet name="DaqbookServiceRecords" sheetId="54" state="hidden" r:id="rId13"/>
    <sheet name="TUS_Worksheet" sheetId="5" r:id="rId14"/>
    <sheet name="DaqBook_RAW_Data" sheetId="9" r:id="rId15"/>
    <sheet name="Employees" sheetId="38" state="hidden" r:id="rId16"/>
    <sheet name="Standards_Info" sheetId="12" r:id="rId17"/>
    <sheet name="Standards_Import" sheetId="20" state="hidden" r:id="rId18"/>
    <sheet name="Data_Sheet" sheetId="13" r:id="rId19"/>
    <sheet name="Data_Sheet_15_28" sheetId="14" r:id="rId20"/>
    <sheet name="Data_Sheet_29_40" sheetId="15" r:id="rId21"/>
    <sheet name="Packet_Content" sheetId="19" r:id="rId22"/>
    <sheet name="PageNumbers" sheetId="64" r:id="rId23"/>
    <sheet name="Comparison_Report" sheetId="4" r:id="rId24"/>
    <sheet name="Interp" sheetId="21" r:id="rId25"/>
    <sheet name="Access_Data" sheetId="1"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1"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2" hidden="1">DaqbookServiceRecords!$A$1:$B$2</definedName>
    <definedName name="ExternalData_1" localSheetId="4" hidden="1">Employee!$A$1:$C$2</definedName>
    <definedName name="ExternalData_1" localSheetId="15" hidden="1">Employees!$A$1:$C$54</definedName>
    <definedName name="ExternalData_1" localSheetId="9" hidden="1">Header_Info!$A$1:$AO$495</definedName>
    <definedName name="ExternalData_1" localSheetId="17"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6"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8">CERT!$A$1:$O$80</definedName>
    <definedName name="_xlnm.Print_Area" localSheetId="23">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3">TUS_Worksheet!$A$1:$R$56</definedName>
    <definedName name="Query___customers" localSheetId="10"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3" i="5" l="1" a="1"/>
  <c r="D23" i="5" s="1"/>
  <c r="E23" i="5" a="1"/>
  <c r="E23" i="5" s="1"/>
  <c r="F23" i="5" a="1"/>
  <c r="F23" i="5" s="1"/>
  <c r="G23" i="5" a="1"/>
  <c r="G23" i="5" s="1"/>
  <c r="H23" i="5" a="1"/>
  <c r="H23" i="5" s="1"/>
  <c r="I23" i="5" a="1"/>
  <c r="I23" i="5"/>
  <c r="J23" i="5" a="1"/>
  <c r="J23" i="5" s="1"/>
  <c r="K23" i="5" a="1"/>
  <c r="K23" i="5" s="1"/>
  <c r="L23" i="5" a="1"/>
  <c r="L23" i="5" s="1"/>
  <c r="M23" i="5" a="1"/>
  <c r="M23" i="5" s="1"/>
  <c r="N23" i="5" a="1"/>
  <c r="N23" i="5" s="1"/>
  <c r="C23" i="5" a="1"/>
  <c r="C23" i="5" s="1"/>
  <c r="D17" i="5" a="1"/>
  <c r="D17" i="5"/>
  <c r="E17" i="5" a="1"/>
  <c r="E17" i="5"/>
  <c r="F17" i="5" a="1"/>
  <c r="F17" i="5"/>
  <c r="G17" i="5" a="1"/>
  <c r="G17" i="5" s="1"/>
  <c r="H17" i="5" a="1"/>
  <c r="H17" i="5" s="1"/>
  <c r="I17" i="5" a="1"/>
  <c r="I17" i="5" s="1"/>
  <c r="J17" i="5" a="1"/>
  <c r="J17" i="5"/>
  <c r="K17" i="5" a="1"/>
  <c r="K17" i="5" s="1"/>
  <c r="L17" i="5" a="1"/>
  <c r="L17" i="5" s="1"/>
  <c r="M17" i="5" a="1"/>
  <c r="M17" i="5" s="1"/>
  <c r="N17" i="5" a="1"/>
  <c r="N17" i="5"/>
  <c r="O17" i="5" a="1"/>
  <c r="O17" i="5"/>
  <c r="P17" i="5" a="1"/>
  <c r="P17" i="5" s="1"/>
  <c r="C17" i="5" a="1"/>
  <c r="C17" i="5" s="1"/>
  <c r="D11" i="5" a="1"/>
  <c r="D11" i="5"/>
  <c r="E11" i="5" a="1"/>
  <c r="E11" i="5"/>
  <c r="F11" i="5" a="1"/>
  <c r="F11" i="5" s="1"/>
  <c r="G11" i="5" a="1"/>
  <c r="G11" i="5"/>
  <c r="H11" i="5" a="1"/>
  <c r="H11" i="5"/>
  <c r="I11" i="5" a="1"/>
  <c r="I11" i="5"/>
  <c r="J11" i="5" a="1"/>
  <c r="J11" i="5"/>
  <c r="K11" i="5" a="1"/>
  <c r="K11" i="5"/>
  <c r="L11" i="5" a="1"/>
  <c r="L11" i="5"/>
  <c r="M11" i="5" a="1"/>
  <c r="M11" i="5" s="1"/>
  <c r="N11" i="5" a="1"/>
  <c r="N11" i="5"/>
  <c r="O11" i="5" a="1"/>
  <c r="O11" i="5" s="1"/>
  <c r="P11" i="5" a="1"/>
  <c r="P11" i="5" s="1"/>
  <c r="C11" i="5" a="1"/>
  <c r="C11" i="5"/>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7" i="8" a="1"/>
  <c r="D7" i="8" s="1"/>
  <c r="D54" i="8"/>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Q67" i="26" s="1"/>
  <c r="F66" i="26"/>
  <c r="Q66" i="26" s="1"/>
  <c r="F65" i="26"/>
  <c r="Q65" i="26" s="1"/>
  <c r="F64" i="26"/>
  <c r="Q64" i="26" s="1"/>
  <c r="F63" i="26"/>
  <c r="A2" i="1"/>
  <c r="P6" i="8"/>
  <c r="R7" i="26"/>
  <c r="R62" i="26"/>
  <c r="T62" i="26"/>
  <c r="D14" i="8" l="1"/>
  <c r="D13" i="8"/>
  <c r="G11" i="8" s="1"/>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B11" i="1"/>
  <c r="B10" i="1"/>
  <c r="G19" i="1"/>
  <c r="D15" i="1"/>
  <c r="B12"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20" i="1"/>
  <c r="I20" i="1"/>
  <c r="E24" i="1"/>
  <c r="M16" i="1"/>
  <c r="N23" i="1"/>
  <c r="K25" i="1"/>
  <c r="F22" i="1"/>
  <c r="N22" i="1"/>
  <c r="B24" i="1"/>
  <c r="O10" i="1"/>
  <c r="N13" i="1"/>
  <c r="F13" i="1"/>
  <c r="D20" i="1"/>
  <c r="I25" i="1"/>
  <c r="E20" i="1"/>
  <c r="F17" i="1"/>
  <c r="H23" i="1"/>
  <c r="A12" i="1"/>
  <c r="N15" i="1"/>
  <c r="D21" i="1"/>
  <c r="I23" i="1"/>
  <c r="H14" i="1"/>
  <c r="E12" i="1"/>
  <c r="A14" i="1"/>
  <c r="L24" i="1"/>
  <c r="D18" i="1"/>
  <c r="H25" i="1"/>
  <c r="L14" i="1"/>
  <c r="J23" i="1"/>
  <c r="M22" i="1"/>
  <c r="L18" i="1"/>
  <c r="N12" i="1"/>
  <c r="E21" i="1"/>
  <c r="N14" i="1"/>
  <c r="O21" i="1"/>
  <c r="C17" i="1"/>
  <c r="L23" i="1"/>
  <c r="C15" i="1"/>
  <c r="K12" i="1"/>
  <c r="N25" i="1"/>
  <c r="A15" i="1"/>
  <c r="F19" i="1"/>
  <c r="M17" i="1"/>
  <c r="J19" i="1"/>
  <c r="N10" i="1"/>
  <c r="D10" i="1"/>
  <c r="D12" i="1"/>
  <c r="K16" i="1"/>
  <c r="I14" i="1"/>
  <c r="H12" i="1"/>
  <c r="D14" i="1"/>
  <c r="G14" i="1"/>
  <c r="J22" i="1"/>
  <c r="D24" i="1"/>
  <c r="M18" i="1"/>
  <c r="N20" i="1"/>
  <c r="M11" i="1"/>
  <c r="L10" i="1"/>
  <c r="O17" i="1"/>
  <c r="G15" i="1"/>
  <c r="C13" i="1"/>
  <c r="E15" i="1"/>
  <c r="B22" i="1"/>
  <c r="I24" i="1"/>
  <c r="F24" i="1"/>
  <c r="O14" i="1"/>
  <c r="J24" i="1"/>
  <c r="F10" i="1"/>
  <c r="G20" i="1"/>
  <c r="I21" i="1"/>
  <c r="G12" i="1"/>
  <c r="M15" i="1"/>
  <c r="E11" i="1"/>
  <c r="A23" i="1"/>
  <c r="A25" i="1"/>
  <c r="H17" i="1"/>
  <c r="M13" i="1"/>
  <c r="D19" i="1"/>
  <c r="C22" i="1"/>
  <c r="E19" i="1"/>
  <c r="B23" i="1"/>
  <c r="H15" i="1"/>
  <c r="J13" i="1"/>
  <c r="H18" i="1"/>
  <c r="F16" i="1"/>
  <c r="A16" i="1"/>
  <c r="J14" i="1"/>
  <c r="N21" i="1"/>
  <c r="A17" i="1"/>
  <c r="A24" i="1"/>
  <c r="N16" i="1"/>
  <c r="I17" i="1"/>
  <c r="E10" i="1"/>
  <c r="E18" i="1"/>
  <c r="A19" i="1"/>
  <c r="I15" i="1"/>
  <c r="K21" i="1"/>
  <c r="H13" i="1"/>
  <c r="G24" i="1"/>
  <c r="O23" i="1"/>
  <c r="E17" i="1"/>
  <c r="A11" i="1"/>
  <c r="M24" i="1"/>
  <c r="L17" i="1"/>
  <c r="K13" i="1"/>
  <c r="G25" i="1"/>
  <c r="J12" i="1"/>
  <c r="F15" i="1"/>
  <c r="J20" i="1"/>
  <c r="J11" i="1"/>
  <c r="H20" i="1"/>
  <c r="K18" i="1"/>
  <c r="F23" i="1"/>
  <c r="C11" i="1"/>
  <c r="M21" i="1"/>
  <c r="L20" i="1"/>
  <c r="M14" i="1"/>
  <c r="C18" i="1"/>
  <c r="J25" i="1"/>
  <c r="C21" i="1"/>
  <c r="M12" i="1"/>
  <c r="B15" i="1"/>
  <c r="H21" i="1"/>
  <c r="D23" i="1"/>
  <c r="F14" i="1"/>
  <c r="N24" i="1"/>
  <c r="F12" i="1"/>
  <c r="E22" i="1"/>
  <c r="C16" i="1"/>
  <c r="H24" i="1"/>
  <c r="G22" i="1"/>
  <c r="C20" i="1"/>
  <c r="O20" i="1"/>
  <c r="D25" i="1"/>
  <c r="D13" i="1"/>
  <c r="N19" i="1"/>
  <c r="L16" i="1"/>
  <c r="K22" i="1"/>
  <c r="B21" i="1"/>
  <c r="C14" i="1"/>
  <c r="C24" i="1"/>
  <c r="D17" i="1"/>
  <c r="F21" i="1"/>
  <c r="J10" i="1"/>
  <c r="H10" i="1"/>
  <c r="N18" i="1"/>
  <c r="F20" i="1"/>
  <c r="D22" i="1"/>
  <c r="J21" i="1"/>
  <c r="K20" i="1"/>
  <c r="O15" i="1"/>
  <c r="K19" i="1"/>
  <c r="B16" i="1"/>
  <c r="K17" i="1"/>
  <c r="G21" i="1"/>
  <c r="I19" i="1"/>
  <c r="A20" i="1"/>
  <c r="I18" i="1"/>
  <c r="I10" i="1"/>
  <c r="I13" i="1"/>
  <c r="D16" i="1"/>
  <c r="F11" i="1"/>
  <c r="E25" i="1"/>
  <c r="M23" i="1"/>
  <c r="L22" i="1"/>
  <c r="A13" i="1"/>
  <c r="G13" i="1"/>
  <c r="A10" i="1"/>
  <c r="B19" i="1"/>
  <c r="H19" i="1"/>
  <c r="A22" i="1"/>
  <c r="H16" i="1"/>
  <c r="A18" i="1"/>
  <c r="H11" i="1"/>
  <c r="I16" i="1"/>
  <c r="O12" i="1"/>
  <c r="L12" i="1"/>
  <c r="N11" i="1"/>
  <c r="G18" i="1"/>
  <c r="G10" i="1"/>
  <c r="K24" i="1"/>
  <c r="G11" i="1"/>
  <c r="I22" i="1"/>
  <c r="L25" i="1"/>
  <c r="O19" i="1"/>
  <c r="O22" i="1"/>
  <c r="G16" i="1"/>
  <c r="B25" i="1"/>
  <c r="E16" i="1"/>
  <c r="J18" i="1"/>
  <c r="N17" i="1"/>
  <c r="K10" i="1"/>
  <c r="O13" i="1"/>
  <c r="O11" i="1"/>
  <c r="M10" i="1"/>
  <c r="L21" i="1"/>
  <c r="L15" i="1"/>
  <c r="M19" i="1"/>
  <c r="C10" i="1"/>
  <c r="G23" i="1"/>
  <c r="K15" i="1"/>
  <c r="I12" i="1"/>
  <c r="A21" i="1"/>
  <c r="E14" i="1"/>
  <c r="K14" i="1"/>
  <c r="J17" i="1"/>
  <c r="J15" i="1"/>
  <c r="L13" i="1"/>
  <c r="H22" i="1"/>
  <c r="C19" i="1"/>
  <c r="M25" i="1"/>
  <c r="O24" i="1"/>
  <c r="L11" i="1"/>
  <c r="B20" i="1"/>
  <c r="D11" i="1"/>
  <c r="G17" i="1"/>
  <c r="L19" i="1"/>
  <c r="B18" i="1"/>
  <c r="O25" i="1"/>
  <c r="C25" i="1"/>
  <c r="K11" i="1"/>
  <c r="K23" i="1"/>
  <c r="B17" i="1"/>
  <c r="E23" i="1"/>
  <c r="E13" i="1"/>
  <c r="O18" i="1"/>
  <c r="I11" i="1"/>
  <c r="C12" i="1"/>
  <c r="O16" i="1"/>
  <c r="J16" i="1"/>
  <c r="B13" i="1"/>
  <c r="F18" i="1"/>
  <c r="B14" i="1"/>
  <c r="C23" i="1"/>
  <c r="F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E23" i="1"/>
  <c r="AH15" i="1"/>
  <c r="AG21" i="1"/>
  <c r="AY21" i="1"/>
  <c r="AI10" i="1"/>
  <c r="AV19" i="1"/>
  <c r="Z14" i="1"/>
  <c r="V15" i="1"/>
  <c r="Z18" i="1"/>
  <c r="AS16" i="1"/>
  <c r="Z24" i="1"/>
  <c r="AP17" i="1"/>
  <c r="AF10" i="1"/>
  <c r="AC14" i="1"/>
  <c r="AE13" i="1"/>
  <c r="BA17" i="1"/>
  <c r="AI13" i="1"/>
  <c r="U16" i="1"/>
  <c r="Z21" i="1"/>
  <c r="AA22" i="1"/>
  <c r="AH13" i="1"/>
  <c r="Y23" i="1"/>
  <c r="AF17" i="1"/>
  <c r="AD17" i="1"/>
  <c r="AY24" i="1"/>
  <c r="AH18" i="1"/>
  <c r="AD23" i="1"/>
  <c r="Z13" i="1"/>
  <c r="AU12" i="1"/>
  <c r="BA24" i="1"/>
  <c r="U13" i="1"/>
  <c r="AS11" i="1"/>
  <c r="AU15" i="1"/>
  <c r="AP24" i="1"/>
  <c r="AZ11" i="1"/>
  <c r="BA10" i="1"/>
  <c r="AU10" i="1"/>
  <c r="W16" i="1"/>
  <c r="AA20" i="1"/>
  <c r="AE16" i="1"/>
  <c r="Y25" i="1"/>
  <c r="AE14" i="1"/>
  <c r="AD18" i="1"/>
  <c r="Z11" i="1"/>
  <c r="AW21" i="1"/>
  <c r="AY25" i="1"/>
  <c r="AB21" i="1"/>
  <c r="AQ11" i="1"/>
  <c r="AS19" i="1"/>
  <c r="AD12" i="1"/>
  <c r="AZ12" i="1"/>
  <c r="Y15" i="1"/>
  <c r="AH25" i="1"/>
  <c r="AY13" i="1"/>
  <c r="U25" i="1"/>
  <c r="AB17" i="1"/>
  <c r="AB24" i="1"/>
  <c r="AB15" i="1"/>
  <c r="V22" i="1"/>
  <c r="Y14" i="1"/>
  <c r="AP13" i="1"/>
  <c r="AI23" i="1"/>
  <c r="V10" i="1"/>
  <c r="AT11" i="1"/>
  <c r="AA10" i="1"/>
  <c r="AW11" i="1"/>
  <c r="AI12" i="1"/>
  <c r="AY17" i="1"/>
  <c r="AC25" i="1"/>
  <c r="AF23" i="1"/>
  <c r="AE21" i="1"/>
  <c r="AX16" i="1"/>
  <c r="AU20" i="1"/>
  <c r="W23" i="1"/>
  <c r="AI14" i="1"/>
  <c r="X14" i="1"/>
  <c r="AD14" i="1"/>
  <c r="AC21" i="1"/>
  <c r="AC15" i="1"/>
  <c r="AF22" i="1"/>
  <c r="AE25" i="1"/>
  <c r="AV14" i="1"/>
  <c r="AW25" i="1"/>
  <c r="AS15" i="1"/>
  <c r="AI19" i="1"/>
  <c r="AR23" i="1"/>
  <c r="AZ10" i="1"/>
  <c r="AP16" i="1"/>
  <c r="AR14" i="1"/>
  <c r="AT23" i="1"/>
  <c r="AQ13" i="1"/>
  <c r="AE11" i="1"/>
  <c r="AQ10" i="1"/>
  <c r="AF20" i="1"/>
  <c r="AG11" i="1"/>
  <c r="AP21" i="1"/>
  <c r="AR21" i="1"/>
  <c r="AI16" i="1"/>
  <c r="AC23" i="1"/>
  <c r="AD22" i="1"/>
  <c r="X17" i="1"/>
  <c r="BA15" i="1"/>
  <c r="AZ19" i="1"/>
  <c r="AP15" i="1"/>
  <c r="AP12" i="1"/>
  <c r="AQ18" i="1"/>
  <c r="AH10" i="1"/>
  <c r="AO12" i="1"/>
  <c r="AI15" i="1"/>
  <c r="BA21" i="1"/>
  <c r="AD10" i="1"/>
  <c r="V21" i="1"/>
  <c r="AG24" i="1"/>
  <c r="AZ20" i="1"/>
  <c r="AV25" i="1"/>
  <c r="AA23" i="1"/>
  <c r="AI22" i="1"/>
  <c r="AT20" i="1"/>
  <c r="AC24" i="1"/>
  <c r="AX20" i="1"/>
  <c r="AC12" i="1"/>
  <c r="AE17" i="1"/>
  <c r="X22" i="1"/>
  <c r="AD13" i="1"/>
  <c r="AF16" i="1"/>
  <c r="AU23" i="1"/>
  <c r="AV15" i="1"/>
  <c r="AR12" i="1"/>
  <c r="AW24" i="1"/>
  <c r="Z25" i="1"/>
  <c r="AG14" i="1"/>
  <c r="W13" i="1"/>
  <c r="AT24" i="1"/>
  <c r="AA15" i="1"/>
  <c r="AV16" i="1"/>
  <c r="V25" i="1"/>
  <c r="Y19" i="1"/>
  <c r="AW17" i="1"/>
  <c r="AG20" i="1"/>
  <c r="W17" i="1"/>
  <c r="AE20" i="1"/>
  <c r="AZ21" i="1"/>
  <c r="AW19" i="1"/>
  <c r="AT15" i="1"/>
  <c r="Y11" i="1"/>
  <c r="AW18" i="1"/>
  <c r="Z10" i="1"/>
  <c r="AO15" i="1"/>
  <c r="AC18" i="1"/>
  <c r="AE22" i="1"/>
  <c r="AA24" i="1"/>
  <c r="AA11" i="1"/>
  <c r="AY22" i="1"/>
  <c r="AZ25" i="1"/>
  <c r="AA14" i="1"/>
  <c r="AU25" i="1"/>
  <c r="AH14" i="1"/>
  <c r="AG22" i="1"/>
  <c r="AE15" i="1"/>
  <c r="AU17" i="1"/>
  <c r="AF19" i="1"/>
  <c r="AV21" i="1"/>
  <c r="AD15" i="1"/>
  <c r="AZ22" i="1"/>
  <c r="AC11" i="1"/>
  <c r="AR13" i="1"/>
  <c r="AR11" i="1"/>
  <c r="AG17" i="1"/>
  <c r="X13" i="1"/>
  <c r="AI20" i="1"/>
  <c r="AH11" i="1"/>
  <c r="AQ14" i="1"/>
  <c r="U11" i="1"/>
  <c r="X16" i="1"/>
  <c r="AV13" i="1"/>
  <c r="X10" i="1"/>
  <c r="Z22" i="1"/>
  <c r="AD24" i="1"/>
  <c r="AI11" i="1"/>
  <c r="AI21" i="1"/>
  <c r="AG23" i="1"/>
  <c r="Y22" i="1"/>
  <c r="AS18" i="1"/>
  <c r="U14" i="1"/>
  <c r="U10" i="1"/>
  <c r="AR16" i="1"/>
  <c r="AO11" i="1"/>
  <c r="AX17" i="1"/>
  <c r="AR19" i="1"/>
  <c r="BA22" i="1"/>
  <c r="AY14" i="1"/>
  <c r="AG19" i="1"/>
  <c r="AT10" i="1"/>
  <c r="AV22" i="1"/>
  <c r="AF13" i="1"/>
  <c r="AQ17" i="1"/>
  <c r="W20" i="1"/>
  <c r="AF12" i="1"/>
  <c r="AO14" i="1"/>
  <c r="AY15" i="1"/>
  <c r="AX25" i="1"/>
  <c r="AS14" i="1"/>
  <c r="AF24" i="1"/>
  <c r="Y13" i="1"/>
  <c r="AE24" i="1"/>
  <c r="AI17" i="1"/>
  <c r="AB22" i="1"/>
  <c r="W14" i="1"/>
  <c r="AU18" i="1"/>
  <c r="Z23" i="1"/>
  <c r="AG13" i="1"/>
  <c r="AP14" i="1"/>
  <c r="AU14" i="1"/>
  <c r="AA18" i="1"/>
  <c r="AZ16" i="1"/>
  <c r="AO21" i="1"/>
  <c r="AS10" i="1"/>
  <c r="AP11" i="1"/>
  <c r="AQ23" i="1"/>
  <c r="AC20" i="1"/>
  <c r="AU13" i="1"/>
  <c r="AP20" i="1"/>
  <c r="AC22" i="1"/>
  <c r="AB10" i="1"/>
  <c r="U19" i="1"/>
  <c r="AG12" i="1"/>
  <c r="AT16" i="1"/>
  <c r="AO10" i="1"/>
  <c r="Z15" i="1"/>
  <c r="V17" i="1"/>
  <c r="AW10" i="1"/>
  <c r="AW13" i="1"/>
  <c r="U24" i="1"/>
  <c r="AC13" i="1"/>
  <c r="AW20" i="1"/>
  <c r="AQ22" i="1"/>
  <c r="W15" i="1"/>
  <c r="AP25" i="1"/>
  <c r="BA12" i="1"/>
  <c r="AG25" i="1"/>
  <c r="AQ21" i="1"/>
  <c r="AO24" i="1"/>
  <c r="V16" i="1"/>
  <c r="AT12" i="1"/>
  <c r="AS22" i="1"/>
  <c r="Y12" i="1"/>
  <c r="AG15" i="1"/>
  <c r="AX14" i="1"/>
  <c r="AZ13" i="1"/>
  <c r="AG18" i="1"/>
  <c r="AZ23" i="1"/>
  <c r="AZ17" i="1"/>
  <c r="X25" i="1"/>
  <c r="Z19" i="1"/>
  <c r="AA19" i="1"/>
  <c r="AA16" i="1"/>
  <c r="AX19" i="1"/>
  <c r="AS12" i="1"/>
  <c r="AF25" i="1"/>
  <c r="AQ25" i="1"/>
  <c r="Z12" i="1"/>
  <c r="AV18" i="1"/>
  <c r="AZ18" i="1"/>
  <c r="AT19" i="1"/>
  <c r="AX18" i="1"/>
  <c r="BA20" i="1"/>
  <c r="Y24" i="1"/>
  <c r="Z16" i="1"/>
  <c r="AB23" i="1"/>
  <c r="AC17" i="1"/>
  <c r="AA17" i="1"/>
  <c r="AV20" i="1"/>
  <c r="U17" i="1"/>
  <c r="X12" i="1"/>
  <c r="AQ24" i="1"/>
  <c r="AI18" i="1"/>
  <c r="AS13" i="1"/>
  <c r="AP22" i="1"/>
  <c r="AY23" i="1"/>
  <c r="AH24" i="1"/>
  <c r="X11" i="1"/>
  <c r="BA11" i="1"/>
  <c r="AE18" i="1"/>
  <c r="Y18" i="1"/>
  <c r="AU22" i="1"/>
  <c r="AY20" i="1"/>
  <c r="W12" i="1"/>
  <c r="AR20" i="1"/>
  <c r="AO19" i="1"/>
  <c r="AV12" i="1"/>
  <c r="AT25" i="1"/>
  <c r="AB13" i="1"/>
  <c r="AA25" i="1"/>
  <c r="AW12" i="1"/>
  <c r="W19" i="1"/>
  <c r="AR24" i="1"/>
  <c r="AH23" i="1"/>
  <c r="AC16" i="1"/>
  <c r="AT21" i="1"/>
  <c r="AY11" i="1"/>
  <c r="V11" i="1"/>
  <c r="U22" i="1"/>
  <c r="AS21" i="1"/>
  <c r="AF11" i="1"/>
  <c r="AV24" i="1"/>
  <c r="AV10" i="1"/>
  <c r="U18" i="1"/>
  <c r="W18" i="1"/>
  <c r="AE12" i="1"/>
  <c r="X18" i="1"/>
  <c r="AX21" i="1"/>
  <c r="AU24" i="1"/>
  <c r="AF15" i="1"/>
  <c r="W24" i="1"/>
  <c r="AU16" i="1"/>
  <c r="AH17" i="1"/>
  <c r="AY10" i="1"/>
  <c r="AE10" i="1"/>
  <c r="AB14" i="1"/>
  <c r="V12" i="1"/>
  <c r="V20" i="1"/>
  <c r="AX23" i="1"/>
  <c r="AP10" i="1"/>
  <c r="AR22" i="1"/>
  <c r="BA25" i="1"/>
  <c r="AW16" i="1"/>
  <c r="U20" i="1"/>
  <c r="AX24" i="1"/>
  <c r="AS23" i="1"/>
  <c r="AG16" i="1"/>
  <c r="AT17" i="1"/>
  <c r="BA13" i="1"/>
  <c r="AP18" i="1"/>
  <c r="AB11" i="1"/>
  <c r="AO16" i="1"/>
  <c r="Y16" i="1"/>
  <c r="AX12" i="1"/>
  <c r="AU21" i="1"/>
  <c r="BA23" i="1"/>
  <c r="AE19" i="1"/>
  <c r="AC19" i="1"/>
  <c r="Y20" i="1"/>
  <c r="AH20" i="1"/>
  <c r="BA18" i="1"/>
  <c r="X24" i="1"/>
  <c r="AT14" i="1"/>
  <c r="AR10" i="1"/>
  <c r="AO20" i="1"/>
  <c r="AX13" i="1"/>
  <c r="BA16" i="1"/>
  <c r="AF21" i="1"/>
  <c r="AD16" i="1"/>
  <c r="AQ12" i="1"/>
  <c r="AS25" i="1"/>
  <c r="AT13" i="1"/>
  <c r="AV23" i="1"/>
  <c r="AA12" i="1"/>
  <c r="AB16" i="1"/>
  <c r="AD19" i="1"/>
  <c r="AO18" i="1"/>
  <c r="AF14" i="1"/>
  <c r="U15" i="1"/>
  <c r="AD21" i="1"/>
  <c r="AR18" i="1"/>
  <c r="W21" i="1"/>
  <c r="AQ20" i="1"/>
  <c r="AH21" i="1"/>
  <c r="AS17" i="1"/>
  <c r="AA13" i="1"/>
  <c r="AQ19" i="1"/>
  <c r="AT18" i="1"/>
  <c r="AY12" i="1"/>
  <c r="Z17" i="1"/>
  <c r="AY16" i="1"/>
  <c r="AO25" i="1"/>
  <c r="AW23" i="1"/>
  <c r="AO23" i="1"/>
  <c r="AY19" i="1"/>
  <c r="V18" i="1"/>
  <c r="AZ15" i="1"/>
  <c r="U21" i="1"/>
  <c r="U23" i="1"/>
  <c r="AX15" i="1"/>
  <c r="AB12" i="1"/>
  <c r="U12" i="1"/>
  <c r="W11" i="1"/>
  <c r="AO22" i="1"/>
  <c r="AR15" i="1"/>
  <c r="AH16" i="1"/>
  <c r="AO13" i="1"/>
  <c r="AB19" i="1"/>
  <c r="V23" i="1"/>
  <c r="AS24" i="1"/>
  <c r="AD11" i="1"/>
  <c r="AG10" i="1"/>
  <c r="AF18" i="1"/>
  <c r="V13" i="1"/>
  <c r="AB25" i="1"/>
  <c r="AS20" i="1"/>
  <c r="AZ14" i="1"/>
  <c r="AY18" i="1"/>
  <c r="AC10" i="1"/>
  <c r="X21" i="1"/>
  <c r="V19" i="1"/>
  <c r="AP23" i="1"/>
  <c r="AW22" i="1"/>
  <c r="AX11" i="1"/>
  <c r="AD20" i="1"/>
  <c r="W22" i="1"/>
  <c r="Y10" i="1"/>
  <c r="AQ16" i="1"/>
  <c r="X19" i="1"/>
  <c r="AB20" i="1"/>
  <c r="Y17" i="1"/>
  <c r="AU19" i="1"/>
  <c r="AX10" i="1"/>
  <c r="AW14" i="1"/>
  <c r="W10" i="1"/>
  <c r="AH12" i="1"/>
  <c r="AU11" i="1"/>
  <c r="W25" i="1"/>
  <c r="AO17" i="1"/>
  <c r="AR17" i="1"/>
  <c r="AT22" i="1"/>
  <c r="X20" i="1"/>
  <c r="AX22" i="1"/>
  <c r="AV11" i="1"/>
  <c r="AQ15" i="1"/>
  <c r="X15" i="1"/>
  <c r="AR25" i="1"/>
  <c r="AP19" i="1"/>
  <c r="V14" i="1"/>
  <c r="AH22" i="1"/>
  <c r="AD25" i="1"/>
  <c r="BA14" i="1"/>
  <c r="AW15" i="1"/>
  <c r="Z20" i="1"/>
  <c r="BA19" i="1"/>
  <c r="AV17" i="1"/>
  <c r="AA21" i="1"/>
  <c r="AB18" i="1"/>
  <c r="X23" i="1"/>
  <c r="AZ24" i="1"/>
  <c r="V24" i="1"/>
  <c r="Y21" i="1"/>
  <c r="AI25" i="1"/>
  <c r="AI24" i="1"/>
  <c r="AH19"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s>
  <commentList>
    <comment ref="D3" authorId="0" shapeId="0" xr:uid="{EF53E67E-CF8A-429D-AA05-7B4E771CABAF}">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 xml:space="preserve"> will input the current date into the active cell.</t>
        </r>
      </text>
    </comment>
    <comment ref="D30" authorId="0" shapeId="0" xr:uid="{3FAA2A14-7383-4A2D-87A8-E3E84B409F99}">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t>
        </r>
        <r>
          <rPr>
            <b/>
            <sz val="9"/>
            <color indexed="81"/>
            <rFont val="Tahoma"/>
            <family val="2"/>
          </rPr>
          <t>Shift</t>
        </r>
        <r>
          <rPr>
            <sz val="9"/>
            <color indexed="81"/>
            <rFont val="Tahoma"/>
            <family val="2"/>
          </rPr>
          <t>+</t>
        </r>
        <r>
          <rPr>
            <b/>
            <sz val="9"/>
            <color indexed="81"/>
            <rFont val="Tahoma"/>
            <family val="2"/>
          </rPr>
          <t xml:space="preserve">; </t>
        </r>
        <r>
          <rPr>
            <sz val="9"/>
            <color indexed="81"/>
            <rFont val="Tahoma"/>
            <family val="2"/>
          </rPr>
          <t>will input the current time into the active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<sst xmlns="http://schemas.openxmlformats.org/spreadsheetml/2006/main" count="1964" uniqueCount="926">
  <si>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</si>
  <si>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</si>
  <si>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</si>
  <si>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</si>
  <si>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</si>
  <si>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</si>
  <si>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</si>
  <si>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</si>
  <si>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</si>
  <si>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</si>
  <si>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</si>
  <si>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</si>
  <si>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</si>
  <si>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</si>
  <si>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</si>
  <si>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</si>
  <si>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</si>
  <si>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</si>
  <si>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</si>
  <si>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</si>
  <si>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</si>
  <si>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</si>
  <si>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</si>
  <si>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</si>
  <si>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</si>
  <si>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</si>
  <si>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</si>
  <si>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</si>
  <si>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</si>
  <si>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</si>
  <si>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</si>
  <si>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</si>
  <si>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</si>
  <si>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</si>
  <si>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</si>
  <si>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</si>
  <si>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</si>
  <si>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</si>
  <si>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</si>
  <si>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</si>
  <si>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</si>
  <si>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</si>
  <si>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</si>
  <si>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</si>
  <si>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</si>
  <si>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</si>
  <si>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</si>
  <si>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</si>
  <si>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</si>
  <si>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</si>
  <si>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</si>
  <si>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</si>
  <si>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</si>
  <si>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</si>
  <si>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</si>
  <si>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</si>
  <si>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</si>
  <si>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</si>
  <si>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</si>
  <si>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</si>
  <si>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</si>
  <si>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</si>
  <si>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</si>
  <si>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</si>
  <si>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</si>
  <si>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</si>
  <si>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</si>
  <si>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</si>
  <si>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</si>
  <si>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</si>
  <si>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</si>
  <si>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</si>
  <si>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</si>
  <si>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</si>
  <si>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</si>
  <si>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</si>
  <si>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</si>
  <si>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</si>
  <si>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</si>
  <si>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</si>
  <si>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</si>
  <si>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</si>
  <si>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</si>
  <si>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</si>
  <si>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</si>
  <si>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</si>
  <si>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</si>
  <si>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</si>
  <si>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</si>
  <si>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</si>
  <si>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</si>
  <si>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</si>
  <si>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</si>
  <si>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</si>
  <si>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</si>
  <si>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</si>
  <si>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</si>
  <si>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</si>
  <si>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</si>
  <si>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</si>
  <si>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</si>
  <si>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</si>
  <si>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</si>
  <si>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</si>
  <si>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</si>
  <si>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</si>
  <si>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</si>
  <si>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</si>
  <si>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</si>
  <si>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</si>
  <si>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</si>
  <si>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</si>
  <si>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</si>
  <si>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</si>
  <si>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</si>
  <si>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</si>
  <si>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</si>
  <si>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</si>
  <si>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</si>
  <si>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</si>
  <si>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</si>
  <si>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</si>
  <si>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</si>
  <si>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</si>
  <si>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</si>
  <si>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</si>
  <si>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</si>
  <si>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</si>
  <si>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</si>
  <si>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</si>
  <si>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</si>
  <si>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</si>
  <si>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</si>
  <si>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</si>
  <si>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</si>
  <si>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</si>
  <si>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</si>
  <si>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</si>
  <si>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</si>
  <si>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</si>
  <si>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</si>
  <si>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</si>
  <si>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</si>
  <si>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</si>
  <si>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</si>
  <si>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</si>
  <si>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</si>
  <si>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</si>
  <si>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</si>
  <si>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</si>
  <si>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</si>
  <si>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</si>
  <si>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</si>
  <si>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</si>
  <si>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</si>
  <si>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</si>
  <si>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</si>
  <si>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</si>
  <si>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</si>
  <si>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</si>
  <si>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</si>
  <si>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</si>
  <si>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</si>
  <si>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</si>
  <si>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</si>
  <si>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</si>
  <si>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</si>
  <si>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</si>
  <si>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</si>
  <si>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</si>
  <si>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</si>
  <si>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</si>
  <si>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</si>
  <si>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</si>
  <si>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</si>
  <si>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</si>
  <si>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</si>
  <si>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</si>
  <si>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</si>
  <si>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</si>
  <si>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</si>
  <si>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</si>
  <si>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</si>
  <si>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</si>
  <si>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</si>
  <si>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</si>
  <si>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</si>
  <si>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</si>
  <si>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</si>
  <si>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</si>
  <si>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</si>
  <si>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</si>
  <si>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</si>
  <si>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</si>
  <si>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</si>
  <si>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</si>
  <si>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</si>
  <si>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</si>
  <si>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</si>
  <si>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</si>
  <si>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</si>
  <si>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</si>
  <si>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</si>
  <si>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</si>
  <si>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</si>
  <si>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</si>
  <si>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</si>
  <si>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</si>
  <si>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</si>
  <si>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</si>
  <si>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</si>
  <si>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</si>
  <si>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</si>
  <si>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</si>
  <si>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</si>
  <si>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</si>
  <si>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</si>
  <si>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</si>
  <si>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</si>
  <si>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</si>
  <si>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</si>
  <si>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</si>
  <si>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</si>
  <si>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</si>
  <si>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</si>
  <si>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</si>
  <si>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</si>
  <si>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</si>
  <si>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</si>
  <si>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</si>
  <si>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</si>
  <si>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</si>
  <si>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</si>
  <si>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</si>
  <si>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</si>
  <si>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</si>
  <si>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</si>
  <si>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</si>
  <si>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</si>
  <si>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</si>
  <si>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</si>
  <si>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</si>
  <si>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</si>
  <si>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</si>
  <si>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</si>
  <si>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</si>
  <si>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</si>
  <si>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</si>
  <si>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</si>
  <si>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</si>
  <si>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</si>
  <si>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</si>
  <si>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</si>
  <si>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</si>
  <si>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</si>
  <si>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</si>
  <si>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</si>
  <si>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</si>
  <si>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</si>
  <si>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</si>
  <si>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</si>
  <si>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</si>
  <si>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</si>
  <si>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</si>
  <si>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</si>
  <si>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</si>
  <si>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</si>
  <si>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</si>
  <si>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</si>
  <si>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</si>
  <si>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</si>
  <si>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</si>
  <si>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</si>
  <si>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</si>
  <si>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</si>
  <si>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</si>
  <si>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</si>
  <si>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</si>
  <si>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</si>
  <si>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</si>
  <si>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</si>
  <si>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</si>
  <si>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</si>
  <si>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</si>
  <si>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</si>
  <si>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</si>
  <si>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</si>
  <si>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</si>
  <si>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</si>
  <si>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</si>
  <si>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</si>
  <si>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</si>
  <si>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</si>
  <si>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</si>
  <si>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</si>
  <si>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</si>
  <si>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</si>
  <si>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</si>
  <si>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</si>
  <si>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</si>
  <si>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</si>
  <si>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</si>
  <si>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</si>
  <si>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</si>
  <si>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</si>
  <si>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</si>
  <si>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</si>
  <si>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</si>
  <si>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</si>
  <si>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</si>
  <si>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</si>
  <si>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</si>
  <si>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</si>
  <si>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</si>
  <si>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</si>
  <si>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</si>
  <si>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</si>
  <si>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</si>
  <si>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</si>
  <si>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</si>
  <si>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</si>
  <si>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</si>
  <si>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</si>
  <si>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</si>
  <si>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</si>
  <si>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</si>
  <si>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</si>
  <si>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</si>
  <si>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</si>
  <si>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</si>
  <si>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</si>
  <si>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</si>
  <si>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</si>
  <si>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</si>
  <si>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</si>
  <si>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</si>
  <si>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</si>
  <si>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</si>
  <si>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</si>
  <si>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</si>
  <si>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</si>
  <si>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</si>
  <si>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</si>
  <si>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</si>
  <si>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</si>
  <si>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</si>
  <si>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</si>
  <si>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</si>
  <si>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</si>
  <si>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</si>
  <si>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</si>
  <si>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</si>
  <si>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</si>
  <si>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</si>
  <si>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</si>
  <si>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</si>
  <si>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</si>
  <si>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</si>
  <si>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</si>
  <si>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</si>
  <si>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</si>
  <si>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</si>
  <si>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</si>
  <si>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</si>
  <si>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</si>
  <si>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</si>
  <si>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</si>
  <si>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</si>
  <si>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</si>
  <si>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</si>
  <si>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</si>
  <si>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</si>
  <si>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</si>
  <si>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</si>
  <si>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</si>
  <si>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</si>
  <si>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</si>
  <si>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</si>
  <si>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</si>
  <si>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</si>
  <si>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</si>
  <si>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</si>
  <si>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</si>
  <si>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</si>
  <si>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</si>
  <si>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</si>
  <si>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</si>
  <si>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</si>
  <si>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</si>
  <si>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</si>
  <si>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</si>
  <si>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</si>
  <si>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</si>
  <si>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</si>
  <si>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</si>
  <si>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</si>
  <si>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</si>
  <si>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</si>
  <si>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</si>
  <si>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</si>
  <si>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</si>
  <si>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</si>
  <si>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</si>
  <si>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</si>
  <si>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</si>
  <si>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0°F</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</si>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</sst>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7">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0"/>
    <tableColumn id="2" xr3:uid="{D07D770F-21F7-425E-8CCA-AA85FFD513A3}" uniqueName="2" name="serial_number" queryTableFieldId="2" dataDxfId="9"/>
    <tableColumn id="3" xr3:uid="{D963BD5C-EE98-4CDD-ABAE-5315BBDA1135}" uniqueName="3" name="asset_tag" queryTableFieldId="3" dataDxfId="8"/>
    <tableColumn id="4" xr3:uid="{44F03B5B-6C09-4D5C-B2E2-D809B4EDF2B0}" uniqueName="4" name="custom_order_number" queryTableFieldId="4" dataDxfId="7"/>
    <tableColumn id="5" xr3:uid="{412A70E1-7452-417E-A3A9-BD3499EBD33C}" uniqueName="5" name="service_date" queryTableFieldId="5" dataDxfId="6"/>
    <tableColumn id="6" xr3:uid="{B359FFDA-2633-4F67-9E7E-BA0BB88ADA64}" uniqueName="6" name="next_service_date" queryTableFieldId="6" dataDxfId="5"/>
    <tableColumn id="7" xr3:uid="{297A4F29-F6E9-4BD3-A7A2-5F1039480BAE}" uniqueName="7" name="certificate_number" queryTableFieldId="7" dataDxfId="4"/>
    <tableColumn id="8" xr3:uid="{7C740CB9-37DA-435E-A87E-AF050E31623C}" uniqueName="8" name="wire_roll_cert_number" queryTableFieldId="8" dataDxfId="3"/>
    <tableColumn id="9" xr3:uid="{5B17E9FC-0D68-4EA9-9145-B5DC8FAF5A93}" uniqueName="9" name="type" queryTableFieldId="9" dataDxfId="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6"/>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5">
  <autoFilter ref="A1:C9" xr:uid="{8AF992F3-27EF-4265-960D-70EC6F74FAFA}"/>
  <sortState xmlns:xlrd2="http://schemas.microsoft.com/office/spreadsheetml/2017/richdata2" ref="A2:C9">
    <sortCondition ref="B1:B9"/>
  </sortState>
  <tableColumns count="3">
    <tableColumn id="1" xr3:uid="{1F7D0D09-7152-4679-B25C-65CF0E0AB2D4}" name="Type" dataDxfId="8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3"/>
    <tableColumn id="7" xr3:uid="{3E130632-D63E-485B-AA7F-FF01BB115CD8}" uniqueName="7" name="AddressLine2" queryTableFieldId="7" dataDxfId="82"/>
    <tableColumn id="8" xr3:uid="{B07B805E-B475-4FEF-A83E-C870164F0C1C}" uniqueName="8" name="AddressLine3" queryTableFieldId="8" dataDxfId="81"/>
    <tableColumn id="9" xr3:uid="{3603DEDD-08A6-4233-A5D5-79D5A1A0055E}" uniqueName="9" name="FormNumber" queryTableFieldId="9" dataDxfId="80"/>
    <tableColumn id="10" xr3:uid="{B63B6E05-D199-4BCD-9A28-28B5F5832CE0}" uniqueName="10" name="CalibrationMethod" queryTableFieldId="10" dataDxfId="79"/>
    <tableColumn id="11" xr3:uid="{EC51B02C-FD97-492B-BF24-15D683C6ED4C}" uniqueName="11" name="ToleranceSource" queryTableFieldId="11" dataDxfId="78"/>
    <tableColumn id="12" xr3:uid="{706BF144-B069-4B3F-AFB9-7848E93D758C}" uniqueName="12" name="Item" queryTableFieldId="12" dataDxfId="7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6"/>
    <tableColumn id="18" xr3:uid="{2B4941C4-9755-4A0D-86C3-2C668815DEF2}" uniqueName="18" name="Tolerance" queryTableFieldId="18" dataDxfId="75"/>
    <tableColumn id="19" xr3:uid="{756D3CB6-E1A4-4B24-93A7-8AB4732E9BE6}" uniqueName="19" name="HeatingMethod" queryTableFieldId="19" dataDxfId="74"/>
    <tableColumn id="20" xr3:uid="{A46E5597-E3E9-444B-8D64-D35898DCC2B4}" uniqueName="20" name="WorkingZoneSize" queryTableFieldId="20" dataDxfId="7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2"/>
    <tableColumn id="32" xr3:uid="{1852EB3E-F034-42EA-8A35-98DDD1845F7B}" uniqueName="32" name="TestLocation" queryTableFieldId="32" dataDxfId="71"/>
    <tableColumn id="33" xr3:uid="{15129CDA-47B3-4B02-8524-3F9672DC4216}" uniqueName="33" name="OvenLocation" queryTableFieldId="33" dataDxfId="70"/>
    <tableColumn id="34" xr3:uid="{F4A9D00F-E54E-4736-976C-15166BF81AEF}" uniqueName="34" name="Condition" queryTableFieldId="34" dataDxfId="6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67" dataDxfId="66">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13"/>
    <tableColumn id="19" xr3:uid="{31D68568-B5E1-4705-9496-19F08F967786}" uniqueName="19" name="Address2" queryTableFieldId="19" dataDxfId="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5" dataDxfId="6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4" tableType="queryTable" totalsRowShown="0">
  <autoFilter ref="A1:C54" xr:uid="{7D6692C0-B26B-4A6B-B670-19E942C94010}"/>
  <tableColumns count="3">
    <tableColumn id="1" xr3:uid="{E04CBA9B-7738-46EA-8147-FB23229FA561}" uniqueName="1" name="employee_id" queryTableFieldId="3"/>
    <tableColumn id="2" xr3:uid="{DD1A4DE1-AA1C-4914-9973-4B48039BE0A6}" uniqueName="2" name="Name" queryTableFieldId="2" dataDxfId="63"/>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7" dataDxfId="16" headerRowCellStyle="Normal 2" dataCellStyle="Normal 2">
  <autoFilter ref="U11:V25" xr:uid="{DCCFF26E-EC5C-4962-98DB-A7DA1F3C8CE2}"/>
  <tableColumns count="2">
    <tableColumn id="1" xr3:uid="{DFC40837-B092-4826-9847-4A23BE22020F}" name="4" dataDxfId="15" dataCellStyle="Normal 2"/>
    <tableColumn id="2" xr3:uid="{0711DB07-19DA-4D5E-A417-C242A0304453}" name="10" dataDxfId="14"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2.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table" Target="../tables/table1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925</v>
      </c>
      <c r="B1" s="176"/>
      <c r="C1" s="535" t="s">
        <v>62</v>
      </c>
      <c r="D1" s="536"/>
      <c r="E1" s="536"/>
      <c r="F1" s="53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92</v>
      </c>
      <c r="D3" s="494"/>
      <c r="E3" s="179"/>
      <c r="F3" s="179"/>
      <c r="G3" s="179"/>
      <c r="H3" s="179"/>
      <c r="I3" s="179"/>
      <c r="J3" s="537" t="s">
        <v>126</v>
      </c>
      <c r="K3" s="538"/>
      <c r="L3" s="539"/>
      <c r="M3" s="179"/>
      <c r="N3" s="554" t="s">
        <v>115</v>
      </c>
      <c r="O3" s="554"/>
      <c r="P3" s="554"/>
      <c r="Q3" s="554"/>
      <c r="R3" s="554"/>
      <c r="S3" s="554"/>
      <c r="T3" s="185"/>
      <c r="U3" s="185"/>
      <c r="V3" s="185"/>
      <c r="W3" s="188"/>
      <c r="X3" s="188"/>
      <c r="Y3" s="188"/>
      <c r="Z3" s="188"/>
      <c r="AA3" s="188"/>
      <c r="AB3" s="188"/>
      <c r="AC3" s="188"/>
    </row>
    <row r="4" spans="1:29" x14ac:dyDescent="0.2">
      <c r="A4" s="181"/>
      <c r="B4" s="186"/>
      <c r="C4" s="187" t="s">
        <v>262</v>
      </c>
      <c r="D4" s="499" t="str" cm="1">
        <f t="array" ref="D4">Condition</f>
        <v>Used</v>
      </c>
      <c r="E4" s="179"/>
      <c r="F4" s="179"/>
      <c r="G4" s="179"/>
      <c r="H4" s="179"/>
      <c r="I4" s="179"/>
      <c r="J4" s="542" t="s">
        <v>4</v>
      </c>
      <c r="K4" s="543"/>
      <c r="L4" s="189">
        <f ca="1">IF(ISERROR(Access_Data!$D$33),0,Access_Data!$D$33)</f>
        <v>0</v>
      </c>
      <c r="M4" s="179"/>
      <c r="N4" s="190" t="s">
        <v>114</v>
      </c>
      <c r="O4" s="191" t="s">
        <v>113</v>
      </c>
      <c r="P4" s="540" t="s">
        <v>124</v>
      </c>
      <c r="Q4" s="541"/>
      <c r="R4" s="192" t="s">
        <v>161</v>
      </c>
      <c r="S4" s="192" t="s">
        <v>165</v>
      </c>
      <c r="T4" s="185"/>
      <c r="U4" s="428"/>
      <c r="V4" s="428"/>
      <c r="W4" s="428"/>
      <c r="X4" s="428"/>
      <c r="Y4" s="428"/>
      <c r="Z4" s="428"/>
      <c r="AA4" s="428"/>
      <c r="AB4" s="428"/>
      <c r="AC4" s="188"/>
    </row>
    <row r="5" spans="1:29" x14ac:dyDescent="0.2">
      <c r="A5" s="181"/>
      <c r="B5" s="186"/>
      <c r="C5" s="187" t="s">
        <v>53</v>
      </c>
      <c r="D5" s="558" t="e">
        <f>companyName</f>
        <v>#REF!</v>
      </c>
      <c r="E5" s="559"/>
      <c r="F5" s="559"/>
      <c r="G5" s="559"/>
      <c r="H5" s="560"/>
      <c r="I5" s="500" t="e">
        <f>VLOOKUP(D5,customers_table[],5,FALSE)</f>
        <v>#REF!</v>
      </c>
      <c r="J5" s="542" t="s">
        <v>5</v>
      </c>
      <c r="K5" s="543"/>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55" t="e">
        <f>VLOOKUP("assetName",WorkItemDetails[],2,FALSE)</f>
        <v>#N/A</v>
      </c>
      <c r="E6" s="556"/>
      <c r="F6" s="556"/>
      <c r="G6" s="556"/>
      <c r="H6" s="557"/>
      <c r="I6" s="478"/>
      <c r="J6" s="542" t="s">
        <v>125</v>
      </c>
      <c r="K6" s="543"/>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519" t="str" cm="1">
        <f t="array" ref="D7">Employee[Name]</f>
        <v>Jeff Hall</v>
      </c>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82</v>
      </c>
      <c r="D9" s="496"/>
      <c r="E9" s="500"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69</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111</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110</v>
      </c>
      <c r="D13" s="491" t="e">
        <f>VLOOKUP("next_service_date",DaqbookServiceRecord[], 2, FALSE)</f>
        <v>#N/A</v>
      </c>
      <c r="E13" s="179"/>
      <c r="F13" s="208"/>
      <c r="G13" s="209" t="str">
        <f>IF(Access_Data!$C$52=1,"!!!!! OVEN OVERSHOT IN POINTS 15-28 !!!!!","")</f>
        <v/>
      </c>
      <c r="H13" s="179"/>
      <c r="I13" s="179"/>
      <c r="J13" s="368" t="s">
        <v>358</v>
      </c>
      <c r="K13" s="552" t="str">
        <f>IFERROR(VLOOKUP("PoNumber",WorkItemDetails[],2,FALSE),"")</f>
        <v/>
      </c>
      <c r="L13" s="553"/>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112</v>
      </c>
      <c r="D14" s="492" t="e">
        <f>VLOOKUP("certificate_number",DaqbookServiceRecord[], 2, FALSE)</f>
        <v>#N/A</v>
      </c>
      <c r="E14" s="179"/>
      <c r="F14" s="179"/>
      <c r="G14" s="184" t="str">
        <f>IF(Access_Data!$D$52=1,"!!!!! OVEN OVERSHOT IN POINTS 29-40","")</f>
        <v/>
      </c>
      <c r="H14" s="179"/>
      <c r="I14" s="179"/>
      <c r="J14" s="210" t="s">
        <v>160</v>
      </c>
      <c r="K14" s="561"/>
      <c r="L14" s="562"/>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81</v>
      </c>
      <c r="D15" s="490"/>
      <c r="E15" s="179"/>
      <c r="F15" s="179"/>
      <c r="G15" s="179"/>
      <c r="H15" s="401" t="b">
        <v>1</v>
      </c>
      <c r="I15" s="179"/>
      <c r="J15" s="211" t="s">
        <v>155</v>
      </c>
      <c r="K15" s="546"/>
      <c r="L15" s="54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296</v>
      </c>
      <c r="D16" s="380"/>
      <c r="E16" s="179"/>
      <c r="F16" s="210" t="s">
        <v>101</v>
      </c>
      <c r="G16" s="307" t="s">
        <v>301</v>
      </c>
      <c r="H16" s="214"/>
      <c r="I16" s="179"/>
      <c r="J16" s="566" t="s">
        <v>191</v>
      </c>
      <c r="K16" s="567"/>
      <c r="L16" s="498"/>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80</v>
      </c>
      <c r="D17" s="381"/>
      <c r="E17" s="179"/>
      <c r="F17" s="211" t="s">
        <v>120</v>
      </c>
      <c r="G17" s="400" t="str">
        <f>Load</f>
        <v>Empty</v>
      </c>
      <c r="I17" s="184"/>
      <c r="J17" s="566" t="s">
        <v>192</v>
      </c>
      <c r="K17" s="567"/>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83</v>
      </c>
      <c r="D18" s="382"/>
      <c r="E18" s="179"/>
      <c r="F18" s="217" t="s">
        <v>102</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103</v>
      </c>
      <c r="G19" s="544" t="str">
        <f>IF(K15="Salt",0, IF(OR(K15="Hot",K15="SIM Load Hot"),IF(OR(D26="",D28=""),"N/A",IF(ISBLANK(D26),"N/A",D28-D26)),"N/A"))</f>
        <v>N/A</v>
      </c>
      <c r="H19" s="54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48" t="str">
        <f>IF(I94=TRUE,"SAT Tolerance (per AMS2750):","SAT Tolerance (per BAC5621):")</f>
        <v>SAT Tolerance (per AMS2750):</v>
      </c>
      <c r="C20" s="54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84</v>
      </c>
      <c r="D23" s="496"/>
      <c r="E23" s="179"/>
      <c r="F23" s="224" t="s">
        <v>121</v>
      </c>
      <c r="G23" s="574" t="s">
        <v>413</v>
      </c>
      <c r="H23" s="575"/>
      <c r="I23" s="575"/>
      <c r="J23" s="575"/>
      <c r="K23" s="576"/>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408</v>
      </c>
      <c r="AA23" s="428"/>
      <c r="AB23" s="428"/>
      <c r="AC23" s="188"/>
    </row>
    <row r="24" spans="1:29" x14ac:dyDescent="0.2">
      <c r="A24" s="181"/>
      <c r="B24" s="550" t="s">
        <v>597</v>
      </c>
      <c r="C24" s="551"/>
      <c r="D24" s="493" t="e" cm="1" vm="2">
        <f t="array" ref="D24">_xlfn.REGEXEXTRACT(WorkItemNumber, "-\d{2}(R\d{1,2})?$")</f>
        <v>#N/A</v>
      </c>
      <c r="E24" s="179"/>
      <c r="F24" s="224" t="s">
        <v>122</v>
      </c>
      <c r="G24" s="577"/>
      <c r="H24" s="578"/>
      <c r="I24" s="578"/>
      <c r="J24" s="578"/>
      <c r="K24" s="579"/>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409</v>
      </c>
      <c r="AA24" s="428"/>
      <c r="AB24" s="428"/>
      <c r="AC24" s="188"/>
    </row>
    <row r="25" spans="1:29" x14ac:dyDescent="0.2">
      <c r="A25" s="181"/>
      <c r="B25" s="202"/>
      <c r="C25" s="209"/>
      <c r="D25" s="204"/>
      <c r="E25" s="179"/>
      <c r="F25" s="224" t="s">
        <v>123</v>
      </c>
      <c r="G25" s="577"/>
      <c r="H25" s="578"/>
      <c r="I25" s="578"/>
      <c r="J25" s="578"/>
      <c r="K25" s="579"/>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410</v>
      </c>
      <c r="AA25" s="428"/>
      <c r="AB25" s="428"/>
      <c r="AC25" s="188"/>
    </row>
    <row r="26" spans="1:29" x14ac:dyDescent="0.2">
      <c r="A26" s="181"/>
      <c r="B26" s="212"/>
      <c r="C26" s="213" t="s">
        <v>76</v>
      </c>
      <c r="D26" s="51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411</v>
      </c>
      <c r="AA26" s="428"/>
      <c r="AB26" s="428"/>
      <c r="AC26" s="188"/>
    </row>
    <row r="27" spans="1:29" x14ac:dyDescent="0.2">
      <c r="A27" s="181"/>
      <c r="B27" s="226">
        <v>10</v>
      </c>
      <c r="C27" s="187" t="s">
        <v>77</v>
      </c>
      <c r="D27" s="512"/>
      <c r="E27" s="225"/>
      <c r="F27" s="368" t="s">
        <v>304</v>
      </c>
      <c r="G27" s="367">
        <f>IF(CheckRec="y","Cal by Customer",D$3)</f>
        <v>0</v>
      </c>
      <c r="H27" s="572" t="str">
        <f>IF(ISBLANK(D6),"",IF(CheckRec="x","CHECK INSTRUMENT CAL DATES!!!!             CHECK INSTRUMENT CAL DATES!!!!",""))</f>
        <v/>
      </c>
      <c r="I27" s="573"/>
      <c r="J27" s="573"/>
      <c r="K27" s="573"/>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412</v>
      </c>
      <c r="AA27" s="428"/>
      <c r="AB27" s="428"/>
      <c r="AC27" s="188"/>
    </row>
    <row r="28" spans="1:29" x14ac:dyDescent="0.2">
      <c r="A28" s="181"/>
      <c r="B28" s="227">
        <v>30</v>
      </c>
      <c r="C28" s="216" t="s">
        <v>78</v>
      </c>
      <c r="D28" s="512"/>
      <c r="E28" s="225"/>
      <c r="F28" s="368" t="s">
        <v>305</v>
      </c>
      <c r="G28" s="367">
        <f>IF(CheckRec="y","Cal by Customer",D$3)</f>
        <v>0</v>
      </c>
      <c r="H28" s="572"/>
      <c r="I28" s="573"/>
      <c r="J28" s="573"/>
      <c r="K28" s="573"/>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97</v>
      </c>
      <c r="D29" s="228" t="str">
        <f>(IF(OR(D27="",D28=""),"",IF(ISBLANK(D27),"",D28-D27)))</f>
        <v/>
      </c>
      <c r="E29" s="229" t="e">
        <f>IF(D29=0,"&lt;2",ROUND(IF(LEN(D29)&gt;3,D29*1440,TEXT(D29,"hh:mm")),0)) &amp;" MINUTES"</f>
        <v>#VALUE!</v>
      </c>
      <c r="F29" s="320" t="s">
        <v>306</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414</v>
      </c>
      <c r="AA29" s="428"/>
      <c r="AB29" s="428"/>
      <c r="AC29" s="188"/>
    </row>
    <row r="30" spans="1:29" x14ac:dyDescent="0.2">
      <c r="A30" s="181"/>
      <c r="B30" s="429">
        <v>45</v>
      </c>
      <c r="C30" s="216" t="s">
        <v>79</v>
      </c>
      <c r="D30" s="512"/>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415</v>
      </c>
      <c r="AA30" s="428"/>
      <c r="AB30" s="428"/>
      <c r="AC30" s="188"/>
    </row>
    <row r="31" spans="1:29" x14ac:dyDescent="0.2">
      <c r="A31" s="181"/>
      <c r="B31" s="186"/>
      <c r="C31" s="187" t="s">
        <v>68</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416</v>
      </c>
      <c r="AA31" s="428"/>
      <c r="AB31" s="428"/>
      <c r="AC31" s="188"/>
    </row>
    <row r="32" spans="1:29" x14ac:dyDescent="0.2">
      <c r="A32" s="222"/>
      <c r="B32" s="231"/>
      <c r="C32" s="232" t="s">
        <v>105</v>
      </c>
      <c r="D32" s="497"/>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37" t="s">
        <v>61</v>
      </c>
      <c r="C34" s="538"/>
      <c r="D34" s="538"/>
      <c r="E34" s="538"/>
      <c r="F34" s="538"/>
      <c r="G34" s="538"/>
      <c r="H34" s="538"/>
      <c r="I34" s="538"/>
      <c r="J34" s="538"/>
      <c r="K34" s="538"/>
      <c r="L34" s="53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63" t="s">
        <v>45</v>
      </c>
      <c r="E46" s="564"/>
      <c r="F46" s="564"/>
      <c r="G46" s="564"/>
      <c r="H46" s="564"/>
      <c r="I46" s="565"/>
      <c r="J46" s="369"/>
      <c r="K46" s="369"/>
      <c r="L46" s="369"/>
      <c r="M46" s="580" t="s">
        <v>363</v>
      </c>
      <c r="N46" s="581"/>
      <c r="O46" s="582"/>
      <c r="P46" s="583"/>
      <c r="Q46" s="320"/>
      <c r="R46" s="320"/>
      <c r="S46" s="370"/>
      <c r="T46" s="370"/>
      <c r="U46" s="370"/>
    </row>
    <row r="47" spans="1:29" x14ac:dyDescent="0.2">
      <c r="A47" s="203"/>
      <c r="B47" s="249"/>
      <c r="C47" s="376" t="s">
        <v>75</v>
      </c>
      <c r="D47" s="507" t="str">
        <f>IF(D48="","",""""&amp;_xlfn.XLOOKUP(D$48,WireSets[serial_number],WireSets[type],"",0)&amp;"""")</f>
        <v/>
      </c>
      <c r="E47" s="507" t="str">
        <f>IF(E48="","",""""&amp;_xlfn.XLOOKUP(E$48,WireSets[serial_number],WireSets[type],"",0)&amp;"""")</f>
        <v/>
      </c>
      <c r="F47" s="507" t="str">
        <f>IF(F48="","",""""&amp;_xlfn.XLOOKUP(F$48,WireSets[serial_number],WireSets[type],"",0)&amp;"""")</f>
        <v/>
      </c>
      <c r="G47" s="507" t="str">
        <f>IF(G48="","",""""&amp;_xlfn.XLOOKUP(G$48,WireSets[serial_number],WireSets[type],"",0)&amp;"""")</f>
        <v/>
      </c>
      <c r="H47" s="507" t="str">
        <f>IF(H48="","",""""&amp;_xlfn.XLOOKUP(H$48,WireSets[serial_number],WireSets[type],"",0)&amp;"""")</f>
        <v/>
      </c>
      <c r="I47" s="507" t="str">
        <f>IF(I48="","",""""&amp;_xlfn.XLOOKUP(I$48,WireSets[serial_number],WireSets[type],"",0)&amp;"""")</f>
        <v/>
      </c>
      <c r="J47" s="369"/>
      <c r="K47" s="369"/>
      <c r="M47" s="372" t="s">
        <v>364</v>
      </c>
      <c r="N47" s="387" t="s">
        <v>365</v>
      </c>
      <c r="O47" s="388"/>
      <c r="P47" s="570" t="s">
        <v>366</v>
      </c>
      <c r="Q47" s="570"/>
      <c r="R47" s="373" t="s">
        <v>367</v>
      </c>
      <c r="S47" s="370"/>
      <c r="T47" s="370"/>
      <c r="U47" s="370"/>
    </row>
    <row r="48" spans="1:29" x14ac:dyDescent="0.2">
      <c r="A48" s="181"/>
      <c r="B48" s="249"/>
      <c r="C48" s="509" t="s">
        <v>46</v>
      </c>
      <c r="D48" s="508"/>
      <c r="E48" s="508"/>
      <c r="F48" s="508"/>
      <c r="G48" s="508"/>
      <c r="H48" s="508"/>
      <c r="I48" s="508"/>
      <c r="J48" s="369"/>
      <c r="K48" s="369"/>
      <c r="L48" s="369"/>
      <c r="M48" s="571" t="s">
        <v>368</v>
      </c>
      <c r="N48" s="571"/>
      <c r="O48" s="389"/>
      <c r="P48" s="529" t="s">
        <v>425</v>
      </c>
      <c r="Q48" s="530"/>
      <c r="R48" s="531"/>
      <c r="S48" s="433"/>
      <c r="T48" s="437"/>
      <c r="U48" s="529" t="s">
        <v>428</v>
      </c>
      <c r="V48" s="530"/>
      <c r="W48" s="531"/>
    </row>
    <row r="49" spans="1:24" x14ac:dyDescent="0.2">
      <c r="A49" s="181"/>
      <c r="B49" s="251"/>
      <c r="C49" s="376" t="s">
        <v>47</v>
      </c>
      <c r="D49" s="506" t="str">
        <f>_xlfn.XLOOKUP(D$48,WireSets[serial_number],WireSets[service_date],"",0)</f>
        <v/>
      </c>
      <c r="E49" s="506" t="str">
        <f>_xlfn.XLOOKUP(E$48,WireSets[serial_number],WireSets[service_date],"",0)</f>
        <v/>
      </c>
      <c r="F49" s="506" t="str">
        <f>_xlfn.XLOOKUP(F$48,WireSets[serial_number],WireSets[service_date],"",0)</f>
        <v/>
      </c>
      <c r="G49" s="506" t="str">
        <f>_xlfn.XLOOKUP(G$48,WireSets[serial_number],WireSets[service_date],"",0)</f>
        <v/>
      </c>
      <c r="H49" s="506" t="str">
        <f>_xlfn.XLOOKUP(H$48,WireSets[serial_number],WireSets[service_date],"",0)</f>
        <v/>
      </c>
      <c r="I49" s="506" t="str">
        <f>_xlfn.XLOOKUP(I$48,WireSets[serial_number],WireSets[service_date],"",0)</f>
        <v/>
      </c>
      <c r="J49" s="369"/>
      <c r="K49" s="369" t="s">
        <v>923</v>
      </c>
      <c r="L49" s="369"/>
      <c r="M49" s="372" t="s">
        <v>369</v>
      </c>
      <c r="N49" s="374" t="str">
        <f>IF(PB="","",PB)</f>
        <v>Unavailable</v>
      </c>
      <c r="O49" s="304"/>
      <c r="P49" s="532" t="s">
        <v>430</v>
      </c>
      <c r="Q49" s="533"/>
      <c r="R49" s="534"/>
      <c r="S49" s="457"/>
      <c r="T49" s="439"/>
      <c r="U49" s="532" t="s">
        <v>429</v>
      </c>
      <c r="V49" s="533"/>
      <c r="W49" s="534"/>
      <c r="X49" s="390"/>
    </row>
    <row r="50" spans="1:24" x14ac:dyDescent="0.2">
      <c r="A50" s="181"/>
      <c r="B50" s="252"/>
      <c r="C50" s="376" t="s">
        <v>48</v>
      </c>
      <c r="D50" s="506" t="str">
        <f>_xlfn.XLOOKUP(D$48,WireSets[serial_number],WireSets[next_service_date],"",0)</f>
        <v/>
      </c>
      <c r="E50" s="506" t="str">
        <f>_xlfn.XLOOKUP(E$48,WireSets[serial_number],WireSets[next_service_date],"",0)</f>
        <v/>
      </c>
      <c r="F50" s="506" t="str">
        <f>_xlfn.XLOOKUP(F$48,WireSets[serial_number],WireSets[next_service_date],"",0)</f>
        <v/>
      </c>
      <c r="G50" s="506" t="str">
        <f>_xlfn.XLOOKUP(G$48,WireSets[serial_number],WireSets[next_service_date],"",0)</f>
        <v/>
      </c>
      <c r="H50" s="506" t="str">
        <f>_xlfn.XLOOKUP(H$48,WireSets[serial_number],WireSets[next_service_date],"",0)</f>
        <v/>
      </c>
      <c r="I50" s="506" t="str">
        <f>_xlfn.XLOOKUP(I$48,WireSets[serial_number],WireSets[next_service_date],"",0)</f>
        <v/>
      </c>
      <c r="J50" s="369"/>
      <c r="K50" s="369"/>
      <c r="L50" s="369"/>
      <c r="M50" s="372" t="s">
        <v>370</v>
      </c>
      <c r="N50" s="374" t="str">
        <f>IF(Integral="","",Integral)</f>
        <v/>
      </c>
      <c r="O50" s="304"/>
      <c r="P50" s="520" t="s">
        <v>371</v>
      </c>
      <c r="Q50" s="521"/>
      <c r="R50" s="522"/>
      <c r="S50" s="436"/>
      <c r="T50" s="440"/>
      <c r="U50" s="520" t="s">
        <v>371</v>
      </c>
      <c r="V50" s="521"/>
      <c r="W50" s="522"/>
      <c r="X50" s="370"/>
    </row>
    <row r="51" spans="1:24" x14ac:dyDescent="0.2">
      <c r="A51" s="181"/>
      <c r="B51" s="253"/>
      <c r="C51" s="376" t="s">
        <v>73</v>
      </c>
      <c r="D51" s="508"/>
      <c r="E51" s="508"/>
      <c r="F51" s="508"/>
      <c r="G51" s="508"/>
      <c r="H51" s="508"/>
      <c r="I51" s="508"/>
      <c r="J51" s="369"/>
      <c r="K51" s="426"/>
      <c r="L51" s="369"/>
      <c r="M51" s="375" t="s">
        <v>372</v>
      </c>
      <c r="N51" s="374" t="str">
        <f>IF(Derivative="","",Derivative)</f>
        <v/>
      </c>
      <c r="P51" s="532" t="s">
        <v>426</v>
      </c>
      <c r="Q51" s="533"/>
      <c r="R51" s="534"/>
      <c r="S51" s="457"/>
      <c r="T51" s="442"/>
      <c r="U51" s="532" t="s">
        <v>431</v>
      </c>
      <c r="V51" s="533"/>
      <c r="W51" s="534"/>
      <c r="X51" s="390"/>
    </row>
    <row r="52" spans="1:24" x14ac:dyDescent="0.2">
      <c r="A52" s="181"/>
      <c r="B52" s="249"/>
      <c r="C52" s="376" t="s">
        <v>378</v>
      </c>
      <c r="D52" s="508"/>
      <c r="E52" s="508"/>
      <c r="F52" s="508"/>
      <c r="G52" s="508"/>
      <c r="H52" s="508"/>
      <c r="I52" s="508"/>
      <c r="J52" s="369"/>
      <c r="K52" s="426"/>
      <c r="L52" s="369"/>
      <c r="M52" s="375" t="s">
        <v>373</v>
      </c>
      <c r="N52" s="374" t="str">
        <f>IF(Other1="","",Other1)</f>
        <v/>
      </c>
      <c r="O52" s="304"/>
      <c r="P52" s="520" t="s">
        <v>371</v>
      </c>
      <c r="Q52" s="521"/>
      <c r="R52" s="522"/>
      <c r="S52" s="436"/>
      <c r="T52" s="441"/>
      <c r="U52" s="520" t="s">
        <v>371</v>
      </c>
      <c r="V52" s="521"/>
      <c r="W52" s="522"/>
      <c r="X52" s="370"/>
    </row>
    <row r="53" spans="1:24" ht="12.75" customHeight="1" x14ac:dyDescent="0.2">
      <c r="A53" s="181"/>
      <c r="B53" s="249"/>
      <c r="C53" s="376" t="s">
        <v>74</v>
      </c>
      <c r="D53" s="510" t="str">
        <f>_xlfn.XLOOKUP(D$48,WireSets[serial_number],WireSets[Max],"",0)</f>
        <v/>
      </c>
      <c r="E53" s="510" t="str">
        <f>_xlfn.XLOOKUP(E$48,WireSets[serial_number],WireSets[Max],"",0)</f>
        <v/>
      </c>
      <c r="F53" s="510" t="str">
        <f>_xlfn.XLOOKUP(F$48,WireSets[serial_number],WireSets[Max],"",0)</f>
        <v/>
      </c>
      <c r="G53" s="510" t="str">
        <f>_xlfn.XLOOKUP(G$48,WireSets[serial_number],WireSets[Max],"",0)</f>
        <v/>
      </c>
      <c r="H53" s="510" t="str">
        <f>_xlfn.XLOOKUP(H$48,WireSets[serial_number],WireSets[Max],"",0)</f>
        <v/>
      </c>
      <c r="I53" s="510" t="str">
        <f>_xlfn.XLOOKUP(I$48,WireSets[serial_number],WireSets[Max],"",0)</f>
        <v/>
      </c>
      <c r="J53" s="369"/>
      <c r="K53" s="427"/>
      <c r="L53" s="427"/>
      <c r="M53" s="412" t="s">
        <v>373</v>
      </c>
      <c r="N53" s="374" t="str">
        <f>IF(Other2="","",Other2)</f>
        <v/>
      </c>
      <c r="O53" s="304"/>
      <c r="P53" s="523" t="s">
        <v>427</v>
      </c>
      <c r="Q53" s="524"/>
      <c r="R53" s="525"/>
      <c r="S53" s="458"/>
      <c r="T53" s="438"/>
      <c r="U53" s="523" t="s">
        <v>432</v>
      </c>
      <c r="V53" s="524"/>
      <c r="W53" s="525"/>
      <c r="X53" s="391"/>
    </row>
    <row r="54" spans="1:24" x14ac:dyDescent="0.2">
      <c r="A54" s="181"/>
      <c r="B54" s="249"/>
      <c r="C54" s="377" t="s">
        <v>106</v>
      </c>
      <c r="D54" s="518" t="str">
        <f>_xlfn.XLOOKUP(D$48,WireSets[serial_number],WireSets[certificate_number],"",0)</f>
        <v/>
      </c>
      <c r="E54" s="518" t="str">
        <f>_xlfn.XLOOKUP(E$48,WireSets[serial_number],WireSets[certificate_number],"",0)</f>
        <v/>
      </c>
      <c r="F54" s="518" t="str">
        <f>_xlfn.XLOOKUP(F$48,WireSets[serial_number],WireSets[certificate_number],"",0)</f>
        <v/>
      </c>
      <c r="G54" s="518" t="str">
        <f>_xlfn.XLOOKUP(G$48,WireSets[serial_number],WireSets[certificate_number],"",0)</f>
        <v/>
      </c>
      <c r="H54" s="518" t="str">
        <f>_xlfn.XLOOKUP(H$48,WireSets[serial_number],WireSets[certificate_number],"",0)</f>
        <v/>
      </c>
      <c r="I54" s="518" t="str">
        <f>_xlfn.XLOOKUP(I$48,WireSets[serial_number],WireSets[certificate_number],"",0)</f>
        <v/>
      </c>
      <c r="J54" s="305"/>
      <c r="K54" s="413"/>
      <c r="L54" s="414"/>
      <c r="M54" s="415" t="s">
        <v>401</v>
      </c>
      <c r="N54" s="424" t="s">
        <v>405</v>
      </c>
      <c r="O54" s="225"/>
      <c r="P54" s="526"/>
      <c r="Q54" s="527"/>
      <c r="R54" s="528"/>
      <c r="S54" s="435"/>
      <c r="T54" s="432"/>
      <c r="U54" s="526"/>
      <c r="V54" s="527"/>
      <c r="W54" s="528"/>
    </row>
    <row r="55" spans="1:24" x14ac:dyDescent="0.2">
      <c r="A55" s="181"/>
      <c r="B55" s="249"/>
      <c r="C55" s="377" t="s">
        <v>178</v>
      </c>
      <c r="D55" s="510" t="str">
        <f>_xlfn.XLOOKUP(D$48,WireSets[serial_number],WireSets[wire_roll_cert_number],"",0)</f>
        <v/>
      </c>
      <c r="E55" s="510" t="str">
        <f>_xlfn.XLOOKUP(E$48,WireSets[serial_number],WireSets[wire_roll_cert_number],"",0)</f>
        <v/>
      </c>
      <c r="F55" s="510" t="str">
        <f>_xlfn.XLOOKUP(F$48,WireSets[serial_number],WireSets[wire_roll_cert_number],"",0)</f>
        <v/>
      </c>
      <c r="G55" s="510" t="str">
        <f>_xlfn.XLOOKUP(G$48,WireSets[serial_number],WireSets[wire_roll_cert_number],"",0)</f>
        <v/>
      </c>
      <c r="H55" s="510" t="str">
        <f>_xlfn.XLOOKUP(H$48,WireSets[serial_number],WireSets[wire_roll_cert_number],"",0)</f>
        <v/>
      </c>
      <c r="I55" s="510" t="str">
        <f>_xlfn.XLOOKUP(I$48,WireSets[serial_number],WireSets[wire_roll_cert_number],"",0)</f>
        <v/>
      </c>
      <c r="J55" s="306"/>
      <c r="K55" s="416"/>
      <c r="L55" s="417"/>
      <c r="M55" s="418" t="s">
        <v>402</v>
      </c>
      <c r="N55" s="425" t="s">
        <v>405</v>
      </c>
      <c r="O55" s="225"/>
      <c r="P55" s="392" t="s">
        <v>374</v>
      </c>
      <c r="Q55" s="392" t="s">
        <v>26</v>
      </c>
      <c r="R55" s="443" t="s">
        <v>375</v>
      </c>
      <c r="S55" s="447"/>
      <c r="T55" s="445"/>
      <c r="U55" s="395" t="s">
        <v>376</v>
      </c>
      <c r="V55" s="392" t="s">
        <v>26</v>
      </c>
      <c r="W55" s="392" t="s">
        <v>377</v>
      </c>
    </row>
    <row r="56" spans="1:24" x14ac:dyDescent="0.2">
      <c r="A56" s="181"/>
      <c r="B56" s="254"/>
      <c r="C56" s="377" t="s">
        <v>179</v>
      </c>
      <c r="D56" s="508"/>
      <c r="E56" s="508"/>
      <c r="F56" s="508"/>
      <c r="G56" s="508"/>
      <c r="H56" s="508"/>
      <c r="I56" s="508"/>
      <c r="J56" s="303"/>
      <c r="K56" s="419"/>
      <c r="L56" s="420"/>
      <c r="M56" s="418" t="s">
        <v>403</v>
      </c>
      <c r="N56" s="425" t="s">
        <v>405</v>
      </c>
      <c r="O56" s="225"/>
      <c r="P56" s="393"/>
      <c r="Q56" s="394"/>
      <c r="R56" s="444"/>
      <c r="S56" s="448"/>
      <c r="T56" s="446"/>
      <c r="U56" s="396"/>
      <c r="V56" s="394"/>
      <c r="W56" s="393"/>
    </row>
    <row r="57" spans="1:24" x14ac:dyDescent="0.2">
      <c r="A57" s="181"/>
      <c r="B57" s="247"/>
      <c r="C57" s="368" t="s">
        <v>379</v>
      </c>
      <c r="D57" s="511"/>
      <c r="E57" s="511"/>
      <c r="F57" s="511"/>
      <c r="G57" s="511"/>
      <c r="H57" s="511"/>
      <c r="I57" s="511"/>
      <c r="J57" s="179"/>
      <c r="K57" s="421"/>
      <c r="L57" s="422"/>
      <c r="M57" s="423" t="s">
        <v>404</v>
      </c>
      <c r="N57" s="425" t="s">
        <v>405</v>
      </c>
      <c r="O57" s="225"/>
    </row>
    <row r="58" spans="1:24" x14ac:dyDescent="0.2">
      <c r="A58" s="181"/>
      <c r="B58" s="247"/>
      <c r="C58" s="563" t="s">
        <v>184</v>
      </c>
      <c r="D58" s="564"/>
      <c r="E58" s="564"/>
      <c r="F58" s="564"/>
      <c r="G58" s="564"/>
      <c r="H58" s="564"/>
      <c r="I58" s="564"/>
      <c r="J58" s="564"/>
      <c r="K58" s="568"/>
      <c r="L58" s="569"/>
      <c r="M58" s="320"/>
      <c r="N58" s="320"/>
      <c r="O58" s="320"/>
      <c r="P58" s="320"/>
      <c r="Q58" s="320"/>
      <c r="R58" s="370"/>
      <c r="S58" s="370"/>
      <c r="T58" s="370"/>
      <c r="U58" s="370"/>
    </row>
    <row r="59" spans="1:24" x14ac:dyDescent="0.2">
      <c r="A59" s="181"/>
      <c r="B59" s="247"/>
      <c r="C59" s="563" t="s">
        <v>189</v>
      </c>
      <c r="D59" s="564"/>
      <c r="E59" s="564"/>
      <c r="F59" s="564"/>
      <c r="G59" s="564"/>
      <c r="H59" s="564"/>
      <c r="I59" s="564"/>
      <c r="J59" s="564"/>
      <c r="K59" s="564"/>
      <c r="L59" s="565"/>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187</v>
      </c>
      <c r="E60" s="259"/>
      <c r="F60" s="260" t="s">
        <v>185</v>
      </c>
      <c r="G60" s="261"/>
      <c r="H60" s="261"/>
      <c r="I60" s="261"/>
      <c r="J60" s="262"/>
      <c r="K60" s="259"/>
      <c r="L60" s="263" t="s">
        <v>186</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188</v>
      </c>
      <c r="E61" s="259"/>
      <c r="F61" s="266" t="s">
        <v>190</v>
      </c>
      <c r="G61" s="267"/>
      <c r="H61" s="267"/>
      <c r="I61" s="268"/>
      <c r="J61" s="259"/>
      <c r="K61" s="269" t="s">
        <v>186</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398</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176</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177</v>
      </c>
      <c r="G85" s="299" t="s">
        <v>175</v>
      </c>
      <c r="H85" s="300" t="s">
        <v>174</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297</v>
      </c>
      <c r="G93" s="299" t="e">
        <f>VLOOKUP(D19,G86:H91,2,FALSE)</f>
        <v>#N/A</v>
      </c>
      <c r="H93" s="300" t="s">
        <v>298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jQlp95G7oZqY7U5iradQCTCvP4oosVx+ZYeBGLyOBoHzxIk9OujdkFibmzFvt3NG3sZdn+d0LDG0dQHdy8J3Hw==" saltValue="7Xtj52rJ0lZvJhheY1F0Z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444</v>
      </c>
      <c r="B1" t="s">
        <v>585</v>
      </c>
      <c r="C1" t="s">
        <v>586</v>
      </c>
      <c r="D1" t="s">
        <v>587</v>
      </c>
      <c r="E1" t="s">
        <v>588</v>
      </c>
      <c r="F1" t="s">
        <v>583</v>
      </c>
      <c r="G1" t="s">
        <v>573</v>
      </c>
      <c r="H1" t="s">
        <v>554</v>
      </c>
      <c r="I1" t="s">
        <v>574</v>
      </c>
      <c r="J1" t="s">
        <v>559</v>
      </c>
      <c r="K1" t="s">
        <v>560</v>
      </c>
      <c r="L1" t="s">
        <v>561</v>
      </c>
      <c r="M1" t="s">
        <v>575</v>
      </c>
      <c r="N1" t="s">
        <v>442</v>
      </c>
      <c r="O1" t="s">
        <v>443</v>
      </c>
      <c r="P1" t="s">
        <v>445</v>
      </c>
      <c r="Q1" t="s">
        <v>563</v>
      </c>
      <c r="R1" t="s">
        <v>564</v>
      </c>
      <c r="S1" t="s">
        <v>565</v>
      </c>
      <c r="T1" t="s">
        <v>562</v>
      </c>
      <c r="U1" t="s">
        <v>576</v>
      </c>
      <c r="V1" t="s">
        <v>577</v>
      </c>
      <c r="W1" t="s">
        <v>566</v>
      </c>
      <c r="X1" t="s">
        <v>567</v>
      </c>
      <c r="Y1" t="s">
        <v>568</v>
      </c>
      <c r="Z1" t="s">
        <v>555</v>
      </c>
      <c r="AA1" t="s">
        <v>556</v>
      </c>
      <c r="AB1" t="s">
        <v>557</v>
      </c>
      <c r="AC1" t="s">
        <v>558</v>
      </c>
      <c r="AD1" t="s">
        <v>446</v>
      </c>
      <c r="AE1" t="s">
        <v>447</v>
      </c>
      <c r="AF1" t="s">
        <v>571</v>
      </c>
      <c r="AG1" t="s">
        <v>572</v>
      </c>
      <c r="AH1" t="s">
        <v>569</v>
      </c>
      <c r="AI1" t="s">
        <v>570</v>
      </c>
      <c r="AJ1" t="s">
        <v>584</v>
      </c>
      <c r="AK1" t="s">
        <v>589</v>
      </c>
      <c r="AL1" t="s">
        <v>590</v>
      </c>
    </row>
    <row r="2" spans="1:38" x14ac:dyDescent="0.2">
      <c r="A2">
        <v>1235344</v>
      </c>
      <c r="B2">
        <v>6864835</v>
      </c>
      <c r="C2">
        <v>7653243</v>
      </c>
      <c r="E2" t="b">
        <v>0</v>
      </c>
      <c r="G2" t="s">
        <v>617</v>
      </c>
      <c r="I2" t="s">
        <v>618</v>
      </c>
      <c r="J2" t="s">
        <v>578</v>
      </c>
      <c r="K2" t="s">
        <v>578</v>
      </c>
      <c r="L2" t="s">
        <v>578</v>
      </c>
      <c r="M2" t="s">
        <v>619</v>
      </c>
      <c r="N2" t="s">
        <v>448</v>
      </c>
      <c r="O2" t="s">
        <v>360</v>
      </c>
      <c r="P2" t="s">
        <v>139</v>
      </c>
      <c r="V2" t="s">
        <v>620</v>
      </c>
      <c r="Y2" t="s">
        <v>621</v>
      </c>
      <c r="AD2" t="s">
        <v>359</v>
      </c>
      <c r="AE2" t="s">
        <v>449</v>
      </c>
      <c r="AJ2" t="s">
        <v>622</v>
      </c>
      <c r="AK2" t="s">
        <v>623</v>
      </c>
      <c r="AL2" t="s">
        <v>624</v>
      </c>
    </row>
    <row r="3" spans="1:38" x14ac:dyDescent="0.2">
      <c r="A3">
        <v>1235555</v>
      </c>
      <c r="B3">
        <v>8036587</v>
      </c>
      <c r="C3">
        <v>7589603</v>
      </c>
      <c r="E3" t="b">
        <v>0</v>
      </c>
      <c r="F3">
        <v>72040</v>
      </c>
      <c r="G3" t="s">
        <v>625</v>
      </c>
      <c r="H3">
        <v>1</v>
      </c>
      <c r="I3" t="s">
        <v>626</v>
      </c>
      <c r="J3" t="s">
        <v>579</v>
      </c>
      <c r="K3" t="s">
        <v>578</v>
      </c>
      <c r="L3" t="s">
        <v>580</v>
      </c>
      <c r="M3" t="s">
        <v>627</v>
      </c>
      <c r="N3" t="s">
        <v>492</v>
      </c>
      <c r="O3" t="s">
        <v>251</v>
      </c>
      <c r="P3" t="s">
        <v>470</v>
      </c>
      <c r="S3" t="s">
        <v>628</v>
      </c>
      <c r="U3" t="s">
        <v>629</v>
      </c>
      <c r="V3" t="s">
        <v>630</v>
      </c>
      <c r="W3" t="s">
        <v>487</v>
      </c>
      <c r="X3" t="s">
        <v>581</v>
      </c>
      <c r="Y3" t="s">
        <v>631</v>
      </c>
      <c r="Z3" t="s">
        <v>593</v>
      </c>
      <c r="AB3" t="s">
        <v>623</v>
      </c>
      <c r="AD3" t="s">
        <v>582</v>
      </c>
      <c r="AE3" t="s">
        <v>582</v>
      </c>
      <c r="AF3">
        <v>0</v>
      </c>
      <c r="AG3">
        <v>0</v>
      </c>
      <c r="AH3">
        <v>46</v>
      </c>
      <c r="AI3">
        <v>0</v>
      </c>
      <c r="AJ3" t="s">
        <v>595</v>
      </c>
      <c r="AK3" t="s">
        <v>623</v>
      </c>
      <c r="AL3" t="s">
        <v>632</v>
      </c>
    </row>
    <row r="4" spans="1:38" x14ac:dyDescent="0.2">
      <c r="A4">
        <v>1235388</v>
      </c>
      <c r="B4">
        <v>7537859</v>
      </c>
      <c r="C4">
        <v>187510</v>
      </c>
      <c r="E4" t="b">
        <v>0</v>
      </c>
      <c r="F4">
        <v>62285</v>
      </c>
      <c r="G4" t="s">
        <v>633</v>
      </c>
      <c r="H4">
        <v>1</v>
      </c>
      <c r="I4" t="s">
        <v>634</v>
      </c>
      <c r="J4" t="s">
        <v>579</v>
      </c>
      <c r="K4" t="s">
        <v>578</v>
      </c>
      <c r="L4" t="s">
        <v>580</v>
      </c>
      <c r="M4" t="s">
        <v>635</v>
      </c>
      <c r="N4" t="s">
        <v>452</v>
      </c>
      <c r="O4" t="s">
        <v>259</v>
      </c>
      <c r="P4" t="s">
        <v>453</v>
      </c>
      <c r="S4" t="s">
        <v>636</v>
      </c>
      <c r="U4" t="s">
        <v>637</v>
      </c>
      <c r="V4" t="s">
        <v>638</v>
      </c>
      <c r="W4" t="s">
        <v>639</v>
      </c>
      <c r="X4" t="s">
        <v>581</v>
      </c>
      <c r="Y4" t="s">
        <v>631</v>
      </c>
      <c r="Z4" t="s">
        <v>593</v>
      </c>
      <c r="AA4" t="s">
        <v>34</v>
      </c>
      <c r="AB4" t="s">
        <v>640</v>
      </c>
      <c r="AD4" t="s">
        <v>258</v>
      </c>
      <c r="AE4" t="s">
        <v>454</v>
      </c>
      <c r="AF4">
        <v>0</v>
      </c>
      <c r="AG4">
        <v>0</v>
      </c>
      <c r="AH4">
        <v>70</v>
      </c>
      <c r="AI4">
        <v>0</v>
      </c>
      <c r="AJ4" t="s">
        <v>595</v>
      </c>
      <c r="AK4" t="s">
        <v>640</v>
      </c>
      <c r="AL4" t="s">
        <v>596</v>
      </c>
    </row>
    <row r="5" spans="1:38" x14ac:dyDescent="0.2">
      <c r="A5">
        <v>1235682</v>
      </c>
      <c r="B5">
        <v>7943647</v>
      </c>
      <c r="C5">
        <v>187508</v>
      </c>
      <c r="E5" t="b">
        <v>0</v>
      </c>
      <c r="F5">
        <v>69999</v>
      </c>
      <c r="G5" t="s">
        <v>641</v>
      </c>
      <c r="H5">
        <v>1</v>
      </c>
      <c r="I5" t="s">
        <v>642</v>
      </c>
      <c r="J5" t="s">
        <v>579</v>
      </c>
      <c r="K5" t="s">
        <v>580</v>
      </c>
      <c r="L5" t="s">
        <v>580</v>
      </c>
      <c r="M5" t="s">
        <v>643</v>
      </c>
      <c r="N5" t="s">
        <v>521</v>
      </c>
      <c r="O5" t="s">
        <v>59</v>
      </c>
      <c r="S5" t="s">
        <v>591</v>
      </c>
      <c r="U5" t="s">
        <v>644</v>
      </c>
      <c r="V5" t="s">
        <v>645</v>
      </c>
      <c r="W5" t="s">
        <v>487</v>
      </c>
      <c r="X5" t="s">
        <v>581</v>
      </c>
      <c r="Y5" t="s">
        <v>592</v>
      </c>
      <c r="Z5" t="s">
        <v>593</v>
      </c>
      <c r="AA5" t="s">
        <v>34</v>
      </c>
      <c r="AB5" t="s">
        <v>594</v>
      </c>
      <c r="AD5" t="s">
        <v>522</v>
      </c>
      <c r="AE5" t="s">
        <v>467</v>
      </c>
      <c r="AF5">
        <v>0</v>
      </c>
      <c r="AG5">
        <v>0</v>
      </c>
      <c r="AH5">
        <v>392.75</v>
      </c>
      <c r="AI5">
        <v>0</v>
      </c>
      <c r="AJ5" t="s">
        <v>595</v>
      </c>
      <c r="AK5" t="s">
        <v>594</v>
      </c>
      <c r="AL5" t="s">
        <v>596</v>
      </c>
    </row>
    <row r="6" spans="1:38" x14ac:dyDescent="0.2">
      <c r="A6">
        <v>1235426</v>
      </c>
      <c r="B6">
        <v>8035840</v>
      </c>
      <c r="C6">
        <v>187508</v>
      </c>
      <c r="E6" t="b">
        <v>0</v>
      </c>
      <c r="F6">
        <v>72024</v>
      </c>
      <c r="G6" t="s">
        <v>604</v>
      </c>
      <c r="H6">
        <v>1</v>
      </c>
      <c r="I6" t="s">
        <v>605</v>
      </c>
      <c r="J6" t="s">
        <v>579</v>
      </c>
      <c r="K6" t="s">
        <v>580</v>
      </c>
      <c r="L6" t="s">
        <v>580</v>
      </c>
      <c r="M6" t="s">
        <v>646</v>
      </c>
      <c r="N6" t="s">
        <v>465</v>
      </c>
      <c r="O6" t="s">
        <v>70</v>
      </c>
      <c r="S6" t="s">
        <v>591</v>
      </c>
      <c r="U6" t="s">
        <v>647</v>
      </c>
      <c r="V6" t="s">
        <v>648</v>
      </c>
      <c r="W6" t="s">
        <v>487</v>
      </c>
      <c r="X6" t="s">
        <v>581</v>
      </c>
      <c r="Y6" t="s">
        <v>592</v>
      </c>
      <c r="Z6" t="s">
        <v>593</v>
      </c>
      <c r="AA6" t="s">
        <v>34</v>
      </c>
      <c r="AB6" t="s">
        <v>594</v>
      </c>
      <c r="AD6" t="s">
        <v>466</v>
      </c>
      <c r="AE6" t="s">
        <v>467</v>
      </c>
      <c r="AF6">
        <v>0</v>
      </c>
      <c r="AG6">
        <v>0</v>
      </c>
      <c r="AH6">
        <v>392.75</v>
      </c>
      <c r="AI6">
        <v>0</v>
      </c>
      <c r="AJ6" t="s">
        <v>595</v>
      </c>
      <c r="AK6" t="s">
        <v>594</v>
      </c>
      <c r="AL6" t="s">
        <v>596</v>
      </c>
    </row>
    <row r="7" spans="1:38" x14ac:dyDescent="0.2">
      <c r="A7">
        <v>1235686</v>
      </c>
      <c r="B7">
        <v>8143520</v>
      </c>
      <c r="C7">
        <v>187508</v>
      </c>
      <c r="E7" t="b">
        <v>0</v>
      </c>
      <c r="F7">
        <v>73531</v>
      </c>
      <c r="G7" t="s">
        <v>601</v>
      </c>
      <c r="H7">
        <v>1</v>
      </c>
      <c r="I7" t="s">
        <v>602</v>
      </c>
      <c r="J7" t="s">
        <v>579</v>
      </c>
      <c r="K7" t="s">
        <v>580</v>
      </c>
      <c r="L7" t="s">
        <v>580</v>
      </c>
      <c r="M7" t="s">
        <v>649</v>
      </c>
      <c r="N7" t="s">
        <v>523</v>
      </c>
      <c r="O7" t="s">
        <v>71</v>
      </c>
      <c r="S7" t="s">
        <v>591</v>
      </c>
      <c r="U7" t="s">
        <v>650</v>
      </c>
      <c r="V7" t="s">
        <v>651</v>
      </c>
      <c r="W7" t="s">
        <v>487</v>
      </c>
      <c r="X7" t="s">
        <v>581</v>
      </c>
      <c r="Y7" t="s">
        <v>592</v>
      </c>
      <c r="Z7" t="s">
        <v>593</v>
      </c>
      <c r="AA7" t="s">
        <v>34</v>
      </c>
      <c r="AB7" t="s">
        <v>594</v>
      </c>
      <c r="AD7" t="s">
        <v>524</v>
      </c>
      <c r="AE7" t="s">
        <v>525</v>
      </c>
      <c r="AF7">
        <v>0</v>
      </c>
      <c r="AG7">
        <v>0</v>
      </c>
      <c r="AH7">
        <v>392.75</v>
      </c>
      <c r="AI7">
        <v>0</v>
      </c>
      <c r="AJ7" t="s">
        <v>595</v>
      </c>
      <c r="AK7" t="s">
        <v>594</v>
      </c>
      <c r="AL7" t="s">
        <v>596</v>
      </c>
    </row>
    <row r="8" spans="1:38" x14ac:dyDescent="0.2">
      <c r="A8">
        <v>1235630</v>
      </c>
      <c r="B8">
        <v>7925909</v>
      </c>
      <c r="C8">
        <v>187508</v>
      </c>
      <c r="E8" t="b">
        <v>0</v>
      </c>
      <c r="F8">
        <v>69663</v>
      </c>
      <c r="G8" t="s">
        <v>652</v>
      </c>
      <c r="H8">
        <v>1</v>
      </c>
      <c r="I8" t="s">
        <v>653</v>
      </c>
      <c r="J8" t="s">
        <v>579</v>
      </c>
      <c r="K8" t="s">
        <v>580</v>
      </c>
      <c r="L8" t="s">
        <v>580</v>
      </c>
      <c r="M8" t="s">
        <v>654</v>
      </c>
      <c r="N8" t="s">
        <v>510</v>
      </c>
      <c r="O8" t="s">
        <v>133</v>
      </c>
      <c r="S8" t="s">
        <v>591</v>
      </c>
      <c r="U8" t="s">
        <v>655</v>
      </c>
      <c r="V8" t="s">
        <v>656</v>
      </c>
      <c r="W8" t="s">
        <v>487</v>
      </c>
      <c r="X8" t="s">
        <v>581</v>
      </c>
      <c r="Y8" t="s">
        <v>592</v>
      </c>
      <c r="Z8" t="s">
        <v>593</v>
      </c>
      <c r="AA8" t="s">
        <v>34</v>
      </c>
      <c r="AB8" t="s">
        <v>594</v>
      </c>
      <c r="AD8" t="s">
        <v>511</v>
      </c>
      <c r="AE8" t="s">
        <v>467</v>
      </c>
      <c r="AF8">
        <v>0</v>
      </c>
      <c r="AG8">
        <v>0</v>
      </c>
      <c r="AH8">
        <v>392.75</v>
      </c>
      <c r="AI8">
        <v>0</v>
      </c>
      <c r="AJ8" t="s">
        <v>595</v>
      </c>
      <c r="AK8" t="s">
        <v>594</v>
      </c>
      <c r="AL8" t="s">
        <v>596</v>
      </c>
    </row>
    <row r="9" spans="1:38" x14ac:dyDescent="0.2">
      <c r="A9">
        <v>1235561</v>
      </c>
      <c r="B9">
        <v>7925915</v>
      </c>
      <c r="C9">
        <v>187508</v>
      </c>
      <c r="E9" t="b">
        <v>0</v>
      </c>
      <c r="F9">
        <v>69665</v>
      </c>
      <c r="G9" t="s">
        <v>657</v>
      </c>
      <c r="H9">
        <v>1</v>
      </c>
      <c r="I9" t="s">
        <v>658</v>
      </c>
      <c r="J9" t="s">
        <v>579</v>
      </c>
      <c r="K9" t="s">
        <v>580</v>
      </c>
      <c r="L9" t="s">
        <v>580</v>
      </c>
      <c r="M9" t="s">
        <v>659</v>
      </c>
      <c r="N9" t="s">
        <v>493</v>
      </c>
      <c r="O9" t="s">
        <v>137</v>
      </c>
      <c r="S9" t="s">
        <v>591</v>
      </c>
      <c r="U9" t="s">
        <v>655</v>
      </c>
      <c r="V9" t="s">
        <v>660</v>
      </c>
      <c r="W9" t="s">
        <v>487</v>
      </c>
      <c r="X9" t="s">
        <v>581</v>
      </c>
      <c r="Y9" t="s">
        <v>592</v>
      </c>
      <c r="Z9" t="s">
        <v>593</v>
      </c>
      <c r="AA9" t="s">
        <v>34</v>
      </c>
      <c r="AB9" t="s">
        <v>594</v>
      </c>
      <c r="AD9" t="s">
        <v>494</v>
      </c>
      <c r="AE9" t="s">
        <v>495</v>
      </c>
      <c r="AF9">
        <v>0</v>
      </c>
      <c r="AG9">
        <v>0</v>
      </c>
      <c r="AH9">
        <v>392.75</v>
      </c>
      <c r="AI9">
        <v>0</v>
      </c>
      <c r="AJ9" t="s">
        <v>595</v>
      </c>
      <c r="AK9" t="s">
        <v>594</v>
      </c>
      <c r="AL9" t="s">
        <v>596</v>
      </c>
    </row>
    <row r="10" spans="1:38" x14ac:dyDescent="0.2">
      <c r="A10">
        <v>1235543</v>
      </c>
      <c r="B10">
        <v>8075187</v>
      </c>
      <c r="C10">
        <v>187508</v>
      </c>
      <c r="E10" t="b">
        <v>0</v>
      </c>
      <c r="F10">
        <v>72822</v>
      </c>
      <c r="G10" t="s">
        <v>661</v>
      </c>
      <c r="H10">
        <v>1</v>
      </c>
      <c r="I10" t="s">
        <v>662</v>
      </c>
      <c r="J10" t="s">
        <v>579</v>
      </c>
      <c r="K10" t="s">
        <v>580</v>
      </c>
      <c r="L10" t="s">
        <v>580</v>
      </c>
      <c r="M10" t="s">
        <v>663</v>
      </c>
      <c r="N10" t="s">
        <v>490</v>
      </c>
      <c r="O10" t="s">
        <v>136</v>
      </c>
      <c r="S10" t="s">
        <v>591</v>
      </c>
      <c r="U10" t="s">
        <v>664</v>
      </c>
      <c r="V10" t="s">
        <v>665</v>
      </c>
      <c r="W10" t="s">
        <v>487</v>
      </c>
      <c r="X10" t="s">
        <v>581</v>
      </c>
      <c r="Y10" t="s">
        <v>592</v>
      </c>
      <c r="Z10" t="s">
        <v>593</v>
      </c>
      <c r="AA10" t="s">
        <v>34</v>
      </c>
      <c r="AB10" t="s">
        <v>594</v>
      </c>
      <c r="AD10" t="s">
        <v>466</v>
      </c>
      <c r="AE10" t="s">
        <v>491</v>
      </c>
      <c r="AF10">
        <v>0</v>
      </c>
      <c r="AG10">
        <v>0</v>
      </c>
      <c r="AH10">
        <v>392.75</v>
      </c>
      <c r="AI10">
        <v>0</v>
      </c>
      <c r="AJ10" t="s">
        <v>595</v>
      </c>
      <c r="AK10" t="s">
        <v>594</v>
      </c>
      <c r="AL10" t="s">
        <v>596</v>
      </c>
    </row>
    <row r="11" spans="1:38" x14ac:dyDescent="0.2">
      <c r="A11">
        <v>1235622</v>
      </c>
      <c r="B11">
        <v>7925914</v>
      </c>
      <c r="C11">
        <v>187508</v>
      </c>
      <c r="E11" t="b">
        <v>0</v>
      </c>
      <c r="F11">
        <v>69664</v>
      </c>
      <c r="G11" t="s">
        <v>666</v>
      </c>
      <c r="H11">
        <v>1</v>
      </c>
      <c r="I11" t="s">
        <v>667</v>
      </c>
      <c r="J11" t="s">
        <v>579</v>
      </c>
      <c r="K11" t="s">
        <v>580</v>
      </c>
      <c r="L11" t="s">
        <v>580</v>
      </c>
      <c r="M11" t="s">
        <v>668</v>
      </c>
      <c r="N11" t="s">
        <v>505</v>
      </c>
      <c r="O11" t="s">
        <v>183</v>
      </c>
      <c r="S11" t="s">
        <v>591</v>
      </c>
      <c r="U11" t="s">
        <v>655</v>
      </c>
      <c r="V11" t="s">
        <v>669</v>
      </c>
      <c r="W11" t="s">
        <v>487</v>
      </c>
      <c r="X11" t="s">
        <v>581</v>
      </c>
      <c r="Y11" t="s">
        <v>592</v>
      </c>
      <c r="Z11" t="s">
        <v>593</v>
      </c>
      <c r="AA11" t="s">
        <v>34</v>
      </c>
      <c r="AB11" t="s">
        <v>594</v>
      </c>
      <c r="AD11" t="s">
        <v>506</v>
      </c>
      <c r="AE11" t="s">
        <v>507</v>
      </c>
      <c r="AF11">
        <v>0</v>
      </c>
      <c r="AG11">
        <v>0</v>
      </c>
      <c r="AH11">
        <v>392.75</v>
      </c>
      <c r="AI11">
        <v>0</v>
      </c>
      <c r="AJ11" t="s">
        <v>595</v>
      </c>
      <c r="AK11" t="s">
        <v>594</v>
      </c>
      <c r="AL11" t="s">
        <v>596</v>
      </c>
    </row>
    <row r="12" spans="1:38" x14ac:dyDescent="0.2">
      <c r="A12">
        <v>1235403</v>
      </c>
      <c r="B12">
        <v>7975239</v>
      </c>
      <c r="C12">
        <v>187508</v>
      </c>
      <c r="E12" t="b">
        <v>0</v>
      </c>
      <c r="F12">
        <v>70613</v>
      </c>
      <c r="G12" t="s">
        <v>670</v>
      </c>
      <c r="H12">
        <v>3</v>
      </c>
      <c r="I12" t="s">
        <v>671</v>
      </c>
      <c r="J12" t="s">
        <v>579</v>
      </c>
      <c r="K12" t="s">
        <v>580</v>
      </c>
      <c r="L12" t="s">
        <v>580</v>
      </c>
      <c r="M12" t="s">
        <v>672</v>
      </c>
      <c r="N12" t="s">
        <v>460</v>
      </c>
      <c r="O12" t="s">
        <v>208</v>
      </c>
      <c r="P12" t="s">
        <v>131</v>
      </c>
      <c r="S12" t="s">
        <v>673</v>
      </c>
      <c r="U12" t="s">
        <v>674</v>
      </c>
      <c r="V12" t="s">
        <v>675</v>
      </c>
      <c r="W12" t="s">
        <v>487</v>
      </c>
      <c r="X12" t="s">
        <v>581</v>
      </c>
      <c r="Y12" t="s">
        <v>592</v>
      </c>
      <c r="Z12" t="s">
        <v>593</v>
      </c>
      <c r="AA12" t="s">
        <v>34</v>
      </c>
      <c r="AB12" t="s">
        <v>594</v>
      </c>
      <c r="AD12" t="s">
        <v>207</v>
      </c>
      <c r="AE12" t="s">
        <v>461</v>
      </c>
      <c r="AF12">
        <v>0</v>
      </c>
      <c r="AG12">
        <v>0</v>
      </c>
      <c r="AH12">
        <v>418.5</v>
      </c>
      <c r="AI12">
        <v>0</v>
      </c>
      <c r="AJ12" t="s">
        <v>595</v>
      </c>
      <c r="AK12" t="s">
        <v>594</v>
      </c>
      <c r="AL12" t="s">
        <v>596</v>
      </c>
    </row>
    <row r="13" spans="1:38" x14ac:dyDescent="0.2">
      <c r="A13">
        <v>1235569</v>
      </c>
      <c r="B13">
        <v>7975237</v>
      </c>
      <c r="C13">
        <v>187508</v>
      </c>
      <c r="E13" t="b">
        <v>0</v>
      </c>
      <c r="F13">
        <v>70613</v>
      </c>
      <c r="G13" t="s">
        <v>670</v>
      </c>
      <c r="H13">
        <v>1</v>
      </c>
      <c r="I13" t="s">
        <v>676</v>
      </c>
      <c r="J13" t="s">
        <v>579</v>
      </c>
      <c r="K13" t="s">
        <v>580</v>
      </c>
      <c r="L13" t="s">
        <v>580</v>
      </c>
      <c r="M13" t="s">
        <v>677</v>
      </c>
      <c r="N13" t="s">
        <v>500</v>
      </c>
      <c r="O13" t="s">
        <v>210</v>
      </c>
      <c r="P13" t="s">
        <v>501</v>
      </c>
      <c r="S13" t="s">
        <v>673</v>
      </c>
      <c r="U13" t="s">
        <v>674</v>
      </c>
      <c r="V13" t="s">
        <v>678</v>
      </c>
      <c r="W13" t="s">
        <v>487</v>
      </c>
      <c r="X13" t="s">
        <v>581</v>
      </c>
      <c r="Y13" t="s">
        <v>592</v>
      </c>
      <c r="Z13" t="s">
        <v>593</v>
      </c>
      <c r="AA13" t="s">
        <v>34</v>
      </c>
      <c r="AB13" t="s">
        <v>594</v>
      </c>
      <c r="AD13" t="s">
        <v>209</v>
      </c>
      <c r="AE13" t="s">
        <v>461</v>
      </c>
      <c r="AF13">
        <v>0</v>
      </c>
      <c r="AG13">
        <v>0</v>
      </c>
      <c r="AH13">
        <v>418.5</v>
      </c>
      <c r="AI13">
        <v>0</v>
      </c>
      <c r="AJ13" t="s">
        <v>595</v>
      </c>
      <c r="AK13" t="s">
        <v>594</v>
      </c>
      <c r="AL13" t="s">
        <v>596</v>
      </c>
    </row>
    <row r="14" spans="1:38" x14ac:dyDescent="0.2">
      <c r="A14">
        <v>1235743</v>
      </c>
      <c r="B14">
        <v>7975241</v>
      </c>
      <c r="C14">
        <v>187508</v>
      </c>
      <c r="E14" t="b">
        <v>0</v>
      </c>
      <c r="F14">
        <v>70613</v>
      </c>
      <c r="G14" t="s">
        <v>670</v>
      </c>
      <c r="H14">
        <v>5</v>
      </c>
      <c r="I14" t="s">
        <v>679</v>
      </c>
      <c r="J14" t="s">
        <v>579</v>
      </c>
      <c r="K14" t="s">
        <v>580</v>
      </c>
      <c r="L14" t="s">
        <v>580</v>
      </c>
      <c r="M14" t="s">
        <v>680</v>
      </c>
      <c r="N14" t="s">
        <v>527</v>
      </c>
      <c r="O14" t="s">
        <v>529</v>
      </c>
      <c r="P14" t="s">
        <v>528</v>
      </c>
      <c r="S14" t="s">
        <v>673</v>
      </c>
      <c r="U14" t="s">
        <v>674</v>
      </c>
      <c r="V14" t="s">
        <v>681</v>
      </c>
      <c r="W14" t="s">
        <v>487</v>
      </c>
      <c r="X14" t="s">
        <v>581</v>
      </c>
      <c r="Y14" t="s">
        <v>592</v>
      </c>
      <c r="Z14" t="s">
        <v>593</v>
      </c>
      <c r="AA14" t="s">
        <v>34</v>
      </c>
      <c r="AB14" t="s">
        <v>594</v>
      </c>
      <c r="AD14" t="s">
        <v>530</v>
      </c>
      <c r="AE14" t="s">
        <v>461</v>
      </c>
      <c r="AF14">
        <v>0</v>
      </c>
      <c r="AG14">
        <v>0</v>
      </c>
      <c r="AH14">
        <v>418.5</v>
      </c>
      <c r="AI14">
        <v>0</v>
      </c>
      <c r="AJ14" t="s">
        <v>595</v>
      </c>
      <c r="AK14" t="s">
        <v>594</v>
      </c>
      <c r="AL14" t="s">
        <v>596</v>
      </c>
    </row>
    <row r="15" spans="1:38" x14ac:dyDescent="0.2">
      <c r="A15">
        <v>2550412</v>
      </c>
      <c r="B15">
        <v>7975245</v>
      </c>
      <c r="C15">
        <v>187508</v>
      </c>
      <c r="E15" t="b">
        <v>0</v>
      </c>
      <c r="F15">
        <v>70613</v>
      </c>
      <c r="G15" t="s">
        <v>670</v>
      </c>
      <c r="H15">
        <v>9</v>
      </c>
      <c r="I15" t="s">
        <v>682</v>
      </c>
      <c r="J15" t="s">
        <v>579</v>
      </c>
      <c r="K15" t="s">
        <v>580</v>
      </c>
      <c r="L15" t="s">
        <v>580</v>
      </c>
      <c r="M15" t="s">
        <v>683</v>
      </c>
      <c r="N15" t="s">
        <v>544</v>
      </c>
      <c r="O15" t="s">
        <v>545</v>
      </c>
      <c r="P15" t="s">
        <v>420</v>
      </c>
      <c r="S15" t="s">
        <v>673</v>
      </c>
      <c r="U15" t="s">
        <v>674</v>
      </c>
      <c r="V15" t="s">
        <v>684</v>
      </c>
      <c r="W15" t="s">
        <v>487</v>
      </c>
      <c r="X15" t="s">
        <v>581</v>
      </c>
      <c r="Y15" t="s">
        <v>592</v>
      </c>
      <c r="Z15" t="s">
        <v>593</v>
      </c>
      <c r="AA15" t="s">
        <v>34</v>
      </c>
      <c r="AB15" t="s">
        <v>594</v>
      </c>
      <c r="AD15" t="s">
        <v>546</v>
      </c>
      <c r="AE15" t="s">
        <v>547</v>
      </c>
      <c r="AF15">
        <v>0</v>
      </c>
      <c r="AG15">
        <v>0</v>
      </c>
      <c r="AH15">
        <v>418.5</v>
      </c>
      <c r="AI15">
        <v>0</v>
      </c>
      <c r="AJ15" t="s">
        <v>595</v>
      </c>
      <c r="AK15" t="s">
        <v>594</v>
      </c>
      <c r="AL15" t="s">
        <v>596</v>
      </c>
    </row>
    <row r="16" spans="1:38" x14ac:dyDescent="0.2">
      <c r="A16">
        <v>1446161</v>
      </c>
      <c r="B16">
        <v>7975243</v>
      </c>
      <c r="C16">
        <v>187508</v>
      </c>
      <c r="E16" t="b">
        <v>0</v>
      </c>
      <c r="F16">
        <v>70613</v>
      </c>
      <c r="G16" t="s">
        <v>670</v>
      </c>
      <c r="H16">
        <v>7</v>
      </c>
      <c r="I16" t="s">
        <v>685</v>
      </c>
      <c r="J16" t="s">
        <v>579</v>
      </c>
      <c r="K16" t="s">
        <v>580</v>
      </c>
      <c r="L16" t="s">
        <v>580</v>
      </c>
      <c r="M16" t="s">
        <v>686</v>
      </c>
      <c r="N16" t="s">
        <v>536</v>
      </c>
      <c r="O16" t="s">
        <v>538</v>
      </c>
      <c r="P16" t="s">
        <v>537</v>
      </c>
      <c r="S16" t="s">
        <v>673</v>
      </c>
      <c r="U16" t="s">
        <v>674</v>
      </c>
      <c r="V16" t="s">
        <v>687</v>
      </c>
      <c r="W16" t="s">
        <v>487</v>
      </c>
      <c r="X16" t="s">
        <v>581</v>
      </c>
      <c r="Y16" t="s">
        <v>592</v>
      </c>
      <c r="Z16" t="s">
        <v>593</v>
      </c>
      <c r="AA16" t="s">
        <v>34</v>
      </c>
      <c r="AB16" t="s">
        <v>594</v>
      </c>
      <c r="AD16" t="s">
        <v>539</v>
      </c>
      <c r="AE16" t="s">
        <v>461</v>
      </c>
      <c r="AF16">
        <v>0</v>
      </c>
      <c r="AG16">
        <v>0</v>
      </c>
      <c r="AH16">
        <v>418.5</v>
      </c>
      <c r="AI16">
        <v>0</v>
      </c>
      <c r="AJ16" t="s">
        <v>595</v>
      </c>
      <c r="AK16" t="s">
        <v>594</v>
      </c>
      <c r="AL16" t="s">
        <v>596</v>
      </c>
    </row>
    <row r="17" spans="1:38" x14ac:dyDescent="0.2">
      <c r="A17">
        <v>2701517</v>
      </c>
      <c r="B17">
        <v>7975246</v>
      </c>
      <c r="C17">
        <v>187508</v>
      </c>
      <c r="E17" t="b">
        <v>0</v>
      </c>
      <c r="F17">
        <v>70613</v>
      </c>
      <c r="G17" t="s">
        <v>670</v>
      </c>
      <c r="H17">
        <v>10</v>
      </c>
      <c r="I17" t="s">
        <v>688</v>
      </c>
      <c r="J17" t="s">
        <v>579</v>
      </c>
      <c r="K17" t="s">
        <v>580</v>
      </c>
      <c r="L17" t="s">
        <v>580</v>
      </c>
      <c r="M17" t="s">
        <v>689</v>
      </c>
      <c r="N17" t="s">
        <v>549</v>
      </c>
      <c r="O17" t="s">
        <v>551</v>
      </c>
      <c r="P17" t="s">
        <v>550</v>
      </c>
      <c r="S17" t="s">
        <v>673</v>
      </c>
      <c r="U17" t="s">
        <v>674</v>
      </c>
      <c r="V17" t="s">
        <v>690</v>
      </c>
      <c r="W17" t="s">
        <v>487</v>
      </c>
      <c r="X17" t="s">
        <v>581</v>
      </c>
      <c r="Y17" t="s">
        <v>592</v>
      </c>
      <c r="Z17" t="s">
        <v>593</v>
      </c>
      <c r="AA17" t="s">
        <v>34</v>
      </c>
      <c r="AB17" t="s">
        <v>594</v>
      </c>
      <c r="AD17" t="s">
        <v>211</v>
      </c>
      <c r="AE17" t="s">
        <v>461</v>
      </c>
      <c r="AF17">
        <v>0</v>
      </c>
      <c r="AG17">
        <v>0</v>
      </c>
      <c r="AH17">
        <v>418.5</v>
      </c>
      <c r="AI17">
        <v>0</v>
      </c>
      <c r="AJ17" t="s">
        <v>595</v>
      </c>
      <c r="AK17" t="s">
        <v>594</v>
      </c>
      <c r="AL17" t="s">
        <v>596</v>
      </c>
    </row>
    <row r="18" spans="1:38" x14ac:dyDescent="0.2">
      <c r="A18">
        <v>2336905</v>
      </c>
      <c r="B18">
        <v>7975244</v>
      </c>
      <c r="C18">
        <v>187508</v>
      </c>
      <c r="E18" t="b">
        <v>0</v>
      </c>
      <c r="F18">
        <v>70613</v>
      </c>
      <c r="G18" t="s">
        <v>670</v>
      </c>
      <c r="H18">
        <v>8</v>
      </c>
      <c r="I18" t="s">
        <v>691</v>
      </c>
      <c r="J18" t="s">
        <v>579</v>
      </c>
      <c r="K18" t="s">
        <v>580</v>
      </c>
      <c r="L18" t="s">
        <v>580</v>
      </c>
      <c r="M18" t="s">
        <v>692</v>
      </c>
      <c r="N18" t="s">
        <v>540</v>
      </c>
      <c r="O18" t="s">
        <v>542</v>
      </c>
      <c r="P18" t="s">
        <v>541</v>
      </c>
      <c r="S18" t="s">
        <v>673</v>
      </c>
      <c r="U18" t="s">
        <v>674</v>
      </c>
      <c r="V18" t="s">
        <v>693</v>
      </c>
      <c r="W18" t="s">
        <v>487</v>
      </c>
      <c r="X18" t="s">
        <v>581</v>
      </c>
      <c r="Y18" t="s">
        <v>592</v>
      </c>
      <c r="Z18" t="s">
        <v>593</v>
      </c>
      <c r="AA18" t="s">
        <v>34</v>
      </c>
      <c r="AB18" t="s">
        <v>594</v>
      </c>
      <c r="AD18" t="s">
        <v>543</v>
      </c>
      <c r="AE18" t="s">
        <v>461</v>
      </c>
      <c r="AF18">
        <v>0</v>
      </c>
      <c r="AG18">
        <v>0</v>
      </c>
      <c r="AH18">
        <v>418.5</v>
      </c>
      <c r="AI18">
        <v>0</v>
      </c>
      <c r="AJ18" t="s">
        <v>595</v>
      </c>
      <c r="AK18" t="s">
        <v>594</v>
      </c>
      <c r="AL18" t="s">
        <v>596</v>
      </c>
    </row>
    <row r="19" spans="1:38" x14ac:dyDescent="0.2">
      <c r="A19">
        <v>1235639</v>
      </c>
      <c r="B19">
        <v>7975242</v>
      </c>
      <c r="C19">
        <v>187508</v>
      </c>
      <c r="E19" t="b">
        <v>0</v>
      </c>
      <c r="F19">
        <v>70613</v>
      </c>
      <c r="G19" t="s">
        <v>670</v>
      </c>
      <c r="H19">
        <v>6</v>
      </c>
      <c r="I19" t="s">
        <v>694</v>
      </c>
      <c r="J19" t="s">
        <v>579</v>
      </c>
      <c r="K19" t="s">
        <v>580</v>
      </c>
      <c r="L19" t="s">
        <v>580</v>
      </c>
      <c r="M19" t="s">
        <v>695</v>
      </c>
      <c r="N19" t="s">
        <v>512</v>
      </c>
      <c r="O19" t="s">
        <v>206</v>
      </c>
      <c r="P19" t="s">
        <v>513</v>
      </c>
      <c r="S19" t="s">
        <v>673</v>
      </c>
      <c r="U19" t="s">
        <v>674</v>
      </c>
      <c r="V19" t="s">
        <v>696</v>
      </c>
      <c r="W19" t="s">
        <v>487</v>
      </c>
      <c r="X19" t="s">
        <v>581</v>
      </c>
      <c r="Y19" t="s">
        <v>592</v>
      </c>
      <c r="Z19" t="s">
        <v>593</v>
      </c>
      <c r="AA19" t="s">
        <v>34</v>
      </c>
      <c r="AB19" t="s">
        <v>594</v>
      </c>
      <c r="AD19" t="s">
        <v>205</v>
      </c>
      <c r="AE19" t="s">
        <v>461</v>
      </c>
      <c r="AF19">
        <v>0</v>
      </c>
      <c r="AG19">
        <v>0</v>
      </c>
      <c r="AH19">
        <v>418.5</v>
      </c>
      <c r="AI19">
        <v>0</v>
      </c>
      <c r="AJ19" t="s">
        <v>595</v>
      </c>
      <c r="AK19" t="s">
        <v>594</v>
      </c>
      <c r="AL19" t="s">
        <v>596</v>
      </c>
    </row>
    <row r="20" spans="1:38" x14ac:dyDescent="0.2">
      <c r="A20">
        <v>1235626</v>
      </c>
      <c r="B20">
        <v>7975238</v>
      </c>
      <c r="C20">
        <v>187508</v>
      </c>
      <c r="E20" t="b">
        <v>0</v>
      </c>
      <c r="F20">
        <v>70613</v>
      </c>
      <c r="G20" t="s">
        <v>670</v>
      </c>
      <c r="H20">
        <v>2</v>
      </c>
      <c r="I20" t="s">
        <v>697</v>
      </c>
      <c r="J20" t="s">
        <v>579</v>
      </c>
      <c r="K20" t="s">
        <v>580</v>
      </c>
      <c r="L20" t="s">
        <v>580</v>
      </c>
      <c r="M20" t="s">
        <v>698</v>
      </c>
      <c r="N20" t="s">
        <v>508</v>
      </c>
      <c r="O20" t="s">
        <v>214</v>
      </c>
      <c r="P20" t="s">
        <v>509</v>
      </c>
      <c r="S20" t="s">
        <v>673</v>
      </c>
      <c r="U20" t="s">
        <v>674</v>
      </c>
      <c r="V20" t="s">
        <v>699</v>
      </c>
      <c r="W20" t="s">
        <v>487</v>
      </c>
      <c r="X20" t="s">
        <v>581</v>
      </c>
      <c r="Y20" t="s">
        <v>592</v>
      </c>
      <c r="Z20" t="s">
        <v>593</v>
      </c>
      <c r="AA20" t="s">
        <v>34</v>
      </c>
      <c r="AB20" t="s">
        <v>594</v>
      </c>
      <c r="AD20" t="s">
        <v>213</v>
      </c>
      <c r="AE20" t="s">
        <v>461</v>
      </c>
      <c r="AF20">
        <v>0</v>
      </c>
      <c r="AG20">
        <v>0</v>
      </c>
      <c r="AH20">
        <v>418.5</v>
      </c>
      <c r="AI20">
        <v>0</v>
      </c>
      <c r="AJ20" t="s">
        <v>595</v>
      </c>
      <c r="AK20" t="s">
        <v>594</v>
      </c>
      <c r="AL20" t="s">
        <v>596</v>
      </c>
    </row>
    <row r="21" spans="1:38" x14ac:dyDescent="0.2">
      <c r="A21">
        <v>1235522</v>
      </c>
      <c r="B21">
        <v>7975240</v>
      </c>
      <c r="C21">
        <v>187508</v>
      </c>
      <c r="E21" t="b">
        <v>0</v>
      </c>
      <c r="F21">
        <v>70613</v>
      </c>
      <c r="G21" t="s">
        <v>670</v>
      </c>
      <c r="H21">
        <v>4</v>
      </c>
      <c r="I21" t="s">
        <v>700</v>
      </c>
      <c r="J21" t="s">
        <v>579</v>
      </c>
      <c r="K21" t="s">
        <v>580</v>
      </c>
      <c r="L21" t="s">
        <v>580</v>
      </c>
      <c r="M21" t="s">
        <v>701</v>
      </c>
      <c r="N21" t="s">
        <v>486</v>
      </c>
      <c r="O21" t="s">
        <v>212</v>
      </c>
      <c r="P21" t="s">
        <v>487</v>
      </c>
      <c r="S21" t="s">
        <v>673</v>
      </c>
      <c r="U21" t="s">
        <v>674</v>
      </c>
      <c r="V21" t="s">
        <v>702</v>
      </c>
      <c r="W21" t="s">
        <v>487</v>
      </c>
      <c r="X21" t="s">
        <v>581</v>
      </c>
      <c r="Y21" t="s">
        <v>592</v>
      </c>
      <c r="Z21" t="s">
        <v>593</v>
      </c>
      <c r="AA21" t="s">
        <v>34</v>
      </c>
      <c r="AB21" t="s">
        <v>594</v>
      </c>
      <c r="AD21" t="s">
        <v>211</v>
      </c>
      <c r="AE21" t="s">
        <v>461</v>
      </c>
      <c r="AF21">
        <v>0</v>
      </c>
      <c r="AG21">
        <v>0</v>
      </c>
      <c r="AH21">
        <v>418.5</v>
      </c>
      <c r="AI21">
        <v>0</v>
      </c>
      <c r="AJ21" t="s">
        <v>595</v>
      </c>
      <c r="AK21" t="s">
        <v>594</v>
      </c>
      <c r="AL21" t="s">
        <v>596</v>
      </c>
    </row>
    <row r="23" spans="1:38" x14ac:dyDescent="0.2">
      <c r="A23">
        <v>1235770</v>
      </c>
      <c r="B23">
        <v>8030104</v>
      </c>
      <c r="C23">
        <v>187514</v>
      </c>
      <c r="E23" t="b">
        <v>0</v>
      </c>
      <c r="F23">
        <v>71864</v>
      </c>
      <c r="G23" t="s">
        <v>703</v>
      </c>
      <c r="H23">
        <v>1</v>
      </c>
      <c r="I23" t="s">
        <v>704</v>
      </c>
      <c r="J23" t="s">
        <v>579</v>
      </c>
      <c r="K23" t="s">
        <v>580</v>
      </c>
      <c r="L23" t="s">
        <v>580</v>
      </c>
      <c r="M23" t="s">
        <v>705</v>
      </c>
      <c r="N23" t="s">
        <v>531</v>
      </c>
      <c r="O23" t="s">
        <v>532</v>
      </c>
      <c r="U23" t="s">
        <v>706</v>
      </c>
      <c r="V23" t="s">
        <v>707</v>
      </c>
      <c r="W23" t="s">
        <v>537</v>
      </c>
      <c r="X23" t="s">
        <v>581</v>
      </c>
      <c r="Y23" t="s">
        <v>458</v>
      </c>
      <c r="Z23" t="s">
        <v>593</v>
      </c>
      <c r="AB23" t="s">
        <v>708</v>
      </c>
      <c r="AD23" t="s">
        <v>264</v>
      </c>
      <c r="AE23" t="s">
        <v>533</v>
      </c>
      <c r="AF23">
        <v>0</v>
      </c>
      <c r="AG23">
        <v>0</v>
      </c>
      <c r="AH23">
        <v>0</v>
      </c>
      <c r="AI23">
        <v>0</v>
      </c>
      <c r="AJ23" t="s">
        <v>595</v>
      </c>
      <c r="AK23" t="s">
        <v>708</v>
      </c>
      <c r="AL23" t="s">
        <v>596</v>
      </c>
    </row>
    <row r="24" spans="1:38" x14ac:dyDescent="0.2">
      <c r="A24">
        <v>1235767</v>
      </c>
    </row>
    <row r="25" spans="1:38" x14ac:dyDescent="0.2">
      <c r="A25">
        <v>1235772</v>
      </c>
    </row>
    <row r="26" spans="1:38" x14ac:dyDescent="0.2">
      <c r="A26">
        <v>1235660</v>
      </c>
      <c r="B26">
        <v>7612900</v>
      </c>
      <c r="C26">
        <v>187509</v>
      </c>
      <c r="E26" t="b">
        <v>0</v>
      </c>
      <c r="F26">
        <v>64197</v>
      </c>
      <c r="G26" t="s">
        <v>709</v>
      </c>
      <c r="H26">
        <v>1</v>
      </c>
      <c r="I26" t="s">
        <v>710</v>
      </c>
      <c r="J26" t="s">
        <v>579</v>
      </c>
      <c r="K26" t="s">
        <v>580</v>
      </c>
      <c r="L26" t="s">
        <v>580</v>
      </c>
      <c r="M26" t="s">
        <v>711</v>
      </c>
      <c r="N26" t="s">
        <v>230</v>
      </c>
      <c r="O26" t="s">
        <v>518</v>
      </c>
      <c r="U26" t="s">
        <v>712</v>
      </c>
      <c r="V26" t="s">
        <v>713</v>
      </c>
      <c r="W26" t="s">
        <v>131</v>
      </c>
      <c r="X26" t="s">
        <v>581</v>
      </c>
      <c r="Y26" t="s">
        <v>140</v>
      </c>
      <c r="AB26" t="s">
        <v>708</v>
      </c>
      <c r="AD26" t="s">
        <v>266</v>
      </c>
      <c r="AE26" t="s">
        <v>477</v>
      </c>
      <c r="AF26">
        <v>0</v>
      </c>
      <c r="AG26">
        <v>0</v>
      </c>
      <c r="AI26">
        <v>0</v>
      </c>
      <c r="AJ26" t="s">
        <v>595</v>
      </c>
      <c r="AK26" t="s">
        <v>708</v>
      </c>
      <c r="AL26" t="s">
        <v>632</v>
      </c>
    </row>
    <row r="27" spans="1:38" x14ac:dyDescent="0.2">
      <c r="A27">
        <v>1235502</v>
      </c>
      <c r="B27">
        <v>6008756</v>
      </c>
      <c r="C27">
        <v>187514</v>
      </c>
      <c r="E27" t="b">
        <v>0</v>
      </c>
      <c r="F27">
        <v>41783</v>
      </c>
      <c r="G27" t="s">
        <v>714</v>
      </c>
      <c r="H27">
        <v>1</v>
      </c>
      <c r="I27" t="s">
        <v>715</v>
      </c>
      <c r="J27" t="s">
        <v>579</v>
      </c>
      <c r="K27" t="s">
        <v>580</v>
      </c>
      <c r="L27" t="s">
        <v>580</v>
      </c>
      <c r="M27" t="s">
        <v>716</v>
      </c>
      <c r="N27" t="s">
        <v>231</v>
      </c>
      <c r="O27" t="s">
        <v>476</v>
      </c>
      <c r="U27" t="s">
        <v>717</v>
      </c>
      <c r="V27" t="s">
        <v>718</v>
      </c>
      <c r="W27" t="s">
        <v>194</v>
      </c>
      <c r="X27" t="s">
        <v>581</v>
      </c>
      <c r="Y27" t="s">
        <v>140</v>
      </c>
      <c r="Z27" t="s">
        <v>593</v>
      </c>
      <c r="AB27" t="s">
        <v>708</v>
      </c>
      <c r="AD27" t="s">
        <v>267</v>
      </c>
      <c r="AE27" t="s">
        <v>477</v>
      </c>
      <c r="AF27">
        <v>0</v>
      </c>
      <c r="AG27">
        <v>0</v>
      </c>
      <c r="AH27">
        <v>27.5</v>
      </c>
      <c r="AI27">
        <v>0</v>
      </c>
      <c r="AJ27" t="s">
        <v>595</v>
      </c>
      <c r="AK27" t="s">
        <v>708</v>
      </c>
      <c r="AL27" t="s">
        <v>596</v>
      </c>
    </row>
    <row r="28" spans="1:38" x14ac:dyDescent="0.2">
      <c r="A28">
        <v>1235505</v>
      </c>
      <c r="B28">
        <v>7971837</v>
      </c>
      <c r="C28">
        <v>187514</v>
      </c>
      <c r="E28" t="b">
        <v>0</v>
      </c>
      <c r="F28">
        <v>70496</v>
      </c>
      <c r="G28" t="s">
        <v>719</v>
      </c>
      <c r="H28">
        <v>1</v>
      </c>
      <c r="I28" t="s">
        <v>720</v>
      </c>
      <c r="J28" t="s">
        <v>579</v>
      </c>
      <c r="K28" t="s">
        <v>580</v>
      </c>
      <c r="L28" t="s">
        <v>580</v>
      </c>
      <c r="M28" t="s">
        <v>721</v>
      </c>
      <c r="N28" t="s">
        <v>232</v>
      </c>
      <c r="O28" t="s">
        <v>480</v>
      </c>
      <c r="S28" t="s">
        <v>722</v>
      </c>
      <c r="U28" t="s">
        <v>723</v>
      </c>
      <c r="V28" t="s">
        <v>724</v>
      </c>
      <c r="W28" t="s">
        <v>550</v>
      </c>
      <c r="X28" t="s">
        <v>581</v>
      </c>
      <c r="Y28" t="s">
        <v>458</v>
      </c>
      <c r="Z28" t="s">
        <v>593</v>
      </c>
      <c r="AB28" t="s">
        <v>708</v>
      </c>
      <c r="AD28" t="s">
        <v>268</v>
      </c>
      <c r="AE28" t="s">
        <v>477</v>
      </c>
      <c r="AF28">
        <v>0</v>
      </c>
      <c r="AG28">
        <v>0</v>
      </c>
      <c r="AH28">
        <v>75</v>
      </c>
      <c r="AI28">
        <v>0</v>
      </c>
      <c r="AJ28" t="s">
        <v>595</v>
      </c>
      <c r="AK28" t="s">
        <v>708</v>
      </c>
      <c r="AL28" t="s">
        <v>596</v>
      </c>
    </row>
    <row r="29" spans="1:38" x14ac:dyDescent="0.2">
      <c r="A29">
        <v>1235646</v>
      </c>
      <c r="B29">
        <v>6249107</v>
      </c>
      <c r="C29">
        <v>187514</v>
      </c>
      <c r="E29" t="b">
        <v>0</v>
      </c>
      <c r="F29">
        <v>46530</v>
      </c>
      <c r="G29" t="s">
        <v>725</v>
      </c>
      <c r="H29">
        <v>1</v>
      </c>
      <c r="I29" t="s">
        <v>726</v>
      </c>
      <c r="J29" t="s">
        <v>579</v>
      </c>
      <c r="K29" t="s">
        <v>580</v>
      </c>
      <c r="L29" t="s">
        <v>580</v>
      </c>
      <c r="M29" t="s">
        <v>727</v>
      </c>
      <c r="N29" t="s">
        <v>233</v>
      </c>
      <c r="O29" t="s">
        <v>514</v>
      </c>
      <c r="U29" t="s">
        <v>728</v>
      </c>
      <c r="V29" t="s">
        <v>729</v>
      </c>
      <c r="W29" t="s">
        <v>194</v>
      </c>
      <c r="X29" t="s">
        <v>581</v>
      </c>
      <c r="Y29" t="s">
        <v>592</v>
      </c>
      <c r="AB29" t="s">
        <v>708</v>
      </c>
      <c r="AD29" t="s">
        <v>269</v>
      </c>
      <c r="AE29" t="s">
        <v>515</v>
      </c>
      <c r="AF29">
        <v>0</v>
      </c>
      <c r="AG29">
        <v>0</v>
      </c>
      <c r="AI29">
        <v>0</v>
      </c>
      <c r="AJ29" t="s">
        <v>595</v>
      </c>
      <c r="AK29" t="s">
        <v>708</v>
      </c>
      <c r="AL29" t="s">
        <v>596</v>
      </c>
    </row>
    <row r="30" spans="1:38" x14ac:dyDescent="0.2">
      <c r="A30">
        <v>1235659</v>
      </c>
      <c r="B30">
        <v>8065644</v>
      </c>
      <c r="C30">
        <v>187514</v>
      </c>
      <c r="E30" t="b">
        <v>0</v>
      </c>
      <c r="F30">
        <v>72594</v>
      </c>
      <c r="G30" t="s">
        <v>730</v>
      </c>
      <c r="H30">
        <v>1</v>
      </c>
      <c r="I30" t="s">
        <v>731</v>
      </c>
      <c r="J30" t="s">
        <v>579</v>
      </c>
      <c r="K30" t="s">
        <v>580</v>
      </c>
      <c r="L30" t="s">
        <v>580</v>
      </c>
      <c r="M30" t="s">
        <v>732</v>
      </c>
      <c r="N30" t="s">
        <v>234</v>
      </c>
      <c r="O30" t="s">
        <v>516</v>
      </c>
      <c r="U30" t="s">
        <v>733</v>
      </c>
      <c r="V30" t="s">
        <v>734</v>
      </c>
      <c r="W30" t="s">
        <v>501</v>
      </c>
      <c r="X30" t="s">
        <v>581</v>
      </c>
      <c r="Y30" t="s">
        <v>458</v>
      </c>
      <c r="Z30" t="s">
        <v>593</v>
      </c>
      <c r="AB30" t="s">
        <v>708</v>
      </c>
      <c r="AD30" t="s">
        <v>270</v>
      </c>
      <c r="AE30" t="s">
        <v>517</v>
      </c>
      <c r="AF30">
        <v>0</v>
      </c>
      <c r="AG30">
        <v>0</v>
      </c>
      <c r="AH30">
        <v>0</v>
      </c>
      <c r="AI30">
        <v>0</v>
      </c>
      <c r="AJ30" t="s">
        <v>595</v>
      </c>
      <c r="AK30" t="s">
        <v>708</v>
      </c>
      <c r="AL30" t="s">
        <v>596</v>
      </c>
    </row>
    <row r="31" spans="1:38" x14ac:dyDescent="0.2">
      <c r="A31">
        <v>1235504</v>
      </c>
      <c r="B31">
        <v>6820976</v>
      </c>
      <c r="C31">
        <v>187514</v>
      </c>
      <c r="E31" t="b">
        <v>0</v>
      </c>
      <c r="F31">
        <v>50724</v>
      </c>
      <c r="G31" t="s">
        <v>735</v>
      </c>
      <c r="H31">
        <v>1</v>
      </c>
      <c r="I31" t="s">
        <v>736</v>
      </c>
      <c r="J31" t="s">
        <v>579</v>
      </c>
      <c r="K31" t="s">
        <v>580</v>
      </c>
      <c r="L31" t="s">
        <v>580</v>
      </c>
      <c r="M31" t="s">
        <v>737</v>
      </c>
      <c r="N31" t="s">
        <v>235</v>
      </c>
      <c r="O31" t="s">
        <v>479</v>
      </c>
      <c r="U31" t="s">
        <v>738</v>
      </c>
      <c r="V31" t="s">
        <v>739</v>
      </c>
      <c r="W31" t="s">
        <v>528</v>
      </c>
      <c r="X31" t="s">
        <v>581</v>
      </c>
      <c r="Y31" t="s">
        <v>592</v>
      </c>
      <c r="Z31" t="s">
        <v>593</v>
      </c>
      <c r="AB31" t="s">
        <v>708</v>
      </c>
      <c r="AD31" t="s">
        <v>271</v>
      </c>
      <c r="AE31" t="s">
        <v>477</v>
      </c>
      <c r="AF31">
        <v>0</v>
      </c>
      <c r="AG31">
        <v>0</v>
      </c>
      <c r="AH31">
        <v>27.5</v>
      </c>
      <c r="AI31">
        <v>0</v>
      </c>
      <c r="AJ31" t="s">
        <v>595</v>
      </c>
      <c r="AK31" t="s">
        <v>708</v>
      </c>
      <c r="AL31" t="s">
        <v>596</v>
      </c>
    </row>
    <row r="32" spans="1:38" x14ac:dyDescent="0.2">
      <c r="A32">
        <v>1235506</v>
      </c>
      <c r="B32">
        <v>7162110</v>
      </c>
      <c r="C32">
        <v>187514</v>
      </c>
      <c r="E32" t="b">
        <v>0</v>
      </c>
      <c r="F32">
        <v>57050</v>
      </c>
      <c r="G32" t="s">
        <v>740</v>
      </c>
      <c r="H32">
        <v>1</v>
      </c>
      <c r="I32" t="s">
        <v>741</v>
      </c>
      <c r="J32" t="s">
        <v>579</v>
      </c>
      <c r="K32" t="s">
        <v>580</v>
      </c>
      <c r="L32" t="s">
        <v>580</v>
      </c>
      <c r="M32" t="s">
        <v>742</v>
      </c>
      <c r="N32" t="s">
        <v>236</v>
      </c>
      <c r="O32" t="s">
        <v>481</v>
      </c>
      <c r="U32" t="s">
        <v>743</v>
      </c>
      <c r="V32" t="s">
        <v>744</v>
      </c>
      <c r="W32" t="s">
        <v>131</v>
      </c>
      <c r="X32" t="s">
        <v>581</v>
      </c>
      <c r="Y32" t="s">
        <v>592</v>
      </c>
      <c r="AB32" t="s">
        <v>708</v>
      </c>
      <c r="AD32" t="s">
        <v>272</v>
      </c>
      <c r="AE32" t="s">
        <v>477</v>
      </c>
      <c r="AF32">
        <v>0</v>
      </c>
      <c r="AG32">
        <v>0</v>
      </c>
      <c r="AI32">
        <v>0</v>
      </c>
      <c r="AJ32" t="s">
        <v>595</v>
      </c>
      <c r="AK32" t="s">
        <v>708</v>
      </c>
      <c r="AL32" t="s">
        <v>596</v>
      </c>
    </row>
    <row r="33" spans="1:38" x14ac:dyDescent="0.2">
      <c r="A33">
        <v>1235510</v>
      </c>
      <c r="B33">
        <v>6129692</v>
      </c>
      <c r="C33">
        <v>187514</v>
      </c>
      <c r="E33" t="b">
        <v>0</v>
      </c>
      <c r="F33">
        <v>44349</v>
      </c>
      <c r="G33" t="s">
        <v>745</v>
      </c>
      <c r="H33">
        <v>1</v>
      </c>
      <c r="I33" t="s">
        <v>746</v>
      </c>
      <c r="J33" t="s">
        <v>579</v>
      </c>
      <c r="K33" t="s">
        <v>580</v>
      </c>
      <c r="L33" t="s">
        <v>580</v>
      </c>
      <c r="M33" t="s">
        <v>747</v>
      </c>
      <c r="N33" t="s">
        <v>237</v>
      </c>
      <c r="O33" t="s">
        <v>485</v>
      </c>
      <c r="U33" t="s">
        <v>748</v>
      </c>
      <c r="V33" t="s">
        <v>749</v>
      </c>
      <c r="W33" t="s">
        <v>750</v>
      </c>
      <c r="X33" t="s">
        <v>581</v>
      </c>
      <c r="Y33" t="s">
        <v>592</v>
      </c>
      <c r="AB33" t="s">
        <v>708</v>
      </c>
      <c r="AD33" t="s">
        <v>273</v>
      </c>
      <c r="AE33" t="s">
        <v>477</v>
      </c>
      <c r="AF33">
        <v>0</v>
      </c>
      <c r="AG33">
        <v>0</v>
      </c>
      <c r="AI33">
        <v>0</v>
      </c>
      <c r="AJ33" t="s">
        <v>595</v>
      </c>
      <c r="AK33" t="s">
        <v>708</v>
      </c>
      <c r="AL33" t="s">
        <v>596</v>
      </c>
    </row>
    <row r="34" spans="1:38" x14ac:dyDescent="0.2">
      <c r="A34">
        <v>1235590</v>
      </c>
      <c r="B34">
        <v>7948956</v>
      </c>
      <c r="C34">
        <v>187514</v>
      </c>
      <c r="E34" t="b">
        <v>0</v>
      </c>
      <c r="F34">
        <v>70164</v>
      </c>
      <c r="G34" t="s">
        <v>751</v>
      </c>
      <c r="H34">
        <v>1</v>
      </c>
      <c r="I34" t="s">
        <v>752</v>
      </c>
      <c r="J34" t="s">
        <v>753</v>
      </c>
      <c r="K34" t="s">
        <v>580</v>
      </c>
      <c r="L34" t="s">
        <v>580</v>
      </c>
      <c r="M34" t="s">
        <v>754</v>
      </c>
      <c r="N34" t="s">
        <v>239</v>
      </c>
      <c r="O34" t="s">
        <v>238</v>
      </c>
      <c r="U34" t="s">
        <v>755</v>
      </c>
      <c r="X34" t="s">
        <v>581</v>
      </c>
      <c r="Y34" t="s">
        <v>140</v>
      </c>
      <c r="Z34" t="s">
        <v>593</v>
      </c>
      <c r="AD34" t="s">
        <v>274</v>
      </c>
      <c r="AE34" t="s">
        <v>477</v>
      </c>
      <c r="AJ34" t="s">
        <v>595</v>
      </c>
      <c r="AK34" t="s">
        <v>708</v>
      </c>
      <c r="AL34" t="s">
        <v>596</v>
      </c>
    </row>
    <row r="35" spans="1:38" x14ac:dyDescent="0.2">
      <c r="A35">
        <v>1235489</v>
      </c>
      <c r="B35">
        <v>7008912</v>
      </c>
      <c r="C35">
        <v>187510</v>
      </c>
      <c r="E35" t="b">
        <v>0</v>
      </c>
      <c r="F35">
        <v>53750</v>
      </c>
      <c r="G35" t="s">
        <v>756</v>
      </c>
      <c r="H35">
        <v>1</v>
      </c>
      <c r="I35" t="s">
        <v>757</v>
      </c>
      <c r="J35" t="s">
        <v>579</v>
      </c>
      <c r="K35" t="s">
        <v>578</v>
      </c>
      <c r="L35" t="s">
        <v>580</v>
      </c>
      <c r="M35" t="s">
        <v>758</v>
      </c>
      <c r="N35" t="s">
        <v>469</v>
      </c>
      <c r="O35" t="s">
        <v>471</v>
      </c>
      <c r="S35" t="s">
        <v>636</v>
      </c>
      <c r="U35" t="s">
        <v>759</v>
      </c>
      <c r="V35" t="s">
        <v>760</v>
      </c>
      <c r="W35" t="s">
        <v>487</v>
      </c>
      <c r="X35" t="s">
        <v>581</v>
      </c>
      <c r="Y35" t="s">
        <v>140</v>
      </c>
      <c r="Z35" t="s">
        <v>593</v>
      </c>
      <c r="AA35" t="s">
        <v>34</v>
      </c>
      <c r="AB35" t="s">
        <v>640</v>
      </c>
      <c r="AD35" t="s">
        <v>472</v>
      </c>
      <c r="AE35" t="s">
        <v>472</v>
      </c>
      <c r="AF35">
        <v>0</v>
      </c>
      <c r="AG35">
        <v>0</v>
      </c>
      <c r="AH35">
        <v>76.25</v>
      </c>
      <c r="AI35">
        <v>0</v>
      </c>
      <c r="AJ35" t="s">
        <v>595</v>
      </c>
      <c r="AK35" t="s">
        <v>640</v>
      </c>
      <c r="AL35" t="s">
        <v>596</v>
      </c>
    </row>
    <row r="36" spans="1:38" x14ac:dyDescent="0.2">
      <c r="A36">
        <v>1235508</v>
      </c>
      <c r="B36">
        <v>4996970</v>
      </c>
      <c r="C36">
        <v>187508</v>
      </c>
      <c r="E36" t="b">
        <v>0</v>
      </c>
      <c r="F36">
        <v>28336</v>
      </c>
      <c r="G36" t="s">
        <v>761</v>
      </c>
      <c r="H36">
        <v>1</v>
      </c>
      <c r="I36" t="s">
        <v>762</v>
      </c>
      <c r="J36" t="s">
        <v>579</v>
      </c>
      <c r="K36" t="s">
        <v>580</v>
      </c>
      <c r="L36" t="s">
        <v>580</v>
      </c>
      <c r="M36" t="s">
        <v>763</v>
      </c>
      <c r="N36" t="s">
        <v>764</v>
      </c>
      <c r="O36" t="s">
        <v>483</v>
      </c>
      <c r="U36" t="s">
        <v>765</v>
      </c>
      <c r="X36" t="s">
        <v>581</v>
      </c>
      <c r="Y36" t="s">
        <v>140</v>
      </c>
      <c r="Z36" t="s">
        <v>593</v>
      </c>
      <c r="AD36" t="s">
        <v>766</v>
      </c>
      <c r="AE36" t="s">
        <v>456</v>
      </c>
      <c r="AJ36" t="s">
        <v>595</v>
      </c>
      <c r="AK36" t="s">
        <v>594</v>
      </c>
      <c r="AL36" t="s">
        <v>596</v>
      </c>
    </row>
    <row r="37" spans="1:38" x14ac:dyDescent="0.2">
      <c r="A37">
        <v>1235777</v>
      </c>
      <c r="B37">
        <v>5034456</v>
      </c>
      <c r="C37">
        <v>187514</v>
      </c>
      <c r="E37" t="b">
        <v>0</v>
      </c>
      <c r="F37">
        <v>29273</v>
      </c>
      <c r="G37" t="s">
        <v>767</v>
      </c>
      <c r="H37">
        <v>1</v>
      </c>
      <c r="I37" t="s">
        <v>768</v>
      </c>
      <c r="J37" t="s">
        <v>579</v>
      </c>
      <c r="K37" t="s">
        <v>580</v>
      </c>
      <c r="L37" t="s">
        <v>580</v>
      </c>
      <c r="M37" t="s">
        <v>769</v>
      </c>
      <c r="N37" t="s">
        <v>240</v>
      </c>
      <c r="O37" t="s">
        <v>534</v>
      </c>
      <c r="S37" t="s">
        <v>722</v>
      </c>
      <c r="V37" t="s">
        <v>770</v>
      </c>
      <c r="W37" t="s">
        <v>771</v>
      </c>
      <c r="X37" t="s">
        <v>581</v>
      </c>
      <c r="Y37" t="s">
        <v>140</v>
      </c>
      <c r="Z37" t="s">
        <v>593</v>
      </c>
      <c r="AB37" t="s">
        <v>708</v>
      </c>
      <c r="AD37" t="s">
        <v>276</v>
      </c>
      <c r="AE37" t="s">
        <v>535</v>
      </c>
      <c r="AF37">
        <v>0</v>
      </c>
      <c r="AG37">
        <v>0</v>
      </c>
      <c r="AH37">
        <v>27.5</v>
      </c>
      <c r="AI37">
        <v>0</v>
      </c>
      <c r="AJ37" t="s">
        <v>595</v>
      </c>
      <c r="AK37" t="s">
        <v>708</v>
      </c>
      <c r="AL37" t="s">
        <v>596</v>
      </c>
    </row>
    <row r="38" spans="1:38" x14ac:dyDescent="0.2">
      <c r="A38">
        <v>1235400</v>
      </c>
      <c r="B38">
        <v>6119636</v>
      </c>
      <c r="C38">
        <v>187514</v>
      </c>
      <c r="E38" t="b">
        <v>0</v>
      </c>
      <c r="F38">
        <v>44172</v>
      </c>
      <c r="G38" t="s">
        <v>772</v>
      </c>
      <c r="H38">
        <v>1</v>
      </c>
      <c r="I38" t="s">
        <v>773</v>
      </c>
      <c r="J38" t="s">
        <v>579</v>
      </c>
      <c r="K38" t="s">
        <v>580</v>
      </c>
      <c r="L38" t="s">
        <v>580</v>
      </c>
      <c r="M38" t="s">
        <v>774</v>
      </c>
      <c r="N38" t="s">
        <v>241</v>
      </c>
      <c r="O38" t="s">
        <v>455</v>
      </c>
      <c r="U38" t="s">
        <v>775</v>
      </c>
      <c r="V38" t="s">
        <v>776</v>
      </c>
      <c r="W38" t="s">
        <v>750</v>
      </c>
      <c r="X38" t="s">
        <v>581</v>
      </c>
      <c r="Y38" t="s">
        <v>592</v>
      </c>
      <c r="AB38" t="s">
        <v>708</v>
      </c>
      <c r="AD38" t="s">
        <v>277</v>
      </c>
      <c r="AE38" t="s">
        <v>456</v>
      </c>
      <c r="AF38">
        <v>0</v>
      </c>
      <c r="AG38">
        <v>0</v>
      </c>
      <c r="AI38">
        <v>0</v>
      </c>
      <c r="AJ38" t="s">
        <v>595</v>
      </c>
      <c r="AK38" t="s">
        <v>708</v>
      </c>
      <c r="AL38" t="s">
        <v>596</v>
      </c>
    </row>
    <row r="39" spans="1:38" x14ac:dyDescent="0.2">
      <c r="A39">
        <v>1235661</v>
      </c>
      <c r="B39">
        <v>8074219</v>
      </c>
      <c r="C39">
        <v>187514</v>
      </c>
      <c r="E39" t="b">
        <v>0</v>
      </c>
      <c r="F39">
        <v>72769</v>
      </c>
      <c r="G39" t="s">
        <v>777</v>
      </c>
      <c r="H39">
        <v>1</v>
      </c>
      <c r="I39" t="s">
        <v>778</v>
      </c>
      <c r="J39" t="s">
        <v>579</v>
      </c>
      <c r="K39" t="s">
        <v>580</v>
      </c>
      <c r="L39" t="s">
        <v>580</v>
      </c>
      <c r="M39" t="s">
        <v>779</v>
      </c>
      <c r="N39" t="s">
        <v>242</v>
      </c>
      <c r="O39" t="s">
        <v>519</v>
      </c>
      <c r="S39" t="s">
        <v>722</v>
      </c>
      <c r="U39" t="s">
        <v>780</v>
      </c>
      <c r="V39" t="s">
        <v>781</v>
      </c>
      <c r="W39" t="s">
        <v>550</v>
      </c>
      <c r="X39" t="s">
        <v>581</v>
      </c>
      <c r="Y39" t="s">
        <v>592</v>
      </c>
      <c r="Z39" t="s">
        <v>593</v>
      </c>
      <c r="AB39" t="s">
        <v>708</v>
      </c>
      <c r="AD39" t="s">
        <v>278</v>
      </c>
      <c r="AE39" t="s">
        <v>456</v>
      </c>
      <c r="AF39">
        <v>0</v>
      </c>
      <c r="AG39">
        <v>0</v>
      </c>
      <c r="AH39">
        <v>0</v>
      </c>
      <c r="AI39">
        <v>0</v>
      </c>
      <c r="AJ39" t="s">
        <v>595</v>
      </c>
      <c r="AK39" t="s">
        <v>708</v>
      </c>
      <c r="AL39" t="s">
        <v>596</v>
      </c>
    </row>
    <row r="40" spans="1:38" x14ac:dyDescent="0.2">
      <c r="A40">
        <v>1235507</v>
      </c>
      <c r="B40">
        <v>8085736</v>
      </c>
      <c r="C40">
        <v>187514</v>
      </c>
      <c r="E40" t="b">
        <v>0</v>
      </c>
      <c r="F40">
        <v>72935</v>
      </c>
      <c r="G40" t="s">
        <v>782</v>
      </c>
      <c r="H40">
        <v>1</v>
      </c>
      <c r="I40" t="s">
        <v>783</v>
      </c>
      <c r="J40" t="s">
        <v>578</v>
      </c>
      <c r="K40" t="s">
        <v>578</v>
      </c>
      <c r="L40" t="s">
        <v>578</v>
      </c>
      <c r="M40" t="s">
        <v>784</v>
      </c>
      <c r="N40" t="s">
        <v>243</v>
      </c>
      <c r="O40" t="s">
        <v>482</v>
      </c>
      <c r="U40" t="s">
        <v>785</v>
      </c>
      <c r="V40" t="s">
        <v>786</v>
      </c>
      <c r="W40" t="s">
        <v>513</v>
      </c>
      <c r="X40" t="s">
        <v>581</v>
      </c>
      <c r="Y40" t="s">
        <v>592</v>
      </c>
      <c r="AB40" t="s">
        <v>708</v>
      </c>
      <c r="AD40" t="s">
        <v>279</v>
      </c>
      <c r="AE40" t="s">
        <v>456</v>
      </c>
      <c r="AF40">
        <v>0</v>
      </c>
      <c r="AG40">
        <v>0</v>
      </c>
      <c r="AI40">
        <v>0</v>
      </c>
      <c r="AJ40" t="s">
        <v>595</v>
      </c>
      <c r="AK40" t="s">
        <v>708</v>
      </c>
      <c r="AL40" t="s">
        <v>596</v>
      </c>
    </row>
    <row r="42" spans="1:38" x14ac:dyDescent="0.2">
      <c r="A42">
        <v>1235500</v>
      </c>
      <c r="B42">
        <v>8128420</v>
      </c>
      <c r="C42">
        <v>187514</v>
      </c>
      <c r="E42" t="b">
        <v>0</v>
      </c>
      <c r="F42">
        <v>73271</v>
      </c>
      <c r="G42" t="s">
        <v>787</v>
      </c>
      <c r="H42">
        <v>1</v>
      </c>
      <c r="I42" t="s">
        <v>788</v>
      </c>
      <c r="J42" t="s">
        <v>579</v>
      </c>
      <c r="K42" t="s">
        <v>578</v>
      </c>
      <c r="L42" t="s">
        <v>580</v>
      </c>
      <c r="M42" t="s">
        <v>789</v>
      </c>
      <c r="N42" t="s">
        <v>244</v>
      </c>
      <c r="O42" t="s">
        <v>474</v>
      </c>
      <c r="U42" t="s">
        <v>790</v>
      </c>
      <c r="V42" t="s">
        <v>791</v>
      </c>
      <c r="W42" t="s">
        <v>131</v>
      </c>
      <c r="X42" t="s">
        <v>581</v>
      </c>
      <c r="Y42" t="s">
        <v>140</v>
      </c>
      <c r="Z42" t="s">
        <v>593</v>
      </c>
      <c r="AB42" t="s">
        <v>708</v>
      </c>
      <c r="AD42" t="s">
        <v>280</v>
      </c>
      <c r="AE42" t="s">
        <v>456</v>
      </c>
      <c r="AF42">
        <v>0</v>
      </c>
      <c r="AG42">
        <v>0</v>
      </c>
      <c r="AH42">
        <v>0</v>
      </c>
      <c r="AI42">
        <v>0</v>
      </c>
      <c r="AJ42" t="s">
        <v>595</v>
      </c>
      <c r="AK42" t="s">
        <v>708</v>
      </c>
      <c r="AL42" t="s">
        <v>596</v>
      </c>
    </row>
    <row r="43" spans="1:38" x14ac:dyDescent="0.2">
      <c r="A43">
        <v>1235509</v>
      </c>
      <c r="B43">
        <v>6206718</v>
      </c>
      <c r="C43">
        <v>187514</v>
      </c>
      <c r="E43" t="b">
        <v>0</v>
      </c>
      <c r="F43">
        <v>46040</v>
      </c>
      <c r="G43" t="s">
        <v>792</v>
      </c>
      <c r="H43">
        <v>2</v>
      </c>
      <c r="I43" t="s">
        <v>793</v>
      </c>
      <c r="J43" t="s">
        <v>579</v>
      </c>
      <c r="K43" t="s">
        <v>580</v>
      </c>
      <c r="L43" t="s">
        <v>580</v>
      </c>
      <c r="M43" t="s">
        <v>794</v>
      </c>
      <c r="N43" t="s">
        <v>245</v>
      </c>
      <c r="O43" t="s">
        <v>484</v>
      </c>
      <c r="U43" t="s">
        <v>795</v>
      </c>
      <c r="V43" t="s">
        <v>796</v>
      </c>
      <c r="W43" t="s">
        <v>771</v>
      </c>
      <c r="X43" t="s">
        <v>581</v>
      </c>
      <c r="Y43" t="s">
        <v>592</v>
      </c>
      <c r="AB43" t="s">
        <v>708</v>
      </c>
      <c r="AD43" t="s">
        <v>281</v>
      </c>
      <c r="AE43" t="s">
        <v>456</v>
      </c>
      <c r="AF43">
        <v>0</v>
      </c>
      <c r="AG43">
        <v>0</v>
      </c>
      <c r="AI43">
        <v>0</v>
      </c>
      <c r="AJ43" t="s">
        <v>595</v>
      </c>
      <c r="AK43" t="s">
        <v>708</v>
      </c>
      <c r="AL43" t="s">
        <v>596</v>
      </c>
    </row>
    <row r="44" spans="1:38" x14ac:dyDescent="0.2">
      <c r="A44">
        <v>1235498</v>
      </c>
      <c r="B44">
        <v>4234901</v>
      </c>
      <c r="C44">
        <v>187508</v>
      </c>
      <c r="E44" t="b">
        <v>0</v>
      </c>
      <c r="F44">
        <v>24455</v>
      </c>
      <c r="G44" t="s">
        <v>797</v>
      </c>
      <c r="H44">
        <v>1</v>
      </c>
      <c r="I44" t="s">
        <v>798</v>
      </c>
      <c r="J44" t="s">
        <v>579</v>
      </c>
      <c r="K44" t="s">
        <v>580</v>
      </c>
      <c r="L44" t="s">
        <v>580</v>
      </c>
      <c r="M44" t="s">
        <v>799</v>
      </c>
      <c r="N44" t="s">
        <v>246</v>
      </c>
      <c r="O44" t="s">
        <v>473</v>
      </c>
      <c r="S44" t="s">
        <v>800</v>
      </c>
      <c r="U44" t="s">
        <v>801</v>
      </c>
      <c r="V44" t="s">
        <v>802</v>
      </c>
      <c r="W44" t="s">
        <v>803</v>
      </c>
      <c r="X44" t="s">
        <v>581</v>
      </c>
      <c r="Y44" t="s">
        <v>140</v>
      </c>
      <c r="Z44" t="s">
        <v>593</v>
      </c>
      <c r="AB44" t="s">
        <v>594</v>
      </c>
      <c r="AD44" t="s">
        <v>282</v>
      </c>
      <c r="AE44" t="s">
        <v>456</v>
      </c>
      <c r="AF44">
        <v>0</v>
      </c>
      <c r="AG44">
        <v>0</v>
      </c>
      <c r="AH44">
        <v>68</v>
      </c>
      <c r="AI44">
        <v>0</v>
      </c>
      <c r="AJ44" t="s">
        <v>595</v>
      </c>
      <c r="AK44" t="s">
        <v>594</v>
      </c>
      <c r="AL44" t="s">
        <v>596</v>
      </c>
    </row>
    <row r="45" spans="1:38" x14ac:dyDescent="0.2">
      <c r="A45">
        <v>1235401</v>
      </c>
      <c r="B45">
        <v>6140648</v>
      </c>
      <c r="C45">
        <v>187514</v>
      </c>
      <c r="E45" t="b">
        <v>0</v>
      </c>
      <c r="F45">
        <v>44618</v>
      </c>
      <c r="G45" t="s">
        <v>804</v>
      </c>
      <c r="H45">
        <v>1</v>
      </c>
      <c r="I45" t="s">
        <v>805</v>
      </c>
      <c r="J45" t="s">
        <v>579</v>
      </c>
      <c r="K45" t="s">
        <v>580</v>
      </c>
      <c r="L45" t="s">
        <v>580</v>
      </c>
      <c r="M45" t="s">
        <v>806</v>
      </c>
      <c r="N45" t="s">
        <v>247</v>
      </c>
      <c r="O45" t="s">
        <v>457</v>
      </c>
      <c r="P45" t="s">
        <v>139</v>
      </c>
      <c r="U45" t="s">
        <v>807</v>
      </c>
      <c r="V45" t="s">
        <v>808</v>
      </c>
      <c r="W45" t="s">
        <v>194</v>
      </c>
      <c r="X45" t="s">
        <v>581</v>
      </c>
      <c r="Y45" t="s">
        <v>140</v>
      </c>
      <c r="AB45" t="s">
        <v>708</v>
      </c>
      <c r="AD45" t="s">
        <v>283</v>
      </c>
      <c r="AE45" t="s">
        <v>456</v>
      </c>
      <c r="AF45">
        <v>0</v>
      </c>
      <c r="AG45">
        <v>0</v>
      </c>
      <c r="AI45">
        <v>0</v>
      </c>
      <c r="AJ45" t="s">
        <v>595</v>
      </c>
      <c r="AK45" t="s">
        <v>708</v>
      </c>
      <c r="AL45" t="s">
        <v>596</v>
      </c>
    </row>
    <row r="46" spans="1:38" x14ac:dyDescent="0.2">
      <c r="A46">
        <v>1235402</v>
      </c>
      <c r="B46">
        <v>8128495</v>
      </c>
      <c r="C46">
        <v>187514</v>
      </c>
      <c r="E46" t="b">
        <v>0</v>
      </c>
      <c r="F46">
        <v>73279</v>
      </c>
      <c r="G46" t="s">
        <v>809</v>
      </c>
      <c r="H46">
        <v>1</v>
      </c>
      <c r="I46" t="s">
        <v>810</v>
      </c>
      <c r="J46" t="s">
        <v>579</v>
      </c>
      <c r="K46" t="s">
        <v>580</v>
      </c>
      <c r="L46" t="s">
        <v>580</v>
      </c>
      <c r="M46" t="s">
        <v>811</v>
      </c>
      <c r="N46" t="s">
        <v>248</v>
      </c>
      <c r="O46" t="s">
        <v>459</v>
      </c>
      <c r="P46" t="s">
        <v>139</v>
      </c>
      <c r="U46" t="s">
        <v>812</v>
      </c>
      <c r="V46" t="s">
        <v>813</v>
      </c>
      <c r="W46" t="s">
        <v>131</v>
      </c>
      <c r="X46" t="s">
        <v>581</v>
      </c>
      <c r="Y46" t="s">
        <v>140</v>
      </c>
      <c r="Z46" t="s">
        <v>593</v>
      </c>
      <c r="AB46" t="s">
        <v>708</v>
      </c>
      <c r="AD46" t="s">
        <v>284</v>
      </c>
      <c r="AE46" t="s">
        <v>456</v>
      </c>
      <c r="AF46">
        <v>0</v>
      </c>
      <c r="AG46">
        <v>0</v>
      </c>
      <c r="AH46">
        <v>0</v>
      </c>
      <c r="AI46">
        <v>0</v>
      </c>
      <c r="AJ46" t="s">
        <v>595</v>
      </c>
      <c r="AK46" t="s">
        <v>708</v>
      </c>
      <c r="AL46" t="s">
        <v>596</v>
      </c>
    </row>
    <row r="47" spans="1:38" x14ac:dyDescent="0.2">
      <c r="A47">
        <v>1235610</v>
      </c>
      <c r="B47">
        <v>3518992</v>
      </c>
      <c r="E47" t="b">
        <v>0</v>
      </c>
      <c r="F47">
        <v>7771</v>
      </c>
      <c r="G47" t="s">
        <v>814</v>
      </c>
      <c r="H47">
        <v>1</v>
      </c>
      <c r="I47" t="s">
        <v>815</v>
      </c>
      <c r="J47" t="s">
        <v>579</v>
      </c>
      <c r="K47" t="s">
        <v>578</v>
      </c>
      <c r="L47" t="s">
        <v>580</v>
      </c>
      <c r="M47" t="s">
        <v>816</v>
      </c>
      <c r="N47" t="s">
        <v>254</v>
      </c>
      <c r="O47" t="s">
        <v>253</v>
      </c>
      <c r="P47" t="s">
        <v>503</v>
      </c>
      <c r="S47" t="s">
        <v>628</v>
      </c>
      <c r="V47" t="s">
        <v>817</v>
      </c>
      <c r="W47" t="s">
        <v>487</v>
      </c>
      <c r="X47" t="s">
        <v>581</v>
      </c>
      <c r="Y47" t="s">
        <v>140</v>
      </c>
      <c r="Z47" t="s">
        <v>593</v>
      </c>
      <c r="AD47" t="s">
        <v>252</v>
      </c>
      <c r="AE47" t="s">
        <v>504</v>
      </c>
      <c r="AF47">
        <v>0</v>
      </c>
      <c r="AG47">
        <v>0</v>
      </c>
      <c r="AH47">
        <v>41</v>
      </c>
      <c r="AI47">
        <v>0</v>
      </c>
      <c r="AJ47" t="s">
        <v>818</v>
      </c>
    </row>
    <row r="49" spans="1:38" x14ac:dyDescent="0.2">
      <c r="A49">
        <v>1235673</v>
      </c>
      <c r="B49">
        <v>7098933</v>
      </c>
      <c r="C49">
        <v>187514</v>
      </c>
      <c r="E49" t="b">
        <v>0</v>
      </c>
      <c r="F49">
        <v>55608</v>
      </c>
      <c r="G49" t="s">
        <v>819</v>
      </c>
      <c r="H49">
        <v>1</v>
      </c>
      <c r="I49" t="s">
        <v>820</v>
      </c>
      <c r="J49" t="s">
        <v>579</v>
      </c>
      <c r="K49" t="s">
        <v>580</v>
      </c>
      <c r="L49" t="s">
        <v>580</v>
      </c>
      <c r="M49" t="s">
        <v>821</v>
      </c>
      <c r="N49" t="s">
        <v>362</v>
      </c>
      <c r="O49" t="s">
        <v>520</v>
      </c>
      <c r="U49" t="s">
        <v>822</v>
      </c>
      <c r="V49" t="s">
        <v>823</v>
      </c>
      <c r="W49" t="s">
        <v>131</v>
      </c>
      <c r="X49" t="s">
        <v>581</v>
      </c>
      <c r="Y49" t="s">
        <v>592</v>
      </c>
      <c r="Z49" t="s">
        <v>593</v>
      </c>
      <c r="AB49" t="s">
        <v>708</v>
      </c>
      <c r="AD49" t="s">
        <v>361</v>
      </c>
      <c r="AE49" t="s">
        <v>489</v>
      </c>
      <c r="AF49">
        <v>0</v>
      </c>
      <c r="AG49">
        <v>0</v>
      </c>
      <c r="AH49">
        <v>27.5</v>
      </c>
      <c r="AI49">
        <v>0</v>
      </c>
      <c r="AJ49" t="s">
        <v>595</v>
      </c>
      <c r="AK49" t="s">
        <v>708</v>
      </c>
      <c r="AL49" t="s">
        <v>596</v>
      </c>
    </row>
    <row r="50" spans="1:38" x14ac:dyDescent="0.2">
      <c r="A50">
        <v>1235526</v>
      </c>
      <c r="B50">
        <v>6917566</v>
      </c>
      <c r="C50">
        <v>187514</v>
      </c>
      <c r="E50" t="b">
        <v>0</v>
      </c>
      <c r="F50">
        <v>51875</v>
      </c>
      <c r="G50" t="s">
        <v>824</v>
      </c>
      <c r="H50">
        <v>1</v>
      </c>
      <c r="I50" t="s">
        <v>825</v>
      </c>
      <c r="J50" t="s">
        <v>579</v>
      </c>
      <c r="K50" t="s">
        <v>580</v>
      </c>
      <c r="L50" t="s">
        <v>580</v>
      </c>
      <c r="M50" t="s">
        <v>826</v>
      </c>
      <c r="N50" t="s">
        <v>249</v>
      </c>
      <c r="O50" t="s">
        <v>488</v>
      </c>
      <c r="U50" t="s">
        <v>827</v>
      </c>
      <c r="V50" t="s">
        <v>828</v>
      </c>
      <c r="W50" t="s">
        <v>501</v>
      </c>
      <c r="X50" t="s">
        <v>581</v>
      </c>
      <c r="Y50" t="s">
        <v>592</v>
      </c>
      <c r="AB50" t="s">
        <v>708</v>
      </c>
      <c r="AD50" t="s">
        <v>285</v>
      </c>
      <c r="AE50" t="s">
        <v>489</v>
      </c>
      <c r="AF50">
        <v>0</v>
      </c>
      <c r="AG50">
        <v>0</v>
      </c>
      <c r="AI50">
        <v>0</v>
      </c>
      <c r="AJ50" t="s">
        <v>595</v>
      </c>
      <c r="AK50" t="s">
        <v>708</v>
      </c>
      <c r="AL50" t="s">
        <v>596</v>
      </c>
    </row>
    <row r="51" spans="1:38" x14ac:dyDescent="0.2">
      <c r="A51">
        <v>2635568</v>
      </c>
      <c r="B51">
        <v>7621062</v>
      </c>
      <c r="C51">
        <v>187514</v>
      </c>
      <c r="E51" t="b">
        <v>0</v>
      </c>
      <c r="F51">
        <v>64450</v>
      </c>
      <c r="G51" t="s">
        <v>829</v>
      </c>
      <c r="H51">
        <v>1</v>
      </c>
      <c r="I51" t="s">
        <v>830</v>
      </c>
      <c r="J51" t="s">
        <v>578</v>
      </c>
      <c r="K51" t="s">
        <v>578</v>
      </c>
      <c r="L51" t="s">
        <v>578</v>
      </c>
      <c r="M51" t="s">
        <v>831</v>
      </c>
      <c r="N51" t="s">
        <v>250</v>
      </c>
      <c r="O51" t="s">
        <v>548</v>
      </c>
      <c r="U51" t="s">
        <v>832</v>
      </c>
      <c r="V51" t="s">
        <v>833</v>
      </c>
      <c r="W51" t="s">
        <v>541</v>
      </c>
      <c r="X51" t="s">
        <v>581</v>
      </c>
      <c r="Y51" t="s">
        <v>458</v>
      </c>
      <c r="Z51" t="s">
        <v>593</v>
      </c>
      <c r="AB51" t="s">
        <v>708</v>
      </c>
      <c r="AD51" t="s">
        <v>286</v>
      </c>
      <c r="AE51" t="s">
        <v>489</v>
      </c>
      <c r="AF51">
        <v>0</v>
      </c>
      <c r="AG51">
        <v>0</v>
      </c>
      <c r="AH51">
        <v>27.5</v>
      </c>
      <c r="AI51">
        <v>0</v>
      </c>
      <c r="AJ51" t="s">
        <v>595</v>
      </c>
      <c r="AK51" t="s">
        <v>708</v>
      </c>
      <c r="AL51" t="s">
        <v>596</v>
      </c>
    </row>
    <row r="52" spans="1:38" x14ac:dyDescent="0.2">
      <c r="A52">
        <v>1235345</v>
      </c>
      <c r="B52">
        <v>7865996</v>
      </c>
      <c r="C52">
        <v>7654931</v>
      </c>
      <c r="E52" t="b">
        <v>0</v>
      </c>
      <c r="F52">
        <v>68489</v>
      </c>
      <c r="G52" t="s">
        <v>834</v>
      </c>
      <c r="H52">
        <v>1</v>
      </c>
      <c r="I52" t="s">
        <v>835</v>
      </c>
      <c r="J52" t="s">
        <v>579</v>
      </c>
      <c r="K52" t="s">
        <v>580</v>
      </c>
      <c r="L52" t="s">
        <v>580</v>
      </c>
      <c r="M52" t="s">
        <v>836</v>
      </c>
      <c r="N52" t="s">
        <v>216</v>
      </c>
      <c r="O52" t="s">
        <v>216</v>
      </c>
      <c r="P52" t="s">
        <v>450</v>
      </c>
      <c r="S52" t="s">
        <v>837</v>
      </c>
      <c r="U52" t="s">
        <v>838</v>
      </c>
      <c r="V52" t="s">
        <v>839</v>
      </c>
      <c r="W52" t="s">
        <v>840</v>
      </c>
      <c r="X52" t="s">
        <v>581</v>
      </c>
      <c r="Y52" t="s">
        <v>140</v>
      </c>
      <c r="Z52" t="s">
        <v>841</v>
      </c>
      <c r="AB52" t="s">
        <v>623</v>
      </c>
      <c r="AD52" t="s">
        <v>215</v>
      </c>
      <c r="AE52" t="s">
        <v>451</v>
      </c>
      <c r="AF52">
        <v>0</v>
      </c>
      <c r="AG52">
        <v>0</v>
      </c>
      <c r="AH52">
        <v>117.75</v>
      </c>
      <c r="AI52">
        <v>0</v>
      </c>
      <c r="AJ52" t="s">
        <v>595</v>
      </c>
      <c r="AK52" t="s">
        <v>623</v>
      </c>
      <c r="AL52" t="s">
        <v>842</v>
      </c>
    </row>
    <row r="53" spans="1:38" x14ac:dyDescent="0.2">
      <c r="A53">
        <v>1235444</v>
      </c>
      <c r="B53">
        <v>7855800</v>
      </c>
      <c r="C53">
        <v>187508</v>
      </c>
      <c r="E53" t="b">
        <v>0</v>
      </c>
      <c r="F53">
        <v>68290</v>
      </c>
      <c r="G53" t="s">
        <v>843</v>
      </c>
      <c r="H53">
        <v>1</v>
      </c>
      <c r="I53" t="s">
        <v>844</v>
      </c>
      <c r="J53" t="s">
        <v>579</v>
      </c>
      <c r="K53" t="s">
        <v>578</v>
      </c>
      <c r="L53" t="s">
        <v>580</v>
      </c>
      <c r="M53" t="s">
        <v>845</v>
      </c>
      <c r="N53" t="s">
        <v>220</v>
      </c>
      <c r="O53" t="s">
        <v>219</v>
      </c>
      <c r="P53" t="s">
        <v>139</v>
      </c>
      <c r="S53" t="s">
        <v>636</v>
      </c>
      <c r="U53" t="s">
        <v>846</v>
      </c>
      <c r="V53" t="s">
        <v>847</v>
      </c>
      <c r="W53" t="s">
        <v>487</v>
      </c>
      <c r="X53" t="s">
        <v>581</v>
      </c>
      <c r="Y53" t="s">
        <v>592</v>
      </c>
      <c r="Z53" t="s">
        <v>593</v>
      </c>
      <c r="AB53" t="s">
        <v>594</v>
      </c>
      <c r="AD53" t="s">
        <v>468</v>
      </c>
      <c r="AE53" t="s">
        <v>848</v>
      </c>
      <c r="AF53">
        <v>0</v>
      </c>
      <c r="AG53">
        <v>0</v>
      </c>
      <c r="AH53">
        <v>102</v>
      </c>
      <c r="AI53">
        <v>0</v>
      </c>
      <c r="AJ53" t="s">
        <v>595</v>
      </c>
      <c r="AK53" t="s">
        <v>594</v>
      </c>
      <c r="AL53" t="s">
        <v>596</v>
      </c>
    </row>
    <row r="54" spans="1:38" x14ac:dyDescent="0.2">
      <c r="A54">
        <v>1235564</v>
      </c>
      <c r="B54">
        <v>7890061</v>
      </c>
      <c r="C54">
        <v>187508</v>
      </c>
      <c r="E54" t="b">
        <v>0</v>
      </c>
      <c r="F54">
        <v>69031</v>
      </c>
      <c r="G54" t="s">
        <v>849</v>
      </c>
      <c r="H54">
        <v>1</v>
      </c>
      <c r="I54" t="s">
        <v>850</v>
      </c>
      <c r="J54" t="s">
        <v>579</v>
      </c>
      <c r="K54" t="s">
        <v>578</v>
      </c>
      <c r="L54" t="s">
        <v>580</v>
      </c>
      <c r="M54" t="s">
        <v>851</v>
      </c>
      <c r="N54" t="s">
        <v>225</v>
      </c>
      <c r="O54" t="s">
        <v>224</v>
      </c>
      <c r="S54" t="s">
        <v>852</v>
      </c>
      <c r="U54" t="s">
        <v>853</v>
      </c>
      <c r="V54" t="s">
        <v>854</v>
      </c>
      <c r="W54" t="s">
        <v>487</v>
      </c>
      <c r="X54" t="s">
        <v>581</v>
      </c>
      <c r="Y54" t="s">
        <v>592</v>
      </c>
      <c r="Z54" t="s">
        <v>593</v>
      </c>
      <c r="AB54" t="s">
        <v>594</v>
      </c>
      <c r="AD54" t="s">
        <v>223</v>
      </c>
      <c r="AE54" t="s">
        <v>499</v>
      </c>
      <c r="AF54">
        <v>0</v>
      </c>
      <c r="AG54">
        <v>0</v>
      </c>
      <c r="AH54">
        <v>75</v>
      </c>
      <c r="AI54">
        <v>0</v>
      </c>
      <c r="AJ54" t="s">
        <v>595</v>
      </c>
      <c r="AK54" t="s">
        <v>594</v>
      </c>
      <c r="AL54" t="s">
        <v>596</v>
      </c>
    </row>
    <row r="55" spans="1:38" x14ac:dyDescent="0.2">
      <c r="A55">
        <v>1235501</v>
      </c>
      <c r="B55">
        <v>8010165</v>
      </c>
      <c r="C55">
        <v>187508</v>
      </c>
      <c r="E55" t="b">
        <v>0</v>
      </c>
      <c r="F55">
        <v>71410</v>
      </c>
      <c r="G55" t="s">
        <v>855</v>
      </c>
      <c r="H55">
        <v>1</v>
      </c>
      <c r="I55" t="s">
        <v>856</v>
      </c>
      <c r="J55" t="s">
        <v>579</v>
      </c>
      <c r="K55" t="s">
        <v>578</v>
      </c>
      <c r="L55" t="s">
        <v>580</v>
      </c>
      <c r="M55" t="s">
        <v>857</v>
      </c>
      <c r="N55" t="s">
        <v>228</v>
      </c>
      <c r="O55" t="s">
        <v>227</v>
      </c>
      <c r="P55" t="s">
        <v>458</v>
      </c>
      <c r="S55" t="s">
        <v>636</v>
      </c>
      <c r="U55" t="s">
        <v>674</v>
      </c>
      <c r="V55" t="s">
        <v>858</v>
      </c>
      <c r="W55" t="s">
        <v>487</v>
      </c>
      <c r="X55" t="s">
        <v>581</v>
      </c>
      <c r="Y55" t="s">
        <v>592</v>
      </c>
      <c r="Z55" t="s">
        <v>593</v>
      </c>
      <c r="AB55" t="s">
        <v>594</v>
      </c>
      <c r="AD55" t="s">
        <v>226</v>
      </c>
      <c r="AE55" t="s">
        <v>475</v>
      </c>
      <c r="AF55">
        <v>0</v>
      </c>
      <c r="AG55">
        <v>0</v>
      </c>
      <c r="AH55">
        <v>75</v>
      </c>
      <c r="AI55">
        <v>0</v>
      </c>
      <c r="AJ55" t="s">
        <v>595</v>
      </c>
      <c r="AK55" t="s">
        <v>594</v>
      </c>
      <c r="AL55" t="s">
        <v>596</v>
      </c>
    </row>
    <row r="56" spans="1:38" x14ac:dyDescent="0.2">
      <c r="A56">
        <v>1235704</v>
      </c>
      <c r="B56">
        <v>8031653</v>
      </c>
      <c r="C56">
        <v>187514</v>
      </c>
      <c r="E56" t="b">
        <v>0</v>
      </c>
      <c r="F56">
        <v>71907</v>
      </c>
      <c r="G56" t="s">
        <v>859</v>
      </c>
      <c r="H56">
        <v>1</v>
      </c>
      <c r="I56" t="s">
        <v>860</v>
      </c>
      <c r="J56" t="s">
        <v>579</v>
      </c>
      <c r="K56" t="s">
        <v>580</v>
      </c>
      <c r="L56" t="s">
        <v>580</v>
      </c>
      <c r="M56" t="s">
        <v>861</v>
      </c>
      <c r="N56" t="s">
        <v>294</v>
      </c>
      <c r="O56" t="s">
        <v>526</v>
      </c>
      <c r="S56" t="s">
        <v>722</v>
      </c>
      <c r="U56" t="s">
        <v>862</v>
      </c>
      <c r="V56" t="s">
        <v>863</v>
      </c>
      <c r="W56" t="s">
        <v>420</v>
      </c>
      <c r="X56" t="s">
        <v>581</v>
      </c>
      <c r="Y56" t="s">
        <v>458</v>
      </c>
      <c r="Z56" t="s">
        <v>593</v>
      </c>
      <c r="AB56" t="s">
        <v>708</v>
      </c>
      <c r="AD56" t="s">
        <v>293</v>
      </c>
      <c r="AE56" t="s">
        <v>293</v>
      </c>
      <c r="AF56">
        <v>0</v>
      </c>
      <c r="AG56">
        <v>0</v>
      </c>
      <c r="AH56">
        <v>27.5</v>
      </c>
      <c r="AI56">
        <v>0</v>
      </c>
      <c r="AJ56" t="s">
        <v>595</v>
      </c>
      <c r="AK56" t="s">
        <v>708</v>
      </c>
      <c r="AL56" t="s">
        <v>596</v>
      </c>
    </row>
    <row r="57" spans="1:38" x14ac:dyDescent="0.2">
      <c r="A57">
        <v>1235563</v>
      </c>
      <c r="B57">
        <v>7009411</v>
      </c>
      <c r="C57">
        <v>7589603</v>
      </c>
      <c r="E57" t="b">
        <v>0</v>
      </c>
      <c r="F57">
        <v>53782</v>
      </c>
      <c r="G57" t="s">
        <v>864</v>
      </c>
      <c r="H57">
        <v>1</v>
      </c>
      <c r="I57" t="s">
        <v>865</v>
      </c>
      <c r="J57" t="s">
        <v>579</v>
      </c>
      <c r="K57" t="s">
        <v>578</v>
      </c>
      <c r="L57" t="s">
        <v>580</v>
      </c>
      <c r="M57" t="s">
        <v>866</v>
      </c>
      <c r="N57" t="s">
        <v>260</v>
      </c>
      <c r="O57" t="s">
        <v>260</v>
      </c>
      <c r="P57" t="s">
        <v>496</v>
      </c>
      <c r="S57" t="s">
        <v>628</v>
      </c>
      <c r="U57" t="s">
        <v>867</v>
      </c>
      <c r="V57" t="s">
        <v>868</v>
      </c>
      <c r="W57" t="s">
        <v>487</v>
      </c>
      <c r="X57" t="s">
        <v>581</v>
      </c>
      <c r="Y57" t="s">
        <v>140</v>
      </c>
      <c r="Z57" t="s">
        <v>593</v>
      </c>
      <c r="AB57" t="s">
        <v>623</v>
      </c>
      <c r="AD57" t="s">
        <v>497</v>
      </c>
      <c r="AE57" t="s">
        <v>498</v>
      </c>
      <c r="AF57">
        <v>0</v>
      </c>
      <c r="AG57">
        <v>0</v>
      </c>
      <c r="AH57">
        <v>46</v>
      </c>
      <c r="AI57">
        <v>0</v>
      </c>
      <c r="AJ57" t="s">
        <v>595</v>
      </c>
      <c r="AK57" t="s">
        <v>623</v>
      </c>
      <c r="AL57" t="s">
        <v>632</v>
      </c>
    </row>
    <row r="58" spans="1:38" x14ac:dyDescent="0.2">
      <c r="A58">
        <v>1235428</v>
      </c>
      <c r="B58">
        <v>3934094</v>
      </c>
      <c r="C58">
        <v>7589603</v>
      </c>
      <c r="E58" t="b">
        <v>0</v>
      </c>
      <c r="F58">
        <v>17702</v>
      </c>
      <c r="G58" t="s">
        <v>869</v>
      </c>
      <c r="H58">
        <v>1</v>
      </c>
      <c r="I58" t="s">
        <v>870</v>
      </c>
      <c r="J58" t="s">
        <v>579</v>
      </c>
      <c r="K58" t="s">
        <v>580</v>
      </c>
      <c r="L58" t="s">
        <v>580</v>
      </c>
      <c r="M58" t="s">
        <v>871</v>
      </c>
      <c r="N58" t="s">
        <v>261</v>
      </c>
      <c r="O58" t="s">
        <v>261</v>
      </c>
      <c r="P58" t="s">
        <v>803</v>
      </c>
      <c r="S58" t="s">
        <v>628</v>
      </c>
      <c r="V58" t="s">
        <v>872</v>
      </c>
      <c r="W58" t="s">
        <v>487</v>
      </c>
      <c r="X58" t="s">
        <v>581</v>
      </c>
      <c r="Y58" t="s">
        <v>140</v>
      </c>
      <c r="Z58" t="s">
        <v>593</v>
      </c>
      <c r="AB58" t="s">
        <v>623</v>
      </c>
      <c r="AD58" t="s">
        <v>873</v>
      </c>
      <c r="AE58" t="s">
        <v>874</v>
      </c>
      <c r="AF58">
        <v>0</v>
      </c>
      <c r="AG58">
        <v>0</v>
      </c>
      <c r="AH58">
        <v>41</v>
      </c>
      <c r="AI58">
        <v>0</v>
      </c>
      <c r="AJ58" t="s">
        <v>595</v>
      </c>
      <c r="AK58" t="s">
        <v>623</v>
      </c>
      <c r="AL58" t="s">
        <v>632</v>
      </c>
    </row>
    <row r="59" spans="1:38" x14ac:dyDescent="0.2">
      <c r="A59">
        <v>2822437</v>
      </c>
    </row>
    <row r="60" spans="1:38" x14ac:dyDescent="0.2">
      <c r="A60">
        <v>1235598</v>
      </c>
      <c r="B60">
        <v>7490110</v>
      </c>
      <c r="C60">
        <v>7589602</v>
      </c>
      <c r="E60" t="b">
        <v>0</v>
      </c>
      <c r="F60">
        <v>61175</v>
      </c>
      <c r="G60" t="s">
        <v>875</v>
      </c>
      <c r="H60">
        <v>1</v>
      </c>
      <c r="I60" t="s">
        <v>876</v>
      </c>
      <c r="J60" t="s">
        <v>579</v>
      </c>
      <c r="K60" t="s">
        <v>578</v>
      </c>
      <c r="L60" t="s">
        <v>580</v>
      </c>
      <c r="M60" t="s">
        <v>877</v>
      </c>
      <c r="N60" t="s">
        <v>217</v>
      </c>
      <c r="O60" t="s">
        <v>217</v>
      </c>
      <c r="P60" t="s">
        <v>487</v>
      </c>
      <c r="S60" t="s">
        <v>636</v>
      </c>
      <c r="U60" t="s">
        <v>878</v>
      </c>
      <c r="V60" t="s">
        <v>879</v>
      </c>
      <c r="W60" t="s">
        <v>487</v>
      </c>
      <c r="X60" t="s">
        <v>581</v>
      </c>
      <c r="Y60" t="s">
        <v>140</v>
      </c>
      <c r="Z60" t="s">
        <v>593</v>
      </c>
      <c r="AA60" t="s">
        <v>34</v>
      </c>
      <c r="AB60" t="s">
        <v>640</v>
      </c>
      <c r="AD60" t="s">
        <v>502</v>
      </c>
      <c r="AE60" t="s">
        <v>502</v>
      </c>
      <c r="AF60">
        <v>0</v>
      </c>
      <c r="AG60">
        <v>0</v>
      </c>
      <c r="AH60">
        <v>76.25</v>
      </c>
      <c r="AI60">
        <v>0</v>
      </c>
      <c r="AJ60" t="s">
        <v>595</v>
      </c>
      <c r="AK60" t="s">
        <v>640</v>
      </c>
      <c r="AL60" t="s">
        <v>632</v>
      </c>
    </row>
    <row r="61" spans="1:38" x14ac:dyDescent="0.2">
      <c r="A61">
        <v>1235517</v>
      </c>
      <c r="B61">
        <v>6829128</v>
      </c>
      <c r="C61">
        <v>187510</v>
      </c>
      <c r="E61" t="b">
        <v>0</v>
      </c>
      <c r="F61">
        <v>50907</v>
      </c>
      <c r="G61" t="s">
        <v>880</v>
      </c>
      <c r="H61">
        <v>1</v>
      </c>
      <c r="I61" t="s">
        <v>881</v>
      </c>
      <c r="J61" t="s">
        <v>579</v>
      </c>
      <c r="K61" t="s">
        <v>578</v>
      </c>
      <c r="L61" t="s">
        <v>580</v>
      </c>
      <c r="M61" t="s">
        <v>882</v>
      </c>
      <c r="N61" t="s">
        <v>218</v>
      </c>
      <c r="O61" t="s">
        <v>218</v>
      </c>
      <c r="P61" t="s">
        <v>131</v>
      </c>
      <c r="S61" t="s">
        <v>636</v>
      </c>
      <c r="U61" t="s">
        <v>883</v>
      </c>
      <c r="V61" t="s">
        <v>884</v>
      </c>
      <c r="W61" t="s">
        <v>487</v>
      </c>
      <c r="X61" t="s">
        <v>581</v>
      </c>
      <c r="Y61" t="s">
        <v>140</v>
      </c>
      <c r="Z61" t="s">
        <v>593</v>
      </c>
      <c r="AA61" t="s">
        <v>34</v>
      </c>
      <c r="AB61" t="s">
        <v>640</v>
      </c>
      <c r="AD61" t="s">
        <v>885</v>
      </c>
      <c r="AE61" t="s">
        <v>885</v>
      </c>
      <c r="AF61">
        <v>0</v>
      </c>
      <c r="AG61">
        <v>0</v>
      </c>
      <c r="AH61">
        <v>74.75</v>
      </c>
      <c r="AI61">
        <v>0</v>
      </c>
      <c r="AJ61" t="s">
        <v>595</v>
      </c>
      <c r="AK61" t="s">
        <v>640</v>
      </c>
      <c r="AL61" t="s">
        <v>596</v>
      </c>
    </row>
    <row r="62" spans="1:38" x14ac:dyDescent="0.2">
      <c r="A62">
        <v>2822784</v>
      </c>
      <c r="B62">
        <v>8069275</v>
      </c>
      <c r="E62" t="b">
        <v>0</v>
      </c>
      <c r="F62">
        <v>72690</v>
      </c>
      <c r="G62" t="s">
        <v>886</v>
      </c>
      <c r="H62">
        <v>1</v>
      </c>
      <c r="I62" t="s">
        <v>887</v>
      </c>
      <c r="J62" t="s">
        <v>579</v>
      </c>
      <c r="K62" t="s">
        <v>580</v>
      </c>
      <c r="L62" t="s">
        <v>580</v>
      </c>
      <c r="M62" t="s">
        <v>888</v>
      </c>
      <c r="N62" t="s">
        <v>552</v>
      </c>
      <c r="O62" t="s">
        <v>552</v>
      </c>
      <c r="P62" t="s">
        <v>172</v>
      </c>
      <c r="S62" t="s">
        <v>889</v>
      </c>
      <c r="V62" t="s">
        <v>890</v>
      </c>
      <c r="W62" t="s">
        <v>487</v>
      </c>
      <c r="X62" t="s">
        <v>581</v>
      </c>
      <c r="Y62" t="s">
        <v>631</v>
      </c>
      <c r="Z62" t="s">
        <v>593</v>
      </c>
      <c r="AA62" t="s">
        <v>34</v>
      </c>
      <c r="AD62" t="s">
        <v>553</v>
      </c>
      <c r="AE62" t="s">
        <v>553</v>
      </c>
      <c r="AF62">
        <v>0</v>
      </c>
      <c r="AG62">
        <v>0</v>
      </c>
      <c r="AH62">
        <v>76.25</v>
      </c>
      <c r="AI62">
        <v>0</v>
      </c>
      <c r="AJ62" t="s">
        <v>595</v>
      </c>
    </row>
    <row r="63" spans="1:38" x14ac:dyDescent="0.2">
      <c r="A63">
        <v>1235416</v>
      </c>
      <c r="B63">
        <v>7618351</v>
      </c>
      <c r="C63">
        <v>187510</v>
      </c>
      <c r="E63" t="b">
        <v>0</v>
      </c>
      <c r="F63">
        <v>64375</v>
      </c>
      <c r="G63" t="s">
        <v>891</v>
      </c>
      <c r="H63">
        <v>1</v>
      </c>
      <c r="I63" t="s">
        <v>892</v>
      </c>
      <c r="J63" t="s">
        <v>579</v>
      </c>
      <c r="K63" t="s">
        <v>893</v>
      </c>
      <c r="L63" t="s">
        <v>580</v>
      </c>
      <c r="M63" t="s">
        <v>894</v>
      </c>
      <c r="N63" t="s">
        <v>462</v>
      </c>
      <c r="O63" t="s">
        <v>462</v>
      </c>
      <c r="P63" t="s">
        <v>463</v>
      </c>
      <c r="S63" t="s">
        <v>895</v>
      </c>
      <c r="U63" t="s">
        <v>896</v>
      </c>
      <c r="V63" t="s">
        <v>897</v>
      </c>
      <c r="W63" t="s">
        <v>487</v>
      </c>
      <c r="X63" t="s">
        <v>581</v>
      </c>
      <c r="Y63" t="s">
        <v>140</v>
      </c>
      <c r="Z63" t="s">
        <v>593</v>
      </c>
      <c r="AA63" t="s">
        <v>34</v>
      </c>
      <c r="AB63" t="s">
        <v>640</v>
      </c>
      <c r="AD63" t="s">
        <v>464</v>
      </c>
      <c r="AE63" t="s">
        <v>464</v>
      </c>
      <c r="AF63">
        <v>0</v>
      </c>
      <c r="AG63">
        <v>0</v>
      </c>
      <c r="AH63">
        <v>76.25</v>
      </c>
      <c r="AI63">
        <v>0</v>
      </c>
      <c r="AJ63" t="s">
        <v>595</v>
      </c>
      <c r="AK63" t="s">
        <v>640</v>
      </c>
      <c r="AL63" t="s">
        <v>596</v>
      </c>
    </row>
    <row r="64" spans="1:38" x14ac:dyDescent="0.2">
      <c r="A64">
        <v>1235503</v>
      </c>
      <c r="B64">
        <v>8035837</v>
      </c>
      <c r="C64">
        <v>187508</v>
      </c>
      <c r="E64" t="b">
        <v>0</v>
      </c>
      <c r="F64">
        <v>72022</v>
      </c>
      <c r="G64" t="s">
        <v>898</v>
      </c>
      <c r="H64">
        <v>1</v>
      </c>
      <c r="I64" t="s">
        <v>899</v>
      </c>
      <c r="J64" t="s">
        <v>579</v>
      </c>
      <c r="K64" t="s">
        <v>578</v>
      </c>
      <c r="L64" t="s">
        <v>580</v>
      </c>
      <c r="M64" t="s">
        <v>900</v>
      </c>
      <c r="N64" t="s">
        <v>299</v>
      </c>
      <c r="O64" t="s">
        <v>221</v>
      </c>
      <c r="P64" t="s">
        <v>458</v>
      </c>
      <c r="S64" t="s">
        <v>901</v>
      </c>
      <c r="U64" t="s">
        <v>902</v>
      </c>
      <c r="V64" t="s">
        <v>903</v>
      </c>
      <c r="W64" t="s">
        <v>487</v>
      </c>
      <c r="X64" t="s">
        <v>581</v>
      </c>
      <c r="Y64" t="s">
        <v>592</v>
      </c>
      <c r="Z64" t="s">
        <v>593</v>
      </c>
      <c r="AB64" t="s">
        <v>594</v>
      </c>
      <c r="AD64" t="s">
        <v>300</v>
      </c>
      <c r="AE64" t="s">
        <v>478</v>
      </c>
      <c r="AF64">
        <v>0</v>
      </c>
      <c r="AG64">
        <v>0</v>
      </c>
      <c r="AH64">
        <v>97</v>
      </c>
      <c r="AI64">
        <v>0</v>
      </c>
      <c r="AJ64" t="s">
        <v>595</v>
      </c>
      <c r="AK64" t="s">
        <v>594</v>
      </c>
      <c r="AL64" t="s">
        <v>596</v>
      </c>
    </row>
    <row r="65" spans="1:1" x14ac:dyDescent="0.2">
      <c r="A65">
        <v>1235768</v>
      </c>
    </row>
    <row r="66" spans="1:1" x14ac:dyDescent="0.2">
      <c r="A66">
        <v>1235769</v>
      </c>
    </row>
    <row r="67" spans="1:1" x14ac:dyDescent="0.2">
      <c r="A67">
        <v>1235540</v>
      </c>
    </row>
  </sheetData>
  <sheetProtection algorithmName="SHA-512" hashValue="iUlcnvPq6UYFsfTHsB2qpwtC8Z7Bv1ywJqPHp6lExoqCybOsQjIGYnAdK6HngNq4oVpv3zyFtzxdKQob3CVTWg==" saltValue="NrOqfNBLpE+/ZWNvg3cag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616</v>
      </c>
      <c r="B1" s="44" t="s">
        <v>614</v>
      </c>
      <c r="C1" s="44" t="s">
        <v>615</v>
      </c>
    </row>
    <row r="2" spans="1:3" x14ac:dyDescent="0.2">
      <c r="A2" s="44" t="s">
        <v>613</v>
      </c>
      <c r="B2">
        <v>-100</v>
      </c>
      <c r="C2">
        <v>450</v>
      </c>
    </row>
    <row r="3" spans="1:3" x14ac:dyDescent="0.2">
      <c r="A3" s="44" t="s">
        <v>607</v>
      </c>
      <c r="B3">
        <v>-50</v>
      </c>
      <c r="C3">
        <v>450</v>
      </c>
    </row>
    <row r="4" spans="1:3" x14ac:dyDescent="0.2">
      <c r="A4" s="44" t="s">
        <v>606</v>
      </c>
      <c r="B4">
        <v>70</v>
      </c>
      <c r="C4">
        <v>500</v>
      </c>
    </row>
    <row r="5" spans="1:3" x14ac:dyDescent="0.2">
      <c r="A5" s="44" t="s">
        <v>608</v>
      </c>
      <c r="B5">
        <v>70</v>
      </c>
      <c r="C5">
        <v>450</v>
      </c>
    </row>
    <row r="6" spans="1:3" x14ac:dyDescent="0.2">
      <c r="A6" s="44" t="s">
        <v>610</v>
      </c>
      <c r="B6">
        <v>70</v>
      </c>
      <c r="C6">
        <v>1000</v>
      </c>
    </row>
    <row r="7" spans="1:3" x14ac:dyDescent="0.2">
      <c r="A7" s="44" t="s">
        <v>611</v>
      </c>
      <c r="B7">
        <v>200</v>
      </c>
      <c r="C7">
        <v>1850</v>
      </c>
    </row>
    <row r="8" spans="1:3" x14ac:dyDescent="0.2">
      <c r="A8" s="44" t="s">
        <v>609</v>
      </c>
      <c r="B8">
        <v>700</v>
      </c>
      <c r="C8">
        <v>2200</v>
      </c>
    </row>
    <row r="9" spans="1:3" x14ac:dyDescent="0.2">
      <c r="A9" s="44" t="s">
        <v>612</v>
      </c>
      <c r="B9">
        <v>700</v>
      </c>
      <c r="C9">
        <v>2200</v>
      </c>
    </row>
  </sheetData>
  <sheetProtection algorithmName="SHA-512" hashValue="0N5AyaVPxKJxDz6cMljDM1IbSfMrM3y26efc7Sw/P0u5PMVRGs/I0H3niV450hl3exp1TXTRgh0IH16b9MlJPA==" saltValue="uelJXYx3fvyyI68hZzlIO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00" t="s">
        <v>140</v>
      </c>
      <c r="E1" s="600"/>
      <c r="F1" s="600"/>
      <c r="G1" s="600"/>
      <c r="H1" s="600"/>
      <c r="I1" s="600"/>
      <c r="J1" s="600"/>
      <c r="K1" s="600"/>
      <c r="L1" s="600"/>
      <c r="M1" s="600"/>
    </row>
    <row r="2" spans="1:18" ht="23.25" customHeight="1" x14ac:dyDescent="0.3">
      <c r="C2" s="358"/>
      <c r="D2" s="358" t="s">
        <v>356</v>
      </c>
      <c r="E2" s="358"/>
      <c r="F2" s="358"/>
      <c r="G2" s="358"/>
      <c r="H2" s="358"/>
      <c r="I2" s="358"/>
      <c r="J2" s="358"/>
      <c r="K2" s="358"/>
      <c r="L2" s="358"/>
      <c r="M2" s="358"/>
    </row>
    <row r="3" spans="1:18" ht="23.25" x14ac:dyDescent="0.35">
      <c r="C3" s="601"/>
      <c r="D3" s="601"/>
      <c r="E3" s="601"/>
      <c r="F3" s="601"/>
      <c r="G3" s="601"/>
      <c r="H3" s="601"/>
      <c r="I3" s="601"/>
      <c r="J3" s="601"/>
      <c r="K3" s="601"/>
      <c r="L3" s="601"/>
      <c r="M3" s="601"/>
    </row>
    <row r="4" spans="1:18" ht="23.25" x14ac:dyDescent="0.35">
      <c r="C4" s="342"/>
      <c r="D4" s="342"/>
      <c r="E4" s="342"/>
      <c r="F4" s="342"/>
      <c r="G4" s="342"/>
      <c r="H4" s="342"/>
      <c r="I4" s="342"/>
      <c r="J4" s="342"/>
      <c r="K4" s="342"/>
      <c r="L4" s="342"/>
      <c r="M4" s="342"/>
    </row>
    <row r="5" spans="1:18" ht="23.25" x14ac:dyDescent="0.35">
      <c r="C5" s="618" t="s">
        <v>18</v>
      </c>
      <c r="D5" s="618"/>
      <c r="E5" s="618"/>
      <c r="F5" s="618"/>
      <c r="G5" s="618"/>
      <c r="H5" s="618"/>
      <c r="I5" s="618"/>
      <c r="J5" s="618"/>
      <c r="K5" s="618"/>
      <c r="L5" s="618"/>
      <c r="M5" s="618"/>
    </row>
    <row r="6" spans="1:18" ht="23.25" x14ac:dyDescent="0.35">
      <c r="C6" s="343"/>
      <c r="D6" s="343"/>
      <c r="E6" s="584" t="str">
        <f>IF(Main!K14="","",CONCATENATE("Report Number: ", WorkItemNumber))</f>
        <v/>
      </c>
      <c r="F6" s="584"/>
      <c r="G6" s="584"/>
      <c r="H6" s="584"/>
      <c r="I6" s="584"/>
      <c r="J6" s="584"/>
      <c r="K6" s="584"/>
      <c r="L6" s="343"/>
      <c r="M6" s="343"/>
    </row>
    <row r="7" spans="1:18" ht="18.75" customHeight="1" x14ac:dyDescent="0.3">
      <c r="G7" s="596"/>
      <c r="H7" s="596"/>
      <c r="I7" s="316"/>
      <c r="R7" t="str">
        <f>CONCATENATE("Page ",Main!L9," of ",Main!L10)</f>
        <v xml:space="preserve">Page  of </v>
      </c>
    </row>
    <row r="8" spans="1:18" ht="18" customHeight="1" x14ac:dyDescent="0.25">
      <c r="G8" s="613"/>
      <c r="H8" s="613"/>
      <c r="J8" s="106"/>
      <c r="K8" s="344" t="s">
        <v>353</v>
      </c>
      <c r="L8" s="597" t="str">
        <f>FormNumber</f>
        <v>40100 Revision C 12-26-19</v>
      </c>
      <c r="M8" s="597"/>
      <c r="N8" s="597"/>
      <c r="O8" s="597"/>
    </row>
    <row r="9" spans="1:18" ht="18" customHeight="1" x14ac:dyDescent="0.25">
      <c r="A9" s="344" t="s">
        <v>309</v>
      </c>
      <c r="B9" s="38" t="e">
        <f>Main!D5</f>
        <v>#REF!</v>
      </c>
      <c r="J9" s="106"/>
      <c r="K9" s="344" t="s">
        <v>354</v>
      </c>
      <c r="L9" s="598" t="str">
        <f>CalMethod</f>
        <v>JGI WP4100, AMS 2750H</v>
      </c>
      <c r="M9" s="598"/>
      <c r="N9" s="598"/>
      <c r="O9" s="598"/>
    </row>
    <row r="10" spans="1:18" ht="18" customHeight="1" x14ac:dyDescent="0.25">
      <c r="A10" s="118"/>
      <c r="B10" s="339" t="e">
        <f>_xlfn.XLOOKUP(clientCompanyId,customers_table[company_id],customers_table[Address1])</f>
        <v>#REF!</v>
      </c>
      <c r="J10" s="106"/>
      <c r="K10" s="344"/>
      <c r="L10" s="598"/>
      <c r="M10" s="598"/>
      <c r="N10" s="598"/>
      <c r="O10" s="598"/>
    </row>
    <row r="11" spans="1:18" ht="18" customHeight="1" x14ac:dyDescent="0.25">
      <c r="A11" s="118"/>
      <c r="B11" s="339" t="e">
        <f>_xlfn.XLOOKUP(clientCompanyId,customers_table[company_id],customers_table[Merged])</f>
        <v>#REF!</v>
      </c>
      <c r="J11" s="106"/>
      <c r="K11" s="344" t="s">
        <v>355</v>
      </c>
      <c r="L11" s="597" t="str">
        <f>TolSource</f>
        <v>Customer</v>
      </c>
      <c r="M11" s="597"/>
      <c r="N11" s="597"/>
      <c r="O11" s="597"/>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310</v>
      </c>
      <c r="B14" s="346" t="str">
        <f>Item</f>
        <v>HOT FORM PRESS</v>
      </c>
      <c r="C14" s="347"/>
      <c r="D14" s="347"/>
      <c r="E14" s="347"/>
      <c r="F14" s="321"/>
      <c r="G14" s="335" t="s">
        <v>315</v>
      </c>
      <c r="H14" s="346" t="str">
        <f>Range</f>
        <v>1400°F/1675°F</v>
      </c>
      <c r="I14" s="321"/>
      <c r="J14" s="321"/>
      <c r="K14" s="321"/>
      <c r="L14" s="321"/>
      <c r="M14" s="335" t="s">
        <v>320</v>
      </c>
      <c r="N14" s="346" t="str">
        <f>Main!D7</f>
        <v>Jeff Hall</v>
      </c>
      <c r="O14" s="322"/>
    </row>
    <row r="15" spans="1:18" ht="18" customHeight="1" x14ac:dyDescent="0.25">
      <c r="A15" s="350" t="s">
        <v>311</v>
      </c>
      <c r="B15" s="348" t="str">
        <f>ModelNumber</f>
        <v>DAKE 927-556</v>
      </c>
      <c r="C15" s="339"/>
      <c r="D15" s="339"/>
      <c r="E15" s="339"/>
      <c r="G15" s="344" t="s">
        <v>316</v>
      </c>
      <c r="H15" s="348" t="str">
        <f>Tolerance</f>
        <v>±25°F</v>
      </c>
      <c r="M15" s="344" t="s">
        <v>321</v>
      </c>
      <c r="N15" s="352">
        <f>Main!D3</f>
        <v>0</v>
      </c>
      <c r="O15" s="323"/>
    </row>
    <row r="16" spans="1:18" ht="18" customHeight="1" x14ac:dyDescent="0.25">
      <c r="A16" s="350" t="s">
        <v>312</v>
      </c>
      <c r="B16" s="615">
        <f>SerialNumber</f>
        <v>159874</v>
      </c>
      <c r="C16" s="615"/>
      <c r="D16" s="615"/>
      <c r="E16" s="615"/>
      <c r="G16" s="344" t="s">
        <v>317</v>
      </c>
      <c r="H16" s="348" t="str">
        <f>HeatingMethod</f>
        <v>ELECTRIC</v>
      </c>
      <c r="M16" s="344" t="s">
        <v>322</v>
      </c>
      <c r="N16" s="352">
        <f>IF(CalInterval="N/A", "N/A", EDATE(N15, CHOOSE(MATCH(CalInterval, {"M","2 Mo","Q","4 Mo","6 Mo","A","2Yr","3Yr"}, 0), 1, 2, 3, 4, 6, 12, 24, 36)))</f>
        <v>182</v>
      </c>
      <c r="O16" s="323"/>
    </row>
    <row r="17" spans="1:19" ht="18" customHeight="1" x14ac:dyDescent="0.25">
      <c r="A17" s="350" t="s">
        <v>313</v>
      </c>
      <c r="B17" s="399" t="str">
        <f>UnitNumber</f>
        <v>VAC-584</v>
      </c>
      <c r="C17" s="339"/>
      <c r="D17" s="339"/>
      <c r="E17" s="339"/>
      <c r="G17" s="344" t="s">
        <v>318</v>
      </c>
      <c r="H17" s="348" t="str">
        <f>WorkingZoneSize</f>
        <v>See Drawing</v>
      </c>
      <c r="M17" s="344" t="str">
        <f>IF(Main!K13="","","PO:")</f>
        <v/>
      </c>
      <c r="N17" s="348" t="str">
        <f>IF(Main!K13="","",Main!K13)</f>
        <v/>
      </c>
      <c r="O17" s="323"/>
    </row>
    <row r="18" spans="1:19" ht="18" customHeight="1" x14ac:dyDescent="0.25">
      <c r="A18" s="350" t="s">
        <v>314</v>
      </c>
      <c r="B18" s="604" t="str">
        <f>Class</f>
        <v>UNASSIGNED</v>
      </c>
      <c r="C18" s="604"/>
      <c r="D18" s="604"/>
      <c r="E18" s="604"/>
      <c r="G18" s="344" t="s">
        <v>319</v>
      </c>
      <c r="H18" s="348">
        <f>CubicFeet</f>
        <v>0</v>
      </c>
      <c r="M18" s="344" t="s">
        <v>323</v>
      </c>
      <c r="N18" s="348" t="str">
        <f>Main!G18</f>
        <v>ACCEPTED</v>
      </c>
      <c r="O18" s="323"/>
    </row>
    <row r="19" spans="1:19" ht="18" customHeight="1" x14ac:dyDescent="0.25">
      <c r="A19" s="334"/>
      <c r="B19" s="605"/>
      <c r="C19" s="605"/>
      <c r="D19" s="605"/>
      <c r="E19" s="605"/>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324</v>
      </c>
      <c r="B21" s="616" t="str">
        <f>Controller</f>
        <v>EUROTHERM 3216</v>
      </c>
      <c r="C21" s="616"/>
      <c r="D21" s="616"/>
      <c r="E21" s="616"/>
      <c r="F21" s="335" t="s">
        <v>326</v>
      </c>
      <c r="G21" s="616" t="str">
        <f>ContSN</f>
        <v>VAC-644</v>
      </c>
      <c r="H21" s="616"/>
      <c r="I21" s="616"/>
      <c r="J21" s="335" t="s">
        <v>327</v>
      </c>
      <c r="K21" s="347" t="str">
        <f>ContTol</f>
        <v>±5°F</v>
      </c>
      <c r="L21" s="321"/>
      <c r="M21" s="335" t="s">
        <v>328</v>
      </c>
      <c r="N21" s="360">
        <f>Main!G27</f>
        <v>0</v>
      </c>
      <c r="O21" s="322"/>
    </row>
    <row r="22" spans="1:19" ht="18" customHeight="1" x14ac:dyDescent="0.25">
      <c r="A22" s="353" t="s">
        <v>325</v>
      </c>
      <c r="B22" s="617">
        <f>_xlnm.Recorder</f>
        <v>0</v>
      </c>
      <c r="C22" s="617"/>
      <c r="D22" s="617"/>
      <c r="E22" s="617"/>
      <c r="F22" s="336" t="s">
        <v>326</v>
      </c>
      <c r="G22" s="617">
        <f>RecSN</f>
        <v>0</v>
      </c>
      <c r="H22" s="617"/>
      <c r="I22" s="617"/>
      <c r="J22" s="336" t="s">
        <v>327</v>
      </c>
      <c r="K22" s="359">
        <f>RecTol</f>
        <v>0</v>
      </c>
      <c r="L22" s="324"/>
      <c r="M22" s="336" t="s">
        <v>328</v>
      </c>
      <c r="N22" s="361">
        <f>Main!G28</f>
        <v>0</v>
      </c>
      <c r="O22" s="325"/>
    </row>
    <row r="23" spans="1:19" ht="8.1" customHeight="1" x14ac:dyDescent="0.25">
      <c r="A23" s="106"/>
      <c r="B23" s="339"/>
      <c r="C23" s="339"/>
      <c r="D23" s="339"/>
      <c r="E23" s="328"/>
    </row>
    <row r="24" spans="1:19" ht="18" customHeight="1" x14ac:dyDescent="0.25">
      <c r="A24" s="349" t="s">
        <v>329</v>
      </c>
      <c r="B24" s="355">
        <f>Temperature</f>
        <v>0</v>
      </c>
      <c r="C24" s="347"/>
      <c r="D24" s="347"/>
      <c r="E24" s="329"/>
      <c r="F24" s="321"/>
      <c r="G24" s="335" t="s">
        <v>332</v>
      </c>
      <c r="H24" s="337">
        <f>Main!D26</f>
        <v>0</v>
      </c>
      <c r="I24" s="321"/>
      <c r="J24" s="321"/>
      <c r="K24" s="321"/>
      <c r="L24" s="333"/>
      <c r="M24" s="335" t="s">
        <v>336</v>
      </c>
      <c r="N24" s="347" t="str">
        <f ca="1">TEXT(Access_Data!D33,"0.0") &amp; "°F / " &amp; TEXT(Access_Data!H33,"0.0") &amp; "°F"</f>
        <v>0.0°F / 0.0°F</v>
      </c>
      <c r="O24" s="322"/>
    </row>
    <row r="25" spans="1:19" ht="18" customHeight="1" x14ac:dyDescent="0.25">
      <c r="A25" s="350" t="s">
        <v>330</v>
      </c>
      <c r="B25" s="356">
        <f>Main!D15</f>
        <v>0</v>
      </c>
      <c r="C25" s="339"/>
      <c r="D25" s="339"/>
      <c r="E25" s="328"/>
      <c r="G25" s="344" t="s">
        <v>333</v>
      </c>
      <c r="H25" s="338" t="e">
        <f>Main!E29</f>
        <v>#VALUE!</v>
      </c>
      <c r="L25" s="106"/>
      <c r="M25" s="344" t="s">
        <v>337</v>
      </c>
      <c r="N25" s="339" t="str">
        <f>IF(Main!H15=TRUE,Main!G17,"VERIFY LOAD!!!")</f>
        <v>Empty</v>
      </c>
      <c r="O25" s="323"/>
      <c r="R25" s="175"/>
      <c r="S25" s="100"/>
    </row>
    <row r="26" spans="1:19" ht="18" customHeight="1" x14ac:dyDescent="0.25">
      <c r="A26" s="350" t="s">
        <v>331</v>
      </c>
      <c r="B26" s="339" t="s">
        <v>301</v>
      </c>
      <c r="C26" s="339"/>
      <c r="D26" s="339"/>
      <c r="E26" s="328"/>
      <c r="G26" s="344" t="s">
        <v>334</v>
      </c>
      <c r="H26" s="339" t="str">
        <f>Main!I19</f>
        <v>N/A</v>
      </c>
      <c r="L26" s="106"/>
      <c r="M26" s="344" t="s">
        <v>335</v>
      </c>
      <c r="N26" s="339" t="e">
        <f ca="1">TEXT(Access_Data!K33,"0.0") &amp; "°F"</f>
        <v>#VALUE!</v>
      </c>
      <c r="O26" s="323"/>
    </row>
    <row r="27" spans="1:19" ht="18" customHeight="1" x14ac:dyDescent="0.2">
      <c r="A27" s="354"/>
      <c r="B27" s="324"/>
      <c r="C27" s="614" t="s">
        <v>338</v>
      </c>
      <c r="D27" s="614"/>
      <c r="E27" s="614"/>
      <c r="F27" s="614"/>
      <c r="G27" s="614"/>
      <c r="H27" s="614"/>
      <c r="I27" s="614"/>
      <c r="J27" s="614"/>
      <c r="K27" s="614"/>
      <c r="L27" s="614"/>
      <c r="M27" s="614"/>
      <c r="N27" s="324"/>
      <c r="O27" s="325"/>
    </row>
    <row r="28" spans="1:19" ht="8.1" customHeight="1" x14ac:dyDescent="0.2"/>
    <row r="29" spans="1:19" ht="18" customHeight="1" x14ac:dyDescent="0.2">
      <c r="A29" s="610" t="s">
        <v>307</v>
      </c>
      <c r="B29" s="611"/>
      <c r="C29" s="612"/>
      <c r="D29" s="610" t="s">
        <v>339</v>
      </c>
      <c r="E29" s="611"/>
      <c r="F29" s="611"/>
      <c r="G29" s="612"/>
      <c r="H29" s="610" t="s">
        <v>308</v>
      </c>
      <c r="I29" s="611"/>
      <c r="J29" s="611"/>
      <c r="K29" s="612"/>
      <c r="L29" s="610" t="s">
        <v>289</v>
      </c>
      <c r="M29" s="611"/>
      <c r="N29" s="611"/>
      <c r="O29" s="612"/>
    </row>
    <row r="30" spans="1:19" ht="18" customHeight="1" x14ac:dyDescent="0.2">
      <c r="A30" s="340"/>
      <c r="B30" s="330" t="str">
        <f>TestLocation</f>
        <v>On-Site</v>
      </c>
      <c r="C30" s="341"/>
      <c r="D30" s="607" t="str">
        <f>CONCATENATE(Main!D22,"°F"," / ",Main!D23,"% RH")</f>
        <v>°F / % RH</v>
      </c>
      <c r="E30" s="608"/>
      <c r="F30" s="608"/>
      <c r="G30" s="609"/>
      <c r="H30" s="607" t="str">
        <f>OvenLocation</f>
        <v>PRODUCTION - Tested on Site</v>
      </c>
      <c r="I30" s="608"/>
      <c r="J30" s="608"/>
      <c r="K30" s="609"/>
      <c r="L30" s="607" t="str">
        <f>Condition</f>
        <v>Used</v>
      </c>
      <c r="M30" s="608"/>
      <c r="N30" s="608"/>
      <c r="O30" s="609"/>
    </row>
    <row r="31" spans="1:19" ht="18" customHeight="1" x14ac:dyDescent="0.2"/>
    <row r="32" spans="1:19" ht="18" customHeight="1" x14ac:dyDescent="0.25">
      <c r="A32" s="363" t="s">
        <v>340</v>
      </c>
      <c r="B32" s="599" t="s">
        <v>341</v>
      </c>
      <c r="C32" s="599"/>
      <c r="D32" s="363" t="s">
        <v>303</v>
      </c>
      <c r="E32" s="363" t="s">
        <v>302</v>
      </c>
      <c r="F32" s="363" t="s">
        <v>342</v>
      </c>
      <c r="G32" s="106"/>
      <c r="H32" s="106"/>
      <c r="I32" s="363" t="s">
        <v>340</v>
      </c>
      <c r="J32" s="599" t="s">
        <v>341</v>
      </c>
      <c r="K32" s="599"/>
      <c r="L32" s="363" t="s">
        <v>303</v>
      </c>
      <c r="M32" s="363" t="s">
        <v>302</v>
      </c>
      <c r="N32" s="363" t="s">
        <v>342</v>
      </c>
    </row>
    <row r="33" spans="1:14" ht="18" customHeight="1" x14ac:dyDescent="0.2">
      <c r="A33" s="364" t="str">
        <f>IF(B33="","",1)</f>
        <v/>
      </c>
      <c r="B33" s="596" t="str">
        <f>IF(Main!O5="","",Main!O5)</f>
        <v/>
      </c>
      <c r="C33" s="596"/>
      <c r="D33" s="365" t="str">
        <f ca="1">IF(Access_Data!B27="","",Access_Data!B27)</f>
        <v/>
      </c>
      <c r="E33" s="365" t="str">
        <f ca="1">IF(Access_Data!B29="","",Access_Data!B29)</f>
        <v/>
      </c>
      <c r="F33" s="365" t="str">
        <f ca="1">IF(Access_Data!B31="","",Access_Data!B31)</f>
        <v/>
      </c>
      <c r="G33" s="106"/>
      <c r="H33" s="106"/>
      <c r="I33" s="364" t="str">
        <f>IF(J33="","",21)</f>
        <v/>
      </c>
      <c r="J33" s="596" t="str">
        <f>IF(Main!O25="","",Main!O25)</f>
        <v/>
      </c>
      <c r="K33" s="596"/>
      <c r="L33" s="365" t="str">
        <f ca="1">IF(Access_Data!AB27="","",Access_Data!AB27)</f>
        <v/>
      </c>
      <c r="M33" s="365" t="str">
        <f ca="1">IF(Access_Data!AB29="","",Access_Data!AB29)</f>
        <v/>
      </c>
      <c r="N33" s="365" t="str">
        <f ca="1">IF(Access_Data!AB31="","",Access_Data!AB31)</f>
        <v/>
      </c>
    </row>
    <row r="34" spans="1:14" ht="18" customHeight="1" x14ac:dyDescent="0.2">
      <c r="A34" s="364" t="str">
        <f>IF(B34="","",2)</f>
        <v/>
      </c>
      <c r="B34" s="596" t="str">
        <f>IF(Main!O6="","",Main!O6)</f>
        <v/>
      </c>
      <c r="C34" s="596"/>
      <c r="D34" s="365" t="str">
        <f ca="1">IF(Access_Data!C27="","",Access_Data!C27)</f>
        <v/>
      </c>
      <c r="E34" s="365" t="str">
        <f ca="1">IF(Access_Data!C29="","",Access_Data!C29)</f>
        <v/>
      </c>
      <c r="F34" s="365" t="str">
        <f ca="1">IF(Access_Data!C31="","",Access_Data!C31)</f>
        <v/>
      </c>
      <c r="G34" s="106"/>
      <c r="H34" s="106"/>
      <c r="I34" s="364" t="str">
        <f>IF(J34="","",22)</f>
        <v/>
      </c>
      <c r="J34" s="596" t="str">
        <f>IF(Main!O26="","",Main!O26)</f>
        <v/>
      </c>
      <c r="K34" s="596"/>
      <c r="L34" s="365" t="str">
        <f ca="1">IF(Access_Data!AC27="","",Access_Data!AC27)</f>
        <v/>
      </c>
      <c r="M34" s="365" t="str">
        <f ca="1">IF(Access_Data!AC29="","",Access_Data!AC29)</f>
        <v/>
      </c>
      <c r="N34" s="365" t="str">
        <f ca="1">IF(Access_Data!AC31="","",Access_Data!AC31)</f>
        <v/>
      </c>
    </row>
    <row r="35" spans="1:14" ht="18" customHeight="1" x14ac:dyDescent="0.2">
      <c r="A35" s="364" t="str">
        <f>IF(B35="","",3)</f>
        <v/>
      </c>
      <c r="B35" s="596" t="str">
        <f>IF(Main!O7="","",Main!O7)</f>
        <v/>
      </c>
      <c r="C35" s="596"/>
      <c r="D35" s="365" t="str">
        <f ca="1">IF(Access_Data!D27="","",Access_Data!D27)</f>
        <v/>
      </c>
      <c r="E35" s="365" t="str">
        <f ca="1">IF(Access_Data!D29="","",Access_Data!D29)</f>
        <v/>
      </c>
      <c r="F35" s="365" t="str">
        <f ca="1">IF(Access_Data!D31="","",Access_Data!D31)</f>
        <v/>
      </c>
      <c r="G35" s="106"/>
      <c r="H35" s="106"/>
      <c r="I35" s="364" t="str">
        <f>IF(J35="","",23)</f>
        <v/>
      </c>
      <c r="J35" s="596" t="str">
        <f>IF(Main!O27="","",Main!O27)</f>
        <v/>
      </c>
      <c r="K35" s="596"/>
      <c r="L35" s="365" t="str">
        <f ca="1">IF(Access_Data!AD27="","",Access_Data!AD27)</f>
        <v/>
      </c>
      <c r="M35" s="365" t="str">
        <f ca="1">IF(Access_Data!AD29="","",Access_Data!AD29)</f>
        <v/>
      </c>
      <c r="N35" s="365" t="str">
        <f ca="1">IF(Access_Data!AD31="","",Access_Data!AD31)</f>
        <v/>
      </c>
    </row>
    <row r="36" spans="1:14" ht="18" customHeight="1" x14ac:dyDescent="0.2">
      <c r="A36" s="364" t="str">
        <f>IF(B36="","",4)</f>
        <v/>
      </c>
      <c r="B36" s="596" t="str">
        <f>IF(Main!O8="","",Main!O8)</f>
        <v/>
      </c>
      <c r="C36" s="596"/>
      <c r="D36" s="365" t="str">
        <f ca="1">IF(Access_Data!E27="","",Access_Data!E27)</f>
        <v/>
      </c>
      <c r="E36" s="365" t="str">
        <f ca="1">IF(Access_Data!E29="","",Access_Data!E29)</f>
        <v/>
      </c>
      <c r="F36" s="365" t="str">
        <f ca="1">IF(Access_Data!E31="","",Access_Data!E31)</f>
        <v/>
      </c>
      <c r="G36" s="106"/>
      <c r="H36" s="106"/>
      <c r="I36" s="364" t="str">
        <f>IF(J36="","",24)</f>
        <v/>
      </c>
      <c r="J36" s="596" t="str">
        <f>IF(Main!O28="","",Main!O28)</f>
        <v/>
      </c>
      <c r="K36" s="596"/>
      <c r="L36" s="365" t="str">
        <f ca="1">IF(Access_Data!AE27="","",Access_Data!AE27)</f>
        <v/>
      </c>
      <c r="M36" s="365" t="str">
        <f ca="1">IF(Access_Data!AE29="","",Access_Data!AE29)</f>
        <v/>
      </c>
      <c r="N36" s="365" t="str">
        <f ca="1">IF(Access_Data!AE31="","",Access_Data!AE31)</f>
        <v/>
      </c>
    </row>
    <row r="37" spans="1:14" ht="18" customHeight="1" x14ac:dyDescent="0.2">
      <c r="A37" s="364" t="str">
        <f>IF(B37="","",5)</f>
        <v/>
      </c>
      <c r="B37" s="596" t="str">
        <f>IF(Main!O9="","",Main!O9)</f>
        <v/>
      </c>
      <c r="C37" s="596"/>
      <c r="D37" s="365" t="str">
        <f ca="1">IF(Access_Data!F27="","",Access_Data!F27)</f>
        <v/>
      </c>
      <c r="E37" s="365" t="str">
        <f ca="1">IF(Access_Data!F29="","",Access_Data!F29)</f>
        <v/>
      </c>
      <c r="F37" s="365" t="str">
        <f ca="1">IF(Access_Data!F31="","",Access_Data!F31)</f>
        <v/>
      </c>
      <c r="G37" s="106"/>
      <c r="H37" s="106"/>
      <c r="I37" s="364" t="str">
        <f>IF(J37="","",25)</f>
        <v/>
      </c>
      <c r="J37" s="596" t="str">
        <f>IF(Main!O29="","",Main!O29)</f>
        <v/>
      </c>
      <c r="K37" s="596"/>
      <c r="L37" s="365" t="str">
        <f ca="1">IF(Access_Data!AF27="","",Access_Data!AF27)</f>
        <v/>
      </c>
      <c r="M37" s="365" t="str">
        <f ca="1">IF(Access_Data!AF29="","",Access_Data!AF29)</f>
        <v/>
      </c>
      <c r="N37" s="365" t="str">
        <f ca="1">IF(Access_Data!AF31="","",Access_Data!AF31)</f>
        <v/>
      </c>
    </row>
    <row r="38" spans="1:14" ht="18" customHeight="1" x14ac:dyDescent="0.2">
      <c r="A38" s="364" t="str">
        <f>IF(B38="","",6)</f>
        <v/>
      </c>
      <c r="B38" s="596" t="str">
        <f>IF(Main!O10="","",Main!O10)</f>
        <v/>
      </c>
      <c r="C38" s="596"/>
      <c r="D38" s="365" t="str">
        <f ca="1">IF(Access_Data!G27="","",Access_Data!G27)</f>
        <v/>
      </c>
      <c r="E38" s="365" t="str">
        <f ca="1">IF(Access_Data!G29="","",Access_Data!G29)</f>
        <v/>
      </c>
      <c r="F38" s="365" t="str">
        <f ca="1">IF(Access_Data!G31="","",Access_Data!G31)</f>
        <v/>
      </c>
      <c r="G38" s="106"/>
      <c r="H38" s="106"/>
      <c r="I38" s="364" t="str">
        <f>IF(J38="","",26)</f>
        <v/>
      </c>
      <c r="J38" s="596" t="str">
        <f>IF(Main!O30="","",Main!O30)</f>
        <v/>
      </c>
      <c r="K38" s="596"/>
      <c r="L38" s="365" t="str">
        <f ca="1">IF(Access_Data!AG27="","",Access_Data!AG27)</f>
        <v/>
      </c>
      <c r="M38" s="365" t="str">
        <f ca="1">IF(Access_Data!AG29="","",Access_Data!AG29)</f>
        <v/>
      </c>
      <c r="N38" s="365" t="str">
        <f ca="1">IF(Access_Data!AG31="","",Access_Data!AG31)</f>
        <v/>
      </c>
    </row>
    <row r="39" spans="1:14" ht="18" customHeight="1" x14ac:dyDescent="0.2">
      <c r="A39" s="364" t="str">
        <f>IF(B39="","",7)</f>
        <v/>
      </c>
      <c r="B39" s="596" t="str">
        <f>IF(Main!O11="","",Main!O11)</f>
        <v/>
      </c>
      <c r="C39" s="596"/>
      <c r="D39" s="365" t="str">
        <f ca="1">IF(Access_Data!H27="","",Access_Data!H27)</f>
        <v/>
      </c>
      <c r="E39" s="365" t="str">
        <f ca="1">IF(Access_Data!H29="","",Access_Data!H29)</f>
        <v/>
      </c>
      <c r="F39" s="365" t="str">
        <f ca="1">IF(Access_Data!H31="","",Access_Data!H31)</f>
        <v/>
      </c>
      <c r="G39" s="106"/>
      <c r="H39" s="106"/>
      <c r="I39" s="364" t="str">
        <f>IF(J39="","",27)</f>
        <v/>
      </c>
      <c r="J39" s="596" t="str">
        <f>IF(Main!O31="","",Main!O31)</f>
        <v/>
      </c>
      <c r="K39" s="596"/>
      <c r="L39" s="365" t="str">
        <f ca="1">IF(Access_Data!AH27="","",Access_Data!AH27)</f>
        <v/>
      </c>
      <c r="M39" s="365" t="str">
        <f ca="1">IF(Access_Data!AH29="","",Access_Data!AH29)</f>
        <v/>
      </c>
      <c r="N39" s="365" t="str">
        <f ca="1">IF(Access_Data!AH31="","",Access_Data!AH31)</f>
        <v/>
      </c>
    </row>
    <row r="40" spans="1:14" ht="18" customHeight="1" x14ac:dyDescent="0.2">
      <c r="A40" s="364" t="str">
        <f>IF(B40="","",8)</f>
        <v/>
      </c>
      <c r="B40" s="596" t="str">
        <f>IF(Main!O12="","",Main!O12)</f>
        <v/>
      </c>
      <c r="C40" s="596"/>
      <c r="D40" s="365" t="str">
        <f ca="1">IF(Access_Data!I27="","",Access_Data!I27)</f>
        <v/>
      </c>
      <c r="E40" s="365" t="str">
        <f ca="1">IF(Access_Data!I29="","",Access_Data!I29)</f>
        <v/>
      </c>
      <c r="F40" s="365" t="str">
        <f ca="1">IF(Access_Data!I31="","",Access_Data!I31)</f>
        <v/>
      </c>
      <c r="G40" s="106"/>
      <c r="H40" s="106"/>
      <c r="I40" s="364" t="str">
        <f>IF(J40="","",28)</f>
        <v/>
      </c>
      <c r="J40" s="596" t="str">
        <f>IF(Main!O32="","",Main!O32)</f>
        <v/>
      </c>
      <c r="K40" s="596"/>
      <c r="L40" s="365" t="str">
        <f ca="1">IF(Access_Data!AI27="","",Access_Data!AI27)</f>
        <v/>
      </c>
      <c r="M40" s="365" t="str">
        <f ca="1">IF(Access_Data!AI29="","",Access_Data!AI29)</f>
        <v/>
      </c>
      <c r="N40" s="365" t="str">
        <f ca="1">IF(Access_Data!AI31="","",Access_Data!AI31)</f>
        <v/>
      </c>
    </row>
    <row r="41" spans="1:14" ht="18" customHeight="1" x14ac:dyDescent="0.2">
      <c r="A41" s="364" t="str">
        <f>IF(B41="","",9)</f>
        <v/>
      </c>
      <c r="B41" s="596" t="str">
        <f>IF(Main!O13="","",Main!O13)</f>
        <v/>
      </c>
      <c r="C41" s="596"/>
      <c r="D41" s="365" t="str">
        <f ca="1">IF(Access_Data!J27="","",Access_Data!J27)</f>
        <v/>
      </c>
      <c r="E41" s="365" t="str">
        <f ca="1">IF(Access_Data!J29="","",Access_Data!J29)</f>
        <v/>
      </c>
      <c r="F41" s="365" t="str">
        <f ca="1">IF(Access_Data!J31="","",Access_Data!J31)</f>
        <v/>
      </c>
      <c r="G41" s="106"/>
      <c r="H41" s="106"/>
      <c r="I41" s="364" t="str">
        <f>IF(J41="","",29)</f>
        <v/>
      </c>
      <c r="J41" s="596" t="str">
        <f>IF(Main!O33="","",Main!O33)</f>
        <v/>
      </c>
      <c r="K41" s="596"/>
      <c r="L41" s="365" t="str">
        <f ca="1">IF(Access_Data!AP27="","",Access_Data!AP27)</f>
        <v/>
      </c>
      <c r="M41" s="365" t="str">
        <f ca="1">IF(Access_Data!AP29="","",Access_Data!AP29)</f>
        <v/>
      </c>
      <c r="N41" s="365" t="str">
        <f ca="1">IF(Access_Data!AP31="","",Access_Data!AP31)</f>
        <v/>
      </c>
    </row>
    <row r="42" spans="1:14" ht="18" customHeight="1" x14ac:dyDescent="0.2">
      <c r="A42" s="364" t="str">
        <f>IF(B42="","",10)</f>
        <v/>
      </c>
      <c r="B42" s="596" t="str">
        <f>IF(Main!O14="","",Main!O14)</f>
        <v/>
      </c>
      <c r="C42" s="596"/>
      <c r="D42" s="365" t="str">
        <f ca="1">IF(Access_Data!K27="","",Access_Data!K27)</f>
        <v/>
      </c>
      <c r="E42" s="365" t="str">
        <f ca="1">IF(Access_Data!K29="","",Access_Data!K29)</f>
        <v/>
      </c>
      <c r="F42" s="365" t="str">
        <f ca="1">IF(Access_Data!K31="","",Access_Data!K31)</f>
        <v/>
      </c>
      <c r="G42" s="106"/>
      <c r="H42" s="106"/>
      <c r="I42" s="364" t="str">
        <f>IF(J42="","",30)</f>
        <v/>
      </c>
      <c r="J42" s="596" t="str">
        <f>IF(Main!O34="","",Main!O34)</f>
        <v/>
      </c>
      <c r="K42" s="596"/>
      <c r="L42" s="365" t="str">
        <f ca="1">IF(Access_Data!AQ27="","",Access_Data!AQ27)</f>
        <v/>
      </c>
      <c r="M42" s="365" t="str">
        <f ca="1">IF(Access_Data!AQ29="","",Access_Data!AQ29)</f>
        <v/>
      </c>
      <c r="N42" s="365">
        <f ca="1">IF(Access_Data!AQ31="","",Access_Data!AQ31)</f>
        <v>0</v>
      </c>
    </row>
    <row r="43" spans="1:14" ht="18" customHeight="1" x14ac:dyDescent="0.2">
      <c r="A43" s="364" t="str">
        <f>IF(B43="","",11)</f>
        <v/>
      </c>
      <c r="B43" s="596" t="str">
        <f>IF(Main!O15="","",Main!O15)</f>
        <v/>
      </c>
      <c r="C43" s="596"/>
      <c r="D43" s="365" t="str">
        <f ca="1">IF(Access_Data!L27="","",Access_Data!L27)</f>
        <v/>
      </c>
      <c r="E43" s="365" t="str">
        <f ca="1">IF(Access_Data!L29="","",Access_Data!L29)</f>
        <v/>
      </c>
      <c r="F43" s="365" t="str">
        <f ca="1">IF(Access_Data!L31="","",Access_Data!L31)</f>
        <v/>
      </c>
      <c r="G43" s="106"/>
      <c r="H43" s="106"/>
      <c r="I43" s="364" t="str">
        <f>IF(J43="","",31)</f>
        <v/>
      </c>
      <c r="J43" s="596" t="str">
        <f>IF(Main!O35="","",Main!O35)</f>
        <v/>
      </c>
      <c r="K43" s="596"/>
      <c r="L43" s="365" t="str">
        <f ca="1">IF(Access_Data!AR27="","",Access_Data!AR27)</f>
        <v/>
      </c>
      <c r="M43" s="365" t="str">
        <f ca="1">IF(Access_Data!AR29="","",Access_Data!AR29)</f>
        <v/>
      </c>
      <c r="N43" s="365">
        <f ca="1">IF(Access_Data!AR31="","",Access_Data!AR31)</f>
        <v>0</v>
      </c>
    </row>
    <row r="44" spans="1:14" ht="18" customHeight="1" x14ac:dyDescent="0.2">
      <c r="A44" s="364" t="str">
        <f>IF(B44="","",12)</f>
        <v/>
      </c>
      <c r="B44" s="596" t="str">
        <f>IF(Main!O16="","",Main!O16)</f>
        <v/>
      </c>
      <c r="C44" s="596"/>
      <c r="D44" s="365" t="str">
        <f ca="1">IF(Access_Data!M27="","",Access_Data!M27)</f>
        <v/>
      </c>
      <c r="E44" s="365" t="str">
        <f ca="1">IF(Access_Data!M29="","",Access_Data!M29)</f>
        <v/>
      </c>
      <c r="F44" s="365" t="str">
        <f ca="1">IF(Access_Data!M31="","",Access_Data!M31)</f>
        <v/>
      </c>
      <c r="G44" s="106"/>
      <c r="H44" s="106"/>
      <c r="I44" s="364" t="str">
        <f>IF(J44="","",32)</f>
        <v/>
      </c>
      <c r="J44" s="596" t="str">
        <f>IF(Main!O36="","",Main!O36)</f>
        <v/>
      </c>
      <c r="K44" s="596"/>
      <c r="L44" s="365" t="str">
        <f ca="1">IF(Access_Data!AS27="","",Access_Data!AS27)</f>
        <v/>
      </c>
      <c r="M44" s="365" t="str">
        <f ca="1">IF(Access_Data!AS29="","",Access_Data!AS29)</f>
        <v/>
      </c>
      <c r="N44" s="365">
        <f ca="1">IF(Access_Data!AS31="","",Access_Data!AS31)</f>
        <v>0</v>
      </c>
    </row>
    <row r="45" spans="1:14" ht="18" customHeight="1" x14ac:dyDescent="0.2">
      <c r="A45" s="364" t="str">
        <f>IF(B45="","",13)</f>
        <v/>
      </c>
      <c r="B45" s="596" t="str">
        <f>IF(Main!O17="","",Main!O17)</f>
        <v/>
      </c>
      <c r="C45" s="596"/>
      <c r="D45" s="365" t="str">
        <f ca="1">IF(Access_Data!N27="","",Access_Data!N27)</f>
        <v/>
      </c>
      <c r="E45" s="365" t="str">
        <f ca="1">IF(Access_Data!N29="","",Access_Data!N29)</f>
        <v/>
      </c>
      <c r="F45" s="365" t="str">
        <f ca="1">IF(Access_Data!N31="","",Access_Data!N31)</f>
        <v/>
      </c>
      <c r="G45" s="106"/>
      <c r="H45" s="106"/>
      <c r="I45" s="364" t="str">
        <f>IF(J45="","",33)</f>
        <v/>
      </c>
      <c r="J45" s="596" t="str">
        <f>IF(Main!O37="","",Main!O37)</f>
        <v/>
      </c>
      <c r="K45" s="596"/>
      <c r="L45" s="365" t="str">
        <f ca="1">IF(Access_Data!AT27="","",Access_Data!AT27)</f>
        <v/>
      </c>
      <c r="M45" s="365" t="str">
        <f ca="1">IF(Access_Data!AT29="","",Access_Data!AT29)</f>
        <v/>
      </c>
      <c r="N45" s="365">
        <f ca="1">IF(Access_Data!AT31="","",Access_Data!AT31)</f>
        <v>0</v>
      </c>
    </row>
    <row r="46" spans="1:14" ht="18" customHeight="1" x14ac:dyDescent="0.2">
      <c r="A46" s="364" t="str">
        <f>IF(B46="","",14)</f>
        <v/>
      </c>
      <c r="B46" s="596" t="str">
        <f>IF(Main!O18="","",Main!O18)</f>
        <v/>
      </c>
      <c r="C46" s="596"/>
      <c r="D46" s="365" t="str">
        <f ca="1">IF(Access_Data!O27="","",Access_Data!O27)</f>
        <v/>
      </c>
      <c r="E46" s="365" t="str">
        <f ca="1">IF(Access_Data!O29="","",Access_Data!O29)</f>
        <v/>
      </c>
      <c r="F46" s="365" t="str">
        <f ca="1">IF(Access_Data!O31="","",Access_Data!O31)</f>
        <v/>
      </c>
      <c r="G46" s="106"/>
      <c r="H46" s="106"/>
      <c r="I46" s="364" t="str">
        <f>IF(J46="","",34)</f>
        <v/>
      </c>
      <c r="J46" s="596" t="str">
        <f>IF(Main!O38="","",Main!O38)</f>
        <v/>
      </c>
      <c r="K46" s="596"/>
      <c r="L46" s="365" t="str">
        <f ca="1">IF(Access_Data!AU27="","",Access_Data!AU27)</f>
        <v/>
      </c>
      <c r="M46" s="365" t="str">
        <f ca="1">IF(Access_Data!AU29="","",Access_Data!AU29)</f>
        <v/>
      </c>
      <c r="N46" s="365">
        <f ca="1">IF(Access_Data!AU31="","",Access_Data!AU31)</f>
        <v>0</v>
      </c>
    </row>
    <row r="47" spans="1:14" ht="18" customHeight="1" x14ac:dyDescent="0.2">
      <c r="A47" s="364" t="str">
        <f>IF(B47="","",15)</f>
        <v/>
      </c>
      <c r="B47" s="596" t="str">
        <f>IF(Main!O19="","",Main!O19)</f>
        <v/>
      </c>
      <c r="C47" s="596"/>
      <c r="D47" s="365" t="str">
        <f ca="1">IF(Access_Data!V27="","",Access_Data!V27)</f>
        <v/>
      </c>
      <c r="E47" s="365" t="str">
        <f ca="1">IF(Access_Data!V29="","",Access_Data!V29)</f>
        <v/>
      </c>
      <c r="F47" s="365" t="str">
        <f ca="1">IF(Access_Data!V31="","",Access_Data!V31)</f>
        <v/>
      </c>
      <c r="G47" s="106"/>
      <c r="H47" s="106"/>
      <c r="I47" s="364" t="str">
        <f>IF(J47="","",35)</f>
        <v/>
      </c>
      <c r="J47" s="596" t="str">
        <f>IF(Main!O39="","",Main!O39)</f>
        <v/>
      </c>
      <c r="K47" s="596"/>
      <c r="L47" s="365" t="str">
        <f ca="1">IF(Access_Data!AV27="","",Access_Data!AV27)</f>
        <v/>
      </c>
      <c r="M47" s="365" t="str">
        <f ca="1">IF(Access_Data!AV29="","",Access_Data!AV29)</f>
        <v/>
      </c>
      <c r="N47" s="365">
        <f ca="1">IF(Access_Data!AV31="","",Access_Data!AV31)</f>
        <v>0</v>
      </c>
    </row>
    <row r="48" spans="1:14" ht="18" customHeight="1" x14ac:dyDescent="0.2">
      <c r="A48" s="364" t="str">
        <f>IF(B48="","",16)</f>
        <v/>
      </c>
      <c r="B48" s="596" t="str">
        <f>IF(Main!O20="","",Main!O20)</f>
        <v/>
      </c>
      <c r="C48" s="596"/>
      <c r="D48" s="365" t="str">
        <f ca="1">IF(Access_Data!W27="","",Access_Data!W27)</f>
        <v/>
      </c>
      <c r="E48" s="365" t="str">
        <f ca="1">IF(Access_Data!W29="","",Access_Data!W29)</f>
        <v/>
      </c>
      <c r="F48" s="365" t="str">
        <f ca="1">IF(Access_Data!W31="","",Access_Data!W31)</f>
        <v/>
      </c>
      <c r="G48" s="106"/>
      <c r="H48" s="106"/>
      <c r="I48" s="364" t="str">
        <f>IF(J48="","",36)</f>
        <v/>
      </c>
      <c r="J48" s="596" t="str">
        <f>IF(Main!O40="","",Main!O40)</f>
        <v/>
      </c>
      <c r="K48" s="596"/>
      <c r="L48" s="365" t="str">
        <f ca="1">IF(Access_Data!AW27="","",Access_Data!AW27)</f>
        <v/>
      </c>
      <c r="M48" s="365" t="str">
        <f ca="1">IF(Access_Data!AW29="","",Access_Data!AW29)</f>
        <v/>
      </c>
      <c r="N48" s="365">
        <f ca="1">IF(Access_Data!AW31="","",Access_Data!AW31)</f>
        <v>0</v>
      </c>
    </row>
    <row r="49" spans="1:20" ht="18" customHeight="1" x14ac:dyDescent="0.2">
      <c r="A49" s="364" t="str">
        <f>IF(B49="","",17)</f>
        <v/>
      </c>
      <c r="B49" s="596" t="str">
        <f>IF(Main!O21="","",Main!O21)</f>
        <v/>
      </c>
      <c r="C49" s="596"/>
      <c r="D49" s="365" t="str">
        <f ca="1">IF(Access_Data!X27="","",Access_Data!X27)</f>
        <v/>
      </c>
      <c r="E49" s="365" t="str">
        <f ca="1">IF(Access_Data!X29="","",Access_Data!X29)</f>
        <v/>
      </c>
      <c r="F49" s="365" t="str">
        <f ca="1">IF(Access_Data!X31="","",Access_Data!X31)</f>
        <v/>
      </c>
      <c r="G49" s="106"/>
      <c r="H49" s="106"/>
      <c r="I49" s="364" t="str">
        <f>IF(J49="","",37)</f>
        <v/>
      </c>
      <c r="J49" s="596" t="str">
        <f>IF(Main!O41="","",Main!O41)</f>
        <v/>
      </c>
      <c r="K49" s="596"/>
      <c r="L49" s="365" t="str">
        <f ca="1">IF(Access_Data!AX27="","",Access_Data!AX27)</f>
        <v/>
      </c>
      <c r="M49" s="365" t="str">
        <f ca="1">IF(Access_Data!AX29="","",Access_Data!AX29)</f>
        <v/>
      </c>
      <c r="N49" s="365">
        <f ca="1">IF(Access_Data!AX31="","",Access_Data!AX31)</f>
        <v>0</v>
      </c>
    </row>
    <row r="50" spans="1:20" ht="18" customHeight="1" x14ac:dyDescent="0.2">
      <c r="A50" s="364" t="str">
        <f>IF(B50="","",18)</f>
        <v/>
      </c>
      <c r="B50" s="596" t="str">
        <f>IF(Main!O22="","",Main!O22)</f>
        <v/>
      </c>
      <c r="C50" s="596"/>
      <c r="D50" s="365" t="str">
        <f ca="1">IF(Access_Data!Y27="","",Access_Data!Y27)</f>
        <v/>
      </c>
      <c r="E50" s="365" t="str">
        <f ca="1">IF(Access_Data!Y29="","",Access_Data!Y29)</f>
        <v/>
      </c>
      <c r="F50" s="365" t="str">
        <f ca="1">IF(Access_Data!Y31="","",Access_Data!Y31)</f>
        <v/>
      </c>
      <c r="G50" s="106"/>
      <c r="H50" s="106"/>
      <c r="I50" s="364" t="str">
        <f>IF(J50="","",38)</f>
        <v/>
      </c>
      <c r="J50" s="596" t="str">
        <f>IF(Main!O42="","",Main!O42)</f>
        <v/>
      </c>
      <c r="K50" s="596"/>
      <c r="L50" s="365" t="str">
        <f ca="1">IF(Access_Data!AY27="","",Access_Data!AY27)</f>
        <v/>
      </c>
      <c r="M50" s="365" t="str">
        <f ca="1">IF(Access_Data!AY29="","",Access_Data!AY29)</f>
        <v/>
      </c>
      <c r="N50" s="365">
        <f ca="1">IF(Access_Data!AY31="","",Access_Data!AY31)</f>
        <v>0</v>
      </c>
    </row>
    <row r="51" spans="1:20" ht="18" customHeight="1" x14ac:dyDescent="0.2">
      <c r="A51" s="364" t="str">
        <f>IF(B51="","",19)</f>
        <v/>
      </c>
      <c r="B51" s="596" t="str">
        <f>IF(Main!O23="","",Main!O23)</f>
        <v/>
      </c>
      <c r="C51" s="596"/>
      <c r="D51" s="365" t="str">
        <f ca="1">IF(Access_Data!Z27="","",Access_Data!X27)</f>
        <v/>
      </c>
      <c r="E51" s="365" t="str">
        <f ca="1">IF(Access_Data!Z29="","",Access_Data!Z29)</f>
        <v/>
      </c>
      <c r="F51" s="365" t="str">
        <f ca="1">IF(Access_Data!Z31="","",Access_Data!Z31)</f>
        <v/>
      </c>
      <c r="G51" s="106"/>
      <c r="H51" s="106"/>
      <c r="I51" s="364" t="str">
        <f>IF(J51="","",39)</f>
        <v/>
      </c>
      <c r="J51" s="596" t="str">
        <f>IF(Main!O43="","",Main!O43)</f>
        <v/>
      </c>
      <c r="K51" s="596"/>
      <c r="L51" s="365" t="str">
        <f ca="1">IF(Access_Data!AZ27="","",Access_Data!AZ27)</f>
        <v/>
      </c>
      <c r="M51" s="365" t="str">
        <f ca="1">IF(Access_Data!AZ29="","",Access_Data!AZ29)</f>
        <v/>
      </c>
      <c r="N51" s="365">
        <f ca="1">IF(Access_Data!AZ31="","",Access_Data!AZ31)</f>
        <v>0</v>
      </c>
    </row>
    <row r="52" spans="1:20" ht="18" customHeight="1" x14ac:dyDescent="0.2">
      <c r="A52" s="364" t="str">
        <f>IF(B52="","",20)</f>
        <v/>
      </c>
      <c r="B52" s="596" t="str">
        <f>IF(Main!O24="","",Main!O24)</f>
        <v/>
      </c>
      <c r="C52" s="596"/>
      <c r="D52" s="365" t="str">
        <f ca="1">IF(Access_Data!AA27="","",Access_Data!AA27)</f>
        <v/>
      </c>
      <c r="E52" s="365" t="str">
        <f ca="1">IF(Access_Data!AA29="","",Access_Data!AA29)</f>
        <v/>
      </c>
      <c r="F52" s="365" t="str">
        <f ca="1">IF(Access_Data!AA31="","",Access_Data!AA31)</f>
        <v/>
      </c>
      <c r="G52" s="106"/>
      <c r="H52" s="106"/>
      <c r="I52" s="364" t="str">
        <f>IF(J52="","",40)</f>
        <v/>
      </c>
      <c r="J52" s="596" t="str">
        <f>IF(Main!O44="","",Main!O44)</f>
        <v/>
      </c>
      <c r="K52" s="596"/>
      <c r="L52" s="365" t="str">
        <f ca="1">IF(Access_Data!BA27="","",Access_Data!BA27)</f>
        <v/>
      </c>
      <c r="M52" s="365" t="str">
        <f ca="1">IF(Access_Data!BA29="","",Access_Data!BA29)</f>
        <v/>
      </c>
      <c r="N52" s="365">
        <f ca="1">IF(Access_Data!BA31="","",Access_Data!BA31)</f>
        <v>0</v>
      </c>
    </row>
    <row r="53" spans="1:20" ht="18" customHeight="1" x14ac:dyDescent="0.2">
      <c r="B53" s="603" t="s">
        <v>343</v>
      </c>
      <c r="C53" s="603"/>
      <c r="D53" s="603"/>
      <c r="E53" s="603"/>
      <c r="F53" s="603"/>
      <c r="G53" s="603"/>
      <c r="H53" s="603"/>
      <c r="I53" s="603"/>
      <c r="J53" s="603"/>
      <c r="K53" s="603"/>
      <c r="L53" s="603"/>
      <c r="M53" s="603"/>
      <c r="N53" s="603"/>
    </row>
    <row r="54" spans="1:20" ht="18" customHeight="1" x14ac:dyDescent="0.25">
      <c r="A54" s="366" t="s">
        <v>344</v>
      </c>
      <c r="B54" s="598" t="str">
        <f>CONCATENATE(Main!G23,"  ",FurnaceSpecificComments,Main!U25)</f>
        <v xml:space="preserve">Found in tolerance.  No adjustment required.  </v>
      </c>
      <c r="C54" s="598"/>
      <c r="D54" s="598"/>
      <c r="E54" s="598"/>
      <c r="F54" s="598"/>
      <c r="G54" s="598"/>
      <c r="H54" s="598"/>
      <c r="I54" s="598"/>
      <c r="J54" s="598"/>
      <c r="K54" s="598"/>
      <c r="L54" s="598"/>
      <c r="M54" s="598"/>
      <c r="N54" s="598"/>
      <c r="O54" s="598"/>
    </row>
    <row r="55" spans="1:20" ht="18" customHeight="1" x14ac:dyDescent="0.25">
      <c r="A55" s="103"/>
      <c r="B55" s="598"/>
      <c r="C55" s="598"/>
      <c r="D55" s="598"/>
      <c r="E55" s="598"/>
      <c r="F55" s="598"/>
      <c r="G55" s="598"/>
      <c r="H55" s="598"/>
      <c r="I55" s="598"/>
      <c r="J55" s="598"/>
      <c r="K55" s="598"/>
      <c r="L55" s="598"/>
      <c r="M55" s="598"/>
      <c r="N55" s="598"/>
      <c r="O55" s="598"/>
    </row>
    <row r="56" spans="1:20" ht="18" customHeight="1" x14ac:dyDescent="0.25">
      <c r="A56" s="103"/>
      <c r="B56" s="598"/>
      <c r="C56" s="598"/>
      <c r="D56" s="598"/>
      <c r="E56" s="598"/>
      <c r="F56" s="598"/>
      <c r="G56" s="598"/>
      <c r="H56" s="598"/>
      <c r="I56" s="598"/>
      <c r="J56" s="598"/>
      <c r="K56" s="598"/>
      <c r="L56" s="598"/>
      <c r="M56" s="598"/>
      <c r="N56" s="598"/>
      <c r="O56" s="598"/>
    </row>
    <row r="57" spans="1:20" ht="18" customHeight="1" x14ac:dyDescent="0.25">
      <c r="A57" s="103"/>
      <c r="B57" s="598"/>
      <c r="C57" s="598"/>
      <c r="D57" s="598"/>
      <c r="E57" s="598"/>
      <c r="F57" s="598"/>
      <c r="G57" s="598"/>
      <c r="H57" s="598"/>
      <c r="I57" s="598"/>
      <c r="J57" s="598"/>
      <c r="K57" s="598"/>
      <c r="L57" s="598"/>
      <c r="M57" s="598"/>
      <c r="N57" s="598"/>
      <c r="O57" s="598"/>
    </row>
    <row r="58" spans="1:20" ht="18" customHeight="1" x14ac:dyDescent="0.25">
      <c r="A58" s="103"/>
      <c r="B58" s="598"/>
      <c r="C58" s="598"/>
      <c r="D58" s="598"/>
      <c r="E58" s="598"/>
      <c r="F58" s="598"/>
      <c r="G58" s="598"/>
      <c r="H58" s="598"/>
      <c r="I58" s="598"/>
      <c r="J58" s="598"/>
      <c r="K58" s="598"/>
      <c r="L58" s="598"/>
      <c r="M58" s="598"/>
      <c r="N58" s="598"/>
      <c r="O58" s="598"/>
    </row>
    <row r="59" spans="1:20" ht="18" customHeight="1" x14ac:dyDescent="0.25">
      <c r="A59" s="103"/>
      <c r="B59" s="598"/>
      <c r="C59" s="598"/>
      <c r="D59" s="598"/>
      <c r="E59" s="598"/>
      <c r="F59" s="598"/>
      <c r="G59" s="598"/>
      <c r="H59" s="598"/>
      <c r="I59" s="598"/>
      <c r="J59" s="598"/>
      <c r="K59" s="598"/>
      <c r="L59" s="598"/>
      <c r="M59" s="598"/>
      <c r="N59" s="598"/>
      <c r="O59" s="598"/>
    </row>
    <row r="60" spans="1:20" ht="18" customHeight="1" x14ac:dyDescent="0.2">
      <c r="A60" s="602" t="s">
        <v>352</v>
      </c>
      <c r="B60" s="602"/>
      <c r="C60" s="602"/>
      <c r="D60" s="602"/>
      <c r="E60" s="602"/>
      <c r="F60" s="602"/>
      <c r="G60" s="602"/>
      <c r="H60" s="602"/>
      <c r="I60" s="602"/>
      <c r="J60" s="602"/>
      <c r="K60" s="602"/>
      <c r="L60" s="602"/>
      <c r="M60" s="602"/>
      <c r="N60" s="602"/>
      <c r="O60" s="602"/>
    </row>
    <row r="61" spans="1:20" ht="18" customHeight="1" x14ac:dyDescent="0.2">
      <c r="A61" s="606" t="s">
        <v>345</v>
      </c>
      <c r="B61" s="606"/>
      <c r="C61" s="606"/>
      <c r="D61" s="606"/>
      <c r="E61" s="606"/>
      <c r="F61" s="595" t="s">
        <v>346</v>
      </c>
      <c r="G61" s="595"/>
      <c r="H61" s="595"/>
      <c r="I61" s="595" t="s">
        <v>347</v>
      </c>
      <c r="J61" s="595"/>
      <c r="K61" s="595" t="s">
        <v>348</v>
      </c>
      <c r="L61" s="595"/>
      <c r="M61" s="595" t="s">
        <v>349</v>
      </c>
      <c r="N61" s="595"/>
      <c r="O61" s="595"/>
      <c r="R61" s="44" t="s">
        <v>921</v>
      </c>
      <c r="T61" s="44" t="s">
        <v>922</v>
      </c>
    </row>
    <row r="62" spans="1:20" ht="18" customHeight="1" x14ac:dyDescent="0.2">
      <c r="A62" s="585" t="str">
        <f>IF(F62="","",CONCATENATE(T62," - ",R62))</f>
        <v/>
      </c>
      <c r="B62" s="586"/>
      <c r="C62" s="586"/>
      <c r="D62" s="586"/>
      <c r="E62" s="587"/>
      <c r="F62" s="585" t="str" cm="1">
        <f t="array" ref="F62">IFERROR(
  _xlfn.XLOOKUP(
    Main!D9,
    _xlfn._xlws.FILTER(AssetPool[asset_tag], AssetPool[root_category_name]="DAQ Modules"),
    _xlfn._xlws.FILTER(AssetPool[serial_number], AssetPool[root_category_name]="DAQ Modules")
  ),
  ""
)</f>
        <v/>
      </c>
      <c r="G62" s="586"/>
      <c r="H62" s="587"/>
      <c r="I62" s="591" t="str">
        <f>IF(F62="","",Main!D12)</f>
        <v/>
      </c>
      <c r="J62" s="592"/>
      <c r="K62" s="591" t="str">
        <f>IF(F62="","",Main!D13)</f>
        <v/>
      </c>
      <c r="L62" s="592"/>
      <c r="M62" s="620" t="str">
        <f>IF(F62="","",REPLACE(Main!D14,3,1,""))</f>
        <v/>
      </c>
      <c r="N62" s="621"/>
      <c r="O62" s="622"/>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88" t="str">
        <f t="shared" ref="A63:A68" si="0">IF(Q63="","",CONCATENATE(T63," - ",R63))</f>
        <v/>
      </c>
      <c r="B63" s="589"/>
      <c r="C63" s="589"/>
      <c r="D63" s="589"/>
      <c r="E63" s="590"/>
      <c r="F63" s="588" t="str">
        <f>IF(Main!D48="","",Main!D48)</f>
        <v/>
      </c>
      <c r="G63" s="589"/>
      <c r="H63" s="590"/>
      <c r="I63" s="593" t="str">
        <f>IF(Q63="","",Main!D49)</f>
        <v/>
      </c>
      <c r="J63" s="594"/>
      <c r="K63" s="593" t="str">
        <f>IF(Q63="","",Main!D50)</f>
        <v/>
      </c>
      <c r="L63" s="594"/>
      <c r="M63" s="588" t="str">
        <f>IF(Q63="","",Main!D54)</f>
        <v/>
      </c>
      <c r="N63" s="589"/>
      <c r="O63" s="590"/>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88" t="str">
        <f t="shared" si="0"/>
        <v/>
      </c>
      <c r="B64" s="589"/>
      <c r="C64" s="589"/>
      <c r="D64" s="589"/>
      <c r="E64" s="590"/>
      <c r="F64" s="588" t="str">
        <f>IF(Main!E48="","",Main!E48)</f>
        <v/>
      </c>
      <c r="G64" s="589"/>
      <c r="H64" s="590"/>
      <c r="I64" s="593" t="str">
        <f>IF(Q64="","",Main!E49)</f>
        <v/>
      </c>
      <c r="J64" s="594"/>
      <c r="K64" s="593" t="str">
        <f>IF(Q64="","",Main!E50)</f>
        <v/>
      </c>
      <c r="L64" s="594"/>
      <c r="M64" s="588" t="str">
        <f>IF(Q64="","",Main!E54)</f>
        <v/>
      </c>
      <c r="N64" s="589"/>
      <c r="O64" s="590"/>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88" t="str">
        <f t="shared" si="0"/>
        <v/>
      </c>
      <c r="B65" s="589"/>
      <c r="C65" s="589"/>
      <c r="D65" s="589"/>
      <c r="E65" s="590"/>
      <c r="F65" s="588" t="str">
        <f>IF(Main!F48="","",Main!F48)</f>
        <v/>
      </c>
      <c r="G65" s="589"/>
      <c r="H65" s="590"/>
      <c r="I65" s="593" t="str">
        <f>IF(Q65="","",Main!F49)</f>
        <v/>
      </c>
      <c r="J65" s="594"/>
      <c r="K65" s="593" t="str">
        <f>IF(Q65="","",Main!F50)</f>
        <v/>
      </c>
      <c r="L65" s="594"/>
      <c r="M65" s="588" t="str">
        <f>IF(Q65="","",Main!F54)</f>
        <v/>
      </c>
      <c r="N65" s="589"/>
      <c r="O65" s="590"/>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88" t="str">
        <f t="shared" si="0"/>
        <v/>
      </c>
      <c r="B66" s="589"/>
      <c r="C66" s="589"/>
      <c r="D66" s="589"/>
      <c r="E66" s="590"/>
      <c r="F66" s="588" t="str">
        <f>IF(Main!G48="","",Main!G48)</f>
        <v/>
      </c>
      <c r="G66" s="589"/>
      <c r="H66" s="590"/>
      <c r="I66" s="593" t="str">
        <f>IF(Q66="","",Main!G49)</f>
        <v/>
      </c>
      <c r="J66" s="594"/>
      <c r="K66" s="593" t="str">
        <f>IF(Q66="","",Main!G50)</f>
        <v/>
      </c>
      <c r="L66" s="594"/>
      <c r="M66" s="588" t="str">
        <f>IF(Q66="","",Main!G54)</f>
        <v/>
      </c>
      <c r="N66" s="589"/>
      <c r="O66" s="590"/>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88" t="str">
        <f t="shared" si="0"/>
        <v/>
      </c>
      <c r="B67" s="589"/>
      <c r="C67" s="589"/>
      <c r="D67" s="589"/>
      <c r="E67" s="590"/>
      <c r="F67" s="588" t="str">
        <f>IF(Main!H48="","",Main!H48)</f>
        <v/>
      </c>
      <c r="G67" s="589"/>
      <c r="H67" s="590"/>
      <c r="I67" s="593" t="str">
        <f>IF(Q67="","",Main!H49)</f>
        <v/>
      </c>
      <c r="J67" s="594"/>
      <c r="K67" s="593" t="str">
        <f>IF(Q67="","",Main!H50)</f>
        <v/>
      </c>
      <c r="L67" s="594"/>
      <c r="M67" s="588" t="str">
        <f>IF(Q67="","",Main!H54)</f>
        <v/>
      </c>
      <c r="N67" s="589"/>
      <c r="O67" s="590"/>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88" t="str">
        <f t="shared" si="0"/>
        <v/>
      </c>
      <c r="B68" s="589"/>
      <c r="C68" s="589"/>
      <c r="D68" s="589"/>
      <c r="E68" s="590"/>
      <c r="F68" s="588" t="str">
        <f>IF(Main!I48="","",Main!I48)</f>
        <v/>
      </c>
      <c r="G68" s="589"/>
      <c r="H68" s="590"/>
      <c r="I68" s="593" t="str">
        <f>IF(Q68="","",Main!I49)</f>
        <v/>
      </c>
      <c r="J68" s="594"/>
      <c r="K68" s="593" t="str">
        <f>IF(Q68="","",Main!I50)</f>
        <v/>
      </c>
      <c r="L68" s="594"/>
      <c r="M68" s="588" t="str">
        <f>IF(Q68="","",Main!I54)</f>
        <v/>
      </c>
      <c r="N68" s="589"/>
      <c r="O68" s="590"/>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07" t="str">
        <f>IF(T69="","",CONCATENATE(T69," - ",R69))</f>
        <v/>
      </c>
      <c r="B69" s="608"/>
      <c r="C69" s="608"/>
      <c r="D69" s="608"/>
      <c r="E69" s="609"/>
      <c r="F69" s="623" t="str">
        <f>IF(W69="","",W69)</f>
        <v/>
      </c>
      <c r="G69" s="624"/>
      <c r="H69" s="625"/>
      <c r="I69" s="626"/>
      <c r="J69" s="627"/>
      <c r="K69" s="626"/>
      <c r="L69" s="627"/>
      <c r="M69" s="607"/>
      <c r="N69" s="608"/>
      <c r="O69" s="609"/>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19" t="s">
        <v>406</v>
      </c>
      <c r="B71" s="619"/>
      <c r="C71" s="619"/>
      <c r="D71" s="619"/>
      <c r="E71" s="619"/>
      <c r="F71" s="619"/>
      <c r="G71" s="619"/>
      <c r="H71" s="619"/>
      <c r="I71" s="619"/>
      <c r="J71" s="619"/>
      <c r="K71" s="619"/>
      <c r="L71" s="619"/>
      <c r="M71" s="619"/>
      <c r="N71" s="619"/>
      <c r="O71" s="619"/>
    </row>
    <row r="72" spans="1:20" ht="18" customHeight="1" x14ac:dyDescent="0.2">
      <c r="A72" s="619"/>
      <c r="B72" s="619"/>
      <c r="C72" s="619"/>
      <c r="D72" s="619"/>
      <c r="E72" s="619"/>
      <c r="F72" s="619"/>
      <c r="G72" s="619"/>
      <c r="H72" s="619"/>
      <c r="I72" s="619"/>
      <c r="J72" s="619"/>
      <c r="K72" s="619"/>
      <c r="L72" s="619"/>
      <c r="M72" s="619"/>
      <c r="N72" s="619"/>
      <c r="O72" s="619"/>
    </row>
    <row r="73" spans="1:20" ht="18" customHeight="1" x14ac:dyDescent="0.2">
      <c r="A73" s="619"/>
      <c r="B73" s="619"/>
      <c r="C73" s="619"/>
      <c r="D73" s="619"/>
      <c r="E73" s="619"/>
      <c r="F73" s="619"/>
      <c r="G73" s="619"/>
      <c r="H73" s="619"/>
      <c r="I73" s="619"/>
      <c r="J73" s="619"/>
      <c r="K73" s="619"/>
      <c r="L73" s="619"/>
      <c r="M73" s="619"/>
      <c r="N73" s="619"/>
      <c r="O73" s="619"/>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350</v>
      </c>
      <c r="N80" s="362" t="s">
        <v>351</v>
      </c>
    </row>
    <row r="81" ht="15" customHeight="1" x14ac:dyDescent="0.2"/>
    <row r="82" ht="15" customHeight="1" x14ac:dyDescent="0.2"/>
  </sheetData>
  <sheetProtection algorithmName="SHA-512" hashValue="YCq6IIcZeE8TTs0e/6HquYgLXaRSqNVclpbM61htX9QOwPa0y56G0g+bHDaaKES4EsuOKhIPL4gJSzVMrsrhwQ==" saltValue="YZhYJdRO/9qo7DenfzMt4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_xlfn.XLOOKUP(AssetId,HeaderInfo[AssetId],HeaderInfo[])</f>
        <v>0</v>
      </c>
      <c r="AR2">
        <v>57452</v>
      </c>
      <c r="AS2" t="str">
        <v>VAC-584</v>
      </c>
      <c r="AT2" t="str">
        <v>3333 MAIN STREET</v>
      </c>
      <c r="AU2" t="str">
        <v>PARSONS, KS 67357</v>
      </c>
      <c r="AV2" t="str">
        <v/>
      </c>
      <c r="AW2" t="str">
        <v>40100 Revision C 12-26-19</v>
      </c>
      <c r="AX2" t="str">
        <v>JGI WP4100, AMS 2750H</v>
      </c>
      <c r="AY2" t="str">
        <v>Customer</v>
      </c>
      <c r="AZ2" t="str">
        <v>HOT FORM PRESS</v>
      </c>
      <c r="BA2" t="str">
        <v>DAKE 927-556</v>
      </c>
      <c r="BB2">
        <v>159874</v>
      </c>
      <c r="BC2" t="str">
        <v>VAC-584</v>
      </c>
      <c r="BD2" t="str">
        <v>UNASSIGNED</v>
      </c>
      <c r="BE2" t="str">
        <v>1400°F/1675°F</v>
      </c>
      <c r="BF2" t="str">
        <v>±25°F</v>
      </c>
      <c r="BG2" t="str">
        <v>ELECTRIC</v>
      </c>
      <c r="BH2" t="str">
        <v>See Drawing</v>
      </c>
      <c r="BI2">
        <v>0</v>
      </c>
      <c r="BJ2" t="str">
        <v>6 Mo</v>
      </c>
      <c r="BK2">
        <v>1633315</v>
      </c>
      <c r="BL2" t="str">
        <v>EUROTHERM 3216</v>
      </c>
      <c r="BM2" t="str">
        <v>VAC-644</v>
      </c>
      <c r="BN2" t="str">
        <v>±5°F</v>
      </c>
      <c r="BO2">
        <v>0</v>
      </c>
      <c r="BP2">
        <v>0</v>
      </c>
      <c r="BQ2">
        <v>0</v>
      </c>
      <c r="BR2">
        <v>0</v>
      </c>
      <c r="BS2" t="str">
        <v/>
      </c>
      <c r="BT2" t="str">
        <v>On-Site</v>
      </c>
      <c r="BU2" t="str">
        <v>PRODUCTION - Tested on Site</v>
      </c>
      <c r="BV2" t="str">
        <v>Used</v>
      </c>
      <c r="BW2" t="str">
        <v>Unavailable</v>
      </c>
      <c r="BX2" t="str">
        <v/>
      </c>
      <c r="BY2" t="str">
        <v/>
      </c>
      <c r="BZ2" t="str">
        <v/>
      </c>
      <c r="CA2" t="str">
        <v/>
      </c>
      <c r="CB2" t="str">
        <v/>
      </c>
      <c r="CC2" t="str">
        <v>Empty</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H524"/>
      <c r="J524"/>
      <c r="K524"/>
      <c r="L524"/>
      <c r="M524"/>
      <c r="N524" s="61"/>
      <c r="O524"/>
    </row>
    <row r="525" spans="1:15" x14ac:dyDescent="0.2">
      <c r="A525"/>
      <c r="B525" s="61"/>
      <c r="C525" s="61"/>
      <c r="F525"/>
      <c r="G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I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H534"/>
      <c r="I534"/>
      <c r="L534"/>
      <c r="M534"/>
      <c r="N534" s="61"/>
      <c r="O534"/>
    </row>
    <row r="535" spans="1:15" x14ac:dyDescent="0.2">
      <c r="A535"/>
      <c r="B535" s="61"/>
      <c r="C535" s="61"/>
      <c r="F535"/>
      <c r="G535"/>
      <c r="L535"/>
      <c r="M535"/>
      <c r="N535" s="61"/>
      <c r="O535"/>
    </row>
    <row r="536" spans="1:15" x14ac:dyDescent="0.2">
      <c r="A536"/>
      <c r="B536" s="61"/>
      <c r="C536" s="61"/>
      <c r="F536"/>
      <c r="G536"/>
      <c r="L536"/>
      <c r="M536"/>
      <c r="N536" s="61"/>
      <c r="O536"/>
    </row>
    <row r="537" spans="1:15" x14ac:dyDescent="0.2">
      <c r="A537"/>
      <c r="B537" s="61"/>
      <c r="C537" s="61"/>
      <c r="F537"/>
      <c r="G537"/>
      <c r="H537"/>
      <c r="I537"/>
      <c r="L537"/>
      <c r="M537"/>
      <c r="N537" s="61"/>
      <c r="O537"/>
    </row>
    <row r="538" spans="1:15" x14ac:dyDescent="0.2">
      <c r="A538"/>
      <c r="B538" s="61"/>
      <c r="C538" s="61"/>
      <c r="F538"/>
      <c r="G538"/>
      <c r="I538"/>
      <c r="L538"/>
      <c r="M538"/>
      <c r="N538" s="61"/>
      <c r="O538"/>
    </row>
    <row r="539" spans="1:15" x14ac:dyDescent="0.2">
      <c r="A539"/>
      <c r="B539" s="61"/>
      <c r="C539" s="61"/>
      <c r="F539"/>
      <c r="G539"/>
      <c r="H539"/>
      <c r="I539"/>
      <c r="L539"/>
      <c r="M539"/>
      <c r="N539" s="61"/>
      <c r="O539"/>
    </row>
    <row r="540" spans="1:15" x14ac:dyDescent="0.2">
      <c r="A540"/>
      <c r="B540" s="61"/>
      <c r="C540" s="61"/>
      <c r="F540"/>
      <c r="G540"/>
      <c r="H540"/>
      <c r="I540"/>
      <c r="L540"/>
      <c r="M540"/>
      <c r="N540" s="61"/>
      <c r="O540"/>
    </row>
    <row r="541" spans="1:15" x14ac:dyDescent="0.2">
      <c r="A541"/>
      <c r="B541" s="61"/>
      <c r="C541" s="61"/>
      <c r="F541"/>
      <c r="G541"/>
      <c r="M541"/>
      <c r="N541" s="61"/>
      <c r="O541"/>
    </row>
    <row r="542" spans="1:15" x14ac:dyDescent="0.2">
      <c r="A542"/>
      <c r="B542" s="61"/>
      <c r="C542" s="61"/>
      <c r="F542"/>
      <c r="G542"/>
      <c r="H542"/>
      <c r="I542"/>
      <c r="L542"/>
      <c r="M542"/>
      <c r="N542" s="61"/>
      <c r="O542"/>
    </row>
    <row r="543" spans="1:15" x14ac:dyDescent="0.2">
      <c r="A543"/>
      <c r="B543" s="61"/>
      <c r="C543" s="61"/>
      <c r="F543"/>
      <c r="G543"/>
      <c r="I543"/>
      <c r="L543"/>
      <c r="M543"/>
      <c r="N543" s="61"/>
      <c r="O543"/>
    </row>
    <row r="544" spans="1:15" x14ac:dyDescent="0.2">
      <c r="A544"/>
      <c r="B544" s="61"/>
      <c r="C544" s="61"/>
      <c r="F544"/>
      <c r="G544"/>
      <c r="M544"/>
      <c r="N544" s="61"/>
      <c r="O544"/>
    </row>
    <row r="545" spans="1:15" x14ac:dyDescent="0.2">
      <c r="A545"/>
      <c r="B545" s="61"/>
      <c r="C545" s="61"/>
      <c r="F545"/>
      <c r="G545"/>
      <c r="H545"/>
      <c r="I545"/>
      <c r="L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L548"/>
      <c r="M548"/>
      <c r="N548" s="61"/>
      <c r="O548"/>
    </row>
    <row r="549" spans="1:15" x14ac:dyDescent="0.2">
      <c r="A549"/>
      <c r="B549" s="61"/>
      <c r="C549" s="61"/>
      <c r="F549"/>
      <c r="G549"/>
      <c r="H549"/>
      <c r="I549"/>
      <c r="L549"/>
      <c r="M549"/>
      <c r="N549" s="61"/>
      <c r="O549"/>
    </row>
    <row r="550" spans="1:15" x14ac:dyDescent="0.2">
      <c r="A550"/>
      <c r="B550" s="61"/>
      <c r="C550" s="61"/>
      <c r="F550"/>
      <c r="G550"/>
      <c r="I550"/>
      <c r="L550"/>
      <c r="M550"/>
      <c r="N550" s="61"/>
      <c r="O550"/>
    </row>
    <row r="551" spans="1:15" x14ac:dyDescent="0.2">
      <c r="A551"/>
      <c r="B551" s="61"/>
      <c r="C551" s="61"/>
      <c r="F551"/>
      <c r="G551"/>
      <c r="I551"/>
      <c r="L551"/>
      <c r="M551"/>
      <c r="N551" s="61"/>
      <c r="O551"/>
    </row>
    <row r="552" spans="1:15" x14ac:dyDescent="0.2">
      <c r="A552"/>
      <c r="B552" s="61"/>
      <c r="C552" s="61"/>
      <c r="F552"/>
      <c r="G552"/>
      <c r="H552"/>
      <c r="I552"/>
      <c r="L552"/>
      <c r="N552" s="61"/>
      <c r="O552"/>
    </row>
    <row r="553" spans="1:15" x14ac:dyDescent="0.2">
      <c r="A553"/>
      <c r="B553" s="61"/>
      <c r="C553" s="61"/>
      <c r="F553"/>
      <c r="G553"/>
      <c r="H553"/>
      <c r="I553"/>
      <c r="L553"/>
      <c r="N553" s="61"/>
      <c r="O553"/>
    </row>
    <row r="554" spans="1:15" x14ac:dyDescent="0.2">
      <c r="A554"/>
      <c r="B554" s="61"/>
      <c r="C554" s="61"/>
      <c r="F554"/>
      <c r="G554"/>
      <c r="M554"/>
      <c r="N554" s="61"/>
      <c r="O554"/>
    </row>
    <row r="555" spans="1:15" x14ac:dyDescent="0.2">
      <c r="A555"/>
      <c r="B555" s="61"/>
      <c r="C555" s="61"/>
      <c r="F555"/>
      <c r="G555"/>
      <c r="I555"/>
      <c r="L555"/>
      <c r="M555"/>
      <c r="N555" s="61"/>
      <c r="O555"/>
    </row>
    <row r="556" spans="1:15" x14ac:dyDescent="0.2">
      <c r="A556"/>
      <c r="B556" s="61"/>
      <c r="C556" s="61"/>
      <c r="F556"/>
      <c r="G556"/>
      <c r="H556"/>
      <c r="I556"/>
      <c r="L556"/>
      <c r="M556"/>
      <c r="N556" s="61"/>
      <c r="O556"/>
    </row>
    <row r="557" spans="1:15" x14ac:dyDescent="0.2">
      <c r="A557"/>
      <c r="B557" s="61"/>
      <c r="C557" s="61"/>
      <c r="F557"/>
      <c r="G557"/>
      <c r="L557"/>
      <c r="M557"/>
      <c r="N557" s="61"/>
      <c r="O557"/>
    </row>
    <row r="558" spans="1:15" x14ac:dyDescent="0.2">
      <c r="A558"/>
      <c r="B558" s="61"/>
      <c r="C558" s="61"/>
      <c r="F558"/>
      <c r="G558"/>
      <c r="H558"/>
      <c r="I558"/>
      <c r="L558"/>
      <c r="M558"/>
      <c r="N558" s="61"/>
      <c r="O558"/>
    </row>
    <row r="559" spans="1:15" x14ac:dyDescent="0.2">
      <c r="A559"/>
      <c r="B559" s="61"/>
      <c r="C559" s="61"/>
      <c r="F559"/>
      <c r="G559"/>
      <c r="J559"/>
      <c r="K559"/>
      <c r="L559"/>
      <c r="M559"/>
      <c r="N559" s="61"/>
      <c r="O559"/>
    </row>
    <row r="560" spans="1:15" x14ac:dyDescent="0.2">
      <c r="A560"/>
      <c r="B560" s="61"/>
      <c r="C560" s="61"/>
      <c r="F560"/>
      <c r="G560"/>
      <c r="H560"/>
      <c r="I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J563"/>
      <c r="M563"/>
      <c r="N563" s="61"/>
      <c r="O563"/>
    </row>
    <row r="564" spans="1:15" x14ac:dyDescent="0.2">
      <c r="A564"/>
      <c r="B564" s="61"/>
      <c r="C564" s="61"/>
      <c r="F564"/>
      <c r="G564"/>
      <c r="H564"/>
      <c r="I564"/>
      <c r="L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N567" s="61"/>
      <c r="O567"/>
    </row>
    <row r="568" spans="1:15" x14ac:dyDescent="0.2">
      <c r="A568"/>
      <c r="B568" s="61"/>
      <c r="C568" s="61"/>
      <c r="F568"/>
      <c r="G568"/>
      <c r="H568"/>
      <c r="L568"/>
      <c r="M568"/>
      <c r="N568" s="61"/>
      <c r="O568"/>
    </row>
    <row r="569" spans="1:15" x14ac:dyDescent="0.2">
      <c r="A569"/>
      <c r="B569" s="61"/>
      <c r="C569" s="61"/>
      <c r="F569"/>
      <c r="G569"/>
      <c r="H569"/>
      <c r="I569"/>
      <c r="L569"/>
      <c r="M569"/>
      <c r="N569" s="61"/>
      <c r="O569"/>
    </row>
    <row r="570" spans="1:15" x14ac:dyDescent="0.2">
      <c r="A570"/>
      <c r="B570" s="61"/>
      <c r="C570" s="61"/>
      <c r="F570"/>
      <c r="G570"/>
      <c r="H570"/>
      <c r="I570"/>
      <c r="L570"/>
      <c r="M570"/>
      <c r="N570" s="61"/>
      <c r="O570"/>
    </row>
    <row r="571" spans="1:15" x14ac:dyDescent="0.2">
      <c r="A571"/>
      <c r="B571" s="61"/>
      <c r="C571" s="61"/>
      <c r="F571"/>
      <c r="G571"/>
      <c r="I571"/>
      <c r="L571"/>
      <c r="M571"/>
      <c r="N571" s="61"/>
      <c r="O571"/>
    </row>
    <row r="572" spans="1:15" x14ac:dyDescent="0.2">
      <c r="A572"/>
      <c r="B572" s="61"/>
      <c r="C572" s="61"/>
      <c r="F572"/>
      <c r="G572"/>
      <c r="H572"/>
      <c r="I572"/>
      <c r="L572"/>
      <c r="M572"/>
      <c r="N572" s="61"/>
      <c r="O572"/>
    </row>
    <row r="573" spans="1:15" x14ac:dyDescent="0.2">
      <c r="A573"/>
      <c r="B573" s="61"/>
      <c r="C573" s="61"/>
      <c r="F573"/>
      <c r="G573"/>
      <c r="I573"/>
      <c r="L573"/>
      <c r="M573"/>
      <c r="N573" s="61"/>
      <c r="O573"/>
    </row>
    <row r="574" spans="1:15" x14ac:dyDescent="0.2">
      <c r="A574"/>
      <c r="B574" s="61"/>
      <c r="C574" s="61"/>
      <c r="F574"/>
      <c r="G574"/>
      <c r="H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J576"/>
      <c r="K576"/>
      <c r="L576"/>
      <c r="M576"/>
      <c r="N576" s="61"/>
      <c r="O576"/>
    </row>
    <row r="577" spans="1:15" x14ac:dyDescent="0.2">
      <c r="A577"/>
      <c r="B577" s="61"/>
      <c r="C577" s="61"/>
      <c r="F577"/>
      <c r="G577"/>
      <c r="H577"/>
      <c r="J577"/>
      <c r="K577"/>
      <c r="L577"/>
      <c r="M577"/>
      <c r="N577" s="61"/>
      <c r="O577"/>
    </row>
    <row r="578" spans="1:15" x14ac:dyDescent="0.2">
      <c r="A578"/>
      <c r="B578" s="61"/>
      <c r="C578" s="61"/>
      <c r="F578"/>
      <c r="G578"/>
      <c r="L578"/>
      <c r="M578"/>
      <c r="N578" s="61"/>
      <c r="O578"/>
    </row>
    <row r="579" spans="1:15" x14ac:dyDescent="0.2">
      <c r="A579"/>
      <c r="B579" s="61"/>
      <c r="C579" s="61"/>
      <c r="F579"/>
      <c r="G579"/>
      <c r="H579"/>
      <c r="I579"/>
      <c r="L579"/>
      <c r="M579"/>
      <c r="N579" s="61"/>
      <c r="O579"/>
    </row>
    <row r="580" spans="1:15" x14ac:dyDescent="0.2">
      <c r="A580"/>
      <c r="B580" s="61"/>
      <c r="C580" s="61"/>
      <c r="F580"/>
      <c r="G580"/>
      <c r="I580"/>
      <c r="L580"/>
      <c r="M580"/>
      <c r="N580" s="61"/>
      <c r="O580"/>
    </row>
    <row r="581" spans="1:15" x14ac:dyDescent="0.2">
      <c r="A581"/>
      <c r="B581" s="61"/>
      <c r="C581" s="61"/>
      <c r="F581"/>
      <c r="G581"/>
      <c r="L581"/>
      <c r="M581"/>
      <c r="N581" s="61"/>
      <c r="O581"/>
    </row>
    <row r="582" spans="1:15" x14ac:dyDescent="0.2">
      <c r="A582"/>
      <c r="B582" s="61"/>
      <c r="C582" s="61"/>
      <c r="F582"/>
      <c r="G582"/>
      <c r="J582"/>
      <c r="K582"/>
      <c r="L582"/>
      <c r="M582"/>
      <c r="N582" s="61"/>
      <c r="O582"/>
    </row>
    <row r="583" spans="1:15" x14ac:dyDescent="0.2">
      <c r="A583"/>
      <c r="B583" s="61"/>
      <c r="C583" s="61"/>
      <c r="F583"/>
      <c r="G583"/>
      <c r="H583"/>
      <c r="J583"/>
      <c r="K583"/>
      <c r="L583"/>
      <c r="M583"/>
      <c r="N583" s="61"/>
      <c r="O583"/>
    </row>
    <row r="584" spans="1:15" x14ac:dyDescent="0.2">
      <c r="A584"/>
      <c r="B584" s="61"/>
      <c r="C584" s="61"/>
      <c r="F584"/>
      <c r="G584"/>
      <c r="M584"/>
      <c r="N584" s="61"/>
      <c r="O584"/>
    </row>
    <row r="585" spans="1:15" x14ac:dyDescent="0.2">
      <c r="A585"/>
      <c r="B585" s="61"/>
      <c r="C585" s="61"/>
      <c r="F585"/>
      <c r="G585"/>
      <c r="L585"/>
      <c r="M585"/>
      <c r="N585" s="61"/>
      <c r="O585"/>
    </row>
    <row r="586" spans="1:15" x14ac:dyDescent="0.2">
      <c r="A586"/>
      <c r="B586" s="61"/>
      <c r="C586" s="61"/>
      <c r="F586"/>
      <c r="G586"/>
      <c r="H586"/>
      <c r="I586"/>
      <c r="L586"/>
      <c r="N586" s="61"/>
      <c r="O586"/>
    </row>
    <row r="587" spans="1:15" x14ac:dyDescent="0.2">
      <c r="A587"/>
      <c r="B587" s="61"/>
      <c r="C587" s="61"/>
      <c r="F587"/>
      <c r="G587"/>
      <c r="H587"/>
      <c r="I587"/>
      <c r="L587"/>
      <c r="M587"/>
      <c r="N587" s="61"/>
      <c r="O587"/>
    </row>
    <row r="588" spans="1:15" x14ac:dyDescent="0.2">
      <c r="A588"/>
      <c r="B588" s="61"/>
      <c r="C588" s="61"/>
      <c r="F588"/>
      <c r="G588"/>
      <c r="L588"/>
      <c r="M588"/>
      <c r="N588" s="61"/>
      <c r="O588"/>
    </row>
    <row r="589" spans="1:15" x14ac:dyDescent="0.2">
      <c r="A589"/>
      <c r="B589" s="61"/>
      <c r="C589" s="61"/>
      <c r="F589"/>
      <c r="G589"/>
      <c r="H589"/>
      <c r="I589"/>
      <c r="L589"/>
      <c r="M589"/>
      <c r="N589" s="61"/>
      <c r="O589"/>
    </row>
    <row r="590" spans="1:15" x14ac:dyDescent="0.2">
      <c r="A590"/>
      <c r="B590" s="61"/>
      <c r="C590" s="61"/>
      <c r="F590"/>
      <c r="G590"/>
      <c r="I590"/>
      <c r="L590"/>
      <c r="M590"/>
      <c r="N590" s="61"/>
      <c r="O590"/>
    </row>
    <row r="591" spans="1:15" x14ac:dyDescent="0.2">
      <c r="A591"/>
      <c r="B591" s="61"/>
      <c r="C591" s="61"/>
      <c r="F591"/>
      <c r="G591"/>
      <c r="I591"/>
      <c r="L591"/>
      <c r="M591"/>
      <c r="N591" s="61"/>
      <c r="O591"/>
    </row>
    <row r="592" spans="1:15" x14ac:dyDescent="0.2">
      <c r="A592"/>
      <c r="B592" s="61"/>
      <c r="C592" s="61"/>
      <c r="F592"/>
      <c r="G592"/>
      <c r="H592"/>
      <c r="L592"/>
      <c r="M592"/>
      <c r="N592" s="61"/>
      <c r="O592"/>
    </row>
    <row r="593" spans="1:15" x14ac:dyDescent="0.2">
      <c r="A593"/>
      <c r="B593" s="61"/>
      <c r="C593" s="61"/>
      <c r="F593"/>
      <c r="G593"/>
      <c r="H593"/>
      <c r="I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J599"/>
      <c r="K599"/>
      <c r="L599"/>
      <c r="M599"/>
      <c r="N599" s="61"/>
      <c r="O599"/>
    </row>
    <row r="600" spans="1:15" x14ac:dyDescent="0.2">
      <c r="A600"/>
      <c r="B600" s="61"/>
      <c r="C600" s="61"/>
      <c r="F600"/>
      <c r="G600"/>
      <c r="M600"/>
      <c r="N600" s="61"/>
      <c r="O600"/>
    </row>
    <row r="601" spans="1:15" x14ac:dyDescent="0.2">
      <c r="A601"/>
      <c r="B601" s="61"/>
      <c r="C601" s="61"/>
      <c r="F601"/>
      <c r="G601"/>
      <c r="I601"/>
      <c r="L601"/>
      <c r="M601"/>
      <c r="N601" s="61"/>
      <c r="O601"/>
    </row>
    <row r="602" spans="1:15" x14ac:dyDescent="0.2">
      <c r="A602"/>
      <c r="B602" s="61"/>
      <c r="C602" s="61"/>
      <c r="F602"/>
      <c r="G602"/>
      <c r="H602"/>
      <c r="I602"/>
      <c r="L602"/>
      <c r="M602"/>
      <c r="N602" s="61"/>
      <c r="O602"/>
    </row>
    <row r="603" spans="1:15" x14ac:dyDescent="0.2">
      <c r="A603"/>
      <c r="B603" s="61"/>
      <c r="C603" s="61"/>
      <c r="F603"/>
      <c r="G603"/>
      <c r="I603"/>
      <c r="L603"/>
      <c r="M603"/>
      <c r="N603" s="61"/>
      <c r="O603"/>
    </row>
    <row r="604" spans="1:15" x14ac:dyDescent="0.2">
      <c r="A604"/>
      <c r="B604" s="61"/>
      <c r="C604" s="61"/>
      <c r="F604"/>
      <c r="G604"/>
      <c r="H604"/>
      <c r="I604"/>
      <c r="L604"/>
      <c r="M604"/>
      <c r="N604" s="61"/>
      <c r="O604"/>
    </row>
    <row r="605" spans="1:15" x14ac:dyDescent="0.2">
      <c r="A605"/>
      <c r="B605" s="61"/>
      <c r="C605" s="61"/>
      <c r="F605"/>
      <c r="G605"/>
      <c r="I605"/>
      <c r="L605"/>
      <c r="M605"/>
      <c r="N605" s="61"/>
      <c r="O605"/>
    </row>
    <row r="606" spans="1:15" x14ac:dyDescent="0.2">
      <c r="A606"/>
      <c r="B606" s="61"/>
      <c r="C606" s="61"/>
      <c r="F606"/>
      <c r="G606"/>
      <c r="I606"/>
      <c r="L606"/>
      <c r="M606"/>
      <c r="N606" s="61"/>
      <c r="O606"/>
    </row>
    <row r="607" spans="1:15" x14ac:dyDescent="0.2">
      <c r="A607"/>
      <c r="B607" s="61"/>
      <c r="C607" s="61"/>
      <c r="F607"/>
      <c r="G607"/>
      <c r="L607"/>
      <c r="M607"/>
      <c r="N607" s="61"/>
      <c r="O607"/>
    </row>
    <row r="608" spans="1:15" x14ac:dyDescent="0.2">
      <c r="A608"/>
      <c r="B608" s="61"/>
      <c r="C608" s="61"/>
      <c r="F608"/>
      <c r="G608"/>
      <c r="I608"/>
      <c r="L608"/>
      <c r="M608"/>
      <c r="N608" s="61"/>
      <c r="O608"/>
    </row>
    <row r="609" spans="1:15" x14ac:dyDescent="0.2">
      <c r="A609"/>
      <c r="B609" s="61"/>
      <c r="C609" s="61"/>
      <c r="F609"/>
      <c r="G609"/>
      <c r="H609"/>
      <c r="I609"/>
      <c r="L609"/>
      <c r="M609"/>
      <c r="N609" s="61"/>
      <c r="O609"/>
    </row>
    <row r="610" spans="1:15" x14ac:dyDescent="0.2">
      <c r="A610"/>
      <c r="B610" s="61"/>
      <c r="C610" s="61"/>
      <c r="F610"/>
      <c r="G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L616"/>
      <c r="M616"/>
      <c r="N616" s="61"/>
      <c r="O616"/>
    </row>
    <row r="617" spans="1:15" x14ac:dyDescent="0.2">
      <c r="A617"/>
      <c r="B617" s="61"/>
      <c r="C617" s="61"/>
      <c r="F617"/>
      <c r="G617"/>
      <c r="J617"/>
      <c r="K617"/>
      <c r="L617"/>
      <c r="M617"/>
      <c r="N617" s="61"/>
      <c r="O617"/>
    </row>
    <row r="618" spans="1:15" x14ac:dyDescent="0.2">
      <c r="A618"/>
      <c r="B618" s="61"/>
      <c r="C618" s="61"/>
      <c r="F618"/>
      <c r="G618"/>
      <c r="L618"/>
      <c r="M618"/>
      <c r="N618" s="61"/>
      <c r="O618"/>
    </row>
    <row r="619" spans="1:15" x14ac:dyDescent="0.2">
      <c r="A619"/>
      <c r="B619" s="61"/>
      <c r="C619" s="61"/>
      <c r="F619"/>
      <c r="G619"/>
      <c r="H619"/>
      <c r="I619"/>
      <c r="L619"/>
      <c r="M619"/>
      <c r="N619" s="61"/>
      <c r="O619"/>
    </row>
    <row r="620" spans="1:15" x14ac:dyDescent="0.2">
      <c r="A620"/>
      <c r="B620" s="61"/>
      <c r="C620" s="61"/>
      <c r="F620"/>
      <c r="G620"/>
      <c r="M620"/>
      <c r="N620" s="61"/>
      <c r="O620"/>
    </row>
    <row r="621" spans="1:15" x14ac:dyDescent="0.2">
      <c r="A621"/>
      <c r="B621" s="61"/>
      <c r="C621" s="61"/>
      <c r="F621"/>
      <c r="G621"/>
      <c r="I621"/>
      <c r="L621"/>
      <c r="M621"/>
      <c r="N621" s="61"/>
      <c r="O621"/>
    </row>
    <row r="622" spans="1:15" x14ac:dyDescent="0.2">
      <c r="A622"/>
      <c r="B622" s="61"/>
      <c r="C622" s="61"/>
      <c r="F622"/>
      <c r="G622"/>
      <c r="H622"/>
      <c r="I622"/>
      <c r="L622"/>
      <c r="M622"/>
      <c r="N622" s="61"/>
      <c r="O622"/>
    </row>
    <row r="623" spans="1:15" x14ac:dyDescent="0.2">
      <c r="A623"/>
      <c r="B623" s="61"/>
      <c r="C623" s="61"/>
      <c r="F623"/>
      <c r="G623"/>
      <c r="L623"/>
      <c r="M623"/>
      <c r="N623" s="61"/>
      <c r="O623"/>
    </row>
    <row r="624" spans="1:15" x14ac:dyDescent="0.2">
      <c r="A624"/>
      <c r="B624" s="61"/>
      <c r="C624" s="61"/>
      <c r="F624"/>
      <c r="G624"/>
      <c r="H624"/>
      <c r="I624"/>
      <c r="L624"/>
      <c r="M624"/>
      <c r="N624" s="61"/>
      <c r="O624"/>
    </row>
    <row r="625" spans="1:15" x14ac:dyDescent="0.2">
      <c r="A625"/>
      <c r="B625" s="61"/>
      <c r="C625" s="61"/>
      <c r="F625"/>
      <c r="G625"/>
      <c r="H625"/>
      <c r="I625"/>
      <c r="L625"/>
      <c r="M625"/>
      <c r="N625" s="61"/>
      <c r="O625"/>
    </row>
    <row r="626" spans="1:15" x14ac:dyDescent="0.2">
      <c r="A626"/>
      <c r="B626" s="61"/>
      <c r="C626" s="61"/>
      <c r="F626"/>
      <c r="G626"/>
      <c r="I626"/>
      <c r="L626"/>
      <c r="M626"/>
      <c r="N626" s="61"/>
      <c r="O626"/>
    </row>
    <row r="627" spans="1:15" x14ac:dyDescent="0.2">
      <c r="A627"/>
      <c r="B627" s="61"/>
      <c r="C627" s="61"/>
      <c r="F627"/>
      <c r="G627"/>
      <c r="H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J629"/>
      <c r="K629"/>
      <c r="L629"/>
      <c r="M629"/>
      <c r="N629" s="61"/>
      <c r="O629"/>
    </row>
    <row r="630" spans="1:15" x14ac:dyDescent="0.2">
      <c r="A630"/>
      <c r="B630" s="61"/>
      <c r="C630" s="61"/>
      <c r="F630"/>
      <c r="G630"/>
      <c r="H630"/>
      <c r="I630"/>
      <c r="L630"/>
      <c r="M630"/>
      <c r="N630" s="61"/>
      <c r="O630"/>
    </row>
    <row r="631" spans="1:15" x14ac:dyDescent="0.2">
      <c r="A631"/>
      <c r="B631" s="61"/>
      <c r="C631" s="61"/>
      <c r="F631"/>
      <c r="G631"/>
      <c r="H631"/>
      <c r="I631"/>
      <c r="L631"/>
      <c r="M631"/>
      <c r="N631" s="61"/>
      <c r="O631"/>
    </row>
    <row r="632" spans="1:15" x14ac:dyDescent="0.2">
      <c r="A632"/>
      <c r="B632" s="61"/>
      <c r="C632" s="61"/>
      <c r="F632"/>
      <c r="G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H635"/>
      <c r="I635"/>
      <c r="L635"/>
      <c r="N635" s="61"/>
      <c r="O635"/>
    </row>
    <row r="636" spans="1:15" x14ac:dyDescent="0.2">
      <c r="A636"/>
      <c r="B636" s="61"/>
      <c r="C636" s="61"/>
      <c r="F636"/>
      <c r="G636"/>
      <c r="H636"/>
      <c r="I636"/>
      <c r="L636"/>
      <c r="N636" s="61"/>
      <c r="O636"/>
    </row>
    <row r="637" spans="1:15" x14ac:dyDescent="0.2">
      <c r="A637"/>
      <c r="B637" s="61"/>
      <c r="C637" s="61"/>
      <c r="F637"/>
      <c r="G637"/>
      <c r="H637"/>
      <c r="I637"/>
      <c r="L637"/>
      <c r="M637"/>
      <c r="N637" s="61"/>
      <c r="O637"/>
    </row>
    <row r="638" spans="1:15" x14ac:dyDescent="0.2">
      <c r="A638"/>
      <c r="B638" s="61"/>
      <c r="C638" s="61"/>
      <c r="F638"/>
      <c r="G638"/>
      <c r="H638"/>
      <c r="I638"/>
      <c r="L638"/>
      <c r="M638"/>
      <c r="N638" s="61"/>
      <c r="O638"/>
    </row>
    <row r="639" spans="1:15" x14ac:dyDescent="0.2">
      <c r="A639"/>
      <c r="B639" s="61"/>
      <c r="C639" s="61"/>
      <c r="F639"/>
      <c r="G639"/>
      <c r="I639"/>
      <c r="L639"/>
      <c r="M639"/>
      <c r="N639" s="61"/>
      <c r="O639"/>
    </row>
    <row r="640" spans="1:15" x14ac:dyDescent="0.2">
      <c r="A640"/>
      <c r="B640" s="61"/>
      <c r="C640" s="61"/>
      <c r="F640"/>
      <c r="G640"/>
      <c r="H640"/>
      <c r="I640"/>
      <c r="L640"/>
      <c r="M640"/>
      <c r="N640" s="61"/>
      <c r="O640"/>
    </row>
    <row r="641" spans="1:15" x14ac:dyDescent="0.2">
      <c r="A641"/>
      <c r="B641" s="61"/>
      <c r="C641" s="61"/>
      <c r="F641"/>
      <c r="G641"/>
      <c r="I641"/>
      <c r="L641"/>
      <c r="M641"/>
      <c r="N641" s="61"/>
      <c r="O641"/>
    </row>
    <row r="642" spans="1:15" x14ac:dyDescent="0.2">
      <c r="A642"/>
      <c r="B642" s="61"/>
      <c r="C642" s="61"/>
      <c r="F642"/>
      <c r="G642"/>
      <c r="M642"/>
      <c r="N642" s="61"/>
      <c r="O642"/>
    </row>
    <row r="643" spans="1:15" x14ac:dyDescent="0.2">
      <c r="A643"/>
      <c r="B643" s="61"/>
      <c r="C643" s="61"/>
      <c r="F643"/>
      <c r="G643"/>
      <c r="H643"/>
      <c r="I643"/>
      <c r="L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L647"/>
      <c r="M647"/>
      <c r="N647" s="61"/>
      <c r="O647"/>
    </row>
    <row r="648" spans="1:15" x14ac:dyDescent="0.2">
      <c r="A648"/>
      <c r="B648" s="61"/>
      <c r="C648" s="61"/>
      <c r="F648"/>
      <c r="G648"/>
      <c r="H648"/>
      <c r="I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N650" s="61"/>
      <c r="O650"/>
    </row>
    <row r="651" spans="1:15" x14ac:dyDescent="0.2">
      <c r="A651"/>
      <c r="B651" s="61"/>
      <c r="C651" s="61"/>
      <c r="F651"/>
      <c r="G651"/>
      <c r="H651"/>
      <c r="I651"/>
      <c r="L651"/>
      <c r="M651"/>
      <c r="N651" s="61"/>
      <c r="O651"/>
    </row>
    <row r="652" spans="1:15" x14ac:dyDescent="0.2">
      <c r="A652"/>
      <c r="B652" s="61"/>
      <c r="C652" s="61"/>
      <c r="F652"/>
      <c r="G652"/>
      <c r="J652"/>
      <c r="K652"/>
      <c r="L652"/>
      <c r="M652"/>
      <c r="N652" s="61"/>
      <c r="O652"/>
    </row>
    <row r="653" spans="1:15" x14ac:dyDescent="0.2">
      <c r="A653"/>
      <c r="B653" s="61"/>
      <c r="C653" s="61"/>
      <c r="F653"/>
      <c r="G653"/>
      <c r="H653"/>
      <c r="I653"/>
      <c r="L653"/>
      <c r="M653"/>
      <c r="N653" s="61"/>
      <c r="O653"/>
    </row>
    <row r="654" spans="1:15" x14ac:dyDescent="0.2">
      <c r="A654"/>
      <c r="B654" s="61"/>
      <c r="C654" s="61"/>
      <c r="F654"/>
      <c r="G654"/>
      <c r="H654"/>
      <c r="I654"/>
      <c r="L654"/>
      <c r="M654"/>
      <c r="N654" s="61"/>
      <c r="O654"/>
    </row>
    <row r="655" spans="1:15" x14ac:dyDescent="0.2">
      <c r="A655"/>
      <c r="B655" s="61"/>
      <c r="C655" s="61"/>
      <c r="F655"/>
      <c r="G655"/>
      <c r="I655"/>
      <c r="L655"/>
      <c r="M655"/>
      <c r="N655" s="61"/>
      <c r="O655"/>
    </row>
    <row r="656" spans="1:15" x14ac:dyDescent="0.2">
      <c r="A656"/>
      <c r="B656" s="61"/>
      <c r="C656" s="61"/>
      <c r="F656"/>
      <c r="G656"/>
      <c r="H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I659"/>
      <c r="L659"/>
      <c r="M659"/>
      <c r="N659" s="61"/>
      <c r="O659"/>
    </row>
    <row r="660" spans="1:15" x14ac:dyDescent="0.2">
      <c r="A660"/>
      <c r="B660" s="61"/>
      <c r="C660" s="61"/>
      <c r="F660"/>
      <c r="G660"/>
      <c r="H660"/>
      <c r="I660"/>
      <c r="L660"/>
      <c r="M660"/>
      <c r="N660" s="61"/>
      <c r="O660"/>
    </row>
    <row r="661" spans="1:15" x14ac:dyDescent="0.2">
      <c r="A661"/>
      <c r="B661" s="61"/>
      <c r="C661" s="61"/>
      <c r="F661"/>
      <c r="G661"/>
      <c r="L661"/>
      <c r="M661"/>
      <c r="N661" s="61"/>
      <c r="O661"/>
    </row>
    <row r="662" spans="1:15" x14ac:dyDescent="0.2">
      <c r="A662"/>
      <c r="B662" s="61"/>
      <c r="C662" s="61"/>
      <c r="F662"/>
      <c r="G662"/>
      <c r="I662"/>
      <c r="L662"/>
      <c r="M662"/>
      <c r="N662" s="61"/>
      <c r="O662"/>
    </row>
    <row r="663" spans="1:15" x14ac:dyDescent="0.2">
      <c r="A663"/>
      <c r="B663" s="61"/>
      <c r="C663" s="61"/>
      <c r="F663"/>
      <c r="G663"/>
      <c r="H663"/>
      <c r="I663"/>
      <c r="L663"/>
      <c r="M663"/>
      <c r="N663" s="61"/>
      <c r="O663"/>
    </row>
    <row r="664" spans="1:15" x14ac:dyDescent="0.2">
      <c r="A664"/>
      <c r="B664" s="61"/>
      <c r="C664" s="61"/>
      <c r="F664"/>
      <c r="G664"/>
      <c r="H664"/>
      <c r="I664"/>
      <c r="L664"/>
      <c r="N664" s="61"/>
      <c r="O664"/>
    </row>
    <row r="665" spans="1:15" x14ac:dyDescent="0.2">
      <c r="A665"/>
      <c r="B665" s="61"/>
      <c r="C665" s="61"/>
      <c r="F665"/>
      <c r="G665"/>
      <c r="H665"/>
      <c r="I665"/>
      <c r="L665"/>
      <c r="M665"/>
      <c r="N665" s="61"/>
      <c r="O665"/>
    </row>
    <row r="666" spans="1:15" x14ac:dyDescent="0.2">
      <c r="A666"/>
      <c r="B666" s="61"/>
      <c r="C666" s="61"/>
      <c r="F666"/>
      <c r="G666"/>
      <c r="H666"/>
      <c r="J666"/>
      <c r="L666"/>
      <c r="M666"/>
      <c r="N666" s="61"/>
      <c r="O666"/>
    </row>
    <row r="667" spans="1:15" x14ac:dyDescent="0.2">
      <c r="A667"/>
      <c r="B667" s="61"/>
      <c r="C667" s="61"/>
      <c r="F667"/>
      <c r="G667"/>
      <c r="H667"/>
      <c r="I667"/>
      <c r="L667"/>
      <c r="M667"/>
      <c r="N667" s="61"/>
      <c r="O667"/>
    </row>
    <row r="668" spans="1:15" x14ac:dyDescent="0.2">
      <c r="A668"/>
      <c r="B668" s="61"/>
      <c r="C668" s="61"/>
      <c r="F668"/>
      <c r="G668"/>
      <c r="I668"/>
      <c r="L668"/>
      <c r="M668"/>
      <c r="N668" s="61"/>
      <c r="O668"/>
    </row>
    <row r="669" spans="1:15" x14ac:dyDescent="0.2">
      <c r="A669"/>
      <c r="B669" s="61"/>
      <c r="C669" s="61"/>
      <c r="F669"/>
      <c r="G669"/>
      <c r="M669"/>
      <c r="N669" s="61"/>
      <c r="O669"/>
    </row>
    <row r="670" spans="1:15" x14ac:dyDescent="0.2">
      <c r="A670"/>
      <c r="B670" s="61"/>
      <c r="C670" s="61"/>
      <c r="F670"/>
      <c r="G670"/>
      <c r="H670"/>
      <c r="M670"/>
      <c r="N670" s="61"/>
      <c r="O670"/>
    </row>
    <row r="671" spans="1:15" x14ac:dyDescent="0.2">
      <c r="A671"/>
      <c r="B671" s="61"/>
      <c r="C671" s="61"/>
      <c r="F671"/>
      <c r="G671"/>
      <c r="L671"/>
      <c r="M671"/>
      <c r="N671" s="61"/>
      <c r="O671"/>
    </row>
    <row r="672" spans="1:15" x14ac:dyDescent="0.2">
      <c r="A672"/>
      <c r="B672" s="61"/>
      <c r="C672" s="61"/>
      <c r="F672"/>
      <c r="G672"/>
      <c r="H672"/>
      <c r="I672"/>
      <c r="L672"/>
      <c r="M672"/>
      <c r="N672" s="61"/>
      <c r="O672"/>
    </row>
    <row r="673" spans="1:15" x14ac:dyDescent="0.2">
      <c r="A673"/>
      <c r="B673" s="61"/>
      <c r="C673" s="61"/>
      <c r="F673"/>
      <c r="G673"/>
      <c r="H673"/>
      <c r="I673"/>
      <c r="L673"/>
      <c r="M673"/>
      <c r="N673" s="61"/>
      <c r="O673"/>
    </row>
    <row r="674" spans="1:15" x14ac:dyDescent="0.2">
      <c r="A674"/>
      <c r="B674" s="61"/>
      <c r="C674" s="61"/>
      <c r="F674"/>
      <c r="G674"/>
      <c r="M674"/>
      <c r="N674" s="61"/>
      <c r="O674"/>
    </row>
    <row r="675" spans="1:15" x14ac:dyDescent="0.2">
      <c r="A675"/>
      <c r="B675" s="61"/>
      <c r="C675" s="61"/>
      <c r="F675"/>
      <c r="G675"/>
      <c r="H675"/>
      <c r="I675"/>
      <c r="L675"/>
      <c r="M675"/>
      <c r="N675" s="61"/>
      <c r="O675"/>
    </row>
    <row r="676" spans="1:15" x14ac:dyDescent="0.2">
      <c r="A676"/>
      <c r="B676" s="61"/>
      <c r="C676" s="61"/>
      <c r="F676"/>
      <c r="G676"/>
      <c r="L676"/>
      <c r="M676"/>
      <c r="N676" s="61"/>
      <c r="O676"/>
    </row>
    <row r="677" spans="1:15" x14ac:dyDescent="0.2">
      <c r="A677"/>
      <c r="B677" s="61"/>
      <c r="C677" s="61"/>
      <c r="F677"/>
      <c r="G677"/>
      <c r="H677"/>
      <c r="I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M681"/>
      <c r="N681" s="61"/>
      <c r="O681"/>
    </row>
    <row r="682" spans="1:15" x14ac:dyDescent="0.2">
      <c r="A682"/>
      <c r="B682" s="61"/>
      <c r="C682" s="61"/>
      <c r="F682"/>
      <c r="G682"/>
      <c r="L682"/>
      <c r="M682"/>
      <c r="N682" s="61"/>
      <c r="O682"/>
    </row>
    <row r="683" spans="1:15" x14ac:dyDescent="0.2">
      <c r="A683"/>
      <c r="B683" s="61"/>
      <c r="C683" s="61"/>
      <c r="F683"/>
      <c r="G683"/>
      <c r="I683"/>
      <c r="L683"/>
      <c r="M683"/>
      <c r="N683" s="61"/>
      <c r="O683"/>
    </row>
    <row r="684" spans="1:15" x14ac:dyDescent="0.2">
      <c r="A684"/>
      <c r="B684" s="61"/>
      <c r="C684" s="61"/>
      <c r="F684"/>
      <c r="G684"/>
      <c r="H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N688" s="61"/>
      <c r="O688"/>
    </row>
    <row r="689" spans="1:15" x14ac:dyDescent="0.2">
      <c r="A689"/>
      <c r="B689" s="61"/>
      <c r="C689" s="61"/>
      <c r="F689"/>
      <c r="G689"/>
      <c r="M689"/>
      <c r="N689" s="61"/>
      <c r="O689"/>
    </row>
    <row r="690" spans="1:15" x14ac:dyDescent="0.2">
      <c r="A690"/>
      <c r="B690" s="61"/>
      <c r="C690" s="61"/>
      <c r="F690"/>
      <c r="G690"/>
      <c r="H690"/>
      <c r="I690"/>
      <c r="L690"/>
      <c r="M690"/>
      <c r="N690" s="61"/>
      <c r="O690"/>
    </row>
    <row r="691" spans="1:15" x14ac:dyDescent="0.2">
      <c r="A691"/>
      <c r="B691" s="61"/>
      <c r="C691" s="61"/>
      <c r="F691"/>
      <c r="G691"/>
      <c r="H691"/>
      <c r="I691"/>
      <c r="L691"/>
      <c r="M691"/>
      <c r="N691" s="61"/>
      <c r="O691"/>
    </row>
    <row r="692" spans="1:15" x14ac:dyDescent="0.2">
      <c r="A692"/>
      <c r="B692" s="61"/>
      <c r="C692" s="61"/>
      <c r="F692"/>
      <c r="G692"/>
      <c r="M692"/>
      <c r="N692" s="61"/>
      <c r="O692"/>
    </row>
    <row r="693" spans="1:15" x14ac:dyDescent="0.2">
      <c r="A693"/>
      <c r="B693" s="61"/>
      <c r="C693" s="61"/>
      <c r="F693"/>
      <c r="G693"/>
      <c r="I693"/>
      <c r="L693"/>
      <c r="M693"/>
      <c r="N693" s="61"/>
      <c r="O693"/>
    </row>
    <row r="694" spans="1:15" x14ac:dyDescent="0.2">
      <c r="A694"/>
      <c r="B694" s="61"/>
      <c r="C694" s="61"/>
      <c r="F694"/>
      <c r="G694"/>
      <c r="J694"/>
      <c r="K694"/>
      <c r="L694"/>
      <c r="M694"/>
      <c r="N694" s="61"/>
      <c r="O694"/>
    </row>
    <row r="695" spans="1:15" x14ac:dyDescent="0.2">
      <c r="A695"/>
      <c r="B695" s="61"/>
      <c r="C695" s="61"/>
      <c r="F695"/>
      <c r="G695"/>
      <c r="H695"/>
      <c r="I695"/>
      <c r="L695"/>
      <c r="M695"/>
      <c r="N695" s="61"/>
      <c r="O695"/>
    </row>
    <row r="696" spans="1:15" x14ac:dyDescent="0.2">
      <c r="A696"/>
      <c r="B696" s="61"/>
      <c r="C696" s="61"/>
      <c r="F696"/>
      <c r="G696"/>
      <c r="I696"/>
      <c r="L696"/>
      <c r="M696"/>
      <c r="N696" s="61"/>
      <c r="O696"/>
    </row>
    <row r="697" spans="1:15" x14ac:dyDescent="0.2">
      <c r="A697"/>
      <c r="B697" s="61"/>
      <c r="C697" s="61"/>
      <c r="F697"/>
      <c r="G697"/>
      <c r="L697"/>
      <c r="M697"/>
      <c r="N697" s="61"/>
      <c r="O697"/>
    </row>
    <row r="698" spans="1:15" x14ac:dyDescent="0.2">
      <c r="A698"/>
      <c r="B698" s="61"/>
      <c r="C698" s="61"/>
      <c r="F698"/>
      <c r="G698"/>
      <c r="H698"/>
      <c r="J698"/>
      <c r="K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I701"/>
      <c r="L701"/>
      <c r="M701"/>
      <c r="N701" s="61"/>
      <c r="O701"/>
    </row>
    <row r="702" spans="1:15" x14ac:dyDescent="0.2">
      <c r="A702"/>
      <c r="B702" s="61"/>
      <c r="C702" s="61"/>
      <c r="F702"/>
      <c r="G702"/>
      <c r="I702"/>
      <c r="L702"/>
      <c r="M702"/>
      <c r="N702" s="61"/>
      <c r="O702"/>
    </row>
    <row r="703" spans="1:15" x14ac:dyDescent="0.2">
      <c r="A703"/>
      <c r="B703" s="61"/>
      <c r="C703" s="61"/>
      <c r="F703"/>
      <c r="G703"/>
      <c r="H703"/>
      <c r="I703"/>
      <c r="J703"/>
      <c r="K703"/>
      <c r="L703"/>
      <c r="M703"/>
      <c r="N703" s="61"/>
      <c r="O703"/>
    </row>
    <row r="704" spans="1:15" x14ac:dyDescent="0.2">
      <c r="A704"/>
      <c r="B704" s="61"/>
      <c r="C704" s="61"/>
      <c r="F704"/>
      <c r="G704"/>
      <c r="H704"/>
      <c r="I704"/>
      <c r="L704"/>
      <c r="M704"/>
      <c r="N704" s="61"/>
      <c r="O704"/>
    </row>
    <row r="705" spans="1:15" x14ac:dyDescent="0.2">
      <c r="A705"/>
      <c r="B705" s="61"/>
      <c r="C705" s="61"/>
      <c r="F705"/>
      <c r="G705"/>
      <c r="H705"/>
      <c r="I705"/>
      <c r="J705"/>
      <c r="K705"/>
      <c r="L705"/>
      <c r="M705"/>
      <c r="N705" s="61"/>
      <c r="O705"/>
    </row>
    <row r="706" spans="1:15" x14ac:dyDescent="0.2">
      <c r="A706"/>
      <c r="B706" s="61"/>
      <c r="C706" s="61"/>
      <c r="F706"/>
      <c r="G706"/>
      <c r="I706"/>
      <c r="L706"/>
      <c r="M706"/>
      <c r="N706" s="61"/>
      <c r="O706"/>
    </row>
    <row r="707" spans="1:15" x14ac:dyDescent="0.2">
      <c r="A707"/>
      <c r="B707" s="61"/>
      <c r="C707" s="61"/>
      <c r="F707"/>
      <c r="G707"/>
      <c r="H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I711"/>
      <c r="L711"/>
      <c r="M711"/>
      <c r="N711" s="61"/>
      <c r="O711"/>
    </row>
    <row r="712" spans="1:15" x14ac:dyDescent="0.2">
      <c r="A712"/>
      <c r="B712" s="61"/>
      <c r="C712" s="61"/>
      <c r="F712"/>
      <c r="G712"/>
      <c r="H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L715"/>
      <c r="M715"/>
      <c r="N715" s="61"/>
      <c r="O715"/>
    </row>
    <row r="716" spans="1:15" x14ac:dyDescent="0.2">
      <c r="A716"/>
      <c r="B716" s="61"/>
      <c r="C716" s="61"/>
      <c r="F716"/>
      <c r="G716"/>
      <c r="H716"/>
      <c r="I716"/>
      <c r="L716"/>
      <c r="M716"/>
      <c r="N716" s="61"/>
      <c r="O716"/>
    </row>
    <row r="717" spans="1:15" x14ac:dyDescent="0.2">
      <c r="A717"/>
      <c r="B717" s="61"/>
      <c r="C717" s="61"/>
      <c r="F717"/>
      <c r="G717"/>
      <c r="H717"/>
      <c r="I717"/>
      <c r="L717"/>
      <c r="M717"/>
      <c r="N717" s="61"/>
      <c r="O717"/>
    </row>
    <row r="718" spans="1:15" x14ac:dyDescent="0.2">
      <c r="A718"/>
      <c r="B718" s="61"/>
      <c r="C718" s="61"/>
      <c r="F718"/>
      <c r="G718"/>
      <c r="I718"/>
      <c r="L718"/>
      <c r="M718"/>
      <c r="N718" s="61"/>
      <c r="O718"/>
    </row>
    <row r="719" spans="1:15" x14ac:dyDescent="0.2">
      <c r="A719"/>
      <c r="B719" s="61"/>
      <c r="C719" s="61"/>
      <c r="F719"/>
      <c r="G719"/>
      <c r="L719"/>
      <c r="M719"/>
      <c r="N719" s="61"/>
      <c r="O719"/>
    </row>
    <row r="720" spans="1:15" x14ac:dyDescent="0.2">
      <c r="A720"/>
      <c r="B720" s="61"/>
      <c r="C720" s="61"/>
      <c r="F720"/>
      <c r="G720"/>
      <c r="H720"/>
      <c r="J720"/>
      <c r="K720"/>
      <c r="L720"/>
      <c r="M720"/>
      <c r="N720" s="61"/>
      <c r="O720"/>
    </row>
    <row r="721" spans="1:15" x14ac:dyDescent="0.2">
      <c r="A721"/>
      <c r="B721" s="61"/>
      <c r="C721" s="61"/>
      <c r="F721"/>
      <c r="G721"/>
      <c r="H721"/>
      <c r="I721"/>
      <c r="L721"/>
      <c r="M721"/>
      <c r="N721" s="61"/>
      <c r="O721"/>
    </row>
    <row r="722" spans="1:15" x14ac:dyDescent="0.2">
      <c r="A722"/>
      <c r="B722" s="61"/>
      <c r="C722" s="61"/>
      <c r="F722"/>
      <c r="G722"/>
      <c r="J722"/>
      <c r="K722"/>
      <c r="L722"/>
      <c r="M722"/>
      <c r="N722" s="61"/>
      <c r="O722"/>
    </row>
    <row r="723" spans="1:15" x14ac:dyDescent="0.2">
      <c r="A723"/>
      <c r="B723" s="61"/>
      <c r="C723" s="61"/>
      <c r="F723"/>
      <c r="G723"/>
      <c r="H723"/>
      <c r="I723"/>
      <c r="L723"/>
      <c r="M723"/>
      <c r="N723" s="61"/>
      <c r="O723"/>
    </row>
    <row r="724" spans="1:15" x14ac:dyDescent="0.2">
      <c r="A724"/>
      <c r="B724" s="61"/>
      <c r="C724" s="61"/>
      <c r="F724"/>
      <c r="G724"/>
      <c r="H724"/>
      <c r="I724"/>
      <c r="L724"/>
      <c r="M724"/>
      <c r="N724" s="61"/>
      <c r="O724"/>
    </row>
    <row r="725" spans="1:15" x14ac:dyDescent="0.2">
      <c r="A725"/>
      <c r="B725" s="61"/>
      <c r="C725" s="61"/>
      <c r="F725"/>
      <c r="G725"/>
      <c r="I725"/>
      <c r="K725"/>
      <c r="L725"/>
      <c r="M725"/>
      <c r="N725" s="61"/>
      <c r="O725"/>
    </row>
    <row r="726" spans="1:15" x14ac:dyDescent="0.2">
      <c r="A726"/>
      <c r="B726" s="61"/>
      <c r="C726" s="61"/>
      <c r="F726"/>
      <c r="G726"/>
      <c r="L726"/>
      <c r="M726"/>
      <c r="N726" s="61"/>
      <c r="O726"/>
    </row>
    <row r="727" spans="1:15" x14ac:dyDescent="0.2">
      <c r="A727"/>
      <c r="B727" s="61"/>
      <c r="C727" s="61"/>
      <c r="F727"/>
      <c r="G727"/>
      <c r="L727"/>
      <c r="M727"/>
      <c r="N727" s="61"/>
      <c r="O727"/>
    </row>
    <row r="728" spans="1:15" x14ac:dyDescent="0.2">
      <c r="A728"/>
      <c r="B728" s="61"/>
      <c r="C728" s="61"/>
      <c r="F728"/>
      <c r="G728"/>
      <c r="H728"/>
      <c r="I728"/>
      <c r="L728"/>
      <c r="M728"/>
      <c r="N728" s="61"/>
      <c r="O728"/>
    </row>
    <row r="729" spans="1:15" x14ac:dyDescent="0.2">
      <c r="A729"/>
      <c r="B729" s="61"/>
      <c r="C729" s="61"/>
      <c r="F729"/>
      <c r="G729"/>
      <c r="J729"/>
      <c r="L729"/>
      <c r="M729"/>
      <c r="N729" s="61"/>
      <c r="O729"/>
    </row>
    <row r="730" spans="1:15" x14ac:dyDescent="0.2">
      <c r="A730"/>
      <c r="B730" s="61"/>
      <c r="C730" s="61"/>
      <c r="F730"/>
      <c r="G730"/>
      <c r="H730"/>
      <c r="L730"/>
      <c r="M730"/>
      <c r="N730" s="61"/>
      <c r="O730"/>
    </row>
    <row r="731" spans="1:15" x14ac:dyDescent="0.2">
      <c r="A731"/>
      <c r="B731" s="61"/>
      <c r="C731" s="61"/>
      <c r="F731"/>
      <c r="G731"/>
      <c r="H731"/>
      <c r="I731"/>
      <c r="L731"/>
      <c r="M731"/>
      <c r="N731" s="61"/>
      <c r="O731"/>
    </row>
    <row r="732" spans="1:15" x14ac:dyDescent="0.2">
      <c r="A732"/>
      <c r="B732" s="61"/>
      <c r="C732" s="61"/>
      <c r="F732"/>
      <c r="G732"/>
      <c r="L732"/>
      <c r="M732"/>
      <c r="N732" s="61"/>
      <c r="O732"/>
    </row>
    <row r="733" spans="1:15" x14ac:dyDescent="0.2">
      <c r="A733"/>
      <c r="B733" s="61"/>
      <c r="C733" s="61"/>
      <c r="F733"/>
      <c r="G733"/>
      <c r="J733"/>
      <c r="K733"/>
      <c r="L733"/>
      <c r="M733"/>
      <c r="N733" s="61"/>
      <c r="O733"/>
    </row>
    <row r="734" spans="1:15" x14ac:dyDescent="0.2">
      <c r="A734"/>
      <c r="B734" s="61"/>
      <c r="C734" s="61"/>
      <c r="F734"/>
      <c r="G734"/>
      <c r="H734"/>
      <c r="I734"/>
      <c r="L734"/>
      <c r="M734"/>
      <c r="N734" s="61"/>
      <c r="O734"/>
    </row>
    <row r="735" spans="1:15" x14ac:dyDescent="0.2">
      <c r="A735"/>
      <c r="B735" s="61"/>
      <c r="C735" s="61"/>
      <c r="F735"/>
      <c r="G735"/>
      <c r="M735"/>
      <c r="N735" s="61"/>
      <c r="O735"/>
    </row>
    <row r="736" spans="1:15" x14ac:dyDescent="0.2">
      <c r="A736"/>
      <c r="B736" s="61"/>
      <c r="C736" s="61"/>
      <c r="F736"/>
      <c r="G736"/>
      <c r="H736"/>
      <c r="I736"/>
      <c r="L736"/>
      <c r="M736"/>
      <c r="N736" s="61"/>
      <c r="O736"/>
    </row>
    <row r="737" spans="1:15" x14ac:dyDescent="0.2">
      <c r="A737"/>
      <c r="B737" s="61"/>
      <c r="C737" s="61"/>
      <c r="F737"/>
      <c r="G737"/>
      <c r="I737"/>
      <c r="L737"/>
      <c r="M737"/>
      <c r="N737" s="61"/>
      <c r="O737"/>
    </row>
    <row r="738" spans="1:15" x14ac:dyDescent="0.2">
      <c r="A738"/>
      <c r="B738" s="61"/>
      <c r="C738" s="61"/>
      <c r="F738"/>
      <c r="G738"/>
      <c r="H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N740" s="61"/>
      <c r="O740"/>
    </row>
    <row r="741" spans="1:15" x14ac:dyDescent="0.2">
      <c r="A741"/>
      <c r="B741" s="61"/>
      <c r="C741" s="61"/>
      <c r="F741"/>
      <c r="G741"/>
      <c r="H741"/>
      <c r="I741"/>
      <c r="L741"/>
      <c r="M741"/>
      <c r="N741" s="61"/>
      <c r="O741"/>
    </row>
    <row r="742" spans="1:15" x14ac:dyDescent="0.2">
      <c r="A742"/>
      <c r="B742" s="61"/>
      <c r="C742" s="61"/>
      <c r="F742"/>
      <c r="G742"/>
      <c r="L742"/>
      <c r="M742"/>
      <c r="N742" s="61"/>
      <c r="O742"/>
    </row>
    <row r="743" spans="1:15" x14ac:dyDescent="0.2">
      <c r="A743"/>
      <c r="B743" s="61"/>
      <c r="C743" s="61"/>
      <c r="F743"/>
      <c r="G743"/>
      <c r="H743"/>
      <c r="I743"/>
      <c r="L743"/>
      <c r="M743"/>
      <c r="N743" s="61"/>
      <c r="O743"/>
    </row>
    <row r="744" spans="1:15" x14ac:dyDescent="0.2">
      <c r="A744"/>
      <c r="B744" s="61"/>
      <c r="C744" s="61"/>
      <c r="F744"/>
      <c r="G744"/>
      <c r="L744"/>
      <c r="M744"/>
      <c r="N744" s="61"/>
      <c r="O744"/>
    </row>
    <row r="745" spans="1:15" x14ac:dyDescent="0.2">
      <c r="A745"/>
      <c r="B745" s="61"/>
      <c r="C745" s="61"/>
      <c r="F745"/>
      <c r="G745"/>
      <c r="H745"/>
      <c r="I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L748"/>
      <c r="M748"/>
      <c r="N748" s="61"/>
      <c r="O748"/>
    </row>
    <row r="749" spans="1:15" x14ac:dyDescent="0.2">
      <c r="A749"/>
      <c r="B749" s="61"/>
      <c r="C749" s="61"/>
      <c r="F749"/>
      <c r="G749"/>
      <c r="H749"/>
      <c r="I749"/>
      <c r="L749"/>
      <c r="M749"/>
      <c r="N749" s="61"/>
      <c r="O749"/>
    </row>
    <row r="750" spans="1:15" x14ac:dyDescent="0.2">
      <c r="A750"/>
      <c r="B750" s="61"/>
      <c r="C750" s="61"/>
      <c r="F750"/>
      <c r="G750"/>
      <c r="H750"/>
      <c r="I750"/>
      <c r="L750"/>
      <c r="M750"/>
      <c r="N750" s="61"/>
      <c r="O750"/>
    </row>
    <row r="751" spans="1:15" x14ac:dyDescent="0.2">
      <c r="A751"/>
      <c r="B751" s="61"/>
      <c r="C751" s="61"/>
      <c r="F751"/>
      <c r="G751"/>
      <c r="M751"/>
      <c r="N751" s="61"/>
      <c r="O751"/>
    </row>
    <row r="752" spans="1:15" x14ac:dyDescent="0.2">
      <c r="A752"/>
      <c r="B752" s="61"/>
      <c r="C752" s="61"/>
      <c r="F752"/>
      <c r="G752"/>
      <c r="H752"/>
      <c r="I752"/>
      <c r="L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J755"/>
      <c r="K755"/>
      <c r="L755"/>
      <c r="M755"/>
      <c r="N755" s="61"/>
      <c r="O755"/>
    </row>
    <row r="756" spans="1:15" x14ac:dyDescent="0.2">
      <c r="A756"/>
      <c r="B756" s="61"/>
      <c r="C756" s="61"/>
      <c r="F756"/>
      <c r="G756"/>
      <c r="H756"/>
      <c r="L756"/>
      <c r="M756"/>
      <c r="N756" s="61"/>
      <c r="O756"/>
    </row>
    <row r="757" spans="1:15" x14ac:dyDescent="0.2">
      <c r="A757"/>
      <c r="B757" s="61"/>
      <c r="C757" s="61"/>
      <c r="F757"/>
      <c r="G757"/>
      <c r="H757"/>
      <c r="I757"/>
      <c r="L757"/>
      <c r="M757"/>
      <c r="N757" s="61"/>
      <c r="O757"/>
    </row>
    <row r="758" spans="1:15" x14ac:dyDescent="0.2">
      <c r="A758"/>
      <c r="B758" s="61"/>
      <c r="C758" s="61"/>
      <c r="F758"/>
      <c r="G758"/>
      <c r="I758"/>
      <c r="L758"/>
      <c r="M758"/>
      <c r="N758" s="61"/>
      <c r="O758"/>
    </row>
    <row r="759" spans="1:15" x14ac:dyDescent="0.2">
      <c r="A759"/>
      <c r="B759" s="61"/>
      <c r="C759" s="61"/>
      <c r="F759"/>
      <c r="G759"/>
      <c r="H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L763"/>
      <c r="M763"/>
      <c r="N763" s="61"/>
      <c r="O763"/>
    </row>
    <row r="764" spans="1:15" x14ac:dyDescent="0.2">
      <c r="A764"/>
      <c r="B764" s="61"/>
      <c r="C764" s="61"/>
      <c r="F764"/>
      <c r="G764"/>
      <c r="M764"/>
      <c r="N764" s="61"/>
      <c r="O764"/>
    </row>
    <row r="765" spans="1:15" x14ac:dyDescent="0.2">
      <c r="A765"/>
      <c r="B765" s="61"/>
      <c r="C765" s="61"/>
      <c r="F765"/>
      <c r="G765"/>
      <c r="I765"/>
      <c r="L765"/>
      <c r="M765"/>
      <c r="N765" s="61"/>
      <c r="O765"/>
    </row>
    <row r="766" spans="1:15" x14ac:dyDescent="0.2">
      <c r="A766"/>
      <c r="B766" s="61"/>
      <c r="C766" s="61"/>
      <c r="F766"/>
      <c r="G766"/>
      <c r="H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L769"/>
      <c r="M769"/>
      <c r="N769" s="61"/>
      <c r="O769"/>
    </row>
    <row r="770" spans="1:15" x14ac:dyDescent="0.2">
      <c r="A770"/>
      <c r="B770" s="61"/>
      <c r="C770" s="61"/>
      <c r="F770"/>
      <c r="G770"/>
      <c r="L770"/>
      <c r="M770"/>
      <c r="N770" s="61"/>
      <c r="O770"/>
    </row>
    <row r="771" spans="1:15" x14ac:dyDescent="0.2">
      <c r="A771"/>
      <c r="B771" s="61"/>
      <c r="C771" s="61"/>
      <c r="F771"/>
      <c r="G771"/>
      <c r="H771"/>
      <c r="J771"/>
      <c r="K771"/>
      <c r="L771"/>
      <c r="M771"/>
      <c r="N771" s="61"/>
      <c r="O771"/>
    </row>
    <row r="772" spans="1:15" x14ac:dyDescent="0.2">
      <c r="A772"/>
      <c r="B772" s="61"/>
      <c r="C772" s="61"/>
      <c r="F772"/>
      <c r="G772"/>
      <c r="H772"/>
      <c r="I772"/>
      <c r="L772"/>
      <c r="M772"/>
      <c r="N772" s="61"/>
      <c r="O772"/>
    </row>
    <row r="773" spans="1:15" x14ac:dyDescent="0.2">
      <c r="A773"/>
      <c r="B773" s="61"/>
      <c r="C773" s="61"/>
      <c r="F773"/>
      <c r="G773"/>
      <c r="L773"/>
      <c r="M773"/>
      <c r="N773" s="61"/>
      <c r="O773"/>
    </row>
    <row r="774" spans="1:15" x14ac:dyDescent="0.2">
      <c r="A774"/>
      <c r="B774" s="61"/>
      <c r="C774" s="61"/>
      <c r="F774"/>
      <c r="G774"/>
      <c r="M774"/>
      <c r="N774" s="61"/>
      <c r="O774"/>
    </row>
    <row r="775" spans="1:15" x14ac:dyDescent="0.2">
      <c r="A775"/>
      <c r="B775" s="61"/>
      <c r="C775" s="61"/>
      <c r="F775"/>
      <c r="G775"/>
      <c r="H775"/>
      <c r="I775"/>
      <c r="L775"/>
      <c r="N775" s="61"/>
      <c r="O775"/>
    </row>
    <row r="776" spans="1:15" x14ac:dyDescent="0.2">
      <c r="A776"/>
      <c r="B776" s="61"/>
      <c r="C776" s="61"/>
      <c r="F776"/>
      <c r="G776"/>
      <c r="H776"/>
      <c r="J776"/>
      <c r="K776"/>
      <c r="L776"/>
      <c r="M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I779"/>
      <c r="L779"/>
      <c r="M779"/>
      <c r="N779" s="61"/>
      <c r="O779"/>
    </row>
    <row r="780" spans="1:15" x14ac:dyDescent="0.2">
      <c r="A780"/>
      <c r="B780" s="61"/>
      <c r="C780" s="61"/>
      <c r="F780"/>
      <c r="G780"/>
      <c r="L780"/>
      <c r="M780"/>
      <c r="N780" s="61"/>
      <c r="O780"/>
    </row>
    <row r="781" spans="1:15" x14ac:dyDescent="0.2">
      <c r="A781"/>
      <c r="B781" s="61"/>
      <c r="C781" s="61"/>
      <c r="F781"/>
      <c r="G781"/>
      <c r="H781"/>
      <c r="I781"/>
      <c r="L781"/>
      <c r="M781"/>
      <c r="N781" s="61"/>
      <c r="O781"/>
    </row>
    <row r="782" spans="1:15" x14ac:dyDescent="0.2">
      <c r="A782"/>
      <c r="B782" s="61"/>
      <c r="C782" s="61"/>
      <c r="F782"/>
      <c r="G782"/>
      <c r="L782"/>
      <c r="M782"/>
      <c r="N782" s="61"/>
      <c r="O782"/>
    </row>
    <row r="783" spans="1:15" x14ac:dyDescent="0.2">
      <c r="A783"/>
      <c r="B783" s="61"/>
      <c r="C783" s="61"/>
      <c r="F783"/>
      <c r="G783"/>
      <c r="L783"/>
      <c r="M783"/>
      <c r="N783" s="61"/>
      <c r="O783"/>
    </row>
    <row r="784" spans="1:15" x14ac:dyDescent="0.2">
      <c r="A784"/>
      <c r="B784" s="61"/>
      <c r="C784" s="61"/>
      <c r="F784"/>
      <c r="G784"/>
      <c r="I784"/>
      <c r="L784"/>
      <c r="M784"/>
      <c r="N784" s="61"/>
      <c r="O784"/>
    </row>
    <row r="785" spans="1:15" x14ac:dyDescent="0.2">
      <c r="A785"/>
      <c r="B785" s="61"/>
      <c r="C785" s="61"/>
      <c r="F785"/>
      <c r="G785"/>
      <c r="H785"/>
      <c r="I785"/>
      <c r="L785"/>
      <c r="M785"/>
      <c r="N785" s="61"/>
      <c r="O785"/>
    </row>
    <row r="786" spans="1:15" x14ac:dyDescent="0.2">
      <c r="A786"/>
      <c r="B786" s="61"/>
      <c r="C786" s="61"/>
      <c r="F786"/>
      <c r="G786"/>
      <c r="H786"/>
      <c r="I786"/>
      <c r="L786"/>
      <c r="N786" s="61"/>
      <c r="O786"/>
    </row>
    <row r="787" spans="1:15" x14ac:dyDescent="0.2">
      <c r="A787"/>
      <c r="B787" s="61"/>
      <c r="C787" s="61"/>
      <c r="F787"/>
      <c r="G787"/>
      <c r="H787"/>
      <c r="L787"/>
      <c r="M787"/>
      <c r="N787" s="61"/>
      <c r="O787"/>
    </row>
    <row r="788" spans="1:15" x14ac:dyDescent="0.2">
      <c r="A788"/>
      <c r="B788" s="61"/>
      <c r="C788" s="61"/>
      <c r="F788"/>
      <c r="G788"/>
      <c r="L788"/>
      <c r="M788"/>
      <c r="N788" s="61"/>
      <c r="O788"/>
    </row>
    <row r="789" spans="1:15" x14ac:dyDescent="0.2">
      <c r="A789"/>
      <c r="B789" s="61"/>
      <c r="C789" s="61"/>
      <c r="F789"/>
      <c r="G789"/>
      <c r="I789"/>
      <c r="L789"/>
      <c r="M789"/>
      <c r="N789" s="61"/>
      <c r="O789"/>
    </row>
    <row r="790" spans="1:15" x14ac:dyDescent="0.2">
      <c r="A790"/>
      <c r="B790" s="61"/>
      <c r="C790" s="61"/>
      <c r="F790"/>
      <c r="G790"/>
      <c r="L790"/>
      <c r="M790"/>
      <c r="N790" s="61"/>
      <c r="O790"/>
    </row>
    <row r="791" spans="1:15" x14ac:dyDescent="0.2">
      <c r="A791"/>
      <c r="B791" s="61"/>
      <c r="C791" s="61"/>
      <c r="F791"/>
      <c r="G791"/>
      <c r="H791"/>
      <c r="I791"/>
      <c r="J791"/>
      <c r="K791"/>
      <c r="L791"/>
      <c r="M791"/>
      <c r="N791" s="61"/>
      <c r="O791"/>
    </row>
    <row r="792" spans="1:15" x14ac:dyDescent="0.2">
      <c r="A792"/>
      <c r="B792" s="61"/>
      <c r="C792" s="61"/>
      <c r="F792"/>
      <c r="G792"/>
      <c r="J792"/>
      <c r="M792"/>
      <c r="N792" s="61"/>
      <c r="O792"/>
    </row>
    <row r="793" spans="1:15" x14ac:dyDescent="0.2">
      <c r="A793"/>
      <c r="B793" s="61"/>
      <c r="C793" s="61"/>
      <c r="F793"/>
      <c r="G793"/>
      <c r="I793"/>
      <c r="L793"/>
      <c r="M793"/>
      <c r="N793" s="61"/>
      <c r="O793"/>
    </row>
    <row r="794" spans="1:15" x14ac:dyDescent="0.2">
      <c r="A794"/>
      <c r="B794" s="61"/>
      <c r="C794" s="61"/>
      <c r="F794"/>
      <c r="G794"/>
      <c r="H794"/>
      <c r="J794"/>
      <c r="K794"/>
      <c r="L794"/>
      <c r="M794"/>
      <c r="N794" s="61"/>
      <c r="O794"/>
    </row>
    <row r="795" spans="1:15" x14ac:dyDescent="0.2">
      <c r="A795"/>
      <c r="B795" s="61"/>
      <c r="C795" s="61"/>
      <c r="F795"/>
      <c r="G795"/>
      <c r="L795"/>
      <c r="M795"/>
      <c r="N795" s="61"/>
      <c r="O795"/>
    </row>
    <row r="796" spans="1:15" x14ac:dyDescent="0.2">
      <c r="A796"/>
      <c r="B796" s="61"/>
      <c r="C796" s="61"/>
      <c r="F796"/>
      <c r="G796"/>
      <c r="J796"/>
      <c r="K796"/>
      <c r="L796"/>
      <c r="M796"/>
      <c r="N796" s="61"/>
      <c r="O796"/>
    </row>
    <row r="797" spans="1:15" x14ac:dyDescent="0.2">
      <c r="A797"/>
      <c r="B797" s="61"/>
      <c r="C797" s="61"/>
      <c r="F797"/>
      <c r="G797"/>
      <c r="I797"/>
      <c r="L797"/>
      <c r="M797"/>
      <c r="N797" s="61"/>
      <c r="O797"/>
    </row>
    <row r="798" spans="1:15" x14ac:dyDescent="0.2">
      <c r="A798"/>
      <c r="B798" s="61"/>
      <c r="C798" s="61"/>
      <c r="F798"/>
      <c r="G798"/>
      <c r="H798"/>
      <c r="I798"/>
      <c r="L798"/>
      <c r="M798"/>
      <c r="N798" s="61"/>
      <c r="O798"/>
    </row>
    <row r="799" spans="1:15" x14ac:dyDescent="0.2">
      <c r="A799"/>
      <c r="B799" s="61"/>
      <c r="C799" s="61"/>
      <c r="F799"/>
      <c r="G799"/>
      <c r="L799"/>
      <c r="M799"/>
      <c r="N799" s="61"/>
      <c r="O799"/>
    </row>
    <row r="800" spans="1:15" x14ac:dyDescent="0.2">
      <c r="A800"/>
      <c r="B800" s="61"/>
      <c r="C800" s="61"/>
      <c r="F800"/>
      <c r="G800"/>
      <c r="L800"/>
      <c r="M800"/>
      <c r="N800" s="61"/>
      <c r="O800"/>
    </row>
    <row r="801" spans="1:15" x14ac:dyDescent="0.2">
      <c r="A801"/>
      <c r="B801" s="61"/>
      <c r="C801" s="61"/>
      <c r="F801"/>
      <c r="G801"/>
      <c r="H801"/>
      <c r="I801"/>
      <c r="L801"/>
      <c r="M801"/>
      <c r="N801" s="61"/>
      <c r="O801"/>
    </row>
    <row r="802" spans="1:15" x14ac:dyDescent="0.2">
      <c r="A802"/>
      <c r="B802" s="61"/>
      <c r="C802" s="61"/>
      <c r="F802"/>
      <c r="G802"/>
      <c r="L802"/>
      <c r="M802"/>
      <c r="N802" s="61"/>
      <c r="O802"/>
    </row>
    <row r="803" spans="1:15" x14ac:dyDescent="0.2">
      <c r="A803"/>
      <c r="B803" s="61"/>
      <c r="C803" s="61"/>
      <c r="F803"/>
      <c r="G803"/>
      <c r="H803"/>
      <c r="J803"/>
      <c r="K803"/>
      <c r="L803"/>
      <c r="M803"/>
      <c r="N803" s="61"/>
      <c r="O803"/>
    </row>
    <row r="804" spans="1:15" x14ac:dyDescent="0.2">
      <c r="A804"/>
      <c r="B804" s="61"/>
      <c r="C804" s="61"/>
      <c r="F804"/>
      <c r="G804"/>
      <c r="H804"/>
      <c r="I804"/>
      <c r="L804"/>
      <c r="M804"/>
      <c r="N804" s="61"/>
      <c r="O804"/>
    </row>
    <row r="805" spans="1:15" x14ac:dyDescent="0.2">
      <c r="A805"/>
      <c r="B805" s="61"/>
      <c r="C805" s="61"/>
      <c r="F805"/>
      <c r="G805"/>
      <c r="I805"/>
      <c r="L805"/>
      <c r="M805"/>
      <c r="N805" s="61"/>
      <c r="O805"/>
    </row>
    <row r="806" spans="1:15" x14ac:dyDescent="0.2">
      <c r="A806"/>
      <c r="B806" s="61"/>
      <c r="C806" s="61"/>
      <c r="F806"/>
      <c r="G806"/>
      <c r="H806"/>
      <c r="I806"/>
      <c r="L806"/>
      <c r="M806"/>
      <c r="N806" s="61"/>
      <c r="O806"/>
    </row>
    <row r="807" spans="1:15" x14ac:dyDescent="0.2">
      <c r="A807"/>
      <c r="B807" s="61"/>
      <c r="C807" s="61"/>
      <c r="F807"/>
      <c r="G807"/>
      <c r="H807"/>
      <c r="I807"/>
      <c r="L807"/>
      <c r="M807"/>
      <c r="N807" s="61"/>
      <c r="O807"/>
    </row>
    <row r="808" spans="1:15" x14ac:dyDescent="0.2">
      <c r="A808"/>
      <c r="B808" s="61"/>
      <c r="C808" s="61"/>
      <c r="F808"/>
      <c r="G808"/>
      <c r="L808"/>
      <c r="M808"/>
      <c r="N808" s="61"/>
      <c r="O808"/>
    </row>
    <row r="809" spans="1:15" x14ac:dyDescent="0.2">
      <c r="A809"/>
      <c r="B809" s="61"/>
      <c r="C809" s="61"/>
      <c r="F809"/>
      <c r="G809"/>
      <c r="H809"/>
      <c r="I809"/>
      <c r="L809"/>
      <c r="M809"/>
      <c r="N809" s="61"/>
      <c r="O809"/>
    </row>
    <row r="810" spans="1:15" x14ac:dyDescent="0.2">
      <c r="A810"/>
      <c r="B810" s="61"/>
      <c r="C810" s="61"/>
      <c r="F810"/>
      <c r="G810"/>
      <c r="J810"/>
      <c r="K810"/>
      <c r="L810"/>
      <c r="M810"/>
      <c r="N810" s="61"/>
      <c r="O810"/>
    </row>
    <row r="811" spans="1:15" x14ac:dyDescent="0.2">
      <c r="A811"/>
      <c r="B811" s="61"/>
      <c r="C811" s="61"/>
      <c r="F811"/>
      <c r="G811"/>
      <c r="L811"/>
      <c r="M811"/>
      <c r="N811" s="61"/>
      <c r="O811"/>
    </row>
    <row r="812" spans="1:15" x14ac:dyDescent="0.2">
      <c r="A812"/>
      <c r="B812" s="61"/>
      <c r="C812" s="61"/>
      <c r="F812"/>
      <c r="G812"/>
      <c r="M812"/>
      <c r="N812" s="61"/>
      <c r="O812"/>
    </row>
    <row r="813" spans="1:15" x14ac:dyDescent="0.2">
      <c r="A813"/>
      <c r="B813" s="61"/>
      <c r="C813" s="61"/>
      <c r="F813"/>
      <c r="G813"/>
      <c r="H813"/>
      <c r="I813"/>
      <c r="L813"/>
      <c r="M813"/>
      <c r="N813" s="61"/>
      <c r="O813"/>
    </row>
    <row r="814" spans="1:15" x14ac:dyDescent="0.2">
      <c r="A814"/>
      <c r="B814" s="61"/>
      <c r="C814" s="61"/>
      <c r="F814"/>
      <c r="G814"/>
      <c r="H814"/>
      <c r="L814"/>
      <c r="M814"/>
      <c r="N814" s="61"/>
      <c r="O814"/>
    </row>
    <row r="815" spans="1:15" x14ac:dyDescent="0.2">
      <c r="A815"/>
      <c r="B815" s="61"/>
      <c r="C815" s="61"/>
      <c r="F815"/>
      <c r="G815"/>
      <c r="H815"/>
      <c r="I815"/>
      <c r="L815"/>
      <c r="M815"/>
      <c r="N815" s="61"/>
      <c r="O815"/>
    </row>
    <row r="816" spans="1:15" x14ac:dyDescent="0.2">
      <c r="A816"/>
      <c r="B816" s="61"/>
      <c r="C816" s="61"/>
      <c r="F816"/>
      <c r="G816"/>
      <c r="H816"/>
      <c r="I816"/>
      <c r="L816"/>
      <c r="M816"/>
      <c r="N816" s="61"/>
      <c r="O816"/>
    </row>
    <row r="817" spans="1:15" x14ac:dyDescent="0.2">
      <c r="A817"/>
      <c r="B817" s="61"/>
      <c r="C817" s="61"/>
      <c r="F817"/>
      <c r="G817"/>
      <c r="L817"/>
      <c r="M817"/>
      <c r="N817" s="61"/>
      <c r="O817"/>
    </row>
    <row r="818" spans="1:15" x14ac:dyDescent="0.2">
      <c r="A818"/>
      <c r="B818" s="61"/>
      <c r="C818" s="61"/>
      <c r="F818"/>
      <c r="G818"/>
      <c r="I818"/>
      <c r="L818"/>
      <c r="M818"/>
      <c r="N818" s="61"/>
      <c r="O818"/>
    </row>
    <row r="819" spans="1:15" x14ac:dyDescent="0.2">
      <c r="A819"/>
      <c r="B819" s="61"/>
      <c r="C819" s="61"/>
      <c r="F819"/>
      <c r="G819"/>
      <c r="H819"/>
      <c r="I819"/>
      <c r="L819"/>
      <c r="N819" s="61"/>
      <c r="O819"/>
    </row>
    <row r="820" spans="1:15" x14ac:dyDescent="0.2">
      <c r="A820"/>
      <c r="B820" s="61"/>
      <c r="C820" s="61"/>
      <c r="F820"/>
      <c r="G820"/>
      <c r="I820"/>
      <c r="L820"/>
      <c r="M820"/>
      <c r="N820" s="61"/>
      <c r="O820"/>
    </row>
    <row r="821" spans="1:15" x14ac:dyDescent="0.2">
      <c r="A821"/>
      <c r="B821" s="61"/>
      <c r="C821" s="61"/>
      <c r="F821"/>
      <c r="G821"/>
      <c r="H821"/>
      <c r="L821"/>
      <c r="M821"/>
      <c r="N821" s="61"/>
      <c r="O821"/>
    </row>
    <row r="822" spans="1:15" x14ac:dyDescent="0.2">
      <c r="A822"/>
      <c r="B822" s="61"/>
      <c r="C822" s="61"/>
      <c r="F822"/>
      <c r="G822"/>
      <c r="H822"/>
      <c r="I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M825"/>
      <c r="N825" s="61"/>
      <c r="O825"/>
    </row>
    <row r="826" spans="1:15" x14ac:dyDescent="0.2">
      <c r="A826"/>
      <c r="B826" s="61"/>
      <c r="C826" s="61"/>
      <c r="F826"/>
      <c r="G826"/>
      <c r="H826"/>
      <c r="M826"/>
      <c r="N826" s="61"/>
      <c r="O826"/>
    </row>
    <row r="827" spans="1:15" x14ac:dyDescent="0.2">
      <c r="A827"/>
      <c r="B827" s="61"/>
      <c r="C827" s="61"/>
      <c r="F827"/>
      <c r="G827"/>
      <c r="I827"/>
      <c r="L827"/>
      <c r="M827"/>
      <c r="N827" s="61"/>
      <c r="O827"/>
    </row>
    <row r="828" spans="1:15" x14ac:dyDescent="0.2">
      <c r="A828"/>
      <c r="B828" s="61"/>
      <c r="C828" s="61"/>
      <c r="F828"/>
      <c r="G828"/>
      <c r="M828"/>
      <c r="N828" s="61"/>
      <c r="O828"/>
    </row>
    <row r="829" spans="1:15" x14ac:dyDescent="0.2">
      <c r="A829"/>
      <c r="B829" s="61"/>
      <c r="C829" s="61"/>
      <c r="F829"/>
      <c r="G829"/>
      <c r="H829"/>
      <c r="I829"/>
      <c r="L829"/>
      <c r="M829"/>
      <c r="N829" s="61"/>
      <c r="O829"/>
    </row>
    <row r="830" spans="1:15" x14ac:dyDescent="0.2">
      <c r="A830"/>
      <c r="B830" s="61"/>
      <c r="C830" s="61"/>
      <c r="F830"/>
      <c r="G830"/>
      <c r="H830"/>
      <c r="I830"/>
      <c r="L830"/>
      <c r="M830"/>
      <c r="N830" s="61"/>
      <c r="O830"/>
    </row>
    <row r="831" spans="1:15" x14ac:dyDescent="0.2">
      <c r="A831"/>
      <c r="B831" s="61"/>
      <c r="C831" s="61"/>
      <c r="F831"/>
      <c r="G831"/>
      <c r="M831"/>
      <c r="N831" s="61"/>
      <c r="O831"/>
    </row>
    <row r="832" spans="1:15" x14ac:dyDescent="0.2">
      <c r="A832"/>
      <c r="B832" s="61"/>
      <c r="C832" s="61"/>
      <c r="F832"/>
      <c r="G832"/>
      <c r="L832"/>
      <c r="M832"/>
      <c r="N832" s="61"/>
      <c r="O832"/>
    </row>
    <row r="833" spans="1:15" x14ac:dyDescent="0.2">
      <c r="A833"/>
      <c r="B833" s="61"/>
      <c r="C833" s="61"/>
      <c r="F833"/>
      <c r="G833"/>
      <c r="H833"/>
      <c r="I833"/>
      <c r="L833"/>
      <c r="M833"/>
      <c r="N833" s="61"/>
      <c r="O833"/>
    </row>
    <row r="834" spans="1:15" x14ac:dyDescent="0.2">
      <c r="A834"/>
      <c r="B834" s="61"/>
      <c r="C834" s="61"/>
      <c r="F834"/>
      <c r="G834"/>
      <c r="L834"/>
      <c r="M834"/>
      <c r="N834" s="61"/>
      <c r="O834"/>
    </row>
    <row r="835" spans="1:15" x14ac:dyDescent="0.2">
      <c r="A835"/>
      <c r="B835" s="61"/>
      <c r="C835" s="61"/>
      <c r="F835"/>
      <c r="G835"/>
      <c r="L835"/>
      <c r="M835"/>
      <c r="N835" s="61"/>
      <c r="O835"/>
    </row>
    <row r="836" spans="1:15" x14ac:dyDescent="0.2">
      <c r="A836"/>
      <c r="B836" s="61"/>
      <c r="C836" s="61"/>
      <c r="F836"/>
      <c r="G836"/>
      <c r="H836"/>
      <c r="I836"/>
      <c r="J836"/>
      <c r="K836"/>
      <c r="L836"/>
      <c r="M836"/>
      <c r="N836" s="61"/>
      <c r="O836"/>
    </row>
    <row r="837" spans="1:15" x14ac:dyDescent="0.2">
      <c r="A837"/>
      <c r="B837" s="61"/>
      <c r="C837" s="61"/>
      <c r="F837"/>
      <c r="G837"/>
      <c r="I837"/>
      <c r="L837"/>
      <c r="M837"/>
      <c r="N837" s="61"/>
      <c r="O837"/>
    </row>
    <row r="838" spans="1:15" x14ac:dyDescent="0.2">
      <c r="A838"/>
      <c r="B838" s="61"/>
      <c r="C838" s="61"/>
      <c r="F838"/>
      <c r="G838"/>
      <c r="H838"/>
      <c r="I838"/>
      <c r="L838"/>
      <c r="M838"/>
      <c r="N838" s="61"/>
      <c r="O838"/>
    </row>
    <row r="839" spans="1:15" x14ac:dyDescent="0.2">
      <c r="A839"/>
      <c r="B839" s="61"/>
      <c r="C839" s="61"/>
      <c r="F839"/>
      <c r="G839"/>
      <c r="I839"/>
      <c r="L839"/>
      <c r="M839"/>
      <c r="N839" s="61"/>
      <c r="O839"/>
    </row>
    <row r="840" spans="1:15" x14ac:dyDescent="0.2">
      <c r="A840"/>
      <c r="B840" s="61"/>
      <c r="C840" s="61"/>
      <c r="F840"/>
      <c r="G840"/>
      <c r="H840"/>
      <c r="I840"/>
      <c r="L840"/>
      <c r="M840"/>
      <c r="N840" s="61"/>
      <c r="O840"/>
    </row>
    <row r="841" spans="1:15" x14ac:dyDescent="0.2">
      <c r="A841"/>
      <c r="B841" s="61"/>
      <c r="C841" s="61"/>
      <c r="F841"/>
      <c r="G841"/>
      <c r="L841"/>
      <c r="M841"/>
      <c r="N841" s="61"/>
      <c r="O841"/>
    </row>
    <row r="842" spans="1:15" x14ac:dyDescent="0.2">
      <c r="A842"/>
      <c r="B842" s="61"/>
      <c r="C842" s="61"/>
      <c r="F842"/>
      <c r="G842"/>
      <c r="J842"/>
      <c r="K842"/>
      <c r="L842"/>
      <c r="M842"/>
      <c r="N842" s="61"/>
      <c r="O842"/>
    </row>
    <row r="843" spans="1:15" x14ac:dyDescent="0.2">
      <c r="A843"/>
      <c r="B843" s="61"/>
      <c r="C843" s="61"/>
      <c r="F843"/>
      <c r="G843"/>
      <c r="I843"/>
      <c r="L843"/>
      <c r="M843"/>
      <c r="N843" s="61"/>
      <c r="O843"/>
    </row>
    <row r="844" spans="1:15" x14ac:dyDescent="0.2">
      <c r="A844"/>
      <c r="B844" s="61"/>
      <c r="C844" s="61"/>
      <c r="F844"/>
      <c r="G844"/>
      <c r="H844"/>
      <c r="I844"/>
      <c r="L844"/>
      <c r="N844" s="61"/>
      <c r="O844"/>
    </row>
    <row r="845" spans="1:15" x14ac:dyDescent="0.2">
      <c r="A845"/>
      <c r="B845" s="61"/>
      <c r="C845" s="61"/>
      <c r="F845"/>
      <c r="G845"/>
      <c r="H845"/>
      <c r="I845"/>
      <c r="L845"/>
      <c r="M845"/>
      <c r="N845" s="61"/>
      <c r="O845"/>
    </row>
    <row r="846" spans="1:15" x14ac:dyDescent="0.2">
      <c r="A846"/>
      <c r="B846" s="61"/>
      <c r="C846" s="61"/>
      <c r="F846"/>
      <c r="G846"/>
      <c r="J846"/>
      <c r="K846"/>
      <c r="L846"/>
      <c r="M846"/>
      <c r="N846" s="61"/>
      <c r="O846"/>
    </row>
    <row r="847" spans="1:15" x14ac:dyDescent="0.2">
      <c r="A847"/>
      <c r="B847" s="61"/>
      <c r="C847" s="61"/>
      <c r="F847"/>
      <c r="G847"/>
      <c r="H847"/>
      <c r="I847"/>
      <c r="L847"/>
      <c r="M847"/>
      <c r="N847" s="61"/>
      <c r="O847"/>
    </row>
    <row r="848" spans="1:15" x14ac:dyDescent="0.2">
      <c r="A848"/>
      <c r="B848" s="61"/>
      <c r="C848" s="61"/>
      <c r="F848"/>
      <c r="G848"/>
      <c r="H848"/>
      <c r="I848"/>
      <c r="L848"/>
      <c r="M848"/>
      <c r="N848" s="61"/>
      <c r="O848"/>
    </row>
    <row r="849" spans="1:15" x14ac:dyDescent="0.2">
      <c r="A849"/>
      <c r="B849" s="61"/>
      <c r="C849" s="61"/>
      <c r="F849"/>
      <c r="G849"/>
      <c r="L849"/>
      <c r="M849"/>
      <c r="N849" s="61"/>
      <c r="O849"/>
    </row>
    <row r="850" spans="1:15" x14ac:dyDescent="0.2">
      <c r="A850"/>
      <c r="B850" s="61"/>
      <c r="C850" s="61"/>
      <c r="F850"/>
      <c r="G850"/>
      <c r="L850"/>
      <c r="M850"/>
      <c r="N850" s="61"/>
      <c r="O850"/>
    </row>
    <row r="851" spans="1:15" x14ac:dyDescent="0.2">
      <c r="A851"/>
      <c r="B851" s="61"/>
      <c r="C851" s="61"/>
      <c r="F851"/>
      <c r="G851"/>
      <c r="H851"/>
      <c r="J851"/>
      <c r="K851"/>
      <c r="L851"/>
      <c r="M851"/>
      <c r="N851" s="61"/>
      <c r="O851"/>
    </row>
    <row r="852" spans="1:15" x14ac:dyDescent="0.2">
      <c r="A852"/>
      <c r="B852" s="61"/>
      <c r="C852" s="61"/>
      <c r="F852"/>
      <c r="G852"/>
      <c r="J852"/>
      <c r="K852"/>
      <c r="L852"/>
      <c r="M852"/>
      <c r="N852" s="61"/>
      <c r="O852"/>
    </row>
    <row r="853" spans="1:15" x14ac:dyDescent="0.2">
      <c r="A853"/>
      <c r="B853" s="61"/>
      <c r="C853" s="61"/>
      <c r="F853"/>
      <c r="G853"/>
      <c r="H853"/>
      <c r="J853"/>
      <c r="K853"/>
      <c r="L853"/>
      <c r="M853"/>
      <c r="N853" s="61"/>
      <c r="O853"/>
    </row>
    <row r="854" spans="1:15" x14ac:dyDescent="0.2">
      <c r="A854"/>
      <c r="B854" s="61"/>
      <c r="C854" s="61"/>
      <c r="F854"/>
      <c r="G854"/>
      <c r="J854"/>
      <c r="K854"/>
      <c r="L854"/>
      <c r="M854"/>
      <c r="N854" s="61"/>
      <c r="O854"/>
    </row>
    <row r="855" spans="1:15" x14ac:dyDescent="0.2">
      <c r="A855"/>
      <c r="B855" s="61"/>
      <c r="C855" s="61"/>
      <c r="F855"/>
      <c r="G855"/>
      <c r="H855"/>
      <c r="J855"/>
      <c r="K855"/>
      <c r="L855"/>
      <c r="M855"/>
      <c r="N855" s="61"/>
      <c r="O855"/>
    </row>
    <row r="856" spans="1:15" x14ac:dyDescent="0.2">
      <c r="A856"/>
      <c r="B856" s="61"/>
      <c r="C856" s="61"/>
      <c r="F856"/>
      <c r="G856"/>
      <c r="H856"/>
      <c r="I856"/>
      <c r="L856"/>
      <c r="N856" s="61"/>
      <c r="O856"/>
    </row>
    <row r="857" spans="1:15" x14ac:dyDescent="0.2">
      <c r="A857"/>
      <c r="B857" s="61"/>
      <c r="C857" s="61"/>
      <c r="F857"/>
      <c r="G857"/>
      <c r="I857"/>
      <c r="L857"/>
      <c r="M857"/>
      <c r="N857" s="61"/>
      <c r="O857"/>
    </row>
    <row r="858" spans="1:15" x14ac:dyDescent="0.2">
      <c r="A858"/>
      <c r="B858" s="61"/>
      <c r="C858" s="61"/>
      <c r="F858"/>
      <c r="G858"/>
      <c r="L858"/>
      <c r="M858"/>
      <c r="N858" s="61"/>
      <c r="O858"/>
    </row>
    <row r="859" spans="1:15" x14ac:dyDescent="0.2">
      <c r="A859"/>
      <c r="B859" s="61"/>
      <c r="C859" s="61"/>
      <c r="F859"/>
      <c r="G859"/>
      <c r="H859"/>
      <c r="J859"/>
      <c r="K859"/>
      <c r="L859"/>
      <c r="M859"/>
      <c r="N859" s="61"/>
      <c r="O859"/>
    </row>
    <row r="860" spans="1:15" x14ac:dyDescent="0.2">
      <c r="A860"/>
      <c r="B860" s="61"/>
      <c r="C860" s="61"/>
      <c r="F860"/>
      <c r="G860"/>
      <c r="H860"/>
      <c r="I860"/>
      <c r="L860"/>
      <c r="M860"/>
      <c r="N860" s="61"/>
      <c r="O860"/>
    </row>
    <row r="861" spans="1:15" x14ac:dyDescent="0.2">
      <c r="A861"/>
      <c r="B861" s="61"/>
      <c r="C861" s="61"/>
      <c r="F861"/>
      <c r="G861"/>
      <c r="H861"/>
      <c r="I861"/>
      <c r="L861"/>
      <c r="N861" s="61"/>
      <c r="O861"/>
    </row>
    <row r="862" spans="1:15" x14ac:dyDescent="0.2">
      <c r="A862"/>
      <c r="B862" s="61"/>
      <c r="C862" s="61"/>
      <c r="F862"/>
      <c r="G862"/>
      <c r="H862"/>
      <c r="I862"/>
      <c r="L862"/>
      <c r="M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I865"/>
      <c r="L865"/>
      <c r="M865"/>
      <c r="N865" s="61"/>
      <c r="O865"/>
    </row>
    <row r="866" spans="1:15" x14ac:dyDescent="0.2">
      <c r="A866"/>
      <c r="B866" s="61"/>
      <c r="C866" s="61"/>
      <c r="F866"/>
      <c r="G866"/>
      <c r="L866"/>
      <c r="M866"/>
      <c r="N866" s="61"/>
      <c r="O866"/>
    </row>
    <row r="867" spans="1:15" x14ac:dyDescent="0.2">
      <c r="A867"/>
      <c r="B867" s="61"/>
      <c r="C867" s="61"/>
      <c r="F867"/>
      <c r="G867"/>
      <c r="H867"/>
      <c r="J867"/>
      <c r="K867"/>
      <c r="L867"/>
      <c r="M867"/>
      <c r="N867" s="61"/>
      <c r="O867"/>
    </row>
    <row r="868" spans="1:15" x14ac:dyDescent="0.2">
      <c r="A868"/>
      <c r="B868" s="61"/>
      <c r="C868" s="61"/>
      <c r="F868"/>
      <c r="G868"/>
      <c r="I868"/>
      <c r="L868"/>
      <c r="M868"/>
      <c r="N868" s="61"/>
      <c r="O868"/>
    </row>
    <row r="869" spans="1:15" x14ac:dyDescent="0.2">
      <c r="A869"/>
      <c r="B869" s="61"/>
      <c r="C869" s="61"/>
      <c r="F869"/>
      <c r="G869"/>
      <c r="I869"/>
      <c r="L869"/>
      <c r="M869"/>
      <c r="N869" s="61"/>
      <c r="O869"/>
    </row>
    <row r="870" spans="1:15" x14ac:dyDescent="0.2">
      <c r="A870"/>
      <c r="B870" s="61"/>
      <c r="C870" s="61"/>
      <c r="F870"/>
      <c r="G870"/>
      <c r="M870"/>
      <c r="N870" s="61"/>
      <c r="O870"/>
    </row>
    <row r="871" spans="1:15" x14ac:dyDescent="0.2">
      <c r="A871"/>
      <c r="B871" s="61"/>
      <c r="C871" s="61"/>
      <c r="F871"/>
      <c r="G871"/>
      <c r="I871"/>
      <c r="L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H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L878"/>
      <c r="M878"/>
      <c r="N878" s="61"/>
      <c r="O878"/>
    </row>
    <row r="879" spans="1:15" x14ac:dyDescent="0.2">
      <c r="A879"/>
      <c r="B879" s="61"/>
      <c r="C879" s="61"/>
      <c r="F879"/>
      <c r="G879"/>
      <c r="H879"/>
      <c r="I879"/>
      <c r="L879"/>
      <c r="M879"/>
      <c r="N879" s="61"/>
      <c r="O879"/>
    </row>
    <row r="880" spans="1:15" x14ac:dyDescent="0.2">
      <c r="A880"/>
      <c r="B880" s="61"/>
      <c r="C880" s="61"/>
      <c r="F880"/>
      <c r="G880"/>
      <c r="H880"/>
      <c r="I880"/>
      <c r="L880"/>
      <c r="M880"/>
      <c r="N880" s="61"/>
      <c r="O880"/>
    </row>
    <row r="881" spans="1:15" x14ac:dyDescent="0.2">
      <c r="A881"/>
      <c r="B881" s="61"/>
      <c r="C881" s="61"/>
      <c r="F881"/>
      <c r="G881"/>
      <c r="L881"/>
      <c r="M881"/>
      <c r="N881" s="61"/>
      <c r="O881"/>
    </row>
    <row r="882" spans="1:15" x14ac:dyDescent="0.2">
      <c r="A882"/>
      <c r="B882" s="61"/>
      <c r="C882" s="61"/>
      <c r="F882"/>
      <c r="G882"/>
      <c r="H882"/>
      <c r="I882"/>
      <c r="L882"/>
      <c r="M882"/>
      <c r="N882" s="61"/>
      <c r="O882"/>
    </row>
    <row r="883" spans="1:15" x14ac:dyDescent="0.2">
      <c r="A883"/>
      <c r="B883" s="61"/>
      <c r="C883" s="61"/>
      <c r="F883"/>
      <c r="G883"/>
      <c r="H883"/>
      <c r="I883"/>
      <c r="L883"/>
      <c r="M883"/>
      <c r="N883" s="61"/>
      <c r="O883"/>
    </row>
    <row r="884" spans="1:15" x14ac:dyDescent="0.2">
      <c r="A884"/>
      <c r="B884" s="61"/>
      <c r="C884" s="61"/>
      <c r="F884"/>
      <c r="G884"/>
      <c r="M884"/>
      <c r="N884" s="61"/>
      <c r="O884"/>
    </row>
    <row r="885" spans="1:15" x14ac:dyDescent="0.2">
      <c r="A885"/>
      <c r="B885" s="61"/>
      <c r="C885" s="61"/>
      <c r="F885"/>
      <c r="G885"/>
      <c r="H885"/>
      <c r="I885"/>
      <c r="L885"/>
      <c r="M885"/>
      <c r="N885" s="61"/>
      <c r="O885"/>
    </row>
    <row r="886" spans="1:15" x14ac:dyDescent="0.2">
      <c r="A886"/>
      <c r="B886" s="61"/>
      <c r="C886" s="61"/>
      <c r="F886"/>
      <c r="G886"/>
      <c r="H886"/>
      <c r="I886"/>
      <c r="L886"/>
      <c r="M886"/>
      <c r="N886" s="61"/>
      <c r="O886"/>
    </row>
    <row r="887" spans="1:15" x14ac:dyDescent="0.2">
      <c r="A887"/>
      <c r="B887" s="61"/>
      <c r="C887" s="61"/>
      <c r="F887"/>
      <c r="G887"/>
      <c r="L887"/>
      <c r="M887"/>
      <c r="N887" s="61"/>
      <c r="O887"/>
    </row>
    <row r="888" spans="1:15" x14ac:dyDescent="0.2">
      <c r="A888"/>
      <c r="B888" s="61"/>
      <c r="C888" s="61"/>
      <c r="F888"/>
      <c r="G888"/>
      <c r="I888"/>
      <c r="J888"/>
      <c r="K888"/>
      <c r="L888"/>
      <c r="M888"/>
      <c r="N888" s="61"/>
      <c r="O888"/>
    </row>
    <row r="889" spans="1:15" x14ac:dyDescent="0.2">
      <c r="A889"/>
      <c r="B889" s="61"/>
      <c r="C889" s="61"/>
      <c r="F889"/>
      <c r="G889"/>
      <c r="I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H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I896"/>
      <c r="L896"/>
      <c r="M896"/>
      <c r="N896" s="61"/>
      <c r="O896"/>
    </row>
    <row r="897" spans="1:15" x14ac:dyDescent="0.2">
      <c r="A897"/>
      <c r="B897" s="61"/>
      <c r="C897" s="61"/>
      <c r="F897"/>
      <c r="G897"/>
      <c r="I897"/>
      <c r="L897"/>
      <c r="M897"/>
      <c r="N897" s="61"/>
      <c r="O897"/>
    </row>
    <row r="898" spans="1:15" x14ac:dyDescent="0.2">
      <c r="A898"/>
      <c r="B898" s="61"/>
      <c r="C898" s="61"/>
      <c r="F898"/>
      <c r="G898"/>
      <c r="H898"/>
      <c r="I898"/>
      <c r="L898"/>
      <c r="M898"/>
      <c r="N898" s="61"/>
      <c r="O898"/>
    </row>
    <row r="899" spans="1:15" x14ac:dyDescent="0.2">
      <c r="A899"/>
      <c r="B899" s="61"/>
      <c r="C899" s="61"/>
      <c r="F899"/>
      <c r="G899"/>
      <c r="H899"/>
      <c r="I899"/>
      <c r="L899"/>
      <c r="M899"/>
      <c r="N899" s="61"/>
      <c r="O899"/>
    </row>
    <row r="900" spans="1:15" x14ac:dyDescent="0.2">
      <c r="A900"/>
      <c r="B900" s="61"/>
      <c r="C900" s="61"/>
      <c r="F900"/>
      <c r="G900"/>
      <c r="I900"/>
      <c r="L900"/>
      <c r="M900"/>
      <c r="N900" s="61"/>
      <c r="O900"/>
    </row>
    <row r="901" spans="1:15" x14ac:dyDescent="0.2">
      <c r="A901"/>
      <c r="B901" s="61"/>
      <c r="C901" s="61"/>
      <c r="F901"/>
      <c r="G901"/>
      <c r="J901"/>
      <c r="K901"/>
      <c r="L901"/>
      <c r="M901"/>
      <c r="N901" s="61"/>
      <c r="O901"/>
    </row>
    <row r="902" spans="1:15" x14ac:dyDescent="0.2">
      <c r="A902"/>
      <c r="B902" s="61"/>
      <c r="C902" s="61"/>
      <c r="F902"/>
      <c r="G902"/>
      <c r="H902"/>
      <c r="I902"/>
      <c r="L902"/>
      <c r="M902"/>
      <c r="N902" s="61"/>
      <c r="O902"/>
    </row>
    <row r="903" spans="1:15" x14ac:dyDescent="0.2">
      <c r="A903"/>
      <c r="B903" s="61"/>
      <c r="C903" s="61"/>
      <c r="F903"/>
      <c r="G903"/>
      <c r="H903"/>
      <c r="I903"/>
      <c r="L903"/>
      <c r="M903"/>
      <c r="N903" s="61"/>
      <c r="O903"/>
    </row>
    <row r="904" spans="1:15" x14ac:dyDescent="0.2">
      <c r="A904"/>
      <c r="B904" s="61"/>
      <c r="C904" s="61"/>
      <c r="F904"/>
      <c r="G904"/>
      <c r="I904"/>
      <c r="L904"/>
      <c r="M904"/>
      <c r="N904" s="61"/>
      <c r="O904"/>
    </row>
    <row r="905" spans="1:15" x14ac:dyDescent="0.2">
      <c r="A905"/>
      <c r="B905" s="61"/>
      <c r="C905" s="61"/>
      <c r="F905"/>
      <c r="G905"/>
      <c r="H905"/>
      <c r="I905"/>
      <c r="L905"/>
      <c r="M905"/>
      <c r="N905" s="61"/>
      <c r="O905"/>
    </row>
    <row r="906" spans="1:15" x14ac:dyDescent="0.2">
      <c r="A906"/>
      <c r="B906" s="61"/>
      <c r="C906" s="61"/>
      <c r="F906"/>
      <c r="G906"/>
      <c r="I906"/>
      <c r="L906"/>
      <c r="M906"/>
      <c r="N906" s="61"/>
      <c r="O906"/>
    </row>
    <row r="907" spans="1:15" x14ac:dyDescent="0.2">
      <c r="A907"/>
      <c r="B907" s="61"/>
      <c r="C907" s="61"/>
      <c r="F907"/>
      <c r="G907"/>
      <c r="H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J909"/>
      <c r="K909"/>
      <c r="L909"/>
      <c r="M909"/>
      <c r="N909" s="61"/>
      <c r="O909"/>
    </row>
    <row r="910" spans="1:15" x14ac:dyDescent="0.2">
      <c r="A910"/>
      <c r="B910" s="61"/>
      <c r="C910" s="61"/>
      <c r="F910"/>
      <c r="G910"/>
      <c r="H910"/>
      <c r="J910"/>
      <c r="K910"/>
      <c r="L910"/>
      <c r="M910"/>
      <c r="N910" s="61"/>
      <c r="O910"/>
    </row>
    <row r="911" spans="1:15" x14ac:dyDescent="0.2">
      <c r="A911"/>
      <c r="B911" s="61"/>
      <c r="C911" s="61"/>
      <c r="F911"/>
      <c r="G911"/>
      <c r="L911"/>
      <c r="M911"/>
      <c r="N911" s="61"/>
      <c r="O911"/>
    </row>
    <row r="912" spans="1:15" x14ac:dyDescent="0.2">
      <c r="A912"/>
      <c r="B912" s="61"/>
      <c r="C912" s="61"/>
      <c r="F912"/>
      <c r="G912"/>
      <c r="H912"/>
      <c r="J912"/>
      <c r="K912"/>
      <c r="L912"/>
      <c r="M912"/>
      <c r="N912" s="61"/>
      <c r="O912"/>
    </row>
    <row r="913" spans="1:15" x14ac:dyDescent="0.2">
      <c r="A913"/>
      <c r="B913" s="61"/>
      <c r="C913" s="61"/>
      <c r="F913"/>
      <c r="G913"/>
      <c r="H913"/>
      <c r="I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J917"/>
      <c r="K917"/>
      <c r="L917"/>
      <c r="M917"/>
      <c r="N917" s="61"/>
      <c r="O917"/>
    </row>
    <row r="918" spans="1:15" x14ac:dyDescent="0.2">
      <c r="A918"/>
      <c r="B918" s="61"/>
      <c r="C918" s="61"/>
      <c r="F918"/>
      <c r="G918"/>
      <c r="H918"/>
      <c r="I918"/>
      <c r="L918"/>
      <c r="N918" s="61"/>
      <c r="O918"/>
    </row>
    <row r="919" spans="1:15" x14ac:dyDescent="0.2">
      <c r="A919"/>
      <c r="B919" s="61"/>
      <c r="C919" s="61"/>
      <c r="F919"/>
      <c r="G919"/>
      <c r="H919"/>
      <c r="I919"/>
      <c r="L919"/>
      <c r="M919"/>
      <c r="N919" s="61"/>
      <c r="O919"/>
    </row>
    <row r="920" spans="1:15" x14ac:dyDescent="0.2">
      <c r="A920"/>
      <c r="B920" s="61"/>
      <c r="C920" s="61"/>
      <c r="F920"/>
      <c r="G920"/>
      <c r="H920"/>
      <c r="I920"/>
      <c r="L920"/>
      <c r="M920"/>
      <c r="N920" s="61"/>
      <c r="O920"/>
    </row>
    <row r="921" spans="1:15" x14ac:dyDescent="0.2">
      <c r="A921"/>
      <c r="B921" s="61"/>
      <c r="C921" s="61"/>
      <c r="F921"/>
      <c r="G921"/>
      <c r="L921"/>
      <c r="M921"/>
      <c r="N921" s="61"/>
      <c r="O921"/>
    </row>
    <row r="922" spans="1:15" x14ac:dyDescent="0.2">
      <c r="A922"/>
      <c r="B922" s="61"/>
      <c r="C922" s="61"/>
      <c r="F922"/>
      <c r="G922"/>
      <c r="I922"/>
      <c r="L922"/>
      <c r="M922"/>
      <c r="N922" s="61"/>
      <c r="O922"/>
    </row>
    <row r="923" spans="1:15" x14ac:dyDescent="0.2">
      <c r="A923"/>
      <c r="B923" s="61"/>
      <c r="C923" s="61"/>
      <c r="F923"/>
      <c r="G923"/>
      <c r="H923"/>
      <c r="I923"/>
      <c r="L923"/>
      <c r="M923"/>
      <c r="N923" s="61"/>
      <c r="O923"/>
    </row>
    <row r="924" spans="1:15" x14ac:dyDescent="0.2">
      <c r="A924"/>
      <c r="B924" s="61"/>
      <c r="C924" s="61"/>
      <c r="F924"/>
      <c r="G924"/>
      <c r="L924"/>
      <c r="M924"/>
      <c r="N924" s="61"/>
      <c r="O924"/>
    </row>
    <row r="925" spans="1:15" x14ac:dyDescent="0.2">
      <c r="A925"/>
      <c r="B925" s="61"/>
      <c r="C925" s="61"/>
      <c r="F925"/>
      <c r="G925"/>
      <c r="I925"/>
      <c r="L925"/>
      <c r="M925"/>
      <c r="N925" s="61"/>
      <c r="O925"/>
    </row>
    <row r="926" spans="1:15" x14ac:dyDescent="0.2">
      <c r="A926"/>
      <c r="B926" s="61"/>
      <c r="C926" s="61"/>
      <c r="F926"/>
      <c r="G926"/>
      <c r="I926"/>
      <c r="L926"/>
      <c r="M926"/>
      <c r="N926" s="61"/>
      <c r="O926"/>
    </row>
    <row r="927" spans="1:15" x14ac:dyDescent="0.2">
      <c r="A927"/>
      <c r="B927" s="61"/>
      <c r="C927" s="61"/>
      <c r="F927"/>
      <c r="G927"/>
      <c r="H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I931"/>
      <c r="L931"/>
      <c r="M931"/>
      <c r="N931" s="61"/>
      <c r="O931"/>
    </row>
    <row r="932" spans="1:15" x14ac:dyDescent="0.2">
      <c r="A932"/>
      <c r="B932" s="61"/>
      <c r="C932" s="61"/>
      <c r="F932"/>
      <c r="G932"/>
      <c r="H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I935"/>
      <c r="L935"/>
      <c r="M935"/>
      <c r="N935" s="61"/>
      <c r="O935"/>
    </row>
    <row r="936" spans="1:15" x14ac:dyDescent="0.2">
      <c r="A936"/>
      <c r="B936" s="61"/>
      <c r="C936" s="61"/>
      <c r="F936"/>
      <c r="G936"/>
      <c r="H936"/>
      <c r="I936"/>
      <c r="L936"/>
      <c r="M936"/>
      <c r="N936" s="61"/>
      <c r="O936"/>
    </row>
    <row r="937" spans="1:15" x14ac:dyDescent="0.2">
      <c r="A937"/>
      <c r="B937" s="61"/>
      <c r="C937" s="61"/>
      <c r="F937"/>
      <c r="G937"/>
      <c r="H937"/>
      <c r="I937"/>
      <c r="L937"/>
      <c r="M937"/>
      <c r="N937" s="61"/>
      <c r="O937"/>
    </row>
    <row r="938" spans="1:15" x14ac:dyDescent="0.2">
      <c r="A938"/>
      <c r="B938" s="61"/>
      <c r="C938" s="61"/>
      <c r="F938"/>
      <c r="G938"/>
      <c r="L938"/>
      <c r="M938"/>
      <c r="N938" s="61"/>
      <c r="O938"/>
    </row>
    <row r="939" spans="1:15" x14ac:dyDescent="0.2">
      <c r="A939"/>
      <c r="B939" s="61"/>
      <c r="C939" s="61"/>
      <c r="F939"/>
      <c r="G939"/>
      <c r="H939"/>
      <c r="I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J941"/>
      <c r="K941"/>
      <c r="L941"/>
      <c r="M941"/>
      <c r="N941" s="61"/>
      <c r="O941"/>
    </row>
    <row r="942" spans="1:15" x14ac:dyDescent="0.2">
      <c r="A942"/>
      <c r="B942" s="61"/>
      <c r="C942" s="61"/>
      <c r="F942"/>
      <c r="G942"/>
      <c r="H942"/>
      <c r="I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I945"/>
      <c r="L945"/>
      <c r="M945"/>
      <c r="N945" s="61"/>
      <c r="O945"/>
    </row>
    <row r="946" spans="1:15" x14ac:dyDescent="0.2">
      <c r="A946"/>
      <c r="B946" s="61"/>
      <c r="C946" s="61"/>
      <c r="F946"/>
      <c r="G946"/>
      <c r="H946"/>
      <c r="I946"/>
      <c r="L946"/>
      <c r="M946"/>
      <c r="N946" s="61"/>
      <c r="O946"/>
    </row>
    <row r="947" spans="1:15" x14ac:dyDescent="0.2">
      <c r="A947"/>
      <c r="B947" s="61"/>
      <c r="C947" s="61"/>
      <c r="F947"/>
      <c r="G947"/>
      <c r="H947"/>
      <c r="J947"/>
      <c r="K947"/>
      <c r="L947"/>
      <c r="M947"/>
      <c r="N947" s="61"/>
      <c r="O947"/>
    </row>
    <row r="948" spans="1:15" x14ac:dyDescent="0.2">
      <c r="A948"/>
      <c r="B948" s="61"/>
      <c r="C948" s="61"/>
      <c r="F948"/>
      <c r="G948"/>
      <c r="L948"/>
      <c r="M948"/>
      <c r="N948" s="61"/>
      <c r="O948"/>
    </row>
    <row r="949" spans="1:15" x14ac:dyDescent="0.2">
      <c r="A949"/>
      <c r="B949" s="61"/>
      <c r="C949" s="61"/>
      <c r="F949"/>
      <c r="G949"/>
      <c r="H949"/>
      <c r="I949"/>
      <c r="L949"/>
      <c r="M949"/>
      <c r="N949" s="61"/>
      <c r="O949"/>
    </row>
    <row r="950" spans="1:15" x14ac:dyDescent="0.2">
      <c r="A950"/>
      <c r="B950" s="61"/>
      <c r="C950" s="61"/>
      <c r="F950"/>
      <c r="G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H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J956"/>
      <c r="K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I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L961"/>
      <c r="M961"/>
      <c r="N961" s="61"/>
      <c r="O961"/>
    </row>
    <row r="962" spans="1:15" x14ac:dyDescent="0.2">
      <c r="A962"/>
      <c r="B962" s="61"/>
      <c r="C962" s="61"/>
      <c r="F962"/>
      <c r="G962"/>
      <c r="L962"/>
      <c r="M962"/>
      <c r="N962" s="61"/>
      <c r="O962"/>
    </row>
    <row r="963" spans="1:15" x14ac:dyDescent="0.2">
      <c r="A963"/>
      <c r="B963" s="61"/>
      <c r="C963" s="61"/>
      <c r="F963"/>
      <c r="G963"/>
      <c r="H963"/>
      <c r="I963"/>
      <c r="L963"/>
      <c r="M963"/>
      <c r="N963" s="61"/>
      <c r="O963"/>
    </row>
    <row r="964" spans="1:15" x14ac:dyDescent="0.2">
      <c r="A964"/>
      <c r="B964" s="61"/>
      <c r="C964" s="61"/>
      <c r="F964"/>
      <c r="G964"/>
      <c r="I964"/>
      <c r="L964"/>
      <c r="M964"/>
      <c r="N964" s="61"/>
      <c r="O964"/>
    </row>
    <row r="965" spans="1:15" x14ac:dyDescent="0.2">
      <c r="A965"/>
      <c r="B965" s="61"/>
      <c r="C965" s="61"/>
      <c r="F965"/>
      <c r="G965"/>
      <c r="H965"/>
      <c r="I965"/>
      <c r="L965"/>
      <c r="M965"/>
      <c r="N965" s="61"/>
      <c r="O965"/>
    </row>
    <row r="966" spans="1:15" x14ac:dyDescent="0.2">
      <c r="A966"/>
      <c r="B966" s="61"/>
      <c r="C966" s="61"/>
      <c r="F966"/>
      <c r="G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L969"/>
      <c r="M969"/>
      <c r="N969" s="61"/>
      <c r="O969"/>
    </row>
    <row r="970" spans="1:15" x14ac:dyDescent="0.2">
      <c r="A970"/>
      <c r="B970" s="61"/>
      <c r="C970" s="61"/>
      <c r="F970"/>
      <c r="G970"/>
      <c r="H970"/>
      <c r="I970"/>
      <c r="L970"/>
      <c r="M970"/>
      <c r="N970" s="61"/>
      <c r="O970"/>
    </row>
    <row r="971" spans="1:15" x14ac:dyDescent="0.2">
      <c r="A971"/>
      <c r="B971" s="61"/>
      <c r="C971" s="61"/>
      <c r="F971"/>
      <c r="G971"/>
      <c r="I971"/>
      <c r="L971"/>
      <c r="M971"/>
      <c r="N971" s="61"/>
      <c r="O971"/>
    </row>
    <row r="972" spans="1:15" x14ac:dyDescent="0.2">
      <c r="A972"/>
      <c r="B972" s="61"/>
      <c r="C972" s="61"/>
      <c r="F972"/>
      <c r="G972"/>
      <c r="M972"/>
      <c r="N972" s="61"/>
      <c r="O972"/>
    </row>
    <row r="973" spans="1:15" x14ac:dyDescent="0.2">
      <c r="A973"/>
      <c r="B973" s="61"/>
      <c r="C973" s="61"/>
      <c r="F973"/>
      <c r="G973"/>
      <c r="M973"/>
      <c r="N973" s="61"/>
      <c r="O973"/>
    </row>
    <row r="974" spans="1:15" x14ac:dyDescent="0.2">
      <c r="A974"/>
      <c r="B974" s="61"/>
      <c r="C974" s="61"/>
      <c r="F974"/>
      <c r="G974"/>
      <c r="H974"/>
      <c r="I974"/>
      <c r="L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I977"/>
      <c r="L977"/>
      <c r="M977"/>
      <c r="N977" s="61"/>
      <c r="O977"/>
    </row>
    <row r="978" spans="1:15" x14ac:dyDescent="0.2">
      <c r="A978"/>
      <c r="B978" s="61"/>
      <c r="C978" s="61"/>
      <c r="F978"/>
      <c r="G978"/>
      <c r="I978"/>
      <c r="L978"/>
      <c r="M978"/>
      <c r="N978" s="61"/>
      <c r="O978"/>
    </row>
    <row r="979" spans="1:15" x14ac:dyDescent="0.2">
      <c r="A979"/>
      <c r="B979" s="61"/>
      <c r="C979" s="61"/>
      <c r="F979"/>
      <c r="G979"/>
      <c r="H979"/>
      <c r="I979"/>
      <c r="L979"/>
      <c r="M979"/>
      <c r="N979" s="61"/>
      <c r="O979"/>
    </row>
    <row r="980" spans="1:15" x14ac:dyDescent="0.2">
      <c r="A980"/>
      <c r="B980" s="61"/>
      <c r="C980" s="61"/>
      <c r="F980"/>
      <c r="G980"/>
      <c r="J980"/>
      <c r="K980"/>
      <c r="L980"/>
      <c r="M980"/>
      <c r="N980" s="61"/>
      <c r="O980"/>
    </row>
    <row r="981" spans="1:15" x14ac:dyDescent="0.2">
      <c r="A981"/>
      <c r="B981" s="61"/>
      <c r="C981" s="61"/>
      <c r="F981"/>
      <c r="G981"/>
      <c r="H981"/>
      <c r="I981"/>
      <c r="L981"/>
      <c r="M981"/>
      <c r="N981" s="61"/>
      <c r="O981"/>
    </row>
    <row r="982" spans="1:15" x14ac:dyDescent="0.2">
      <c r="A982"/>
      <c r="B982" s="61"/>
      <c r="C982" s="61"/>
      <c r="F982"/>
      <c r="G982"/>
      <c r="I982"/>
      <c r="L982"/>
      <c r="M982"/>
      <c r="N982" s="61"/>
      <c r="O982"/>
    </row>
    <row r="983" spans="1:15" x14ac:dyDescent="0.2">
      <c r="A983"/>
      <c r="B983" s="61"/>
      <c r="C983" s="61"/>
      <c r="F983"/>
      <c r="G983"/>
      <c r="I983"/>
      <c r="L983"/>
      <c r="M983"/>
      <c r="N983" s="61"/>
      <c r="O983"/>
    </row>
    <row r="984" spans="1:15" x14ac:dyDescent="0.2">
      <c r="A984"/>
      <c r="B984" s="61"/>
      <c r="C984" s="61"/>
      <c r="F984"/>
      <c r="G984"/>
      <c r="H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L988"/>
      <c r="M988"/>
      <c r="N988" s="61"/>
      <c r="O988"/>
    </row>
    <row r="989" spans="1:15" x14ac:dyDescent="0.2">
      <c r="A989"/>
      <c r="B989" s="61"/>
      <c r="C989" s="61"/>
      <c r="F989"/>
      <c r="G989"/>
      <c r="H989"/>
      <c r="I989"/>
      <c r="L989"/>
      <c r="M989"/>
      <c r="N989" s="61"/>
      <c r="O989"/>
    </row>
    <row r="990" spans="1:15" x14ac:dyDescent="0.2">
      <c r="A990"/>
      <c r="B990" s="61"/>
      <c r="C990" s="61"/>
      <c r="F990"/>
      <c r="G990"/>
      <c r="L990"/>
      <c r="M990"/>
      <c r="N990" s="61"/>
      <c r="O990"/>
    </row>
    <row r="991" spans="1:15" x14ac:dyDescent="0.2">
      <c r="A991"/>
      <c r="B991" s="61"/>
      <c r="C991" s="61"/>
      <c r="F991"/>
      <c r="G991"/>
      <c r="H991"/>
      <c r="I991"/>
      <c r="L991"/>
      <c r="M991"/>
      <c r="N991" s="61"/>
      <c r="O991"/>
    </row>
    <row r="992" spans="1:15" x14ac:dyDescent="0.2">
      <c r="A992"/>
      <c r="B992" s="61"/>
      <c r="C992" s="61"/>
      <c r="F992"/>
      <c r="G992"/>
      <c r="I992"/>
      <c r="L992"/>
      <c r="M992"/>
      <c r="N992" s="61"/>
      <c r="O992"/>
    </row>
    <row r="993" spans="1:15" x14ac:dyDescent="0.2">
      <c r="A993"/>
      <c r="B993" s="61"/>
      <c r="C993" s="61"/>
      <c r="F993"/>
      <c r="G993"/>
      <c r="H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J1001"/>
      <c r="K1001"/>
      <c r="L1001"/>
      <c r="M1001"/>
      <c r="N1001" s="61"/>
      <c r="O1001"/>
    </row>
    <row r="1002" spans="1:15" x14ac:dyDescent="0.2">
      <c r="A1002"/>
      <c r="B1002" s="61"/>
      <c r="C1002" s="61"/>
      <c r="F1002"/>
      <c r="G1002"/>
      <c r="H1002"/>
      <c r="I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L1004"/>
      <c r="M1004"/>
      <c r="N1004" s="61"/>
      <c r="O1004"/>
    </row>
    <row r="1005" spans="1:15" x14ac:dyDescent="0.2">
      <c r="A1005"/>
      <c r="B1005" s="61"/>
      <c r="C1005" s="61"/>
      <c r="F1005"/>
      <c r="G1005"/>
      <c r="I1005"/>
      <c r="L1005"/>
      <c r="M1005"/>
      <c r="N1005" s="61"/>
      <c r="O1005"/>
    </row>
    <row r="1006" spans="1:15" x14ac:dyDescent="0.2">
      <c r="A1006"/>
      <c r="B1006" s="61"/>
      <c r="C1006" s="61"/>
      <c r="F1006"/>
      <c r="G1006"/>
      <c r="H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L1010"/>
      <c r="M1010"/>
      <c r="N1010" s="61"/>
      <c r="O1010"/>
    </row>
    <row r="1011" spans="1:15" x14ac:dyDescent="0.2">
      <c r="A1011"/>
      <c r="B1011" s="61"/>
      <c r="C1011" s="61"/>
      <c r="F1011"/>
      <c r="G1011"/>
      <c r="H1011"/>
      <c r="I1011"/>
      <c r="L1011"/>
      <c r="M1011"/>
      <c r="N1011" s="61"/>
      <c r="O1011"/>
    </row>
    <row r="1012" spans="1:15" x14ac:dyDescent="0.2">
      <c r="A1012"/>
      <c r="B1012" s="61"/>
      <c r="C1012" s="61"/>
      <c r="F1012"/>
      <c r="G1012"/>
      <c r="J1012"/>
      <c r="K1012"/>
      <c r="M1012"/>
      <c r="N1012" s="61"/>
      <c r="O1012"/>
    </row>
    <row r="1013" spans="1:15" x14ac:dyDescent="0.2">
      <c r="A1013"/>
      <c r="B1013" s="61"/>
      <c r="C1013" s="61"/>
      <c r="F1013"/>
      <c r="G1013"/>
      <c r="H1013"/>
      <c r="I1013"/>
      <c r="L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I1015"/>
      <c r="L1015"/>
      <c r="M1015"/>
      <c r="N1015" s="61"/>
      <c r="O1015"/>
    </row>
    <row r="1016" spans="1:15" x14ac:dyDescent="0.2">
      <c r="A1016"/>
      <c r="B1016" s="61"/>
      <c r="C1016" s="61"/>
      <c r="F1016"/>
      <c r="G1016"/>
      <c r="H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I1019"/>
      <c r="L1019"/>
      <c r="M1019"/>
      <c r="N1019" s="61"/>
      <c r="O1019"/>
    </row>
    <row r="1020" spans="1:15" x14ac:dyDescent="0.2">
      <c r="A1020"/>
      <c r="B1020" s="61"/>
      <c r="C1020" s="61"/>
      <c r="F1020"/>
      <c r="G1020"/>
      <c r="H1020"/>
      <c r="I1020"/>
      <c r="L1020"/>
      <c r="M1020"/>
      <c r="N1020" s="61"/>
      <c r="O1020"/>
    </row>
    <row r="1021" spans="1:15" x14ac:dyDescent="0.2">
      <c r="A1021"/>
      <c r="B1021" s="61"/>
      <c r="C1021" s="61"/>
      <c r="F1021"/>
      <c r="G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L1023"/>
      <c r="M1023"/>
      <c r="N1023" s="61"/>
      <c r="O1023"/>
    </row>
    <row r="1024" spans="1:15" x14ac:dyDescent="0.2">
      <c r="A1024"/>
      <c r="B1024" s="61"/>
      <c r="C1024" s="61"/>
      <c r="F1024"/>
      <c r="G1024"/>
      <c r="H1024"/>
      <c r="I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J1027"/>
      <c r="K1027"/>
      <c r="L1027"/>
      <c r="M1027"/>
      <c r="N1027" s="61"/>
      <c r="O1027"/>
    </row>
    <row r="1028" spans="1:15" x14ac:dyDescent="0.2">
      <c r="A1028"/>
      <c r="B1028" s="61"/>
      <c r="C1028" s="61"/>
      <c r="F1028"/>
      <c r="G1028"/>
      <c r="I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H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J1032"/>
      <c r="K1032"/>
      <c r="L1032"/>
      <c r="M1032"/>
      <c r="N1032" s="61"/>
      <c r="O1032"/>
    </row>
    <row r="1033" spans="1:15" x14ac:dyDescent="0.2">
      <c r="A1033"/>
      <c r="B1033" s="61"/>
      <c r="C1033" s="61"/>
      <c r="F1033"/>
      <c r="G1033"/>
      <c r="H1033"/>
      <c r="I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J1035"/>
      <c r="K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I1037"/>
      <c r="L1037"/>
      <c r="N1037" s="61"/>
      <c r="O1037"/>
    </row>
    <row r="1038" spans="1:15" x14ac:dyDescent="0.2">
      <c r="A1038"/>
      <c r="B1038" s="61"/>
      <c r="C1038" s="61"/>
      <c r="F1038"/>
      <c r="G1038"/>
      <c r="H1038"/>
      <c r="J1038"/>
      <c r="K1038"/>
      <c r="L1038"/>
      <c r="M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I1040"/>
      <c r="L1040"/>
      <c r="M1040"/>
      <c r="N1040" s="61"/>
      <c r="O1040"/>
    </row>
    <row r="1041" spans="1:15" x14ac:dyDescent="0.2">
      <c r="A1041"/>
      <c r="B1041" s="61"/>
      <c r="C1041" s="61"/>
      <c r="F1041"/>
      <c r="G1041"/>
      <c r="H1041"/>
      <c r="J1041"/>
      <c r="K1041"/>
      <c r="L1041"/>
      <c r="M1041"/>
      <c r="N1041" s="61"/>
      <c r="O1041"/>
    </row>
    <row r="1042" spans="1:15" x14ac:dyDescent="0.2">
      <c r="A1042"/>
      <c r="B1042" s="61"/>
      <c r="C1042" s="61"/>
      <c r="G1042"/>
      <c r="J1042"/>
      <c r="K1042"/>
      <c r="L1042"/>
      <c r="M1042"/>
      <c r="N1042" s="61"/>
      <c r="O1042"/>
    </row>
    <row r="1043" spans="1:15" x14ac:dyDescent="0.2">
      <c r="A1043"/>
      <c r="B1043" s="61"/>
      <c r="C1043" s="61"/>
      <c r="F1043"/>
      <c r="G1043"/>
      <c r="H1043"/>
      <c r="I1043"/>
      <c r="L1043"/>
      <c r="N1043" s="61"/>
      <c r="O1043"/>
    </row>
    <row r="1044" spans="1:15" x14ac:dyDescent="0.2">
      <c r="A1044"/>
      <c r="B1044" s="61"/>
      <c r="C1044" s="61"/>
      <c r="F1044"/>
      <c r="G1044"/>
      <c r="L1044"/>
      <c r="M1044"/>
      <c r="N1044" s="61"/>
      <c r="O1044"/>
    </row>
    <row r="1045" spans="1:15" x14ac:dyDescent="0.2">
      <c r="A1045"/>
      <c r="B1045" s="61"/>
      <c r="C1045" s="61"/>
      <c r="F1045"/>
      <c r="G1045"/>
      <c r="J1045"/>
      <c r="K1045"/>
      <c r="L1045"/>
      <c r="M1045"/>
      <c r="N1045" s="61"/>
      <c r="O1045"/>
    </row>
    <row r="1046" spans="1:15" x14ac:dyDescent="0.2">
      <c r="A1046"/>
      <c r="B1046" s="61"/>
      <c r="C1046" s="61"/>
      <c r="F1046"/>
      <c r="G1046"/>
      <c r="H1046"/>
      <c r="I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L1048"/>
      <c r="M1048"/>
      <c r="N1048" s="61"/>
      <c r="O1048"/>
    </row>
    <row r="1049" spans="1:15" x14ac:dyDescent="0.2">
      <c r="A1049"/>
      <c r="B1049" s="61"/>
      <c r="C1049" s="61"/>
      <c r="F1049"/>
      <c r="G1049"/>
      <c r="I1049"/>
      <c r="L1049"/>
      <c r="M1049"/>
      <c r="N1049" s="61"/>
      <c r="O1049"/>
    </row>
    <row r="1050" spans="1:15" x14ac:dyDescent="0.2">
      <c r="A1050"/>
      <c r="B1050" s="61"/>
      <c r="C1050" s="61"/>
      <c r="F1050"/>
      <c r="G1050"/>
      <c r="H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M1052"/>
      <c r="N1052" s="61"/>
      <c r="O1052"/>
    </row>
    <row r="1053" spans="1:15" x14ac:dyDescent="0.2">
      <c r="A1053"/>
      <c r="B1053" s="61"/>
      <c r="C1053" s="61"/>
      <c r="F1053"/>
      <c r="G1053"/>
      <c r="M1053"/>
      <c r="N1053" s="61"/>
      <c r="O1053"/>
    </row>
    <row r="1054" spans="1:15" x14ac:dyDescent="0.2">
      <c r="A1054"/>
      <c r="B1054" s="61"/>
      <c r="C1054" s="61"/>
      <c r="F1054"/>
      <c r="G1054"/>
      <c r="N1054" s="61"/>
      <c r="O1054"/>
    </row>
    <row r="1055" spans="1:15" x14ac:dyDescent="0.2">
      <c r="A1055"/>
      <c r="B1055" s="61"/>
      <c r="C1055" s="61"/>
      <c r="F1055"/>
      <c r="G1055"/>
      <c r="H1055"/>
      <c r="I1055"/>
      <c r="L1055"/>
      <c r="M1055"/>
      <c r="N1055" s="61"/>
      <c r="O1055"/>
    </row>
    <row r="1056" spans="1:15" x14ac:dyDescent="0.2">
      <c r="A1056"/>
      <c r="B1056" s="61"/>
      <c r="C1056" s="61"/>
      <c r="F1056"/>
      <c r="G1056"/>
      <c r="L1056"/>
      <c r="M1056"/>
      <c r="N1056" s="61"/>
      <c r="O1056"/>
    </row>
    <row r="1057" spans="1:15" x14ac:dyDescent="0.2">
      <c r="A1057"/>
      <c r="B1057" s="61"/>
      <c r="C1057" s="61"/>
      <c r="F1057"/>
      <c r="G1057"/>
      <c r="H1057"/>
      <c r="I1057"/>
      <c r="L1057"/>
      <c r="M1057"/>
      <c r="N1057" s="61"/>
      <c r="O1057"/>
    </row>
    <row r="1058" spans="1:15" x14ac:dyDescent="0.2">
      <c r="A1058"/>
      <c r="B1058" s="61"/>
      <c r="C1058" s="61"/>
      <c r="F1058"/>
      <c r="G1058"/>
      <c r="H1058"/>
      <c r="I1058"/>
      <c r="L1058"/>
      <c r="N1058" s="61"/>
      <c r="O1058"/>
    </row>
    <row r="1059" spans="1:15" x14ac:dyDescent="0.2">
      <c r="A1059"/>
      <c r="B1059" s="61"/>
      <c r="C1059" s="61"/>
      <c r="F1059"/>
      <c r="G1059"/>
      <c r="I1059"/>
      <c r="L1059"/>
      <c r="M1059"/>
      <c r="N1059" s="61"/>
      <c r="O1059"/>
    </row>
    <row r="1060" spans="1:15" x14ac:dyDescent="0.2">
      <c r="A1060"/>
      <c r="B1060" s="61"/>
      <c r="C1060" s="61"/>
      <c r="F1060"/>
      <c r="G1060"/>
      <c r="H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L1064"/>
      <c r="M1064"/>
      <c r="N1064" s="61"/>
      <c r="O1064"/>
    </row>
    <row r="1065" spans="1:15" x14ac:dyDescent="0.2">
      <c r="A1065"/>
      <c r="B1065" s="61"/>
      <c r="C1065" s="61"/>
      <c r="F1065"/>
      <c r="G1065"/>
      <c r="H1065"/>
      <c r="I1065"/>
      <c r="L1065"/>
      <c r="M1065"/>
      <c r="N1065" s="61"/>
      <c r="O1065"/>
    </row>
    <row r="1066" spans="1:15" x14ac:dyDescent="0.2">
      <c r="A1066"/>
      <c r="B1066" s="61"/>
      <c r="C1066" s="61"/>
      <c r="F1066"/>
      <c r="G1066"/>
      <c r="L1066"/>
      <c r="M1066"/>
      <c r="N1066" s="61"/>
      <c r="O1066"/>
    </row>
    <row r="1067" spans="1:15" x14ac:dyDescent="0.2">
      <c r="A1067"/>
      <c r="B1067" s="61"/>
      <c r="C1067" s="61"/>
      <c r="F1067"/>
      <c r="G1067"/>
      <c r="H1067"/>
      <c r="I1067"/>
      <c r="L1067"/>
      <c r="M1067"/>
      <c r="N1067" s="61"/>
      <c r="O1067"/>
    </row>
    <row r="1068" spans="1:15" x14ac:dyDescent="0.2">
      <c r="A1068"/>
      <c r="B1068" s="61"/>
      <c r="C1068" s="61"/>
      <c r="F1068"/>
      <c r="G1068"/>
      <c r="M1068"/>
      <c r="N1068" s="61"/>
      <c r="O1068"/>
    </row>
    <row r="1069" spans="1:15" x14ac:dyDescent="0.2">
      <c r="A1069"/>
      <c r="B1069" s="61"/>
      <c r="C1069" s="61"/>
      <c r="F1069"/>
      <c r="G1069"/>
      <c r="H1069"/>
      <c r="I1069"/>
      <c r="L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J1073"/>
      <c r="K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L1076"/>
      <c r="M1076"/>
      <c r="N1076" s="61"/>
      <c r="O1076"/>
    </row>
    <row r="1077" spans="1:15" x14ac:dyDescent="0.2">
      <c r="A1077"/>
      <c r="B1077" s="61"/>
      <c r="C1077" s="61"/>
      <c r="F1077"/>
      <c r="G1077"/>
      <c r="I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M1079"/>
      <c r="N1079" s="61"/>
      <c r="O1079"/>
    </row>
    <row r="1080" spans="1:15" x14ac:dyDescent="0.2">
      <c r="A1080"/>
      <c r="B1080" s="61"/>
      <c r="C1080" s="61"/>
      <c r="F1080"/>
      <c r="G1080"/>
      <c r="H1080"/>
      <c r="I1080"/>
      <c r="L1080"/>
      <c r="M1080"/>
      <c r="N1080" s="61"/>
      <c r="O1080"/>
    </row>
    <row r="1081" spans="1:15" x14ac:dyDescent="0.2">
      <c r="A1081"/>
      <c r="B1081" s="61"/>
      <c r="C1081" s="61"/>
      <c r="F1081"/>
      <c r="G1081"/>
      <c r="J1081"/>
      <c r="K1081"/>
      <c r="L1081"/>
      <c r="M1081"/>
      <c r="N1081" s="61"/>
      <c r="O1081"/>
    </row>
    <row r="1082" spans="1:15" x14ac:dyDescent="0.2">
      <c r="A1082"/>
      <c r="B1082" s="61"/>
      <c r="C1082" s="61"/>
      <c r="F1082"/>
      <c r="G1082"/>
      <c r="H1082"/>
      <c r="I1082"/>
      <c r="L1082"/>
      <c r="M1082"/>
      <c r="N1082" s="61"/>
      <c r="O1082"/>
    </row>
    <row r="1083" spans="1:15" x14ac:dyDescent="0.2">
      <c r="A1083"/>
      <c r="B1083" s="61"/>
      <c r="C1083" s="61"/>
      <c r="F1083"/>
      <c r="G1083"/>
      <c r="H1083"/>
      <c r="I1083"/>
      <c r="L1083"/>
      <c r="N1083" s="61"/>
      <c r="O1083"/>
    </row>
    <row r="1084" spans="1:15" x14ac:dyDescent="0.2">
      <c r="A1084"/>
      <c r="B1084" s="61"/>
      <c r="C1084" s="61"/>
      <c r="F1084"/>
      <c r="G1084"/>
      <c r="H1084"/>
      <c r="J1084"/>
      <c r="K1084"/>
      <c r="L1084"/>
      <c r="M1084"/>
      <c r="N1084" s="61"/>
      <c r="O1084"/>
    </row>
    <row r="1085" spans="1:15" x14ac:dyDescent="0.2">
      <c r="A1085"/>
      <c r="B1085" s="61"/>
      <c r="C1085" s="61"/>
      <c r="F1085"/>
      <c r="G1085"/>
      <c r="H1085"/>
      <c r="I1085"/>
      <c r="L1085"/>
      <c r="M1085"/>
      <c r="N1085" s="61"/>
      <c r="O1085"/>
    </row>
    <row r="1086" spans="1:15" x14ac:dyDescent="0.2">
      <c r="A1086"/>
      <c r="B1086" s="61"/>
      <c r="C1086" s="61"/>
      <c r="F1086"/>
      <c r="G1086"/>
      <c r="I1086"/>
      <c r="L1086"/>
      <c r="M1086"/>
      <c r="N1086" s="61"/>
      <c r="O1086"/>
    </row>
    <row r="1087" spans="1:15" x14ac:dyDescent="0.2">
      <c r="A1087"/>
      <c r="B1087" s="61"/>
      <c r="C1087" s="61"/>
      <c r="F1087"/>
      <c r="G1087"/>
      <c r="H1087"/>
      <c r="I1087"/>
      <c r="L1087"/>
      <c r="M1087"/>
      <c r="N1087" s="61"/>
      <c r="O1087"/>
    </row>
    <row r="1088" spans="1:15" x14ac:dyDescent="0.2">
      <c r="A1088"/>
      <c r="B1088" s="61"/>
      <c r="C1088" s="61"/>
      <c r="F1088"/>
      <c r="G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I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H1094"/>
      <c r="I1094"/>
      <c r="L1094"/>
      <c r="M1094"/>
      <c r="N1094" s="61"/>
      <c r="O1094"/>
    </row>
    <row r="1095" spans="1:15" x14ac:dyDescent="0.2">
      <c r="A1095"/>
      <c r="B1095" s="61"/>
      <c r="C1095" s="61"/>
      <c r="F1095"/>
      <c r="G1095"/>
      <c r="I1095"/>
      <c r="L1095"/>
      <c r="M1095"/>
      <c r="N1095" s="61"/>
      <c r="O1095"/>
    </row>
    <row r="1096" spans="1:15" x14ac:dyDescent="0.2">
      <c r="A1096"/>
      <c r="B1096" s="61"/>
      <c r="C1096" s="61"/>
      <c r="F1096"/>
      <c r="G1096"/>
      <c r="H1096"/>
      <c r="L1096"/>
      <c r="M1096"/>
      <c r="N1096" s="61"/>
      <c r="O1096"/>
    </row>
    <row r="1097" spans="1:15" x14ac:dyDescent="0.2">
      <c r="A1097"/>
      <c r="B1097" s="61"/>
      <c r="C1097" s="61"/>
      <c r="F1097"/>
      <c r="G1097"/>
      <c r="N1097" s="61"/>
      <c r="O1097"/>
    </row>
    <row r="1098" spans="1:15" x14ac:dyDescent="0.2">
      <c r="A1098"/>
      <c r="B1098" s="61"/>
      <c r="C1098" s="61"/>
      <c r="F1098"/>
      <c r="G1098"/>
      <c r="I1098"/>
      <c r="L1098"/>
      <c r="M1098"/>
      <c r="N1098" s="61"/>
      <c r="O1098"/>
    </row>
    <row r="1099" spans="1:15" x14ac:dyDescent="0.2">
      <c r="A1099"/>
      <c r="B1099" s="61"/>
      <c r="C1099" s="61"/>
      <c r="F1099"/>
      <c r="G1099"/>
      <c r="L1099"/>
      <c r="M1099"/>
      <c r="N1099" s="61"/>
      <c r="O1099"/>
    </row>
    <row r="1100" spans="1:15" x14ac:dyDescent="0.2">
      <c r="A1100"/>
      <c r="B1100" s="61"/>
      <c r="C1100" s="61"/>
      <c r="F1100"/>
      <c r="G1100"/>
      <c r="I1100"/>
      <c r="L1100"/>
      <c r="M1100"/>
      <c r="N1100" s="61"/>
      <c r="O1100"/>
    </row>
    <row r="1101" spans="1:15" x14ac:dyDescent="0.2">
      <c r="A1101"/>
      <c r="B1101" s="61"/>
      <c r="C1101" s="61"/>
      <c r="F1101"/>
      <c r="G1101"/>
      <c r="H1101"/>
      <c r="I1101"/>
      <c r="L1101"/>
      <c r="M1101"/>
      <c r="N1101" s="61"/>
      <c r="O1101"/>
    </row>
    <row r="1102" spans="1:15" x14ac:dyDescent="0.2">
      <c r="A1102"/>
      <c r="B1102" s="61"/>
      <c r="C1102" s="61"/>
      <c r="F1102"/>
      <c r="G1102"/>
      <c r="H1102"/>
      <c r="J1102"/>
      <c r="K1102"/>
      <c r="L1102"/>
      <c r="M1102"/>
      <c r="N1102" s="61"/>
      <c r="O1102"/>
    </row>
    <row r="1103" spans="1:15" x14ac:dyDescent="0.2">
      <c r="A1103"/>
      <c r="B1103" s="61"/>
      <c r="C1103" s="61"/>
      <c r="F1103"/>
      <c r="G1103"/>
      <c r="I1103"/>
      <c r="L1103"/>
      <c r="M1103"/>
      <c r="N1103" s="61"/>
      <c r="O1103"/>
    </row>
    <row r="1104" spans="1:15" x14ac:dyDescent="0.2">
      <c r="A1104"/>
      <c r="B1104" s="61"/>
      <c r="C1104" s="61"/>
      <c r="F1104"/>
      <c r="G1104"/>
      <c r="J1104"/>
      <c r="K1104"/>
      <c r="L1104"/>
      <c r="M1104"/>
      <c r="N1104" s="61"/>
      <c r="O1104"/>
    </row>
    <row r="1105" spans="1:15" x14ac:dyDescent="0.2">
      <c r="A1105"/>
      <c r="B1105" s="61"/>
      <c r="C1105" s="61"/>
      <c r="F1105"/>
      <c r="G1105"/>
      <c r="I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M1107"/>
      <c r="N1107" s="61"/>
      <c r="O1107"/>
    </row>
    <row r="1108" spans="1:15" x14ac:dyDescent="0.2">
      <c r="A1108"/>
      <c r="B1108" s="61"/>
      <c r="C1108" s="61"/>
      <c r="F1108"/>
      <c r="G1108"/>
      <c r="H1108"/>
      <c r="L1108"/>
      <c r="M1108"/>
      <c r="N1108" s="61"/>
      <c r="O1108"/>
    </row>
    <row r="1109" spans="1:15" x14ac:dyDescent="0.2">
      <c r="A1109"/>
      <c r="B1109" s="61"/>
      <c r="C1109" s="61"/>
      <c r="F1109"/>
      <c r="G1109"/>
      <c r="I1109"/>
      <c r="L1109"/>
      <c r="M1109"/>
      <c r="N1109" s="61"/>
      <c r="O1109"/>
    </row>
    <row r="1110" spans="1:15" x14ac:dyDescent="0.2">
      <c r="A1110"/>
      <c r="B1110" s="61"/>
      <c r="C1110" s="61"/>
      <c r="F1110"/>
      <c r="G1110"/>
      <c r="H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J1112"/>
      <c r="K1112"/>
      <c r="L1112"/>
      <c r="M1112"/>
      <c r="N1112" s="61"/>
      <c r="O1112"/>
    </row>
    <row r="1113" spans="1:15" x14ac:dyDescent="0.2">
      <c r="A1113"/>
      <c r="B1113" s="61"/>
      <c r="C1113" s="61"/>
      <c r="F1113"/>
      <c r="G1113"/>
      <c r="L1113"/>
      <c r="M1113"/>
      <c r="N1113" s="61"/>
      <c r="O1113"/>
    </row>
    <row r="1114" spans="1:15" x14ac:dyDescent="0.2">
      <c r="A1114"/>
      <c r="B1114" s="61"/>
      <c r="C1114" s="61"/>
      <c r="F1114"/>
      <c r="G1114"/>
      <c r="H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L1116"/>
      <c r="M1116"/>
      <c r="N1116" s="61"/>
      <c r="O1116"/>
    </row>
    <row r="1117" spans="1:15" x14ac:dyDescent="0.2">
      <c r="A1117"/>
      <c r="B1117" s="61"/>
      <c r="C1117" s="61"/>
      <c r="F1117"/>
      <c r="G1117"/>
      <c r="L1117"/>
      <c r="M1117"/>
      <c r="N1117" s="61"/>
      <c r="O1117"/>
    </row>
    <row r="1118" spans="1:15" x14ac:dyDescent="0.2">
      <c r="A1118"/>
      <c r="B1118" s="61"/>
      <c r="C1118" s="61"/>
      <c r="F1118"/>
      <c r="G1118"/>
      <c r="H1118"/>
      <c r="L1118"/>
      <c r="M1118"/>
      <c r="N1118" s="61"/>
      <c r="O1118"/>
    </row>
    <row r="1119" spans="1:15" x14ac:dyDescent="0.2">
      <c r="A1119"/>
      <c r="B1119" s="61"/>
      <c r="C1119" s="61"/>
      <c r="F1119"/>
      <c r="G1119"/>
      <c r="H1119"/>
      <c r="I1119"/>
      <c r="L1119"/>
      <c r="M1119"/>
      <c r="N1119" s="61"/>
      <c r="O1119"/>
    </row>
    <row r="1120" spans="1:15" x14ac:dyDescent="0.2">
      <c r="A1120"/>
      <c r="B1120" s="61"/>
      <c r="C1120" s="61"/>
      <c r="F1120"/>
      <c r="G1120"/>
      <c r="L1120"/>
      <c r="M1120"/>
      <c r="N1120" s="61"/>
      <c r="O1120"/>
    </row>
    <row r="1121" spans="1:15" x14ac:dyDescent="0.2">
      <c r="A1121"/>
      <c r="B1121" s="61"/>
      <c r="C1121" s="61"/>
      <c r="F1121"/>
      <c r="G1121"/>
      <c r="L1121"/>
      <c r="M1121"/>
      <c r="N1121" s="61"/>
      <c r="O1121"/>
    </row>
    <row r="1122" spans="1:15" x14ac:dyDescent="0.2">
      <c r="A1122"/>
      <c r="B1122" s="61"/>
      <c r="C1122" s="61"/>
      <c r="F1122"/>
      <c r="G1122"/>
      <c r="H1122"/>
      <c r="I1122"/>
      <c r="L1122"/>
      <c r="M1122"/>
      <c r="N1122" s="61"/>
      <c r="O1122"/>
    </row>
    <row r="1123" spans="1:15" x14ac:dyDescent="0.2">
      <c r="A1123"/>
      <c r="B1123" s="61"/>
      <c r="C1123" s="61"/>
      <c r="F1123"/>
      <c r="G1123"/>
      <c r="J1123"/>
      <c r="K1123"/>
      <c r="L1123"/>
      <c r="M1123"/>
      <c r="N1123" s="61"/>
      <c r="O1123"/>
    </row>
    <row r="1124" spans="1:15" x14ac:dyDescent="0.2">
      <c r="A1124"/>
      <c r="B1124" s="61"/>
      <c r="C1124" s="61"/>
      <c r="F1124"/>
      <c r="G1124"/>
      <c r="I1124"/>
      <c r="L1124"/>
      <c r="M1124"/>
      <c r="N1124" s="61"/>
      <c r="O1124"/>
    </row>
    <row r="1125" spans="1:15" x14ac:dyDescent="0.2">
      <c r="A1125"/>
      <c r="B1125" s="61"/>
      <c r="C1125" s="61"/>
      <c r="F1125"/>
      <c r="G1125"/>
      <c r="H1125"/>
      <c r="I1125"/>
      <c r="L1125"/>
      <c r="M1125"/>
      <c r="N1125" s="61"/>
      <c r="O1125"/>
    </row>
    <row r="1126" spans="1:15" x14ac:dyDescent="0.2">
      <c r="A1126"/>
      <c r="B1126" s="61"/>
      <c r="C1126" s="61"/>
      <c r="F1126"/>
      <c r="G1126"/>
      <c r="H1126"/>
      <c r="J1126"/>
      <c r="L1126"/>
      <c r="M1126"/>
      <c r="N1126" s="61"/>
      <c r="O1126"/>
    </row>
    <row r="1127" spans="1:15" x14ac:dyDescent="0.2">
      <c r="A1127"/>
      <c r="B1127" s="61"/>
      <c r="C1127" s="61"/>
      <c r="F1127"/>
      <c r="G1127"/>
      <c r="H1127"/>
      <c r="I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L1129"/>
      <c r="M1129"/>
      <c r="N1129" s="61"/>
      <c r="O1129"/>
    </row>
    <row r="1130" spans="1:15" x14ac:dyDescent="0.2">
      <c r="A1130"/>
      <c r="B1130" s="61"/>
      <c r="C1130" s="61"/>
      <c r="F1130"/>
      <c r="G1130"/>
      <c r="H1130"/>
      <c r="I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I1132"/>
      <c r="L1132"/>
      <c r="M1132"/>
      <c r="N1132" s="61"/>
      <c r="O1132"/>
    </row>
    <row r="1133" spans="1:15" x14ac:dyDescent="0.2">
      <c r="A1133"/>
      <c r="B1133" s="61"/>
      <c r="C1133" s="61"/>
      <c r="F1133"/>
      <c r="G1133"/>
      <c r="H1133"/>
      <c r="I1133"/>
      <c r="L1133"/>
      <c r="N1133" s="61"/>
      <c r="O1133"/>
    </row>
    <row r="1134" spans="1:15" x14ac:dyDescent="0.2">
      <c r="A1134"/>
      <c r="B1134" s="61"/>
      <c r="C1134" s="61"/>
      <c r="F1134"/>
      <c r="G1134"/>
      <c r="I1134"/>
      <c r="L1134"/>
      <c r="M1134"/>
      <c r="N1134" s="61"/>
      <c r="O1134"/>
    </row>
    <row r="1135" spans="1:15" x14ac:dyDescent="0.2">
      <c r="A1135"/>
      <c r="B1135" s="61"/>
      <c r="C1135" s="61"/>
      <c r="F1135"/>
      <c r="G1135"/>
      <c r="I1135"/>
      <c r="L1135"/>
      <c r="M1135"/>
      <c r="N1135" s="61"/>
      <c r="O1135"/>
    </row>
    <row r="1136" spans="1:15" x14ac:dyDescent="0.2">
      <c r="A1136"/>
      <c r="B1136" s="61"/>
      <c r="C1136" s="61"/>
      <c r="F1136"/>
      <c r="G1136"/>
      <c r="J1136"/>
      <c r="K1136"/>
      <c r="L1136"/>
      <c r="M1136"/>
      <c r="N1136" s="61"/>
      <c r="O1136"/>
    </row>
    <row r="1137" spans="1:15" x14ac:dyDescent="0.2">
      <c r="A1137"/>
      <c r="B1137" s="61"/>
      <c r="C1137" s="61"/>
      <c r="F1137"/>
      <c r="G1137"/>
      <c r="I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H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I1143"/>
      <c r="L1143"/>
      <c r="M1143"/>
      <c r="N1143" s="61"/>
      <c r="O1143"/>
    </row>
    <row r="1144" spans="1:15" x14ac:dyDescent="0.2">
      <c r="A1144"/>
      <c r="B1144" s="61"/>
      <c r="C1144" s="61"/>
      <c r="F1144"/>
      <c r="G1144"/>
      <c r="H1144"/>
      <c r="I1144"/>
      <c r="L1144"/>
      <c r="M1144"/>
      <c r="N1144" s="61"/>
      <c r="O1144"/>
    </row>
    <row r="1145" spans="1:15" x14ac:dyDescent="0.2">
      <c r="A1145"/>
      <c r="B1145" s="61"/>
      <c r="C1145" s="61"/>
      <c r="F1145"/>
      <c r="G1145"/>
      <c r="H1145"/>
      <c r="I1145"/>
      <c r="L1145"/>
      <c r="N1145" s="61"/>
      <c r="O1145"/>
    </row>
    <row r="1146" spans="1:15" x14ac:dyDescent="0.2">
      <c r="A1146"/>
      <c r="B1146" s="61"/>
      <c r="C1146" s="61"/>
      <c r="F1146"/>
      <c r="G1146"/>
      <c r="I1146"/>
      <c r="L1146"/>
      <c r="M1146"/>
      <c r="N1146" s="61"/>
      <c r="O1146"/>
    </row>
    <row r="1147" spans="1:15" x14ac:dyDescent="0.2">
      <c r="A1147"/>
      <c r="B1147" s="61"/>
      <c r="C1147" s="61"/>
      <c r="F1147"/>
      <c r="G1147"/>
      <c r="H1147"/>
      <c r="I1147"/>
      <c r="L1147"/>
      <c r="M1147"/>
      <c r="N1147" s="61"/>
      <c r="O1147"/>
    </row>
    <row r="1148" spans="1:15" x14ac:dyDescent="0.2">
      <c r="A1148"/>
      <c r="B1148" s="61"/>
      <c r="C1148" s="61"/>
      <c r="F1148"/>
      <c r="G1148"/>
      <c r="L1148"/>
      <c r="M1148"/>
      <c r="N1148" s="61"/>
      <c r="O1148"/>
    </row>
    <row r="1149" spans="1:15" x14ac:dyDescent="0.2">
      <c r="A1149"/>
      <c r="B1149" s="61"/>
      <c r="C1149" s="61"/>
      <c r="F1149"/>
      <c r="G1149"/>
      <c r="H1149"/>
      <c r="L1149"/>
      <c r="M1149"/>
      <c r="N1149" s="61"/>
      <c r="O1149"/>
    </row>
    <row r="1150" spans="1:15" x14ac:dyDescent="0.2">
      <c r="A1150"/>
      <c r="B1150" s="61"/>
      <c r="C1150" s="61"/>
      <c r="F1150"/>
      <c r="G1150"/>
      <c r="H1150"/>
      <c r="I1150"/>
      <c r="L1150"/>
      <c r="M1150"/>
      <c r="N1150" s="61"/>
      <c r="O1150"/>
    </row>
    <row r="1151" spans="1:15" x14ac:dyDescent="0.2">
      <c r="A1151"/>
      <c r="B1151" s="61"/>
      <c r="C1151" s="61"/>
      <c r="F1151"/>
      <c r="G1151"/>
      <c r="H1151"/>
      <c r="J1151"/>
      <c r="K1151"/>
      <c r="L1151"/>
      <c r="M1151"/>
      <c r="N1151" s="61"/>
      <c r="O1151"/>
    </row>
    <row r="1152" spans="1:15" x14ac:dyDescent="0.2">
      <c r="A1152"/>
      <c r="B1152" s="61"/>
      <c r="C1152" s="61"/>
      <c r="F1152"/>
      <c r="G1152"/>
      <c r="H1152"/>
      <c r="I1152"/>
      <c r="L1152"/>
      <c r="M1152"/>
      <c r="N1152" s="61"/>
      <c r="O1152"/>
    </row>
    <row r="1153" spans="1:15" x14ac:dyDescent="0.2">
      <c r="A1153"/>
      <c r="B1153" s="61"/>
      <c r="C1153" s="61"/>
      <c r="F1153"/>
      <c r="G1153"/>
      <c r="L1153"/>
      <c r="M1153"/>
      <c r="N1153" s="61"/>
      <c r="O1153"/>
    </row>
    <row r="1154" spans="1:15" x14ac:dyDescent="0.2">
      <c r="A1154"/>
      <c r="B1154" s="61"/>
      <c r="C1154" s="61"/>
      <c r="F1154"/>
      <c r="G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H1156"/>
      <c r="L1156"/>
      <c r="M1156"/>
      <c r="N1156" s="61"/>
      <c r="O1156"/>
    </row>
    <row r="1157" spans="1:15" x14ac:dyDescent="0.2">
      <c r="A1157"/>
      <c r="B1157" s="61"/>
      <c r="C1157" s="61"/>
      <c r="F1157"/>
      <c r="G1157"/>
      <c r="H1157"/>
      <c r="I1157"/>
      <c r="L1157"/>
      <c r="M1157"/>
      <c r="N1157" s="61"/>
      <c r="O1157"/>
    </row>
    <row r="1158" spans="1:15" x14ac:dyDescent="0.2">
      <c r="A1158"/>
      <c r="B1158" s="61"/>
      <c r="C1158" s="61"/>
      <c r="F1158"/>
      <c r="G1158"/>
      <c r="L1158"/>
      <c r="M1158"/>
      <c r="N1158" s="61"/>
      <c r="O1158"/>
    </row>
    <row r="1159" spans="1:15" x14ac:dyDescent="0.2">
      <c r="A1159"/>
      <c r="B1159" s="61"/>
      <c r="C1159" s="61"/>
      <c r="F1159"/>
      <c r="G1159"/>
      <c r="I1159"/>
      <c r="L1159"/>
      <c r="M1159"/>
      <c r="N1159" s="61"/>
      <c r="O1159"/>
    </row>
    <row r="1160" spans="1:15" x14ac:dyDescent="0.2">
      <c r="A1160"/>
      <c r="B1160" s="61"/>
      <c r="C1160" s="61"/>
      <c r="F1160"/>
      <c r="G1160"/>
      <c r="H1160"/>
      <c r="J1160"/>
      <c r="K1160"/>
      <c r="L1160"/>
      <c r="M1160"/>
      <c r="N1160" s="61"/>
      <c r="O1160"/>
    </row>
    <row r="1161" spans="1:15" x14ac:dyDescent="0.2">
      <c r="A1161"/>
      <c r="B1161" s="61"/>
      <c r="C1161" s="61"/>
      <c r="F1161"/>
      <c r="G1161"/>
      <c r="L1161"/>
      <c r="M1161"/>
      <c r="N1161" s="61"/>
      <c r="O1161"/>
    </row>
    <row r="1162" spans="1:15" x14ac:dyDescent="0.2">
      <c r="A1162"/>
      <c r="B1162" s="61"/>
      <c r="C1162" s="61"/>
      <c r="F1162"/>
      <c r="G1162"/>
      <c r="H1162"/>
      <c r="J1162"/>
      <c r="K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L1164"/>
      <c r="M1164"/>
      <c r="N1164" s="61"/>
      <c r="O1164"/>
    </row>
    <row r="1165" spans="1:15" x14ac:dyDescent="0.2">
      <c r="A1165"/>
      <c r="B1165" s="61"/>
      <c r="C1165" s="61"/>
      <c r="F1165"/>
      <c r="G1165"/>
      <c r="H1165"/>
      <c r="J1165"/>
      <c r="K1165"/>
      <c r="L1165"/>
      <c r="M1165"/>
      <c r="N1165" s="61"/>
      <c r="O1165"/>
    </row>
    <row r="1166" spans="1:15" x14ac:dyDescent="0.2">
      <c r="A1166"/>
      <c r="B1166" s="61"/>
      <c r="C1166" s="61"/>
      <c r="F1166"/>
      <c r="G1166"/>
      <c r="H1166"/>
      <c r="I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J1171"/>
      <c r="K1171"/>
      <c r="L1171"/>
      <c r="M1171"/>
      <c r="N1171" s="61"/>
      <c r="O1171"/>
    </row>
    <row r="1172" spans="1:15" x14ac:dyDescent="0.2">
      <c r="A1172"/>
      <c r="B1172" s="61"/>
      <c r="C1172" s="61"/>
      <c r="F1172"/>
      <c r="G1172"/>
      <c r="I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H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J1177"/>
      <c r="K1177"/>
      <c r="L1177"/>
      <c r="M1177"/>
      <c r="N1177" s="61"/>
      <c r="O1177"/>
    </row>
    <row r="1178" spans="1:15" x14ac:dyDescent="0.2">
      <c r="A1178"/>
      <c r="B1178" s="61"/>
      <c r="C1178" s="61"/>
      <c r="F1178"/>
      <c r="G1178"/>
      <c r="H1178"/>
      <c r="I1178"/>
      <c r="L1178"/>
      <c r="N1178" s="61"/>
      <c r="O1178"/>
    </row>
    <row r="1179" spans="1:15" x14ac:dyDescent="0.2">
      <c r="A1179"/>
      <c r="B1179" s="61"/>
      <c r="C1179" s="61"/>
      <c r="F1179"/>
      <c r="G1179"/>
      <c r="J1179"/>
      <c r="K1179"/>
      <c r="L1179"/>
      <c r="M1179"/>
      <c r="N1179" s="61"/>
      <c r="O1179"/>
    </row>
    <row r="1180" spans="1:15" x14ac:dyDescent="0.2">
      <c r="A1180"/>
      <c r="B1180" s="61"/>
      <c r="C1180" s="61"/>
      <c r="F1180"/>
      <c r="G1180"/>
      <c r="H1180"/>
      <c r="I1180"/>
      <c r="L1180"/>
      <c r="M1180"/>
      <c r="N1180" s="61"/>
      <c r="O1180"/>
    </row>
    <row r="1181" spans="1:15" x14ac:dyDescent="0.2">
      <c r="A1181"/>
      <c r="B1181" s="61"/>
      <c r="C1181" s="61"/>
      <c r="F1181"/>
      <c r="G1181"/>
      <c r="I1181"/>
      <c r="L1181"/>
      <c r="M1181"/>
      <c r="N1181" s="61"/>
      <c r="O1181"/>
    </row>
    <row r="1182" spans="1:15" x14ac:dyDescent="0.2">
      <c r="A1182"/>
      <c r="B1182" s="61"/>
      <c r="C1182" s="61"/>
      <c r="F1182"/>
      <c r="G1182"/>
      <c r="J1182"/>
      <c r="K1182"/>
      <c r="L1182"/>
      <c r="M1182"/>
      <c r="N1182" s="61"/>
      <c r="O1182"/>
    </row>
    <row r="1183" spans="1:15" x14ac:dyDescent="0.2">
      <c r="A1183"/>
      <c r="B1183" s="61"/>
      <c r="C1183" s="61"/>
      <c r="F1183"/>
      <c r="G1183"/>
      <c r="L1183"/>
      <c r="M1183"/>
      <c r="N1183" s="61"/>
      <c r="O1183"/>
    </row>
    <row r="1184" spans="1:15" x14ac:dyDescent="0.2">
      <c r="A1184"/>
      <c r="B1184" s="61"/>
      <c r="C1184" s="61"/>
      <c r="F1184"/>
      <c r="G1184"/>
      <c r="H1184"/>
      <c r="I1184"/>
      <c r="L1184"/>
      <c r="M1184"/>
      <c r="N1184" s="61"/>
      <c r="O1184"/>
    </row>
    <row r="1185" spans="1:15" x14ac:dyDescent="0.2">
      <c r="A1185"/>
      <c r="B1185" s="61"/>
      <c r="C1185" s="61"/>
      <c r="F1185"/>
      <c r="G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H1187"/>
      <c r="L1187"/>
      <c r="M1187"/>
      <c r="N1187" s="61"/>
      <c r="O1187"/>
    </row>
    <row r="1188" spans="1:15" x14ac:dyDescent="0.2">
      <c r="A1188"/>
      <c r="B1188" s="61"/>
      <c r="C1188" s="61"/>
      <c r="F1188"/>
      <c r="G1188"/>
      <c r="H1188"/>
      <c r="I1188"/>
      <c r="L1188"/>
      <c r="M1188"/>
      <c r="N1188" s="61"/>
      <c r="O1188"/>
    </row>
    <row r="1189" spans="1:15" x14ac:dyDescent="0.2">
      <c r="A1189"/>
      <c r="B1189" s="61"/>
      <c r="C1189" s="61"/>
      <c r="F1189"/>
      <c r="G1189"/>
      <c r="I1189"/>
      <c r="L1189"/>
      <c r="M1189"/>
      <c r="N1189" s="61"/>
      <c r="O1189"/>
    </row>
    <row r="1190" spans="1:15" x14ac:dyDescent="0.2">
      <c r="A1190"/>
      <c r="B1190" s="61"/>
      <c r="C1190" s="61"/>
      <c r="F1190"/>
      <c r="G1190"/>
      <c r="H1190"/>
      <c r="J1190"/>
      <c r="K1190"/>
      <c r="L1190"/>
      <c r="M1190"/>
      <c r="N1190" s="61"/>
      <c r="O1190"/>
    </row>
    <row r="1191" spans="1:15" x14ac:dyDescent="0.2">
      <c r="A1191"/>
      <c r="B1191" s="61"/>
      <c r="C1191" s="61"/>
      <c r="F1191"/>
      <c r="G1191"/>
      <c r="H1191"/>
      <c r="I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L1193"/>
      <c r="M1193"/>
      <c r="N1193" s="61"/>
      <c r="O1193"/>
    </row>
    <row r="1194" spans="1:15" x14ac:dyDescent="0.2">
      <c r="A1194"/>
      <c r="B1194" s="61"/>
      <c r="C1194" s="61"/>
      <c r="F1194"/>
      <c r="G1194"/>
      <c r="H1194"/>
      <c r="I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I1197"/>
      <c r="L1197"/>
      <c r="M1197"/>
      <c r="N1197" s="61"/>
      <c r="O1197"/>
    </row>
    <row r="1198" spans="1:15" x14ac:dyDescent="0.2">
      <c r="A1198"/>
      <c r="B1198" s="61"/>
      <c r="C1198" s="61"/>
      <c r="F1198"/>
      <c r="G1198"/>
      <c r="H1198"/>
      <c r="I1198"/>
      <c r="L1198"/>
      <c r="M1198"/>
      <c r="N1198" s="61"/>
      <c r="O1198"/>
    </row>
    <row r="1199" spans="1:15" x14ac:dyDescent="0.2">
      <c r="A1199"/>
      <c r="B1199" s="61"/>
      <c r="C1199" s="61"/>
      <c r="F1199"/>
      <c r="G1199"/>
      <c r="I1199"/>
      <c r="L1199"/>
      <c r="M1199"/>
      <c r="N1199" s="61"/>
      <c r="O1199"/>
    </row>
    <row r="1200" spans="1:15" x14ac:dyDescent="0.2">
      <c r="A1200"/>
      <c r="B1200" s="61"/>
      <c r="C1200" s="61"/>
      <c r="F1200"/>
      <c r="G1200"/>
      <c r="L1200"/>
      <c r="M1200"/>
      <c r="N1200" s="61"/>
      <c r="O1200"/>
    </row>
    <row r="1201" spans="1:15" x14ac:dyDescent="0.2">
      <c r="A1201"/>
      <c r="B1201" s="61"/>
      <c r="C1201" s="61"/>
      <c r="F1201"/>
      <c r="G1201"/>
      <c r="I1201"/>
      <c r="L1201"/>
      <c r="M1201"/>
      <c r="N1201" s="61"/>
      <c r="O1201"/>
    </row>
    <row r="1202" spans="1:15" x14ac:dyDescent="0.2">
      <c r="A1202"/>
      <c r="B1202" s="61"/>
      <c r="C1202" s="61"/>
      <c r="F1202"/>
      <c r="G1202"/>
      <c r="H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L1204"/>
      <c r="M1204"/>
      <c r="N1204" s="61"/>
      <c r="O1204"/>
    </row>
    <row r="1205" spans="1:15" x14ac:dyDescent="0.2">
      <c r="A1205"/>
      <c r="B1205" s="61"/>
      <c r="C1205" s="61"/>
      <c r="F1205"/>
      <c r="G1205"/>
      <c r="H1205"/>
      <c r="M1205"/>
      <c r="N1205" s="61"/>
      <c r="O1205"/>
    </row>
    <row r="1206" spans="1:15" x14ac:dyDescent="0.2">
      <c r="A1206"/>
      <c r="B1206" s="61"/>
      <c r="C1206" s="61"/>
      <c r="F1206"/>
      <c r="G1206"/>
      <c r="H1206"/>
      <c r="I1206"/>
      <c r="L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L1208"/>
      <c r="M1208"/>
      <c r="N1208" s="61"/>
      <c r="O1208"/>
    </row>
    <row r="1209" spans="1:15" x14ac:dyDescent="0.2">
      <c r="A1209"/>
      <c r="B1209" s="61"/>
      <c r="C1209" s="61"/>
      <c r="F1209"/>
      <c r="G1209"/>
      <c r="H1209"/>
      <c r="I1209"/>
      <c r="J1209"/>
      <c r="K1209"/>
      <c r="L1209"/>
      <c r="M1209"/>
      <c r="N1209" s="61"/>
      <c r="O1209"/>
    </row>
    <row r="1210" spans="1:15" x14ac:dyDescent="0.2">
      <c r="A1210"/>
      <c r="B1210" s="61"/>
      <c r="C1210" s="61"/>
      <c r="F1210"/>
      <c r="G1210"/>
      <c r="H1210"/>
      <c r="I1210"/>
      <c r="L1210"/>
      <c r="M1210"/>
      <c r="N1210" s="61"/>
      <c r="O1210"/>
    </row>
    <row r="1211" spans="1:15" x14ac:dyDescent="0.2">
      <c r="A1211"/>
      <c r="B1211" s="61"/>
      <c r="C1211" s="61"/>
      <c r="F1211"/>
      <c r="G1211"/>
      <c r="H1211"/>
      <c r="J1211"/>
      <c r="K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I1215"/>
      <c r="J1215"/>
      <c r="K1215"/>
      <c r="L1215"/>
      <c r="M1215"/>
      <c r="N1215" s="61"/>
      <c r="O1215"/>
    </row>
    <row r="1216" spans="1:15" x14ac:dyDescent="0.2">
      <c r="A1216"/>
      <c r="B1216" s="61"/>
      <c r="C1216" s="61"/>
      <c r="F1216"/>
      <c r="G1216"/>
      <c r="H1216"/>
      <c r="J1216"/>
      <c r="K1216"/>
      <c r="L1216"/>
      <c r="M1216"/>
      <c r="N1216" s="61"/>
      <c r="O1216"/>
    </row>
    <row r="1217" spans="1:15" x14ac:dyDescent="0.2">
      <c r="A1217"/>
      <c r="B1217" s="61"/>
      <c r="C1217" s="61"/>
      <c r="F1217"/>
      <c r="G1217"/>
      <c r="J1217"/>
      <c r="K1217"/>
      <c r="L1217"/>
      <c r="M1217"/>
      <c r="N1217" s="61"/>
      <c r="O1217"/>
    </row>
    <row r="1218" spans="1:15" x14ac:dyDescent="0.2">
      <c r="A1218"/>
      <c r="B1218" s="61"/>
      <c r="C1218" s="61"/>
      <c r="F1218"/>
      <c r="G1218"/>
      <c r="H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I1220"/>
      <c r="L1220"/>
      <c r="M1220"/>
      <c r="N1220" s="61"/>
      <c r="O1220"/>
    </row>
    <row r="1221" spans="1:15" x14ac:dyDescent="0.2">
      <c r="A1221"/>
      <c r="B1221" s="61"/>
      <c r="C1221" s="61"/>
      <c r="F1221"/>
      <c r="G1221"/>
      <c r="H1221"/>
      <c r="J1221"/>
      <c r="K1221"/>
      <c r="L1221"/>
      <c r="M1221"/>
      <c r="N1221" s="61"/>
      <c r="O1221"/>
    </row>
    <row r="1222" spans="1:15" x14ac:dyDescent="0.2">
      <c r="A1222"/>
      <c r="B1222" s="61"/>
      <c r="C1222" s="61"/>
      <c r="F1222"/>
      <c r="G1222"/>
      <c r="H1222"/>
      <c r="I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L1224"/>
      <c r="M1224"/>
      <c r="N1224" s="61"/>
      <c r="O1224"/>
    </row>
    <row r="1225" spans="1:15" x14ac:dyDescent="0.2">
      <c r="A1225"/>
      <c r="B1225" s="61"/>
      <c r="C1225" s="61"/>
      <c r="F1225"/>
      <c r="G1225"/>
      <c r="H1225"/>
      <c r="I1225"/>
      <c r="L1225"/>
      <c r="M1225"/>
      <c r="N1225" s="61"/>
      <c r="O1225"/>
    </row>
    <row r="1226" spans="1:15" x14ac:dyDescent="0.2">
      <c r="A1226"/>
      <c r="B1226" s="61"/>
      <c r="C1226" s="61"/>
      <c r="F1226"/>
      <c r="G1226"/>
      <c r="L1226"/>
      <c r="M1226"/>
      <c r="N1226" s="61"/>
      <c r="O1226"/>
    </row>
    <row r="1227" spans="1:15" x14ac:dyDescent="0.2">
      <c r="A1227"/>
      <c r="B1227" s="61"/>
      <c r="C1227" s="61"/>
      <c r="F1227"/>
      <c r="G1227"/>
      <c r="H1227"/>
      <c r="I1227"/>
      <c r="L1227"/>
      <c r="M1227"/>
      <c r="N1227" s="61"/>
      <c r="O1227"/>
    </row>
    <row r="1228" spans="1:15" x14ac:dyDescent="0.2">
      <c r="A1228"/>
      <c r="B1228" s="61"/>
      <c r="C1228" s="61"/>
      <c r="F1228"/>
      <c r="G1228"/>
      <c r="L1228"/>
      <c r="M1228"/>
      <c r="N1228" s="61"/>
      <c r="O1228"/>
    </row>
    <row r="1229" spans="1:15" x14ac:dyDescent="0.2">
      <c r="A1229"/>
      <c r="B1229" s="61"/>
      <c r="C1229" s="61"/>
      <c r="F1229"/>
      <c r="G1229"/>
      <c r="I1229"/>
      <c r="L1229"/>
      <c r="M1229"/>
      <c r="N1229" s="61"/>
      <c r="O1229"/>
    </row>
    <row r="1230" spans="1:15" x14ac:dyDescent="0.2">
      <c r="A1230"/>
      <c r="B1230" s="61"/>
      <c r="C1230" s="61"/>
      <c r="F1230"/>
      <c r="G1230"/>
      <c r="J1230"/>
      <c r="K1230"/>
      <c r="L1230"/>
      <c r="M1230"/>
      <c r="N1230" s="61"/>
      <c r="O1230"/>
    </row>
    <row r="1231" spans="1:15" x14ac:dyDescent="0.2">
      <c r="A1231"/>
      <c r="B1231" s="61"/>
      <c r="C1231" s="61"/>
      <c r="F1231"/>
      <c r="G1231"/>
      <c r="H1231"/>
      <c r="I1231"/>
      <c r="L1231"/>
      <c r="M1231"/>
      <c r="N1231" s="61"/>
      <c r="O1231"/>
    </row>
    <row r="1232" spans="1:15" x14ac:dyDescent="0.2">
      <c r="A1232"/>
      <c r="B1232" s="61"/>
      <c r="C1232" s="61"/>
      <c r="F1232"/>
      <c r="G1232"/>
      <c r="L1232"/>
      <c r="M1232"/>
      <c r="N1232" s="61"/>
      <c r="O1232"/>
    </row>
    <row r="1233" spans="1:15" x14ac:dyDescent="0.2">
      <c r="A1233"/>
      <c r="B1233" s="61"/>
      <c r="C1233" s="61"/>
      <c r="F1233"/>
      <c r="G1233"/>
      <c r="I1233"/>
      <c r="L1233"/>
      <c r="M1233"/>
      <c r="N1233" s="61"/>
      <c r="O1233"/>
    </row>
    <row r="1234" spans="1:15" x14ac:dyDescent="0.2">
      <c r="A1234"/>
      <c r="B1234" s="61"/>
      <c r="C1234" s="61"/>
      <c r="F1234"/>
      <c r="G1234"/>
      <c r="H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H1239"/>
      <c r="I1239"/>
      <c r="L1239"/>
      <c r="M1239"/>
      <c r="N1239" s="61"/>
      <c r="O1239"/>
    </row>
    <row r="1240" spans="1:15" x14ac:dyDescent="0.2">
      <c r="A1240"/>
      <c r="B1240" s="61"/>
      <c r="C1240" s="61"/>
      <c r="F1240"/>
      <c r="G1240"/>
      <c r="L1240"/>
      <c r="M1240"/>
      <c r="N1240" s="61"/>
      <c r="O1240"/>
    </row>
    <row r="1241" spans="1:15" x14ac:dyDescent="0.2">
      <c r="A1241"/>
      <c r="B1241" s="61"/>
      <c r="C1241" s="61"/>
      <c r="F1241"/>
      <c r="G1241"/>
      <c r="H1241"/>
      <c r="I1241"/>
      <c r="L1241"/>
      <c r="M1241"/>
      <c r="N1241" s="61"/>
      <c r="O1241"/>
    </row>
    <row r="1242" spans="1:15" x14ac:dyDescent="0.2">
      <c r="A1242"/>
      <c r="B1242" s="61"/>
      <c r="C1242" s="61"/>
      <c r="F1242"/>
      <c r="G1242"/>
      <c r="I1242"/>
      <c r="L1242"/>
      <c r="M1242"/>
      <c r="N1242" s="61"/>
      <c r="O1242"/>
    </row>
    <row r="1243" spans="1:15" x14ac:dyDescent="0.2">
      <c r="A1243"/>
      <c r="B1243" s="61"/>
      <c r="C1243" s="61"/>
      <c r="F1243"/>
      <c r="G1243"/>
      <c r="H1243"/>
      <c r="I1243"/>
      <c r="L1243"/>
      <c r="M1243"/>
      <c r="N1243" s="61"/>
      <c r="O1243"/>
    </row>
    <row r="1244" spans="1:15" x14ac:dyDescent="0.2">
      <c r="A1244"/>
      <c r="B1244" s="61"/>
      <c r="C1244" s="61"/>
      <c r="F1244"/>
      <c r="G1244"/>
      <c r="I1244"/>
      <c r="L1244"/>
      <c r="M1244"/>
      <c r="N1244" s="61"/>
      <c r="O1244"/>
    </row>
    <row r="1245" spans="1:15" x14ac:dyDescent="0.2">
      <c r="A1245"/>
      <c r="B1245" s="61"/>
      <c r="C1245" s="61"/>
      <c r="F1245"/>
      <c r="G1245"/>
      <c r="H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J1247"/>
      <c r="K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L1249"/>
      <c r="M1249"/>
      <c r="N1249" s="61"/>
      <c r="O1249"/>
    </row>
    <row r="1250" spans="1:15" x14ac:dyDescent="0.2">
      <c r="A1250"/>
      <c r="B1250" s="61"/>
      <c r="C1250" s="61"/>
      <c r="F1250"/>
      <c r="G1250"/>
      <c r="H1250"/>
      <c r="I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J1252"/>
      <c r="K1252"/>
      <c r="L1252"/>
      <c r="M1252"/>
      <c r="N1252" s="61"/>
      <c r="O1252"/>
    </row>
    <row r="1253" spans="1:15" x14ac:dyDescent="0.2">
      <c r="A1253"/>
      <c r="B1253" s="61"/>
      <c r="C1253" s="61"/>
      <c r="F1253"/>
      <c r="G1253"/>
      <c r="H1253"/>
      <c r="I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J1255"/>
      <c r="K1255"/>
      <c r="L1255"/>
      <c r="M1255"/>
      <c r="N1255" s="61"/>
      <c r="O1255"/>
    </row>
    <row r="1256" spans="1:15" x14ac:dyDescent="0.2">
      <c r="A1256"/>
      <c r="B1256" s="61"/>
      <c r="C1256" s="61"/>
      <c r="F1256"/>
      <c r="G1256"/>
      <c r="L1256"/>
      <c r="M1256"/>
      <c r="N1256" s="61"/>
      <c r="O1256"/>
    </row>
    <row r="1257" spans="1:15" x14ac:dyDescent="0.2">
      <c r="A1257"/>
      <c r="B1257" s="61"/>
      <c r="C1257" s="61"/>
      <c r="F1257"/>
      <c r="G1257"/>
      <c r="H1257"/>
      <c r="I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I1259"/>
      <c r="L1259"/>
      <c r="M1259"/>
      <c r="N1259" s="61"/>
      <c r="O1259"/>
    </row>
    <row r="1260" spans="1:15" x14ac:dyDescent="0.2">
      <c r="A1260"/>
      <c r="B1260" s="61"/>
      <c r="C1260" s="61"/>
      <c r="F1260"/>
      <c r="G1260"/>
      <c r="H1260"/>
      <c r="I1260"/>
      <c r="L1260"/>
      <c r="M1260"/>
      <c r="N1260" s="61"/>
      <c r="O1260"/>
    </row>
    <row r="1261" spans="1:15" x14ac:dyDescent="0.2">
      <c r="A1261"/>
      <c r="B1261" s="61"/>
      <c r="C1261" s="61"/>
      <c r="F1261"/>
      <c r="G1261"/>
      <c r="H1261"/>
      <c r="J1261"/>
      <c r="K1261"/>
      <c r="L1261"/>
      <c r="M1261"/>
      <c r="N1261" s="61"/>
      <c r="O1261"/>
    </row>
    <row r="1262" spans="1:15" x14ac:dyDescent="0.2">
      <c r="A1262"/>
      <c r="B1262" s="61"/>
      <c r="C1262" s="61"/>
      <c r="F1262"/>
      <c r="G1262"/>
      <c r="H1262"/>
      <c r="I1262"/>
      <c r="L1262"/>
      <c r="M1262"/>
      <c r="N1262" s="61"/>
      <c r="O1262"/>
    </row>
    <row r="1263" spans="1:15" x14ac:dyDescent="0.2">
      <c r="A1263"/>
      <c r="B1263" s="61"/>
      <c r="C1263" s="61"/>
      <c r="F1263"/>
      <c r="G1263"/>
      <c r="I1263"/>
      <c r="L1263"/>
      <c r="M1263"/>
      <c r="N1263" s="61"/>
      <c r="O1263"/>
    </row>
    <row r="1264" spans="1:15" x14ac:dyDescent="0.2">
      <c r="A1264"/>
      <c r="B1264" s="61"/>
      <c r="C1264" s="61"/>
      <c r="F1264"/>
      <c r="G1264"/>
      <c r="H1264"/>
      <c r="I1264"/>
      <c r="L1264"/>
      <c r="M1264"/>
      <c r="N1264" s="61"/>
      <c r="O1264"/>
    </row>
    <row r="1265" spans="1:15" x14ac:dyDescent="0.2">
      <c r="A1265"/>
      <c r="B1265" s="61"/>
      <c r="C1265" s="61"/>
      <c r="F1265"/>
      <c r="G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H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N1271" s="61"/>
      <c r="O1271"/>
    </row>
    <row r="1272" spans="1:15" x14ac:dyDescent="0.2">
      <c r="A1272"/>
      <c r="B1272" s="61"/>
      <c r="C1272" s="61"/>
      <c r="F1272"/>
      <c r="G1272"/>
      <c r="I1272"/>
      <c r="L1272"/>
      <c r="M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H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M1282"/>
      <c r="N1282" s="61"/>
      <c r="O1282"/>
    </row>
    <row r="1283" spans="1:15" x14ac:dyDescent="0.2">
      <c r="A1283"/>
      <c r="B1283" s="61"/>
      <c r="C1283" s="61"/>
      <c r="F1283"/>
      <c r="G1283"/>
      <c r="H1283"/>
      <c r="I1283"/>
      <c r="L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J1287"/>
      <c r="K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J1289"/>
      <c r="K1289"/>
      <c r="L1289"/>
      <c r="M1289"/>
      <c r="N1289" s="61"/>
      <c r="O1289"/>
    </row>
    <row r="1290" spans="1:15" x14ac:dyDescent="0.2">
      <c r="A1290"/>
      <c r="B1290" s="61"/>
      <c r="C1290" s="61"/>
      <c r="F1290"/>
      <c r="G1290"/>
      <c r="H1290"/>
      <c r="I1290"/>
      <c r="L1290"/>
      <c r="N1290" s="61"/>
      <c r="O1290"/>
    </row>
    <row r="1291" spans="1:15" x14ac:dyDescent="0.2">
      <c r="A1291"/>
      <c r="B1291" s="61"/>
      <c r="C1291" s="61"/>
      <c r="F1291"/>
      <c r="G1291"/>
      <c r="I1291"/>
      <c r="L1291"/>
      <c r="M1291"/>
      <c r="N1291" s="61"/>
      <c r="O1291"/>
    </row>
    <row r="1292" spans="1:15" x14ac:dyDescent="0.2">
      <c r="A1292"/>
      <c r="B1292" s="61"/>
      <c r="C1292" s="61"/>
      <c r="F1292"/>
      <c r="G1292"/>
      <c r="L1292"/>
      <c r="M1292"/>
      <c r="N1292" s="61"/>
      <c r="O1292"/>
    </row>
    <row r="1293" spans="1:15" x14ac:dyDescent="0.2">
      <c r="A1293"/>
      <c r="B1293" s="61"/>
      <c r="C1293" s="61"/>
      <c r="F1293"/>
      <c r="G1293"/>
      <c r="I1293"/>
      <c r="L1293"/>
      <c r="M1293"/>
      <c r="N1293" s="61"/>
      <c r="O1293"/>
    </row>
    <row r="1294" spans="1:15" x14ac:dyDescent="0.2">
      <c r="A1294"/>
      <c r="B1294" s="61"/>
      <c r="C1294" s="61"/>
      <c r="F1294"/>
      <c r="G1294"/>
      <c r="L1294"/>
      <c r="M1294"/>
      <c r="N1294" s="61"/>
      <c r="O1294"/>
    </row>
    <row r="1295" spans="1:15" x14ac:dyDescent="0.2">
      <c r="A1295"/>
      <c r="B1295" s="61"/>
      <c r="C1295" s="61"/>
      <c r="F1295"/>
      <c r="G1295"/>
      <c r="L1295"/>
      <c r="M1295"/>
      <c r="N1295" s="61"/>
      <c r="O1295"/>
    </row>
    <row r="1296" spans="1:15" x14ac:dyDescent="0.2">
      <c r="A1296"/>
      <c r="B1296" s="61"/>
      <c r="C1296" s="61"/>
      <c r="F1296"/>
      <c r="G1296"/>
      <c r="I1296"/>
      <c r="L1296"/>
      <c r="M1296"/>
      <c r="N1296" s="61"/>
      <c r="O1296"/>
    </row>
    <row r="1297" spans="1:15" x14ac:dyDescent="0.2">
      <c r="A1297"/>
      <c r="B1297" s="61"/>
      <c r="C1297" s="61"/>
      <c r="F1297"/>
      <c r="G1297"/>
      <c r="H1297"/>
      <c r="I1297"/>
      <c r="L1297"/>
      <c r="M1297"/>
      <c r="N1297" s="61"/>
      <c r="O1297"/>
    </row>
    <row r="1298" spans="1:15" x14ac:dyDescent="0.2">
      <c r="A1298"/>
      <c r="B1298" s="61"/>
      <c r="C1298" s="61"/>
      <c r="F1298"/>
      <c r="G1298"/>
      <c r="L1298"/>
      <c r="M1298"/>
      <c r="N1298" s="61"/>
      <c r="O1298"/>
    </row>
    <row r="1299" spans="1:15" x14ac:dyDescent="0.2">
      <c r="A1299"/>
      <c r="B1299" s="61"/>
      <c r="C1299" s="61"/>
      <c r="F1299"/>
      <c r="G1299"/>
      <c r="H1299"/>
      <c r="I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I1303"/>
      <c r="L1303"/>
      <c r="M1303"/>
      <c r="N1303" s="61"/>
      <c r="O1303"/>
    </row>
    <row r="1304" spans="1:15" x14ac:dyDescent="0.2">
      <c r="A1304"/>
      <c r="B1304" s="61"/>
      <c r="C1304" s="61"/>
      <c r="F1304"/>
      <c r="G1304"/>
      <c r="H1304"/>
      <c r="I1304"/>
      <c r="L1304"/>
      <c r="N1304" s="61"/>
      <c r="O1304"/>
    </row>
    <row r="1305" spans="1:15" x14ac:dyDescent="0.2">
      <c r="A1305"/>
      <c r="B1305" s="61"/>
      <c r="C1305" s="61"/>
      <c r="F1305"/>
      <c r="G1305"/>
      <c r="I1305"/>
      <c r="L1305"/>
      <c r="M1305"/>
      <c r="N1305" s="61"/>
      <c r="O1305"/>
    </row>
    <row r="1306" spans="1:15" x14ac:dyDescent="0.2">
      <c r="A1306"/>
      <c r="B1306" s="61"/>
      <c r="C1306" s="61"/>
      <c r="F1306"/>
      <c r="G1306"/>
      <c r="I1306"/>
      <c r="L1306"/>
      <c r="M1306"/>
      <c r="N1306" s="61"/>
      <c r="O1306"/>
    </row>
    <row r="1307" spans="1:15" x14ac:dyDescent="0.2">
      <c r="A1307"/>
      <c r="B1307" s="61"/>
      <c r="C1307" s="61"/>
      <c r="F1307"/>
      <c r="G1307"/>
      <c r="H1307"/>
      <c r="I1307"/>
      <c r="L1307"/>
      <c r="M1307"/>
      <c r="N1307" s="61"/>
      <c r="O1307"/>
    </row>
    <row r="1308" spans="1:15" x14ac:dyDescent="0.2">
      <c r="A1308"/>
      <c r="B1308" s="61"/>
      <c r="C1308" s="61"/>
      <c r="F1308"/>
      <c r="G1308"/>
      <c r="J1308"/>
      <c r="K1308"/>
      <c r="L1308"/>
      <c r="M1308"/>
      <c r="N1308" s="61"/>
      <c r="O1308"/>
    </row>
    <row r="1309" spans="1:15" x14ac:dyDescent="0.2">
      <c r="A1309"/>
      <c r="B1309" s="61"/>
      <c r="C1309" s="61"/>
      <c r="F1309"/>
      <c r="G1309"/>
      <c r="H1309"/>
      <c r="I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H1313"/>
      <c r="I1313"/>
      <c r="L1313"/>
      <c r="M1313"/>
      <c r="N1313" s="61"/>
      <c r="O1313"/>
    </row>
    <row r="1314" spans="1:15" x14ac:dyDescent="0.2">
      <c r="A1314"/>
      <c r="B1314" s="61"/>
      <c r="C1314" s="61"/>
      <c r="F1314"/>
      <c r="G1314"/>
      <c r="L1314"/>
      <c r="M1314"/>
      <c r="N1314" s="61"/>
      <c r="O1314"/>
    </row>
    <row r="1315" spans="1:15" x14ac:dyDescent="0.2">
      <c r="A1315"/>
      <c r="B1315" s="61"/>
      <c r="C1315" s="61"/>
      <c r="F1315"/>
      <c r="G1315"/>
      <c r="M1315"/>
      <c r="N1315" s="61"/>
      <c r="O1315"/>
    </row>
    <row r="1316" spans="1:15" x14ac:dyDescent="0.2">
      <c r="A1316"/>
      <c r="B1316" s="61"/>
      <c r="C1316" s="61"/>
      <c r="F1316"/>
      <c r="G1316"/>
      <c r="H1316"/>
      <c r="I1316"/>
      <c r="L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H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H1324"/>
      <c r="I1324"/>
      <c r="L1324"/>
      <c r="M1324"/>
      <c r="N1324" s="61"/>
      <c r="O1324"/>
    </row>
    <row r="1325" spans="1:15" x14ac:dyDescent="0.2">
      <c r="A1325"/>
      <c r="B1325" s="61"/>
      <c r="C1325" s="61"/>
      <c r="F1325"/>
      <c r="G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H1327"/>
      <c r="I1327"/>
      <c r="L1327"/>
      <c r="M1327"/>
      <c r="N1327" s="61"/>
      <c r="O1327"/>
    </row>
    <row r="1328" spans="1:15" x14ac:dyDescent="0.2">
      <c r="A1328"/>
      <c r="B1328" s="61"/>
      <c r="C1328" s="61"/>
      <c r="F1328"/>
      <c r="G1328"/>
      <c r="J1328"/>
      <c r="K1328"/>
      <c r="L1328"/>
      <c r="M1328"/>
      <c r="N1328" s="61"/>
      <c r="O1328"/>
    </row>
    <row r="1329" spans="1:15" x14ac:dyDescent="0.2">
      <c r="A1329"/>
      <c r="B1329" s="61"/>
      <c r="C1329" s="61"/>
      <c r="F1329"/>
      <c r="G1329"/>
      <c r="H1329"/>
      <c r="I1329"/>
      <c r="L1329"/>
      <c r="M1329"/>
      <c r="N1329" s="61"/>
      <c r="O1329"/>
    </row>
    <row r="1330" spans="1:15" x14ac:dyDescent="0.2">
      <c r="A1330"/>
      <c r="B1330" s="61"/>
      <c r="C1330" s="61"/>
      <c r="F1330"/>
      <c r="G1330"/>
      <c r="I1330"/>
      <c r="L1330"/>
      <c r="M1330"/>
      <c r="N1330" s="61"/>
      <c r="O1330"/>
    </row>
    <row r="1331" spans="1:15" x14ac:dyDescent="0.2">
      <c r="A1331"/>
      <c r="B1331" s="61"/>
      <c r="C1331" s="61"/>
      <c r="F1331"/>
      <c r="G1331"/>
      <c r="L1331"/>
      <c r="M1331"/>
      <c r="N1331" s="61"/>
      <c r="O1331"/>
    </row>
    <row r="1332" spans="1:15" x14ac:dyDescent="0.2">
      <c r="A1332"/>
      <c r="B1332" s="61"/>
      <c r="C1332" s="61"/>
      <c r="F1332"/>
      <c r="G1332"/>
      <c r="H1332"/>
      <c r="I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J1334"/>
      <c r="K1334"/>
      <c r="L1334"/>
      <c r="M1334"/>
      <c r="N1334" s="61"/>
      <c r="O1334"/>
    </row>
    <row r="1335" spans="1:15" x14ac:dyDescent="0.2">
      <c r="A1335"/>
      <c r="B1335" s="61"/>
      <c r="C1335" s="61"/>
      <c r="F1335"/>
      <c r="G1335"/>
      <c r="H1335"/>
      <c r="I1335"/>
      <c r="L1335"/>
      <c r="M1335"/>
      <c r="N1335" s="61"/>
      <c r="O1335"/>
    </row>
    <row r="1336" spans="1:15" x14ac:dyDescent="0.2">
      <c r="A1336"/>
      <c r="B1336" s="61"/>
      <c r="C1336" s="61"/>
      <c r="F1336"/>
      <c r="G1336"/>
      <c r="I1336"/>
      <c r="L1336"/>
      <c r="M1336"/>
      <c r="N1336" s="61"/>
      <c r="O1336"/>
    </row>
    <row r="1337" spans="1:15" x14ac:dyDescent="0.2">
      <c r="A1337"/>
      <c r="B1337" s="61"/>
      <c r="C1337" s="61"/>
      <c r="F1337"/>
      <c r="G1337"/>
      <c r="L1337"/>
      <c r="M1337"/>
      <c r="N1337" s="61"/>
      <c r="O1337"/>
    </row>
    <row r="1338" spans="1:15" x14ac:dyDescent="0.2">
      <c r="A1338"/>
      <c r="B1338" s="61"/>
      <c r="C1338" s="61"/>
      <c r="F1338"/>
      <c r="G1338"/>
      <c r="I1338"/>
      <c r="L1338"/>
      <c r="M1338"/>
      <c r="N1338" s="61"/>
      <c r="O1338"/>
    </row>
    <row r="1339" spans="1:15" x14ac:dyDescent="0.2">
      <c r="A1339"/>
      <c r="B1339" s="61"/>
      <c r="C1339" s="61"/>
      <c r="F1339"/>
      <c r="G1339"/>
      <c r="H1339"/>
      <c r="I1339"/>
      <c r="L1339"/>
      <c r="M1339"/>
      <c r="N1339" s="61"/>
      <c r="O1339"/>
    </row>
    <row r="1340" spans="1:15" x14ac:dyDescent="0.2">
      <c r="A1340"/>
      <c r="B1340" s="61"/>
      <c r="C1340" s="61"/>
      <c r="F1340"/>
      <c r="G1340"/>
      <c r="I1340"/>
      <c r="L1340"/>
      <c r="M1340"/>
      <c r="N1340" s="61"/>
      <c r="O1340"/>
    </row>
    <row r="1341" spans="1:15" x14ac:dyDescent="0.2">
      <c r="A1341"/>
      <c r="B1341" s="61"/>
      <c r="C1341" s="61"/>
      <c r="F1341"/>
      <c r="G1341"/>
      <c r="H1341"/>
      <c r="I1341"/>
      <c r="L1341"/>
      <c r="M1341"/>
      <c r="N1341" s="61"/>
      <c r="O1341"/>
    </row>
    <row r="1342" spans="1:15" x14ac:dyDescent="0.2">
      <c r="A1342"/>
      <c r="B1342" s="61"/>
      <c r="C1342" s="61"/>
      <c r="F1342"/>
      <c r="G1342"/>
      <c r="H1342"/>
      <c r="J1342"/>
      <c r="K1342"/>
      <c r="L1342"/>
      <c r="M1342"/>
      <c r="N1342" s="61"/>
      <c r="O1342"/>
    </row>
    <row r="1343" spans="1:15" x14ac:dyDescent="0.2">
      <c r="A1343"/>
      <c r="B1343" s="61"/>
      <c r="C1343" s="61"/>
      <c r="F1343"/>
      <c r="G1343"/>
      <c r="H1343"/>
      <c r="I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I1345"/>
      <c r="L1345"/>
      <c r="M1345"/>
      <c r="N1345" s="61"/>
      <c r="O1345"/>
    </row>
    <row r="1346" spans="1:15" x14ac:dyDescent="0.2">
      <c r="A1346"/>
      <c r="B1346" s="61"/>
      <c r="C1346" s="61"/>
      <c r="F1346"/>
      <c r="G1346"/>
      <c r="L1346"/>
      <c r="M1346"/>
      <c r="N1346" s="61"/>
      <c r="O1346"/>
    </row>
    <row r="1347" spans="1:15" x14ac:dyDescent="0.2">
      <c r="A1347"/>
      <c r="B1347" s="61"/>
      <c r="C1347" s="61"/>
      <c r="F1347"/>
      <c r="G1347"/>
      <c r="H1347"/>
      <c r="I1347"/>
      <c r="L1347"/>
      <c r="M1347"/>
      <c r="N1347" s="61"/>
      <c r="O1347"/>
    </row>
    <row r="1348" spans="1:15" x14ac:dyDescent="0.2">
      <c r="A1348"/>
      <c r="B1348" s="61"/>
      <c r="C1348" s="61"/>
      <c r="F1348"/>
      <c r="G1348"/>
      <c r="L1348"/>
      <c r="M1348"/>
      <c r="N1348" s="61"/>
      <c r="O1348"/>
    </row>
    <row r="1349" spans="1:15" x14ac:dyDescent="0.2">
      <c r="A1349"/>
      <c r="B1349" s="61"/>
      <c r="C1349" s="61"/>
      <c r="F1349"/>
      <c r="G1349"/>
      <c r="H1349"/>
      <c r="J1349"/>
      <c r="K1349"/>
      <c r="L1349"/>
      <c r="N1349" s="61"/>
      <c r="O1349"/>
    </row>
    <row r="1350" spans="1:15" x14ac:dyDescent="0.2">
      <c r="A1350"/>
      <c r="B1350" s="61"/>
      <c r="C1350" s="61"/>
      <c r="F1350"/>
      <c r="G1350"/>
      <c r="L1350"/>
      <c r="M1350"/>
      <c r="N1350" s="61"/>
      <c r="O1350"/>
    </row>
    <row r="1351" spans="1:15" x14ac:dyDescent="0.2">
      <c r="A1351"/>
      <c r="B1351" s="61"/>
      <c r="C1351" s="61"/>
      <c r="F1351"/>
      <c r="G1351"/>
      <c r="H1351"/>
      <c r="I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L1353"/>
      <c r="M1353"/>
      <c r="N1353" s="61"/>
      <c r="O1353"/>
    </row>
    <row r="1354" spans="1:15" x14ac:dyDescent="0.2">
      <c r="A1354"/>
      <c r="B1354" s="61"/>
      <c r="C1354" s="61"/>
      <c r="F1354"/>
      <c r="G1354"/>
      <c r="L1354"/>
      <c r="M1354"/>
      <c r="N1354" s="61"/>
      <c r="O1354"/>
    </row>
    <row r="1355" spans="1:15" x14ac:dyDescent="0.2">
      <c r="A1355"/>
      <c r="B1355" s="61"/>
      <c r="C1355" s="61"/>
      <c r="F1355"/>
      <c r="G1355"/>
      <c r="J1355"/>
      <c r="K1355"/>
      <c r="L1355"/>
      <c r="M1355"/>
      <c r="N1355" s="61"/>
      <c r="O1355"/>
    </row>
    <row r="1356" spans="1:15" x14ac:dyDescent="0.2">
      <c r="A1356"/>
      <c r="B1356" s="61"/>
      <c r="C1356" s="61"/>
      <c r="F1356"/>
      <c r="G1356"/>
      <c r="H1356"/>
      <c r="I1356"/>
      <c r="L1356"/>
      <c r="M1356"/>
      <c r="N1356" s="61"/>
      <c r="O1356"/>
    </row>
    <row r="1357" spans="1:15" x14ac:dyDescent="0.2">
      <c r="A1357"/>
      <c r="B1357" s="61"/>
      <c r="C1357" s="61"/>
      <c r="F1357"/>
      <c r="G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H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I1361"/>
      <c r="L1361"/>
      <c r="M1361"/>
      <c r="N1361" s="61"/>
      <c r="O1361"/>
    </row>
    <row r="1362" spans="1:15" x14ac:dyDescent="0.2">
      <c r="A1362"/>
      <c r="B1362" s="61"/>
      <c r="C1362" s="61"/>
      <c r="F1362"/>
      <c r="G1362"/>
      <c r="H1362"/>
      <c r="L1362"/>
      <c r="M1362"/>
      <c r="N1362" s="61"/>
      <c r="O1362"/>
    </row>
    <row r="1363" spans="1:15" x14ac:dyDescent="0.2">
      <c r="A1363"/>
      <c r="B1363" s="61"/>
      <c r="C1363" s="61"/>
      <c r="F1363"/>
      <c r="G1363"/>
      <c r="H1363"/>
      <c r="I1363"/>
      <c r="L1363"/>
      <c r="M1363"/>
      <c r="N1363" s="61"/>
      <c r="O1363"/>
    </row>
    <row r="1364" spans="1:15" x14ac:dyDescent="0.2">
      <c r="A1364"/>
      <c r="B1364" s="61"/>
      <c r="C1364" s="61"/>
      <c r="F1364"/>
      <c r="G1364"/>
      <c r="H1364"/>
      <c r="M1364"/>
      <c r="N1364" s="61"/>
      <c r="O1364"/>
    </row>
    <row r="1365" spans="1:15" x14ac:dyDescent="0.2">
      <c r="A1365"/>
      <c r="B1365" s="61"/>
      <c r="C1365" s="61"/>
      <c r="F1365"/>
      <c r="G1365"/>
      <c r="L1365"/>
      <c r="M1365"/>
      <c r="N1365" s="61"/>
      <c r="O1365"/>
    </row>
    <row r="1366" spans="1:15" x14ac:dyDescent="0.2">
      <c r="A1366"/>
      <c r="B1366" s="61"/>
      <c r="C1366" s="61"/>
      <c r="F1366"/>
      <c r="G1366"/>
      <c r="H1366"/>
      <c r="I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I1369"/>
      <c r="L1369"/>
      <c r="M1369"/>
      <c r="N1369" s="61"/>
      <c r="O1369"/>
    </row>
    <row r="1370" spans="1:15" x14ac:dyDescent="0.2">
      <c r="A1370"/>
      <c r="B1370" s="61"/>
      <c r="C1370" s="61"/>
      <c r="F1370"/>
      <c r="G1370"/>
      <c r="H1370"/>
      <c r="L1370"/>
      <c r="M1370"/>
      <c r="N1370" s="61"/>
      <c r="O1370"/>
    </row>
    <row r="1371" spans="1:15" x14ac:dyDescent="0.2">
      <c r="A1371"/>
      <c r="B1371" s="61"/>
      <c r="C1371" s="61"/>
      <c r="F1371"/>
      <c r="G1371"/>
      <c r="H1371"/>
      <c r="I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L1375"/>
      <c r="M1375"/>
      <c r="N1375" s="61"/>
      <c r="O1375"/>
    </row>
    <row r="1376" spans="1:15" x14ac:dyDescent="0.2">
      <c r="A1376"/>
      <c r="B1376" s="61"/>
      <c r="C1376" s="61"/>
      <c r="F1376"/>
      <c r="G1376"/>
      <c r="I1376"/>
      <c r="L1376"/>
      <c r="M1376"/>
      <c r="N1376" s="61"/>
      <c r="O1376"/>
    </row>
    <row r="1377" spans="1:15" x14ac:dyDescent="0.2">
      <c r="A1377"/>
      <c r="B1377" s="61"/>
      <c r="C1377" s="61"/>
      <c r="F1377"/>
      <c r="G1377"/>
      <c r="H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L1380"/>
      <c r="M1380"/>
      <c r="N1380" s="61"/>
      <c r="O1380"/>
    </row>
    <row r="1381" spans="1:15" x14ac:dyDescent="0.2">
      <c r="A1381"/>
      <c r="B1381" s="61"/>
      <c r="C1381" s="61"/>
      <c r="F1381"/>
      <c r="G1381"/>
      <c r="L1381"/>
      <c r="M1381"/>
      <c r="N1381" s="61"/>
      <c r="O1381"/>
    </row>
    <row r="1382" spans="1:15" x14ac:dyDescent="0.2">
      <c r="A1382"/>
      <c r="B1382" s="61"/>
      <c r="C1382" s="61"/>
      <c r="F1382"/>
      <c r="G1382"/>
      <c r="J1382"/>
      <c r="K1382"/>
      <c r="L1382"/>
      <c r="M1382"/>
      <c r="N1382" s="61"/>
      <c r="O1382"/>
    </row>
    <row r="1383" spans="1:15" x14ac:dyDescent="0.2">
      <c r="A1383"/>
      <c r="B1383" s="61"/>
      <c r="C1383" s="61"/>
      <c r="F1383"/>
      <c r="G1383"/>
      <c r="L1383"/>
      <c r="M1383"/>
      <c r="N1383" s="61"/>
      <c r="O1383"/>
    </row>
    <row r="1384" spans="1:15" x14ac:dyDescent="0.2">
      <c r="A1384"/>
      <c r="B1384" s="61"/>
      <c r="C1384" s="61"/>
      <c r="F1384"/>
      <c r="G1384"/>
      <c r="I1384"/>
      <c r="L1384"/>
      <c r="M1384"/>
      <c r="N1384" s="61"/>
      <c r="O1384"/>
    </row>
    <row r="1385" spans="1:15" x14ac:dyDescent="0.2">
      <c r="A1385"/>
      <c r="B1385" s="61"/>
      <c r="C1385" s="61"/>
      <c r="F1385"/>
      <c r="G1385"/>
      <c r="H1385"/>
      <c r="I1385"/>
      <c r="L1385"/>
      <c r="M1385"/>
      <c r="N1385" s="61"/>
      <c r="O1385"/>
    </row>
    <row r="1386" spans="1:15" x14ac:dyDescent="0.2">
      <c r="A1386"/>
      <c r="B1386" s="61"/>
      <c r="C1386" s="61"/>
      <c r="F1386"/>
      <c r="G1386"/>
      <c r="L1386"/>
      <c r="M1386"/>
      <c r="N1386" s="61"/>
      <c r="O1386"/>
    </row>
    <row r="1387" spans="1:15" x14ac:dyDescent="0.2">
      <c r="A1387"/>
      <c r="B1387" s="61"/>
      <c r="C1387" s="61"/>
      <c r="F1387"/>
      <c r="G1387"/>
      <c r="I1387"/>
      <c r="L1387"/>
      <c r="M1387"/>
      <c r="N1387" s="61"/>
      <c r="O1387"/>
    </row>
    <row r="1388" spans="1:15" x14ac:dyDescent="0.2">
      <c r="A1388"/>
      <c r="B1388" s="61"/>
      <c r="C1388" s="61"/>
      <c r="F1388"/>
      <c r="G1388"/>
      <c r="H1388"/>
      <c r="J1388"/>
      <c r="K1388"/>
      <c r="L1388"/>
      <c r="M1388"/>
      <c r="N1388" s="61"/>
      <c r="O1388"/>
    </row>
    <row r="1389" spans="1:15" x14ac:dyDescent="0.2">
      <c r="A1389"/>
      <c r="B1389" s="61"/>
      <c r="C1389" s="61"/>
      <c r="F1389"/>
      <c r="G1389"/>
      <c r="H1389"/>
      <c r="I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I1393"/>
      <c r="L1393"/>
      <c r="M1393"/>
      <c r="N1393" s="61"/>
      <c r="O1393"/>
    </row>
    <row r="1394" spans="1:15" x14ac:dyDescent="0.2">
      <c r="A1394"/>
      <c r="B1394" s="61"/>
      <c r="C1394" s="61"/>
      <c r="F1394"/>
      <c r="G1394"/>
      <c r="H1394"/>
      <c r="I1394"/>
      <c r="L1394"/>
      <c r="M1394"/>
      <c r="N1394" s="61"/>
      <c r="O1394"/>
    </row>
    <row r="1395" spans="1:15" x14ac:dyDescent="0.2">
      <c r="A1395"/>
      <c r="B1395" s="61"/>
      <c r="C1395" s="61"/>
      <c r="F1395"/>
      <c r="G1395"/>
      <c r="H1395"/>
      <c r="I1395"/>
      <c r="L1395"/>
      <c r="N1395" s="61"/>
      <c r="O1395"/>
    </row>
    <row r="1396" spans="1:15" x14ac:dyDescent="0.2">
      <c r="A1396"/>
      <c r="B1396" s="61"/>
      <c r="C1396" s="61"/>
      <c r="F1396"/>
      <c r="G1396"/>
      <c r="J1396"/>
      <c r="K1396"/>
      <c r="L1396"/>
      <c r="M1396"/>
      <c r="N1396" s="61"/>
      <c r="O1396"/>
    </row>
    <row r="1397" spans="1:15" x14ac:dyDescent="0.2">
      <c r="A1397"/>
      <c r="B1397" s="61"/>
      <c r="C1397" s="61"/>
      <c r="F1397"/>
      <c r="G1397"/>
      <c r="H1397"/>
      <c r="J1397"/>
      <c r="K1397"/>
      <c r="L1397"/>
      <c r="M1397"/>
      <c r="N1397" s="61"/>
      <c r="O1397"/>
    </row>
    <row r="1398" spans="1:15" x14ac:dyDescent="0.2">
      <c r="A1398"/>
      <c r="B1398" s="61"/>
      <c r="C1398" s="61"/>
      <c r="F1398"/>
      <c r="G1398"/>
      <c r="L1398"/>
      <c r="M1398"/>
      <c r="N1398" s="61"/>
      <c r="O1398"/>
    </row>
    <row r="1399" spans="1:15" x14ac:dyDescent="0.2">
      <c r="A1399"/>
      <c r="B1399" s="61"/>
      <c r="C1399" s="61"/>
      <c r="F1399"/>
      <c r="G1399"/>
      <c r="H1399"/>
      <c r="I1399"/>
      <c r="J1399"/>
      <c r="K1399"/>
      <c r="L1399"/>
      <c r="M1399"/>
      <c r="N1399" s="61"/>
      <c r="O1399"/>
    </row>
    <row r="1400" spans="1:15" x14ac:dyDescent="0.2">
      <c r="A1400"/>
      <c r="B1400" s="61"/>
      <c r="C1400" s="61"/>
      <c r="F1400"/>
      <c r="G1400"/>
      <c r="H1400"/>
      <c r="J1400"/>
      <c r="K1400"/>
      <c r="M1400"/>
      <c r="N1400" s="61"/>
      <c r="O1400"/>
    </row>
    <row r="1401" spans="1:15" x14ac:dyDescent="0.2">
      <c r="A1401"/>
      <c r="B1401" s="61"/>
      <c r="C1401" s="61"/>
      <c r="F1401"/>
      <c r="G1401"/>
      <c r="H1401"/>
      <c r="J1401"/>
      <c r="K1401"/>
      <c r="L1401"/>
      <c r="M1401"/>
      <c r="N1401" s="61"/>
      <c r="O1401"/>
    </row>
    <row r="1402" spans="1:15" x14ac:dyDescent="0.2">
      <c r="A1402"/>
      <c r="B1402" s="61"/>
      <c r="C1402" s="61"/>
      <c r="F1402"/>
      <c r="G1402"/>
      <c r="J1402"/>
      <c r="K1402"/>
      <c r="L1402"/>
      <c r="M1402"/>
      <c r="N1402" s="61"/>
      <c r="O1402"/>
    </row>
    <row r="1403" spans="1:15" x14ac:dyDescent="0.2">
      <c r="A1403"/>
      <c r="B1403" s="61"/>
      <c r="C1403" s="61"/>
      <c r="F1403"/>
      <c r="G1403"/>
      <c r="H1403"/>
      <c r="I1403"/>
      <c r="J1403"/>
      <c r="K1403"/>
      <c r="L1403"/>
      <c r="M1403"/>
      <c r="N1403" s="61"/>
      <c r="O1403"/>
    </row>
    <row r="1404" spans="1:15" x14ac:dyDescent="0.2">
      <c r="A1404"/>
      <c r="B1404" s="61"/>
      <c r="C1404" s="61"/>
      <c r="F1404"/>
      <c r="G1404"/>
      <c r="J1404"/>
      <c r="L1404"/>
      <c r="M1404"/>
      <c r="N1404" s="61"/>
      <c r="O1404"/>
    </row>
    <row r="1405" spans="1:15" x14ac:dyDescent="0.2">
      <c r="A1405"/>
      <c r="B1405" s="61"/>
      <c r="C1405" s="61"/>
      <c r="F1405"/>
      <c r="G1405"/>
      <c r="I1405"/>
      <c r="L1405"/>
      <c r="N1405" s="61"/>
      <c r="O1405"/>
    </row>
    <row r="1406" spans="1:15" x14ac:dyDescent="0.2">
      <c r="A1406"/>
      <c r="B1406" s="61"/>
      <c r="C1406" s="61"/>
      <c r="F1406"/>
      <c r="G1406"/>
      <c r="L1406"/>
      <c r="M1406"/>
      <c r="N1406" s="61"/>
      <c r="O1406"/>
    </row>
    <row r="1407" spans="1:15" x14ac:dyDescent="0.2">
      <c r="A1407"/>
      <c r="B1407" s="61"/>
      <c r="C1407" s="61"/>
      <c r="F1407"/>
      <c r="G1407"/>
      <c r="H1407"/>
      <c r="J1407"/>
      <c r="K1407"/>
      <c r="L1407"/>
      <c r="M1407"/>
      <c r="N1407" s="61"/>
      <c r="O1407"/>
    </row>
    <row r="1408" spans="1:15" x14ac:dyDescent="0.2">
      <c r="A1408"/>
      <c r="B1408" s="61"/>
      <c r="C1408" s="61"/>
      <c r="F1408"/>
      <c r="G1408"/>
      <c r="J1408"/>
      <c r="K1408"/>
      <c r="L1408"/>
      <c r="M1408"/>
      <c r="N1408" s="61"/>
      <c r="O1408"/>
    </row>
    <row r="1409" spans="1:15" x14ac:dyDescent="0.2">
      <c r="A1409"/>
      <c r="B1409" s="61"/>
      <c r="C1409" s="61"/>
      <c r="F1409"/>
      <c r="G1409"/>
      <c r="H1409"/>
      <c r="I1409"/>
      <c r="L1409"/>
      <c r="M1409"/>
      <c r="N1409" s="61"/>
      <c r="O1409"/>
    </row>
    <row r="1410" spans="1:15" x14ac:dyDescent="0.2">
      <c r="A1410"/>
      <c r="B1410" s="61"/>
      <c r="C1410" s="61"/>
      <c r="F1410"/>
      <c r="G1410"/>
      <c r="H1410"/>
      <c r="L1410"/>
      <c r="M1410"/>
      <c r="N1410" s="61"/>
      <c r="O1410"/>
    </row>
    <row r="1411" spans="1:15" x14ac:dyDescent="0.2">
      <c r="A1411"/>
      <c r="B1411" s="61"/>
      <c r="C1411" s="61"/>
      <c r="F1411"/>
      <c r="G1411"/>
      <c r="H1411"/>
      <c r="I1411"/>
      <c r="L1411"/>
      <c r="N1411" s="61"/>
      <c r="O1411"/>
    </row>
    <row r="1412" spans="1:15" x14ac:dyDescent="0.2">
      <c r="A1412"/>
      <c r="B1412" s="61"/>
      <c r="C1412" s="61"/>
      <c r="F1412"/>
      <c r="G1412"/>
      <c r="I1412"/>
      <c r="L1412"/>
      <c r="M1412"/>
      <c r="N1412" s="61"/>
      <c r="O1412"/>
    </row>
    <row r="1413" spans="1:15" x14ac:dyDescent="0.2">
      <c r="A1413"/>
      <c r="B1413" s="61"/>
      <c r="C1413" s="61"/>
      <c r="F1413"/>
      <c r="G1413"/>
      <c r="L1413"/>
      <c r="M1413"/>
      <c r="N1413" s="61"/>
      <c r="O1413"/>
    </row>
    <row r="1414" spans="1:15" x14ac:dyDescent="0.2">
      <c r="A1414"/>
      <c r="B1414" s="61"/>
      <c r="C1414" s="61"/>
      <c r="F1414"/>
      <c r="G1414"/>
      <c r="L1414"/>
      <c r="M1414"/>
      <c r="N1414" s="61"/>
      <c r="O1414"/>
    </row>
    <row r="1415" spans="1:15" x14ac:dyDescent="0.2">
      <c r="A1415"/>
      <c r="B1415" s="61"/>
      <c r="C1415" s="61"/>
      <c r="F1415"/>
      <c r="G1415"/>
      <c r="H1415"/>
      <c r="I1415"/>
      <c r="L1415"/>
      <c r="M1415"/>
      <c r="N1415" s="61"/>
      <c r="O1415"/>
    </row>
    <row r="1416" spans="1:15" x14ac:dyDescent="0.2">
      <c r="A1416"/>
      <c r="B1416" s="61"/>
      <c r="C1416" s="61"/>
      <c r="F1416"/>
      <c r="G1416"/>
      <c r="L1416"/>
      <c r="M1416"/>
      <c r="N1416" s="61"/>
      <c r="O1416"/>
    </row>
    <row r="1417" spans="1:15" x14ac:dyDescent="0.2">
      <c r="A1417"/>
      <c r="B1417" s="61"/>
      <c r="C1417" s="61"/>
      <c r="F1417"/>
      <c r="G1417"/>
      <c r="H1417"/>
      <c r="I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J1423"/>
      <c r="K1423"/>
      <c r="L1423"/>
      <c r="M1423"/>
      <c r="N1423" s="61"/>
      <c r="O1423"/>
    </row>
    <row r="1424" spans="1:15" x14ac:dyDescent="0.2">
      <c r="A1424"/>
      <c r="B1424" s="61"/>
      <c r="C1424" s="61"/>
      <c r="F1424"/>
      <c r="G1424"/>
      <c r="H1424"/>
      <c r="I1424"/>
      <c r="L1424"/>
      <c r="M1424"/>
      <c r="N1424" s="61"/>
      <c r="O1424"/>
    </row>
    <row r="1425" spans="1:15" x14ac:dyDescent="0.2">
      <c r="A1425"/>
      <c r="B1425" s="61"/>
      <c r="C1425" s="61"/>
      <c r="F1425"/>
      <c r="G1425"/>
      <c r="I1425"/>
      <c r="L1425"/>
      <c r="M1425"/>
      <c r="N1425" s="61"/>
      <c r="O1425"/>
    </row>
    <row r="1426" spans="1:15" x14ac:dyDescent="0.2">
      <c r="A1426"/>
      <c r="B1426" s="61"/>
      <c r="C1426" s="61"/>
      <c r="F1426"/>
      <c r="G1426"/>
      <c r="H1426"/>
      <c r="I1426"/>
      <c r="L1426"/>
      <c r="M1426"/>
      <c r="N1426" s="61"/>
      <c r="O1426"/>
    </row>
    <row r="1427" spans="1:15" x14ac:dyDescent="0.2">
      <c r="A1427"/>
      <c r="B1427" s="61"/>
      <c r="C1427" s="61"/>
      <c r="F1427"/>
      <c r="G1427"/>
      <c r="I1427"/>
      <c r="L1427"/>
      <c r="M1427"/>
      <c r="N1427" s="61"/>
      <c r="O1427"/>
    </row>
    <row r="1428" spans="1:15" x14ac:dyDescent="0.2">
      <c r="A1428"/>
      <c r="B1428" s="61"/>
      <c r="C1428" s="61"/>
      <c r="F1428"/>
      <c r="G1428"/>
      <c r="L1428"/>
      <c r="M1428"/>
      <c r="N1428" s="61"/>
      <c r="O1428"/>
    </row>
    <row r="1429" spans="1:15" x14ac:dyDescent="0.2">
      <c r="A1429"/>
      <c r="B1429" s="61"/>
      <c r="C1429" s="61"/>
      <c r="F1429"/>
      <c r="G1429"/>
      <c r="H1429"/>
      <c r="I1429"/>
      <c r="L1429"/>
      <c r="M1429"/>
      <c r="N1429" s="61"/>
      <c r="O1429"/>
    </row>
    <row r="1430" spans="1:15" x14ac:dyDescent="0.2">
      <c r="A1430"/>
      <c r="B1430" s="61"/>
      <c r="C1430" s="61"/>
      <c r="F1430"/>
      <c r="G1430"/>
      <c r="H1430"/>
      <c r="I1430"/>
      <c r="L1430"/>
      <c r="N1430" s="61"/>
      <c r="O1430"/>
    </row>
    <row r="1431" spans="1:15" x14ac:dyDescent="0.2">
      <c r="A1431"/>
      <c r="B1431" s="61"/>
      <c r="C1431" s="61"/>
      <c r="F1431"/>
      <c r="G1431"/>
      <c r="I1431"/>
      <c r="L1431"/>
      <c r="M1431"/>
      <c r="N1431" s="61"/>
      <c r="O1431"/>
    </row>
    <row r="1432" spans="1:15" x14ac:dyDescent="0.2">
      <c r="A1432"/>
      <c r="B1432" s="61"/>
      <c r="C1432" s="61"/>
      <c r="F1432"/>
      <c r="G1432"/>
      <c r="L1432"/>
      <c r="M1432"/>
      <c r="N1432" s="61"/>
      <c r="O1432"/>
    </row>
    <row r="1433" spans="1:15" x14ac:dyDescent="0.2">
      <c r="A1433"/>
      <c r="B1433" s="61"/>
      <c r="C1433" s="61"/>
      <c r="F1433"/>
      <c r="G1433"/>
      <c r="H1433"/>
      <c r="I1433"/>
      <c r="L1433"/>
      <c r="M1433"/>
      <c r="N1433" s="61"/>
      <c r="O1433"/>
    </row>
    <row r="1434" spans="1:15" x14ac:dyDescent="0.2">
      <c r="A1434"/>
      <c r="B1434" s="61"/>
      <c r="C1434" s="61"/>
      <c r="F1434"/>
      <c r="G1434"/>
      <c r="H1434"/>
      <c r="J1434"/>
      <c r="K1434"/>
      <c r="L1434"/>
      <c r="M1434"/>
      <c r="N1434" s="61"/>
      <c r="O1434"/>
    </row>
    <row r="1435" spans="1:15" x14ac:dyDescent="0.2">
      <c r="A1435"/>
      <c r="B1435" s="61"/>
      <c r="C1435" s="61"/>
      <c r="F1435"/>
      <c r="G1435"/>
      <c r="L1435"/>
      <c r="M1435"/>
      <c r="N1435" s="61"/>
      <c r="O1435"/>
    </row>
    <row r="1436" spans="1:15" x14ac:dyDescent="0.2">
      <c r="A1436"/>
      <c r="B1436" s="61"/>
      <c r="C1436" s="61"/>
      <c r="F1436"/>
      <c r="G1436"/>
      <c r="H1436"/>
      <c r="I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L1438"/>
      <c r="M1438"/>
      <c r="N1438" s="61"/>
      <c r="O1438"/>
    </row>
    <row r="1439" spans="1:15" x14ac:dyDescent="0.2">
      <c r="A1439"/>
      <c r="B1439" s="61"/>
      <c r="C1439" s="61"/>
      <c r="F1439"/>
      <c r="G1439"/>
      <c r="H1439"/>
      <c r="I1439"/>
      <c r="L1439"/>
      <c r="M1439"/>
      <c r="N1439" s="61"/>
      <c r="O1439"/>
    </row>
    <row r="1440" spans="1:15" x14ac:dyDescent="0.2">
      <c r="A1440"/>
      <c r="B1440" s="61"/>
      <c r="C1440" s="61"/>
      <c r="F1440"/>
      <c r="G1440"/>
      <c r="H1440"/>
      <c r="I1440"/>
      <c r="L1440"/>
      <c r="N1440" s="61"/>
      <c r="O1440"/>
    </row>
    <row r="1441" spans="1:15" x14ac:dyDescent="0.2">
      <c r="A1441"/>
      <c r="B1441" s="61"/>
      <c r="C1441" s="61"/>
      <c r="F1441"/>
      <c r="G1441"/>
      <c r="H1441"/>
      <c r="I1441"/>
      <c r="L1441"/>
      <c r="M1441"/>
      <c r="N1441" s="61"/>
      <c r="O1441"/>
    </row>
    <row r="1442" spans="1:15" x14ac:dyDescent="0.2">
      <c r="A1442"/>
      <c r="B1442" s="61"/>
      <c r="C1442" s="61"/>
      <c r="F1442"/>
      <c r="G1442"/>
      <c r="H1442"/>
      <c r="I1442"/>
      <c r="J1442"/>
      <c r="K1442"/>
      <c r="L1442"/>
      <c r="M1442"/>
      <c r="N1442" s="61"/>
      <c r="O1442"/>
    </row>
    <row r="1443" spans="1:15" x14ac:dyDescent="0.2">
      <c r="A1443"/>
      <c r="B1443" s="61"/>
      <c r="C1443" s="61"/>
      <c r="F1443"/>
      <c r="G1443"/>
      <c r="H1443"/>
      <c r="J1443"/>
      <c r="K1443"/>
      <c r="L1443"/>
      <c r="M1443"/>
      <c r="N1443" s="61"/>
      <c r="O1443"/>
    </row>
    <row r="1444" spans="1:15" x14ac:dyDescent="0.2">
      <c r="A1444"/>
      <c r="B1444" s="61"/>
      <c r="C1444" s="61"/>
      <c r="F1444"/>
      <c r="G1444"/>
      <c r="L1444"/>
      <c r="M1444"/>
      <c r="N1444" s="61"/>
      <c r="O1444"/>
    </row>
    <row r="1445" spans="1:15" x14ac:dyDescent="0.2">
      <c r="A1445"/>
      <c r="B1445" s="61"/>
      <c r="C1445" s="61"/>
      <c r="F1445"/>
      <c r="G1445"/>
      <c r="H1445"/>
      <c r="I1445"/>
      <c r="L1445"/>
      <c r="M1445"/>
      <c r="N1445" s="61"/>
      <c r="O1445"/>
    </row>
    <row r="1446" spans="1:15" x14ac:dyDescent="0.2">
      <c r="A1446"/>
      <c r="B1446" s="61"/>
      <c r="C1446" s="61"/>
      <c r="F1446"/>
      <c r="G1446"/>
      <c r="M1446"/>
      <c r="N1446" s="61"/>
      <c r="O1446"/>
    </row>
    <row r="1447" spans="1:15" x14ac:dyDescent="0.2">
      <c r="A1447"/>
      <c r="B1447" s="61"/>
      <c r="C1447" s="61"/>
      <c r="F1447"/>
      <c r="G1447"/>
      <c r="L1447"/>
      <c r="M1447"/>
      <c r="N1447" s="61"/>
      <c r="O1447"/>
    </row>
    <row r="1448" spans="1:15" x14ac:dyDescent="0.2">
      <c r="A1448"/>
      <c r="B1448" s="61"/>
      <c r="C1448" s="61"/>
      <c r="F1448"/>
      <c r="G1448"/>
      <c r="M1448"/>
      <c r="N1448" s="61"/>
      <c r="O1448"/>
    </row>
    <row r="1449" spans="1:15" x14ac:dyDescent="0.2">
      <c r="A1449"/>
      <c r="B1449" s="61"/>
      <c r="C1449" s="61"/>
      <c r="F1449"/>
      <c r="G1449"/>
      <c r="L1449"/>
      <c r="M1449"/>
      <c r="N1449" s="61"/>
      <c r="O1449"/>
    </row>
    <row r="1450" spans="1:15" x14ac:dyDescent="0.2">
      <c r="A1450"/>
      <c r="B1450" s="61"/>
      <c r="C1450" s="61"/>
      <c r="F1450"/>
      <c r="G1450"/>
      <c r="H1450"/>
      <c r="I1450"/>
      <c r="L1450"/>
      <c r="N1450" s="61"/>
      <c r="O1450"/>
    </row>
    <row r="1451" spans="1:15" x14ac:dyDescent="0.2">
      <c r="A1451"/>
      <c r="B1451" s="61"/>
      <c r="C1451" s="61"/>
      <c r="F1451"/>
      <c r="G1451"/>
      <c r="L1451"/>
      <c r="M1451"/>
      <c r="N1451" s="61"/>
      <c r="O1451"/>
    </row>
    <row r="1452" spans="1:15" x14ac:dyDescent="0.2">
      <c r="A1452"/>
      <c r="B1452" s="61"/>
      <c r="C1452" s="61"/>
      <c r="F1452"/>
      <c r="G1452"/>
      <c r="J1452"/>
      <c r="K1452"/>
      <c r="L1452"/>
      <c r="M1452"/>
      <c r="N1452" s="61"/>
      <c r="O1452"/>
    </row>
    <row r="1453" spans="1:15" x14ac:dyDescent="0.2">
      <c r="A1453"/>
      <c r="B1453" s="61"/>
      <c r="C1453" s="61"/>
      <c r="F1453"/>
      <c r="G1453"/>
      <c r="H1453"/>
      <c r="I1453"/>
      <c r="L1453"/>
      <c r="N1453" s="61"/>
      <c r="O1453"/>
    </row>
    <row r="1454" spans="1:15" x14ac:dyDescent="0.2">
      <c r="A1454"/>
      <c r="B1454" s="61"/>
      <c r="C1454" s="61"/>
      <c r="F1454"/>
      <c r="G1454"/>
      <c r="H1454"/>
      <c r="I1454"/>
      <c r="L1454"/>
      <c r="M1454"/>
      <c r="N1454" s="61"/>
      <c r="O1454"/>
    </row>
    <row r="1455" spans="1:15" x14ac:dyDescent="0.2">
      <c r="A1455"/>
      <c r="B1455" s="61"/>
      <c r="C1455" s="61"/>
      <c r="F1455"/>
      <c r="G1455"/>
      <c r="H1455"/>
      <c r="I1455"/>
      <c r="L1455"/>
      <c r="M1455"/>
      <c r="N1455" s="61"/>
      <c r="O1455"/>
    </row>
    <row r="1456" spans="1:15" x14ac:dyDescent="0.2">
      <c r="A1456"/>
      <c r="B1456" s="61"/>
      <c r="C1456" s="61"/>
      <c r="F1456"/>
      <c r="G1456"/>
      <c r="L1456"/>
      <c r="M1456"/>
      <c r="N1456" s="61"/>
      <c r="O1456"/>
    </row>
    <row r="1457" spans="1:15" x14ac:dyDescent="0.2">
      <c r="A1457"/>
      <c r="B1457" s="61"/>
      <c r="C1457" s="61"/>
      <c r="F1457"/>
      <c r="G1457"/>
      <c r="H1457"/>
      <c r="I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L1459"/>
      <c r="M1459"/>
      <c r="N1459" s="61"/>
      <c r="O1459"/>
    </row>
    <row r="1460" spans="1:15" x14ac:dyDescent="0.2">
      <c r="A1460"/>
      <c r="B1460" s="61"/>
      <c r="C1460" s="61"/>
      <c r="F1460"/>
      <c r="G1460"/>
      <c r="L1460"/>
      <c r="M1460"/>
      <c r="N1460" s="61"/>
      <c r="O1460"/>
    </row>
    <row r="1461" spans="1:15" x14ac:dyDescent="0.2">
      <c r="A1461"/>
      <c r="B1461" s="61"/>
      <c r="C1461" s="61"/>
      <c r="F1461"/>
      <c r="G1461"/>
      <c r="M1461"/>
      <c r="N1461" s="61"/>
      <c r="O1461"/>
    </row>
    <row r="1462" spans="1:15" x14ac:dyDescent="0.2">
      <c r="A1462"/>
      <c r="B1462" s="61"/>
      <c r="C1462" s="61"/>
      <c r="F1462"/>
      <c r="G1462"/>
      <c r="H1462"/>
      <c r="I1462"/>
      <c r="L1462"/>
      <c r="M1462"/>
      <c r="N1462" s="61"/>
      <c r="O1462"/>
    </row>
    <row r="1463" spans="1:15" x14ac:dyDescent="0.2">
      <c r="A1463"/>
      <c r="B1463" s="61"/>
      <c r="C1463" s="61"/>
      <c r="F1463"/>
      <c r="G1463"/>
      <c r="I1463"/>
      <c r="L1463"/>
      <c r="M1463"/>
      <c r="N1463" s="61"/>
      <c r="O1463"/>
    </row>
    <row r="1464" spans="1:15" x14ac:dyDescent="0.2">
      <c r="A1464"/>
      <c r="B1464" s="61"/>
      <c r="C1464" s="61"/>
      <c r="F1464"/>
      <c r="G1464"/>
      <c r="H1464"/>
      <c r="I1464"/>
      <c r="L1464"/>
      <c r="M1464"/>
      <c r="N1464" s="61"/>
      <c r="O1464"/>
    </row>
    <row r="1465" spans="1:15" x14ac:dyDescent="0.2">
      <c r="A1465"/>
      <c r="B1465" s="61"/>
      <c r="C1465" s="61"/>
      <c r="F1465"/>
      <c r="G1465"/>
      <c r="H1465"/>
      <c r="J1465"/>
      <c r="K1465"/>
      <c r="L1465"/>
      <c r="M1465"/>
      <c r="N1465" s="61"/>
      <c r="O1465"/>
    </row>
    <row r="1466" spans="1:15" x14ac:dyDescent="0.2">
      <c r="A1466"/>
      <c r="B1466" s="61"/>
      <c r="C1466" s="61"/>
      <c r="F1466"/>
      <c r="G1466"/>
      <c r="H1466"/>
      <c r="I1466"/>
      <c r="L1466"/>
      <c r="M1466"/>
      <c r="N1466" s="61"/>
      <c r="O1466"/>
    </row>
    <row r="1467" spans="1:15" x14ac:dyDescent="0.2">
      <c r="A1467"/>
      <c r="B1467" s="61"/>
      <c r="C1467" s="61"/>
      <c r="F1467"/>
      <c r="G1467"/>
      <c r="L1467"/>
      <c r="M1467"/>
      <c r="N1467" s="61"/>
      <c r="O1467"/>
    </row>
    <row r="1468" spans="1:15" x14ac:dyDescent="0.2">
      <c r="A1468"/>
      <c r="B1468" s="61"/>
      <c r="C1468" s="61"/>
      <c r="F1468"/>
      <c r="G1468"/>
      <c r="H1468"/>
      <c r="I1468"/>
      <c r="L1468"/>
      <c r="M1468"/>
      <c r="N1468" s="61"/>
      <c r="O1468"/>
    </row>
    <row r="1469" spans="1:15" x14ac:dyDescent="0.2">
      <c r="A1469"/>
      <c r="B1469" s="61"/>
      <c r="C1469" s="61"/>
      <c r="F1469"/>
      <c r="G1469"/>
      <c r="H1469"/>
      <c r="I1469"/>
      <c r="L1469"/>
      <c r="N1469" s="61"/>
      <c r="O1469"/>
    </row>
    <row r="1470" spans="1:15" x14ac:dyDescent="0.2">
      <c r="A1470"/>
      <c r="B1470" s="61"/>
      <c r="C1470" s="61"/>
      <c r="F1470"/>
      <c r="G1470"/>
      <c r="L1470"/>
      <c r="M1470"/>
      <c r="N1470" s="61"/>
      <c r="O1470"/>
    </row>
    <row r="1471" spans="1:15" x14ac:dyDescent="0.2">
      <c r="A1471"/>
      <c r="B1471" s="61"/>
      <c r="C1471" s="61"/>
      <c r="F1471"/>
      <c r="G1471"/>
      <c r="H1471"/>
      <c r="J1471"/>
      <c r="K1471"/>
      <c r="L1471"/>
      <c r="M1471"/>
      <c r="N1471" s="61"/>
      <c r="O1471"/>
    </row>
    <row r="1472" spans="1:15" x14ac:dyDescent="0.2">
      <c r="A1472"/>
      <c r="B1472" s="61"/>
      <c r="C1472" s="61"/>
      <c r="F1472"/>
      <c r="G1472"/>
      <c r="H1472"/>
      <c r="I1472"/>
      <c r="L1472"/>
      <c r="N1472" s="61"/>
      <c r="O1472"/>
    </row>
    <row r="1473" spans="1:15" x14ac:dyDescent="0.2">
      <c r="A1473"/>
      <c r="B1473" s="61"/>
      <c r="C1473" s="61"/>
      <c r="F1473"/>
      <c r="G1473"/>
      <c r="L1473"/>
      <c r="M1473"/>
      <c r="N1473" s="61"/>
      <c r="O1473"/>
    </row>
    <row r="1474" spans="1:15" x14ac:dyDescent="0.2">
      <c r="A1474"/>
      <c r="B1474" s="61"/>
      <c r="C1474" s="61"/>
      <c r="F1474"/>
      <c r="G1474"/>
      <c r="H1474"/>
      <c r="I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L1478"/>
      <c r="M1478"/>
      <c r="N1478" s="61"/>
      <c r="O1478"/>
    </row>
    <row r="1479" spans="1:15" x14ac:dyDescent="0.2">
      <c r="A1479"/>
      <c r="B1479" s="61"/>
      <c r="C1479" s="61"/>
      <c r="F1479"/>
      <c r="G1479"/>
      <c r="H1479"/>
      <c r="I1479"/>
      <c r="L1479"/>
      <c r="M1479"/>
      <c r="N1479" s="61"/>
      <c r="O1479"/>
    </row>
    <row r="1480" spans="1:15" x14ac:dyDescent="0.2">
      <c r="A1480"/>
      <c r="B1480" s="61"/>
      <c r="C1480" s="61"/>
      <c r="F1480"/>
      <c r="G1480"/>
      <c r="J1480"/>
      <c r="K1480"/>
      <c r="L1480"/>
      <c r="M1480"/>
      <c r="N1480" s="61"/>
      <c r="O1480"/>
    </row>
    <row r="1481" spans="1:15" x14ac:dyDescent="0.2">
      <c r="A1481"/>
      <c r="B1481" s="61"/>
      <c r="C1481" s="61"/>
      <c r="F1481"/>
      <c r="G1481"/>
      <c r="M1481"/>
      <c r="N1481" s="61"/>
      <c r="O1481"/>
    </row>
    <row r="1482" spans="1:15" x14ac:dyDescent="0.2">
      <c r="A1482"/>
      <c r="B1482" s="61"/>
      <c r="C1482" s="61"/>
      <c r="F1482"/>
      <c r="G1482"/>
      <c r="L1482"/>
      <c r="M1482"/>
      <c r="N1482" s="61"/>
      <c r="O1482"/>
    </row>
    <row r="1483" spans="1:15" x14ac:dyDescent="0.2">
      <c r="A1483"/>
      <c r="B1483" s="61"/>
      <c r="C1483" s="61"/>
      <c r="F1483"/>
      <c r="G1483"/>
      <c r="L1483"/>
      <c r="M1483"/>
      <c r="N1483" s="61"/>
      <c r="O1483"/>
    </row>
    <row r="1484" spans="1:15" x14ac:dyDescent="0.2">
      <c r="A1484"/>
      <c r="B1484" s="61"/>
      <c r="C1484" s="61"/>
      <c r="F1484"/>
      <c r="G1484"/>
      <c r="H1484"/>
      <c r="I1484"/>
      <c r="J1484"/>
      <c r="K1484"/>
      <c r="L1484"/>
      <c r="M1484"/>
      <c r="N1484" s="61"/>
      <c r="O1484"/>
    </row>
    <row r="1485" spans="1:15" x14ac:dyDescent="0.2">
      <c r="A1485"/>
      <c r="B1485" s="61"/>
      <c r="C1485" s="61"/>
      <c r="F1485"/>
      <c r="G1485"/>
      <c r="I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N1487" s="61"/>
      <c r="O1487"/>
    </row>
    <row r="1488" spans="1:15" x14ac:dyDescent="0.2">
      <c r="A1488"/>
      <c r="B1488" s="61"/>
      <c r="C1488" s="61"/>
      <c r="F1488"/>
      <c r="G1488"/>
      <c r="H1488"/>
      <c r="I1488"/>
      <c r="L1488"/>
      <c r="M1488"/>
      <c r="N1488" s="61"/>
      <c r="O1488"/>
    </row>
    <row r="1489" spans="1:15" x14ac:dyDescent="0.2">
      <c r="A1489"/>
      <c r="B1489" s="61"/>
      <c r="C1489" s="61"/>
      <c r="F1489"/>
      <c r="G1489"/>
      <c r="L1489"/>
      <c r="M1489"/>
      <c r="N1489" s="61"/>
      <c r="O1489"/>
    </row>
    <row r="1490" spans="1:15" x14ac:dyDescent="0.2">
      <c r="A1490"/>
      <c r="B1490" s="61"/>
      <c r="C1490" s="61"/>
      <c r="F1490"/>
      <c r="G1490"/>
      <c r="L1490"/>
      <c r="M1490"/>
      <c r="N1490" s="61"/>
      <c r="O1490"/>
    </row>
    <row r="1491" spans="1:15" x14ac:dyDescent="0.2">
      <c r="A1491"/>
      <c r="B1491" s="61"/>
      <c r="C1491" s="61"/>
      <c r="F1491"/>
      <c r="G1491"/>
      <c r="H1491"/>
      <c r="J1491"/>
      <c r="K1491"/>
      <c r="M1491"/>
      <c r="N1491" s="61"/>
      <c r="O1491"/>
    </row>
    <row r="1492" spans="1:15" x14ac:dyDescent="0.2">
      <c r="A1492"/>
      <c r="B1492" s="61"/>
      <c r="C1492" s="61"/>
      <c r="F1492"/>
      <c r="G1492"/>
      <c r="H1492"/>
      <c r="I1492"/>
      <c r="L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I1498"/>
      <c r="L1498"/>
      <c r="M1498"/>
      <c r="N1498" s="61"/>
      <c r="O1498"/>
    </row>
    <row r="1499" spans="1:15" x14ac:dyDescent="0.2">
      <c r="A1499"/>
      <c r="B1499" s="61"/>
      <c r="C1499" s="61"/>
      <c r="F1499"/>
      <c r="G1499"/>
      <c r="L1499"/>
      <c r="M1499"/>
      <c r="N1499" s="61"/>
      <c r="O1499"/>
    </row>
    <row r="1500" spans="1:15" x14ac:dyDescent="0.2">
      <c r="A1500"/>
      <c r="B1500" s="61"/>
      <c r="C1500" s="61"/>
      <c r="F1500"/>
      <c r="G1500"/>
      <c r="H1500"/>
      <c r="I1500"/>
      <c r="L1500"/>
      <c r="M1500"/>
      <c r="N1500" s="61"/>
      <c r="O1500"/>
    </row>
    <row r="1501" spans="1:15" x14ac:dyDescent="0.2">
      <c r="A1501"/>
      <c r="B1501" s="61"/>
      <c r="C1501" s="61"/>
      <c r="F1501"/>
      <c r="G1501"/>
      <c r="H1501"/>
      <c r="N1501" s="61"/>
      <c r="O1501"/>
    </row>
    <row r="1502" spans="1:15" x14ac:dyDescent="0.2">
      <c r="A1502"/>
      <c r="B1502" s="61"/>
      <c r="C1502" s="61"/>
      <c r="F1502"/>
      <c r="G1502"/>
      <c r="H1502"/>
      <c r="I1502"/>
      <c r="L1502"/>
      <c r="M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I1507"/>
      <c r="L1507"/>
      <c r="M1507"/>
      <c r="N1507" s="61"/>
      <c r="O1507"/>
    </row>
    <row r="1508" spans="1:15" x14ac:dyDescent="0.2">
      <c r="A1508"/>
      <c r="B1508" s="61"/>
      <c r="C1508" s="61"/>
      <c r="F1508"/>
      <c r="G1508"/>
      <c r="M1508"/>
      <c r="N1508" s="61"/>
      <c r="O1508"/>
    </row>
    <row r="1509" spans="1:15" x14ac:dyDescent="0.2">
      <c r="A1509"/>
      <c r="B1509" s="61"/>
      <c r="C1509" s="61"/>
      <c r="F1509"/>
      <c r="G1509"/>
      <c r="L1509"/>
      <c r="M1509"/>
      <c r="N1509" s="61"/>
      <c r="O1509"/>
    </row>
    <row r="1510" spans="1:15" x14ac:dyDescent="0.2">
      <c r="A1510"/>
      <c r="B1510" s="61"/>
      <c r="C1510" s="61"/>
      <c r="F1510"/>
      <c r="G1510"/>
      <c r="H1510"/>
      <c r="I1510"/>
      <c r="J1510"/>
      <c r="K1510"/>
      <c r="L1510"/>
      <c r="M1510"/>
      <c r="N1510" s="61"/>
      <c r="O1510"/>
    </row>
    <row r="1511" spans="1:15" x14ac:dyDescent="0.2">
      <c r="A1511"/>
      <c r="B1511" s="61"/>
      <c r="C1511" s="61"/>
      <c r="F1511"/>
      <c r="G1511"/>
      <c r="H1511"/>
      <c r="I1511"/>
      <c r="L1511"/>
      <c r="M1511"/>
      <c r="N1511" s="61"/>
      <c r="O1511"/>
    </row>
    <row r="1512" spans="1:15" x14ac:dyDescent="0.2">
      <c r="A1512"/>
      <c r="B1512" s="61"/>
      <c r="C1512" s="61"/>
      <c r="F1512"/>
      <c r="G1512"/>
      <c r="J1512"/>
      <c r="K1512"/>
      <c r="L1512"/>
      <c r="M1512"/>
      <c r="N1512" s="61"/>
      <c r="O1512"/>
    </row>
    <row r="1513" spans="1:15" x14ac:dyDescent="0.2">
      <c r="A1513"/>
      <c r="B1513" s="61"/>
      <c r="C1513" s="61"/>
      <c r="F1513"/>
      <c r="G1513"/>
      <c r="L1513"/>
      <c r="M1513"/>
      <c r="N1513" s="61"/>
      <c r="O1513"/>
    </row>
    <row r="1514" spans="1:15" x14ac:dyDescent="0.2">
      <c r="A1514"/>
      <c r="B1514" s="61"/>
      <c r="C1514" s="61"/>
      <c r="F1514"/>
      <c r="G1514"/>
      <c r="H1514"/>
      <c r="J1514"/>
      <c r="K1514"/>
      <c r="L1514"/>
      <c r="M1514"/>
      <c r="N1514" s="61"/>
      <c r="O1514"/>
    </row>
    <row r="1515" spans="1:15" x14ac:dyDescent="0.2">
      <c r="A1515"/>
      <c r="B1515" s="61"/>
      <c r="C1515" s="61"/>
      <c r="F1515"/>
      <c r="G1515"/>
      <c r="H1515"/>
      <c r="I1515"/>
      <c r="J1515"/>
      <c r="K1515"/>
      <c r="L1515"/>
      <c r="M1515"/>
      <c r="N1515" s="61"/>
      <c r="O1515"/>
    </row>
    <row r="1516" spans="1:15" x14ac:dyDescent="0.2">
      <c r="A1516"/>
      <c r="B1516" s="61"/>
      <c r="C1516" s="61"/>
      <c r="F1516"/>
      <c r="G1516"/>
      <c r="H1516"/>
      <c r="J1516"/>
      <c r="K1516"/>
      <c r="L1516"/>
      <c r="M1516"/>
      <c r="N1516" s="61"/>
      <c r="O1516"/>
    </row>
    <row r="1517" spans="1:15" x14ac:dyDescent="0.2">
      <c r="A1517"/>
      <c r="B1517" s="61"/>
      <c r="C1517" s="61"/>
      <c r="F1517"/>
      <c r="G1517"/>
      <c r="L1517"/>
      <c r="M1517"/>
      <c r="N1517" s="61"/>
      <c r="O1517"/>
    </row>
    <row r="1518" spans="1:15" x14ac:dyDescent="0.2">
      <c r="A1518"/>
      <c r="B1518" s="61"/>
      <c r="C1518" s="61"/>
      <c r="F1518"/>
      <c r="G1518"/>
      <c r="H1518"/>
      <c r="J1518"/>
      <c r="K1518"/>
      <c r="L1518"/>
      <c r="M1518"/>
      <c r="N1518" s="61"/>
      <c r="O1518"/>
    </row>
    <row r="1519" spans="1:15" x14ac:dyDescent="0.2">
      <c r="A1519"/>
      <c r="B1519" s="61"/>
      <c r="C1519" s="61"/>
      <c r="F1519"/>
      <c r="G1519"/>
      <c r="H1519"/>
      <c r="L1519"/>
      <c r="M1519"/>
      <c r="N1519" s="61"/>
      <c r="O1519"/>
    </row>
    <row r="1520" spans="1:15" x14ac:dyDescent="0.2">
      <c r="A1520"/>
      <c r="B1520" s="61"/>
      <c r="C1520" s="61"/>
      <c r="F1520"/>
      <c r="G1520"/>
      <c r="H1520"/>
      <c r="I1520"/>
      <c r="L1520"/>
      <c r="M1520"/>
      <c r="N1520" s="61"/>
      <c r="O1520"/>
    </row>
    <row r="1521" spans="1:15" x14ac:dyDescent="0.2">
      <c r="A1521"/>
      <c r="B1521" s="61"/>
      <c r="C1521" s="61"/>
      <c r="F1521"/>
      <c r="G1521"/>
      <c r="J1521"/>
      <c r="K1521"/>
      <c r="L1521"/>
      <c r="M1521"/>
      <c r="N1521" s="61"/>
      <c r="O1521"/>
    </row>
    <row r="1522" spans="1:15" x14ac:dyDescent="0.2">
      <c r="A1522"/>
      <c r="B1522" s="61"/>
      <c r="C1522" s="61"/>
      <c r="F1522"/>
      <c r="G1522"/>
      <c r="H1522"/>
      <c r="I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H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H1534"/>
      <c r="I1534"/>
      <c r="L1534"/>
      <c r="M1534"/>
      <c r="N1534" s="61"/>
      <c r="O1534"/>
    </row>
    <row r="1535" spans="1:15" x14ac:dyDescent="0.2">
      <c r="A1535"/>
      <c r="B1535" s="61"/>
      <c r="C1535" s="61"/>
      <c r="F1535"/>
      <c r="G1535"/>
      <c r="J1535"/>
      <c r="K1535"/>
      <c r="L1535"/>
      <c r="M1535"/>
      <c r="N1535" s="61"/>
      <c r="O1535"/>
    </row>
    <row r="1536" spans="1:15" x14ac:dyDescent="0.2">
      <c r="A1536"/>
      <c r="B1536" s="61"/>
      <c r="C1536" s="61"/>
      <c r="F1536"/>
      <c r="G1536"/>
      <c r="H1536"/>
      <c r="I1536"/>
      <c r="L1536"/>
      <c r="M1536"/>
      <c r="N1536" s="61"/>
      <c r="O1536"/>
    </row>
    <row r="1537" spans="1:15" x14ac:dyDescent="0.2">
      <c r="A1537"/>
      <c r="B1537" s="61"/>
      <c r="C1537" s="61"/>
      <c r="F1537"/>
      <c r="G1537"/>
      <c r="L1537"/>
      <c r="M1537"/>
      <c r="N1537" s="61"/>
      <c r="O1537"/>
    </row>
    <row r="1538" spans="1:15" x14ac:dyDescent="0.2">
      <c r="A1538"/>
      <c r="B1538" s="61"/>
      <c r="C1538" s="61"/>
      <c r="F1538"/>
      <c r="G1538"/>
      <c r="H1538"/>
      <c r="I1538"/>
      <c r="L1538"/>
      <c r="M1538"/>
      <c r="N1538" s="61"/>
      <c r="O1538"/>
    </row>
    <row r="1539" spans="1:15" x14ac:dyDescent="0.2">
      <c r="A1539"/>
      <c r="B1539" s="61"/>
      <c r="C1539" s="61"/>
      <c r="F1539"/>
      <c r="G1539"/>
      <c r="H1539"/>
      <c r="J1539"/>
      <c r="K1539"/>
      <c r="L1539"/>
      <c r="M1539"/>
      <c r="N1539" s="61"/>
      <c r="O1539"/>
    </row>
    <row r="1540" spans="1:15" x14ac:dyDescent="0.2">
      <c r="A1540"/>
      <c r="B1540" s="61"/>
      <c r="C1540" s="61"/>
      <c r="F1540"/>
      <c r="G1540"/>
      <c r="H1540"/>
      <c r="I1540"/>
      <c r="L1540"/>
      <c r="M1540"/>
      <c r="N1540" s="61"/>
      <c r="O1540"/>
    </row>
    <row r="1541" spans="1:15" x14ac:dyDescent="0.2">
      <c r="A1541"/>
      <c r="B1541" s="61"/>
      <c r="C1541" s="61"/>
      <c r="F1541"/>
      <c r="G1541"/>
      <c r="H1541"/>
      <c r="J1541"/>
      <c r="K1541"/>
      <c r="L1541"/>
      <c r="M1541"/>
      <c r="N1541" s="61"/>
      <c r="O1541"/>
    </row>
    <row r="1542" spans="1:15" x14ac:dyDescent="0.2">
      <c r="A1542"/>
      <c r="B1542" s="61"/>
      <c r="C1542" s="61"/>
      <c r="F1542"/>
      <c r="G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H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I1546"/>
      <c r="L1546"/>
      <c r="M1546"/>
      <c r="N1546" s="61"/>
      <c r="O1546"/>
    </row>
    <row r="1547" spans="1:15" x14ac:dyDescent="0.2">
      <c r="A1547"/>
      <c r="B1547" s="61"/>
      <c r="C1547" s="61"/>
      <c r="F1547"/>
      <c r="G1547"/>
      <c r="I1547"/>
      <c r="L1547"/>
      <c r="M1547"/>
      <c r="N1547" s="61"/>
      <c r="O1547"/>
    </row>
    <row r="1548" spans="1:15" x14ac:dyDescent="0.2">
      <c r="A1548"/>
      <c r="B1548" s="61"/>
      <c r="C1548" s="61"/>
      <c r="F1548"/>
      <c r="G1548"/>
      <c r="H1548"/>
      <c r="I1548"/>
      <c r="L1548"/>
      <c r="N1548" s="61"/>
      <c r="O1548"/>
    </row>
    <row r="1549" spans="1:15" x14ac:dyDescent="0.2">
      <c r="A1549"/>
      <c r="B1549" s="61"/>
      <c r="C1549" s="61"/>
      <c r="F1549"/>
      <c r="G1549"/>
      <c r="H1549"/>
      <c r="I1549"/>
      <c r="L1549"/>
      <c r="M1549"/>
      <c r="N1549" s="61"/>
      <c r="O1549"/>
    </row>
    <row r="1550" spans="1:15" x14ac:dyDescent="0.2">
      <c r="A1550"/>
      <c r="B1550" s="61"/>
      <c r="C1550" s="61"/>
      <c r="F1550"/>
      <c r="G1550"/>
      <c r="H1550"/>
      <c r="I1550"/>
      <c r="L1550"/>
      <c r="N1550" s="61"/>
      <c r="O1550"/>
    </row>
    <row r="1551" spans="1:15" x14ac:dyDescent="0.2">
      <c r="A1551"/>
      <c r="B1551" s="61"/>
      <c r="C1551" s="61"/>
      <c r="F1551"/>
      <c r="G1551"/>
      <c r="I1551"/>
      <c r="L1551"/>
      <c r="M1551"/>
      <c r="N1551" s="61"/>
      <c r="O1551"/>
    </row>
    <row r="1552" spans="1:15" x14ac:dyDescent="0.2">
      <c r="A1552"/>
      <c r="B1552" s="61"/>
      <c r="C1552" s="61"/>
      <c r="F1552"/>
      <c r="G1552"/>
      <c r="H1552"/>
      <c r="I1552"/>
      <c r="L1552"/>
      <c r="M1552"/>
      <c r="N1552" s="61"/>
      <c r="O1552"/>
    </row>
    <row r="1553" spans="1:15" x14ac:dyDescent="0.2">
      <c r="A1553"/>
      <c r="B1553" s="61"/>
      <c r="C1553" s="61"/>
      <c r="F1553"/>
      <c r="G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H1556"/>
      <c r="I1556"/>
      <c r="L1556"/>
      <c r="M1556"/>
      <c r="N1556" s="61"/>
      <c r="O1556"/>
    </row>
    <row r="1557" spans="1:15" x14ac:dyDescent="0.2">
      <c r="A1557"/>
      <c r="B1557" s="61"/>
      <c r="C1557" s="61"/>
      <c r="F1557"/>
      <c r="G1557"/>
      <c r="L1557"/>
      <c r="M1557"/>
      <c r="N1557" s="61"/>
      <c r="O1557"/>
    </row>
    <row r="1558" spans="1:15" x14ac:dyDescent="0.2">
      <c r="A1558"/>
      <c r="B1558" s="61"/>
      <c r="C1558" s="61"/>
      <c r="F1558"/>
      <c r="G1558"/>
      <c r="H1558"/>
      <c r="I1558"/>
      <c r="L1558"/>
      <c r="M1558"/>
      <c r="N1558" s="61"/>
      <c r="O1558"/>
    </row>
    <row r="1559" spans="1:15" x14ac:dyDescent="0.2">
      <c r="A1559"/>
      <c r="B1559" s="61"/>
      <c r="C1559" s="61"/>
      <c r="F1559"/>
      <c r="G1559"/>
      <c r="J1559"/>
      <c r="K1559"/>
      <c r="L1559"/>
      <c r="M1559"/>
      <c r="N1559" s="61"/>
      <c r="O1559"/>
    </row>
    <row r="1560" spans="1:15" x14ac:dyDescent="0.2">
      <c r="A1560"/>
      <c r="B1560" s="61"/>
      <c r="C1560" s="61"/>
      <c r="F1560"/>
      <c r="G1560"/>
      <c r="I1560"/>
      <c r="L1560"/>
      <c r="M1560"/>
      <c r="N1560" s="61"/>
      <c r="O1560"/>
    </row>
    <row r="1561" spans="1:15" x14ac:dyDescent="0.2">
      <c r="A1561"/>
      <c r="B1561" s="61"/>
      <c r="C1561" s="61"/>
      <c r="F1561"/>
      <c r="G1561"/>
      <c r="H1561"/>
      <c r="I1561"/>
      <c r="L1561"/>
      <c r="N1561" s="61"/>
      <c r="O1561"/>
    </row>
    <row r="1562" spans="1:15" x14ac:dyDescent="0.2">
      <c r="A1562"/>
      <c r="B1562" s="61"/>
      <c r="C1562" s="61"/>
      <c r="F1562"/>
      <c r="G1562"/>
      <c r="M1562"/>
      <c r="N1562" s="61"/>
      <c r="O1562"/>
    </row>
    <row r="1563" spans="1:15" x14ac:dyDescent="0.2">
      <c r="A1563"/>
      <c r="B1563" s="61"/>
      <c r="C1563" s="61"/>
      <c r="F1563"/>
      <c r="G1563"/>
      <c r="M1563"/>
      <c r="N1563" s="61"/>
      <c r="O1563"/>
    </row>
    <row r="1564" spans="1:15" x14ac:dyDescent="0.2">
      <c r="A1564"/>
      <c r="B1564" s="61"/>
      <c r="C1564" s="61"/>
      <c r="F1564"/>
      <c r="G1564"/>
      <c r="H1564"/>
      <c r="I1564"/>
      <c r="L1564"/>
      <c r="N1564" s="61"/>
      <c r="O1564"/>
    </row>
    <row r="1565" spans="1:15" x14ac:dyDescent="0.2">
      <c r="A1565"/>
      <c r="B1565" s="61"/>
      <c r="C1565" s="61"/>
      <c r="F1565"/>
      <c r="G1565"/>
      <c r="H1565"/>
      <c r="I1565"/>
      <c r="L1565"/>
      <c r="M1565"/>
      <c r="N1565" s="61"/>
      <c r="O1565"/>
    </row>
    <row r="1566" spans="1:15" x14ac:dyDescent="0.2">
      <c r="A1566"/>
      <c r="B1566" s="61"/>
      <c r="C1566" s="61"/>
      <c r="F1566"/>
      <c r="G1566"/>
      <c r="H1566"/>
      <c r="I1566"/>
      <c r="L1566"/>
      <c r="M1566"/>
      <c r="N1566" s="61"/>
      <c r="O1566"/>
    </row>
    <row r="1567" spans="1:15" x14ac:dyDescent="0.2">
      <c r="A1567"/>
      <c r="B1567" s="61"/>
      <c r="C1567" s="61"/>
      <c r="F1567"/>
      <c r="G1567"/>
      <c r="I1567"/>
      <c r="L1567"/>
      <c r="M1567"/>
      <c r="N1567" s="61"/>
      <c r="O1567"/>
    </row>
    <row r="1568" spans="1:15" x14ac:dyDescent="0.2">
      <c r="A1568"/>
      <c r="B1568" s="61"/>
      <c r="C1568" s="61"/>
      <c r="F1568"/>
      <c r="G1568"/>
      <c r="H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H1573"/>
      <c r="J1573"/>
      <c r="L1573"/>
      <c r="M1573"/>
      <c r="N1573" s="61"/>
      <c r="O1573"/>
    </row>
    <row r="1574" spans="1:15" x14ac:dyDescent="0.2">
      <c r="A1574"/>
      <c r="B1574" s="61"/>
      <c r="C1574" s="61"/>
      <c r="F1574"/>
      <c r="G1574"/>
      <c r="L1574"/>
      <c r="M1574"/>
      <c r="N1574" s="61"/>
      <c r="O1574"/>
    </row>
    <row r="1575" spans="1:15" x14ac:dyDescent="0.2">
      <c r="A1575"/>
      <c r="B1575" s="61"/>
      <c r="C1575" s="61"/>
      <c r="F1575"/>
      <c r="G1575"/>
      <c r="H1575"/>
      <c r="J1575"/>
      <c r="K1575"/>
      <c r="L1575"/>
      <c r="M1575"/>
      <c r="N1575" s="61"/>
      <c r="O1575"/>
    </row>
    <row r="1576" spans="1:15" x14ac:dyDescent="0.2">
      <c r="A1576"/>
      <c r="B1576" s="61"/>
      <c r="C1576" s="61"/>
      <c r="F1576"/>
      <c r="G1576"/>
      <c r="H1576"/>
      <c r="I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I1580"/>
      <c r="L1580"/>
      <c r="M1580"/>
      <c r="N1580" s="61"/>
      <c r="O1580"/>
    </row>
    <row r="1581" spans="1:15" x14ac:dyDescent="0.2">
      <c r="A1581"/>
      <c r="B1581" s="61"/>
      <c r="C1581" s="61"/>
      <c r="F1581"/>
      <c r="G1581"/>
      <c r="H1581"/>
      <c r="I1581"/>
      <c r="L1581"/>
      <c r="M1581"/>
      <c r="N1581" s="61"/>
      <c r="O1581"/>
    </row>
    <row r="1582" spans="1:15" x14ac:dyDescent="0.2">
      <c r="A1582"/>
      <c r="B1582" s="61"/>
      <c r="C1582" s="61"/>
      <c r="F1582"/>
      <c r="G1582"/>
      <c r="I1582"/>
      <c r="L1582"/>
      <c r="M1582"/>
      <c r="N1582" s="61"/>
      <c r="O1582"/>
    </row>
    <row r="1583" spans="1:15" x14ac:dyDescent="0.2">
      <c r="A1583"/>
      <c r="B1583" s="61"/>
      <c r="C1583" s="61"/>
      <c r="F1583"/>
      <c r="G1583"/>
      <c r="H1583"/>
      <c r="J1583"/>
      <c r="K1583"/>
      <c r="L1583"/>
      <c r="M1583"/>
      <c r="N1583" s="61"/>
      <c r="O1583"/>
    </row>
    <row r="1584" spans="1:15" x14ac:dyDescent="0.2">
      <c r="A1584"/>
      <c r="B1584" s="61"/>
      <c r="C1584" s="61"/>
      <c r="F1584"/>
      <c r="G1584"/>
      <c r="I1584"/>
      <c r="L1584"/>
      <c r="M1584"/>
      <c r="N1584" s="61"/>
      <c r="O1584"/>
    </row>
    <row r="1585" spans="1:15" x14ac:dyDescent="0.2">
      <c r="A1585"/>
      <c r="B1585" s="61"/>
      <c r="C1585" s="61"/>
      <c r="F1585"/>
      <c r="G1585"/>
      <c r="J1585"/>
      <c r="K1585"/>
      <c r="L1585"/>
      <c r="M1585"/>
      <c r="N1585" s="61"/>
      <c r="O1585"/>
    </row>
    <row r="1586" spans="1:15" x14ac:dyDescent="0.2">
      <c r="A1586"/>
      <c r="B1586" s="61"/>
      <c r="C1586" s="61"/>
      <c r="F1586"/>
      <c r="G1586"/>
      <c r="L1586"/>
      <c r="M1586"/>
      <c r="N1586" s="61"/>
      <c r="O1586"/>
    </row>
    <row r="1587" spans="1:15" x14ac:dyDescent="0.2">
      <c r="A1587"/>
      <c r="B1587" s="61"/>
      <c r="C1587" s="61"/>
      <c r="F1587"/>
      <c r="G1587"/>
      <c r="H1587"/>
      <c r="I1587"/>
      <c r="L1587"/>
      <c r="N1587" s="61"/>
      <c r="O1587"/>
    </row>
    <row r="1588" spans="1:15" x14ac:dyDescent="0.2">
      <c r="A1588"/>
      <c r="B1588" s="61"/>
      <c r="C1588" s="61"/>
      <c r="F1588"/>
      <c r="G1588"/>
      <c r="I1588"/>
      <c r="L1588"/>
      <c r="M1588"/>
      <c r="N1588" s="61"/>
      <c r="O1588"/>
    </row>
    <row r="1589" spans="1:15" x14ac:dyDescent="0.2">
      <c r="A1589"/>
      <c r="B1589" s="61"/>
      <c r="C1589" s="61"/>
      <c r="F1589"/>
      <c r="G1589"/>
      <c r="I1589"/>
      <c r="L1589"/>
      <c r="M1589"/>
      <c r="N1589" s="61"/>
      <c r="O1589"/>
    </row>
    <row r="1590" spans="1:15" x14ac:dyDescent="0.2">
      <c r="A1590"/>
      <c r="B1590" s="61"/>
      <c r="C1590" s="61"/>
      <c r="F1590"/>
      <c r="G1590"/>
      <c r="H1590"/>
      <c r="I1590"/>
      <c r="L1590"/>
      <c r="N1590" s="61"/>
      <c r="O1590"/>
    </row>
    <row r="1591" spans="1:15" x14ac:dyDescent="0.2">
      <c r="A1591"/>
      <c r="B1591" s="61"/>
      <c r="C1591" s="61"/>
      <c r="F1591"/>
      <c r="G1591"/>
      <c r="H1591"/>
      <c r="I1591"/>
      <c r="L1591"/>
      <c r="M1591"/>
      <c r="N1591" s="61"/>
      <c r="O1591"/>
    </row>
    <row r="1592" spans="1:15" x14ac:dyDescent="0.2">
      <c r="A1592"/>
      <c r="B1592" s="61"/>
      <c r="C1592" s="61"/>
      <c r="F1592"/>
      <c r="G1592"/>
      <c r="I1592"/>
      <c r="L1592"/>
      <c r="M1592"/>
      <c r="N1592" s="61"/>
      <c r="O1592"/>
    </row>
    <row r="1593" spans="1:15" x14ac:dyDescent="0.2">
      <c r="A1593"/>
      <c r="B1593" s="61"/>
      <c r="C1593" s="61"/>
      <c r="F1593"/>
      <c r="G1593"/>
      <c r="J1593"/>
      <c r="K1593"/>
      <c r="M1593"/>
      <c r="N1593" s="61"/>
      <c r="O1593"/>
    </row>
    <row r="1594" spans="1:15" x14ac:dyDescent="0.2">
      <c r="A1594"/>
      <c r="B1594" s="61"/>
      <c r="C1594" s="61"/>
      <c r="F1594"/>
      <c r="G1594"/>
      <c r="H1594"/>
      <c r="I1594"/>
      <c r="L1594"/>
      <c r="M1594"/>
      <c r="N1594" s="61"/>
      <c r="O1594"/>
    </row>
    <row r="1595" spans="1:15" x14ac:dyDescent="0.2">
      <c r="A1595"/>
      <c r="B1595" s="61"/>
      <c r="C1595" s="61"/>
      <c r="F1595"/>
      <c r="G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H1597"/>
      <c r="I1597"/>
      <c r="L1597"/>
      <c r="N1597" s="61"/>
      <c r="O1597"/>
    </row>
    <row r="1598" spans="1:15" x14ac:dyDescent="0.2">
      <c r="A1598"/>
      <c r="B1598" s="61"/>
      <c r="C1598" s="61"/>
      <c r="F1598"/>
      <c r="G1598"/>
      <c r="H1598"/>
      <c r="I1598"/>
      <c r="L1598"/>
      <c r="M1598"/>
      <c r="N1598" s="61"/>
      <c r="O1598"/>
    </row>
    <row r="1599" spans="1:15" x14ac:dyDescent="0.2">
      <c r="A1599"/>
      <c r="B1599" s="61"/>
      <c r="C1599" s="61"/>
      <c r="F1599"/>
      <c r="G1599"/>
      <c r="I1599"/>
      <c r="L1599"/>
      <c r="M1599"/>
      <c r="N1599" s="61"/>
      <c r="O1599"/>
    </row>
    <row r="1600" spans="1:15" x14ac:dyDescent="0.2">
      <c r="A1600"/>
      <c r="B1600" s="61"/>
      <c r="C1600" s="61"/>
      <c r="F1600"/>
      <c r="G1600"/>
      <c r="I1600"/>
      <c r="L1600"/>
      <c r="M1600"/>
      <c r="N1600" s="61"/>
      <c r="O1600"/>
    </row>
    <row r="1601" spans="1:15" x14ac:dyDescent="0.2">
      <c r="A1601"/>
      <c r="B1601" s="61"/>
      <c r="C1601" s="61"/>
      <c r="F1601"/>
      <c r="G1601"/>
      <c r="L1601"/>
      <c r="M1601"/>
      <c r="N1601" s="61"/>
      <c r="O1601"/>
    </row>
    <row r="1602" spans="1:15" x14ac:dyDescent="0.2">
      <c r="A1602"/>
      <c r="B1602" s="61"/>
      <c r="C1602" s="61"/>
      <c r="F1602"/>
      <c r="G1602"/>
      <c r="L1602"/>
      <c r="M1602"/>
      <c r="N1602" s="61"/>
      <c r="O1602"/>
    </row>
    <row r="1603" spans="1:15" x14ac:dyDescent="0.2">
      <c r="A1603"/>
      <c r="B1603" s="61"/>
      <c r="C1603" s="61"/>
      <c r="F1603"/>
      <c r="G1603"/>
      <c r="H1603"/>
      <c r="L1603"/>
      <c r="M1603"/>
      <c r="N1603" s="61"/>
      <c r="O1603"/>
    </row>
    <row r="1604" spans="1:15" x14ac:dyDescent="0.2">
      <c r="A1604"/>
      <c r="B1604" s="61"/>
      <c r="C1604" s="61"/>
      <c r="F1604"/>
      <c r="G1604"/>
      <c r="H1604"/>
      <c r="I1604"/>
      <c r="L1604"/>
      <c r="M1604"/>
      <c r="N1604" s="61"/>
      <c r="O1604"/>
    </row>
    <row r="1605" spans="1:15" x14ac:dyDescent="0.2">
      <c r="A1605"/>
      <c r="B1605" s="61"/>
      <c r="C1605" s="61"/>
      <c r="F1605"/>
      <c r="G1605"/>
      <c r="L1605"/>
      <c r="M1605"/>
      <c r="N1605" s="61"/>
      <c r="O1605"/>
    </row>
    <row r="1606" spans="1:15" x14ac:dyDescent="0.2">
      <c r="A1606"/>
      <c r="B1606" s="61"/>
      <c r="C1606" s="61"/>
      <c r="F1606"/>
      <c r="G1606"/>
      <c r="H1606"/>
      <c r="I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L1608"/>
      <c r="M1608"/>
      <c r="N1608" s="61"/>
      <c r="O1608"/>
    </row>
    <row r="1609" spans="1:15" x14ac:dyDescent="0.2">
      <c r="A1609"/>
      <c r="B1609" s="61"/>
      <c r="C1609" s="61"/>
      <c r="F1609"/>
      <c r="G1609"/>
      <c r="I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H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I1613"/>
      <c r="L1613"/>
      <c r="M1613"/>
      <c r="N1613" s="61"/>
      <c r="O1613"/>
    </row>
    <row r="1614" spans="1:15" x14ac:dyDescent="0.2">
      <c r="A1614"/>
      <c r="B1614" s="61"/>
      <c r="C1614" s="61"/>
      <c r="F1614"/>
      <c r="G1614"/>
      <c r="H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L1617"/>
      <c r="M1617"/>
      <c r="N1617" s="61"/>
      <c r="O1617"/>
    </row>
    <row r="1618" spans="1:15" x14ac:dyDescent="0.2">
      <c r="A1618"/>
      <c r="B1618" s="61"/>
      <c r="C1618" s="61"/>
      <c r="F1618"/>
      <c r="G1618"/>
      <c r="I1618"/>
      <c r="L1618"/>
      <c r="M1618"/>
      <c r="N1618" s="61"/>
      <c r="O1618"/>
    </row>
    <row r="1619" spans="1:15" x14ac:dyDescent="0.2">
      <c r="A1619"/>
      <c r="B1619" s="61"/>
      <c r="C1619" s="61"/>
      <c r="F1619"/>
      <c r="G1619"/>
      <c r="H1619"/>
      <c r="I1619"/>
      <c r="L1619"/>
      <c r="M1619"/>
      <c r="N1619" s="61"/>
      <c r="O1619"/>
    </row>
    <row r="1620" spans="1:15" x14ac:dyDescent="0.2">
      <c r="A1620"/>
      <c r="B1620" s="61"/>
      <c r="C1620" s="61"/>
      <c r="F1620"/>
      <c r="G1620"/>
      <c r="L1620"/>
      <c r="M1620"/>
      <c r="N1620" s="61"/>
      <c r="O1620"/>
    </row>
    <row r="1621" spans="1:15" x14ac:dyDescent="0.2">
      <c r="A1621"/>
      <c r="B1621" s="61"/>
      <c r="C1621" s="61"/>
      <c r="F1621"/>
      <c r="G1621"/>
      <c r="H1621"/>
      <c r="I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J1630"/>
      <c r="K1630"/>
      <c r="L1630"/>
      <c r="M1630"/>
      <c r="N1630" s="61"/>
      <c r="O1630"/>
    </row>
    <row r="1631" spans="1:15" x14ac:dyDescent="0.2">
      <c r="A1631"/>
      <c r="B1631" s="61"/>
      <c r="C1631" s="61"/>
      <c r="F1631"/>
      <c r="G1631"/>
      <c r="I1631"/>
      <c r="L1631"/>
      <c r="M1631"/>
      <c r="N1631" s="61"/>
      <c r="O1631"/>
    </row>
    <row r="1632" spans="1:15" x14ac:dyDescent="0.2">
      <c r="A1632"/>
      <c r="B1632" s="61"/>
      <c r="C1632" s="61"/>
      <c r="F1632"/>
      <c r="G1632"/>
      <c r="H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J1634"/>
      <c r="K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L1637"/>
      <c r="M1637"/>
      <c r="N1637" s="61"/>
      <c r="O1637"/>
    </row>
    <row r="1638" spans="1:15" x14ac:dyDescent="0.2">
      <c r="A1638"/>
      <c r="B1638" s="61"/>
      <c r="C1638" s="61"/>
      <c r="F1638"/>
      <c r="G1638"/>
      <c r="H1638"/>
      <c r="J1638"/>
      <c r="K1638"/>
      <c r="L1638"/>
      <c r="M1638"/>
      <c r="N1638" s="61"/>
      <c r="O1638"/>
    </row>
    <row r="1639" spans="1:15" x14ac:dyDescent="0.2">
      <c r="A1639"/>
      <c r="B1639" s="61"/>
      <c r="C1639" s="61"/>
      <c r="F1639"/>
      <c r="G1639"/>
      <c r="H1639"/>
      <c r="L1639"/>
      <c r="M1639"/>
      <c r="N1639" s="61"/>
      <c r="O1639"/>
    </row>
    <row r="1640" spans="1:15" x14ac:dyDescent="0.2">
      <c r="A1640"/>
      <c r="B1640" s="61"/>
      <c r="C1640" s="61"/>
      <c r="F1640"/>
      <c r="G1640"/>
      <c r="H1640"/>
      <c r="J1640"/>
      <c r="K1640"/>
      <c r="L1640"/>
      <c r="M1640"/>
      <c r="N1640" s="61"/>
      <c r="O1640"/>
    </row>
    <row r="1641" spans="1:15" x14ac:dyDescent="0.2">
      <c r="A1641"/>
      <c r="B1641" s="61"/>
      <c r="C1641" s="61"/>
      <c r="F1641"/>
      <c r="G1641"/>
      <c r="I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L1643"/>
      <c r="M1643"/>
      <c r="N1643" s="61"/>
      <c r="O1643"/>
    </row>
    <row r="1644" spans="1:15" x14ac:dyDescent="0.2">
      <c r="A1644"/>
      <c r="B1644" s="61"/>
      <c r="C1644" s="61"/>
      <c r="F1644"/>
      <c r="G1644"/>
      <c r="H1644"/>
      <c r="I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H1648"/>
      <c r="I1648"/>
      <c r="L1648"/>
      <c r="M1648"/>
      <c r="N1648" s="61"/>
      <c r="O1648"/>
    </row>
    <row r="1649" spans="1:15" x14ac:dyDescent="0.2">
      <c r="A1649"/>
      <c r="B1649" s="61"/>
      <c r="C1649" s="61"/>
      <c r="F1649"/>
      <c r="G1649"/>
      <c r="H1649"/>
      <c r="I1649"/>
      <c r="L1649"/>
      <c r="N1649" s="61"/>
      <c r="O1649"/>
    </row>
    <row r="1650" spans="1:15" x14ac:dyDescent="0.2">
      <c r="A1650"/>
      <c r="B1650" s="61"/>
      <c r="C1650" s="61"/>
      <c r="F1650"/>
      <c r="G1650"/>
      <c r="H1650"/>
      <c r="I1650"/>
      <c r="L1650"/>
      <c r="M1650"/>
      <c r="N1650" s="61"/>
      <c r="O1650"/>
    </row>
    <row r="1651" spans="1:15" x14ac:dyDescent="0.2">
      <c r="A1651"/>
      <c r="B1651" s="61"/>
      <c r="C1651" s="61"/>
      <c r="F1651"/>
      <c r="G1651"/>
      <c r="H1651"/>
      <c r="I1651"/>
      <c r="L1651"/>
      <c r="N1651" s="61"/>
      <c r="O165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907</v>
      </c>
      <c r="T1" t="s">
        <v>904</v>
      </c>
      <c r="U1" t="s">
        <v>908</v>
      </c>
      <c r="V1" t="s">
        <v>909</v>
      </c>
      <c r="W1" t="s">
        <v>906</v>
      </c>
      <c r="X1" t="s">
        <v>910</v>
      </c>
      <c r="Y1" t="s">
        <v>911</v>
      </c>
      <c r="Z1" t="s">
        <v>912</v>
      </c>
      <c r="AA1" t="s">
        <v>913</v>
      </c>
      <c r="AB1" t="s">
        <v>914</v>
      </c>
      <c r="AC1" t="s">
        <v>915</v>
      </c>
      <c r="AD1" t="s">
        <v>916</v>
      </c>
      <c r="AE1" t="s">
        <v>917</v>
      </c>
      <c r="AF1" t="s">
        <v>918</v>
      </c>
      <c r="AG1" t="s">
        <v>919</v>
      </c>
      <c r="AH1" t="s">
        <v>920</v>
      </c>
      <c r="AI1" t="s">
        <v>905</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Q23" sqref="Q23"/>
    </sheetView>
  </sheetViews>
  <sheetFormatPr defaultRowHeight="12.75" x14ac:dyDescent="0.2"/>
  <cols>
    <col min="1" max="16" width="12.85546875" customWidth="1"/>
    <col min="17" max="17" width="13" customWidth="1"/>
  </cols>
  <sheetData>
    <row r="1" spans="1:16" ht="18" x14ac:dyDescent="0.25">
      <c r="F1" s="38" t="s">
        <v>598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599</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#REF!</v>
      </c>
      <c r="K5" s="44"/>
      <c r="L5" s="44"/>
      <c r="M5" s="44"/>
      <c r="N5" s="44"/>
      <c r="O5" s="44"/>
      <c r="P5" s="44"/>
    </row>
    <row r="6" spans="1:16" x14ac:dyDescent="0.2">
      <c r="A6" s="78" t="s">
        <v>7</v>
      </c>
      <c r="B6" s="81" t="e">
        <f>IF(Main!D6=0,"",Main!D6)</f>
        <v>#N/A</v>
      </c>
      <c r="C6" s="44"/>
      <c r="D6" s="44"/>
      <c r="E6" s="44"/>
      <c r="F6" s="44"/>
      <c r="G6" s="44"/>
      <c r="H6" s="44"/>
      <c r="I6" s="78" t="s">
        <v>600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5" t="s">
        <v>380</v>
      </c>
      <c r="I28" s="645"/>
      <c r="J28" s="645"/>
      <c r="K28" s="645"/>
      <c r="L28" s="645"/>
      <c r="M28" s="645"/>
      <c r="N28" s="645"/>
      <c r="O28" s="645"/>
      <c r="P28" s="645"/>
      <c r="Q28" s="645"/>
      <c r="R28" s="645"/>
    </row>
    <row r="29" spans="1:20" x14ac:dyDescent="0.2">
      <c r="A29" s="634" t="s">
        <v>46</v>
      </c>
      <c r="B29" s="635"/>
      <c r="C29" s="65" t="str">
        <f>IF(Main!D48="","",Main!D48)</f>
        <v/>
      </c>
      <c r="D29" s="65" t="str">
        <f>IF(Main!E48="","",Main!E48)</f>
        <v/>
      </c>
      <c r="E29" s="65" t="str">
        <f>IF(Main!F48="","",Main!F48)</f>
        <v/>
      </c>
      <c r="F29" s="65" t="str">
        <f>IF(Main!G48="","",Main!G48)</f>
        <v/>
      </c>
      <c r="G29" s="459"/>
      <c r="H29" s="454" t="s">
        <v>381</v>
      </c>
      <c r="I29" s="143" t="str">
        <f>IF(Main!N47="","",Main!N47)</f>
        <v>Periodic</v>
      </c>
      <c r="J29" s="653" t="s">
        <v>382</v>
      </c>
      <c r="K29" s="654"/>
      <c r="L29" s="143" t="str">
        <f>IF(Main!R47="","",Main!R47)</f>
        <v>Air</v>
      </c>
    </row>
    <row r="30" spans="1:20" x14ac:dyDescent="0.2">
      <c r="A30" s="634" t="s">
        <v>47</v>
      </c>
      <c r="B30" s="635"/>
      <c r="C30" s="66" t="str">
        <f>IF(Main!D49="","",Main!D49)</f>
        <v/>
      </c>
      <c r="D30" s="66" t="str">
        <f>IF(Main!E49="","",Main!E49)</f>
        <v/>
      </c>
      <c r="E30" s="66" t="str">
        <f>IF(Main!F49="","",Main!F49)</f>
        <v/>
      </c>
      <c r="F30" s="66" t="str">
        <f>IF(Main!G49="","",Main!G49)</f>
        <v/>
      </c>
      <c r="G30" s="461"/>
      <c r="H30" s="646" t="s">
        <v>368</v>
      </c>
      <c r="I30" s="646"/>
      <c r="J30" s="655" t="s">
        <v>425</v>
      </c>
      <c r="K30" s="656"/>
      <c r="L30" s="657"/>
      <c r="M30" s="451"/>
      <c r="O30" s="647" t="s">
        <v>428</v>
      </c>
      <c r="P30" s="648"/>
      <c r="Q30" s="649"/>
      <c r="T30" s="44"/>
    </row>
    <row r="31" spans="1:20" x14ac:dyDescent="0.2">
      <c r="A31" s="634" t="s">
        <v>48</v>
      </c>
      <c r="B31" s="635"/>
      <c r="C31" s="66" t="str">
        <f>IF(Main!D50="","",Main!D50)</f>
        <v/>
      </c>
      <c r="D31" s="66" t="str">
        <f>IF(Main!E50="","",Main!E50)</f>
        <v/>
      </c>
      <c r="E31" s="66" t="str">
        <f>IF(Main!F50="","",Main!F50)</f>
        <v/>
      </c>
      <c r="F31" s="66" t="str">
        <f>IF(Main!G50="","",Main!G50)</f>
        <v/>
      </c>
      <c r="G31" s="461"/>
      <c r="H31" s="379" t="s">
        <v>383</v>
      </c>
      <c r="I31" s="398" t="str">
        <f>IF(Main!N49="","",Main!N49)</f>
        <v>Unavailable</v>
      </c>
      <c r="J31" s="636" t="s">
        <v>433</v>
      </c>
      <c r="K31" s="637"/>
      <c r="L31" s="638"/>
      <c r="M31" s="452" t="str">
        <f>IF(Main!S49="","",Main!S49)</f>
        <v/>
      </c>
      <c r="O31" s="650" t="s">
        <v>435</v>
      </c>
      <c r="P31" s="651"/>
      <c r="Q31" s="652"/>
      <c r="R31" s="82" t="str">
        <f>IF(Main!X49="","",Main!X49)</f>
        <v/>
      </c>
      <c r="T31" s="44"/>
    </row>
    <row r="32" spans="1:20" ht="12.75" customHeight="1" x14ac:dyDescent="0.2">
      <c r="A32" s="634" t="s">
        <v>49</v>
      </c>
      <c r="B32" s="635"/>
      <c r="C32" s="65" t="str">
        <f>IF(Main!D51="","",Main!D51)</f>
        <v/>
      </c>
      <c r="D32" s="65" t="str">
        <f>IF(Main!E51="","",Main!E51)</f>
        <v/>
      </c>
      <c r="E32" s="65" t="str">
        <f>IF(Main!F51="","",Main!F51)</f>
        <v/>
      </c>
      <c r="F32" s="65" t="str">
        <f>IF(Main!G51="","",Main!G51)</f>
        <v/>
      </c>
      <c r="G32" s="459"/>
      <c r="H32" s="379" t="s">
        <v>399</v>
      </c>
      <c r="I32" s="398" t="str">
        <f>IF(Main!N50="","",Main!N50)</f>
        <v/>
      </c>
      <c r="J32" s="639" t="s">
        <v>371</v>
      </c>
      <c r="K32" s="640"/>
      <c r="L32" s="641"/>
      <c r="M32" s="434"/>
      <c r="O32" s="639" t="s">
        <v>371</v>
      </c>
      <c r="P32" s="640"/>
      <c r="Q32" s="641"/>
      <c r="T32" s="44"/>
    </row>
    <row r="33" spans="1:20" ht="12.75" customHeight="1" x14ac:dyDescent="0.2">
      <c r="A33" s="634" t="s">
        <v>384</v>
      </c>
      <c r="B33" s="635"/>
      <c r="C33" s="65" t="str">
        <f>IF(Main!D52="","",Main!D52)</f>
        <v/>
      </c>
      <c r="D33" s="65" t="str">
        <f>IF(Main!E52="","",Main!E52)</f>
        <v/>
      </c>
      <c r="E33" s="65" t="str">
        <f>IF(Main!F52="","",Main!F52)</f>
        <v/>
      </c>
      <c r="F33" s="65" t="str">
        <f>IF(Main!G52="","",Main!G52)</f>
        <v/>
      </c>
      <c r="G33" s="459"/>
      <c r="H33" s="379" t="s">
        <v>385</v>
      </c>
      <c r="I33" s="398" t="str">
        <f>IF(Main!N51="","",Main!N51)</f>
        <v/>
      </c>
      <c r="J33" s="642" t="s">
        <v>434</v>
      </c>
      <c r="K33" s="643"/>
      <c r="L33" s="644"/>
      <c r="M33" s="431" t="str">
        <f>IF(Main!S51="","",Main!S51)</f>
        <v/>
      </c>
      <c r="O33" s="642" t="s">
        <v>436</v>
      </c>
      <c r="P33" s="643"/>
      <c r="Q33" s="644"/>
      <c r="R33" s="82" t="str">
        <f>IF(Main!X51="","",Main!X51)</f>
        <v/>
      </c>
      <c r="T33" s="44"/>
    </row>
    <row r="34" spans="1:20" ht="12.75" customHeight="1" x14ac:dyDescent="0.2">
      <c r="A34" s="634" t="s">
        <v>50</v>
      </c>
      <c r="B34" s="635"/>
      <c r="C34" s="67" t="str">
        <f>IF(Main!D53="","",Main!D53)</f>
        <v/>
      </c>
      <c r="D34" s="67" t="str">
        <f>IF(Main!E53="","",Main!E53)</f>
        <v/>
      </c>
      <c r="E34" s="67" t="str">
        <f>IF(Main!F53="","",Main!F53)</f>
        <v/>
      </c>
      <c r="F34" s="67" t="str">
        <f>IF(Main!G53="","",Main!G53)</f>
        <v/>
      </c>
      <c r="G34" s="462"/>
      <c r="H34" s="379" t="s">
        <v>386</v>
      </c>
      <c r="I34" s="378" t="str">
        <f>IF(Main!N52="","",Main!N52)</f>
        <v/>
      </c>
      <c r="J34" s="639" t="s">
        <v>371</v>
      </c>
      <c r="K34" s="640"/>
      <c r="L34" s="641"/>
      <c r="O34" s="639" t="s">
        <v>371</v>
      </c>
      <c r="P34" s="640"/>
      <c r="Q34" s="641"/>
      <c r="T34" s="44"/>
    </row>
    <row r="35" spans="1:20" ht="12.75" customHeight="1" x14ac:dyDescent="0.2">
      <c r="A35" s="83"/>
      <c r="B35" s="85" t="s">
        <v>109</v>
      </c>
      <c r="C35" s="96" t="str">
        <f>IF(Main!D54="","",Main!D54)</f>
        <v/>
      </c>
      <c r="D35" s="96" t="str">
        <f>IF(Main!E54="","",Main!E54)</f>
        <v/>
      </c>
      <c r="E35" s="96" t="str">
        <f>IF(Main!F54="","",Main!F54)</f>
        <v/>
      </c>
      <c r="F35" s="96" t="str">
        <f>IF(Main!G54="","",Main!G54)</f>
        <v/>
      </c>
      <c r="G35" s="463"/>
      <c r="H35" s="379" t="s">
        <v>386</v>
      </c>
      <c r="I35" s="378" t="str">
        <f>IF(Main!N53="","",Main!N53)</f>
        <v/>
      </c>
      <c r="J35" s="628" t="s">
        <v>437</v>
      </c>
      <c r="K35" s="629"/>
      <c r="L35" s="630"/>
      <c r="M35" s="455" t="str">
        <f>IF(Main!S53="","",Main!S53)</f>
        <v/>
      </c>
      <c r="O35" s="628" t="s">
        <v>438</v>
      </c>
      <c r="P35" s="629"/>
      <c r="Q35" s="630"/>
      <c r="R35" s="456" t="str">
        <f>IF(Main!X53="","",Main!X53)</f>
        <v/>
      </c>
    </row>
    <row r="36" spans="1:20" ht="13.5" thickBot="1" x14ac:dyDescent="0.25">
      <c r="B36" s="85" t="s">
        <v>387</v>
      </c>
      <c r="C36" s="65" t="str">
        <f>IF(Main!D56="","",Main!D56)</f>
        <v/>
      </c>
      <c r="D36" s="65" t="str">
        <f>IF(Main!E56="","",Main!E56)</f>
        <v/>
      </c>
      <c r="E36" s="65" t="str">
        <f>IF(Main!F56="","",Main!F56)</f>
        <v/>
      </c>
      <c r="F36" s="65" t="str">
        <f>IF(Main!G56="","",Main!G56)</f>
        <v/>
      </c>
      <c r="G36" s="459"/>
      <c r="H36" s="460"/>
      <c r="J36" s="631"/>
      <c r="K36" s="632"/>
      <c r="L36" s="633"/>
      <c r="M36" s="450"/>
      <c r="O36" s="631"/>
      <c r="P36" s="632"/>
      <c r="Q36" s="633"/>
      <c r="T36" s="44"/>
    </row>
    <row r="37" spans="1:20" ht="13.5" thickBot="1" x14ac:dyDescent="0.25">
      <c r="B37" s="83" t="s">
        <v>388</v>
      </c>
      <c r="C37" s="65" t="str">
        <f>IF(Main!D57="","",Main!D57)</f>
        <v/>
      </c>
      <c r="D37" s="65" t="str">
        <f>IF(Main!E57="","",Main!E57)</f>
        <v/>
      </c>
      <c r="E37" s="65" t="str">
        <f>IF(Main!F57="","",Main!F57)</f>
        <v/>
      </c>
      <c r="F37" s="65" t="str">
        <f>IF(Main!G57="","",Main!G57)</f>
        <v/>
      </c>
      <c r="G37" s="459"/>
      <c r="H37" s="460"/>
      <c r="J37" s="467" t="s">
        <v>374</v>
      </c>
      <c r="K37" s="468" t="s">
        <v>26</v>
      </c>
      <c r="L37" s="469" t="s">
        <v>375</v>
      </c>
      <c r="M37" s="450"/>
      <c r="O37" s="467" t="s">
        <v>376</v>
      </c>
      <c r="P37" s="468" t="s">
        <v>26</v>
      </c>
      <c r="Q37" s="469" t="s">
        <v>377</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397</v>
      </c>
      <c r="M39" s="470"/>
    </row>
    <row r="40" spans="1:20" ht="15.75" x14ac:dyDescent="0.25">
      <c r="B40" s="449"/>
      <c r="C40" s="449"/>
      <c r="D40" s="449"/>
      <c r="E40" s="449"/>
      <c r="K40" s="83" t="s">
        <v>401</v>
      </c>
      <c r="L40" t="str">
        <f>IF(Main!N54="","",Main!N54)</f>
        <v>0°F</v>
      </c>
      <c r="O40" s="83" t="s">
        <v>403</v>
      </c>
      <c r="P40" t="str">
        <f>IF(Main!N56="","",Main!N56)</f>
        <v>0°F</v>
      </c>
    </row>
    <row r="41" spans="1:20" x14ac:dyDescent="0.2">
      <c r="K41" s="83" t="s">
        <v>402</v>
      </c>
      <c r="L41" t="str">
        <f>IF(Main!N55="","",Main!N55)</f>
        <v>0°F</v>
      </c>
      <c r="O41" s="83" t="s">
        <v>404</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NqpWHFah+nfnimHGCeKJ8yd8A9EAzcjqDUcRBEvcKQgg5Xjzlf0dzzCtNdFfTj7YARMKk0JFWiZAoy2c31jQmw==" saltValue="nWqFTTdinYKtHhv3JLQbj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1"/>
      <c r="B1" s="502"/>
      <c r="C1" s="502"/>
      <c r="D1" s="502"/>
      <c r="E1" s="502" t="s">
        <v>93</v>
      </c>
      <c r="F1" s="502"/>
      <c r="G1" s="502"/>
      <c r="H1" s="502"/>
      <c r="I1" s="502"/>
      <c r="J1" s="502"/>
      <c r="K1" s="502"/>
      <c r="L1" s="502"/>
      <c r="M1" s="502"/>
      <c r="N1" s="503"/>
      <c r="O1" s="504"/>
      <c r="P1" s="484" t="s">
        <v>96</v>
      </c>
      <c r="Q1" s="72"/>
      <c r="R1" s="73"/>
      <c r="S1" s="73"/>
      <c r="T1" s="73"/>
      <c r="U1" s="73" t="s">
        <v>94</v>
      </c>
      <c r="V1" s="73"/>
      <c r="W1" s="73"/>
      <c r="X1" s="73"/>
      <c r="Y1" s="73"/>
      <c r="Z1" s="73"/>
      <c r="AA1" s="73"/>
      <c r="AB1" s="73"/>
      <c r="AC1" s="73"/>
      <c r="AD1" s="73"/>
      <c r="AE1" s="74"/>
      <c r="AF1" s="484" t="s">
        <v>96</v>
      </c>
      <c r="AG1" s="72"/>
      <c r="AH1" s="73"/>
      <c r="AI1" s="73"/>
      <c r="AJ1" s="73" t="s">
        <v>95</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obdA12+jfnzE3Mr4WqbP80pOHJDAW9B1Li639Euf5PjLPw4o0V2pchZj8SfGxRCouZO+7KAEdPSWYtamtPZNw==" saltValue="4PTE1kFFhF87rvx1mAuu3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4"/>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4"/>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72</v>
      </c>
      <c r="B1" s="613"/>
      <c r="C1" s="613"/>
      <c r="D1" s="613"/>
      <c r="E1" s="40" t="s">
        <v>182</v>
      </c>
      <c r="G1" s="613" t="s">
        <v>85</v>
      </c>
      <c r="H1" s="613"/>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4">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424</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421</v>
      </c>
      <c r="U6" s="44" t="s">
        <v>135</v>
      </c>
      <c r="Y6" t="s">
        <v>234</v>
      </c>
      <c r="AG6" s="44" t="str">
        <v>Crystal Turner</v>
      </c>
      <c r="AH6" s="44"/>
    </row>
    <row r="7" spans="1:34" x14ac:dyDescent="0.2">
      <c r="A7" s="40" t="str">
        <v>K6</v>
      </c>
      <c r="B7" s="40" t="str">
        <v>DaqBook/2005</v>
      </c>
      <c r="C7" s="40" t="str">
        <v>808173</v>
      </c>
      <c r="D7" s="40" t="s">
        <v>88</v>
      </c>
      <c r="E7" s="40">
        <v>40</v>
      </c>
      <c r="O7" t="s">
        <v>151</v>
      </c>
      <c r="Q7" s="44" t="s">
        <v>422</v>
      </c>
      <c r="U7" s="44" t="s">
        <v>199</v>
      </c>
      <c r="Y7" t="s">
        <v>235</v>
      </c>
      <c r="AG7" s="44" t="str">
        <v>Danny Turkali</v>
      </c>
      <c r="AH7" s="44"/>
    </row>
    <row r="8" spans="1:34" x14ac:dyDescent="0.2">
      <c r="A8" s="40" t="str">
        <v>K7</v>
      </c>
      <c r="B8" s="97" t="str">
        <v>DaqBook/2005</v>
      </c>
      <c r="C8" s="97" t="str">
        <v>22500C0</v>
      </c>
      <c r="D8" s="40" t="s">
        <v>86</v>
      </c>
      <c r="E8" s="40">
        <v>40</v>
      </c>
      <c r="O8" t="s">
        <v>150</v>
      </c>
      <c r="Q8" s="44" t="s">
        <v>423</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924</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407</v>
      </c>
      <c r="AE12" s="44" t="s">
        <v>393</v>
      </c>
      <c r="AG12" t="str">
        <v>James Haven</v>
      </c>
    </row>
    <row r="13" spans="1:34" x14ac:dyDescent="0.2">
      <c r="O13" s="44" t="s">
        <v>418</v>
      </c>
      <c r="Y13" t="s">
        <v>240</v>
      </c>
      <c r="AE13" s="44" t="s">
        <v>394</v>
      </c>
      <c r="AG13" t="str">
        <v>Jason Rich</v>
      </c>
    </row>
    <row r="14" spans="1:34" x14ac:dyDescent="0.2">
      <c r="Y14" t="s">
        <v>241</v>
      </c>
      <c r="AE14" s="44" t="s">
        <v>395</v>
      </c>
      <c r="AG14" t="str">
        <v>Jaydon Birmingham</v>
      </c>
    </row>
    <row r="15" spans="1:34" x14ac:dyDescent="0.2">
      <c r="Y15" t="s">
        <v>242</v>
      </c>
      <c r="AE15" s="44" t="s">
        <v>417</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Jesse Regehr</v>
      </c>
    </row>
    <row r="19" spans="25:33" x14ac:dyDescent="0.2">
      <c r="Y19" t="s">
        <v>245</v>
      </c>
      <c r="AG19" t="str">
        <v>Jesse Turner</v>
      </c>
    </row>
    <row r="20" spans="25:33" x14ac:dyDescent="0.2">
      <c r="Y20" t="s">
        <v>246</v>
      </c>
      <c r="AG20" t="str">
        <v>Joey Craig</v>
      </c>
    </row>
    <row r="21" spans="25:33" x14ac:dyDescent="0.2">
      <c r="Y21" t="s">
        <v>247</v>
      </c>
      <c r="AG21" t="str">
        <v>Joey Knutson</v>
      </c>
    </row>
    <row r="22" spans="25:33" x14ac:dyDescent="0.2">
      <c r="Y22" t="s">
        <v>248</v>
      </c>
      <c r="AG22" t="str">
        <v>John Johnson</v>
      </c>
    </row>
    <row r="23" spans="25:33" x14ac:dyDescent="0.2">
      <c r="Y23" s="44" t="s">
        <v>275</v>
      </c>
      <c r="AG23" t="str">
        <v>Johnny Vogt</v>
      </c>
    </row>
    <row r="24" spans="25:33" x14ac:dyDescent="0.2">
      <c r="Y24" s="44" t="s">
        <v>287</v>
      </c>
      <c r="AG24" t="str">
        <v>Jonathan Maxwell</v>
      </c>
    </row>
    <row r="25" spans="25:33" x14ac:dyDescent="0.2">
      <c r="Y25" s="44" t="s">
        <v>362</v>
      </c>
      <c r="AG25" t="str">
        <v>Julia Ensey</v>
      </c>
    </row>
    <row r="26" spans="25:33" x14ac:dyDescent="0.2">
      <c r="Y26" t="s">
        <v>249</v>
      </c>
      <c r="AG26" t="str">
        <v>Kathy Ensey</v>
      </c>
    </row>
    <row r="27" spans="25:33" x14ac:dyDescent="0.2">
      <c r="Y27" t="s">
        <v>250</v>
      </c>
      <c r="AG27" t="str">
        <v>Kayla Wilfong</v>
      </c>
    </row>
    <row r="28" spans="25:33" x14ac:dyDescent="0.2">
      <c r="Y28" s="44" t="s">
        <v>288</v>
      </c>
      <c r="AG28" t="str">
        <v>Kevin Ferrante</v>
      </c>
    </row>
    <row r="29" spans="25:33" x14ac:dyDescent="0.2">
      <c r="Y29" t="s">
        <v>220</v>
      </c>
      <c r="AG29" t="str">
        <v>Kim Sutphin</v>
      </c>
    </row>
    <row r="30" spans="25:33" x14ac:dyDescent="0.2">
      <c r="Y30" s="44" t="s">
        <v>299</v>
      </c>
      <c r="AG30" t="str">
        <v>Larry Boese</v>
      </c>
    </row>
    <row r="31" spans="25:33" x14ac:dyDescent="0.2">
      <c r="Y31" t="s">
        <v>222</v>
      </c>
      <c r="AG31" t="str">
        <v>Markus Lallement</v>
      </c>
    </row>
    <row r="32" spans="25:33" x14ac:dyDescent="0.2">
      <c r="Y32" t="s">
        <v>225</v>
      </c>
      <c r="AG32" t="str">
        <v>Matt Coleman</v>
      </c>
    </row>
    <row r="33" spans="25:33" x14ac:dyDescent="0.2">
      <c r="Y33" t="s">
        <v>228</v>
      </c>
      <c r="AG33" t="str">
        <v>Matthew Lallement</v>
      </c>
    </row>
    <row r="34" spans="25:33" x14ac:dyDescent="0.2">
      <c r="Y34" t="s">
        <v>229</v>
      </c>
      <c r="AG34" t="str">
        <v>Micah Sehl</v>
      </c>
    </row>
    <row r="35" spans="25:33" x14ac:dyDescent="0.2">
      <c r="Y35" s="44" t="s">
        <v>292</v>
      </c>
      <c r="AG35" t="str">
        <v>Mike Ragonese</v>
      </c>
    </row>
    <row r="36" spans="25:33" x14ac:dyDescent="0.2">
      <c r="AG36" t="str">
        <v>Mike Turkali</v>
      </c>
    </row>
    <row r="37" spans="25:33" x14ac:dyDescent="0.2">
      <c r="AG37" t="str">
        <v>Nick Nolte</v>
      </c>
    </row>
    <row r="38" spans="25:33" x14ac:dyDescent="0.2">
      <c r="AG38" t="str">
        <v>Pam Reasoner</v>
      </c>
    </row>
    <row r="39" spans="25:33" x14ac:dyDescent="0.2">
      <c r="AG39" t="str">
        <v>Peyton Ensey</v>
      </c>
    </row>
    <row r="40" spans="25:33" x14ac:dyDescent="0.2">
      <c r="AG40" t="str">
        <v>Qualer Admin</v>
      </c>
    </row>
    <row r="41" spans="25:33" x14ac:dyDescent="0.2">
      <c r="AG41" t="str">
        <v>Qualer Business Intelligence</v>
      </c>
    </row>
    <row r="42" spans="25:33" x14ac:dyDescent="0.2">
      <c r="AG42" t="str">
        <v>Quentin Kirk</v>
      </c>
    </row>
    <row r="43" spans="25:33" x14ac:dyDescent="0.2">
      <c r="AG43" t="str">
        <v>Randy Ferguson</v>
      </c>
    </row>
    <row r="44" spans="25:33" x14ac:dyDescent="0.2">
      <c r="AG44" t="str">
        <v>Ryan Byars</v>
      </c>
    </row>
    <row r="45" spans="25:33" x14ac:dyDescent="0.2">
      <c r="AG45" t="str">
        <v>Sam Bass</v>
      </c>
    </row>
    <row r="46" spans="25:33" x14ac:dyDescent="0.2">
      <c r="AG46" t="str">
        <v>Sara Osterman</v>
      </c>
    </row>
    <row r="47" spans="25:33" x14ac:dyDescent="0.2">
      <c r="AG47" t="str">
        <v>Scott Porter</v>
      </c>
    </row>
    <row r="48" spans="25:33" x14ac:dyDescent="0.2">
      <c r="AG48" t="str">
        <v>Scott Porter</v>
      </c>
    </row>
    <row r="49" spans="33:33" x14ac:dyDescent="0.2">
      <c r="AG49" t="str">
        <v>Tyler Epler</v>
      </c>
    </row>
    <row r="50" spans="33:33" x14ac:dyDescent="0.2">
      <c r="AG50" t="str">
        <v>Tyler Epler</v>
      </c>
    </row>
    <row r="51" spans="33:33" x14ac:dyDescent="0.2">
      <c r="AG51" t="str">
        <v>Wendy Neil</v>
      </c>
    </row>
    <row r="52" spans="33:33" x14ac:dyDescent="0.2">
      <c r="AG52" t="str">
        <v>Weston Wheeler</v>
      </c>
    </row>
    <row r="53" spans="33:33" x14ac:dyDescent="0.2">
      <c r="AG53" t="str">
        <v>Xander Craig</v>
      </c>
    </row>
    <row r="54" spans="33:33" x14ac:dyDescent="0.2">
      <c r="AG54" t="str">
        <v>Zane Wheeler</v>
      </c>
    </row>
  </sheetData>
  <sheetProtection algorithmName="SHA-512" hashValue="QNQhv8W/tABZZ+PychBMr+UcgYx6mTSQZ9rv4hzNZx8B4A1APVY2B2s5+0x7KBz2I7ZXdk3CkRLt6/5KqJRsEw==" saltValue="jGI5ksAF0clyrWLyQ8q04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15" x14ac:dyDescent="0.2">
      <c r="C1" t="e" cm="1" vm="3">
        <f t="array" ref="C1">TRANSPOSE(_xlfn._xlws.FILTER(WireOffsets[nominal_temp], WireOffsets[traceability_no]=A3))</f>
        <v>#VALUE!</v>
      </c>
      <c r="O1"/>
    </row>
    <row r="2" spans="1:15" x14ac:dyDescent="0.2">
      <c r="I2" s="6"/>
      <c r="J2" s="6"/>
      <c r="K2" s="6"/>
      <c r="L2" s="6"/>
      <c r="M2" s="6"/>
      <c r="N2" s="6"/>
    </row>
    <row r="3" spans="1:15" x14ac:dyDescent="0.2">
      <c r="A3" s="430" t="str">
        <f>Main!D55</f>
        <v/>
      </c>
      <c r="C3" t="e" cm="1" vm="3">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516" t="str">
        <f>IF(Main!$E$30="","A10",ADDRESS(13+(MATCH(Main!$E$30,Data_Sheet!$A$14:$A$903,0)),1,4))</f>
        <v>A10</v>
      </c>
      <c r="Q1" s="516">
        <f>VALUE(MID(P1, 2, LEN(P1)-1))</f>
        <v>10</v>
      </c>
    </row>
    <row r="2" spans="1:18" x14ac:dyDescent="0.2">
      <c r="B2" s="148">
        <f>Main!$D$19</f>
        <v>0</v>
      </c>
      <c r="C2" s="142">
        <f>$B$1+$B$2</f>
        <v>0</v>
      </c>
      <c r="D2" s="142">
        <f>(Main!$D$19)/2</f>
        <v>0</v>
      </c>
      <c r="E2" s="142">
        <f>B1+D2</f>
        <v>0</v>
      </c>
      <c r="F2" s="149"/>
      <c r="G2" s="149"/>
      <c r="H2" s="149"/>
      <c r="I2" s="174" t="s">
        <v>257</v>
      </c>
      <c r="J2" s="149"/>
      <c r="K2" s="149"/>
      <c r="L2" s="149"/>
      <c r="M2" s="662" t="s">
        <v>127</v>
      </c>
      <c r="N2" s="662"/>
      <c r="O2" s="662"/>
      <c r="P2" s="517" t="str">
        <f>IF(Main!$E$30="","A10",ADDRESS(13+Standards_Info!W2+(MATCH(Main!$E$30,Data_Sheet!$A$14:$A$903,0)),1,4))</f>
        <v>A10</v>
      </c>
      <c r="Q2" s="516">
        <f>VALUE(MID(P2, 2, LEN(P2)-1))</f>
        <v>10</v>
      </c>
    </row>
    <row r="3" spans="1:18" ht="14.25" x14ac:dyDescent="0.2">
      <c r="B3" s="152" t="s">
        <v>0</v>
      </c>
      <c r="C3" s="147"/>
      <c r="D3" s="134"/>
      <c r="E3" s="134"/>
      <c r="F3" s="134"/>
      <c r="G3" s="134"/>
      <c r="H3" s="134"/>
      <c r="I3" s="134"/>
      <c r="J3" s="134"/>
      <c r="K3" s="134"/>
      <c r="L3" s="134"/>
      <c r="M3" s="663" t="s">
        <v>128</v>
      </c>
      <c r="N3" s="664"/>
      <c r="O3" s="665"/>
      <c r="P3" s="134"/>
      <c r="Q3" s="134"/>
    </row>
    <row r="4" spans="1:18" ht="15" x14ac:dyDescent="0.25">
      <c r="B4" s="144" t="s">
        <v>37</v>
      </c>
      <c r="C4" s="86"/>
      <c r="D4" s="44"/>
      <c r="E4" s="44"/>
      <c r="F4" s="44"/>
      <c r="G4" s="44"/>
      <c r="H4" s="44"/>
      <c r="I4" s="44"/>
      <c r="J4" s="44"/>
      <c r="K4" s="44"/>
      <c r="L4" s="44"/>
      <c r="M4" s="666" t="s">
        <v>169</v>
      </c>
      <c r="N4" s="667"/>
      <c r="O4" s="668"/>
      <c r="P4" s="116"/>
    </row>
    <row r="5" spans="1:18" x14ac:dyDescent="0.2">
      <c r="B5" s="145" t="s">
        <v>38</v>
      </c>
      <c r="C5" s="80">
        <f>Main!D3</f>
        <v>0</v>
      </c>
      <c r="D5" s="44"/>
      <c r="E5" s="44"/>
      <c r="F5" s="44"/>
      <c r="G5" s="44"/>
      <c r="H5" s="44"/>
      <c r="I5" s="78" t="s">
        <v>9</v>
      </c>
      <c r="J5" s="44" t="e">
        <f>Main!D5</f>
        <v>#REF!</v>
      </c>
      <c r="L5" s="44"/>
      <c r="M5" s="669" t="s">
        <v>168</v>
      </c>
      <c r="N5" s="670"/>
      <c r="O5" s="671"/>
      <c r="P5" s="163"/>
    </row>
    <row r="6" spans="1:18" ht="13.5" thickBot="1" x14ac:dyDescent="0.25">
      <c r="B6" s="145" t="s">
        <v>7</v>
      </c>
      <c r="C6" s="81" t="e">
        <f>Main!D6</f>
        <v>#N/A</v>
      </c>
      <c r="D6" s="44"/>
      <c r="E6" s="44"/>
      <c r="F6" s="44"/>
      <c r="G6" s="44"/>
      <c r="H6" s="44"/>
      <c r="I6" s="78" t="s">
        <v>10</v>
      </c>
      <c r="J6" s="77">
        <f>Main!D16</f>
        <v>0</v>
      </c>
      <c r="L6" s="44"/>
      <c r="M6" s="672" t="s">
        <v>167</v>
      </c>
      <c r="N6" s="673"/>
      <c r="O6" s="674"/>
      <c r="P6" s="117"/>
    </row>
    <row r="7" spans="1:18" ht="13.5" thickBot="1" x14ac:dyDescent="0.25">
      <c r="B7" s="145" t="s">
        <v>39</v>
      </c>
      <c r="C7" s="81" t="str">
        <f>Main!D7</f>
        <v>Jeff Hall</v>
      </c>
      <c r="D7" s="44"/>
      <c r="E7" s="44"/>
      <c r="F7" s="44"/>
      <c r="G7" s="44"/>
      <c r="H7" s="44"/>
      <c r="I7" s="83" t="s">
        <v>195</v>
      </c>
      <c r="J7" s="660">
        <f>Main!$D$30</f>
        <v>0</v>
      </c>
      <c r="K7" s="661"/>
      <c r="L7" s="131"/>
      <c r="M7" s="659" t="s">
        <v>166</v>
      </c>
      <c r="N7" s="659"/>
      <c r="O7" s="65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9J4HCmpoIfeUB7Tc7wvEEj6ooKhJreTb0Gbe1T/lBlVJtBt3XzFi5TPhLO4r8clxabyU4rmKz1FgI+kZ6x++uQ==" saltValue="Q0wmm5i8DcUS/c0GmeFRF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2" priority="2" stopIfTrue="1" operator="between">
      <formula>$E$1</formula>
      <formula>$E$2</formula>
    </cfRule>
    <cfRule type="cellIs" dxfId="61" priority="3" stopIfTrue="1" operator="greaterThan">
      <formula>$C$2</formula>
    </cfRule>
    <cfRule type="cellIs" dxfId="60" priority="4" stopIfTrue="1" operator="lessThan">
      <formula>$C$1</formula>
    </cfRule>
    <cfRule type="cellIs" dxfId="59" priority="5" stopIfTrue="1" operator="greaterThanOrEqual">
      <formula>$C$1</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516" t="str">
        <f>IF(Main!$E$30="","A10",ADDRESS(13+(MATCH(Main!$E$30,Data_Sheet!$A$14:$A$903,0)),1,4))</f>
        <v>A10</v>
      </c>
      <c r="Q1" s="516">
        <f>VALUE(MID(P1, 2, LEN(P1)-1))</f>
        <v>10</v>
      </c>
    </row>
    <row r="2" spans="1:17" x14ac:dyDescent="0.2">
      <c r="B2" s="148">
        <f>Main!$D$19</f>
        <v>0</v>
      </c>
      <c r="C2" s="142">
        <f>$B$1+$B$2</f>
        <v>0</v>
      </c>
      <c r="D2" s="142">
        <f>(Main!$D$19)/2</f>
        <v>0</v>
      </c>
      <c r="E2" s="148">
        <f>B1+D2</f>
        <v>0</v>
      </c>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t="e">
        <f>Main!D5</f>
        <v>#REF!</v>
      </c>
      <c r="M5" s="676" t="s">
        <v>168</v>
      </c>
      <c r="N5" s="677"/>
      <c r="O5" s="678"/>
    </row>
    <row r="6" spans="1:17" ht="13.5" thickBot="1" x14ac:dyDescent="0.25">
      <c r="B6" s="145" t="s">
        <v>7</v>
      </c>
      <c r="C6" s="81" t="e">
        <f>Main!D6</f>
        <v>#N/A</v>
      </c>
      <c r="D6" s="44"/>
      <c r="E6" s="44"/>
      <c r="F6" s="44"/>
      <c r="G6" s="44"/>
      <c r="H6" s="44"/>
      <c r="I6" s="78" t="s">
        <v>10</v>
      </c>
      <c r="J6" s="46">
        <f>Main!D16</f>
        <v>0</v>
      </c>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46YVS8x7umN7AuihhhegoIZOkGwRWxoEwHfYyl0hjJUZDY3OQOqs9LOsPpdJzZOzpifD++2ZMWxSc2WxrO8E/A==" saltValue="2onkoGg7gF05E84o5NIH6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57" priority="2" stopIfTrue="1" operator="between">
      <formula>$E$1</formula>
      <formula>$E$2</formula>
    </cfRule>
    <cfRule type="cellIs" dxfId="56" priority="3" stopIfTrue="1" operator="greaterThan">
      <formula>$C$2</formula>
    </cfRule>
    <cfRule type="cellIs" dxfId="55" priority="4" stopIfTrue="1" operator="lessThan">
      <formula>$C$1</formula>
    </cfRule>
    <cfRule type="cellIs" dxfId="54" priority="5" stopIfTrue="1" operator="greaterThanOrEqual">
      <formula>$C$1</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516" t="str">
        <f>IF(Main!$E$30="","A10",ADDRESS(13+(MATCH(Main!$E$30,Data_Sheet!$A$14:$A$903,0)),1,4))</f>
        <v>A10</v>
      </c>
      <c r="Q1" s="516">
        <f>VALUE(MID(P1, 2, LEN(P1)-1))</f>
        <v>10</v>
      </c>
    </row>
    <row r="2" spans="1:17" x14ac:dyDescent="0.2">
      <c r="A2" s="141"/>
      <c r="B2" s="148">
        <f>Main!$D$19</f>
        <v>0</v>
      </c>
      <c r="C2" s="142">
        <f>$B$1+$B$2</f>
        <v>0</v>
      </c>
      <c r="D2" s="142">
        <f>(Main!$D$19)/2</f>
        <v>0</v>
      </c>
      <c r="E2" s="148">
        <f>B1+D2</f>
        <v>0</v>
      </c>
      <c r="F2" s="134"/>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s="44" t="e">
        <f>Main!D5</f>
        <v>#REF!</v>
      </c>
      <c r="L5" s="44"/>
      <c r="M5" s="669" t="s">
        <v>168</v>
      </c>
      <c r="N5" s="670"/>
      <c r="O5" s="671"/>
    </row>
    <row r="6" spans="1:17" ht="13.5" thickBot="1" x14ac:dyDescent="0.25">
      <c r="B6" s="145" t="s">
        <v>7</v>
      </c>
      <c r="C6" s="81" t="e">
        <f>Main!D6</f>
        <v>#N/A</v>
      </c>
      <c r="D6" s="44"/>
      <c r="E6" s="44"/>
      <c r="F6" s="44"/>
      <c r="G6" s="44"/>
      <c r="H6" s="44"/>
      <c r="I6" s="78" t="s">
        <v>10</v>
      </c>
      <c r="J6" s="77">
        <f>Main!D16</f>
        <v>0</v>
      </c>
      <c r="L6" s="44"/>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gCe7slluH/AYS5iO9CAXApm1c0xKM3NQnB/Hojw1ra29te+gDW45ISqBvux2SeIcqNaXf4Y6jQB/I7GEt8jx6Q==" saltValue="XrQn1iM+lIPQdKgDNFoJ9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2" priority="2" stopIfTrue="1" operator="between">
      <formula>$E$1</formula>
      <formula>$E$2</formula>
    </cfRule>
    <cfRule type="cellIs" dxfId="51" priority="3" stopIfTrue="1" operator="greaterThan">
      <formula>$C$2</formula>
    </cfRule>
    <cfRule type="cellIs" dxfId="50" priority="4" stopIfTrue="1" operator="lessThan">
      <formula>$C$1</formula>
    </cfRule>
    <cfRule type="cellIs" dxfId="49" priority="6" stopIfTrue="1" operator="greaterThanOrEqual">
      <formula>$C$1</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#REF!</v>
      </c>
    </row>
    <row r="10" spans="3:8" ht="15.75" x14ac:dyDescent="0.25">
      <c r="C10" s="103" t="s">
        <v>144</v>
      </c>
      <c r="D10" s="681">
        <f>Main!D3</f>
        <v>0</v>
      </c>
      <c r="E10" s="681"/>
      <c r="F10" s="681"/>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680" t="s">
        <v>418</v>
      </c>
      <c r="F15" s="680"/>
      <c r="G15" s="680"/>
      <c r="H15" s="680"/>
    </row>
    <row r="16" spans="3:8" ht="15" x14ac:dyDescent="0.2">
      <c r="C16" s="164"/>
      <c r="D16" s="100"/>
      <c r="E16" s="505" t="s">
        <v>148</v>
      </c>
      <c r="F16" s="505"/>
      <c r="G16" s="505"/>
      <c r="H16" s="505"/>
    </row>
    <row r="17" spans="3:8" ht="15" x14ac:dyDescent="0.2">
      <c r="C17" s="164"/>
      <c r="D17" s="100"/>
      <c r="E17" s="679" t="s">
        <v>149</v>
      </c>
      <c r="F17" s="679"/>
      <c r="G17" s="679"/>
      <c r="H17" s="679"/>
    </row>
    <row r="18" spans="3:8" ht="15" x14ac:dyDescent="0.2">
      <c r="C18" s="164"/>
      <c r="D18" s="100"/>
      <c r="E18" s="679" t="s">
        <v>18</v>
      </c>
      <c r="F18" s="679"/>
      <c r="G18" s="679"/>
      <c r="H18" s="679"/>
    </row>
    <row r="19" spans="3:8" ht="15" x14ac:dyDescent="0.2">
      <c r="C19" s="164"/>
      <c r="D19" s="100"/>
      <c r="E19" s="679" t="s">
        <v>154</v>
      </c>
      <c r="F19" s="679"/>
      <c r="G19" s="679"/>
      <c r="H19" s="679"/>
    </row>
    <row r="20" spans="3:8" ht="15" x14ac:dyDescent="0.2">
      <c r="C20" s="164"/>
      <c r="D20" s="100"/>
      <c r="E20" s="679" t="s">
        <v>151</v>
      </c>
      <c r="F20" s="679"/>
      <c r="G20" s="679"/>
      <c r="H20" s="679"/>
    </row>
    <row r="21" spans="3:8" ht="15" x14ac:dyDescent="0.2">
      <c r="C21" s="164"/>
      <c r="D21" s="100"/>
      <c r="E21" s="679" t="s">
        <v>152</v>
      </c>
      <c r="F21" s="679"/>
      <c r="G21" s="679"/>
      <c r="H21" s="679"/>
    </row>
    <row r="22" spans="3:8" ht="15" x14ac:dyDescent="0.2">
      <c r="C22" s="164"/>
      <c r="D22" s="100"/>
      <c r="E22" s="679" t="s">
        <v>130</v>
      </c>
      <c r="F22" s="679"/>
      <c r="G22" s="679"/>
      <c r="H22" s="679"/>
    </row>
    <row r="23" spans="3:8" ht="15" x14ac:dyDescent="0.2">
      <c r="C23" s="164"/>
      <c r="D23" s="100"/>
      <c r="E23" s="679" t="s">
        <v>153</v>
      </c>
      <c r="F23" s="679"/>
      <c r="G23" s="679"/>
      <c r="H23" s="679"/>
    </row>
    <row r="24" spans="3:8" ht="15" x14ac:dyDescent="0.2">
      <c r="C24" s="109"/>
      <c r="D24" s="100"/>
      <c r="E24" s="679" t="s">
        <v>173</v>
      </c>
      <c r="F24" s="679"/>
      <c r="G24" s="679"/>
      <c r="H24" s="679"/>
    </row>
    <row r="25" spans="3:8" ht="15" x14ac:dyDescent="0.2">
      <c r="C25" s="109"/>
      <c r="D25" s="100"/>
      <c r="E25" s="679"/>
      <c r="F25" s="679"/>
      <c r="G25" s="679"/>
      <c r="H25" s="679"/>
    </row>
    <row r="26" spans="3:8" ht="15" x14ac:dyDescent="0.2">
      <c r="C26" s="109"/>
      <c r="D26" s="100"/>
      <c r="E26" s="679"/>
      <c r="F26" s="679"/>
      <c r="G26" s="679"/>
      <c r="H26" s="679"/>
    </row>
    <row r="27" spans="3:8" ht="15" x14ac:dyDescent="0.2">
      <c r="C27" s="109"/>
      <c r="D27" s="100"/>
      <c r="E27" s="679"/>
      <c r="F27" s="679"/>
      <c r="G27" s="679"/>
      <c r="H27" s="679"/>
    </row>
    <row r="28" spans="3:8" ht="15" x14ac:dyDescent="0.2">
      <c r="C28" s="109"/>
      <c r="D28" s="100"/>
      <c r="E28" s="679"/>
      <c r="F28" s="679"/>
      <c r="G28" s="679"/>
      <c r="H28" s="679"/>
    </row>
    <row r="29" spans="3:8" ht="15" x14ac:dyDescent="0.2">
      <c r="C29" s="109"/>
      <c r="D29" s="100"/>
      <c r="E29" s="679"/>
      <c r="F29" s="679"/>
      <c r="G29" s="679"/>
      <c r="H29" s="679"/>
    </row>
    <row r="30" spans="3:8" ht="15" x14ac:dyDescent="0.2">
      <c r="C30" s="109"/>
      <c r="D30" s="100"/>
      <c r="E30" s="679"/>
      <c r="F30" s="679"/>
      <c r="G30" s="679"/>
      <c r="H30" s="679"/>
    </row>
    <row r="31" spans="3:8" ht="15" x14ac:dyDescent="0.2">
      <c r="C31" s="430" t="s">
        <v>419</v>
      </c>
      <c r="E31" s="679"/>
      <c r="F31" s="679"/>
      <c r="G31" s="679"/>
      <c r="H31" s="679"/>
    </row>
    <row r="32" spans="3:8" ht="15" x14ac:dyDescent="0.2">
      <c r="C32" s="109"/>
      <c r="D32" s="100"/>
      <c r="E32" s="679"/>
      <c r="F32" s="679"/>
      <c r="G32" s="679"/>
      <c r="H32" s="679"/>
    </row>
    <row r="33" spans="3:8" ht="15" x14ac:dyDescent="0.2">
      <c r="C33" s="109"/>
      <c r="D33" s="100"/>
      <c r="E33" s="679"/>
      <c r="F33" s="679"/>
      <c r="G33" s="679"/>
      <c r="H33" s="679"/>
    </row>
    <row r="34" spans="3:8" ht="15" x14ac:dyDescent="0.2">
      <c r="C34" s="109"/>
      <c r="D34" s="100"/>
      <c r="E34" s="679"/>
      <c r="F34" s="679"/>
      <c r="G34" s="679"/>
      <c r="H34" s="679"/>
    </row>
    <row r="35" spans="3:8" ht="15" x14ac:dyDescent="0.2">
      <c r="C35" s="109"/>
      <c r="D35" s="100"/>
      <c r="E35" s="679"/>
      <c r="F35" s="679"/>
      <c r="G35" s="679"/>
      <c r="H35" s="679"/>
    </row>
    <row r="36" spans="3:8" ht="15" x14ac:dyDescent="0.2">
      <c r="C36" s="100"/>
      <c r="D36" s="100"/>
      <c r="E36" s="679"/>
      <c r="F36" s="679"/>
      <c r="G36" s="679"/>
      <c r="H36" s="67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KC9i81pAV/XR6yYPdMcTSC1M8egoSd+sw+JwKTwEAr/Z5qV0Tw0ML4WN0rXBtrpNiWx1UPRHrImoyHtzszfbtg==" saltValue="SQpGeKasBd5G/bgOI4uKh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603</v>
      </c>
    </row>
    <row r="2" spans="3:5" x14ac:dyDescent="0.2">
      <c r="C2">
        <f>D2</f>
        <v>1</v>
      </c>
      <c r="D2">
        <v>1</v>
      </c>
      <c r="E2" t="s">
        <v>418</v>
      </c>
    </row>
    <row r="3" spans="3:5" x14ac:dyDescent="0.2">
      <c r="C3">
        <f>D3+C2</f>
        <v>2</v>
      </c>
      <c r="D3">
        <v>1</v>
      </c>
      <c r="E3" s="41" t="s">
        <v>148</v>
      </c>
    </row>
    <row r="4" spans="3:5" x14ac:dyDescent="0.2">
      <c r="C4">
        <f t="shared" ref="C4:C11" si="0">D4+C3</f>
        <v>3</v>
      </c>
      <c r="D4">
        <v>1</v>
      </c>
      <c r="E4" s="41" t="s">
        <v>149</v>
      </c>
    </row>
    <row r="5" spans="3:5" x14ac:dyDescent="0.2">
      <c r="C5">
        <f t="shared" si="0"/>
        <v>13</v>
      </c>
      <c r="D5">
        <v>10</v>
      </c>
      <c r="E5" s="41" t="s">
        <v>18</v>
      </c>
    </row>
    <row r="6" spans="3:5" x14ac:dyDescent="0.2">
      <c r="C6">
        <f t="shared" si="0"/>
        <v>14</v>
      </c>
      <c r="D6">
        <v>1</v>
      </c>
      <c r="E6" s="41" t="s">
        <v>154</v>
      </c>
    </row>
    <row r="7" spans="3:5" x14ac:dyDescent="0.2">
      <c r="C7">
        <f t="shared" si="0"/>
        <v>14</v>
      </c>
      <c r="D7">
        <v>0</v>
      </c>
      <c r="E7" s="41" t="s">
        <v>151</v>
      </c>
    </row>
    <row r="8" spans="3:5" x14ac:dyDescent="0.2">
      <c r="C8">
        <f t="shared" si="0"/>
        <v>15</v>
      </c>
      <c r="D8">
        <v>1</v>
      </c>
      <c r="E8" s="41" t="s">
        <v>152</v>
      </c>
    </row>
    <row r="9" spans="3:5" x14ac:dyDescent="0.2">
      <c r="C9">
        <f t="shared" si="0"/>
        <v>16</v>
      </c>
      <c r="D9">
        <v>1</v>
      </c>
      <c r="E9" s="41" t="s">
        <v>130</v>
      </c>
    </row>
    <row r="10" spans="3:5" x14ac:dyDescent="0.2">
      <c r="C10">
        <f t="shared" si="0"/>
        <v>17</v>
      </c>
      <c r="D10">
        <v>1</v>
      </c>
      <c r="E10" t="s">
        <v>153</v>
      </c>
    </row>
    <row r="11" spans="3:5" x14ac:dyDescent="0.2">
      <c r="C11">
        <f t="shared" si="0"/>
        <v>18</v>
      </c>
      <c r="D11">
        <v>1</v>
      </c>
      <c r="E11" t="s">
        <v>173</v>
      </c>
    </row>
  </sheetData>
  <sheetProtection algorithmName="SHA-512" hashValue="arKHRAgG3KeVFbc5X6ieDS64pfxBF1VQ9BAZMYBCYbBdPkg+A6+cvMtz7Sak65r/kd72CH6DbDB+h0SelWE60Q==" saltValue="FyZpCQiwCsFnETppbapVlQ=="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e">
        <f>Main!D5</f>
        <v>#REF!</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e">
        <f>Main!D6</f>
        <v>#N/A</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t="str">
        <f>Main!D7</f>
        <v>Jeff Hall</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439</v>
      </c>
      <c r="U11" s="477" t="s">
        <v>440</v>
      </c>
      <c r="V11" s="477" t="s">
        <v>441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2" t="s">
        <v>29</v>
      </c>
      <c r="E32" s="682"/>
      <c r="F32" s="682"/>
      <c r="G32" s="682"/>
      <c r="H32" s="682"/>
      <c r="I32" s="682"/>
      <c r="J32" s="682"/>
      <c r="K32" s="682"/>
      <c r="L32" s="682"/>
      <c r="M32" s="682"/>
    </row>
    <row r="33" spans="1:14" ht="15" customHeight="1" x14ac:dyDescent="0.25">
      <c r="D33" s="683"/>
      <c r="E33" s="683"/>
      <c r="F33" s="683"/>
      <c r="G33" s="683"/>
      <c r="H33" s="683"/>
      <c r="I33" s="683"/>
      <c r="J33" s="683"/>
      <c r="K33" s="683"/>
      <c r="L33" s="683"/>
      <c r="M33" s="683"/>
      <c r="N33" s="26"/>
    </row>
    <row r="34" spans="1:14" x14ac:dyDescent="0.25">
      <c r="A34" s="21"/>
      <c r="B34" s="21"/>
      <c r="D34" s="683"/>
      <c r="E34" s="683"/>
      <c r="F34" s="683"/>
      <c r="G34" s="683"/>
      <c r="H34" s="683"/>
      <c r="I34" s="683"/>
      <c r="J34" s="683"/>
      <c r="K34" s="683"/>
      <c r="L34" s="683"/>
      <c r="M34" s="68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84" t="s">
        <v>32</v>
      </c>
      <c r="D37" s="684"/>
      <c r="E37" s="684"/>
      <c r="F37" s="684"/>
      <c r="G37" s="684"/>
      <c r="H37" s="684"/>
      <c r="I37" s="684"/>
      <c r="J37" s="684"/>
      <c r="K37" s="684"/>
      <c r="L37" s="684"/>
      <c r="M37" s="684"/>
    </row>
    <row r="38" spans="1:14" x14ac:dyDescent="0.25">
      <c r="A38" s="21"/>
      <c r="B38" s="21"/>
      <c r="C38" s="684"/>
      <c r="D38" s="684"/>
      <c r="E38" s="684"/>
      <c r="F38" s="684"/>
      <c r="G38" s="684"/>
      <c r="H38" s="684"/>
      <c r="I38" s="684"/>
      <c r="J38" s="684"/>
      <c r="K38" s="684"/>
      <c r="L38" s="684"/>
      <c r="M38" s="684"/>
    </row>
    <row r="39" spans="1:14" x14ac:dyDescent="0.25">
      <c r="A39" s="21"/>
      <c r="B39" s="21"/>
      <c r="C39" s="684"/>
      <c r="D39" s="684"/>
      <c r="E39" s="684"/>
      <c r="F39" s="684"/>
      <c r="G39" s="684"/>
      <c r="H39" s="684"/>
      <c r="I39" s="684"/>
      <c r="J39" s="684"/>
      <c r="K39" s="684"/>
      <c r="L39" s="684"/>
      <c r="M39" s="684"/>
    </row>
    <row r="40" spans="1:14" x14ac:dyDescent="0.25">
      <c r="A40" s="21"/>
      <c r="B40" s="21"/>
      <c r="C40" s="684"/>
      <c r="D40" s="684"/>
      <c r="E40" s="684"/>
      <c r="F40" s="684"/>
      <c r="G40" s="684"/>
      <c r="H40" s="684"/>
      <c r="I40" s="684"/>
      <c r="J40" s="684"/>
      <c r="K40" s="684"/>
      <c r="L40" s="684"/>
      <c r="M40" s="68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t17HYcjmBsrFnb9ordazpFcfWRZI91Q07g23DWYb+JK+gzGKlBjCROKWL7VKJtt9wXExrLT11hnmHqbzJ2Zk4A==" saltValue="JiYRZuhAjynsSH06/Y2TBg==" spinCount="100000" sheet="1" objects="1" scenarios="1" selectLockedCells="1" autoFilter="0"/>
  <mergeCells count="2">
    <mergeCell ref="D32:M34"/>
    <mergeCell ref="C37:M40"/>
  </mergeCells>
  <phoneticPr fontId="23" type="noConversion"/>
  <conditionalFormatting sqref="C45">
    <cfRule type="expression" dxfId="47" priority="33">
      <formula>ISNUMBER(SEARCH(".",C45))</formula>
    </cfRule>
    <cfRule type="expression" dxfId="46" priority="34">
      <formula>ISERROR(SEARCH(".",C45))</formula>
    </cfRule>
  </conditionalFormatting>
  <conditionalFormatting sqref="D10:D18">
    <cfRule type="expression" dxfId="45" priority="31">
      <formula>ISERROR(SEARCH(1,$D$19))</formula>
    </cfRule>
    <cfRule type="expression" dxfId="44" priority="32">
      <formula>ISNUMBER(SEARCH(1,$D$19))</formula>
    </cfRule>
  </conditionalFormatting>
  <conditionalFormatting sqref="G11:G18">
    <cfRule type="expression" dxfId="43" priority="29">
      <formula>ISERROR(SEARCH(1,$G$19))</formula>
    </cfRule>
    <cfRule type="expression" dxfId="42" priority="30">
      <formula>ISNUMBER(SEARCH(1,$G$19))</formula>
    </cfRule>
  </conditionalFormatting>
  <conditionalFormatting sqref="G10">
    <cfRule type="expression" dxfId="41" priority="27">
      <formula>ISERROR(SEARCH(1,$G$19))</formula>
    </cfRule>
    <cfRule type="expression" dxfId="40" priority="28">
      <formula>ISNUMBER(SEARCH(1,$G$19))</formula>
    </cfRule>
  </conditionalFormatting>
  <conditionalFormatting sqref="J11:J18">
    <cfRule type="expression" dxfId="39" priority="25">
      <formula>ISERROR(SEARCH(1,$J$19))</formula>
    </cfRule>
    <cfRule type="expression" dxfId="38" priority="26">
      <formula>ISNUMBER(SEARCH(1,$J$19))</formula>
    </cfRule>
  </conditionalFormatting>
  <conditionalFormatting sqref="J10">
    <cfRule type="expression" dxfId="37" priority="23">
      <formula>ISERROR(SEARCH(1,$J$19))</formula>
    </cfRule>
    <cfRule type="expression" dxfId="36" priority="24">
      <formula>ISNUMBER(SEARCH(1,$J$19))</formula>
    </cfRule>
  </conditionalFormatting>
  <conditionalFormatting sqref="M11:M18">
    <cfRule type="expression" dxfId="35" priority="21">
      <formula>ISERROR(SEARCH(1,$M$19))</formula>
    </cfRule>
    <cfRule type="expression" dxfId="34" priority="22">
      <formula>ISNUMBER(SEARCH(1,$M$19))</formula>
    </cfRule>
  </conditionalFormatting>
  <conditionalFormatting sqref="M10">
    <cfRule type="expression" dxfId="33" priority="19">
      <formula>ISERROR(SEARCH(1,$M$19))</formula>
    </cfRule>
    <cfRule type="expression" dxfId="32" priority="20">
      <formula>ISNUMBER(SEARCH(1,$M$19))</formula>
    </cfRule>
  </conditionalFormatting>
  <conditionalFormatting sqref="G23:G30">
    <cfRule type="expression" dxfId="31" priority="13">
      <formula>ISERROR(SEARCH(1,$G$31))</formula>
    </cfRule>
    <cfRule type="expression" dxfId="30" priority="14">
      <formula>ISNUMBER(SEARCH(1,$G$31))</formula>
    </cfRule>
  </conditionalFormatting>
  <conditionalFormatting sqref="G22">
    <cfRule type="expression" dxfId="29" priority="11">
      <formula>ISERROR(SEARCH(1,$G$31))</formula>
    </cfRule>
    <cfRule type="expression" dxfId="28" priority="12">
      <formula>ISNUMBER(SEARCH(1,$G$31))</formula>
    </cfRule>
  </conditionalFormatting>
  <conditionalFormatting sqref="J23:J30">
    <cfRule type="expression" dxfId="27" priority="9">
      <formula>ISERROR(SEARCH(1,$J$31))</formula>
    </cfRule>
    <cfRule type="expression" dxfId="26" priority="10">
      <formula>ISNUMBER(SEARCH(1,$J$31))</formula>
    </cfRule>
  </conditionalFormatting>
  <conditionalFormatting sqref="J22">
    <cfRule type="expression" dxfId="25" priority="7">
      <formula>ISERROR(SEARCH(1,$J$31))</formula>
    </cfRule>
    <cfRule type="expression" dxfId="24" priority="8">
      <formula>ISNUMBER(SEARCH(1,$J$31))</formula>
    </cfRule>
  </conditionalFormatting>
  <conditionalFormatting sqref="M23:M30">
    <cfRule type="expression" dxfId="23" priority="5">
      <formula>ISERROR(SEARCH(1,$M$31))</formula>
    </cfRule>
    <cfRule type="expression" dxfId="22" priority="6">
      <formula>ISNUMBER(SEARCH(1,$M$31))</formula>
    </cfRule>
  </conditionalFormatting>
  <conditionalFormatting sqref="M22">
    <cfRule type="expression" dxfId="21" priority="3">
      <formula>ISERROR(SEARCH(1,$M$31))</formula>
    </cfRule>
    <cfRule type="expression" dxfId="20" priority="4">
      <formula>ISNUMBER(SEARCH(1,$M$31))</formula>
    </cfRule>
  </conditionalFormatting>
  <conditionalFormatting sqref="D22:D30">
    <cfRule type="expression" dxfId="19" priority="1">
      <formula>ISERROR(SEARCH(1,$D$19))</formula>
    </cfRule>
    <cfRule type="expression" dxfId="18"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#REF!</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hlgyip25pgzS8rCVqgJNGEggTDLGvezoVLp7sip5mDkl+SEseQENPEKB5nf0h4u1UdYU61r0OzAlX2XR1qBU4w==" saltValue="ikq+BTVnH3els+YIvALE8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513">
        <f>Main!D16</f>
        <v>0</v>
      </c>
      <c r="B1" s="51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515">
        <f>Main!D19</f>
        <v>0</v>
      </c>
      <c r="B2" s="51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#REF!</v>
      </c>
      <c r="L5" s="4"/>
      <c r="M5" s="4"/>
      <c r="N5" s="4"/>
      <c r="O5" s="4"/>
      <c r="P5" s="4"/>
      <c r="Q5" s="54"/>
      <c r="R5" s="4"/>
      <c r="S5" s="4"/>
      <c r="T5" s="4"/>
      <c r="U5" s="4" t="s">
        <v>6</v>
      </c>
      <c r="V5" s="39">
        <f>B5</f>
        <v>0</v>
      </c>
      <c r="W5" s="4"/>
      <c r="X5" s="4"/>
      <c r="Y5" s="4"/>
      <c r="AA5" s="7" t="s">
        <v>9</v>
      </c>
      <c r="AB5" s="51" t="e">
        <f>J5</f>
        <v>#REF!</v>
      </c>
      <c r="AC5" s="4"/>
      <c r="AD5" s="4"/>
      <c r="AE5" s="4"/>
      <c r="AF5" s="4"/>
      <c r="AG5" s="4"/>
      <c r="AH5" s="4"/>
      <c r="AI5" s="4"/>
      <c r="AJ5" s="4"/>
      <c r="AK5" s="4"/>
      <c r="AL5" s="4"/>
      <c r="AM5" s="4"/>
      <c r="AN5" s="4"/>
      <c r="AO5" s="4" t="s">
        <v>6</v>
      </c>
      <c r="AP5" s="39">
        <f>V5</f>
        <v>0</v>
      </c>
      <c r="AQ5" s="4"/>
      <c r="AR5" s="4"/>
      <c r="AS5" s="4"/>
      <c r="AU5" s="7" t="s">
        <v>9</v>
      </c>
      <c r="AV5" s="51" t="e">
        <f>AB5</f>
        <v>#REF!</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ZNN9NyodDOyhbJaAXv3OxI+EUcvvmm1cmwa6mRtVqXVHBXeDlnqboO31uTM3HgdqYpeECb2wJu1JgAUbMY686g==" saltValue="/o2ei5uMV/grPPAzqjLnr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65</vt:i4>
      </vt:variant>
    </vt:vector>
  </HeadingPairs>
  <TitlesOfParts>
    <vt:vector size="92" baseType="lpstr">
      <vt:lpstr>WireSets</vt:lpstr>
      <vt:lpstr>WorkItemDetails</vt:lpstr>
      <vt:lpstr>Query1</vt:lpstr>
      <vt:lpstr>WireOffsets</vt:lpstr>
      <vt:lpstr>Employee</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2025-06-24T15:51:48Z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